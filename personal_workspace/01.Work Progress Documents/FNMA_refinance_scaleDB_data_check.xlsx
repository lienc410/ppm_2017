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5" windowWidth="37395" windowHeight="21000"/>
  </bookViews>
  <sheets>
    <sheet name="tpo" sheetId="1" r:id="rId1"/>
    <sheet name="pct refi" sheetId="4" r:id="rId2"/>
    <sheet name="cltv" sheetId="5" r:id="rId3"/>
    <sheet name="loanSize" sheetId="6" r:id="rId4"/>
    <sheet name="burnout" sheetId="7" r:id="rId5"/>
    <sheet name="incentive" sheetId="8" r:id="rId6"/>
    <sheet name="incentive_detail" sheetId="9" r:id="rId7"/>
    <sheet name="Sheet10" sheetId="10" r:id="rId8"/>
  </sheets>
  <calcPr calcId="145621"/>
  <pivotCaches>
    <pivotCache cacheId="11" r:id="rId9"/>
    <pivotCache cacheId="15" r:id="rId10"/>
  </pivotCaches>
</workbook>
</file>

<file path=xl/calcChain.xml><?xml version="1.0" encoding="utf-8"?>
<calcChain xmlns="http://schemas.openxmlformats.org/spreadsheetml/2006/main">
  <c r="C2" i="10" l="1"/>
  <c r="C3" i="10"/>
  <c r="C1" i="10"/>
  <c r="AQ3" i="8"/>
  <c r="AQ4" i="8"/>
  <c r="AQ5" i="8"/>
  <c r="AQ6" i="8"/>
  <c r="AQ7" i="8"/>
  <c r="AQ8" i="8"/>
  <c r="AQ9" i="8"/>
  <c r="AQ10" i="8"/>
  <c r="AQ11" i="8"/>
  <c r="AQ12" i="8"/>
  <c r="AQ13" i="8"/>
  <c r="AQ14" i="8"/>
  <c r="AQ15" i="8"/>
  <c r="AQ16" i="8"/>
  <c r="AQ17" i="8"/>
  <c r="AQ18" i="8"/>
  <c r="AQ19" i="8"/>
  <c r="AQ20" i="8"/>
  <c r="AQ21" i="8"/>
  <c r="AQ22" i="8"/>
  <c r="AQ23" i="8"/>
  <c r="AQ24" i="8"/>
  <c r="AQ25" i="8"/>
  <c r="AQ26" i="8"/>
  <c r="AQ27" i="8"/>
  <c r="AQ28" i="8"/>
  <c r="AQ29" i="8"/>
  <c r="AQ30" i="8"/>
  <c r="AQ31" i="8"/>
  <c r="AQ32" i="8"/>
  <c r="AQ33" i="8"/>
  <c r="AQ34" i="8"/>
  <c r="AQ35" i="8"/>
  <c r="AQ36" i="8"/>
  <c r="AQ37" i="8"/>
  <c r="AQ38" i="8"/>
  <c r="AQ39" i="8"/>
  <c r="AQ40" i="8"/>
  <c r="AQ41" i="8"/>
  <c r="AQ42" i="8"/>
  <c r="AQ43" i="8"/>
  <c r="AQ44" i="8"/>
  <c r="AQ45" i="8"/>
  <c r="AQ46" i="8"/>
  <c r="AQ47" i="8"/>
  <c r="AQ48" i="8"/>
  <c r="AQ49" i="8"/>
  <c r="AQ50" i="8"/>
  <c r="AQ51" i="8"/>
  <c r="AQ52" i="8"/>
  <c r="AQ53" i="8"/>
  <c r="AQ54" i="8"/>
  <c r="AQ55" i="8"/>
  <c r="AQ56" i="8"/>
  <c r="AQ57" i="8"/>
  <c r="AQ58" i="8"/>
  <c r="AQ59" i="8"/>
  <c r="AQ60" i="8"/>
  <c r="AQ61" i="8"/>
  <c r="AQ62" i="8"/>
  <c r="AQ63" i="8"/>
  <c r="AQ64" i="8"/>
  <c r="AQ65" i="8"/>
  <c r="AQ66" i="8"/>
  <c r="AQ67" i="8"/>
  <c r="AQ68" i="8"/>
  <c r="AQ69" i="8"/>
  <c r="AQ70" i="8"/>
  <c r="AQ71" i="8"/>
  <c r="AQ72" i="8"/>
  <c r="AQ73" i="8"/>
  <c r="AQ74" i="8"/>
  <c r="AQ75" i="8"/>
  <c r="AQ76" i="8"/>
  <c r="AQ77" i="8"/>
  <c r="AQ78" i="8"/>
  <c r="AQ79" i="8"/>
  <c r="AQ80" i="8"/>
  <c r="AQ81" i="8"/>
  <c r="AQ82" i="8"/>
  <c r="AQ83" i="8"/>
  <c r="AQ84" i="8"/>
  <c r="AQ85" i="8"/>
  <c r="AQ86" i="8"/>
  <c r="AQ87" i="8"/>
  <c r="AQ88" i="8"/>
  <c r="AQ89" i="8"/>
  <c r="AQ90" i="8"/>
  <c r="AQ91" i="8"/>
  <c r="AQ92" i="8"/>
  <c r="AQ93" i="8"/>
  <c r="AQ94" i="8"/>
  <c r="AQ95" i="8"/>
  <c r="AQ96" i="8"/>
  <c r="AQ97" i="8"/>
  <c r="AQ98" i="8"/>
  <c r="AQ99" i="8"/>
  <c r="AQ100" i="8"/>
  <c r="AQ101" i="8"/>
  <c r="AQ102" i="8"/>
  <c r="AQ103" i="8"/>
  <c r="AQ104" i="8"/>
  <c r="AQ105" i="8"/>
  <c r="AQ106" i="8"/>
  <c r="AQ107" i="8"/>
  <c r="AQ108" i="8"/>
  <c r="AQ109" i="8"/>
  <c r="AQ110" i="8"/>
  <c r="AQ111" i="8"/>
  <c r="AQ112" i="8"/>
  <c r="AQ113" i="8"/>
  <c r="AQ114" i="8"/>
  <c r="AQ115" i="8"/>
  <c r="AQ116" i="8"/>
  <c r="AQ117" i="8"/>
  <c r="AQ118" i="8"/>
  <c r="AQ119" i="8"/>
  <c r="AQ120" i="8"/>
  <c r="AQ121" i="8"/>
  <c r="AQ122" i="8"/>
  <c r="AQ123" i="8"/>
  <c r="AQ124" i="8"/>
  <c r="AQ125" i="8"/>
  <c r="AQ126" i="8"/>
  <c r="AQ127" i="8"/>
  <c r="AQ128" i="8"/>
  <c r="AQ129" i="8"/>
  <c r="AQ130" i="8"/>
  <c r="AQ131" i="8"/>
  <c r="AQ132" i="8"/>
  <c r="AQ133" i="8"/>
  <c r="AQ134" i="8"/>
  <c r="AQ135" i="8"/>
  <c r="AQ136" i="8"/>
  <c r="AQ137" i="8"/>
  <c r="AQ138" i="8"/>
  <c r="AQ139" i="8"/>
  <c r="AQ140" i="8"/>
  <c r="AQ141" i="8"/>
  <c r="AQ142" i="8"/>
  <c r="AQ143" i="8"/>
  <c r="AQ144" i="8"/>
  <c r="AQ145" i="8"/>
  <c r="AQ146" i="8"/>
  <c r="AQ147" i="8"/>
  <c r="AQ148" i="8"/>
  <c r="AQ149" i="8"/>
  <c r="AQ150" i="8"/>
  <c r="AQ151" i="8"/>
  <c r="AQ152" i="8"/>
  <c r="AQ153" i="8"/>
  <c r="AQ154" i="8"/>
  <c r="AQ155" i="8"/>
  <c r="AQ156" i="8"/>
  <c r="AQ157" i="8"/>
  <c r="AQ158" i="8"/>
  <c r="AQ159" i="8"/>
  <c r="AQ160" i="8"/>
  <c r="AQ161" i="8"/>
  <c r="AQ162" i="8"/>
  <c r="AQ163" i="8"/>
  <c r="AQ164" i="8"/>
  <c r="AQ165" i="8"/>
  <c r="AQ166" i="8"/>
  <c r="AQ167" i="8"/>
  <c r="AQ168" i="8"/>
  <c r="AQ169" i="8"/>
  <c r="AQ170" i="8"/>
  <c r="AQ171" i="8"/>
  <c r="AQ172" i="8"/>
  <c r="AQ173" i="8"/>
  <c r="AQ174" i="8"/>
  <c r="AQ175" i="8"/>
  <c r="AQ176" i="8"/>
  <c r="AQ177" i="8"/>
  <c r="AQ178" i="8"/>
  <c r="AQ179" i="8"/>
  <c r="AQ180" i="8"/>
  <c r="AQ181" i="8"/>
  <c r="AQ182" i="8"/>
  <c r="AQ183" i="8"/>
  <c r="AQ184" i="8"/>
  <c r="AQ185" i="8"/>
  <c r="AQ186" i="8"/>
  <c r="AQ187" i="8"/>
  <c r="AQ188" i="8"/>
  <c r="AQ189" i="8"/>
  <c r="AQ190" i="8"/>
  <c r="AQ191" i="8"/>
  <c r="AQ192" i="8"/>
  <c r="AQ193" i="8"/>
  <c r="AQ194" i="8"/>
  <c r="AQ195" i="8"/>
  <c r="AQ196" i="8"/>
  <c r="AQ197" i="8"/>
  <c r="AQ198" i="8"/>
  <c r="AQ199" i="8"/>
  <c r="AQ200" i="8"/>
  <c r="AQ201" i="8"/>
  <c r="AQ202" i="8"/>
  <c r="AQ203" i="8"/>
  <c r="AQ204" i="8"/>
  <c r="AQ205" i="8"/>
  <c r="AQ206" i="8"/>
  <c r="AQ207" i="8"/>
  <c r="AQ208" i="8"/>
  <c r="AQ209" i="8"/>
  <c r="AQ210" i="8"/>
  <c r="AQ211" i="8"/>
  <c r="AQ212" i="8"/>
  <c r="AQ213" i="8"/>
  <c r="AQ214" i="8"/>
  <c r="AQ215" i="8"/>
  <c r="AQ216" i="8"/>
  <c r="AQ217" i="8"/>
  <c r="AQ218" i="8"/>
  <c r="AQ219" i="8"/>
  <c r="AQ220" i="8"/>
  <c r="AQ221" i="8"/>
  <c r="AQ222" i="8"/>
  <c r="AQ223" i="8"/>
  <c r="AQ224" i="8"/>
  <c r="AQ225" i="8"/>
  <c r="AQ226" i="8"/>
  <c r="AQ227" i="8"/>
  <c r="AQ228" i="8"/>
  <c r="AQ229" i="8"/>
  <c r="AQ230" i="8"/>
  <c r="AQ231" i="8"/>
  <c r="AQ232" i="8"/>
  <c r="AQ233" i="8"/>
  <c r="AQ234" i="8"/>
  <c r="AQ235" i="8"/>
  <c r="AQ236" i="8"/>
  <c r="AQ237" i="8"/>
  <c r="AQ238" i="8"/>
  <c r="AQ239" i="8"/>
  <c r="AQ240" i="8"/>
  <c r="AQ241" i="8"/>
  <c r="AQ242" i="8"/>
  <c r="AQ243" i="8"/>
  <c r="AQ244" i="8"/>
  <c r="AQ245" i="8"/>
  <c r="AQ246" i="8"/>
  <c r="AQ247" i="8"/>
  <c r="AQ248" i="8"/>
  <c r="AQ249" i="8"/>
  <c r="AQ250" i="8"/>
  <c r="AQ251" i="8"/>
  <c r="AQ252" i="8"/>
  <c r="AQ253" i="8"/>
  <c r="AQ254" i="8"/>
  <c r="AQ255" i="8"/>
  <c r="AQ256" i="8"/>
  <c r="AQ257" i="8"/>
  <c r="AQ258" i="8"/>
  <c r="AQ259" i="8"/>
  <c r="AQ260" i="8"/>
  <c r="AQ261" i="8"/>
  <c r="AQ262" i="8"/>
  <c r="AQ263" i="8"/>
  <c r="AQ264" i="8"/>
  <c r="AQ265" i="8"/>
  <c r="AQ266" i="8"/>
  <c r="AQ267" i="8"/>
  <c r="AQ268" i="8"/>
  <c r="AQ269" i="8"/>
  <c r="AQ270" i="8"/>
  <c r="AQ271" i="8"/>
  <c r="AQ272" i="8"/>
  <c r="AQ273" i="8"/>
  <c r="AQ274" i="8"/>
  <c r="AQ2" i="8"/>
  <c r="AO54" i="8"/>
  <c r="AP54" i="8"/>
  <c r="AO55" i="8"/>
  <c r="AP55" i="8"/>
  <c r="AO56" i="8"/>
  <c r="AP56" i="8"/>
  <c r="AO57" i="8"/>
  <c r="AP57" i="8"/>
  <c r="AO58" i="8"/>
  <c r="AP58" i="8"/>
  <c r="AO59" i="8"/>
  <c r="AP59" i="8"/>
  <c r="AO60" i="8"/>
  <c r="AP60" i="8"/>
  <c r="AO61" i="8"/>
  <c r="AP61" i="8"/>
  <c r="AO62" i="8"/>
  <c r="AP62" i="8"/>
  <c r="AO63" i="8"/>
  <c r="AP63" i="8"/>
  <c r="AO64" i="8"/>
  <c r="AP64" i="8"/>
  <c r="AO65" i="8"/>
  <c r="AP65" i="8"/>
  <c r="AO66" i="8"/>
  <c r="AP66" i="8"/>
  <c r="AO67" i="8"/>
  <c r="AP67" i="8"/>
  <c r="AO68" i="8"/>
  <c r="AP68" i="8"/>
  <c r="AO69" i="8"/>
  <c r="AP69" i="8"/>
  <c r="AO70" i="8"/>
  <c r="AP70" i="8"/>
  <c r="AO71" i="8"/>
  <c r="AP71" i="8"/>
  <c r="AO72" i="8"/>
  <c r="AP72" i="8"/>
  <c r="AO73" i="8"/>
  <c r="AP73" i="8"/>
  <c r="AO74" i="8"/>
  <c r="AP74" i="8"/>
  <c r="AO75" i="8"/>
  <c r="AP75" i="8"/>
  <c r="AO76" i="8"/>
  <c r="AP76" i="8"/>
  <c r="AO77" i="8"/>
  <c r="AP77" i="8"/>
  <c r="AO78" i="8"/>
  <c r="AP78" i="8"/>
  <c r="AO79" i="8"/>
  <c r="AP79" i="8"/>
  <c r="AO80" i="8"/>
  <c r="AP80" i="8"/>
  <c r="AO81" i="8"/>
  <c r="AP81" i="8"/>
  <c r="AO82" i="8"/>
  <c r="AP82" i="8"/>
  <c r="AO83" i="8"/>
  <c r="AP83" i="8"/>
  <c r="AO84" i="8"/>
  <c r="AP84" i="8"/>
  <c r="AO85" i="8"/>
  <c r="AP85" i="8"/>
  <c r="AO86" i="8"/>
  <c r="AP86" i="8"/>
  <c r="AO87" i="8"/>
  <c r="AP87" i="8"/>
  <c r="AO88" i="8"/>
  <c r="AP88" i="8"/>
  <c r="AO89" i="8"/>
  <c r="AP89" i="8"/>
  <c r="AO90" i="8"/>
  <c r="AP90" i="8"/>
  <c r="AO91" i="8"/>
  <c r="AP91" i="8"/>
  <c r="AO92" i="8"/>
  <c r="AP92" i="8"/>
  <c r="AO93" i="8"/>
  <c r="AP93" i="8"/>
  <c r="AO94" i="8"/>
  <c r="AP94" i="8"/>
  <c r="AO95" i="8"/>
  <c r="AP95" i="8"/>
  <c r="AO96" i="8"/>
  <c r="AP96" i="8"/>
  <c r="AO97" i="8"/>
  <c r="AP97" i="8"/>
  <c r="AO98" i="8"/>
  <c r="AP98" i="8"/>
  <c r="AO99" i="8"/>
  <c r="AP99" i="8"/>
  <c r="AO100" i="8"/>
  <c r="AP100" i="8"/>
  <c r="AO101" i="8"/>
  <c r="AP101" i="8"/>
  <c r="AO102" i="8"/>
  <c r="AP102" i="8"/>
  <c r="AO103" i="8"/>
  <c r="AP103" i="8"/>
  <c r="AO104" i="8"/>
  <c r="AP104" i="8"/>
  <c r="AO105" i="8"/>
  <c r="AP105" i="8"/>
  <c r="AO106" i="8"/>
  <c r="AP106" i="8"/>
  <c r="AO107" i="8"/>
  <c r="AP107" i="8"/>
  <c r="AO108" i="8"/>
  <c r="AP108" i="8"/>
  <c r="AO109" i="8"/>
  <c r="AP109" i="8"/>
  <c r="AO110" i="8"/>
  <c r="AP110" i="8"/>
  <c r="AO111" i="8"/>
  <c r="AP111" i="8"/>
  <c r="AO112" i="8"/>
  <c r="AP112" i="8"/>
  <c r="AO113" i="8"/>
  <c r="AP113" i="8"/>
  <c r="AO114" i="8"/>
  <c r="AP114" i="8"/>
  <c r="AO115" i="8"/>
  <c r="AP115" i="8"/>
  <c r="AO116" i="8"/>
  <c r="AP116" i="8"/>
  <c r="AO117" i="8"/>
  <c r="AP117" i="8"/>
  <c r="AO118" i="8"/>
  <c r="AP118" i="8"/>
  <c r="AO119" i="8"/>
  <c r="AP119" i="8"/>
  <c r="AO120" i="8"/>
  <c r="AP120" i="8"/>
  <c r="AO121" i="8"/>
  <c r="AP121" i="8"/>
  <c r="AO122" i="8"/>
  <c r="AP122" i="8"/>
  <c r="AO123" i="8"/>
  <c r="AP123" i="8"/>
  <c r="AO124" i="8"/>
  <c r="AP124" i="8"/>
  <c r="AO125" i="8"/>
  <c r="AP125" i="8"/>
  <c r="AO126" i="8"/>
  <c r="AP126" i="8"/>
  <c r="AO127" i="8"/>
  <c r="AP127" i="8"/>
  <c r="AO128" i="8"/>
  <c r="AP128" i="8"/>
  <c r="AO129" i="8"/>
  <c r="AP129" i="8"/>
  <c r="AO130" i="8"/>
  <c r="AP130" i="8"/>
  <c r="AO131" i="8"/>
  <c r="AP131" i="8"/>
  <c r="AO132" i="8"/>
  <c r="AP132" i="8"/>
  <c r="AO133" i="8"/>
  <c r="AP133" i="8"/>
  <c r="AO134" i="8"/>
  <c r="AP134" i="8"/>
  <c r="AO135" i="8"/>
  <c r="AP135" i="8"/>
  <c r="AO136" i="8"/>
  <c r="AP136" i="8"/>
  <c r="AO137" i="8"/>
  <c r="AP137" i="8"/>
  <c r="AO138" i="8"/>
  <c r="AP138" i="8"/>
  <c r="AO139" i="8"/>
  <c r="AP139" i="8"/>
  <c r="AO140" i="8"/>
  <c r="AP140" i="8"/>
  <c r="AO141" i="8"/>
  <c r="AP141" i="8"/>
  <c r="AO142" i="8"/>
  <c r="AP142" i="8"/>
  <c r="AO143" i="8"/>
  <c r="AP143" i="8"/>
  <c r="AO144" i="8"/>
  <c r="AP144" i="8"/>
  <c r="AO145" i="8"/>
  <c r="AP145" i="8"/>
  <c r="AO146" i="8"/>
  <c r="AP146" i="8"/>
  <c r="AO147" i="8"/>
  <c r="AP147" i="8"/>
  <c r="AO148" i="8"/>
  <c r="AP148" i="8"/>
  <c r="AO149" i="8"/>
  <c r="AP149" i="8"/>
  <c r="AO150" i="8"/>
  <c r="AP150" i="8"/>
  <c r="AO151" i="8"/>
  <c r="AP151" i="8"/>
  <c r="AO152" i="8"/>
  <c r="AP152" i="8"/>
  <c r="AO153" i="8"/>
  <c r="AP153" i="8"/>
  <c r="AO154" i="8"/>
  <c r="AP154" i="8"/>
  <c r="AO155" i="8"/>
  <c r="AP155" i="8"/>
  <c r="AO156" i="8"/>
  <c r="AP156" i="8"/>
  <c r="AO157" i="8"/>
  <c r="AP157" i="8"/>
  <c r="AO158" i="8"/>
  <c r="AP158" i="8"/>
  <c r="AO159" i="8"/>
  <c r="AP159" i="8"/>
  <c r="AO160" i="8"/>
  <c r="AP160" i="8"/>
  <c r="AO161" i="8"/>
  <c r="AP161" i="8"/>
  <c r="AO162" i="8"/>
  <c r="AP162" i="8"/>
  <c r="AO163" i="8"/>
  <c r="AP163" i="8"/>
  <c r="AO164" i="8"/>
  <c r="AP164" i="8"/>
  <c r="AO165" i="8"/>
  <c r="AP165" i="8"/>
  <c r="AO166" i="8"/>
  <c r="AP166" i="8"/>
  <c r="AO167" i="8"/>
  <c r="AP167" i="8"/>
  <c r="AO168" i="8"/>
  <c r="AP168" i="8"/>
  <c r="AO169" i="8"/>
  <c r="AP169" i="8"/>
  <c r="AO170" i="8"/>
  <c r="AP170" i="8"/>
  <c r="AO171" i="8"/>
  <c r="AP171" i="8"/>
  <c r="AO172" i="8"/>
  <c r="AP172" i="8"/>
  <c r="AO173" i="8"/>
  <c r="AP173" i="8"/>
  <c r="AO174" i="8"/>
  <c r="AP174" i="8"/>
  <c r="AO175" i="8"/>
  <c r="AP175" i="8"/>
  <c r="AO176" i="8"/>
  <c r="AP176" i="8"/>
  <c r="AO177" i="8"/>
  <c r="AP177" i="8"/>
  <c r="AO178" i="8"/>
  <c r="AP178" i="8"/>
  <c r="AO179" i="8"/>
  <c r="AP179" i="8"/>
  <c r="AO180" i="8"/>
  <c r="AP180" i="8"/>
  <c r="AO181" i="8"/>
  <c r="AP181" i="8"/>
  <c r="AO182" i="8"/>
  <c r="AP182" i="8"/>
  <c r="AO183" i="8"/>
  <c r="AP183" i="8"/>
  <c r="AO184" i="8"/>
  <c r="AP184" i="8"/>
  <c r="AO185" i="8"/>
  <c r="AP185" i="8"/>
  <c r="AO186" i="8"/>
  <c r="AP186" i="8"/>
  <c r="AO187" i="8"/>
  <c r="AP187" i="8"/>
  <c r="AO188" i="8"/>
  <c r="AP188" i="8"/>
  <c r="AO189" i="8"/>
  <c r="AP189" i="8"/>
  <c r="AO190" i="8"/>
  <c r="AP190" i="8"/>
  <c r="AO191" i="8"/>
  <c r="AP191" i="8"/>
  <c r="AO192" i="8"/>
  <c r="AP192" i="8"/>
  <c r="AO193" i="8"/>
  <c r="AP193" i="8"/>
  <c r="AO194" i="8"/>
  <c r="AP194" i="8"/>
  <c r="AO195" i="8"/>
  <c r="AP195" i="8"/>
  <c r="AO196" i="8"/>
  <c r="AP196" i="8"/>
  <c r="AO197" i="8"/>
  <c r="AP197" i="8"/>
  <c r="AO198" i="8"/>
  <c r="AP198" i="8"/>
  <c r="AO199" i="8"/>
  <c r="AP199" i="8"/>
  <c r="AO200" i="8"/>
  <c r="AP200" i="8"/>
  <c r="AO201" i="8"/>
  <c r="AP201" i="8"/>
  <c r="AO202" i="8"/>
  <c r="AP202" i="8"/>
  <c r="AO203" i="8"/>
  <c r="AP203" i="8"/>
  <c r="AO204" i="8"/>
  <c r="AP204" i="8"/>
  <c r="AO205" i="8"/>
  <c r="AP205" i="8"/>
  <c r="AO206" i="8"/>
  <c r="AP206" i="8"/>
  <c r="AO207" i="8"/>
  <c r="AP207" i="8"/>
  <c r="AO208" i="8"/>
  <c r="AP208" i="8"/>
  <c r="AO209" i="8"/>
  <c r="AP209" i="8"/>
  <c r="AO210" i="8"/>
  <c r="AP210" i="8"/>
  <c r="AO211" i="8"/>
  <c r="AP211" i="8"/>
  <c r="AO212" i="8"/>
  <c r="AP212" i="8"/>
  <c r="AO213" i="8"/>
  <c r="AP213" i="8"/>
  <c r="AO214" i="8"/>
  <c r="AP214" i="8"/>
  <c r="AO215" i="8"/>
  <c r="AP215" i="8"/>
  <c r="AO216" i="8"/>
  <c r="AP216" i="8"/>
  <c r="AO217" i="8"/>
  <c r="AP217" i="8"/>
  <c r="AO218" i="8"/>
  <c r="AP218" i="8"/>
  <c r="AO219" i="8"/>
  <c r="AP219" i="8"/>
  <c r="AO220" i="8"/>
  <c r="AP220" i="8"/>
  <c r="AO221" i="8"/>
  <c r="AP221" i="8"/>
  <c r="AO222" i="8"/>
  <c r="AP222" i="8"/>
  <c r="AO223" i="8"/>
  <c r="AP223" i="8"/>
  <c r="AO224" i="8"/>
  <c r="AP224" i="8"/>
  <c r="AO225" i="8"/>
  <c r="AP225" i="8"/>
  <c r="AO226" i="8"/>
  <c r="AP226" i="8"/>
  <c r="AO227" i="8"/>
  <c r="AP227" i="8"/>
  <c r="AO228" i="8"/>
  <c r="AP228" i="8"/>
  <c r="AO229" i="8"/>
  <c r="AP229" i="8"/>
  <c r="AO230" i="8"/>
  <c r="AP230" i="8"/>
  <c r="AO231" i="8"/>
  <c r="AP231" i="8"/>
  <c r="AO232" i="8"/>
  <c r="AP232" i="8"/>
  <c r="AO233" i="8"/>
  <c r="AP233" i="8"/>
  <c r="AO234" i="8"/>
  <c r="AP234" i="8"/>
  <c r="AO235" i="8"/>
  <c r="AP235" i="8"/>
  <c r="AO236" i="8"/>
  <c r="AP236" i="8"/>
  <c r="AO237" i="8"/>
  <c r="AP237" i="8"/>
  <c r="AO238" i="8"/>
  <c r="AP238" i="8"/>
  <c r="AO239" i="8"/>
  <c r="AP239" i="8"/>
  <c r="AO240" i="8"/>
  <c r="AP240" i="8"/>
  <c r="AO241" i="8"/>
  <c r="AP241" i="8"/>
  <c r="AO242" i="8"/>
  <c r="AP242" i="8"/>
  <c r="AO243" i="8"/>
  <c r="AP243" i="8"/>
  <c r="AO244" i="8"/>
  <c r="AP244" i="8"/>
  <c r="AO245" i="8"/>
  <c r="AP245" i="8"/>
  <c r="AO246" i="8"/>
  <c r="AP246" i="8"/>
  <c r="AO247" i="8"/>
  <c r="AP247" i="8"/>
  <c r="AO248" i="8"/>
  <c r="AP248" i="8"/>
  <c r="AO249" i="8"/>
  <c r="AP249" i="8"/>
  <c r="AO250" i="8"/>
  <c r="AP250" i="8"/>
  <c r="AO251" i="8"/>
  <c r="AP251" i="8"/>
  <c r="AO252" i="8"/>
  <c r="AP252" i="8"/>
  <c r="AO253" i="8"/>
  <c r="AP253" i="8"/>
  <c r="AO254" i="8"/>
  <c r="AP254" i="8"/>
  <c r="AO255" i="8"/>
  <c r="AP255" i="8"/>
  <c r="AO256" i="8"/>
  <c r="AP256" i="8"/>
  <c r="AO257" i="8"/>
  <c r="AP257" i="8"/>
  <c r="AO258" i="8"/>
  <c r="AP258" i="8"/>
  <c r="AO259" i="8"/>
  <c r="AP259" i="8"/>
  <c r="AO260" i="8"/>
  <c r="AP260" i="8"/>
  <c r="AO261" i="8"/>
  <c r="AP261" i="8"/>
  <c r="AO262" i="8"/>
  <c r="AP262" i="8"/>
  <c r="AO263" i="8"/>
  <c r="AP263" i="8"/>
  <c r="AO264" i="8"/>
  <c r="AP264" i="8"/>
  <c r="AO265" i="8"/>
  <c r="AP265" i="8"/>
  <c r="AO266" i="8"/>
  <c r="AP266" i="8"/>
  <c r="AO267" i="8"/>
  <c r="AP267" i="8"/>
  <c r="AO268" i="8"/>
  <c r="AP268" i="8"/>
  <c r="AO269" i="8"/>
  <c r="AP269" i="8"/>
  <c r="AO270" i="8"/>
  <c r="AP270" i="8"/>
  <c r="AO271" i="8"/>
  <c r="AP271" i="8"/>
  <c r="AO272" i="8"/>
  <c r="AP272" i="8"/>
  <c r="AO273" i="8"/>
  <c r="AP273" i="8"/>
  <c r="AO274" i="8"/>
  <c r="AP274" i="8"/>
  <c r="AP53" i="8"/>
  <c r="AO53" i="8"/>
  <c r="AP52" i="8"/>
  <c r="AO52" i="8"/>
  <c r="AP51" i="8"/>
  <c r="AO51" i="8"/>
  <c r="AP50" i="8"/>
  <c r="AO50" i="8"/>
  <c r="AP49" i="8"/>
  <c r="AO49" i="8"/>
  <c r="AP48" i="8"/>
  <c r="AO48" i="8"/>
  <c r="AP47" i="8"/>
  <c r="AO47" i="8"/>
  <c r="AP46" i="8"/>
  <c r="AO46" i="8"/>
  <c r="AP45" i="8"/>
  <c r="AO45" i="8"/>
  <c r="AP44" i="8"/>
  <c r="AO44" i="8"/>
  <c r="AP43" i="8"/>
  <c r="AO43" i="8"/>
  <c r="AP42" i="8"/>
  <c r="AO42" i="8"/>
  <c r="AP41" i="8"/>
  <c r="AO41" i="8"/>
  <c r="AP40" i="8"/>
  <c r="AO40" i="8"/>
  <c r="AP39" i="8"/>
  <c r="AO39" i="8"/>
  <c r="AP38" i="8"/>
  <c r="AO38" i="8"/>
  <c r="AP37" i="8"/>
  <c r="AO37" i="8"/>
  <c r="AP36" i="8"/>
  <c r="AO36" i="8"/>
  <c r="AP35" i="8"/>
  <c r="AO35" i="8"/>
  <c r="AP34" i="8"/>
  <c r="AO34" i="8"/>
  <c r="AP33" i="8"/>
  <c r="AO33" i="8"/>
  <c r="AP32" i="8"/>
  <c r="AO32" i="8"/>
  <c r="AP31" i="8"/>
  <c r="AO31" i="8"/>
  <c r="AP30" i="8"/>
  <c r="AO30" i="8"/>
  <c r="AP29" i="8"/>
  <c r="AO29" i="8"/>
  <c r="AP28" i="8"/>
  <c r="AO28" i="8"/>
  <c r="AP27" i="8"/>
  <c r="AO27" i="8"/>
  <c r="AP26" i="8"/>
  <c r="AO26" i="8"/>
  <c r="AP25" i="8"/>
  <c r="AO25" i="8"/>
  <c r="AP24" i="8"/>
  <c r="AO24" i="8"/>
  <c r="AP23" i="8"/>
  <c r="AO23" i="8"/>
  <c r="AP22" i="8"/>
  <c r="AO22" i="8"/>
  <c r="AP21" i="8"/>
  <c r="AO21" i="8"/>
  <c r="AP20" i="8"/>
  <c r="AO20" i="8"/>
  <c r="AP19" i="8"/>
  <c r="AO19" i="8"/>
  <c r="AP18" i="8"/>
  <c r="AO18" i="8"/>
  <c r="AP17" i="8"/>
  <c r="AO17" i="8"/>
  <c r="AP16" i="8"/>
  <c r="AO16" i="8"/>
  <c r="AP15" i="8"/>
  <c r="AO15" i="8"/>
  <c r="AP14" i="8"/>
  <c r="AO14" i="8"/>
  <c r="AP13" i="8"/>
  <c r="AO13" i="8"/>
  <c r="AP12" i="8"/>
  <c r="AO12" i="8"/>
  <c r="AP11" i="8"/>
  <c r="AO11" i="8"/>
  <c r="AP10" i="8"/>
  <c r="AO10" i="8"/>
  <c r="AP9" i="8"/>
  <c r="AO9" i="8"/>
  <c r="AP8" i="8"/>
  <c r="AO8" i="8"/>
  <c r="AP7" i="8"/>
  <c r="AO7" i="8"/>
  <c r="AP6" i="8"/>
  <c r="AO6" i="8"/>
  <c r="AP5" i="8"/>
  <c r="AO5" i="8"/>
  <c r="AP4" i="8"/>
  <c r="AO4" i="8"/>
  <c r="AP3" i="8"/>
  <c r="AO3" i="8"/>
  <c r="AP2" i="8"/>
  <c r="AO2" i="8"/>
  <c r="AQ1" i="8"/>
  <c r="AP1" i="8"/>
  <c r="O53" i="8"/>
  <c r="N53" i="8"/>
  <c r="M53" i="8"/>
  <c r="O52" i="8"/>
  <c r="N52" i="8"/>
  <c r="M52" i="8"/>
  <c r="O51" i="8"/>
  <c r="N51" i="8"/>
  <c r="M51" i="8"/>
  <c r="O50" i="8"/>
  <c r="N50" i="8"/>
  <c r="M50" i="8"/>
  <c r="O49" i="8"/>
  <c r="N49" i="8"/>
  <c r="M49" i="8"/>
  <c r="O48" i="8"/>
  <c r="N48" i="8"/>
  <c r="M48" i="8"/>
  <c r="O47" i="8"/>
  <c r="N47" i="8"/>
  <c r="M47" i="8"/>
  <c r="O46" i="8"/>
  <c r="N46" i="8"/>
  <c r="M46" i="8"/>
  <c r="O45" i="8"/>
  <c r="N45" i="8"/>
  <c r="M45" i="8"/>
  <c r="O44" i="8"/>
  <c r="N44" i="8"/>
  <c r="M44" i="8"/>
  <c r="O43" i="8"/>
  <c r="N43" i="8"/>
  <c r="M43" i="8"/>
  <c r="O42" i="8"/>
  <c r="N42" i="8"/>
  <c r="M42" i="8"/>
  <c r="O41" i="8"/>
  <c r="N41" i="8"/>
  <c r="M41" i="8"/>
  <c r="O40" i="8"/>
  <c r="N40" i="8"/>
  <c r="M40" i="8"/>
  <c r="O39" i="8"/>
  <c r="N39" i="8"/>
  <c r="M39" i="8"/>
  <c r="O38" i="8"/>
  <c r="N38" i="8"/>
  <c r="M38" i="8"/>
  <c r="O37" i="8"/>
  <c r="N37" i="8"/>
  <c r="M37" i="8"/>
  <c r="O36" i="8"/>
  <c r="N36" i="8"/>
  <c r="M36" i="8"/>
  <c r="O35" i="8"/>
  <c r="N35" i="8"/>
  <c r="M35" i="8"/>
  <c r="O34" i="8"/>
  <c r="N34" i="8"/>
  <c r="M34" i="8"/>
  <c r="O33" i="8"/>
  <c r="N33" i="8"/>
  <c r="M33" i="8"/>
  <c r="O32" i="8"/>
  <c r="N32" i="8"/>
  <c r="M32" i="8"/>
  <c r="O31" i="8"/>
  <c r="N31" i="8"/>
  <c r="M31" i="8"/>
  <c r="O30" i="8"/>
  <c r="N30" i="8"/>
  <c r="M30" i="8"/>
  <c r="O29" i="8"/>
  <c r="N29" i="8"/>
  <c r="M29" i="8"/>
  <c r="O28" i="8"/>
  <c r="N28" i="8"/>
  <c r="M28" i="8"/>
  <c r="O27" i="8"/>
  <c r="N27" i="8"/>
  <c r="M27" i="8"/>
  <c r="O26" i="8"/>
  <c r="N26" i="8"/>
  <c r="M26" i="8"/>
  <c r="O25" i="8"/>
  <c r="N25" i="8"/>
  <c r="M25" i="8"/>
  <c r="O24" i="8"/>
  <c r="N24" i="8"/>
  <c r="M24" i="8"/>
  <c r="O23" i="8"/>
  <c r="N23" i="8"/>
  <c r="M23" i="8"/>
  <c r="O22" i="8"/>
  <c r="N22" i="8"/>
  <c r="M22" i="8"/>
  <c r="O21" i="8"/>
  <c r="N21" i="8"/>
  <c r="M21" i="8"/>
  <c r="O20" i="8"/>
  <c r="N20" i="8"/>
  <c r="M20" i="8"/>
  <c r="O19" i="8"/>
  <c r="N19" i="8"/>
  <c r="M19" i="8"/>
  <c r="O18" i="8"/>
  <c r="N18" i="8"/>
  <c r="M18" i="8"/>
  <c r="O17" i="8"/>
  <c r="N17" i="8"/>
  <c r="M17" i="8"/>
  <c r="O16" i="8"/>
  <c r="N16" i="8"/>
  <c r="M16" i="8"/>
  <c r="O15" i="8"/>
  <c r="N15" i="8"/>
  <c r="M15" i="8"/>
  <c r="O14" i="8"/>
  <c r="N14" i="8"/>
  <c r="M14" i="8"/>
  <c r="O13" i="8"/>
  <c r="N13" i="8"/>
  <c r="M13" i="8"/>
  <c r="O12" i="8"/>
  <c r="N12" i="8"/>
  <c r="M12" i="8"/>
  <c r="O11" i="8"/>
  <c r="N11" i="8"/>
  <c r="M11" i="8"/>
  <c r="O10" i="8"/>
  <c r="N10" i="8"/>
  <c r="M10" i="8"/>
  <c r="O9" i="8"/>
  <c r="N9" i="8"/>
  <c r="M9" i="8"/>
  <c r="O8" i="8"/>
  <c r="N8" i="8"/>
  <c r="M8" i="8"/>
  <c r="O7" i="8"/>
  <c r="N7" i="8"/>
  <c r="M7" i="8"/>
  <c r="O6" i="8"/>
  <c r="N6" i="8"/>
  <c r="M6" i="8"/>
  <c r="O5" i="8"/>
  <c r="N5" i="8"/>
  <c r="M5" i="8"/>
  <c r="O4" i="8"/>
  <c r="N4" i="8"/>
  <c r="M4" i="8"/>
  <c r="O3" i="8"/>
  <c r="N3" i="8"/>
  <c r="M3" i="8"/>
  <c r="O2" i="8"/>
  <c r="N2" i="8"/>
  <c r="M2" i="8"/>
  <c r="O1" i="8"/>
  <c r="N1" i="8"/>
  <c r="O53" i="7"/>
  <c r="N53" i="7"/>
  <c r="M53" i="7"/>
  <c r="O52" i="7"/>
  <c r="N52" i="7"/>
  <c r="M52" i="7"/>
  <c r="O51" i="7"/>
  <c r="N51" i="7"/>
  <c r="M51" i="7"/>
  <c r="O50" i="7"/>
  <c r="N50" i="7"/>
  <c r="M50" i="7"/>
  <c r="O49" i="7"/>
  <c r="N49" i="7"/>
  <c r="M49" i="7"/>
  <c r="O48" i="7"/>
  <c r="N48" i="7"/>
  <c r="M48" i="7"/>
  <c r="O47" i="7"/>
  <c r="N47" i="7"/>
  <c r="M47" i="7"/>
  <c r="O46" i="7"/>
  <c r="N46" i="7"/>
  <c r="M46" i="7"/>
  <c r="O45" i="7"/>
  <c r="N45" i="7"/>
  <c r="M45" i="7"/>
  <c r="O44" i="7"/>
  <c r="N44" i="7"/>
  <c r="M44" i="7"/>
  <c r="O43" i="7"/>
  <c r="N43" i="7"/>
  <c r="M43" i="7"/>
  <c r="O42" i="7"/>
  <c r="N42" i="7"/>
  <c r="M42" i="7"/>
  <c r="O41" i="7"/>
  <c r="N41" i="7"/>
  <c r="M41" i="7"/>
  <c r="O40" i="7"/>
  <c r="N40" i="7"/>
  <c r="M40" i="7"/>
  <c r="O39" i="7"/>
  <c r="N39" i="7"/>
  <c r="M39" i="7"/>
  <c r="O38" i="7"/>
  <c r="N38" i="7"/>
  <c r="M38" i="7"/>
  <c r="O37" i="7"/>
  <c r="N37" i="7"/>
  <c r="M37" i="7"/>
  <c r="O36" i="7"/>
  <c r="N36" i="7"/>
  <c r="M36" i="7"/>
  <c r="O35" i="7"/>
  <c r="N35" i="7"/>
  <c r="M35" i="7"/>
  <c r="O34" i="7"/>
  <c r="N34" i="7"/>
  <c r="M34" i="7"/>
  <c r="O33" i="7"/>
  <c r="N33" i="7"/>
  <c r="M33" i="7"/>
  <c r="O32" i="7"/>
  <c r="N32" i="7"/>
  <c r="M32" i="7"/>
  <c r="O31" i="7"/>
  <c r="N31" i="7"/>
  <c r="M31" i="7"/>
  <c r="O30" i="7"/>
  <c r="N30" i="7"/>
  <c r="M30" i="7"/>
  <c r="O29" i="7"/>
  <c r="N29" i="7"/>
  <c r="M29" i="7"/>
  <c r="O28" i="7"/>
  <c r="N28" i="7"/>
  <c r="M28" i="7"/>
  <c r="O27" i="7"/>
  <c r="N27" i="7"/>
  <c r="M27" i="7"/>
  <c r="O26" i="7"/>
  <c r="N26" i="7"/>
  <c r="M26" i="7"/>
  <c r="O25" i="7"/>
  <c r="N25" i="7"/>
  <c r="M25" i="7"/>
  <c r="O24" i="7"/>
  <c r="N24" i="7"/>
  <c r="M24" i="7"/>
  <c r="O23" i="7"/>
  <c r="N23" i="7"/>
  <c r="M23" i="7"/>
  <c r="O22" i="7"/>
  <c r="N22" i="7"/>
  <c r="M22" i="7"/>
  <c r="O21" i="7"/>
  <c r="N21" i="7"/>
  <c r="M21" i="7"/>
  <c r="O20" i="7"/>
  <c r="N20" i="7"/>
  <c r="M20" i="7"/>
  <c r="O19" i="7"/>
  <c r="N19" i="7"/>
  <c r="M19" i="7"/>
  <c r="O18" i="7"/>
  <c r="N18" i="7"/>
  <c r="M18" i="7"/>
  <c r="O17" i="7"/>
  <c r="N17" i="7"/>
  <c r="M17" i="7"/>
  <c r="O16" i="7"/>
  <c r="N16" i="7"/>
  <c r="M16" i="7"/>
  <c r="O15" i="7"/>
  <c r="N15" i="7"/>
  <c r="M15" i="7"/>
  <c r="O14" i="7"/>
  <c r="N14" i="7"/>
  <c r="M14" i="7"/>
  <c r="O13" i="7"/>
  <c r="N13" i="7"/>
  <c r="M13" i="7"/>
  <c r="O12" i="7"/>
  <c r="N12" i="7"/>
  <c r="M12" i="7"/>
  <c r="O11" i="7"/>
  <c r="N11" i="7"/>
  <c r="M11" i="7"/>
  <c r="O10" i="7"/>
  <c r="N10" i="7"/>
  <c r="M10" i="7"/>
  <c r="O9" i="7"/>
  <c r="N9" i="7"/>
  <c r="M9" i="7"/>
  <c r="O8" i="7"/>
  <c r="N8" i="7"/>
  <c r="M8" i="7"/>
  <c r="O7" i="7"/>
  <c r="N7" i="7"/>
  <c r="M7" i="7"/>
  <c r="O6" i="7"/>
  <c r="N6" i="7"/>
  <c r="M6" i="7"/>
  <c r="O5" i="7"/>
  <c r="N5" i="7"/>
  <c r="M5" i="7"/>
  <c r="O4" i="7"/>
  <c r="N4" i="7"/>
  <c r="M4" i="7"/>
  <c r="O3" i="7"/>
  <c r="N3" i="7"/>
  <c r="M3" i="7"/>
  <c r="O2" i="7"/>
  <c r="N2" i="7"/>
  <c r="M2" i="7"/>
  <c r="O1" i="7"/>
  <c r="N1" i="7"/>
  <c r="O53" i="6"/>
  <c r="N53" i="6"/>
  <c r="M53" i="6"/>
  <c r="O52" i="6"/>
  <c r="N52" i="6"/>
  <c r="M52" i="6"/>
  <c r="O51" i="6"/>
  <c r="N51" i="6"/>
  <c r="M51" i="6"/>
  <c r="O50" i="6"/>
  <c r="N50" i="6"/>
  <c r="M50" i="6"/>
  <c r="O49" i="6"/>
  <c r="N49" i="6"/>
  <c r="M49" i="6"/>
  <c r="O48" i="6"/>
  <c r="N48" i="6"/>
  <c r="M48" i="6"/>
  <c r="O47" i="6"/>
  <c r="N47" i="6"/>
  <c r="M47" i="6"/>
  <c r="O46" i="6"/>
  <c r="N46" i="6"/>
  <c r="M46" i="6"/>
  <c r="O45" i="6"/>
  <c r="N45" i="6"/>
  <c r="M45" i="6"/>
  <c r="O44" i="6"/>
  <c r="N44" i="6"/>
  <c r="M44" i="6"/>
  <c r="O43" i="6"/>
  <c r="N43" i="6"/>
  <c r="M43" i="6"/>
  <c r="O42" i="6"/>
  <c r="N42" i="6"/>
  <c r="M42" i="6"/>
  <c r="O41" i="6"/>
  <c r="N41" i="6"/>
  <c r="M41" i="6"/>
  <c r="O40" i="6"/>
  <c r="N40" i="6"/>
  <c r="M40" i="6"/>
  <c r="O39" i="6"/>
  <c r="N39" i="6"/>
  <c r="M39" i="6"/>
  <c r="O38" i="6"/>
  <c r="N38" i="6"/>
  <c r="M38" i="6"/>
  <c r="O37" i="6"/>
  <c r="N37" i="6"/>
  <c r="M37" i="6"/>
  <c r="O36" i="6"/>
  <c r="N36" i="6"/>
  <c r="M36" i="6"/>
  <c r="O35" i="6"/>
  <c r="N35" i="6"/>
  <c r="M35" i="6"/>
  <c r="O34" i="6"/>
  <c r="N34" i="6"/>
  <c r="M34" i="6"/>
  <c r="O33" i="6"/>
  <c r="N33" i="6"/>
  <c r="M33" i="6"/>
  <c r="O32" i="6"/>
  <c r="N32" i="6"/>
  <c r="M32" i="6"/>
  <c r="O31" i="6"/>
  <c r="N31" i="6"/>
  <c r="M31" i="6"/>
  <c r="O30" i="6"/>
  <c r="N30" i="6"/>
  <c r="M30" i="6"/>
  <c r="O29" i="6"/>
  <c r="N29" i="6"/>
  <c r="M29" i="6"/>
  <c r="O28" i="6"/>
  <c r="N28" i="6"/>
  <c r="M28" i="6"/>
  <c r="O27" i="6"/>
  <c r="N27" i="6"/>
  <c r="M27" i="6"/>
  <c r="O26" i="6"/>
  <c r="N26" i="6"/>
  <c r="M26" i="6"/>
  <c r="O25" i="6"/>
  <c r="N25" i="6"/>
  <c r="M25" i="6"/>
  <c r="O24" i="6"/>
  <c r="N24" i="6"/>
  <c r="M24" i="6"/>
  <c r="O23" i="6"/>
  <c r="N23" i="6"/>
  <c r="M23" i="6"/>
  <c r="O22" i="6"/>
  <c r="N22" i="6"/>
  <c r="M22" i="6"/>
  <c r="O21" i="6"/>
  <c r="N21" i="6"/>
  <c r="M21" i="6"/>
  <c r="O20" i="6"/>
  <c r="N20" i="6"/>
  <c r="M20" i="6"/>
  <c r="O19" i="6"/>
  <c r="N19" i="6"/>
  <c r="M19" i="6"/>
  <c r="O18" i="6"/>
  <c r="N18" i="6"/>
  <c r="M18" i="6"/>
  <c r="O17" i="6"/>
  <c r="N17" i="6"/>
  <c r="M17" i="6"/>
  <c r="O16" i="6"/>
  <c r="N16" i="6"/>
  <c r="M16" i="6"/>
  <c r="O15" i="6"/>
  <c r="N15" i="6"/>
  <c r="M15" i="6"/>
  <c r="O14" i="6"/>
  <c r="N14" i="6"/>
  <c r="M14" i="6"/>
  <c r="O13" i="6"/>
  <c r="N13" i="6"/>
  <c r="M13" i="6"/>
  <c r="O12" i="6"/>
  <c r="N12" i="6"/>
  <c r="M12" i="6"/>
  <c r="O11" i="6"/>
  <c r="N11" i="6"/>
  <c r="M11" i="6"/>
  <c r="O10" i="6"/>
  <c r="N10" i="6"/>
  <c r="M10" i="6"/>
  <c r="O9" i="6"/>
  <c r="N9" i="6"/>
  <c r="M9" i="6"/>
  <c r="O8" i="6"/>
  <c r="N8" i="6"/>
  <c r="M8" i="6"/>
  <c r="O7" i="6"/>
  <c r="N7" i="6"/>
  <c r="M7" i="6"/>
  <c r="O6" i="6"/>
  <c r="N6" i="6"/>
  <c r="M6" i="6"/>
  <c r="O5" i="6"/>
  <c r="N5" i="6"/>
  <c r="M5" i="6"/>
  <c r="O4" i="6"/>
  <c r="N4" i="6"/>
  <c r="M4" i="6"/>
  <c r="O3" i="6"/>
  <c r="N3" i="6"/>
  <c r="M3" i="6"/>
  <c r="O2" i="6"/>
  <c r="N2" i="6"/>
  <c r="M2" i="6"/>
  <c r="O1" i="6"/>
  <c r="N1" i="6"/>
  <c r="M3" i="5"/>
  <c r="N3" i="5"/>
  <c r="O3" i="5"/>
  <c r="M4" i="5"/>
  <c r="N4" i="5"/>
  <c r="O4" i="5"/>
  <c r="M5" i="5"/>
  <c r="N5" i="5"/>
  <c r="O5" i="5"/>
  <c r="M6" i="5"/>
  <c r="N6" i="5"/>
  <c r="O6" i="5"/>
  <c r="M7" i="5"/>
  <c r="N7" i="5"/>
  <c r="O7" i="5"/>
  <c r="M8" i="5"/>
  <c r="N8" i="5"/>
  <c r="O8" i="5"/>
  <c r="M9" i="5"/>
  <c r="N9" i="5"/>
  <c r="O9" i="5"/>
  <c r="M10" i="5"/>
  <c r="N10" i="5"/>
  <c r="O10" i="5"/>
  <c r="M11" i="5"/>
  <c r="N11" i="5"/>
  <c r="O11" i="5"/>
  <c r="M12" i="5"/>
  <c r="N12" i="5"/>
  <c r="O12" i="5"/>
  <c r="M13" i="5"/>
  <c r="N13" i="5"/>
  <c r="O13" i="5"/>
  <c r="M14" i="5"/>
  <c r="N14" i="5"/>
  <c r="O14" i="5"/>
  <c r="M15" i="5"/>
  <c r="N15" i="5"/>
  <c r="O15" i="5"/>
  <c r="M16" i="5"/>
  <c r="N16" i="5"/>
  <c r="O16" i="5"/>
  <c r="M17" i="5"/>
  <c r="N17" i="5"/>
  <c r="O17" i="5"/>
  <c r="M18" i="5"/>
  <c r="N18" i="5"/>
  <c r="O18" i="5"/>
  <c r="M19" i="5"/>
  <c r="N19" i="5"/>
  <c r="O19" i="5"/>
  <c r="M20" i="5"/>
  <c r="N20" i="5"/>
  <c r="O20" i="5"/>
  <c r="M21" i="5"/>
  <c r="N21" i="5"/>
  <c r="O21" i="5"/>
  <c r="M22" i="5"/>
  <c r="N22" i="5"/>
  <c r="O22" i="5"/>
  <c r="M23" i="5"/>
  <c r="N23" i="5"/>
  <c r="O23" i="5"/>
  <c r="M24" i="5"/>
  <c r="N24" i="5"/>
  <c r="O24" i="5"/>
  <c r="M25" i="5"/>
  <c r="N25" i="5"/>
  <c r="O25" i="5"/>
  <c r="M26" i="5"/>
  <c r="N26" i="5"/>
  <c r="O26" i="5"/>
  <c r="M27" i="5"/>
  <c r="N27" i="5"/>
  <c r="O27" i="5"/>
  <c r="M28" i="5"/>
  <c r="N28" i="5"/>
  <c r="O28" i="5"/>
  <c r="M29" i="5"/>
  <c r="N29" i="5"/>
  <c r="O29" i="5"/>
  <c r="M30" i="5"/>
  <c r="N30" i="5"/>
  <c r="O30" i="5"/>
  <c r="M31" i="5"/>
  <c r="N31" i="5"/>
  <c r="O31" i="5"/>
  <c r="M32" i="5"/>
  <c r="N32" i="5"/>
  <c r="O32" i="5"/>
  <c r="M33" i="5"/>
  <c r="N33" i="5"/>
  <c r="O33" i="5"/>
  <c r="M34" i="5"/>
  <c r="N34" i="5"/>
  <c r="O34" i="5"/>
  <c r="M35" i="5"/>
  <c r="N35" i="5"/>
  <c r="O35" i="5"/>
  <c r="M36" i="5"/>
  <c r="N36" i="5"/>
  <c r="O36" i="5"/>
  <c r="M37" i="5"/>
  <c r="N37" i="5"/>
  <c r="O37" i="5"/>
  <c r="M38" i="5"/>
  <c r="N38" i="5"/>
  <c r="O38" i="5"/>
  <c r="M39" i="5"/>
  <c r="N39" i="5"/>
  <c r="O39" i="5"/>
  <c r="M40" i="5"/>
  <c r="N40" i="5"/>
  <c r="O40" i="5"/>
  <c r="M41" i="5"/>
  <c r="N41" i="5"/>
  <c r="O41" i="5"/>
  <c r="M42" i="5"/>
  <c r="N42" i="5"/>
  <c r="O42" i="5"/>
  <c r="M43" i="5"/>
  <c r="N43" i="5"/>
  <c r="O43" i="5"/>
  <c r="M44" i="5"/>
  <c r="N44" i="5"/>
  <c r="O44" i="5"/>
  <c r="M45" i="5"/>
  <c r="N45" i="5"/>
  <c r="O45" i="5"/>
  <c r="M46" i="5"/>
  <c r="N46" i="5"/>
  <c r="O46" i="5"/>
  <c r="M47" i="5"/>
  <c r="N47" i="5"/>
  <c r="O47" i="5"/>
  <c r="M48" i="5"/>
  <c r="N48" i="5"/>
  <c r="O48" i="5"/>
  <c r="M49" i="5"/>
  <c r="N49" i="5"/>
  <c r="O49" i="5"/>
  <c r="M50" i="5"/>
  <c r="N50" i="5"/>
  <c r="O50" i="5"/>
  <c r="M51" i="5"/>
  <c r="N51" i="5"/>
  <c r="O51" i="5"/>
  <c r="M52" i="5"/>
  <c r="N52" i="5"/>
  <c r="O52" i="5"/>
  <c r="M53" i="5"/>
  <c r="N53" i="5"/>
  <c r="O53" i="5"/>
  <c r="O1" i="5"/>
  <c r="N1" i="5"/>
  <c r="O2" i="5"/>
  <c r="N2" i="5"/>
  <c r="M2" i="5"/>
</calcChain>
</file>

<file path=xl/sharedStrings.xml><?xml version="1.0" encoding="utf-8"?>
<sst xmlns="http://schemas.openxmlformats.org/spreadsheetml/2006/main" count="2580" uniqueCount="27">
  <si>
    <t>marketTicker</t>
  </si>
  <si>
    <t>asOf</t>
  </si>
  <si>
    <t>count(1)</t>
  </si>
  <si>
    <t>sum(p.schamBalance)</t>
  </si>
  <si>
    <t>cltv</t>
  </si>
  <si>
    <t>FNCL</t>
  </si>
  <si>
    <t>(NULL)</t>
  </si>
  <si>
    <t>FNCK</t>
  </si>
  <si>
    <t>FNCQ30</t>
  </si>
  <si>
    <t>FNCR</t>
  </si>
  <si>
    <t>Row Labels</t>
  </si>
  <si>
    <t>Grand Total</t>
  </si>
  <si>
    <t>tpo</t>
  </si>
  <si>
    <t>Sum of tpo</t>
  </si>
  <si>
    <t>FGLMC</t>
  </si>
  <si>
    <t>FGT6</t>
  </si>
  <si>
    <t>FGU6</t>
  </si>
  <si>
    <t>FGU9</t>
  </si>
  <si>
    <t>U9</t>
  </si>
  <si>
    <t>CR</t>
  </si>
  <si>
    <t>currLoanSize</t>
  </si>
  <si>
    <t>burnout</t>
  </si>
  <si>
    <t>refi_incentive</t>
  </si>
  <si>
    <t>origPMI</t>
  </si>
  <si>
    <t>currLLPA</t>
  </si>
  <si>
    <t>currPMI</t>
  </si>
  <si>
    <t>currMIP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</si>
</sst>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5" formatCode="_(* #,##0_);_(* \(#,##0\);_(* &quot;-&quot;??_);_(@_)"/>
    <numFmt numFmtId="166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165" fontId="0" fillId="0" borderId="0" xfId="1" applyNumberFormat="1" applyFont="1"/>
    <xf numFmtId="166" fontId="0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[FNMA_refinance_scaleDB_data_check.xlsx]tpo!PivotTable1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tpo!$J$3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tpo!$I$4:$I$277</c:f>
              <c:strCache>
                <c:ptCount val="273"/>
                <c:pt idx="0">
                  <c:v>2/1/1994</c:v>
                </c:pt>
                <c:pt idx="1">
                  <c:v>3/1/1994</c:v>
                </c:pt>
                <c:pt idx="2">
                  <c:v>4/1/1994</c:v>
                </c:pt>
                <c:pt idx="3">
                  <c:v>5/1/1994</c:v>
                </c:pt>
                <c:pt idx="4">
                  <c:v>6/1/1994</c:v>
                </c:pt>
                <c:pt idx="5">
                  <c:v>7/1/1994</c:v>
                </c:pt>
                <c:pt idx="6">
                  <c:v>8/1/1994</c:v>
                </c:pt>
                <c:pt idx="7">
                  <c:v>9/1/1994</c:v>
                </c:pt>
                <c:pt idx="8">
                  <c:v>10/1/1994</c:v>
                </c:pt>
                <c:pt idx="9">
                  <c:v>11/1/1994</c:v>
                </c:pt>
                <c:pt idx="10">
                  <c:v>12/1/1994</c:v>
                </c:pt>
                <c:pt idx="11">
                  <c:v>1/1/1995</c:v>
                </c:pt>
                <c:pt idx="12">
                  <c:v>2/1/1995</c:v>
                </c:pt>
                <c:pt idx="13">
                  <c:v>3/1/1995</c:v>
                </c:pt>
                <c:pt idx="14">
                  <c:v>4/1/1995</c:v>
                </c:pt>
                <c:pt idx="15">
                  <c:v>5/1/1995</c:v>
                </c:pt>
                <c:pt idx="16">
                  <c:v>6/1/1995</c:v>
                </c:pt>
                <c:pt idx="17">
                  <c:v>7/1/1995</c:v>
                </c:pt>
                <c:pt idx="18">
                  <c:v>8/1/1995</c:v>
                </c:pt>
                <c:pt idx="19">
                  <c:v>9/1/1995</c:v>
                </c:pt>
                <c:pt idx="20">
                  <c:v>10/1/1995</c:v>
                </c:pt>
                <c:pt idx="21">
                  <c:v>11/1/1995</c:v>
                </c:pt>
                <c:pt idx="22">
                  <c:v>12/1/1995</c:v>
                </c:pt>
                <c:pt idx="23">
                  <c:v>1/1/1996</c:v>
                </c:pt>
                <c:pt idx="24">
                  <c:v>2/1/1996</c:v>
                </c:pt>
                <c:pt idx="25">
                  <c:v>3/1/1996</c:v>
                </c:pt>
                <c:pt idx="26">
                  <c:v>4/1/1996</c:v>
                </c:pt>
                <c:pt idx="27">
                  <c:v>5/1/1996</c:v>
                </c:pt>
                <c:pt idx="28">
                  <c:v>6/1/1996</c:v>
                </c:pt>
                <c:pt idx="29">
                  <c:v>7/1/1996</c:v>
                </c:pt>
                <c:pt idx="30">
                  <c:v>8/1/1996</c:v>
                </c:pt>
                <c:pt idx="31">
                  <c:v>9/1/1996</c:v>
                </c:pt>
                <c:pt idx="32">
                  <c:v>10/1/1996</c:v>
                </c:pt>
                <c:pt idx="33">
                  <c:v>11/1/1996</c:v>
                </c:pt>
                <c:pt idx="34">
                  <c:v>12/1/1996</c:v>
                </c:pt>
                <c:pt idx="35">
                  <c:v>1/1/1997</c:v>
                </c:pt>
                <c:pt idx="36">
                  <c:v>2/1/1997</c:v>
                </c:pt>
                <c:pt idx="37">
                  <c:v>3/1/1997</c:v>
                </c:pt>
                <c:pt idx="38">
                  <c:v>4/1/1997</c:v>
                </c:pt>
                <c:pt idx="39">
                  <c:v>5/1/1997</c:v>
                </c:pt>
                <c:pt idx="40">
                  <c:v>6/1/1997</c:v>
                </c:pt>
                <c:pt idx="41">
                  <c:v>7/1/1997</c:v>
                </c:pt>
                <c:pt idx="42">
                  <c:v>8/1/1997</c:v>
                </c:pt>
                <c:pt idx="43">
                  <c:v>9/1/1997</c:v>
                </c:pt>
                <c:pt idx="44">
                  <c:v>10/1/1997</c:v>
                </c:pt>
                <c:pt idx="45">
                  <c:v>11/1/1997</c:v>
                </c:pt>
                <c:pt idx="46">
                  <c:v>12/1/1997</c:v>
                </c:pt>
                <c:pt idx="47">
                  <c:v>1/1/1998</c:v>
                </c:pt>
                <c:pt idx="48">
                  <c:v>2/1/1998</c:v>
                </c:pt>
                <c:pt idx="49">
                  <c:v>3/1/1998</c:v>
                </c:pt>
                <c:pt idx="50">
                  <c:v>4/1/1998</c:v>
                </c:pt>
                <c:pt idx="51">
                  <c:v>5/1/1998</c:v>
                </c:pt>
                <c:pt idx="52">
                  <c:v>6/1/1998</c:v>
                </c:pt>
                <c:pt idx="53">
                  <c:v>7/1/1998</c:v>
                </c:pt>
                <c:pt idx="54">
                  <c:v>8/1/1998</c:v>
                </c:pt>
                <c:pt idx="55">
                  <c:v>9/1/1998</c:v>
                </c:pt>
                <c:pt idx="56">
                  <c:v>10/1/1998</c:v>
                </c:pt>
                <c:pt idx="57">
                  <c:v>11/1/1998</c:v>
                </c:pt>
                <c:pt idx="58">
                  <c:v>12/1/1998</c:v>
                </c:pt>
                <c:pt idx="59">
                  <c:v>1/1/1999</c:v>
                </c:pt>
                <c:pt idx="60">
                  <c:v>2/1/1999</c:v>
                </c:pt>
                <c:pt idx="61">
                  <c:v>3/1/1999</c:v>
                </c:pt>
                <c:pt idx="62">
                  <c:v>4/1/1999</c:v>
                </c:pt>
                <c:pt idx="63">
                  <c:v>5/1/1999</c:v>
                </c:pt>
                <c:pt idx="64">
                  <c:v>6/1/1999</c:v>
                </c:pt>
                <c:pt idx="65">
                  <c:v>7/1/1999</c:v>
                </c:pt>
                <c:pt idx="66">
                  <c:v>8/1/1999</c:v>
                </c:pt>
                <c:pt idx="67">
                  <c:v>9/1/1999</c:v>
                </c:pt>
                <c:pt idx="68">
                  <c:v>10/1/1999</c:v>
                </c:pt>
                <c:pt idx="69">
                  <c:v>11/1/1999</c:v>
                </c:pt>
                <c:pt idx="70">
                  <c:v>12/1/1999</c:v>
                </c:pt>
                <c:pt idx="71">
                  <c:v>1/1/2000</c:v>
                </c:pt>
                <c:pt idx="72">
                  <c:v>2/1/2000</c:v>
                </c:pt>
                <c:pt idx="73">
                  <c:v>3/1/2000</c:v>
                </c:pt>
                <c:pt idx="74">
                  <c:v>4/1/2000</c:v>
                </c:pt>
                <c:pt idx="75">
                  <c:v>5/1/2000</c:v>
                </c:pt>
                <c:pt idx="76">
                  <c:v>6/1/2000</c:v>
                </c:pt>
                <c:pt idx="77">
                  <c:v>7/1/2000</c:v>
                </c:pt>
                <c:pt idx="78">
                  <c:v>8/1/2000</c:v>
                </c:pt>
                <c:pt idx="79">
                  <c:v>9/1/2000</c:v>
                </c:pt>
                <c:pt idx="80">
                  <c:v>10/1/2000</c:v>
                </c:pt>
                <c:pt idx="81">
                  <c:v>11/1/2000</c:v>
                </c:pt>
                <c:pt idx="82">
                  <c:v>12/1/2000</c:v>
                </c:pt>
                <c:pt idx="83">
                  <c:v>1/1/2001</c:v>
                </c:pt>
                <c:pt idx="84">
                  <c:v>2/1/2001</c:v>
                </c:pt>
                <c:pt idx="85">
                  <c:v>3/1/2001</c:v>
                </c:pt>
                <c:pt idx="86">
                  <c:v>4/1/2001</c:v>
                </c:pt>
                <c:pt idx="87">
                  <c:v>5/1/2001</c:v>
                </c:pt>
                <c:pt idx="88">
                  <c:v>6/1/2001</c:v>
                </c:pt>
                <c:pt idx="89">
                  <c:v>7/1/2001</c:v>
                </c:pt>
                <c:pt idx="90">
                  <c:v>8/1/2001</c:v>
                </c:pt>
                <c:pt idx="91">
                  <c:v>9/1/2001</c:v>
                </c:pt>
                <c:pt idx="92">
                  <c:v>10/1/2001</c:v>
                </c:pt>
                <c:pt idx="93">
                  <c:v>11/1/2001</c:v>
                </c:pt>
                <c:pt idx="94">
                  <c:v>12/1/2001</c:v>
                </c:pt>
                <c:pt idx="95">
                  <c:v>1/1/2002</c:v>
                </c:pt>
                <c:pt idx="96">
                  <c:v>2/1/2002</c:v>
                </c:pt>
                <c:pt idx="97">
                  <c:v>3/1/2002</c:v>
                </c:pt>
                <c:pt idx="98">
                  <c:v>4/1/2002</c:v>
                </c:pt>
                <c:pt idx="99">
                  <c:v>5/1/2002</c:v>
                </c:pt>
                <c:pt idx="100">
                  <c:v>6/1/2002</c:v>
                </c:pt>
                <c:pt idx="101">
                  <c:v>7/1/2002</c:v>
                </c:pt>
                <c:pt idx="102">
                  <c:v>8/1/2002</c:v>
                </c:pt>
                <c:pt idx="103">
                  <c:v>9/1/2002</c:v>
                </c:pt>
                <c:pt idx="104">
                  <c:v>10/1/2002</c:v>
                </c:pt>
                <c:pt idx="105">
                  <c:v>11/1/2002</c:v>
                </c:pt>
                <c:pt idx="106">
                  <c:v>12/1/2002</c:v>
                </c:pt>
                <c:pt idx="107">
                  <c:v>1/1/2003</c:v>
                </c:pt>
                <c:pt idx="108">
                  <c:v>2/1/2003</c:v>
                </c:pt>
                <c:pt idx="109">
                  <c:v>3/1/2003</c:v>
                </c:pt>
                <c:pt idx="110">
                  <c:v>4/1/2003</c:v>
                </c:pt>
                <c:pt idx="111">
                  <c:v>5/1/2003</c:v>
                </c:pt>
                <c:pt idx="112">
                  <c:v>6/1/2003</c:v>
                </c:pt>
                <c:pt idx="113">
                  <c:v>7/1/2003</c:v>
                </c:pt>
                <c:pt idx="114">
                  <c:v>8/1/2003</c:v>
                </c:pt>
                <c:pt idx="115">
                  <c:v>9/1/2003</c:v>
                </c:pt>
                <c:pt idx="116">
                  <c:v>10/1/2003</c:v>
                </c:pt>
                <c:pt idx="117">
                  <c:v>11/1/2003</c:v>
                </c:pt>
                <c:pt idx="118">
                  <c:v>12/1/2003</c:v>
                </c:pt>
                <c:pt idx="119">
                  <c:v>1/1/2004</c:v>
                </c:pt>
                <c:pt idx="120">
                  <c:v>2/1/2004</c:v>
                </c:pt>
                <c:pt idx="121">
                  <c:v>3/1/2004</c:v>
                </c:pt>
                <c:pt idx="122">
                  <c:v>4/1/2004</c:v>
                </c:pt>
                <c:pt idx="123">
                  <c:v>5/1/2004</c:v>
                </c:pt>
                <c:pt idx="124">
                  <c:v>6/1/2004</c:v>
                </c:pt>
                <c:pt idx="125">
                  <c:v>7/1/2004</c:v>
                </c:pt>
                <c:pt idx="126">
                  <c:v>8/1/2004</c:v>
                </c:pt>
                <c:pt idx="127">
                  <c:v>9/1/2004</c:v>
                </c:pt>
                <c:pt idx="128">
                  <c:v>10/1/2004</c:v>
                </c:pt>
                <c:pt idx="129">
                  <c:v>11/1/2004</c:v>
                </c:pt>
                <c:pt idx="130">
                  <c:v>12/1/2004</c:v>
                </c:pt>
                <c:pt idx="131">
                  <c:v>1/1/2005</c:v>
                </c:pt>
                <c:pt idx="132">
                  <c:v>2/1/2005</c:v>
                </c:pt>
                <c:pt idx="133">
                  <c:v>3/1/2005</c:v>
                </c:pt>
                <c:pt idx="134">
                  <c:v>4/1/2005</c:v>
                </c:pt>
                <c:pt idx="135">
                  <c:v>5/1/2005</c:v>
                </c:pt>
                <c:pt idx="136">
                  <c:v>6/1/2005</c:v>
                </c:pt>
                <c:pt idx="137">
                  <c:v>7/1/2005</c:v>
                </c:pt>
                <c:pt idx="138">
                  <c:v>8/1/2005</c:v>
                </c:pt>
                <c:pt idx="139">
                  <c:v>9/1/2005</c:v>
                </c:pt>
                <c:pt idx="140">
                  <c:v>10/1/2005</c:v>
                </c:pt>
                <c:pt idx="141">
                  <c:v>11/1/2005</c:v>
                </c:pt>
                <c:pt idx="142">
                  <c:v>12/1/2005</c:v>
                </c:pt>
                <c:pt idx="143">
                  <c:v>1/1/2006</c:v>
                </c:pt>
                <c:pt idx="144">
                  <c:v>2/1/2006</c:v>
                </c:pt>
                <c:pt idx="145">
                  <c:v>3/1/2006</c:v>
                </c:pt>
                <c:pt idx="146">
                  <c:v>4/1/2006</c:v>
                </c:pt>
                <c:pt idx="147">
                  <c:v>5/1/2006</c:v>
                </c:pt>
                <c:pt idx="148">
                  <c:v>6/1/2006</c:v>
                </c:pt>
                <c:pt idx="149">
                  <c:v>7/1/2006</c:v>
                </c:pt>
                <c:pt idx="150">
                  <c:v>8/1/2006</c:v>
                </c:pt>
                <c:pt idx="151">
                  <c:v>9/1/2006</c:v>
                </c:pt>
                <c:pt idx="152">
                  <c:v>10/1/2006</c:v>
                </c:pt>
                <c:pt idx="153">
                  <c:v>11/1/2006</c:v>
                </c:pt>
                <c:pt idx="154">
                  <c:v>12/1/2006</c:v>
                </c:pt>
                <c:pt idx="155">
                  <c:v>1/1/2007</c:v>
                </c:pt>
                <c:pt idx="156">
                  <c:v>2/1/2007</c:v>
                </c:pt>
                <c:pt idx="157">
                  <c:v>3/1/2007</c:v>
                </c:pt>
                <c:pt idx="158">
                  <c:v>4/1/2007</c:v>
                </c:pt>
                <c:pt idx="159">
                  <c:v>5/1/2007</c:v>
                </c:pt>
                <c:pt idx="160">
                  <c:v>6/1/2007</c:v>
                </c:pt>
                <c:pt idx="161">
                  <c:v>7/1/2007</c:v>
                </c:pt>
                <c:pt idx="162">
                  <c:v>8/1/2007</c:v>
                </c:pt>
                <c:pt idx="163">
                  <c:v>9/1/2007</c:v>
                </c:pt>
                <c:pt idx="164">
                  <c:v>10/1/2007</c:v>
                </c:pt>
                <c:pt idx="165">
                  <c:v>11/1/2007</c:v>
                </c:pt>
                <c:pt idx="166">
                  <c:v>12/1/2007</c:v>
                </c:pt>
                <c:pt idx="167">
                  <c:v>1/1/2008</c:v>
                </c:pt>
                <c:pt idx="168">
                  <c:v>2/1/2008</c:v>
                </c:pt>
                <c:pt idx="169">
                  <c:v>3/1/2008</c:v>
                </c:pt>
                <c:pt idx="170">
                  <c:v>4/1/2008</c:v>
                </c:pt>
                <c:pt idx="171">
                  <c:v>5/1/2008</c:v>
                </c:pt>
                <c:pt idx="172">
                  <c:v>6/1/2008</c:v>
                </c:pt>
                <c:pt idx="173">
                  <c:v>7/1/2008</c:v>
                </c:pt>
                <c:pt idx="174">
                  <c:v>8/1/2008</c:v>
                </c:pt>
                <c:pt idx="175">
                  <c:v>9/1/2008</c:v>
                </c:pt>
                <c:pt idx="176">
                  <c:v>10/1/2008</c:v>
                </c:pt>
                <c:pt idx="177">
                  <c:v>11/1/2008</c:v>
                </c:pt>
                <c:pt idx="178">
                  <c:v>12/1/2008</c:v>
                </c:pt>
                <c:pt idx="179">
                  <c:v>1/1/2009</c:v>
                </c:pt>
                <c:pt idx="180">
                  <c:v>2/1/2009</c:v>
                </c:pt>
                <c:pt idx="181">
                  <c:v>3/1/2009</c:v>
                </c:pt>
                <c:pt idx="182">
                  <c:v>4/1/2009</c:v>
                </c:pt>
                <c:pt idx="183">
                  <c:v>5/1/2009</c:v>
                </c:pt>
                <c:pt idx="184">
                  <c:v>6/1/2009</c:v>
                </c:pt>
                <c:pt idx="185">
                  <c:v>7/1/2009</c:v>
                </c:pt>
                <c:pt idx="186">
                  <c:v>8/1/2009</c:v>
                </c:pt>
                <c:pt idx="187">
                  <c:v>9/1/2009</c:v>
                </c:pt>
                <c:pt idx="188">
                  <c:v>10/1/2009</c:v>
                </c:pt>
                <c:pt idx="189">
                  <c:v>11/1/2009</c:v>
                </c:pt>
                <c:pt idx="190">
                  <c:v>12/1/2009</c:v>
                </c:pt>
                <c:pt idx="191">
                  <c:v>1/1/2010</c:v>
                </c:pt>
                <c:pt idx="192">
                  <c:v>2/1/2010</c:v>
                </c:pt>
                <c:pt idx="193">
                  <c:v>3/1/2010</c:v>
                </c:pt>
                <c:pt idx="194">
                  <c:v>4/1/2010</c:v>
                </c:pt>
                <c:pt idx="195">
                  <c:v>5/1/2010</c:v>
                </c:pt>
                <c:pt idx="196">
                  <c:v>6/1/2010</c:v>
                </c:pt>
                <c:pt idx="197">
                  <c:v>7/1/2010</c:v>
                </c:pt>
                <c:pt idx="198">
                  <c:v>8/1/2010</c:v>
                </c:pt>
                <c:pt idx="199">
                  <c:v>9/1/2010</c:v>
                </c:pt>
                <c:pt idx="200">
                  <c:v>10/1/2010</c:v>
                </c:pt>
                <c:pt idx="201">
                  <c:v>11/1/2010</c:v>
                </c:pt>
                <c:pt idx="202">
                  <c:v>12/1/2010</c:v>
                </c:pt>
                <c:pt idx="203">
                  <c:v>1/1/2011</c:v>
                </c:pt>
                <c:pt idx="204">
                  <c:v>2/1/2011</c:v>
                </c:pt>
                <c:pt idx="205">
                  <c:v>3/1/2011</c:v>
                </c:pt>
                <c:pt idx="206">
                  <c:v>4/1/2011</c:v>
                </c:pt>
                <c:pt idx="207">
                  <c:v>5/1/2011</c:v>
                </c:pt>
                <c:pt idx="208">
                  <c:v>6/1/2011</c:v>
                </c:pt>
                <c:pt idx="209">
                  <c:v>7/1/2011</c:v>
                </c:pt>
                <c:pt idx="210">
                  <c:v>8/1/2011</c:v>
                </c:pt>
                <c:pt idx="211">
                  <c:v>9/1/2011</c:v>
                </c:pt>
                <c:pt idx="212">
                  <c:v>10/1/2011</c:v>
                </c:pt>
                <c:pt idx="213">
                  <c:v>11/1/2011</c:v>
                </c:pt>
                <c:pt idx="214">
                  <c:v>12/1/2011</c:v>
                </c:pt>
                <c:pt idx="215">
                  <c:v>1/1/2012</c:v>
                </c:pt>
                <c:pt idx="216">
                  <c:v>2/1/2012</c:v>
                </c:pt>
                <c:pt idx="217">
                  <c:v>3/1/2012</c:v>
                </c:pt>
                <c:pt idx="218">
                  <c:v>4/1/2012</c:v>
                </c:pt>
                <c:pt idx="219">
                  <c:v>5/1/2012</c:v>
                </c:pt>
                <c:pt idx="220">
                  <c:v>6/1/2012</c:v>
                </c:pt>
                <c:pt idx="221">
                  <c:v>7/1/2012</c:v>
                </c:pt>
                <c:pt idx="222">
                  <c:v>8/1/2012</c:v>
                </c:pt>
                <c:pt idx="223">
                  <c:v>9/1/2012</c:v>
                </c:pt>
                <c:pt idx="224">
                  <c:v>10/1/2012</c:v>
                </c:pt>
                <c:pt idx="225">
                  <c:v>11/1/2012</c:v>
                </c:pt>
                <c:pt idx="226">
                  <c:v>12/1/2012</c:v>
                </c:pt>
                <c:pt idx="227">
                  <c:v>1/1/2013</c:v>
                </c:pt>
                <c:pt idx="228">
                  <c:v>2/1/2013</c:v>
                </c:pt>
                <c:pt idx="229">
                  <c:v>3/1/2013</c:v>
                </c:pt>
                <c:pt idx="230">
                  <c:v>4/1/2013</c:v>
                </c:pt>
                <c:pt idx="231">
                  <c:v>5/1/2013</c:v>
                </c:pt>
                <c:pt idx="232">
                  <c:v>6/1/2013</c:v>
                </c:pt>
                <c:pt idx="233">
                  <c:v>7/1/2013</c:v>
                </c:pt>
                <c:pt idx="234">
                  <c:v>8/1/2013</c:v>
                </c:pt>
                <c:pt idx="235">
                  <c:v>9/1/2013</c:v>
                </c:pt>
                <c:pt idx="236">
                  <c:v>10/1/2013</c:v>
                </c:pt>
                <c:pt idx="237">
                  <c:v>11/1/2013</c:v>
                </c:pt>
                <c:pt idx="238">
                  <c:v>12/1/2013</c:v>
                </c:pt>
                <c:pt idx="239">
                  <c:v>1/1/2014</c:v>
                </c:pt>
                <c:pt idx="240">
                  <c:v>2/1/2014</c:v>
                </c:pt>
                <c:pt idx="241">
                  <c:v>3/1/2014</c:v>
                </c:pt>
                <c:pt idx="242">
                  <c:v>4/1/2014</c:v>
                </c:pt>
                <c:pt idx="243">
                  <c:v>5/1/2014</c:v>
                </c:pt>
                <c:pt idx="244">
                  <c:v>6/1/2014</c:v>
                </c:pt>
                <c:pt idx="245">
                  <c:v>7/1/2014</c:v>
                </c:pt>
                <c:pt idx="246">
                  <c:v>8/1/2014</c:v>
                </c:pt>
                <c:pt idx="247">
                  <c:v>9/1/2014</c:v>
                </c:pt>
                <c:pt idx="248">
                  <c:v>10/1/2014</c:v>
                </c:pt>
                <c:pt idx="249">
                  <c:v>11/1/2014</c:v>
                </c:pt>
                <c:pt idx="250">
                  <c:v>12/1/2014</c:v>
                </c:pt>
                <c:pt idx="251">
                  <c:v>1/1/2015</c:v>
                </c:pt>
                <c:pt idx="252">
                  <c:v>2/1/2015</c:v>
                </c:pt>
                <c:pt idx="253">
                  <c:v>3/1/2015</c:v>
                </c:pt>
                <c:pt idx="254">
                  <c:v>4/1/2015</c:v>
                </c:pt>
                <c:pt idx="255">
                  <c:v>5/1/2015</c:v>
                </c:pt>
                <c:pt idx="256">
                  <c:v>6/1/2015</c:v>
                </c:pt>
                <c:pt idx="257">
                  <c:v>7/1/2015</c:v>
                </c:pt>
                <c:pt idx="258">
                  <c:v>8/1/2015</c:v>
                </c:pt>
                <c:pt idx="259">
                  <c:v>9/1/2015</c:v>
                </c:pt>
                <c:pt idx="260">
                  <c:v>10/1/2015</c:v>
                </c:pt>
                <c:pt idx="261">
                  <c:v>11/1/2015</c:v>
                </c:pt>
                <c:pt idx="262">
                  <c:v>12/1/2015</c:v>
                </c:pt>
                <c:pt idx="263">
                  <c:v>1/1/2016</c:v>
                </c:pt>
                <c:pt idx="264">
                  <c:v>2/1/2016</c:v>
                </c:pt>
                <c:pt idx="265">
                  <c:v>3/1/2016</c:v>
                </c:pt>
                <c:pt idx="266">
                  <c:v>4/1/2016</c:v>
                </c:pt>
                <c:pt idx="267">
                  <c:v>5/1/2016</c:v>
                </c:pt>
                <c:pt idx="268">
                  <c:v>6/1/2016</c:v>
                </c:pt>
                <c:pt idx="269">
                  <c:v>7/1/2016</c:v>
                </c:pt>
                <c:pt idx="270">
                  <c:v>8/1/2016</c:v>
                </c:pt>
                <c:pt idx="271">
                  <c:v>9/1/2016</c:v>
                </c:pt>
                <c:pt idx="272">
                  <c:v>10/1/2016</c:v>
                </c:pt>
              </c:strCache>
            </c:strRef>
          </c:cat>
          <c:val>
            <c:numRef>
              <c:f>tpo!$J$4:$J$277</c:f>
              <c:numCache>
                <c:formatCode>General</c:formatCode>
                <c:ptCount val="2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0.29175987115948299</c:v>
                </c:pt>
                <c:pt idx="13">
                  <c:v>0.71268453569294998</c:v>
                </c:pt>
                <c:pt idx="14">
                  <c:v>1.0451562492637101</c:v>
                </c:pt>
                <c:pt idx="15">
                  <c:v>1.6395773376873199</c:v>
                </c:pt>
                <c:pt idx="16">
                  <c:v>2.4321899801315201</c:v>
                </c:pt>
                <c:pt idx="17">
                  <c:v>3.5447290143599499</c:v>
                </c:pt>
                <c:pt idx="18">
                  <c:v>5.03064066078064</c:v>
                </c:pt>
                <c:pt idx="19">
                  <c:v>6.5026338963785699</c:v>
                </c:pt>
                <c:pt idx="20">
                  <c:v>7.9908291538676099</c:v>
                </c:pt>
                <c:pt idx="21">
                  <c:v>9.4276335334870591</c:v>
                </c:pt>
                <c:pt idx="22">
                  <c:v>10.905497385764299</c:v>
                </c:pt>
                <c:pt idx="23">
                  <c:v>12.2583258018369</c:v>
                </c:pt>
                <c:pt idx="24">
                  <c:v>13.4944746133589</c:v>
                </c:pt>
                <c:pt idx="25">
                  <c:v>14.5721507226118</c:v>
                </c:pt>
                <c:pt idx="26">
                  <c:v>15.5232907959548</c:v>
                </c:pt>
                <c:pt idx="27">
                  <c:v>16.490088524196999</c:v>
                </c:pt>
                <c:pt idx="28">
                  <c:v>17.497376236612698</c:v>
                </c:pt>
                <c:pt idx="29">
                  <c:v>18.361486101218699</c:v>
                </c:pt>
                <c:pt idx="30">
                  <c:v>19.013776229250301</c:v>
                </c:pt>
                <c:pt idx="31">
                  <c:v>19.649355742239202</c:v>
                </c:pt>
                <c:pt idx="32">
                  <c:v>20.3867810175445</c:v>
                </c:pt>
                <c:pt idx="33">
                  <c:v>20.9629617611456</c:v>
                </c:pt>
                <c:pt idx="34">
                  <c:v>21.477043231118699</c:v>
                </c:pt>
                <c:pt idx="35">
                  <c:v>21.9895256255558</c:v>
                </c:pt>
                <c:pt idx="36">
                  <c:v>22.5313530264931</c:v>
                </c:pt>
                <c:pt idx="37">
                  <c:v>23.2220566081443</c:v>
                </c:pt>
                <c:pt idx="38">
                  <c:v>23.8269487846899</c:v>
                </c:pt>
                <c:pt idx="39">
                  <c:v>24.484699868277499</c:v>
                </c:pt>
                <c:pt idx="40">
                  <c:v>25.244831138373801</c:v>
                </c:pt>
                <c:pt idx="41">
                  <c:v>25.853456688453601</c:v>
                </c:pt>
                <c:pt idx="42">
                  <c:v>26.536515454624599</c:v>
                </c:pt>
                <c:pt idx="43">
                  <c:v>27.452006226680801</c:v>
                </c:pt>
                <c:pt idx="44">
                  <c:v>28.257272060733399</c:v>
                </c:pt>
                <c:pt idx="45">
                  <c:v>29.114425099331498</c:v>
                </c:pt>
                <c:pt idx="46">
                  <c:v>30.0271338421568</c:v>
                </c:pt>
                <c:pt idx="47">
                  <c:v>30.880034945087498</c:v>
                </c:pt>
                <c:pt idx="48">
                  <c:v>31.7445580157266</c:v>
                </c:pt>
                <c:pt idx="49">
                  <c:v>32.500900634452201</c:v>
                </c:pt>
                <c:pt idx="50">
                  <c:v>33.227471736593102</c:v>
                </c:pt>
                <c:pt idx="51">
                  <c:v>34.197530675647698</c:v>
                </c:pt>
                <c:pt idx="52">
                  <c:v>35.180030952995601</c:v>
                </c:pt>
                <c:pt idx="53">
                  <c:v>36.111582600723601</c:v>
                </c:pt>
                <c:pt idx="54">
                  <c:v>37.0885802026826</c:v>
                </c:pt>
                <c:pt idx="55">
                  <c:v>37.934533357472297</c:v>
                </c:pt>
                <c:pt idx="56">
                  <c:v>38.755843024368502</c:v>
                </c:pt>
                <c:pt idx="57">
                  <c:v>39.515895044904198</c:v>
                </c:pt>
                <c:pt idx="58">
                  <c:v>40.2080503209163</c:v>
                </c:pt>
                <c:pt idx="59">
                  <c:v>40.996136656163401</c:v>
                </c:pt>
                <c:pt idx="60">
                  <c:v>41.8499177098997</c:v>
                </c:pt>
                <c:pt idx="61">
                  <c:v>42.459751854853899</c:v>
                </c:pt>
                <c:pt idx="62">
                  <c:v>42.872729718156897</c:v>
                </c:pt>
                <c:pt idx="63">
                  <c:v>43.226033701853503</c:v>
                </c:pt>
                <c:pt idx="64">
                  <c:v>43.515926907734602</c:v>
                </c:pt>
                <c:pt idx="65">
                  <c:v>43.786744098587398</c:v>
                </c:pt>
                <c:pt idx="66">
                  <c:v>44.038012145564103</c:v>
                </c:pt>
                <c:pt idx="67">
                  <c:v>44.243198126631199</c:v>
                </c:pt>
                <c:pt idx="68">
                  <c:v>44.418301791645298</c:v>
                </c:pt>
                <c:pt idx="69">
                  <c:v>44.574737561343198</c:v>
                </c:pt>
                <c:pt idx="70">
                  <c:v>44.6913758803124</c:v>
                </c:pt>
                <c:pt idx="71">
                  <c:v>44.795984232191302</c:v>
                </c:pt>
                <c:pt idx="72">
                  <c:v>44.7907714590891</c:v>
                </c:pt>
                <c:pt idx="73">
                  <c:v>44.676906176606401</c:v>
                </c:pt>
                <c:pt idx="74">
                  <c:v>44.465967519736203</c:v>
                </c:pt>
                <c:pt idx="75">
                  <c:v>44.206208854689201</c:v>
                </c:pt>
                <c:pt idx="76">
                  <c:v>43.887340453672898</c:v>
                </c:pt>
                <c:pt idx="77">
                  <c:v>43.525401604467397</c:v>
                </c:pt>
                <c:pt idx="78">
                  <c:v>43.136065816579098</c:v>
                </c:pt>
                <c:pt idx="79">
                  <c:v>42.690143288448198</c:v>
                </c:pt>
                <c:pt idx="80">
                  <c:v>42.257589909917897</c:v>
                </c:pt>
                <c:pt idx="81">
                  <c:v>40.546497816958698</c:v>
                </c:pt>
                <c:pt idx="82">
                  <c:v>40.698068421918798</c:v>
                </c:pt>
                <c:pt idx="83">
                  <c:v>40.290856430330301</c:v>
                </c:pt>
                <c:pt idx="84">
                  <c:v>39.802819396563898</c:v>
                </c:pt>
                <c:pt idx="85">
                  <c:v>39.282767597356496</c:v>
                </c:pt>
                <c:pt idx="86">
                  <c:v>38.683227208863798</c:v>
                </c:pt>
                <c:pt idx="87">
                  <c:v>37.860081079851597</c:v>
                </c:pt>
                <c:pt idx="88">
                  <c:v>37.024950568704902</c:v>
                </c:pt>
                <c:pt idx="89">
                  <c:v>36.2370870808885</c:v>
                </c:pt>
                <c:pt idx="90">
                  <c:v>35.471846505212199</c:v>
                </c:pt>
                <c:pt idx="91">
                  <c:v>34.760506318849103</c:v>
                </c:pt>
                <c:pt idx="92">
                  <c:v>34.129066992882997</c:v>
                </c:pt>
                <c:pt idx="93">
                  <c:v>33.609841057372797</c:v>
                </c:pt>
                <c:pt idx="94">
                  <c:v>32.9002958375699</c:v>
                </c:pt>
                <c:pt idx="95">
                  <c:v>32.098345579123098</c:v>
                </c:pt>
                <c:pt idx="96">
                  <c:v>31.3921184777818</c:v>
                </c:pt>
                <c:pt idx="97">
                  <c:v>30.721690873551299</c:v>
                </c:pt>
                <c:pt idx="98">
                  <c:v>30.111107206336499</c:v>
                </c:pt>
                <c:pt idx="99">
                  <c:v>29.524724336398101</c:v>
                </c:pt>
                <c:pt idx="100">
                  <c:v>29.056067518937599</c:v>
                </c:pt>
                <c:pt idx="101">
                  <c:v>28.587825361368701</c:v>
                </c:pt>
                <c:pt idx="102">
                  <c:v>28.1444725436602</c:v>
                </c:pt>
                <c:pt idx="103">
                  <c:v>27.626112929746402</c:v>
                </c:pt>
                <c:pt idx="104">
                  <c:v>27.026355355082199</c:v>
                </c:pt>
                <c:pt idx="105">
                  <c:v>26.249819755771799</c:v>
                </c:pt>
                <c:pt idx="106">
                  <c:v>25.4816099598562</c:v>
                </c:pt>
                <c:pt idx="107">
                  <c:v>24.732275789868002</c:v>
                </c:pt>
                <c:pt idx="108">
                  <c:v>23.990683096178401</c:v>
                </c:pt>
                <c:pt idx="109">
                  <c:v>23.610921087363199</c:v>
                </c:pt>
                <c:pt idx="110">
                  <c:v>23.570430621573198</c:v>
                </c:pt>
                <c:pt idx="111">
                  <c:v>23.843955266261901</c:v>
                </c:pt>
                <c:pt idx="112">
                  <c:v>24.025911449798802</c:v>
                </c:pt>
                <c:pt idx="113">
                  <c:v>24.124480301174199</c:v>
                </c:pt>
                <c:pt idx="114">
                  <c:v>24.246920849661301</c:v>
                </c:pt>
                <c:pt idx="115">
                  <c:v>24.4142503521587</c:v>
                </c:pt>
                <c:pt idx="116">
                  <c:v>24.528204310909601</c:v>
                </c:pt>
                <c:pt idx="117">
                  <c:v>24.581430364710901</c:v>
                </c:pt>
                <c:pt idx="118">
                  <c:v>24.633988832727098</c:v>
                </c:pt>
                <c:pt idx="119">
                  <c:v>24.688677473916702</c:v>
                </c:pt>
                <c:pt idx="120">
                  <c:v>24.808222137718001</c:v>
                </c:pt>
                <c:pt idx="121">
                  <c:v>25.0861101224585</c:v>
                </c:pt>
                <c:pt idx="122">
                  <c:v>25.411841587870899</c:v>
                </c:pt>
                <c:pt idx="123">
                  <c:v>25.810034242693501</c:v>
                </c:pt>
                <c:pt idx="124">
                  <c:v>26.1952252062271</c:v>
                </c:pt>
                <c:pt idx="125">
                  <c:v>26.5440643323474</c:v>
                </c:pt>
                <c:pt idx="126">
                  <c:v>26.812603349529098</c:v>
                </c:pt>
                <c:pt idx="127">
                  <c:v>27.0322278143998</c:v>
                </c:pt>
                <c:pt idx="128">
                  <c:v>27.2771218376507</c:v>
                </c:pt>
                <c:pt idx="129">
                  <c:v>27.4825842710705</c:v>
                </c:pt>
                <c:pt idx="130">
                  <c:v>27.6954077950783</c:v>
                </c:pt>
                <c:pt idx="131">
                  <c:v>27.908511210921599</c:v>
                </c:pt>
                <c:pt idx="132">
                  <c:v>28.085443979277901</c:v>
                </c:pt>
                <c:pt idx="133">
                  <c:v>28.153000162950001</c:v>
                </c:pt>
                <c:pt idx="134">
                  <c:v>28.185592210540399</c:v>
                </c:pt>
                <c:pt idx="135">
                  <c:v>28.253852884032899</c:v>
                </c:pt>
                <c:pt idx="136">
                  <c:v>28.314816907877699</c:v>
                </c:pt>
                <c:pt idx="137">
                  <c:v>28.365826620287901</c:v>
                </c:pt>
                <c:pt idx="138">
                  <c:v>28.425295700544201</c:v>
                </c:pt>
                <c:pt idx="139">
                  <c:v>28.4838824599851</c:v>
                </c:pt>
                <c:pt idx="140">
                  <c:v>28.546898829682</c:v>
                </c:pt>
                <c:pt idx="141">
                  <c:v>28.593532881155902</c:v>
                </c:pt>
                <c:pt idx="142">
                  <c:v>28.640223017605599</c:v>
                </c:pt>
                <c:pt idx="143">
                  <c:v>28.679365635524299</c:v>
                </c:pt>
                <c:pt idx="144">
                  <c:v>28.6805017078151</c:v>
                </c:pt>
                <c:pt idx="145">
                  <c:v>28.654386838034</c:v>
                </c:pt>
                <c:pt idx="146">
                  <c:v>28.619445247103702</c:v>
                </c:pt>
                <c:pt idx="147">
                  <c:v>28.583832395914602</c:v>
                </c:pt>
                <c:pt idx="148">
                  <c:v>28.538412543099799</c:v>
                </c:pt>
                <c:pt idx="149">
                  <c:v>28.491628798279699</c:v>
                </c:pt>
                <c:pt idx="150">
                  <c:v>28.450708785781</c:v>
                </c:pt>
                <c:pt idx="151">
                  <c:v>28.409310906839</c:v>
                </c:pt>
                <c:pt idx="152">
                  <c:v>28.3687516794994</c:v>
                </c:pt>
                <c:pt idx="153">
                  <c:v>28.320897126128301</c:v>
                </c:pt>
                <c:pt idx="154">
                  <c:v>28.282075261503898</c:v>
                </c:pt>
                <c:pt idx="155">
                  <c:v>28.246646120542898</c:v>
                </c:pt>
                <c:pt idx="156">
                  <c:v>28.508394973781002</c:v>
                </c:pt>
                <c:pt idx="157">
                  <c:v>29.061456063166599</c:v>
                </c:pt>
                <c:pt idx="158">
                  <c:v>29.664619168619598</c:v>
                </c:pt>
                <c:pt idx="159">
                  <c:v>30.2806836474603</c:v>
                </c:pt>
                <c:pt idx="160">
                  <c:v>30.997969401220502</c:v>
                </c:pt>
                <c:pt idx="161">
                  <c:v>31.708372328464101</c:v>
                </c:pt>
                <c:pt idx="162">
                  <c:v>32.431531049469598</c:v>
                </c:pt>
                <c:pt idx="163">
                  <c:v>33.0848090783334</c:v>
                </c:pt>
                <c:pt idx="164">
                  <c:v>33.842541977092999</c:v>
                </c:pt>
                <c:pt idx="165">
                  <c:v>34.586527341977401</c:v>
                </c:pt>
                <c:pt idx="166">
                  <c:v>35.356771098262101</c:v>
                </c:pt>
                <c:pt idx="167">
                  <c:v>36.097321862479902</c:v>
                </c:pt>
                <c:pt idx="168">
                  <c:v>36.733007579819102</c:v>
                </c:pt>
                <c:pt idx="169">
                  <c:v>37.467784722235997</c:v>
                </c:pt>
                <c:pt idx="170">
                  <c:v>37.9234952990534</c:v>
                </c:pt>
                <c:pt idx="171">
                  <c:v>38.238562647435401</c:v>
                </c:pt>
                <c:pt idx="172">
                  <c:v>38.463574856723</c:v>
                </c:pt>
                <c:pt idx="173">
                  <c:v>38.5794869413347</c:v>
                </c:pt>
                <c:pt idx="174">
                  <c:v>38.961795602168301</c:v>
                </c:pt>
                <c:pt idx="175">
                  <c:v>39.157092636100103</c:v>
                </c:pt>
                <c:pt idx="176">
                  <c:v>39.371508596968397</c:v>
                </c:pt>
                <c:pt idx="177">
                  <c:v>39.506692530851304</c:v>
                </c:pt>
                <c:pt idx="178">
                  <c:v>39.586379267290397</c:v>
                </c:pt>
                <c:pt idx="179">
                  <c:v>39.843952196572197</c:v>
                </c:pt>
                <c:pt idx="180">
                  <c:v>39.706789027185302</c:v>
                </c:pt>
                <c:pt idx="181">
                  <c:v>39.941084437468398</c:v>
                </c:pt>
                <c:pt idx="182">
                  <c:v>40.178703623051398</c:v>
                </c:pt>
                <c:pt idx="183">
                  <c:v>40.1055618084158</c:v>
                </c:pt>
                <c:pt idx="184">
                  <c:v>39.739697206853599</c:v>
                </c:pt>
                <c:pt idx="185">
                  <c:v>39.6697834466014</c:v>
                </c:pt>
                <c:pt idx="186">
                  <c:v>39.703691184024898</c:v>
                </c:pt>
                <c:pt idx="187">
                  <c:v>39.736460492727403</c:v>
                </c:pt>
                <c:pt idx="188">
                  <c:v>39.675240608507998</c:v>
                </c:pt>
                <c:pt idx="189">
                  <c:v>39.610702798057297</c:v>
                </c:pt>
                <c:pt idx="190">
                  <c:v>39.623258347655103</c:v>
                </c:pt>
                <c:pt idx="191">
                  <c:v>39.620862393396798</c:v>
                </c:pt>
                <c:pt idx="192">
                  <c:v>39.571951284664998</c:v>
                </c:pt>
                <c:pt idx="193">
                  <c:v>39.546276206318502</c:v>
                </c:pt>
                <c:pt idx="194">
                  <c:v>39.4208288893714</c:v>
                </c:pt>
                <c:pt idx="195">
                  <c:v>39.231367310944897</c:v>
                </c:pt>
                <c:pt idx="196">
                  <c:v>39.085437328043497</c:v>
                </c:pt>
                <c:pt idx="197">
                  <c:v>39.037508627084399</c:v>
                </c:pt>
                <c:pt idx="198">
                  <c:v>38.996291229933497</c:v>
                </c:pt>
                <c:pt idx="199">
                  <c:v>38.979515504416703</c:v>
                </c:pt>
                <c:pt idx="200">
                  <c:v>39.096738232796298</c:v>
                </c:pt>
                <c:pt idx="201">
                  <c:v>39.147939212962399</c:v>
                </c:pt>
                <c:pt idx="202">
                  <c:v>39.197228357473897</c:v>
                </c:pt>
                <c:pt idx="203">
                  <c:v>39.397087438826603</c:v>
                </c:pt>
                <c:pt idx="204">
                  <c:v>39.589651783019299</c:v>
                </c:pt>
                <c:pt idx="205">
                  <c:v>39.701731915353903</c:v>
                </c:pt>
                <c:pt idx="206">
                  <c:v>39.855845284519297</c:v>
                </c:pt>
                <c:pt idx="207">
                  <c:v>39.868883190682098</c:v>
                </c:pt>
                <c:pt idx="208">
                  <c:v>39.842779660213097</c:v>
                </c:pt>
                <c:pt idx="209">
                  <c:v>39.846028091711901</c:v>
                </c:pt>
                <c:pt idx="210">
                  <c:v>39.828650274536301</c:v>
                </c:pt>
                <c:pt idx="211">
                  <c:v>39.785668611666999</c:v>
                </c:pt>
                <c:pt idx="212">
                  <c:v>39.788947653144497</c:v>
                </c:pt>
                <c:pt idx="213">
                  <c:v>39.818997803828701</c:v>
                </c:pt>
                <c:pt idx="214">
                  <c:v>39.885672792783303</c:v>
                </c:pt>
                <c:pt idx="215">
                  <c:v>40.227181856095598</c:v>
                </c:pt>
                <c:pt idx="216">
                  <c:v>40.271115027053099</c:v>
                </c:pt>
                <c:pt idx="217">
                  <c:v>40.321817263505601</c:v>
                </c:pt>
                <c:pt idx="218">
                  <c:v>40.567718977334103</c:v>
                </c:pt>
                <c:pt idx="219">
                  <c:v>40.606267948666002</c:v>
                </c:pt>
                <c:pt idx="220">
                  <c:v>40.753452866155499</c:v>
                </c:pt>
                <c:pt idx="221">
                  <c:v>40.6884489194209</c:v>
                </c:pt>
                <c:pt idx="222">
                  <c:v>40.711988822909497</c:v>
                </c:pt>
                <c:pt idx="223">
                  <c:v>40.703129365906896</c:v>
                </c:pt>
                <c:pt idx="224">
                  <c:v>40.711164580375701</c:v>
                </c:pt>
                <c:pt idx="225">
                  <c:v>40.6419494731173</c:v>
                </c:pt>
                <c:pt idx="226">
                  <c:v>40.825464163524998</c:v>
                </c:pt>
                <c:pt idx="227">
                  <c:v>40.731262396089903</c:v>
                </c:pt>
                <c:pt idx="228">
                  <c:v>40.813105188442002</c:v>
                </c:pt>
                <c:pt idx="229">
                  <c:v>40.932315370911802</c:v>
                </c:pt>
                <c:pt idx="230">
                  <c:v>40.907171875611098</c:v>
                </c:pt>
                <c:pt idx="231">
                  <c:v>40.888030216353599</c:v>
                </c:pt>
                <c:pt idx="232">
                  <c:v>40.951971150373502</c:v>
                </c:pt>
                <c:pt idx="233">
                  <c:v>40.936538217090799</c:v>
                </c:pt>
                <c:pt idx="234">
                  <c:v>40.961177546825802</c:v>
                </c:pt>
                <c:pt idx="235">
                  <c:v>40.968530167770602</c:v>
                </c:pt>
                <c:pt idx="236">
                  <c:v>41.026529203945202</c:v>
                </c:pt>
                <c:pt idx="237">
                  <c:v>41.054040824349997</c:v>
                </c:pt>
                <c:pt idx="238">
                  <c:v>41.079080840162803</c:v>
                </c:pt>
                <c:pt idx="239">
                  <c:v>41.107060968752897</c:v>
                </c:pt>
                <c:pt idx="240">
                  <c:v>41.083924968803103</c:v>
                </c:pt>
                <c:pt idx="241">
                  <c:v>41.114781099123398</c:v>
                </c:pt>
                <c:pt idx="242">
                  <c:v>41.1355549227547</c:v>
                </c:pt>
                <c:pt idx="243">
                  <c:v>41.173930644224001</c:v>
                </c:pt>
                <c:pt idx="244">
                  <c:v>41.202461193088197</c:v>
                </c:pt>
                <c:pt idx="245">
                  <c:v>41.229704809454702</c:v>
                </c:pt>
                <c:pt idx="246">
                  <c:v>41.230693593200499</c:v>
                </c:pt>
                <c:pt idx="247">
                  <c:v>41.230501122969898</c:v>
                </c:pt>
                <c:pt idx="248">
                  <c:v>41.343651206376599</c:v>
                </c:pt>
                <c:pt idx="249">
                  <c:v>41.401183483495501</c:v>
                </c:pt>
                <c:pt idx="250">
                  <c:v>41.392233911246898</c:v>
                </c:pt>
                <c:pt idx="251">
                  <c:v>41.420001405391197</c:v>
                </c:pt>
                <c:pt idx="252">
                  <c:v>41.4295179182621</c:v>
                </c:pt>
                <c:pt idx="253">
                  <c:v>41.431583913752704</c:v>
                </c:pt>
                <c:pt idx="254">
                  <c:v>41.375947226311197</c:v>
                </c:pt>
                <c:pt idx="255">
                  <c:v>41.297202390886603</c:v>
                </c:pt>
                <c:pt idx="256">
                  <c:v>41.276649152192498</c:v>
                </c:pt>
                <c:pt idx="257">
                  <c:v>41.237016315499503</c:v>
                </c:pt>
                <c:pt idx="258">
                  <c:v>41.238030389460498</c:v>
                </c:pt>
                <c:pt idx="259">
                  <c:v>41.222075065960802</c:v>
                </c:pt>
                <c:pt idx="260">
                  <c:v>41.196666288365599</c:v>
                </c:pt>
                <c:pt idx="261">
                  <c:v>41.224075048833598</c:v>
                </c:pt>
                <c:pt idx="262">
                  <c:v>41.183459622241699</c:v>
                </c:pt>
                <c:pt idx="263">
                  <c:v>41.201769030992999</c:v>
                </c:pt>
                <c:pt idx="264">
                  <c:v>41.163498059336497</c:v>
                </c:pt>
                <c:pt idx="265">
                  <c:v>41.126233586787698</c:v>
                </c:pt>
                <c:pt idx="266">
                  <c:v>41.105025345408002</c:v>
                </c:pt>
                <c:pt idx="267">
                  <c:v>41.094582078711802</c:v>
                </c:pt>
                <c:pt idx="268">
                  <c:v>41.0717891340907</c:v>
                </c:pt>
                <c:pt idx="269">
                  <c:v>41.052868699273198</c:v>
                </c:pt>
                <c:pt idx="270">
                  <c:v>40.893643366204998</c:v>
                </c:pt>
                <c:pt idx="271">
                  <c:v>40.790713645569099</c:v>
                </c:pt>
                <c:pt idx="272">
                  <c:v>40.739078467885001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233600"/>
        <c:axId val="155972736"/>
      </c:lineChart>
      <c:catAx>
        <c:axId val="148233600"/>
        <c:scaling>
          <c:orientation val="minMax"/>
        </c:scaling>
        <c:delete val="0"/>
        <c:axPos val="b"/>
        <c:majorTickMark val="out"/>
        <c:minorTickMark val="none"/>
        <c:tickLblPos val="nextTo"/>
        <c:crossAx val="155972736"/>
        <c:crosses val="autoZero"/>
        <c:auto val="1"/>
        <c:lblAlgn val="ctr"/>
        <c:lblOffset val="100"/>
        <c:noMultiLvlLbl val="0"/>
      </c:catAx>
      <c:valAx>
        <c:axId val="1559727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82336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[FNMA_refinance_scaleDB_data_check.xlsx]tpo!PivotTable2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tpo!$AF$3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tpo!$AE$4:$AE$273</c:f>
              <c:strCache>
                <c:ptCount val="269"/>
                <c:pt idx="0">
                  <c:v>2/1/1994</c:v>
                </c:pt>
                <c:pt idx="1">
                  <c:v>3/1/1994</c:v>
                </c:pt>
                <c:pt idx="2">
                  <c:v>4/1/1994</c:v>
                </c:pt>
                <c:pt idx="3">
                  <c:v>7/1/1994</c:v>
                </c:pt>
                <c:pt idx="4">
                  <c:v>8/1/1994</c:v>
                </c:pt>
                <c:pt idx="5">
                  <c:v>9/1/1994</c:v>
                </c:pt>
                <c:pt idx="6">
                  <c:v>10/1/1994</c:v>
                </c:pt>
                <c:pt idx="7">
                  <c:v>11/1/1994</c:v>
                </c:pt>
                <c:pt idx="8">
                  <c:v>12/1/1994</c:v>
                </c:pt>
                <c:pt idx="9">
                  <c:v>1/1/1995</c:v>
                </c:pt>
                <c:pt idx="10">
                  <c:v>2/1/1995</c:v>
                </c:pt>
                <c:pt idx="11">
                  <c:v>3/1/1995</c:v>
                </c:pt>
                <c:pt idx="12">
                  <c:v>4/1/1995</c:v>
                </c:pt>
                <c:pt idx="13">
                  <c:v>5/1/1995</c:v>
                </c:pt>
                <c:pt idx="14">
                  <c:v>6/1/1995</c:v>
                </c:pt>
                <c:pt idx="15">
                  <c:v>7/1/1995</c:v>
                </c:pt>
                <c:pt idx="16">
                  <c:v>8/1/1995</c:v>
                </c:pt>
                <c:pt idx="17">
                  <c:v>9/1/1995</c:v>
                </c:pt>
                <c:pt idx="18">
                  <c:v>10/1/1995</c:v>
                </c:pt>
                <c:pt idx="19">
                  <c:v>11/1/1995</c:v>
                </c:pt>
                <c:pt idx="20">
                  <c:v>12/1/1995</c:v>
                </c:pt>
                <c:pt idx="21">
                  <c:v>1/1/1996</c:v>
                </c:pt>
                <c:pt idx="22">
                  <c:v>2/1/1996</c:v>
                </c:pt>
                <c:pt idx="23">
                  <c:v>3/1/1996</c:v>
                </c:pt>
                <c:pt idx="24">
                  <c:v>4/1/1996</c:v>
                </c:pt>
                <c:pt idx="25">
                  <c:v>5/1/1996</c:v>
                </c:pt>
                <c:pt idx="26">
                  <c:v>6/1/1996</c:v>
                </c:pt>
                <c:pt idx="27">
                  <c:v>7/1/1996</c:v>
                </c:pt>
                <c:pt idx="28">
                  <c:v>8/1/1996</c:v>
                </c:pt>
                <c:pt idx="29">
                  <c:v>9/1/1996</c:v>
                </c:pt>
                <c:pt idx="30">
                  <c:v>10/1/1996</c:v>
                </c:pt>
                <c:pt idx="31">
                  <c:v>11/1/1996</c:v>
                </c:pt>
                <c:pt idx="32">
                  <c:v>12/1/1996</c:v>
                </c:pt>
                <c:pt idx="33">
                  <c:v>3/1/1997</c:v>
                </c:pt>
                <c:pt idx="34">
                  <c:v>4/1/1997</c:v>
                </c:pt>
                <c:pt idx="35">
                  <c:v>5/1/1997</c:v>
                </c:pt>
                <c:pt idx="36">
                  <c:v>6/1/1997</c:v>
                </c:pt>
                <c:pt idx="37">
                  <c:v>7/1/1997</c:v>
                </c:pt>
                <c:pt idx="38">
                  <c:v>8/1/1997</c:v>
                </c:pt>
                <c:pt idx="39">
                  <c:v>9/1/1997</c:v>
                </c:pt>
                <c:pt idx="40">
                  <c:v>10/1/1997</c:v>
                </c:pt>
                <c:pt idx="41">
                  <c:v>11/1/1997</c:v>
                </c:pt>
                <c:pt idx="42">
                  <c:v>12/1/1997</c:v>
                </c:pt>
                <c:pt idx="43">
                  <c:v>1/1/1998</c:v>
                </c:pt>
                <c:pt idx="44">
                  <c:v>2/1/1998</c:v>
                </c:pt>
                <c:pt idx="45">
                  <c:v>3/1/1998</c:v>
                </c:pt>
                <c:pt idx="46">
                  <c:v>4/1/1998</c:v>
                </c:pt>
                <c:pt idx="47">
                  <c:v>5/1/1998</c:v>
                </c:pt>
                <c:pt idx="48">
                  <c:v>6/1/1998</c:v>
                </c:pt>
                <c:pt idx="49">
                  <c:v>7/1/1998</c:v>
                </c:pt>
                <c:pt idx="50">
                  <c:v>8/1/1998</c:v>
                </c:pt>
                <c:pt idx="51">
                  <c:v>9/1/1998</c:v>
                </c:pt>
                <c:pt idx="52">
                  <c:v>10/1/1998</c:v>
                </c:pt>
                <c:pt idx="53">
                  <c:v>11/1/1998</c:v>
                </c:pt>
                <c:pt idx="54">
                  <c:v>12/1/1998</c:v>
                </c:pt>
                <c:pt idx="55">
                  <c:v>1/1/1999</c:v>
                </c:pt>
                <c:pt idx="56">
                  <c:v>2/1/1999</c:v>
                </c:pt>
                <c:pt idx="57">
                  <c:v>3/1/1999</c:v>
                </c:pt>
                <c:pt idx="58">
                  <c:v>4/1/1999</c:v>
                </c:pt>
                <c:pt idx="59">
                  <c:v>5/1/1999</c:v>
                </c:pt>
                <c:pt idx="60">
                  <c:v>6/1/1999</c:v>
                </c:pt>
                <c:pt idx="61">
                  <c:v>7/1/1999</c:v>
                </c:pt>
                <c:pt idx="62">
                  <c:v>8/1/1999</c:v>
                </c:pt>
                <c:pt idx="63">
                  <c:v>9/1/1999</c:v>
                </c:pt>
                <c:pt idx="64">
                  <c:v>10/1/1999</c:v>
                </c:pt>
                <c:pt idx="65">
                  <c:v>11/1/1999</c:v>
                </c:pt>
                <c:pt idx="66">
                  <c:v>12/1/1999</c:v>
                </c:pt>
                <c:pt idx="67">
                  <c:v>1/1/2000</c:v>
                </c:pt>
                <c:pt idx="68">
                  <c:v>2/1/2000</c:v>
                </c:pt>
                <c:pt idx="69">
                  <c:v>3/1/2000</c:v>
                </c:pt>
                <c:pt idx="70">
                  <c:v>4/1/2000</c:v>
                </c:pt>
                <c:pt idx="71">
                  <c:v>5/1/2000</c:v>
                </c:pt>
                <c:pt idx="72">
                  <c:v>6/1/2000</c:v>
                </c:pt>
                <c:pt idx="73">
                  <c:v>7/1/2000</c:v>
                </c:pt>
                <c:pt idx="74">
                  <c:v>8/1/2000</c:v>
                </c:pt>
                <c:pt idx="75">
                  <c:v>9/1/2000</c:v>
                </c:pt>
                <c:pt idx="76">
                  <c:v>10/1/2000</c:v>
                </c:pt>
                <c:pt idx="77">
                  <c:v>11/1/2000</c:v>
                </c:pt>
                <c:pt idx="78">
                  <c:v>12/1/2000</c:v>
                </c:pt>
                <c:pt idx="79">
                  <c:v>1/1/2001</c:v>
                </c:pt>
                <c:pt idx="80">
                  <c:v>2/1/2001</c:v>
                </c:pt>
                <c:pt idx="81">
                  <c:v>3/1/2001</c:v>
                </c:pt>
                <c:pt idx="82">
                  <c:v>4/1/2001</c:v>
                </c:pt>
                <c:pt idx="83">
                  <c:v>5/1/2001</c:v>
                </c:pt>
                <c:pt idx="84">
                  <c:v>6/1/2001</c:v>
                </c:pt>
                <c:pt idx="85">
                  <c:v>7/1/2001</c:v>
                </c:pt>
                <c:pt idx="86">
                  <c:v>8/1/2001</c:v>
                </c:pt>
                <c:pt idx="87">
                  <c:v>9/1/2001</c:v>
                </c:pt>
                <c:pt idx="88">
                  <c:v>10/1/2001</c:v>
                </c:pt>
                <c:pt idx="89">
                  <c:v>11/1/2001</c:v>
                </c:pt>
                <c:pt idx="90">
                  <c:v>12/1/2001</c:v>
                </c:pt>
                <c:pt idx="91">
                  <c:v>1/1/2002</c:v>
                </c:pt>
                <c:pt idx="92">
                  <c:v>2/1/2002</c:v>
                </c:pt>
                <c:pt idx="93">
                  <c:v>3/1/2002</c:v>
                </c:pt>
                <c:pt idx="94">
                  <c:v>4/1/2002</c:v>
                </c:pt>
                <c:pt idx="95">
                  <c:v>5/1/2002</c:v>
                </c:pt>
                <c:pt idx="96">
                  <c:v>6/1/2002</c:v>
                </c:pt>
                <c:pt idx="97">
                  <c:v>7/1/2002</c:v>
                </c:pt>
                <c:pt idx="98">
                  <c:v>8/1/2002</c:v>
                </c:pt>
                <c:pt idx="99">
                  <c:v>9/1/2002</c:v>
                </c:pt>
                <c:pt idx="100">
                  <c:v>10/1/2002</c:v>
                </c:pt>
                <c:pt idx="101">
                  <c:v>11/1/2002</c:v>
                </c:pt>
                <c:pt idx="102">
                  <c:v>12/1/2002</c:v>
                </c:pt>
                <c:pt idx="103">
                  <c:v>1/1/2003</c:v>
                </c:pt>
                <c:pt idx="104">
                  <c:v>2/1/2003</c:v>
                </c:pt>
                <c:pt idx="105">
                  <c:v>3/1/2003</c:v>
                </c:pt>
                <c:pt idx="106">
                  <c:v>4/1/2003</c:v>
                </c:pt>
                <c:pt idx="107">
                  <c:v>5/1/2003</c:v>
                </c:pt>
                <c:pt idx="108">
                  <c:v>6/1/2003</c:v>
                </c:pt>
                <c:pt idx="109">
                  <c:v>7/1/2003</c:v>
                </c:pt>
                <c:pt idx="110">
                  <c:v>8/1/2003</c:v>
                </c:pt>
                <c:pt idx="111">
                  <c:v>9/1/2003</c:v>
                </c:pt>
                <c:pt idx="112">
                  <c:v>10/1/2003</c:v>
                </c:pt>
                <c:pt idx="113">
                  <c:v>11/1/2003</c:v>
                </c:pt>
                <c:pt idx="114">
                  <c:v>12/1/2003</c:v>
                </c:pt>
                <c:pt idx="115">
                  <c:v>1/1/2004</c:v>
                </c:pt>
                <c:pt idx="116">
                  <c:v>2/1/2004</c:v>
                </c:pt>
                <c:pt idx="117">
                  <c:v>3/1/2004</c:v>
                </c:pt>
                <c:pt idx="118">
                  <c:v>4/1/2004</c:v>
                </c:pt>
                <c:pt idx="119">
                  <c:v>5/1/2004</c:v>
                </c:pt>
                <c:pt idx="120">
                  <c:v>6/1/2004</c:v>
                </c:pt>
                <c:pt idx="121">
                  <c:v>7/1/2004</c:v>
                </c:pt>
                <c:pt idx="122">
                  <c:v>8/1/2004</c:v>
                </c:pt>
                <c:pt idx="123">
                  <c:v>9/1/2004</c:v>
                </c:pt>
                <c:pt idx="124">
                  <c:v>10/1/2004</c:v>
                </c:pt>
                <c:pt idx="125">
                  <c:v>11/1/2004</c:v>
                </c:pt>
                <c:pt idx="126">
                  <c:v>12/1/2004</c:v>
                </c:pt>
                <c:pt idx="127">
                  <c:v>1/1/2005</c:v>
                </c:pt>
                <c:pt idx="128">
                  <c:v>2/1/2005</c:v>
                </c:pt>
                <c:pt idx="129">
                  <c:v>3/1/2005</c:v>
                </c:pt>
                <c:pt idx="130">
                  <c:v>4/1/2005</c:v>
                </c:pt>
                <c:pt idx="131">
                  <c:v>5/1/2005</c:v>
                </c:pt>
                <c:pt idx="132">
                  <c:v>6/1/2005</c:v>
                </c:pt>
                <c:pt idx="133">
                  <c:v>7/1/2005</c:v>
                </c:pt>
                <c:pt idx="134">
                  <c:v>8/1/2005</c:v>
                </c:pt>
                <c:pt idx="135">
                  <c:v>9/1/2005</c:v>
                </c:pt>
                <c:pt idx="136">
                  <c:v>10/1/2005</c:v>
                </c:pt>
                <c:pt idx="137">
                  <c:v>11/1/2005</c:v>
                </c:pt>
                <c:pt idx="138">
                  <c:v>12/1/2005</c:v>
                </c:pt>
                <c:pt idx="139">
                  <c:v>1/1/2006</c:v>
                </c:pt>
                <c:pt idx="140">
                  <c:v>2/1/2006</c:v>
                </c:pt>
                <c:pt idx="141">
                  <c:v>3/1/2006</c:v>
                </c:pt>
                <c:pt idx="142">
                  <c:v>4/1/2006</c:v>
                </c:pt>
                <c:pt idx="143">
                  <c:v>5/1/2006</c:v>
                </c:pt>
                <c:pt idx="144">
                  <c:v>6/1/2006</c:v>
                </c:pt>
                <c:pt idx="145">
                  <c:v>7/1/2006</c:v>
                </c:pt>
                <c:pt idx="146">
                  <c:v>8/1/2006</c:v>
                </c:pt>
                <c:pt idx="147">
                  <c:v>9/1/2006</c:v>
                </c:pt>
                <c:pt idx="148">
                  <c:v>10/1/2006</c:v>
                </c:pt>
                <c:pt idx="149">
                  <c:v>11/1/2006</c:v>
                </c:pt>
                <c:pt idx="150">
                  <c:v>12/1/2006</c:v>
                </c:pt>
                <c:pt idx="151">
                  <c:v>1/1/2007</c:v>
                </c:pt>
                <c:pt idx="152">
                  <c:v>2/1/2007</c:v>
                </c:pt>
                <c:pt idx="153">
                  <c:v>3/1/2007</c:v>
                </c:pt>
                <c:pt idx="154">
                  <c:v>4/1/2007</c:v>
                </c:pt>
                <c:pt idx="155">
                  <c:v>5/1/2007</c:v>
                </c:pt>
                <c:pt idx="156">
                  <c:v>6/1/2007</c:v>
                </c:pt>
                <c:pt idx="157">
                  <c:v>7/1/2007</c:v>
                </c:pt>
                <c:pt idx="158">
                  <c:v>8/1/2007</c:v>
                </c:pt>
                <c:pt idx="159">
                  <c:v>9/1/2007</c:v>
                </c:pt>
                <c:pt idx="160">
                  <c:v>10/1/2007</c:v>
                </c:pt>
                <c:pt idx="161">
                  <c:v>11/1/2007</c:v>
                </c:pt>
                <c:pt idx="162">
                  <c:v>12/1/2007</c:v>
                </c:pt>
                <c:pt idx="163">
                  <c:v>1/1/2008</c:v>
                </c:pt>
                <c:pt idx="164">
                  <c:v>2/1/2008</c:v>
                </c:pt>
                <c:pt idx="165">
                  <c:v>3/1/2008</c:v>
                </c:pt>
                <c:pt idx="166">
                  <c:v>4/1/2008</c:v>
                </c:pt>
                <c:pt idx="167">
                  <c:v>5/1/2008</c:v>
                </c:pt>
                <c:pt idx="168">
                  <c:v>6/1/2008</c:v>
                </c:pt>
                <c:pt idx="169">
                  <c:v>7/1/2008</c:v>
                </c:pt>
                <c:pt idx="170">
                  <c:v>8/1/2008</c:v>
                </c:pt>
                <c:pt idx="171">
                  <c:v>9/1/2008</c:v>
                </c:pt>
                <c:pt idx="172">
                  <c:v>10/1/2008</c:v>
                </c:pt>
                <c:pt idx="173">
                  <c:v>11/1/2008</c:v>
                </c:pt>
                <c:pt idx="174">
                  <c:v>12/1/2008</c:v>
                </c:pt>
                <c:pt idx="175">
                  <c:v>1/1/2009</c:v>
                </c:pt>
                <c:pt idx="176">
                  <c:v>2/1/2009</c:v>
                </c:pt>
                <c:pt idx="177">
                  <c:v>3/1/2009</c:v>
                </c:pt>
                <c:pt idx="178">
                  <c:v>4/1/2009</c:v>
                </c:pt>
                <c:pt idx="179">
                  <c:v>5/1/2009</c:v>
                </c:pt>
                <c:pt idx="180">
                  <c:v>6/1/2009</c:v>
                </c:pt>
                <c:pt idx="181">
                  <c:v>7/1/2009</c:v>
                </c:pt>
                <c:pt idx="182">
                  <c:v>8/1/2009</c:v>
                </c:pt>
                <c:pt idx="183">
                  <c:v>9/1/2009</c:v>
                </c:pt>
                <c:pt idx="184">
                  <c:v>10/1/2009</c:v>
                </c:pt>
                <c:pt idx="185">
                  <c:v>11/1/2009</c:v>
                </c:pt>
                <c:pt idx="186">
                  <c:v>12/1/2009</c:v>
                </c:pt>
                <c:pt idx="187">
                  <c:v>1/1/2010</c:v>
                </c:pt>
                <c:pt idx="188">
                  <c:v>2/1/2010</c:v>
                </c:pt>
                <c:pt idx="189">
                  <c:v>3/1/2010</c:v>
                </c:pt>
                <c:pt idx="190">
                  <c:v>4/1/2010</c:v>
                </c:pt>
                <c:pt idx="191">
                  <c:v>5/1/2010</c:v>
                </c:pt>
                <c:pt idx="192">
                  <c:v>6/1/2010</c:v>
                </c:pt>
                <c:pt idx="193">
                  <c:v>7/1/2010</c:v>
                </c:pt>
                <c:pt idx="194">
                  <c:v>8/1/2010</c:v>
                </c:pt>
                <c:pt idx="195">
                  <c:v>9/1/2010</c:v>
                </c:pt>
                <c:pt idx="196">
                  <c:v>10/1/2010</c:v>
                </c:pt>
                <c:pt idx="197">
                  <c:v>11/1/2010</c:v>
                </c:pt>
                <c:pt idx="198">
                  <c:v>12/1/2010</c:v>
                </c:pt>
                <c:pt idx="199">
                  <c:v>1/1/2011</c:v>
                </c:pt>
                <c:pt idx="200">
                  <c:v>2/1/2011</c:v>
                </c:pt>
                <c:pt idx="201">
                  <c:v>3/1/2011</c:v>
                </c:pt>
                <c:pt idx="202">
                  <c:v>4/1/2011</c:v>
                </c:pt>
                <c:pt idx="203">
                  <c:v>5/1/2011</c:v>
                </c:pt>
                <c:pt idx="204">
                  <c:v>6/1/2011</c:v>
                </c:pt>
                <c:pt idx="205">
                  <c:v>7/1/2011</c:v>
                </c:pt>
                <c:pt idx="206">
                  <c:v>8/1/2011</c:v>
                </c:pt>
                <c:pt idx="207">
                  <c:v>9/1/2011</c:v>
                </c:pt>
                <c:pt idx="208">
                  <c:v>10/1/2011</c:v>
                </c:pt>
                <c:pt idx="209">
                  <c:v>11/1/2011</c:v>
                </c:pt>
                <c:pt idx="210">
                  <c:v>12/1/2011</c:v>
                </c:pt>
                <c:pt idx="211">
                  <c:v>1/1/2012</c:v>
                </c:pt>
                <c:pt idx="212">
                  <c:v>2/1/2012</c:v>
                </c:pt>
                <c:pt idx="213">
                  <c:v>3/1/2012</c:v>
                </c:pt>
                <c:pt idx="214">
                  <c:v>4/1/2012</c:v>
                </c:pt>
                <c:pt idx="215">
                  <c:v>5/1/2012</c:v>
                </c:pt>
                <c:pt idx="216">
                  <c:v>6/1/2012</c:v>
                </c:pt>
                <c:pt idx="217">
                  <c:v>7/1/2012</c:v>
                </c:pt>
                <c:pt idx="218">
                  <c:v>8/1/2012</c:v>
                </c:pt>
                <c:pt idx="219">
                  <c:v>9/1/2012</c:v>
                </c:pt>
                <c:pt idx="220">
                  <c:v>10/1/2012</c:v>
                </c:pt>
                <c:pt idx="221">
                  <c:v>11/1/2012</c:v>
                </c:pt>
                <c:pt idx="222">
                  <c:v>12/1/2012</c:v>
                </c:pt>
                <c:pt idx="223">
                  <c:v>1/1/2013</c:v>
                </c:pt>
                <c:pt idx="224">
                  <c:v>2/1/2013</c:v>
                </c:pt>
                <c:pt idx="225">
                  <c:v>3/1/2013</c:v>
                </c:pt>
                <c:pt idx="226">
                  <c:v>4/1/2013</c:v>
                </c:pt>
                <c:pt idx="227">
                  <c:v>5/1/2013</c:v>
                </c:pt>
                <c:pt idx="228">
                  <c:v>6/1/2013</c:v>
                </c:pt>
                <c:pt idx="229">
                  <c:v>7/1/2013</c:v>
                </c:pt>
                <c:pt idx="230">
                  <c:v>8/1/2013</c:v>
                </c:pt>
                <c:pt idx="231">
                  <c:v>9/1/2013</c:v>
                </c:pt>
                <c:pt idx="232">
                  <c:v>10/1/2013</c:v>
                </c:pt>
                <c:pt idx="233">
                  <c:v>11/1/2013</c:v>
                </c:pt>
                <c:pt idx="234">
                  <c:v>12/1/2013</c:v>
                </c:pt>
                <c:pt idx="235">
                  <c:v>1/1/2014</c:v>
                </c:pt>
                <c:pt idx="236">
                  <c:v>2/1/2014</c:v>
                </c:pt>
                <c:pt idx="237">
                  <c:v>3/1/2014</c:v>
                </c:pt>
                <c:pt idx="238">
                  <c:v>4/1/2014</c:v>
                </c:pt>
                <c:pt idx="239">
                  <c:v>5/1/2014</c:v>
                </c:pt>
                <c:pt idx="240">
                  <c:v>6/1/2014</c:v>
                </c:pt>
                <c:pt idx="241">
                  <c:v>7/1/2014</c:v>
                </c:pt>
                <c:pt idx="242">
                  <c:v>8/1/2014</c:v>
                </c:pt>
                <c:pt idx="243">
                  <c:v>9/1/2014</c:v>
                </c:pt>
                <c:pt idx="244">
                  <c:v>10/1/2014</c:v>
                </c:pt>
                <c:pt idx="245">
                  <c:v>11/1/2014</c:v>
                </c:pt>
                <c:pt idx="246">
                  <c:v>12/1/2014</c:v>
                </c:pt>
                <c:pt idx="247">
                  <c:v>1/1/2015</c:v>
                </c:pt>
                <c:pt idx="248">
                  <c:v>2/1/2015</c:v>
                </c:pt>
                <c:pt idx="249">
                  <c:v>3/1/2015</c:v>
                </c:pt>
                <c:pt idx="250">
                  <c:v>4/1/2015</c:v>
                </c:pt>
                <c:pt idx="251">
                  <c:v>5/1/2015</c:v>
                </c:pt>
                <c:pt idx="252">
                  <c:v>6/1/2015</c:v>
                </c:pt>
                <c:pt idx="253">
                  <c:v>7/1/2015</c:v>
                </c:pt>
                <c:pt idx="254">
                  <c:v>8/1/2015</c:v>
                </c:pt>
                <c:pt idx="255">
                  <c:v>9/1/2015</c:v>
                </c:pt>
                <c:pt idx="256">
                  <c:v>10/1/2015</c:v>
                </c:pt>
                <c:pt idx="257">
                  <c:v>11/1/2015</c:v>
                </c:pt>
                <c:pt idx="258">
                  <c:v>12/1/2015</c:v>
                </c:pt>
                <c:pt idx="259">
                  <c:v>1/1/2016</c:v>
                </c:pt>
                <c:pt idx="260">
                  <c:v>2/1/2016</c:v>
                </c:pt>
                <c:pt idx="261">
                  <c:v>3/1/2016</c:v>
                </c:pt>
                <c:pt idx="262">
                  <c:v>4/1/2016</c:v>
                </c:pt>
                <c:pt idx="263">
                  <c:v>5/1/2016</c:v>
                </c:pt>
                <c:pt idx="264">
                  <c:v>6/1/2016</c:v>
                </c:pt>
                <c:pt idx="265">
                  <c:v>7/1/2016</c:v>
                </c:pt>
                <c:pt idx="266">
                  <c:v>8/1/2016</c:v>
                </c:pt>
                <c:pt idx="267">
                  <c:v>9/1/2016</c:v>
                </c:pt>
                <c:pt idx="268">
                  <c:v>10/1/2016</c:v>
                </c:pt>
              </c:strCache>
            </c:strRef>
          </c:cat>
          <c:val>
            <c:numRef>
              <c:f>tpo!$AF$4:$AF$273</c:f>
              <c:numCache>
                <c:formatCode>General</c:formatCode>
                <c:ptCount val="2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0.40037421933428402</c:v>
                </c:pt>
                <c:pt idx="172">
                  <c:v>1.13059150232218</c:v>
                </c:pt>
                <c:pt idx="173">
                  <c:v>1.53277524862959</c:v>
                </c:pt>
                <c:pt idx="174">
                  <c:v>2.19731707429596</c:v>
                </c:pt>
                <c:pt idx="175">
                  <c:v>2.8001472818733699</c:v>
                </c:pt>
                <c:pt idx="176">
                  <c:v>3.2952274773194499</c:v>
                </c:pt>
                <c:pt idx="177">
                  <c:v>4.5266925355715601</c:v>
                </c:pt>
                <c:pt idx="178">
                  <c:v>6.2479975004601798</c:v>
                </c:pt>
                <c:pt idx="179">
                  <c:v>7.5545895815234498</c:v>
                </c:pt>
                <c:pt idx="180">
                  <c:v>8.7598133782788494</c:v>
                </c:pt>
                <c:pt idx="181">
                  <c:v>10.2294683396066</c:v>
                </c:pt>
                <c:pt idx="182">
                  <c:v>11.2299950838371</c:v>
                </c:pt>
                <c:pt idx="183">
                  <c:v>12.2642021843736</c:v>
                </c:pt>
                <c:pt idx="184">
                  <c:v>12.923367946019701</c:v>
                </c:pt>
                <c:pt idx="185">
                  <c:v>13.470446044098701</c:v>
                </c:pt>
                <c:pt idx="186">
                  <c:v>14.067922094805301</c:v>
                </c:pt>
                <c:pt idx="187">
                  <c:v>14.802418374900901</c:v>
                </c:pt>
                <c:pt idx="188">
                  <c:v>15.3794697143709</c:v>
                </c:pt>
                <c:pt idx="189">
                  <c:v>15.9096491065376</c:v>
                </c:pt>
                <c:pt idx="190">
                  <c:v>17.041077102451101</c:v>
                </c:pt>
                <c:pt idx="191">
                  <c:v>17.5303300081789</c:v>
                </c:pt>
                <c:pt idx="192">
                  <c:v>18.003033973874299</c:v>
                </c:pt>
                <c:pt idx="193">
                  <c:v>18.499878151031901</c:v>
                </c:pt>
                <c:pt idx="194">
                  <c:v>18.9978982864417</c:v>
                </c:pt>
                <c:pt idx="195">
                  <c:v>19.3792307567075</c:v>
                </c:pt>
                <c:pt idx="196">
                  <c:v>19.7688704867948</c:v>
                </c:pt>
                <c:pt idx="197">
                  <c:v>20.092214129488401</c:v>
                </c:pt>
                <c:pt idx="198">
                  <c:v>20.589200277121599</c:v>
                </c:pt>
                <c:pt idx="199">
                  <c:v>21.007458205416</c:v>
                </c:pt>
                <c:pt idx="200">
                  <c:v>21.5588018230976</c:v>
                </c:pt>
                <c:pt idx="201">
                  <c:v>22.250082421805399</c:v>
                </c:pt>
                <c:pt idx="202">
                  <c:v>22.646556622387401</c:v>
                </c:pt>
                <c:pt idx="203">
                  <c:v>23.003293281185801</c:v>
                </c:pt>
                <c:pt idx="204">
                  <c:v>23.360695772950201</c:v>
                </c:pt>
                <c:pt idx="205">
                  <c:v>23.763676273901901</c:v>
                </c:pt>
                <c:pt idx="206">
                  <c:v>24.065331755532899</c:v>
                </c:pt>
                <c:pt idx="207">
                  <c:v>24.502639223388201</c:v>
                </c:pt>
                <c:pt idx="208">
                  <c:v>24.9145303487809</c:v>
                </c:pt>
                <c:pt idx="209">
                  <c:v>25.222662959882602</c:v>
                </c:pt>
                <c:pt idx="210">
                  <c:v>25.4991922656105</c:v>
                </c:pt>
                <c:pt idx="211">
                  <c:v>25.673080292163899</c:v>
                </c:pt>
                <c:pt idx="212">
                  <c:v>25.9723034709289</c:v>
                </c:pt>
                <c:pt idx="213">
                  <c:v>26.383854959035698</c:v>
                </c:pt>
                <c:pt idx="214">
                  <c:v>26.661342440716201</c:v>
                </c:pt>
                <c:pt idx="215">
                  <c:v>26.7705984301396</c:v>
                </c:pt>
                <c:pt idx="216">
                  <c:v>26.951718772658499</c:v>
                </c:pt>
                <c:pt idx="217">
                  <c:v>27.535777698287699</c:v>
                </c:pt>
                <c:pt idx="218">
                  <c:v>27.775754508834599</c:v>
                </c:pt>
                <c:pt idx="219">
                  <c:v>28.089733458886801</c:v>
                </c:pt>
                <c:pt idx="220">
                  <c:v>28.307327246342101</c:v>
                </c:pt>
                <c:pt idx="221">
                  <c:v>28.894908824380099</c:v>
                </c:pt>
                <c:pt idx="222">
                  <c:v>29.593153524885299</c:v>
                </c:pt>
                <c:pt idx="223">
                  <c:v>29.653140507341899</c:v>
                </c:pt>
                <c:pt idx="224">
                  <c:v>29.967678844452301</c:v>
                </c:pt>
                <c:pt idx="225">
                  <c:v>30.393236665582101</c:v>
                </c:pt>
                <c:pt idx="226">
                  <c:v>31.104916887450901</c:v>
                </c:pt>
                <c:pt idx="227">
                  <c:v>31.6850507105211</c:v>
                </c:pt>
                <c:pt idx="228">
                  <c:v>32.132718972412597</c:v>
                </c:pt>
                <c:pt idx="229">
                  <c:v>32.6313064821125</c:v>
                </c:pt>
                <c:pt idx="230">
                  <c:v>33.085451549265102</c:v>
                </c:pt>
                <c:pt idx="231">
                  <c:v>33.579733416475896</c:v>
                </c:pt>
                <c:pt idx="232">
                  <c:v>33.961568142548103</c:v>
                </c:pt>
                <c:pt idx="233">
                  <c:v>34.292584690314897</c:v>
                </c:pt>
                <c:pt idx="234">
                  <c:v>34.655399653676703</c:v>
                </c:pt>
                <c:pt idx="235">
                  <c:v>35.060713501856902</c:v>
                </c:pt>
                <c:pt idx="236">
                  <c:v>35.301855542281601</c:v>
                </c:pt>
                <c:pt idx="237">
                  <c:v>35.612000107581103</c:v>
                </c:pt>
                <c:pt idx="238">
                  <c:v>35.830227218025797</c:v>
                </c:pt>
                <c:pt idx="239">
                  <c:v>36.0759103250588</c:v>
                </c:pt>
                <c:pt idx="240">
                  <c:v>36.331329887416203</c:v>
                </c:pt>
                <c:pt idx="241">
                  <c:v>36.603115750839102</c:v>
                </c:pt>
                <c:pt idx="242">
                  <c:v>36.900223699642602</c:v>
                </c:pt>
                <c:pt idx="243">
                  <c:v>37.072380408015803</c:v>
                </c:pt>
                <c:pt idx="244">
                  <c:v>37.346854855505697</c:v>
                </c:pt>
                <c:pt idx="245">
                  <c:v>37.604928084510803</c:v>
                </c:pt>
                <c:pt idx="246">
                  <c:v>37.847037204352901</c:v>
                </c:pt>
                <c:pt idx="247">
                  <c:v>37.958828940919602</c:v>
                </c:pt>
                <c:pt idx="248">
                  <c:v>38.1329623977295</c:v>
                </c:pt>
                <c:pt idx="249">
                  <c:v>38.198023417596602</c:v>
                </c:pt>
                <c:pt idx="250">
                  <c:v>38.320643443171797</c:v>
                </c:pt>
                <c:pt idx="251">
                  <c:v>38.410007138932599</c:v>
                </c:pt>
                <c:pt idx="252">
                  <c:v>38.540293726756602</c:v>
                </c:pt>
                <c:pt idx="253">
                  <c:v>38.639714635483799</c:v>
                </c:pt>
                <c:pt idx="254">
                  <c:v>38.818369374535997</c:v>
                </c:pt>
                <c:pt idx="255">
                  <c:v>38.978333762469802</c:v>
                </c:pt>
                <c:pt idx="256">
                  <c:v>39.215656946433597</c:v>
                </c:pt>
                <c:pt idx="257">
                  <c:v>39.3520755091468</c:v>
                </c:pt>
                <c:pt idx="258">
                  <c:v>39.505816291523601</c:v>
                </c:pt>
                <c:pt idx="259">
                  <c:v>39.655064582689398</c:v>
                </c:pt>
                <c:pt idx="260">
                  <c:v>39.711005092275201</c:v>
                </c:pt>
                <c:pt idx="261">
                  <c:v>39.832374855413903</c:v>
                </c:pt>
                <c:pt idx="262">
                  <c:v>39.924363335264403</c:v>
                </c:pt>
                <c:pt idx="263">
                  <c:v>40.025254623885999</c:v>
                </c:pt>
                <c:pt idx="264">
                  <c:v>40.140372872434298</c:v>
                </c:pt>
                <c:pt idx="265">
                  <c:v>40.220795228503803</c:v>
                </c:pt>
                <c:pt idx="266">
                  <c:v>40.306679420853897</c:v>
                </c:pt>
                <c:pt idx="267">
                  <c:v>40.400721206264201</c:v>
                </c:pt>
                <c:pt idx="268">
                  <c:v>40.515114373303298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558912"/>
        <c:axId val="57560448"/>
      </c:lineChart>
      <c:catAx>
        <c:axId val="57558912"/>
        <c:scaling>
          <c:orientation val="minMax"/>
        </c:scaling>
        <c:delete val="0"/>
        <c:axPos val="b"/>
        <c:majorTickMark val="out"/>
        <c:minorTickMark val="none"/>
        <c:tickLblPos val="nextTo"/>
        <c:crossAx val="57560448"/>
        <c:crosses val="autoZero"/>
        <c:auto val="1"/>
        <c:lblAlgn val="ctr"/>
        <c:lblOffset val="100"/>
        <c:noMultiLvlLbl val="0"/>
      </c:catAx>
      <c:valAx>
        <c:axId val="575604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5589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tpo!$AJ$1</c:f>
              <c:strCache>
                <c:ptCount val="1"/>
                <c:pt idx="0">
                  <c:v>CR</c:v>
                </c:pt>
              </c:strCache>
            </c:strRef>
          </c:tx>
          <c:marker>
            <c:symbol val="none"/>
          </c:marker>
          <c:cat>
            <c:numRef>
              <c:f>tpo!$AI$2:$AI$53</c:f>
              <c:numCache>
                <c:formatCode>m/d/yyyy</c:formatCode>
                <c:ptCount val="52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  <c:pt idx="46">
                  <c:v>42491</c:v>
                </c:pt>
                <c:pt idx="47">
                  <c:v>42522</c:v>
                </c:pt>
                <c:pt idx="48">
                  <c:v>42552</c:v>
                </c:pt>
                <c:pt idx="49">
                  <c:v>42583</c:v>
                </c:pt>
                <c:pt idx="50">
                  <c:v>42614</c:v>
                </c:pt>
                <c:pt idx="51">
                  <c:v>42644</c:v>
                </c:pt>
              </c:numCache>
            </c:numRef>
          </c:cat>
          <c:val>
            <c:numRef>
              <c:f>tpo!$AJ$2:$AJ$53</c:f>
              <c:numCache>
                <c:formatCode>General</c:formatCode>
                <c:ptCount val="52"/>
                <c:pt idx="0">
                  <c:v>1.96488164685293</c:v>
                </c:pt>
                <c:pt idx="1">
                  <c:v>4.0578836498131601</c:v>
                </c:pt>
                <c:pt idx="2">
                  <c:v>4.55259411111183</c:v>
                </c:pt>
                <c:pt idx="3">
                  <c:v>5.87080797304146</c:v>
                </c:pt>
                <c:pt idx="4">
                  <c:v>6.46676110560756</c:v>
                </c:pt>
                <c:pt idx="5">
                  <c:v>6.3757849610075601</c:v>
                </c:pt>
                <c:pt idx="6">
                  <c:v>7.0954932029341196</c:v>
                </c:pt>
                <c:pt idx="7">
                  <c:v>7.1127309063595501</c:v>
                </c:pt>
                <c:pt idx="8">
                  <c:v>7.4977817106428502</c:v>
                </c:pt>
                <c:pt idx="9">
                  <c:v>7.7688699614535199</c:v>
                </c:pt>
                <c:pt idx="10">
                  <c:v>7.99730141520606</c:v>
                </c:pt>
                <c:pt idx="11">
                  <c:v>8.2404824532632794</c:v>
                </c:pt>
                <c:pt idx="12">
                  <c:v>8.6310861028875205</c:v>
                </c:pt>
                <c:pt idx="13">
                  <c:v>8.7051636329041706</c:v>
                </c:pt>
                <c:pt idx="14">
                  <c:v>8.7429604244928694</c:v>
                </c:pt>
                <c:pt idx="15">
                  <c:v>8.8041615691801294</c:v>
                </c:pt>
                <c:pt idx="16">
                  <c:v>8.8215384490494806</c:v>
                </c:pt>
                <c:pt idx="17">
                  <c:v>8.8564328473556397</c:v>
                </c:pt>
                <c:pt idx="18">
                  <c:v>8.7785104077140801</c:v>
                </c:pt>
                <c:pt idx="19">
                  <c:v>9.9498178283714598</c:v>
                </c:pt>
                <c:pt idx="20">
                  <c:v>9.9660581751841395</c:v>
                </c:pt>
                <c:pt idx="21">
                  <c:v>9.9777651416054294</c:v>
                </c:pt>
                <c:pt idx="22">
                  <c:v>9.9917035233597993</c:v>
                </c:pt>
                <c:pt idx="23">
                  <c:v>9.9957571380735306</c:v>
                </c:pt>
                <c:pt idx="24">
                  <c:v>10.0016790434494</c:v>
                </c:pt>
                <c:pt idx="25">
                  <c:v>10.008637869189499</c:v>
                </c:pt>
                <c:pt idx="26">
                  <c:v>10.008443620452599</c:v>
                </c:pt>
                <c:pt idx="27">
                  <c:v>10.0136348471696</c:v>
                </c:pt>
                <c:pt idx="28">
                  <c:v>10.0053613033938</c:v>
                </c:pt>
                <c:pt idx="29">
                  <c:v>10.030960465518399</c:v>
                </c:pt>
                <c:pt idx="30">
                  <c:v>10.0225890543967</c:v>
                </c:pt>
                <c:pt idx="31">
                  <c:v>10.033172916204199</c:v>
                </c:pt>
                <c:pt idx="32">
                  <c:v>10.044594881204199</c:v>
                </c:pt>
                <c:pt idx="33">
                  <c:v>10.043630548384799</c:v>
                </c:pt>
                <c:pt idx="34">
                  <c:v>10.051319179239099</c:v>
                </c:pt>
                <c:pt idx="35">
                  <c:v>10.038295481757499</c:v>
                </c:pt>
                <c:pt idx="36">
                  <c:v>10.027444030899</c:v>
                </c:pt>
                <c:pt idx="37">
                  <c:v>10.0193517038736</c:v>
                </c:pt>
                <c:pt idx="38">
                  <c:v>10.013690901575</c:v>
                </c:pt>
                <c:pt idx="39">
                  <c:v>10.012172178677201</c:v>
                </c:pt>
                <c:pt idx="40">
                  <c:v>9.9759508900854499</c:v>
                </c:pt>
                <c:pt idx="41">
                  <c:v>10.151531886325101</c:v>
                </c:pt>
                <c:pt idx="42">
                  <c:v>10.141755499199499</c:v>
                </c:pt>
                <c:pt idx="43">
                  <c:v>10.1478029805526</c:v>
                </c:pt>
                <c:pt idx="44">
                  <c:v>10.153422243206</c:v>
                </c:pt>
                <c:pt idx="45">
                  <c:v>10.148498974165699</c:v>
                </c:pt>
                <c:pt idx="46">
                  <c:v>10.1417714030542</c:v>
                </c:pt>
                <c:pt idx="47">
                  <c:v>10.131110270941999</c:v>
                </c:pt>
                <c:pt idx="48">
                  <c:v>10.110422353154799</c:v>
                </c:pt>
                <c:pt idx="49">
                  <c:v>10.1067773493444</c:v>
                </c:pt>
                <c:pt idx="50">
                  <c:v>10.0838918868234</c:v>
                </c:pt>
                <c:pt idx="51">
                  <c:v>10.0528456314007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tpo!$AK$1</c:f>
              <c:strCache>
                <c:ptCount val="1"/>
                <c:pt idx="0">
                  <c:v>U9</c:v>
                </c:pt>
              </c:strCache>
            </c:strRef>
          </c:tx>
          <c:marker>
            <c:symbol val="none"/>
          </c:marker>
          <c:cat>
            <c:numRef>
              <c:f>tpo!$AI$2:$AI$53</c:f>
              <c:numCache>
                <c:formatCode>m/d/yyyy</c:formatCode>
                <c:ptCount val="52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  <c:pt idx="46">
                  <c:v>42491</c:v>
                </c:pt>
                <c:pt idx="47">
                  <c:v>42522</c:v>
                </c:pt>
                <c:pt idx="48">
                  <c:v>42552</c:v>
                </c:pt>
                <c:pt idx="49">
                  <c:v>42583</c:v>
                </c:pt>
                <c:pt idx="50">
                  <c:v>42614</c:v>
                </c:pt>
                <c:pt idx="51">
                  <c:v>42644</c:v>
                </c:pt>
              </c:numCache>
            </c:numRef>
          </c:cat>
          <c:val>
            <c:numRef>
              <c:f>tpo!$AK$2:$AK$53</c:f>
              <c:numCache>
                <c:formatCode>General</c:formatCode>
                <c:ptCount val="52"/>
                <c:pt idx="0">
                  <c:v>1.3093921486890501</c:v>
                </c:pt>
                <c:pt idx="1">
                  <c:v>2.1179819024251199</c:v>
                </c:pt>
                <c:pt idx="2">
                  <c:v>2.6978660979098401</c:v>
                </c:pt>
                <c:pt idx="3">
                  <c:v>3.0863533658912599</c:v>
                </c:pt>
                <c:pt idx="4">
                  <c:v>3.9075069445871602</c:v>
                </c:pt>
                <c:pt idx="5">
                  <c:v>4.0585839250179596</c:v>
                </c:pt>
                <c:pt idx="6">
                  <c:v>4.6387874964431299</c:v>
                </c:pt>
                <c:pt idx="7">
                  <c:v>4.8698616391199696</c:v>
                </c:pt>
                <c:pt idx="8">
                  <c:v>5.0628868942146097</c:v>
                </c:pt>
                <c:pt idx="9">
                  <c:v>5.1842224037328704</c:v>
                </c:pt>
                <c:pt idx="10">
                  <c:v>5.3005453233209199</c:v>
                </c:pt>
                <c:pt idx="11">
                  <c:v>5.5666356886146398</c:v>
                </c:pt>
                <c:pt idx="12">
                  <c:v>5.8090680962179198</c:v>
                </c:pt>
                <c:pt idx="13">
                  <c:v>5.9359078455080798</c:v>
                </c:pt>
                <c:pt idx="14">
                  <c:v>5.9994260373768604</c:v>
                </c:pt>
                <c:pt idx="15">
                  <c:v>6.1200506543494697</c:v>
                </c:pt>
                <c:pt idx="16">
                  <c:v>6.1817950713766301</c:v>
                </c:pt>
                <c:pt idx="17">
                  <c:v>6.20710547512315</c:v>
                </c:pt>
                <c:pt idx="18">
                  <c:v>6.2716421576123897</c:v>
                </c:pt>
                <c:pt idx="19">
                  <c:v>6.3295104802927202</c:v>
                </c:pt>
                <c:pt idx="20">
                  <c:v>6.4088940108127099</c:v>
                </c:pt>
                <c:pt idx="21">
                  <c:v>6.46161560781613</c:v>
                </c:pt>
                <c:pt idx="22">
                  <c:v>6.4702446275308203</c:v>
                </c:pt>
                <c:pt idx="23">
                  <c:v>6.5159204881847099</c:v>
                </c:pt>
                <c:pt idx="24">
                  <c:v>6.5357512862260796</c:v>
                </c:pt>
                <c:pt idx="25">
                  <c:v>6.5592132301778401</c:v>
                </c:pt>
                <c:pt idx="26">
                  <c:v>6.5736268400114204</c:v>
                </c:pt>
                <c:pt idx="27">
                  <c:v>6.5821724707573601</c:v>
                </c:pt>
                <c:pt idx="28">
                  <c:v>6.5817951889563897</c:v>
                </c:pt>
                <c:pt idx="29">
                  <c:v>6.6026371427775503</c:v>
                </c:pt>
                <c:pt idx="30">
                  <c:v>6.6045174358884902</c:v>
                </c:pt>
                <c:pt idx="31">
                  <c:v>6.6111286110277403</c:v>
                </c:pt>
                <c:pt idx="32">
                  <c:v>6.6137586113098603</c:v>
                </c:pt>
                <c:pt idx="33">
                  <c:v>6.6261937686048302</c:v>
                </c:pt>
                <c:pt idx="34">
                  <c:v>6.6287455794290899</c:v>
                </c:pt>
                <c:pt idx="35">
                  <c:v>6.6441894699765296</c:v>
                </c:pt>
                <c:pt idx="36">
                  <c:v>6.6233608304540903</c:v>
                </c:pt>
                <c:pt idx="37">
                  <c:v>6.6174191789274301</c:v>
                </c:pt>
                <c:pt idx="38">
                  <c:v>6.6108535027787996</c:v>
                </c:pt>
                <c:pt idx="39">
                  <c:v>6.5964607972577403</c:v>
                </c:pt>
                <c:pt idx="40">
                  <c:v>6.6014852110770503</c:v>
                </c:pt>
                <c:pt idx="41">
                  <c:v>6.6015617836651002</c:v>
                </c:pt>
                <c:pt idx="42">
                  <c:v>6.6004661089559402</c:v>
                </c:pt>
                <c:pt idx="43">
                  <c:v>6.6073653722588199</c:v>
                </c:pt>
                <c:pt idx="44">
                  <c:v>6.6076268013864796</c:v>
                </c:pt>
                <c:pt idx="45">
                  <c:v>6.60650730760306</c:v>
                </c:pt>
                <c:pt idx="46">
                  <c:v>6.6009121539904303</c:v>
                </c:pt>
                <c:pt idx="47">
                  <c:v>6.5966274932975404</c:v>
                </c:pt>
                <c:pt idx="48">
                  <c:v>6.5794968508660396</c:v>
                </c:pt>
                <c:pt idx="49">
                  <c:v>6.55373896860167</c:v>
                </c:pt>
                <c:pt idx="50">
                  <c:v>6.5422483573360299</c:v>
                </c:pt>
                <c:pt idx="51">
                  <c:v>6.5256632656015201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124544"/>
        <c:axId val="224477568"/>
      </c:lineChart>
      <c:dateAx>
        <c:axId val="208124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24477568"/>
        <c:crosses val="autoZero"/>
        <c:auto val="1"/>
        <c:lblOffset val="100"/>
        <c:baseTimeUnit val="months"/>
      </c:dateAx>
      <c:valAx>
        <c:axId val="224477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81245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'pct refi'!$E$1</c:f>
              <c:strCache>
                <c:ptCount val="1"/>
                <c:pt idx="0">
                  <c:v>CR</c:v>
                </c:pt>
              </c:strCache>
            </c:strRef>
          </c:tx>
          <c:marker>
            <c:symbol val="none"/>
          </c:marker>
          <c:cat>
            <c:numRef>
              <c:f>'pct refi'!$B$2:$B$509</c:f>
              <c:numCache>
                <c:formatCode>m/d/yyyy</c:formatCode>
                <c:ptCount val="508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  <c:pt idx="46">
                  <c:v>42491</c:v>
                </c:pt>
                <c:pt idx="47">
                  <c:v>42522</c:v>
                </c:pt>
                <c:pt idx="48">
                  <c:v>42552</c:v>
                </c:pt>
                <c:pt idx="49">
                  <c:v>42583</c:v>
                </c:pt>
                <c:pt idx="50">
                  <c:v>42614</c:v>
                </c:pt>
                <c:pt idx="51">
                  <c:v>42644</c:v>
                </c:pt>
              </c:numCache>
            </c:numRef>
          </c:cat>
          <c:val>
            <c:numRef>
              <c:f>'pct refi'!$E$2:$E$509</c:f>
              <c:numCache>
                <c:formatCode>General</c:formatCode>
                <c:ptCount val="508"/>
                <c:pt idx="0">
                  <c:v>85.693415165300806</c:v>
                </c:pt>
                <c:pt idx="1">
                  <c:v>96.482340188406994</c:v>
                </c:pt>
                <c:pt idx="2">
                  <c:v>97.595426576825901</c:v>
                </c:pt>
                <c:pt idx="3">
                  <c:v>97.735807819908302</c:v>
                </c:pt>
                <c:pt idx="4">
                  <c:v>99.388632249045898</c:v>
                </c:pt>
                <c:pt idx="5">
                  <c:v>98.373309923175</c:v>
                </c:pt>
                <c:pt idx="6">
                  <c:v>99.0863450566642</c:v>
                </c:pt>
                <c:pt idx="7">
                  <c:v>98.995572343663</c:v>
                </c:pt>
                <c:pt idx="8">
                  <c:v>99.252271367276805</c:v>
                </c:pt>
                <c:pt idx="9">
                  <c:v>99.387780121561605</c:v>
                </c:pt>
                <c:pt idx="10">
                  <c:v>99.467069786297301</c:v>
                </c:pt>
                <c:pt idx="11">
                  <c:v>99.577346548432203</c:v>
                </c:pt>
                <c:pt idx="12">
                  <c:v>99.715091122871101</c:v>
                </c:pt>
                <c:pt idx="13">
                  <c:v>99.812700928302306</c:v>
                </c:pt>
                <c:pt idx="14">
                  <c:v>99.827756629261401</c:v>
                </c:pt>
                <c:pt idx="15">
                  <c:v>99.881741310528</c:v>
                </c:pt>
                <c:pt idx="16">
                  <c:v>99.901184069600404</c:v>
                </c:pt>
                <c:pt idx="17">
                  <c:v>99.935704560968901</c:v>
                </c:pt>
                <c:pt idx="18">
                  <c:v>99.349232414103994</c:v>
                </c:pt>
                <c:pt idx="19">
                  <c:v>99.955040284825401</c:v>
                </c:pt>
                <c:pt idx="20">
                  <c:v>99.964593840200493</c:v>
                </c:pt>
                <c:pt idx="21">
                  <c:v>99.969774070177195</c:v>
                </c:pt>
                <c:pt idx="22">
                  <c:v>99.980512248290395</c:v>
                </c:pt>
                <c:pt idx="23">
                  <c:v>99.966894756355501</c:v>
                </c:pt>
                <c:pt idx="24">
                  <c:v>99.980470253348997</c:v>
                </c:pt>
                <c:pt idx="25">
                  <c:v>99.978622896386099</c:v>
                </c:pt>
                <c:pt idx="26">
                  <c:v>99.981835523322601</c:v>
                </c:pt>
                <c:pt idx="27">
                  <c:v>99.987654922968105</c:v>
                </c:pt>
                <c:pt idx="28">
                  <c:v>99.971222116939003</c:v>
                </c:pt>
                <c:pt idx="29">
                  <c:v>100</c:v>
                </c:pt>
                <c:pt idx="30">
                  <c:v>99.974829418036293</c:v>
                </c:pt>
                <c:pt idx="31">
                  <c:v>99.984892742351505</c:v>
                </c:pt>
                <c:pt idx="32">
                  <c:v>99.989890919218297</c:v>
                </c:pt>
                <c:pt idx="33">
                  <c:v>99.980509885810605</c:v>
                </c:pt>
                <c:pt idx="34">
                  <c:v>99.990338512294898</c:v>
                </c:pt>
                <c:pt idx="35">
                  <c:v>99.989036672958306</c:v>
                </c:pt>
                <c:pt idx="36">
                  <c:v>99.979674291340103</c:v>
                </c:pt>
                <c:pt idx="37">
                  <c:v>99.987995949013694</c:v>
                </c:pt>
                <c:pt idx="38">
                  <c:v>99.989697821846406</c:v>
                </c:pt>
                <c:pt idx="39">
                  <c:v>99.986733380790199</c:v>
                </c:pt>
                <c:pt idx="40">
                  <c:v>99.875324988648401</c:v>
                </c:pt>
                <c:pt idx="41">
                  <c:v>100</c:v>
                </c:pt>
                <c:pt idx="42">
                  <c:v>99.975213419223394</c:v>
                </c:pt>
                <c:pt idx="43">
                  <c:v>99.989391017975805</c:v>
                </c:pt>
                <c:pt idx="44">
                  <c:v>100</c:v>
                </c:pt>
                <c:pt idx="45">
                  <c:v>99.984814250368402</c:v>
                </c:pt>
                <c:pt idx="46">
                  <c:v>99.989535696742806</c:v>
                </c:pt>
                <c:pt idx="47">
                  <c:v>99.9940748585488</c:v>
                </c:pt>
                <c:pt idx="48">
                  <c:v>99.993243568778695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'pct refi'!$L$1</c:f>
              <c:strCache>
                <c:ptCount val="1"/>
                <c:pt idx="0">
                  <c:v>U9</c:v>
                </c:pt>
              </c:strCache>
            </c:strRef>
          </c:tx>
          <c:marker>
            <c:symbol val="none"/>
          </c:marker>
          <c:cat>
            <c:numRef>
              <c:f>'pct refi'!$B$2:$B$509</c:f>
              <c:numCache>
                <c:formatCode>m/d/yyyy</c:formatCode>
                <c:ptCount val="508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  <c:pt idx="46">
                  <c:v>42491</c:v>
                </c:pt>
                <c:pt idx="47">
                  <c:v>42522</c:v>
                </c:pt>
                <c:pt idx="48">
                  <c:v>42552</c:v>
                </c:pt>
                <c:pt idx="49">
                  <c:v>42583</c:v>
                </c:pt>
                <c:pt idx="50">
                  <c:v>42614</c:v>
                </c:pt>
                <c:pt idx="51">
                  <c:v>42644</c:v>
                </c:pt>
              </c:numCache>
            </c:numRef>
          </c:cat>
          <c:val>
            <c:numRef>
              <c:f>'pct refi'!$L$2:$L$509</c:f>
              <c:numCache>
                <c:formatCode>General</c:formatCode>
                <c:ptCount val="508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170496"/>
        <c:axId val="180730880"/>
      </c:lineChart>
      <c:dateAx>
        <c:axId val="17817049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80730880"/>
        <c:crosses val="autoZero"/>
        <c:auto val="1"/>
        <c:lblOffset val="100"/>
        <c:baseTimeUnit val="months"/>
      </c:dateAx>
      <c:valAx>
        <c:axId val="1807308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81704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cltv!$N$1</c:f>
              <c:strCache>
                <c:ptCount val="1"/>
                <c:pt idx="0">
                  <c:v>FNCR</c:v>
                </c:pt>
              </c:strCache>
            </c:strRef>
          </c:tx>
          <c:marker>
            <c:symbol val="none"/>
          </c:marker>
          <c:cat>
            <c:numRef>
              <c:f>cltv!$M$2:$M$53</c:f>
              <c:numCache>
                <c:formatCode>m/d/yyyy</c:formatCode>
                <c:ptCount val="52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  <c:pt idx="46">
                  <c:v>42491</c:v>
                </c:pt>
                <c:pt idx="47">
                  <c:v>42522</c:v>
                </c:pt>
                <c:pt idx="48">
                  <c:v>42552</c:v>
                </c:pt>
                <c:pt idx="49">
                  <c:v>42583</c:v>
                </c:pt>
                <c:pt idx="50">
                  <c:v>42614</c:v>
                </c:pt>
                <c:pt idx="51">
                  <c:v>42644</c:v>
                </c:pt>
              </c:numCache>
            </c:numRef>
          </c:cat>
          <c:val>
            <c:numRef>
              <c:f>cltv!$N$2:$N$53</c:f>
              <c:numCache>
                <c:formatCode>General</c:formatCode>
                <c:ptCount val="52"/>
                <c:pt idx="0">
                  <c:v>153.18206971064399</c:v>
                </c:pt>
                <c:pt idx="1">
                  <c:v>153.017376207708</c:v>
                </c:pt>
                <c:pt idx="2">
                  <c:v>152.97002232101701</c:v>
                </c:pt>
                <c:pt idx="3">
                  <c:v>152.894798386026</c:v>
                </c:pt>
                <c:pt idx="4">
                  <c:v>152.493583155312</c:v>
                </c:pt>
                <c:pt idx="5">
                  <c:v>152.170588482921</c:v>
                </c:pt>
                <c:pt idx="6">
                  <c:v>151.25458246047</c:v>
                </c:pt>
                <c:pt idx="7">
                  <c:v>150.42992910628499</c:v>
                </c:pt>
                <c:pt idx="8">
                  <c:v>149.36004498669601</c:v>
                </c:pt>
                <c:pt idx="9">
                  <c:v>146.64197146202301</c:v>
                </c:pt>
                <c:pt idx="10">
                  <c:v>144.124136675572</c:v>
                </c:pt>
                <c:pt idx="11">
                  <c:v>141.64053818436</c:v>
                </c:pt>
                <c:pt idx="12">
                  <c:v>140.43335805130499</c:v>
                </c:pt>
                <c:pt idx="13">
                  <c:v>139.18940646289701</c:v>
                </c:pt>
                <c:pt idx="14">
                  <c:v>137.98699577692901</c:v>
                </c:pt>
                <c:pt idx="15">
                  <c:v>137.765319363705</c:v>
                </c:pt>
                <c:pt idx="16">
                  <c:v>137.447359679806</c:v>
                </c:pt>
                <c:pt idx="17">
                  <c:v>137.161031625394</c:v>
                </c:pt>
                <c:pt idx="18">
                  <c:v>136.59690878899701</c:v>
                </c:pt>
                <c:pt idx="19">
                  <c:v>136.05506282999301</c:v>
                </c:pt>
                <c:pt idx="20">
                  <c:v>135.50862095993099</c:v>
                </c:pt>
                <c:pt idx="21">
                  <c:v>133.93264483532801</c:v>
                </c:pt>
                <c:pt idx="22">
                  <c:v>132.39785631118099</c:v>
                </c:pt>
                <c:pt idx="23">
                  <c:v>130.870908833394</c:v>
                </c:pt>
                <c:pt idx="24">
                  <c:v>130.00276383661699</c:v>
                </c:pt>
                <c:pt idx="25">
                  <c:v>129.146376317593</c:v>
                </c:pt>
                <c:pt idx="26">
                  <c:v>128.33094415437799</c:v>
                </c:pt>
                <c:pt idx="27">
                  <c:v>127.954925717012</c:v>
                </c:pt>
                <c:pt idx="28">
                  <c:v>127.594553296206</c:v>
                </c:pt>
                <c:pt idx="29">
                  <c:v>127.22308525442</c:v>
                </c:pt>
                <c:pt idx="30">
                  <c:v>126.57450171420599</c:v>
                </c:pt>
                <c:pt idx="31">
                  <c:v>125.90354452470901</c:v>
                </c:pt>
                <c:pt idx="32">
                  <c:v>125.23783146205901</c:v>
                </c:pt>
                <c:pt idx="33">
                  <c:v>123.492308513618</c:v>
                </c:pt>
                <c:pt idx="34">
                  <c:v>121.84214430937099</c:v>
                </c:pt>
                <c:pt idx="35">
                  <c:v>120.24159143077701</c:v>
                </c:pt>
                <c:pt idx="36">
                  <c:v>119.357194493008</c:v>
                </c:pt>
                <c:pt idx="37">
                  <c:v>118.51049413568199</c:v>
                </c:pt>
                <c:pt idx="38">
                  <c:v>117.67173121368199</c:v>
                </c:pt>
                <c:pt idx="39">
                  <c:v>117.28458104427899</c:v>
                </c:pt>
                <c:pt idx="40">
                  <c:v>116.892613010953</c:v>
                </c:pt>
                <c:pt idx="41">
                  <c:v>116.481389673758</c:v>
                </c:pt>
                <c:pt idx="42">
                  <c:v>115.795878130738</c:v>
                </c:pt>
                <c:pt idx="43">
                  <c:v>115.100354329333</c:v>
                </c:pt>
                <c:pt idx="44">
                  <c:v>114.401294744306</c:v>
                </c:pt>
                <c:pt idx="45">
                  <c:v>113.01445342587699</c:v>
                </c:pt>
                <c:pt idx="46">
                  <c:v>111.691254737351</c:v>
                </c:pt>
                <c:pt idx="47">
                  <c:v>110.35269856458</c:v>
                </c:pt>
                <c:pt idx="48">
                  <c:v>110.246686467698</c:v>
                </c:pt>
                <c:pt idx="49">
                  <c:v>110.171119857918</c:v>
                </c:pt>
                <c:pt idx="50">
                  <c:v>110.002911112853</c:v>
                </c:pt>
                <c:pt idx="51">
                  <c:v>109.91183032421699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cltv!$O$1</c:f>
              <c:strCache>
                <c:ptCount val="1"/>
                <c:pt idx="0">
                  <c:v>FGU9</c:v>
                </c:pt>
              </c:strCache>
            </c:strRef>
          </c:tx>
          <c:marker>
            <c:symbol val="none"/>
          </c:marker>
          <c:cat>
            <c:numRef>
              <c:f>cltv!$M$2:$M$53</c:f>
              <c:numCache>
                <c:formatCode>m/d/yyyy</c:formatCode>
                <c:ptCount val="52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  <c:pt idx="46">
                  <c:v>42491</c:v>
                </c:pt>
                <c:pt idx="47">
                  <c:v>42522</c:v>
                </c:pt>
                <c:pt idx="48">
                  <c:v>42552</c:v>
                </c:pt>
                <c:pt idx="49">
                  <c:v>42583</c:v>
                </c:pt>
                <c:pt idx="50">
                  <c:v>42614</c:v>
                </c:pt>
                <c:pt idx="51">
                  <c:v>42644</c:v>
                </c:pt>
              </c:numCache>
            </c:numRef>
          </c:cat>
          <c:val>
            <c:numRef>
              <c:f>cltv!$O$2:$O$53</c:f>
              <c:numCache>
                <c:formatCode>General</c:formatCode>
                <c:ptCount val="52"/>
                <c:pt idx="0">
                  <c:v>153.55530532209801</c:v>
                </c:pt>
                <c:pt idx="1">
                  <c:v>152.51266753284801</c:v>
                </c:pt>
                <c:pt idx="2">
                  <c:v>151.49346091689</c:v>
                </c:pt>
                <c:pt idx="3">
                  <c:v>150.93177874339301</c:v>
                </c:pt>
                <c:pt idx="4">
                  <c:v>150.24050643897601</c:v>
                </c:pt>
                <c:pt idx="5">
                  <c:v>149.658147714774</c:v>
                </c:pt>
                <c:pt idx="6">
                  <c:v>148.25248846393399</c:v>
                </c:pt>
                <c:pt idx="7">
                  <c:v>146.954433438487</c:v>
                </c:pt>
                <c:pt idx="8">
                  <c:v>145.82836892334299</c:v>
                </c:pt>
                <c:pt idx="9">
                  <c:v>143.14548619362299</c:v>
                </c:pt>
                <c:pt idx="10">
                  <c:v>140.66188458723701</c:v>
                </c:pt>
                <c:pt idx="11">
                  <c:v>138.29250910925001</c:v>
                </c:pt>
                <c:pt idx="12">
                  <c:v>137.08275768082899</c:v>
                </c:pt>
                <c:pt idx="13">
                  <c:v>135.83433562965399</c:v>
                </c:pt>
                <c:pt idx="14">
                  <c:v>134.51993789281801</c:v>
                </c:pt>
                <c:pt idx="15">
                  <c:v>134.380628485442</c:v>
                </c:pt>
                <c:pt idx="16">
                  <c:v>134.149157315704</c:v>
                </c:pt>
                <c:pt idx="17">
                  <c:v>133.865147861476</c:v>
                </c:pt>
                <c:pt idx="18">
                  <c:v>133.361030105916</c:v>
                </c:pt>
                <c:pt idx="19">
                  <c:v>132.84219254160499</c:v>
                </c:pt>
                <c:pt idx="20">
                  <c:v>132.34420560397999</c:v>
                </c:pt>
                <c:pt idx="21">
                  <c:v>130.81832518122999</c:v>
                </c:pt>
                <c:pt idx="22">
                  <c:v>129.308087343925</c:v>
                </c:pt>
                <c:pt idx="23">
                  <c:v>127.84676187699399</c:v>
                </c:pt>
                <c:pt idx="24">
                  <c:v>126.983202449422</c:v>
                </c:pt>
                <c:pt idx="25">
                  <c:v>126.19550468757301</c:v>
                </c:pt>
                <c:pt idx="26">
                  <c:v>125.322093955383</c:v>
                </c:pt>
                <c:pt idx="27">
                  <c:v>124.97980699620901</c:v>
                </c:pt>
                <c:pt idx="28">
                  <c:v>124.679344538153</c:v>
                </c:pt>
                <c:pt idx="29">
                  <c:v>124.379480485694</c:v>
                </c:pt>
                <c:pt idx="30">
                  <c:v>123.75604178675999</c:v>
                </c:pt>
                <c:pt idx="31">
                  <c:v>123.157698769516</c:v>
                </c:pt>
                <c:pt idx="32">
                  <c:v>122.566055597705</c:v>
                </c:pt>
                <c:pt idx="33">
                  <c:v>120.878702231025</c:v>
                </c:pt>
                <c:pt idx="34">
                  <c:v>119.257741719969</c:v>
                </c:pt>
                <c:pt idx="35">
                  <c:v>117.68012930363</c:v>
                </c:pt>
                <c:pt idx="36">
                  <c:v>116.870125927201</c:v>
                </c:pt>
                <c:pt idx="37">
                  <c:v>116.060746020042</c:v>
                </c:pt>
                <c:pt idx="38">
                  <c:v>115.275000579232</c:v>
                </c:pt>
                <c:pt idx="39">
                  <c:v>114.952177692376</c:v>
                </c:pt>
                <c:pt idx="40">
                  <c:v>114.60478507726</c:v>
                </c:pt>
                <c:pt idx="41">
                  <c:v>114.269669059406</c:v>
                </c:pt>
                <c:pt idx="42">
                  <c:v>113.625062227158</c:v>
                </c:pt>
                <c:pt idx="43">
                  <c:v>112.989856371363</c:v>
                </c:pt>
                <c:pt idx="44">
                  <c:v>112.326941229341</c:v>
                </c:pt>
                <c:pt idx="45">
                  <c:v>110.96825268082399</c:v>
                </c:pt>
                <c:pt idx="46">
                  <c:v>109.642920271872</c:v>
                </c:pt>
                <c:pt idx="47">
                  <c:v>108.360786275062</c:v>
                </c:pt>
                <c:pt idx="48">
                  <c:v>108.239466109258</c:v>
                </c:pt>
                <c:pt idx="49">
                  <c:v>108.128708730178</c:v>
                </c:pt>
                <c:pt idx="50">
                  <c:v>108.04797919164901</c:v>
                </c:pt>
                <c:pt idx="51">
                  <c:v>107.96581978681201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7637888"/>
        <c:axId val="232112896"/>
      </c:lineChart>
      <c:dateAx>
        <c:axId val="22763788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32112896"/>
        <c:crosses val="autoZero"/>
        <c:auto val="1"/>
        <c:lblOffset val="100"/>
        <c:baseTimeUnit val="months"/>
      </c:dateAx>
      <c:valAx>
        <c:axId val="2321128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76378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loanSize!$N$1</c:f>
              <c:strCache>
                <c:ptCount val="1"/>
                <c:pt idx="0">
                  <c:v>FNCR</c:v>
                </c:pt>
              </c:strCache>
            </c:strRef>
          </c:tx>
          <c:marker>
            <c:symbol val="none"/>
          </c:marker>
          <c:cat>
            <c:numRef>
              <c:f>loanSize!$M$2:$M$53</c:f>
              <c:numCache>
                <c:formatCode>m/d/yyyy</c:formatCode>
                <c:ptCount val="52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  <c:pt idx="46">
                  <c:v>42491</c:v>
                </c:pt>
                <c:pt idx="47">
                  <c:v>42522</c:v>
                </c:pt>
                <c:pt idx="48">
                  <c:v>42552</c:v>
                </c:pt>
                <c:pt idx="49">
                  <c:v>42583</c:v>
                </c:pt>
                <c:pt idx="50">
                  <c:v>42614</c:v>
                </c:pt>
                <c:pt idx="51">
                  <c:v>42644</c:v>
                </c:pt>
              </c:numCache>
            </c:numRef>
          </c:cat>
          <c:val>
            <c:numRef>
              <c:f>loanSize!$N$2:$N$53</c:f>
              <c:numCache>
                <c:formatCode>General</c:formatCode>
                <c:ptCount val="52"/>
                <c:pt idx="0">
                  <c:v>219468.05532400499</c:v>
                </c:pt>
                <c:pt idx="1">
                  <c:v>216101.767224768</c:v>
                </c:pt>
                <c:pt idx="2">
                  <c:v>214800.61261931999</c:v>
                </c:pt>
                <c:pt idx="3">
                  <c:v>213479.475082713</c:v>
                </c:pt>
                <c:pt idx="4">
                  <c:v>212263.23738338199</c:v>
                </c:pt>
                <c:pt idx="5">
                  <c:v>211298.77527064201</c:v>
                </c:pt>
                <c:pt idx="6">
                  <c:v>210279.55338287499</c:v>
                </c:pt>
                <c:pt idx="7">
                  <c:v>209024.54888249299</c:v>
                </c:pt>
                <c:pt idx="8">
                  <c:v>208237.009001417</c:v>
                </c:pt>
                <c:pt idx="9">
                  <c:v>207239.37222031201</c:v>
                </c:pt>
                <c:pt idx="10">
                  <c:v>205980.39361553901</c:v>
                </c:pt>
                <c:pt idx="11">
                  <c:v>204912.949148071</c:v>
                </c:pt>
                <c:pt idx="12">
                  <c:v>203862.66108826399</c:v>
                </c:pt>
                <c:pt idx="13">
                  <c:v>202935.78664636399</c:v>
                </c:pt>
                <c:pt idx="14">
                  <c:v>202055.23331903701</c:v>
                </c:pt>
                <c:pt idx="15">
                  <c:v>201301.51022435201</c:v>
                </c:pt>
                <c:pt idx="16">
                  <c:v>200617.61111733501</c:v>
                </c:pt>
                <c:pt idx="17">
                  <c:v>199947.22979078299</c:v>
                </c:pt>
                <c:pt idx="18">
                  <c:v>199587.32040642601</c:v>
                </c:pt>
                <c:pt idx="19">
                  <c:v>199026.11311909001</c:v>
                </c:pt>
                <c:pt idx="20">
                  <c:v>198506.48679479299</c:v>
                </c:pt>
                <c:pt idx="21">
                  <c:v>197995.630152158</c:v>
                </c:pt>
                <c:pt idx="22">
                  <c:v>197524.501294207</c:v>
                </c:pt>
                <c:pt idx="23">
                  <c:v>197045.65282076699</c:v>
                </c:pt>
                <c:pt idx="24">
                  <c:v>196580.54975119399</c:v>
                </c:pt>
                <c:pt idx="25">
                  <c:v>196139.497280999</c:v>
                </c:pt>
                <c:pt idx="26">
                  <c:v>195675.71020271999</c:v>
                </c:pt>
                <c:pt idx="27">
                  <c:v>195229.192886081</c:v>
                </c:pt>
                <c:pt idx="28">
                  <c:v>194794.672366585</c:v>
                </c:pt>
                <c:pt idx="29">
                  <c:v>194353.688717607</c:v>
                </c:pt>
                <c:pt idx="30">
                  <c:v>193936.22113957899</c:v>
                </c:pt>
                <c:pt idx="31">
                  <c:v>193519.157049286</c:v>
                </c:pt>
                <c:pt idx="32">
                  <c:v>193094.821623303</c:v>
                </c:pt>
                <c:pt idx="33">
                  <c:v>192639.012676896</c:v>
                </c:pt>
                <c:pt idx="34">
                  <c:v>192190.29118589801</c:v>
                </c:pt>
                <c:pt idx="35">
                  <c:v>191723.762886793</c:v>
                </c:pt>
                <c:pt idx="36">
                  <c:v>191223.96744176</c:v>
                </c:pt>
                <c:pt idx="37">
                  <c:v>190765.127118148</c:v>
                </c:pt>
                <c:pt idx="38">
                  <c:v>190338.06013975601</c:v>
                </c:pt>
                <c:pt idx="39">
                  <c:v>189903.26226852601</c:v>
                </c:pt>
                <c:pt idx="40">
                  <c:v>189456.36113857801</c:v>
                </c:pt>
                <c:pt idx="41">
                  <c:v>189024.62716330201</c:v>
                </c:pt>
                <c:pt idx="42">
                  <c:v>188609.11240315301</c:v>
                </c:pt>
                <c:pt idx="43">
                  <c:v>188194.980124972</c:v>
                </c:pt>
                <c:pt idx="44">
                  <c:v>187762.59109926</c:v>
                </c:pt>
                <c:pt idx="45">
                  <c:v>187285.27343671999</c:v>
                </c:pt>
                <c:pt idx="46">
                  <c:v>186836.25051751101</c:v>
                </c:pt>
                <c:pt idx="47">
                  <c:v>186330.30888754499</c:v>
                </c:pt>
                <c:pt idx="48">
                  <c:v>185826.872288971</c:v>
                </c:pt>
                <c:pt idx="49">
                  <c:v>185339.47673647001</c:v>
                </c:pt>
                <c:pt idx="50">
                  <c:v>184814.16201080999</c:v>
                </c:pt>
                <c:pt idx="51">
                  <c:v>184309.20845134099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loanSize!$O$1</c:f>
              <c:strCache>
                <c:ptCount val="1"/>
                <c:pt idx="0">
                  <c:v>FGU9</c:v>
                </c:pt>
              </c:strCache>
            </c:strRef>
          </c:tx>
          <c:marker>
            <c:symbol val="none"/>
          </c:marker>
          <c:cat>
            <c:numRef>
              <c:f>loanSize!$M$2:$M$53</c:f>
              <c:numCache>
                <c:formatCode>m/d/yyyy</c:formatCode>
                <c:ptCount val="52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  <c:pt idx="46">
                  <c:v>42491</c:v>
                </c:pt>
                <c:pt idx="47">
                  <c:v>42522</c:v>
                </c:pt>
                <c:pt idx="48">
                  <c:v>42552</c:v>
                </c:pt>
                <c:pt idx="49">
                  <c:v>42583</c:v>
                </c:pt>
                <c:pt idx="50">
                  <c:v>42614</c:v>
                </c:pt>
                <c:pt idx="51">
                  <c:v>42644</c:v>
                </c:pt>
              </c:numCache>
            </c:numRef>
          </c:cat>
          <c:val>
            <c:numRef>
              <c:f>loanSize!$O$2:$O$53</c:f>
              <c:numCache>
                <c:formatCode>General</c:formatCode>
                <c:ptCount val="52"/>
                <c:pt idx="0">
                  <c:v>220721.83932633599</c:v>
                </c:pt>
                <c:pt idx="1">
                  <c:v>218770.300720503</c:v>
                </c:pt>
                <c:pt idx="2">
                  <c:v>218004.304938505</c:v>
                </c:pt>
                <c:pt idx="3">
                  <c:v>216677.14185613301</c:v>
                </c:pt>
                <c:pt idx="4">
                  <c:v>216113.52301493901</c:v>
                </c:pt>
                <c:pt idx="5">
                  <c:v>214181.987011071</c:v>
                </c:pt>
                <c:pt idx="6">
                  <c:v>213499.11094398701</c:v>
                </c:pt>
                <c:pt idx="7">
                  <c:v>212467.93598334701</c:v>
                </c:pt>
                <c:pt idx="8">
                  <c:v>211379.61390647999</c:v>
                </c:pt>
                <c:pt idx="9">
                  <c:v>210133.30483906201</c:v>
                </c:pt>
                <c:pt idx="10">
                  <c:v>208890.23703537899</c:v>
                </c:pt>
                <c:pt idx="11">
                  <c:v>207900.86494427299</c:v>
                </c:pt>
                <c:pt idx="12">
                  <c:v>206919.31335715301</c:v>
                </c:pt>
                <c:pt idx="13">
                  <c:v>205978.93909646099</c:v>
                </c:pt>
                <c:pt idx="14">
                  <c:v>205141.731363064</c:v>
                </c:pt>
                <c:pt idx="15">
                  <c:v>204291.713805732</c:v>
                </c:pt>
                <c:pt idx="16">
                  <c:v>203672.01170382899</c:v>
                </c:pt>
                <c:pt idx="17">
                  <c:v>203028.55439944001</c:v>
                </c:pt>
                <c:pt idx="18">
                  <c:v>202490.59188218799</c:v>
                </c:pt>
                <c:pt idx="19">
                  <c:v>201972.60892453801</c:v>
                </c:pt>
                <c:pt idx="20">
                  <c:v>201457.195798915</c:v>
                </c:pt>
                <c:pt idx="21">
                  <c:v>200983.247602166</c:v>
                </c:pt>
                <c:pt idx="22">
                  <c:v>200527.330295858</c:v>
                </c:pt>
                <c:pt idx="23">
                  <c:v>200057.65530563699</c:v>
                </c:pt>
                <c:pt idx="24">
                  <c:v>199600.31777124901</c:v>
                </c:pt>
                <c:pt idx="25">
                  <c:v>199148.98705416499</c:v>
                </c:pt>
                <c:pt idx="26">
                  <c:v>198689.856300196</c:v>
                </c:pt>
                <c:pt idx="27">
                  <c:v>198258.902849718</c:v>
                </c:pt>
                <c:pt idx="28">
                  <c:v>197799.30369750899</c:v>
                </c:pt>
                <c:pt idx="29">
                  <c:v>197359.96525359899</c:v>
                </c:pt>
                <c:pt idx="30">
                  <c:v>196905.075382768</c:v>
                </c:pt>
                <c:pt idx="31">
                  <c:v>196459.89923392399</c:v>
                </c:pt>
                <c:pt idx="32">
                  <c:v>196006.17761451</c:v>
                </c:pt>
                <c:pt idx="33">
                  <c:v>195547.80106585601</c:v>
                </c:pt>
                <c:pt idx="34">
                  <c:v>195088.62907036001</c:v>
                </c:pt>
                <c:pt idx="35">
                  <c:v>194601.07456790499</c:v>
                </c:pt>
                <c:pt idx="36">
                  <c:v>194131.37763995401</c:v>
                </c:pt>
                <c:pt idx="37">
                  <c:v>193645.83280661399</c:v>
                </c:pt>
                <c:pt idx="38">
                  <c:v>193169.84496310199</c:v>
                </c:pt>
                <c:pt idx="39">
                  <c:v>192726.05739323801</c:v>
                </c:pt>
                <c:pt idx="40">
                  <c:v>192247.13468972</c:v>
                </c:pt>
                <c:pt idx="41">
                  <c:v>191795.958223833</c:v>
                </c:pt>
                <c:pt idx="42">
                  <c:v>191305.780298895</c:v>
                </c:pt>
                <c:pt idx="43">
                  <c:v>190849.96002398501</c:v>
                </c:pt>
                <c:pt idx="44">
                  <c:v>190368.252964616</c:v>
                </c:pt>
                <c:pt idx="45">
                  <c:v>189889.71771917501</c:v>
                </c:pt>
                <c:pt idx="46">
                  <c:v>189394.693017963</c:v>
                </c:pt>
                <c:pt idx="47">
                  <c:v>188882.97962970001</c:v>
                </c:pt>
                <c:pt idx="48">
                  <c:v>188367.60405686</c:v>
                </c:pt>
                <c:pt idx="49">
                  <c:v>187823.70107013101</c:v>
                </c:pt>
                <c:pt idx="50">
                  <c:v>187246.94905762901</c:v>
                </c:pt>
                <c:pt idx="51">
                  <c:v>186687.760026081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2145664"/>
        <c:axId val="232147200"/>
      </c:lineChart>
      <c:dateAx>
        <c:axId val="2321456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32147200"/>
        <c:crosses val="autoZero"/>
        <c:auto val="1"/>
        <c:lblOffset val="100"/>
        <c:baseTimeUnit val="months"/>
      </c:dateAx>
      <c:valAx>
        <c:axId val="2321472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21456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burnout!$N$1</c:f>
              <c:strCache>
                <c:ptCount val="1"/>
                <c:pt idx="0">
                  <c:v>FNCR</c:v>
                </c:pt>
              </c:strCache>
            </c:strRef>
          </c:tx>
          <c:marker>
            <c:symbol val="none"/>
          </c:marker>
          <c:cat>
            <c:numRef>
              <c:f>burnout!$M$2:$M$53</c:f>
              <c:numCache>
                <c:formatCode>m/d/yyyy</c:formatCode>
                <c:ptCount val="52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  <c:pt idx="46">
                  <c:v>42491</c:v>
                </c:pt>
                <c:pt idx="47">
                  <c:v>42522</c:v>
                </c:pt>
                <c:pt idx="48">
                  <c:v>42552</c:v>
                </c:pt>
                <c:pt idx="49">
                  <c:v>42583</c:v>
                </c:pt>
                <c:pt idx="50">
                  <c:v>42614</c:v>
                </c:pt>
                <c:pt idx="51">
                  <c:v>42644</c:v>
                </c:pt>
              </c:numCache>
            </c:numRef>
          </c:cat>
          <c:val>
            <c:numRef>
              <c:f>burnout!$N$2:$N$53</c:f>
              <c:numCache>
                <c:formatCode>General</c:formatCode>
                <c:ptCount val="52"/>
                <c:pt idx="0">
                  <c:v>0.18543958457177501</c:v>
                </c:pt>
                <c:pt idx="1">
                  <c:v>0.44533166346478797</c:v>
                </c:pt>
                <c:pt idx="2">
                  <c:v>0.51316328350080498</c:v>
                </c:pt>
                <c:pt idx="3">
                  <c:v>0.87213540171368098</c:v>
                </c:pt>
                <c:pt idx="4">
                  <c:v>1.7059019203341399</c:v>
                </c:pt>
                <c:pt idx="5">
                  <c:v>2.4105669005630102</c:v>
                </c:pt>
                <c:pt idx="6">
                  <c:v>3.0343639628491701</c:v>
                </c:pt>
                <c:pt idx="7">
                  <c:v>3.1422863084063302</c:v>
                </c:pt>
                <c:pt idx="8">
                  <c:v>2.9893646571656598</c:v>
                </c:pt>
                <c:pt idx="9">
                  <c:v>2.8458591927335202</c:v>
                </c:pt>
                <c:pt idx="10">
                  <c:v>2.88308947555258</c:v>
                </c:pt>
                <c:pt idx="11">
                  <c:v>2.8357793334712702</c:v>
                </c:pt>
                <c:pt idx="12">
                  <c:v>2.707431459915</c:v>
                </c:pt>
                <c:pt idx="13">
                  <c:v>2.6007093146985301</c:v>
                </c:pt>
                <c:pt idx="14">
                  <c:v>2.5111625599619001</c:v>
                </c:pt>
                <c:pt idx="15">
                  <c:v>2.4575694085543698</c:v>
                </c:pt>
                <c:pt idx="16">
                  <c:v>2.4165095722312699</c:v>
                </c:pt>
                <c:pt idx="17">
                  <c:v>2.3827241098281302</c:v>
                </c:pt>
                <c:pt idx="18">
                  <c:v>26.490530006612001</c:v>
                </c:pt>
                <c:pt idx="19">
                  <c:v>168.47716194035999</c:v>
                </c:pt>
                <c:pt idx="20">
                  <c:v>167.37866477118001</c:v>
                </c:pt>
                <c:pt idx="21">
                  <c:v>166.49449043566401</c:v>
                </c:pt>
                <c:pt idx="22">
                  <c:v>165.85106305142801</c:v>
                </c:pt>
                <c:pt idx="23">
                  <c:v>165.48568543978101</c:v>
                </c:pt>
                <c:pt idx="24">
                  <c:v>165.06110600559199</c:v>
                </c:pt>
                <c:pt idx="25">
                  <c:v>164.73312653232401</c:v>
                </c:pt>
                <c:pt idx="26">
                  <c:v>164.45561817308999</c:v>
                </c:pt>
                <c:pt idx="27">
                  <c:v>164.222978644699</c:v>
                </c:pt>
                <c:pt idx="28">
                  <c:v>164.23122024065901</c:v>
                </c:pt>
                <c:pt idx="29">
                  <c:v>164.27447348582899</c:v>
                </c:pt>
                <c:pt idx="30">
                  <c:v>164.85750988098701</c:v>
                </c:pt>
                <c:pt idx="31">
                  <c:v>165.99279337644501</c:v>
                </c:pt>
                <c:pt idx="32">
                  <c:v>167.12365929106701</c:v>
                </c:pt>
                <c:pt idx="33">
                  <c:v>168.12748105505099</c:v>
                </c:pt>
                <c:pt idx="34">
                  <c:v>169.53818955406399</c:v>
                </c:pt>
                <c:pt idx="35">
                  <c:v>170.42075126501999</c:v>
                </c:pt>
                <c:pt idx="36">
                  <c:v>171.05790847164999</c:v>
                </c:pt>
                <c:pt idx="37">
                  <c:v>171.600196657944</c:v>
                </c:pt>
                <c:pt idx="38">
                  <c:v>172.834891040191</c:v>
                </c:pt>
                <c:pt idx="39">
                  <c:v>174.19398939627399</c:v>
                </c:pt>
                <c:pt idx="40">
                  <c:v>176.456267579056</c:v>
                </c:pt>
                <c:pt idx="41">
                  <c:v>177.873340105279</c:v>
                </c:pt>
                <c:pt idx="42">
                  <c:v>179.298770181912</c:v>
                </c:pt>
                <c:pt idx="43">
                  <c:v>181.21530798388099</c:v>
                </c:pt>
                <c:pt idx="44">
                  <c:v>184.482631912166</c:v>
                </c:pt>
                <c:pt idx="45">
                  <c:v>188.603964299566</c:v>
                </c:pt>
                <c:pt idx="46">
                  <c:v>192.962245236001</c:v>
                </c:pt>
                <c:pt idx="47">
                  <c:v>197.80817770626101</c:v>
                </c:pt>
                <c:pt idx="48">
                  <c:v>203.14842704501399</c:v>
                </c:pt>
                <c:pt idx="49">
                  <c:v>209.96590275117799</c:v>
                </c:pt>
                <c:pt idx="50">
                  <c:v>217.797998710847</c:v>
                </c:pt>
                <c:pt idx="51">
                  <c:v>225.38985303453899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burnout!$O$1</c:f>
              <c:strCache>
                <c:ptCount val="1"/>
                <c:pt idx="0">
                  <c:v>FGU9</c:v>
                </c:pt>
              </c:strCache>
            </c:strRef>
          </c:tx>
          <c:marker>
            <c:symbol val="none"/>
          </c:marker>
          <c:cat>
            <c:numRef>
              <c:f>burnout!$M$2:$M$53</c:f>
              <c:numCache>
                <c:formatCode>m/d/yyyy</c:formatCode>
                <c:ptCount val="52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  <c:pt idx="46">
                  <c:v>42491</c:v>
                </c:pt>
                <c:pt idx="47">
                  <c:v>42522</c:v>
                </c:pt>
                <c:pt idx="48">
                  <c:v>42552</c:v>
                </c:pt>
                <c:pt idx="49">
                  <c:v>42583</c:v>
                </c:pt>
                <c:pt idx="50">
                  <c:v>42614</c:v>
                </c:pt>
                <c:pt idx="51">
                  <c:v>42644</c:v>
                </c:pt>
              </c:numCache>
            </c:numRef>
          </c:cat>
          <c:val>
            <c:numRef>
              <c:f>burnout!$O$2:$O$53</c:f>
              <c:numCache>
                <c:formatCode>General</c:formatCode>
                <c:ptCount val="52"/>
                <c:pt idx="0">
                  <c:v>22.160620180142001</c:v>
                </c:pt>
                <c:pt idx="1">
                  <c:v>18.2136784610849</c:v>
                </c:pt>
                <c:pt idx="2">
                  <c:v>16.378809772493501</c:v>
                </c:pt>
                <c:pt idx="3">
                  <c:v>15.1230381651747</c:v>
                </c:pt>
                <c:pt idx="4">
                  <c:v>14.613487106689499</c:v>
                </c:pt>
                <c:pt idx="5">
                  <c:v>14.0869971797836</c:v>
                </c:pt>
                <c:pt idx="6">
                  <c:v>13.6607574267533</c:v>
                </c:pt>
                <c:pt idx="7">
                  <c:v>13.357896071621299</c:v>
                </c:pt>
                <c:pt idx="8">
                  <c:v>13.0105850324285</c:v>
                </c:pt>
                <c:pt idx="9">
                  <c:v>12.528032226767801</c:v>
                </c:pt>
                <c:pt idx="10">
                  <c:v>12.0427054088592</c:v>
                </c:pt>
                <c:pt idx="11">
                  <c:v>11.7527374132353</c:v>
                </c:pt>
                <c:pt idx="12">
                  <c:v>11.487224676237</c:v>
                </c:pt>
                <c:pt idx="13">
                  <c:v>11.218669316724901</c:v>
                </c:pt>
                <c:pt idx="14">
                  <c:v>11.003495734325</c:v>
                </c:pt>
                <c:pt idx="15">
                  <c:v>10.8261217958648</c:v>
                </c:pt>
                <c:pt idx="16">
                  <c:v>10.7537785818126</c:v>
                </c:pt>
                <c:pt idx="17">
                  <c:v>10.710535906985401</c:v>
                </c:pt>
                <c:pt idx="18">
                  <c:v>10.6844023552149</c:v>
                </c:pt>
                <c:pt idx="19">
                  <c:v>10.6451335892407</c:v>
                </c:pt>
                <c:pt idx="20">
                  <c:v>10.6045415552218</c:v>
                </c:pt>
                <c:pt idx="21">
                  <c:v>10.6100754210928</c:v>
                </c:pt>
                <c:pt idx="22">
                  <c:v>10.5862407817033</c:v>
                </c:pt>
                <c:pt idx="23">
                  <c:v>10.579119642659</c:v>
                </c:pt>
                <c:pt idx="24">
                  <c:v>10.590972834895499</c:v>
                </c:pt>
                <c:pt idx="25">
                  <c:v>10.6020986990889</c:v>
                </c:pt>
                <c:pt idx="26">
                  <c:v>10.6360536690917</c:v>
                </c:pt>
                <c:pt idx="27">
                  <c:v>10.6587295842213</c:v>
                </c:pt>
                <c:pt idx="28">
                  <c:v>10.6990628140734</c:v>
                </c:pt>
                <c:pt idx="29">
                  <c:v>10.765804394819501</c:v>
                </c:pt>
                <c:pt idx="30">
                  <c:v>10.9002974630799</c:v>
                </c:pt>
                <c:pt idx="31">
                  <c:v>11.168629515201401</c:v>
                </c:pt>
                <c:pt idx="32">
                  <c:v>11.4431959674063</c:v>
                </c:pt>
                <c:pt idx="33">
                  <c:v>11.734627978532499</c:v>
                </c:pt>
                <c:pt idx="34">
                  <c:v>12.163242003414</c:v>
                </c:pt>
                <c:pt idx="35">
                  <c:v>12.497913056763</c:v>
                </c:pt>
                <c:pt idx="36">
                  <c:v>12.7066424913356</c:v>
                </c:pt>
                <c:pt idx="37">
                  <c:v>12.8987458830186</c:v>
                </c:pt>
                <c:pt idx="38">
                  <c:v>13.3333461824501</c:v>
                </c:pt>
                <c:pt idx="39">
                  <c:v>13.841712235909901</c:v>
                </c:pt>
                <c:pt idx="40">
                  <c:v>14.5633694128831</c:v>
                </c:pt>
                <c:pt idx="41">
                  <c:v>15.027267634079299</c:v>
                </c:pt>
                <c:pt idx="42">
                  <c:v>15.5544294112937</c:v>
                </c:pt>
                <c:pt idx="43">
                  <c:v>16.2718955447111</c:v>
                </c:pt>
                <c:pt idx="44">
                  <c:v>17.657624323877201</c:v>
                </c:pt>
                <c:pt idx="45">
                  <c:v>19.8095524805182</c:v>
                </c:pt>
                <c:pt idx="46">
                  <c:v>22.253275891662302</c:v>
                </c:pt>
                <c:pt idx="47">
                  <c:v>24.961854230278401</c:v>
                </c:pt>
                <c:pt idx="48">
                  <c:v>27.8834436524258</c:v>
                </c:pt>
                <c:pt idx="49">
                  <c:v>31.587489720957301</c:v>
                </c:pt>
                <c:pt idx="50">
                  <c:v>35.262914280273002</c:v>
                </c:pt>
                <c:pt idx="51">
                  <c:v>38.608916468452499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407680"/>
        <c:axId val="232641280"/>
      </c:lineChart>
      <c:dateAx>
        <c:axId val="2004076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32641280"/>
        <c:crosses val="autoZero"/>
        <c:auto val="1"/>
        <c:lblOffset val="100"/>
        <c:baseTimeUnit val="months"/>
      </c:dateAx>
      <c:valAx>
        <c:axId val="2326412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04076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incentive!$N$1</c:f>
              <c:strCache>
                <c:ptCount val="1"/>
                <c:pt idx="0">
                  <c:v>FNCR</c:v>
                </c:pt>
              </c:strCache>
            </c:strRef>
          </c:tx>
          <c:marker>
            <c:symbol val="none"/>
          </c:marker>
          <c:cat>
            <c:numRef>
              <c:f>incentive!$M$2:$M$53</c:f>
              <c:numCache>
                <c:formatCode>m/d/yyyy</c:formatCode>
                <c:ptCount val="52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  <c:pt idx="46">
                  <c:v>42491</c:v>
                </c:pt>
                <c:pt idx="47">
                  <c:v>42522</c:v>
                </c:pt>
                <c:pt idx="48">
                  <c:v>42552</c:v>
                </c:pt>
                <c:pt idx="49">
                  <c:v>42583</c:v>
                </c:pt>
                <c:pt idx="50">
                  <c:v>42614</c:v>
                </c:pt>
                <c:pt idx="51">
                  <c:v>42644</c:v>
                </c:pt>
              </c:numCache>
            </c:numRef>
          </c:cat>
          <c:val>
            <c:numRef>
              <c:f>incentive!$N$2:$N$53</c:f>
              <c:numCache>
                <c:formatCode>General</c:formatCode>
                <c:ptCount val="52"/>
                <c:pt idx="0">
                  <c:v>102.18520745071601</c:v>
                </c:pt>
                <c:pt idx="1">
                  <c:v>109.75619186573699</c:v>
                </c:pt>
                <c:pt idx="2">
                  <c:v>102.81420604323399</c:v>
                </c:pt>
                <c:pt idx="3">
                  <c:v>110.262325318851</c:v>
                </c:pt>
                <c:pt idx="4">
                  <c:v>118.29595553129199</c:v>
                </c:pt>
                <c:pt idx="5">
                  <c:v>117.950900043258</c:v>
                </c:pt>
                <c:pt idx="6">
                  <c:v>116.16432248351001</c:v>
                </c:pt>
                <c:pt idx="7">
                  <c:v>80.161897316418703</c:v>
                </c:pt>
                <c:pt idx="8">
                  <c:v>49.967145364602601</c:v>
                </c:pt>
                <c:pt idx="9">
                  <c:v>33.747050562857503</c:v>
                </c:pt>
                <c:pt idx="10">
                  <c:v>23.527893695227299</c:v>
                </c:pt>
                <c:pt idx="11">
                  <c:v>10.678748626472901</c:v>
                </c:pt>
                <c:pt idx="12">
                  <c:v>-30.856657284399802</c:v>
                </c:pt>
                <c:pt idx="13">
                  <c:v>-53.4305364059325</c:v>
                </c:pt>
                <c:pt idx="14">
                  <c:v>-61.010140568097</c:v>
                </c:pt>
                <c:pt idx="15">
                  <c:v>-62.648287022823503</c:v>
                </c:pt>
                <c:pt idx="16">
                  <c:v>-45.487633837764001</c:v>
                </c:pt>
                <c:pt idx="17">
                  <c:v>-49.419829842248298</c:v>
                </c:pt>
                <c:pt idx="18">
                  <c:v>-60.579598474477301</c:v>
                </c:pt>
                <c:pt idx="19">
                  <c:v>-59.767667717389998</c:v>
                </c:pt>
                <c:pt idx="20">
                  <c:v>-46.235751189946299</c:v>
                </c:pt>
                <c:pt idx="21">
                  <c:v>-48.537303890717503</c:v>
                </c:pt>
                <c:pt idx="22">
                  <c:v>-48.292821831268398</c:v>
                </c:pt>
                <c:pt idx="23">
                  <c:v>-30.228446606036499</c:v>
                </c:pt>
                <c:pt idx="24">
                  <c:v>-28.451148926212898</c:v>
                </c:pt>
                <c:pt idx="25">
                  <c:v>-26.436356749671798</c:v>
                </c:pt>
                <c:pt idx="26">
                  <c:v>-24.307789616980301</c:v>
                </c:pt>
                <c:pt idx="27">
                  <c:v>-27.1807041404975</c:v>
                </c:pt>
                <c:pt idx="28">
                  <c:v>-14.048690075435999</c:v>
                </c:pt>
                <c:pt idx="29">
                  <c:v>-10.699386254322199</c:v>
                </c:pt>
                <c:pt idx="30">
                  <c:v>1.61666270073981</c:v>
                </c:pt>
                <c:pt idx="31">
                  <c:v>67.918233499808494</c:v>
                </c:pt>
                <c:pt idx="32">
                  <c:v>63.865349111988699</c:v>
                </c:pt>
                <c:pt idx="33">
                  <c:v>58.409590278901</c:v>
                </c:pt>
                <c:pt idx="34">
                  <c:v>67.612591644728795</c:v>
                </c:pt>
                <c:pt idx="35">
                  <c:v>50.549987638122801</c:v>
                </c:pt>
                <c:pt idx="36">
                  <c:v>35.583148137805303</c:v>
                </c:pt>
                <c:pt idx="37">
                  <c:v>30.357298785614098</c:v>
                </c:pt>
                <c:pt idx="38">
                  <c:v>44.525723729493798</c:v>
                </c:pt>
                <c:pt idx="39">
                  <c:v>46.249421229718401</c:v>
                </c:pt>
                <c:pt idx="40">
                  <c:v>56.490383795383401</c:v>
                </c:pt>
                <c:pt idx="41">
                  <c:v>39.736103753823599</c:v>
                </c:pt>
                <c:pt idx="42">
                  <c:v>38.149729553116202</c:v>
                </c:pt>
                <c:pt idx="43">
                  <c:v>47.213772760229098</c:v>
                </c:pt>
                <c:pt idx="44">
                  <c:v>69.642149378612203</c:v>
                </c:pt>
                <c:pt idx="45">
                  <c:v>73.429968083709497</c:v>
                </c:pt>
                <c:pt idx="46">
                  <c:v>75.663766159691505</c:v>
                </c:pt>
                <c:pt idx="47">
                  <c:v>76.136309264592697</c:v>
                </c:pt>
                <c:pt idx="48">
                  <c:v>79.931174754019807</c:v>
                </c:pt>
                <c:pt idx="49">
                  <c:v>93.110320307715199</c:v>
                </c:pt>
                <c:pt idx="50">
                  <c:v>92.5096736947837</c:v>
                </c:pt>
                <c:pt idx="51">
                  <c:v>89.544626553047706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incentive!$O$1</c:f>
              <c:strCache>
                <c:ptCount val="1"/>
                <c:pt idx="0">
                  <c:v>FGU9</c:v>
                </c:pt>
              </c:strCache>
            </c:strRef>
          </c:tx>
          <c:marker>
            <c:symbol val="none"/>
          </c:marker>
          <c:cat>
            <c:numRef>
              <c:f>incentive!$M$2:$M$53</c:f>
              <c:numCache>
                <c:formatCode>m/d/yyyy</c:formatCode>
                <c:ptCount val="52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  <c:pt idx="46">
                  <c:v>42491</c:v>
                </c:pt>
                <c:pt idx="47">
                  <c:v>42522</c:v>
                </c:pt>
                <c:pt idx="48">
                  <c:v>42552</c:v>
                </c:pt>
                <c:pt idx="49">
                  <c:v>42583</c:v>
                </c:pt>
                <c:pt idx="50">
                  <c:v>42614</c:v>
                </c:pt>
                <c:pt idx="51">
                  <c:v>42644</c:v>
                </c:pt>
              </c:numCache>
            </c:numRef>
          </c:cat>
          <c:val>
            <c:numRef>
              <c:f>incentive!$O$2:$O$53</c:f>
              <c:numCache>
                <c:formatCode>General</c:formatCode>
                <c:ptCount val="52"/>
                <c:pt idx="0">
                  <c:v>-19.930039277372799</c:v>
                </c:pt>
                <c:pt idx="1">
                  <c:v>-11.021213224603001</c:v>
                </c:pt>
                <c:pt idx="2">
                  <c:v>-16.399976364915702</c:v>
                </c:pt>
                <c:pt idx="3">
                  <c:v>-8.1383969514013206</c:v>
                </c:pt>
                <c:pt idx="4">
                  <c:v>-0.74680680055229198</c:v>
                </c:pt>
                <c:pt idx="5">
                  <c:v>-0.55656507366025598</c:v>
                </c:pt>
                <c:pt idx="6">
                  <c:v>-1.8355604341685201</c:v>
                </c:pt>
                <c:pt idx="7">
                  <c:v>-10.925653353864901</c:v>
                </c:pt>
                <c:pt idx="8">
                  <c:v>-27.125932442922998</c:v>
                </c:pt>
                <c:pt idx="9">
                  <c:v>-31.6219846906314</c:v>
                </c:pt>
                <c:pt idx="10">
                  <c:v>-30.797400019947801</c:v>
                </c:pt>
                <c:pt idx="11">
                  <c:v>-39.051369007373196</c:v>
                </c:pt>
                <c:pt idx="12">
                  <c:v>-93.540261561519102</c:v>
                </c:pt>
                <c:pt idx="13">
                  <c:v>-123.903555625278</c:v>
                </c:pt>
                <c:pt idx="14">
                  <c:v>-133.27322464546299</c:v>
                </c:pt>
                <c:pt idx="15">
                  <c:v>-134.35117425095299</c:v>
                </c:pt>
                <c:pt idx="16">
                  <c:v>-103.647916321084</c:v>
                </c:pt>
                <c:pt idx="17">
                  <c:v>-109.350502471742</c:v>
                </c:pt>
                <c:pt idx="18">
                  <c:v>-127.15555161304199</c:v>
                </c:pt>
                <c:pt idx="19">
                  <c:v>-125.777614891456</c:v>
                </c:pt>
                <c:pt idx="20">
                  <c:v>-111.808903048659</c:v>
                </c:pt>
                <c:pt idx="21">
                  <c:v>-113.525312667916</c:v>
                </c:pt>
                <c:pt idx="22">
                  <c:v>-112.90089689935699</c:v>
                </c:pt>
                <c:pt idx="23">
                  <c:v>-94.377972923056802</c:v>
                </c:pt>
                <c:pt idx="24">
                  <c:v>-92.212105662401001</c:v>
                </c:pt>
                <c:pt idx="25">
                  <c:v>-89.815647356364394</c:v>
                </c:pt>
                <c:pt idx="26">
                  <c:v>-87.250657491581407</c:v>
                </c:pt>
                <c:pt idx="27">
                  <c:v>-89.912210708872095</c:v>
                </c:pt>
                <c:pt idx="28">
                  <c:v>-76.566078925794201</c:v>
                </c:pt>
                <c:pt idx="29">
                  <c:v>-72.977874146437202</c:v>
                </c:pt>
                <c:pt idx="30">
                  <c:v>-60.198785783990601</c:v>
                </c:pt>
                <c:pt idx="31">
                  <c:v>5.9604157706016299</c:v>
                </c:pt>
                <c:pt idx="32">
                  <c:v>2.1871529997846499</c:v>
                </c:pt>
                <c:pt idx="33">
                  <c:v>-2.8118366638899799</c:v>
                </c:pt>
                <c:pt idx="34">
                  <c:v>6.8399778964225</c:v>
                </c:pt>
                <c:pt idx="35">
                  <c:v>-9.6300170607497293</c:v>
                </c:pt>
                <c:pt idx="36">
                  <c:v>-24.150102846960898</c:v>
                </c:pt>
                <c:pt idx="37">
                  <c:v>-28.8829479268081</c:v>
                </c:pt>
                <c:pt idx="38">
                  <c:v>-13.8030513920832</c:v>
                </c:pt>
                <c:pt idx="39">
                  <c:v>-11.673523851042701</c:v>
                </c:pt>
                <c:pt idx="40">
                  <c:v>-0.91357517275061695</c:v>
                </c:pt>
                <c:pt idx="41">
                  <c:v>-17.274150702141402</c:v>
                </c:pt>
                <c:pt idx="42">
                  <c:v>-18.3181586768705</c:v>
                </c:pt>
                <c:pt idx="43">
                  <c:v>-8.6882928588546395</c:v>
                </c:pt>
                <c:pt idx="44">
                  <c:v>14.343071678430601</c:v>
                </c:pt>
                <c:pt idx="45">
                  <c:v>20.792079567024</c:v>
                </c:pt>
                <c:pt idx="46">
                  <c:v>24.088467243565599</c:v>
                </c:pt>
                <c:pt idx="47">
                  <c:v>25.677170241488898</c:v>
                </c:pt>
                <c:pt idx="48">
                  <c:v>29.719788325865199</c:v>
                </c:pt>
                <c:pt idx="49">
                  <c:v>43.111191443805303</c:v>
                </c:pt>
                <c:pt idx="50">
                  <c:v>42.708743490564302</c:v>
                </c:pt>
                <c:pt idx="51">
                  <c:v>39.9818081709995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825600"/>
        <c:axId val="234827136"/>
      </c:lineChart>
      <c:dateAx>
        <c:axId val="23482560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34827136"/>
        <c:crosses val="autoZero"/>
        <c:auto val="1"/>
        <c:lblOffset val="100"/>
        <c:baseTimeUnit val="months"/>
      </c:dateAx>
      <c:valAx>
        <c:axId val="234827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48256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incentive!$AP$1</c:f>
              <c:strCache>
                <c:ptCount val="1"/>
                <c:pt idx="0">
                  <c:v>FNCL</c:v>
                </c:pt>
              </c:strCache>
            </c:strRef>
          </c:tx>
          <c:marker>
            <c:symbol val="none"/>
          </c:marker>
          <c:cat>
            <c:numRef>
              <c:f>incentive!$AO$2:$AO$274</c:f>
              <c:numCache>
                <c:formatCode>m/d/yyyy</c:formatCode>
                <c:ptCount val="273"/>
                <c:pt idx="0">
                  <c:v>34366</c:v>
                </c:pt>
                <c:pt idx="1">
                  <c:v>34394</c:v>
                </c:pt>
                <c:pt idx="2">
                  <c:v>34425</c:v>
                </c:pt>
                <c:pt idx="3">
                  <c:v>34455</c:v>
                </c:pt>
                <c:pt idx="4">
                  <c:v>34486</c:v>
                </c:pt>
                <c:pt idx="5">
                  <c:v>34516</c:v>
                </c:pt>
                <c:pt idx="6">
                  <c:v>34547</c:v>
                </c:pt>
                <c:pt idx="7">
                  <c:v>34578</c:v>
                </c:pt>
                <c:pt idx="8">
                  <c:v>34608</c:v>
                </c:pt>
                <c:pt idx="9">
                  <c:v>34639</c:v>
                </c:pt>
                <c:pt idx="10">
                  <c:v>34669</c:v>
                </c:pt>
                <c:pt idx="11">
                  <c:v>34700</c:v>
                </c:pt>
                <c:pt idx="12">
                  <c:v>34731</c:v>
                </c:pt>
                <c:pt idx="13">
                  <c:v>34759</c:v>
                </c:pt>
                <c:pt idx="14">
                  <c:v>34790</c:v>
                </c:pt>
                <c:pt idx="15">
                  <c:v>34820</c:v>
                </c:pt>
                <c:pt idx="16">
                  <c:v>34851</c:v>
                </c:pt>
                <c:pt idx="17">
                  <c:v>34881</c:v>
                </c:pt>
                <c:pt idx="18">
                  <c:v>34912</c:v>
                </c:pt>
                <c:pt idx="19">
                  <c:v>34943</c:v>
                </c:pt>
                <c:pt idx="20">
                  <c:v>34973</c:v>
                </c:pt>
                <c:pt idx="21">
                  <c:v>35004</c:v>
                </c:pt>
                <c:pt idx="22">
                  <c:v>35034</c:v>
                </c:pt>
                <c:pt idx="23">
                  <c:v>35065</c:v>
                </c:pt>
                <c:pt idx="24">
                  <c:v>35096</c:v>
                </c:pt>
                <c:pt idx="25">
                  <c:v>35125</c:v>
                </c:pt>
                <c:pt idx="26">
                  <c:v>35156</c:v>
                </c:pt>
                <c:pt idx="27">
                  <c:v>35186</c:v>
                </c:pt>
                <c:pt idx="28">
                  <c:v>35217</c:v>
                </c:pt>
                <c:pt idx="29">
                  <c:v>35247</c:v>
                </c:pt>
                <c:pt idx="30">
                  <c:v>35278</c:v>
                </c:pt>
                <c:pt idx="31">
                  <c:v>35309</c:v>
                </c:pt>
                <c:pt idx="32">
                  <c:v>35339</c:v>
                </c:pt>
                <c:pt idx="33">
                  <c:v>35370</c:v>
                </c:pt>
                <c:pt idx="34">
                  <c:v>35400</c:v>
                </c:pt>
                <c:pt idx="35">
                  <c:v>35431</c:v>
                </c:pt>
                <c:pt idx="36">
                  <c:v>35462</c:v>
                </c:pt>
                <c:pt idx="37">
                  <c:v>35490</c:v>
                </c:pt>
                <c:pt idx="38">
                  <c:v>35521</c:v>
                </c:pt>
                <c:pt idx="39">
                  <c:v>35551</c:v>
                </c:pt>
                <c:pt idx="40">
                  <c:v>35582</c:v>
                </c:pt>
                <c:pt idx="41">
                  <c:v>35612</c:v>
                </c:pt>
                <c:pt idx="42">
                  <c:v>35643</c:v>
                </c:pt>
                <c:pt idx="43">
                  <c:v>35674</c:v>
                </c:pt>
                <c:pt idx="44">
                  <c:v>35704</c:v>
                </c:pt>
                <c:pt idx="45">
                  <c:v>35735</c:v>
                </c:pt>
                <c:pt idx="46">
                  <c:v>35765</c:v>
                </c:pt>
                <c:pt idx="47">
                  <c:v>35796</c:v>
                </c:pt>
                <c:pt idx="48">
                  <c:v>35827</c:v>
                </c:pt>
                <c:pt idx="49">
                  <c:v>35855</c:v>
                </c:pt>
                <c:pt idx="50">
                  <c:v>35886</c:v>
                </c:pt>
                <c:pt idx="51">
                  <c:v>35916</c:v>
                </c:pt>
                <c:pt idx="52">
                  <c:v>35947</c:v>
                </c:pt>
                <c:pt idx="53">
                  <c:v>35977</c:v>
                </c:pt>
                <c:pt idx="54">
                  <c:v>36008</c:v>
                </c:pt>
                <c:pt idx="55">
                  <c:v>36039</c:v>
                </c:pt>
                <c:pt idx="56">
                  <c:v>36069</c:v>
                </c:pt>
                <c:pt idx="57">
                  <c:v>36100</c:v>
                </c:pt>
                <c:pt idx="58">
                  <c:v>36130</c:v>
                </c:pt>
                <c:pt idx="59">
                  <c:v>36161</c:v>
                </c:pt>
                <c:pt idx="60">
                  <c:v>36192</c:v>
                </c:pt>
                <c:pt idx="61">
                  <c:v>36220</c:v>
                </c:pt>
                <c:pt idx="62">
                  <c:v>36251</c:v>
                </c:pt>
                <c:pt idx="63">
                  <c:v>36281</c:v>
                </c:pt>
                <c:pt idx="64">
                  <c:v>36312</c:v>
                </c:pt>
                <c:pt idx="65">
                  <c:v>36342</c:v>
                </c:pt>
                <c:pt idx="66">
                  <c:v>36373</c:v>
                </c:pt>
                <c:pt idx="67">
                  <c:v>36404</c:v>
                </c:pt>
                <c:pt idx="68">
                  <c:v>36434</c:v>
                </c:pt>
                <c:pt idx="69">
                  <c:v>36465</c:v>
                </c:pt>
                <c:pt idx="70">
                  <c:v>36495</c:v>
                </c:pt>
                <c:pt idx="71">
                  <c:v>36526</c:v>
                </c:pt>
                <c:pt idx="72">
                  <c:v>36557</c:v>
                </c:pt>
                <c:pt idx="73">
                  <c:v>36586</c:v>
                </c:pt>
                <c:pt idx="74">
                  <c:v>36617</c:v>
                </c:pt>
                <c:pt idx="75">
                  <c:v>36647</c:v>
                </c:pt>
                <c:pt idx="76">
                  <c:v>36678</c:v>
                </c:pt>
                <c:pt idx="77">
                  <c:v>36708</c:v>
                </c:pt>
                <c:pt idx="78">
                  <c:v>36739</c:v>
                </c:pt>
                <c:pt idx="79">
                  <c:v>36770</c:v>
                </c:pt>
                <c:pt idx="80">
                  <c:v>36800</c:v>
                </c:pt>
                <c:pt idx="81">
                  <c:v>36831</c:v>
                </c:pt>
                <c:pt idx="82">
                  <c:v>36861</c:v>
                </c:pt>
                <c:pt idx="83">
                  <c:v>36892</c:v>
                </c:pt>
                <c:pt idx="84">
                  <c:v>36923</c:v>
                </c:pt>
                <c:pt idx="85">
                  <c:v>36951</c:v>
                </c:pt>
                <c:pt idx="86">
                  <c:v>36982</c:v>
                </c:pt>
                <c:pt idx="87">
                  <c:v>37012</c:v>
                </c:pt>
                <c:pt idx="88">
                  <c:v>37043</c:v>
                </c:pt>
                <c:pt idx="89">
                  <c:v>37073</c:v>
                </c:pt>
                <c:pt idx="90">
                  <c:v>37104</c:v>
                </c:pt>
                <c:pt idx="91">
                  <c:v>37135</c:v>
                </c:pt>
                <c:pt idx="92">
                  <c:v>37165</c:v>
                </c:pt>
                <c:pt idx="93">
                  <c:v>37196</c:v>
                </c:pt>
                <c:pt idx="94">
                  <c:v>37226</c:v>
                </c:pt>
                <c:pt idx="95">
                  <c:v>37257</c:v>
                </c:pt>
                <c:pt idx="96">
                  <c:v>37288</c:v>
                </c:pt>
                <c:pt idx="97">
                  <c:v>37316</c:v>
                </c:pt>
                <c:pt idx="98">
                  <c:v>37347</c:v>
                </c:pt>
                <c:pt idx="99">
                  <c:v>37377</c:v>
                </c:pt>
                <c:pt idx="100">
                  <c:v>37408</c:v>
                </c:pt>
                <c:pt idx="101">
                  <c:v>37438</c:v>
                </c:pt>
                <c:pt idx="102">
                  <c:v>37469</c:v>
                </c:pt>
                <c:pt idx="103">
                  <c:v>37500</c:v>
                </c:pt>
                <c:pt idx="104">
                  <c:v>37530</c:v>
                </c:pt>
                <c:pt idx="105">
                  <c:v>37561</c:v>
                </c:pt>
                <c:pt idx="106">
                  <c:v>37591</c:v>
                </c:pt>
                <c:pt idx="107">
                  <c:v>37622</c:v>
                </c:pt>
                <c:pt idx="108">
                  <c:v>37653</c:v>
                </c:pt>
                <c:pt idx="109">
                  <c:v>37681</c:v>
                </c:pt>
                <c:pt idx="110">
                  <c:v>37712</c:v>
                </c:pt>
                <c:pt idx="111">
                  <c:v>37742</c:v>
                </c:pt>
                <c:pt idx="112">
                  <c:v>37773</c:v>
                </c:pt>
                <c:pt idx="113">
                  <c:v>37803</c:v>
                </c:pt>
                <c:pt idx="114">
                  <c:v>37834</c:v>
                </c:pt>
                <c:pt idx="115">
                  <c:v>37865</c:v>
                </c:pt>
                <c:pt idx="116">
                  <c:v>37895</c:v>
                </c:pt>
                <c:pt idx="117">
                  <c:v>37926</c:v>
                </c:pt>
                <c:pt idx="118">
                  <c:v>37956</c:v>
                </c:pt>
                <c:pt idx="119">
                  <c:v>37987</c:v>
                </c:pt>
                <c:pt idx="120">
                  <c:v>38018</c:v>
                </c:pt>
                <c:pt idx="121">
                  <c:v>38047</c:v>
                </c:pt>
                <c:pt idx="122">
                  <c:v>38078</c:v>
                </c:pt>
                <c:pt idx="123">
                  <c:v>38108</c:v>
                </c:pt>
                <c:pt idx="124">
                  <c:v>38139</c:v>
                </c:pt>
                <c:pt idx="125">
                  <c:v>38169</c:v>
                </c:pt>
                <c:pt idx="126">
                  <c:v>38200</c:v>
                </c:pt>
                <c:pt idx="127">
                  <c:v>38231</c:v>
                </c:pt>
                <c:pt idx="128">
                  <c:v>38261</c:v>
                </c:pt>
                <c:pt idx="129">
                  <c:v>38292</c:v>
                </c:pt>
                <c:pt idx="130">
                  <c:v>38322</c:v>
                </c:pt>
                <c:pt idx="131">
                  <c:v>38353</c:v>
                </c:pt>
                <c:pt idx="132">
                  <c:v>38384</c:v>
                </c:pt>
                <c:pt idx="133">
                  <c:v>38412</c:v>
                </c:pt>
                <c:pt idx="134">
                  <c:v>38443</c:v>
                </c:pt>
                <c:pt idx="135">
                  <c:v>38473</c:v>
                </c:pt>
                <c:pt idx="136">
                  <c:v>38504</c:v>
                </c:pt>
                <c:pt idx="137">
                  <c:v>38534</c:v>
                </c:pt>
                <c:pt idx="138">
                  <c:v>38565</c:v>
                </c:pt>
                <c:pt idx="139">
                  <c:v>38596</c:v>
                </c:pt>
                <c:pt idx="140">
                  <c:v>38626</c:v>
                </c:pt>
                <c:pt idx="141">
                  <c:v>38657</c:v>
                </c:pt>
                <c:pt idx="142">
                  <c:v>38687</c:v>
                </c:pt>
                <c:pt idx="143">
                  <c:v>38718</c:v>
                </c:pt>
                <c:pt idx="144">
                  <c:v>38749</c:v>
                </c:pt>
                <c:pt idx="145">
                  <c:v>38777</c:v>
                </c:pt>
                <c:pt idx="146">
                  <c:v>38808</c:v>
                </c:pt>
                <c:pt idx="147">
                  <c:v>38838</c:v>
                </c:pt>
                <c:pt idx="148">
                  <c:v>38869</c:v>
                </c:pt>
                <c:pt idx="149">
                  <c:v>38899</c:v>
                </c:pt>
                <c:pt idx="150">
                  <c:v>38930</c:v>
                </c:pt>
                <c:pt idx="151">
                  <c:v>38961</c:v>
                </c:pt>
                <c:pt idx="152">
                  <c:v>38991</c:v>
                </c:pt>
                <c:pt idx="153">
                  <c:v>39022</c:v>
                </c:pt>
                <c:pt idx="154">
                  <c:v>39052</c:v>
                </c:pt>
                <c:pt idx="155">
                  <c:v>39083</c:v>
                </c:pt>
                <c:pt idx="156">
                  <c:v>39114</c:v>
                </c:pt>
                <c:pt idx="157">
                  <c:v>39142</c:v>
                </c:pt>
                <c:pt idx="158">
                  <c:v>39173</c:v>
                </c:pt>
                <c:pt idx="159">
                  <c:v>39203</c:v>
                </c:pt>
                <c:pt idx="160">
                  <c:v>39234</c:v>
                </c:pt>
                <c:pt idx="161">
                  <c:v>39264</c:v>
                </c:pt>
                <c:pt idx="162">
                  <c:v>39295</c:v>
                </c:pt>
                <c:pt idx="163">
                  <c:v>39326</c:v>
                </c:pt>
                <c:pt idx="164">
                  <c:v>39356</c:v>
                </c:pt>
                <c:pt idx="165">
                  <c:v>39387</c:v>
                </c:pt>
                <c:pt idx="166">
                  <c:v>39417</c:v>
                </c:pt>
                <c:pt idx="167">
                  <c:v>39448</c:v>
                </c:pt>
                <c:pt idx="168">
                  <c:v>39479</c:v>
                </c:pt>
                <c:pt idx="169">
                  <c:v>39508</c:v>
                </c:pt>
                <c:pt idx="170">
                  <c:v>39539</c:v>
                </c:pt>
                <c:pt idx="171">
                  <c:v>39569</c:v>
                </c:pt>
                <c:pt idx="172">
                  <c:v>39600</c:v>
                </c:pt>
                <c:pt idx="173">
                  <c:v>39630</c:v>
                </c:pt>
                <c:pt idx="174">
                  <c:v>39661</c:v>
                </c:pt>
                <c:pt idx="175">
                  <c:v>39692</c:v>
                </c:pt>
                <c:pt idx="176">
                  <c:v>39722</c:v>
                </c:pt>
                <c:pt idx="177">
                  <c:v>39753</c:v>
                </c:pt>
                <c:pt idx="178">
                  <c:v>39783</c:v>
                </c:pt>
                <c:pt idx="179">
                  <c:v>39814</c:v>
                </c:pt>
                <c:pt idx="180">
                  <c:v>39845</c:v>
                </c:pt>
                <c:pt idx="181">
                  <c:v>39873</c:v>
                </c:pt>
                <c:pt idx="182">
                  <c:v>39904</c:v>
                </c:pt>
                <c:pt idx="183">
                  <c:v>39934</c:v>
                </c:pt>
                <c:pt idx="184">
                  <c:v>39965</c:v>
                </c:pt>
                <c:pt idx="185">
                  <c:v>39995</c:v>
                </c:pt>
                <c:pt idx="186">
                  <c:v>40026</c:v>
                </c:pt>
                <c:pt idx="187">
                  <c:v>40057</c:v>
                </c:pt>
                <c:pt idx="188">
                  <c:v>40087</c:v>
                </c:pt>
                <c:pt idx="189">
                  <c:v>40118</c:v>
                </c:pt>
                <c:pt idx="190">
                  <c:v>40148</c:v>
                </c:pt>
                <c:pt idx="191">
                  <c:v>40179</c:v>
                </c:pt>
                <c:pt idx="192">
                  <c:v>40210</c:v>
                </c:pt>
                <c:pt idx="193">
                  <c:v>40238</c:v>
                </c:pt>
                <c:pt idx="194">
                  <c:v>40269</c:v>
                </c:pt>
                <c:pt idx="195">
                  <c:v>40299</c:v>
                </c:pt>
                <c:pt idx="196">
                  <c:v>40330</c:v>
                </c:pt>
                <c:pt idx="197">
                  <c:v>40360</c:v>
                </c:pt>
                <c:pt idx="198">
                  <c:v>40391</c:v>
                </c:pt>
                <c:pt idx="199">
                  <c:v>40422</c:v>
                </c:pt>
                <c:pt idx="200">
                  <c:v>40452</c:v>
                </c:pt>
                <c:pt idx="201">
                  <c:v>40483</c:v>
                </c:pt>
                <c:pt idx="202">
                  <c:v>40513</c:v>
                </c:pt>
                <c:pt idx="203">
                  <c:v>40544</c:v>
                </c:pt>
                <c:pt idx="204">
                  <c:v>40575</c:v>
                </c:pt>
                <c:pt idx="205">
                  <c:v>40603</c:v>
                </c:pt>
                <c:pt idx="206">
                  <c:v>40634</c:v>
                </c:pt>
                <c:pt idx="207">
                  <c:v>40664</c:v>
                </c:pt>
                <c:pt idx="208">
                  <c:v>40695</c:v>
                </c:pt>
                <c:pt idx="209">
                  <c:v>40725</c:v>
                </c:pt>
                <c:pt idx="210">
                  <c:v>40756</c:v>
                </c:pt>
                <c:pt idx="211">
                  <c:v>40787</c:v>
                </c:pt>
                <c:pt idx="212">
                  <c:v>40817</c:v>
                </c:pt>
                <c:pt idx="213">
                  <c:v>40848</c:v>
                </c:pt>
                <c:pt idx="214">
                  <c:v>40878</c:v>
                </c:pt>
                <c:pt idx="215">
                  <c:v>40909</c:v>
                </c:pt>
                <c:pt idx="216">
                  <c:v>40940</c:v>
                </c:pt>
                <c:pt idx="217">
                  <c:v>40969</c:v>
                </c:pt>
                <c:pt idx="218">
                  <c:v>41000</c:v>
                </c:pt>
                <c:pt idx="219">
                  <c:v>41030</c:v>
                </c:pt>
                <c:pt idx="220">
                  <c:v>41061</c:v>
                </c:pt>
                <c:pt idx="221">
                  <c:v>41091</c:v>
                </c:pt>
                <c:pt idx="222">
                  <c:v>41122</c:v>
                </c:pt>
                <c:pt idx="223">
                  <c:v>41153</c:v>
                </c:pt>
                <c:pt idx="224">
                  <c:v>41183</c:v>
                </c:pt>
                <c:pt idx="225">
                  <c:v>41214</c:v>
                </c:pt>
                <c:pt idx="226">
                  <c:v>41244</c:v>
                </c:pt>
                <c:pt idx="227">
                  <c:v>41275</c:v>
                </c:pt>
                <c:pt idx="228">
                  <c:v>41306</c:v>
                </c:pt>
                <c:pt idx="229">
                  <c:v>41334</c:v>
                </c:pt>
                <c:pt idx="230">
                  <c:v>41365</c:v>
                </c:pt>
                <c:pt idx="231">
                  <c:v>41395</c:v>
                </c:pt>
                <c:pt idx="232">
                  <c:v>41426</c:v>
                </c:pt>
                <c:pt idx="233">
                  <c:v>41456</c:v>
                </c:pt>
                <c:pt idx="234">
                  <c:v>41487</c:v>
                </c:pt>
                <c:pt idx="235">
                  <c:v>41518</c:v>
                </c:pt>
                <c:pt idx="236">
                  <c:v>41548</c:v>
                </c:pt>
                <c:pt idx="237">
                  <c:v>41579</c:v>
                </c:pt>
                <c:pt idx="238">
                  <c:v>41609</c:v>
                </c:pt>
                <c:pt idx="239">
                  <c:v>41640</c:v>
                </c:pt>
                <c:pt idx="240">
                  <c:v>41671</c:v>
                </c:pt>
                <c:pt idx="241">
                  <c:v>41699</c:v>
                </c:pt>
                <c:pt idx="242">
                  <c:v>41730</c:v>
                </c:pt>
                <c:pt idx="243">
                  <c:v>41760</c:v>
                </c:pt>
                <c:pt idx="244">
                  <c:v>41791</c:v>
                </c:pt>
                <c:pt idx="245">
                  <c:v>41821</c:v>
                </c:pt>
                <c:pt idx="246">
                  <c:v>41852</c:v>
                </c:pt>
                <c:pt idx="247">
                  <c:v>41883</c:v>
                </c:pt>
                <c:pt idx="248">
                  <c:v>41913</c:v>
                </c:pt>
                <c:pt idx="249">
                  <c:v>41944</c:v>
                </c:pt>
                <c:pt idx="250">
                  <c:v>41974</c:v>
                </c:pt>
                <c:pt idx="251">
                  <c:v>42005</c:v>
                </c:pt>
                <c:pt idx="252">
                  <c:v>42036</c:v>
                </c:pt>
                <c:pt idx="253">
                  <c:v>42064</c:v>
                </c:pt>
                <c:pt idx="254">
                  <c:v>42095</c:v>
                </c:pt>
                <c:pt idx="255">
                  <c:v>42125</c:v>
                </c:pt>
                <c:pt idx="256">
                  <c:v>42156</c:v>
                </c:pt>
                <c:pt idx="257">
                  <c:v>42186</c:v>
                </c:pt>
                <c:pt idx="258">
                  <c:v>42217</c:v>
                </c:pt>
                <c:pt idx="259">
                  <c:v>42248</c:v>
                </c:pt>
                <c:pt idx="260">
                  <c:v>42278</c:v>
                </c:pt>
                <c:pt idx="261">
                  <c:v>42309</c:v>
                </c:pt>
                <c:pt idx="262">
                  <c:v>42339</c:v>
                </c:pt>
                <c:pt idx="263">
                  <c:v>42370</c:v>
                </c:pt>
                <c:pt idx="264">
                  <c:v>42401</c:v>
                </c:pt>
                <c:pt idx="265">
                  <c:v>42430</c:v>
                </c:pt>
                <c:pt idx="266">
                  <c:v>42461</c:v>
                </c:pt>
                <c:pt idx="267">
                  <c:v>42491</c:v>
                </c:pt>
                <c:pt idx="268">
                  <c:v>42522</c:v>
                </c:pt>
                <c:pt idx="269">
                  <c:v>42552</c:v>
                </c:pt>
                <c:pt idx="270">
                  <c:v>42583</c:v>
                </c:pt>
                <c:pt idx="271">
                  <c:v>42614</c:v>
                </c:pt>
                <c:pt idx="272">
                  <c:v>42644</c:v>
                </c:pt>
              </c:numCache>
            </c:numRef>
          </c:cat>
          <c:val>
            <c:numRef>
              <c:f>incentive!$AP$2:$AP$274</c:f>
              <c:numCache>
                <c:formatCode>General</c:formatCode>
                <c:ptCount val="273"/>
                <c:pt idx="0">
                  <c:v>107.004301870558</c:v>
                </c:pt>
                <c:pt idx="1">
                  <c:v>89.666173735997305</c:v>
                </c:pt>
                <c:pt idx="2">
                  <c:v>26.9473193105467</c:v>
                </c:pt>
                <c:pt idx="3">
                  <c:v>-43.6818372813403</c:v>
                </c:pt>
                <c:pt idx="4">
                  <c:v>-68.446479723280703</c:v>
                </c:pt>
                <c:pt idx="5">
                  <c:v>-52.809468506724201</c:v>
                </c:pt>
                <c:pt idx="6">
                  <c:v>-73.407545790668607</c:v>
                </c:pt>
                <c:pt idx="7">
                  <c:v>-61.4902952298782</c:v>
                </c:pt>
                <c:pt idx="8">
                  <c:v>-74.241146648837599</c:v>
                </c:pt>
                <c:pt idx="9">
                  <c:v>-103.05369276521201</c:v>
                </c:pt>
                <c:pt idx="10">
                  <c:v>-127.43149357634999</c:v>
                </c:pt>
                <c:pt idx="11">
                  <c:v>-128.62333134480701</c:v>
                </c:pt>
                <c:pt idx="12">
                  <c:v>-123.409958808941</c:v>
                </c:pt>
                <c:pt idx="13">
                  <c:v>-91.951416225835999</c:v>
                </c:pt>
                <c:pt idx="14">
                  <c:v>-52.891251646279798</c:v>
                </c:pt>
                <c:pt idx="15">
                  <c:v>-39.319677339747997</c:v>
                </c:pt>
                <c:pt idx="16">
                  <c:v>-6.6569488784758903E-5</c:v>
                </c:pt>
                <c:pt idx="17">
                  <c:v>40.553582731563097</c:v>
                </c:pt>
                <c:pt idx="18">
                  <c:v>37.048056268321403</c:v>
                </c:pt>
                <c:pt idx="19">
                  <c:v>11.468461852637001</c:v>
                </c:pt>
                <c:pt idx="20">
                  <c:v>33.879067380768298</c:v>
                </c:pt>
                <c:pt idx="21">
                  <c:v>44.334779457127397</c:v>
                </c:pt>
                <c:pt idx="22">
                  <c:v>54.334598198494803</c:v>
                </c:pt>
                <c:pt idx="23">
                  <c:v>73.80587693295</c:v>
                </c:pt>
                <c:pt idx="24">
                  <c:v>86.695084960684298</c:v>
                </c:pt>
                <c:pt idx="25">
                  <c:v>73.372621068121205</c:v>
                </c:pt>
                <c:pt idx="26">
                  <c:v>16.802985615711499</c:v>
                </c:pt>
                <c:pt idx="27">
                  <c:v>-11.141251034532401</c:v>
                </c:pt>
                <c:pt idx="28">
                  <c:v>-27.025705216154499</c:v>
                </c:pt>
                <c:pt idx="29">
                  <c:v>-51.6844389360717</c:v>
                </c:pt>
                <c:pt idx="30">
                  <c:v>-45.293594107300201</c:v>
                </c:pt>
                <c:pt idx="31">
                  <c:v>-19.3083534553754</c:v>
                </c:pt>
                <c:pt idx="32">
                  <c:v>-41.360699931251702</c:v>
                </c:pt>
                <c:pt idx="33">
                  <c:v>-7.5854356093352502</c:v>
                </c:pt>
                <c:pt idx="34">
                  <c:v>23.0542103502566</c:v>
                </c:pt>
                <c:pt idx="35">
                  <c:v>22.796278494596301</c:v>
                </c:pt>
                <c:pt idx="36">
                  <c:v>-1.0923566236545901</c:v>
                </c:pt>
                <c:pt idx="37">
                  <c:v>17.7545891340365</c:v>
                </c:pt>
                <c:pt idx="38">
                  <c:v>-8.7564069974089804</c:v>
                </c:pt>
                <c:pt idx="39">
                  <c:v>-32.772252938616397</c:v>
                </c:pt>
                <c:pt idx="40">
                  <c:v>-11.4676491395222</c:v>
                </c:pt>
                <c:pt idx="41">
                  <c:v>13.126083546266001</c:v>
                </c:pt>
                <c:pt idx="42">
                  <c:v>33.939855558452599</c:v>
                </c:pt>
                <c:pt idx="43">
                  <c:v>30.636101307887699</c:v>
                </c:pt>
                <c:pt idx="44">
                  <c:v>38.498422916043097</c:v>
                </c:pt>
                <c:pt idx="45">
                  <c:v>51.070317031515799</c:v>
                </c:pt>
                <c:pt idx="46">
                  <c:v>58.876528582067799</c:v>
                </c:pt>
                <c:pt idx="47">
                  <c:v>66.657506878557399</c:v>
                </c:pt>
                <c:pt idx="48">
                  <c:v>85.567260082508497</c:v>
                </c:pt>
                <c:pt idx="49">
                  <c:v>82.632942018235894</c:v>
                </c:pt>
                <c:pt idx="50">
                  <c:v>72.817026826289293</c:v>
                </c:pt>
                <c:pt idx="51">
                  <c:v>68.407854482665897</c:v>
                </c:pt>
                <c:pt idx="52">
                  <c:v>67.287488554702406</c:v>
                </c:pt>
                <c:pt idx="53">
                  <c:v>78.052081286934296</c:v>
                </c:pt>
                <c:pt idx="54">
                  <c:v>77.1986545492163</c:v>
                </c:pt>
                <c:pt idx="55">
                  <c:v>76.508839188661398</c:v>
                </c:pt>
                <c:pt idx="56">
                  <c:v>96.367778560263503</c:v>
                </c:pt>
                <c:pt idx="57">
                  <c:v>95.115236713534998</c:v>
                </c:pt>
                <c:pt idx="58">
                  <c:v>76.187274100327201</c:v>
                </c:pt>
                <c:pt idx="59">
                  <c:v>82.680810509134005</c:v>
                </c:pt>
                <c:pt idx="60">
                  <c:v>73.510970326436805</c:v>
                </c:pt>
                <c:pt idx="61">
                  <c:v>65.242813389163402</c:v>
                </c:pt>
                <c:pt idx="62">
                  <c:v>41.360073241853499</c:v>
                </c:pt>
                <c:pt idx="63">
                  <c:v>48.9292073249878</c:v>
                </c:pt>
                <c:pt idx="64">
                  <c:v>23.331125317247299</c:v>
                </c:pt>
                <c:pt idx="65">
                  <c:v>-18.9689005985798</c:v>
                </c:pt>
                <c:pt idx="66">
                  <c:v>-28.3572401050615</c:v>
                </c:pt>
                <c:pt idx="67">
                  <c:v>-59.5293149738377</c:v>
                </c:pt>
                <c:pt idx="68">
                  <c:v>-44.124421279093603</c:v>
                </c:pt>
                <c:pt idx="69">
                  <c:v>-53.143057957591601</c:v>
                </c:pt>
                <c:pt idx="70">
                  <c:v>-37.2361189661165</c:v>
                </c:pt>
                <c:pt idx="71">
                  <c:v>-53.873778986298603</c:v>
                </c:pt>
                <c:pt idx="72">
                  <c:v>-82.952778508934799</c:v>
                </c:pt>
                <c:pt idx="73">
                  <c:v>-92.897411238325006</c:v>
                </c:pt>
                <c:pt idx="74">
                  <c:v>-83.454705223019204</c:v>
                </c:pt>
                <c:pt idx="75">
                  <c:v>-73.084006370113102</c:v>
                </c:pt>
                <c:pt idx="76">
                  <c:v>-108.472789971952</c:v>
                </c:pt>
                <c:pt idx="77">
                  <c:v>-82.664749662034296</c:v>
                </c:pt>
                <c:pt idx="78">
                  <c:v>-66.347220924402194</c:v>
                </c:pt>
                <c:pt idx="79">
                  <c:v>-52.457953992271896</c:v>
                </c:pt>
                <c:pt idx="80">
                  <c:v>-40.074442567633902</c:v>
                </c:pt>
                <c:pt idx="81">
                  <c:v>-28.648666314323499</c:v>
                </c:pt>
                <c:pt idx="82">
                  <c:v>-18.325738972700002</c:v>
                </c:pt>
                <c:pt idx="83">
                  <c:v>21.949506101924801</c:v>
                </c:pt>
                <c:pt idx="84">
                  <c:v>53.057438350524997</c:v>
                </c:pt>
                <c:pt idx="85">
                  <c:v>50.009926091840597</c:v>
                </c:pt>
                <c:pt idx="86">
                  <c:v>58.9645174272475</c:v>
                </c:pt>
                <c:pt idx="87">
                  <c:v>44.171180394260503</c:v>
                </c:pt>
                <c:pt idx="88">
                  <c:v>31.746409650996799</c:v>
                </c:pt>
                <c:pt idx="89">
                  <c:v>30.7296745383975</c:v>
                </c:pt>
                <c:pt idx="90">
                  <c:v>31.836994475887099</c:v>
                </c:pt>
                <c:pt idx="91">
                  <c:v>48.097795195125798</c:v>
                </c:pt>
                <c:pt idx="92">
                  <c:v>59.4208095978072</c:v>
                </c:pt>
                <c:pt idx="93">
                  <c:v>78.807691077217996</c:v>
                </c:pt>
                <c:pt idx="94">
                  <c:v>72.738623234469699</c:v>
                </c:pt>
                <c:pt idx="95">
                  <c:v>29.170432714432099</c:v>
                </c:pt>
                <c:pt idx="96">
                  <c:v>31.772016970977099</c:v>
                </c:pt>
                <c:pt idx="97">
                  <c:v>46.291950384986599</c:v>
                </c:pt>
                <c:pt idx="98">
                  <c:v>21.183776010230801</c:v>
                </c:pt>
                <c:pt idx="99">
                  <c:v>26.942833798993799</c:v>
                </c:pt>
                <c:pt idx="100">
                  <c:v>43.635798356288397</c:v>
                </c:pt>
                <c:pt idx="101">
                  <c:v>61.088728101106199</c:v>
                </c:pt>
                <c:pt idx="102">
                  <c:v>77.690997330277099</c:v>
                </c:pt>
                <c:pt idx="103">
                  <c:v>93.218586266056207</c:v>
                </c:pt>
                <c:pt idx="104">
                  <c:v>110.273623188941</c:v>
                </c:pt>
                <c:pt idx="105">
                  <c:v>105.316903858286</c:v>
                </c:pt>
                <c:pt idx="106">
                  <c:v>105.48623747525799</c:v>
                </c:pt>
                <c:pt idx="107">
                  <c:v>101.81856544518401</c:v>
                </c:pt>
                <c:pt idx="108">
                  <c:v>107.77748937055</c:v>
                </c:pt>
                <c:pt idx="109">
                  <c:v>108.316514510231</c:v>
                </c:pt>
                <c:pt idx="110">
                  <c:v>112.999313934764</c:v>
                </c:pt>
                <c:pt idx="111">
                  <c:v>99.198776449602903</c:v>
                </c:pt>
                <c:pt idx="112">
                  <c:v>124.781551671805</c:v>
                </c:pt>
                <c:pt idx="113">
                  <c:v>145.07139029234</c:v>
                </c:pt>
                <c:pt idx="114">
                  <c:v>87.779214053216705</c:v>
                </c:pt>
                <c:pt idx="115">
                  <c:v>17.740485407981598</c:v>
                </c:pt>
                <c:pt idx="116">
                  <c:v>28.024755913663999</c:v>
                </c:pt>
                <c:pt idx="117">
                  <c:v>42.348912705826798</c:v>
                </c:pt>
                <c:pt idx="118">
                  <c:v>40.676446026727099</c:v>
                </c:pt>
                <c:pt idx="119">
                  <c:v>42.833346705498897</c:v>
                </c:pt>
                <c:pt idx="120">
                  <c:v>58.338416014648999</c:v>
                </c:pt>
                <c:pt idx="121">
                  <c:v>64.678193814750202</c:v>
                </c:pt>
                <c:pt idx="122">
                  <c:v>80.691245138409002</c:v>
                </c:pt>
                <c:pt idx="123">
                  <c:v>33.457983850094401</c:v>
                </c:pt>
                <c:pt idx="124">
                  <c:v>-4.8323553612571599</c:v>
                </c:pt>
                <c:pt idx="125">
                  <c:v>-5.16329348774235</c:v>
                </c:pt>
                <c:pt idx="126">
                  <c:v>20.427226056087001</c:v>
                </c:pt>
                <c:pt idx="127">
                  <c:v>33.575478972206199</c:v>
                </c:pt>
                <c:pt idx="128">
                  <c:v>42.829502294250503</c:v>
                </c:pt>
                <c:pt idx="129">
                  <c:v>47.694875750665197</c:v>
                </c:pt>
                <c:pt idx="130">
                  <c:v>46.896452411306498</c:v>
                </c:pt>
                <c:pt idx="131">
                  <c:v>44.0425330757202</c:v>
                </c:pt>
                <c:pt idx="132">
                  <c:v>46.5747117741655</c:v>
                </c:pt>
                <c:pt idx="133">
                  <c:v>52.360339959984202</c:v>
                </c:pt>
                <c:pt idx="134">
                  <c:v>23.462840931371201</c:v>
                </c:pt>
                <c:pt idx="135">
                  <c:v>31.209660133052999</c:v>
                </c:pt>
                <c:pt idx="136">
                  <c:v>44.7852379399122</c:v>
                </c:pt>
                <c:pt idx="137">
                  <c:v>58.3124898712638</c:v>
                </c:pt>
                <c:pt idx="138">
                  <c:v>47.502575799656903</c:v>
                </c:pt>
                <c:pt idx="139">
                  <c:v>35.725109863059203</c:v>
                </c:pt>
                <c:pt idx="140">
                  <c:v>34.377702539052201</c:v>
                </c:pt>
                <c:pt idx="141">
                  <c:v>7.2138287307613798</c:v>
                </c:pt>
                <c:pt idx="142">
                  <c:v>-18.909752971901501</c:v>
                </c:pt>
                <c:pt idx="143">
                  <c:v>-15.3691628903211</c:v>
                </c:pt>
                <c:pt idx="144">
                  <c:v>-1.5610378205591899</c:v>
                </c:pt>
                <c:pt idx="145">
                  <c:v>-12.6426451735126</c:v>
                </c:pt>
                <c:pt idx="146">
                  <c:v>-20.660803509633801</c:v>
                </c:pt>
                <c:pt idx="147">
                  <c:v>-37.991844897268898</c:v>
                </c:pt>
                <c:pt idx="148">
                  <c:v>-45.368147682594198</c:v>
                </c:pt>
                <c:pt idx="149">
                  <c:v>-52.365910472843801</c:v>
                </c:pt>
                <c:pt idx="150">
                  <c:v>-58.493456710870802</c:v>
                </c:pt>
                <c:pt idx="151">
                  <c:v>-30.5078163484505</c:v>
                </c:pt>
                <c:pt idx="152">
                  <c:v>-19.4480391630089</c:v>
                </c:pt>
                <c:pt idx="153">
                  <c:v>-13.3508454466039</c:v>
                </c:pt>
                <c:pt idx="154">
                  <c:v>-2.51788005739798</c:v>
                </c:pt>
                <c:pt idx="155">
                  <c:v>9.8854266743942407</c:v>
                </c:pt>
                <c:pt idx="156">
                  <c:v>-2.5607821558292498E-2</c:v>
                </c:pt>
                <c:pt idx="157">
                  <c:v>-0.301802687291649</c:v>
                </c:pt>
                <c:pt idx="158">
                  <c:v>8.8787762470100997</c:v>
                </c:pt>
                <c:pt idx="159">
                  <c:v>5.6431534766859901</c:v>
                </c:pt>
                <c:pt idx="160">
                  <c:v>-1.95102871968612</c:v>
                </c:pt>
                <c:pt idx="161">
                  <c:v>-41.108812126538098</c:v>
                </c:pt>
                <c:pt idx="162">
                  <c:v>-43.908737723131601</c:v>
                </c:pt>
                <c:pt idx="163">
                  <c:v>-30.8152824815622</c:v>
                </c:pt>
                <c:pt idx="164">
                  <c:v>-13.6096758316032</c:v>
                </c:pt>
                <c:pt idx="165">
                  <c:v>-9.1708001426864403</c:v>
                </c:pt>
                <c:pt idx="166">
                  <c:v>6.7800189595281601</c:v>
                </c:pt>
                <c:pt idx="167">
                  <c:v>16.469176489744498</c:v>
                </c:pt>
                <c:pt idx="168">
                  <c:v>49.522146283733797</c:v>
                </c:pt>
                <c:pt idx="169">
                  <c:v>25.9417285851633</c:v>
                </c:pt>
                <c:pt idx="170">
                  <c:v>18.859866053175899</c:v>
                </c:pt>
                <c:pt idx="171">
                  <c:v>20.9748913642511</c:v>
                </c:pt>
                <c:pt idx="172">
                  <c:v>8.9971538436956209</c:v>
                </c:pt>
                <c:pt idx="173">
                  <c:v>-25.351412383548599</c:v>
                </c:pt>
                <c:pt idx="174">
                  <c:v>-36.583466323404203</c:v>
                </c:pt>
                <c:pt idx="175">
                  <c:v>-44.189504815238202</c:v>
                </c:pt>
                <c:pt idx="176">
                  <c:v>-1.4229310298529001</c:v>
                </c:pt>
                <c:pt idx="177">
                  <c:v>-17.8839099140325</c:v>
                </c:pt>
                <c:pt idx="178">
                  <c:v>-10.5459375693623</c:v>
                </c:pt>
                <c:pt idx="179">
                  <c:v>68.438480116893899</c:v>
                </c:pt>
                <c:pt idx="180">
                  <c:v>92.356685355323506</c:v>
                </c:pt>
                <c:pt idx="181">
                  <c:v>79.549582505468607</c:v>
                </c:pt>
                <c:pt idx="182">
                  <c:v>89.095416232845906</c:v>
                </c:pt>
                <c:pt idx="183">
                  <c:v>106.193059623876</c:v>
                </c:pt>
                <c:pt idx="184">
                  <c:v>118.43222711235499</c:v>
                </c:pt>
                <c:pt idx="185">
                  <c:v>57.1029047519595</c:v>
                </c:pt>
                <c:pt idx="186">
                  <c:v>73.061756088552798</c:v>
                </c:pt>
                <c:pt idx="187">
                  <c:v>74.022914052515205</c:v>
                </c:pt>
                <c:pt idx="188">
                  <c:v>87.804622447942705</c:v>
                </c:pt>
                <c:pt idx="189">
                  <c:v>93.739510466858206</c:v>
                </c:pt>
                <c:pt idx="190">
                  <c:v>100.139588843593</c:v>
                </c:pt>
                <c:pt idx="191">
                  <c:v>92.837250472657402</c:v>
                </c:pt>
                <c:pt idx="192">
                  <c:v>81.729845456263405</c:v>
                </c:pt>
                <c:pt idx="193">
                  <c:v>83.360336219913705</c:v>
                </c:pt>
                <c:pt idx="194">
                  <c:v>82.500789881534899</c:v>
                </c:pt>
                <c:pt idx="195">
                  <c:v>68.667319808032303</c:v>
                </c:pt>
                <c:pt idx="196">
                  <c:v>86.626904391837797</c:v>
                </c:pt>
                <c:pt idx="197">
                  <c:v>102.455562375347</c:v>
                </c:pt>
                <c:pt idx="198">
                  <c:v>116.014261931497</c:v>
                </c:pt>
                <c:pt idx="199">
                  <c:v>127.463803879355</c:v>
                </c:pt>
                <c:pt idx="200">
                  <c:v>132.46717128784201</c:v>
                </c:pt>
                <c:pt idx="201">
                  <c:v>139.569280722396</c:v>
                </c:pt>
                <c:pt idx="202">
                  <c:v>128.43051176518199</c:v>
                </c:pt>
                <c:pt idx="203">
                  <c:v>85.513314772173302</c:v>
                </c:pt>
                <c:pt idx="204">
                  <c:v>77.433495511223995</c:v>
                </c:pt>
                <c:pt idx="205">
                  <c:v>56.897493878173798</c:v>
                </c:pt>
                <c:pt idx="206">
                  <c:v>67.106879119825095</c:v>
                </c:pt>
                <c:pt idx="207">
                  <c:v>66.091990285967498</c:v>
                </c:pt>
                <c:pt idx="208">
                  <c:v>84.936813281624197</c:v>
                </c:pt>
                <c:pt idx="209">
                  <c:v>96.742012840512601</c:v>
                </c:pt>
                <c:pt idx="210">
                  <c:v>91.794533063904893</c:v>
                </c:pt>
                <c:pt idx="211">
                  <c:v>119.383403573066</c:v>
                </c:pt>
                <c:pt idx="212">
                  <c:v>136.41989913749001</c:v>
                </c:pt>
                <c:pt idx="213">
                  <c:v>133.185600354907</c:v>
                </c:pt>
                <c:pt idx="214">
                  <c:v>140.75071970654599</c:v>
                </c:pt>
                <c:pt idx="215">
                  <c:v>141.789365658164</c:v>
                </c:pt>
                <c:pt idx="216">
                  <c:v>141.976550696179</c:v>
                </c:pt>
                <c:pt idx="217">
                  <c:v>140.689675805782</c:v>
                </c:pt>
                <c:pt idx="218">
                  <c:v>130.71128092165799</c:v>
                </c:pt>
                <c:pt idx="219">
                  <c:v>136.03416292280099</c:v>
                </c:pt>
                <c:pt idx="220">
                  <c:v>143.85661930496499</c:v>
                </c:pt>
                <c:pt idx="221">
                  <c:v>157.349229655767</c:v>
                </c:pt>
                <c:pt idx="222">
                  <c:v>165.95826004259899</c:v>
                </c:pt>
                <c:pt idx="223">
                  <c:v>159.152125479273</c:v>
                </c:pt>
                <c:pt idx="224">
                  <c:v>165.76835864342399</c:v>
                </c:pt>
                <c:pt idx="225">
                  <c:v>172.72001780429201</c:v>
                </c:pt>
                <c:pt idx="226">
                  <c:v>169.754837358662</c:v>
                </c:pt>
                <c:pt idx="227">
                  <c:v>166.49434957511201</c:v>
                </c:pt>
                <c:pt idx="228">
                  <c:v>152.21032353811199</c:v>
                </c:pt>
                <c:pt idx="229">
                  <c:v>131.243923180764</c:v>
                </c:pt>
                <c:pt idx="230">
                  <c:v>123.93878476524399</c:v>
                </c:pt>
                <c:pt idx="231">
                  <c:v>129.315743161684</c:v>
                </c:pt>
                <c:pt idx="232">
                  <c:v>116.526915044661</c:v>
                </c:pt>
                <c:pt idx="233">
                  <c:v>64.935825733373306</c:v>
                </c:pt>
                <c:pt idx="234">
                  <c:v>35.8027509715401</c:v>
                </c:pt>
                <c:pt idx="235">
                  <c:v>25.522517380460101</c:v>
                </c:pt>
                <c:pt idx="236">
                  <c:v>22.331441546548199</c:v>
                </c:pt>
                <c:pt idx="237">
                  <c:v>43.947064354922801</c:v>
                </c:pt>
                <c:pt idx="238">
                  <c:v>36.860738688742799</c:v>
                </c:pt>
                <c:pt idx="239">
                  <c:v>22.3093907652406</c:v>
                </c:pt>
                <c:pt idx="240">
                  <c:v>22.407482182418502</c:v>
                </c:pt>
                <c:pt idx="241">
                  <c:v>35.3089386004836</c:v>
                </c:pt>
                <c:pt idx="242">
                  <c:v>33.365675230179399</c:v>
                </c:pt>
                <c:pt idx="243">
                  <c:v>33.5949477054928</c:v>
                </c:pt>
                <c:pt idx="244">
                  <c:v>51.558854523094197</c:v>
                </c:pt>
                <c:pt idx="245">
                  <c:v>52.862684388610198</c:v>
                </c:pt>
                <c:pt idx="246">
                  <c:v>54.201387044409898</c:v>
                </c:pt>
                <c:pt idx="247">
                  <c:v>55.635072248970801</c:v>
                </c:pt>
                <c:pt idx="248">
                  <c:v>51.908927037816902</c:v>
                </c:pt>
                <c:pt idx="249">
                  <c:v>64.252090489885205</c:v>
                </c:pt>
                <c:pt idx="250">
                  <c:v>66.952570455714195</c:v>
                </c:pt>
                <c:pt idx="251">
                  <c:v>79.569028739691504</c:v>
                </c:pt>
                <c:pt idx="252">
                  <c:v>96.999897544475999</c:v>
                </c:pt>
                <c:pt idx="253">
                  <c:v>92.116163627307202</c:v>
                </c:pt>
                <c:pt idx="254">
                  <c:v>85.637642888257005</c:v>
                </c:pt>
                <c:pt idx="255">
                  <c:v>93.536905404976295</c:v>
                </c:pt>
                <c:pt idx="256">
                  <c:v>75.358275491827499</c:v>
                </c:pt>
                <c:pt idx="257">
                  <c:v>59.100584690939698</c:v>
                </c:pt>
                <c:pt idx="258">
                  <c:v>52.616630188574703</c:v>
                </c:pt>
                <c:pt idx="259">
                  <c:v>65.777652958306604</c:v>
                </c:pt>
                <c:pt idx="260">
                  <c:v>66.515402876318205</c:v>
                </c:pt>
                <c:pt idx="261">
                  <c:v>75.981897235463606</c:v>
                </c:pt>
                <c:pt idx="262">
                  <c:v>58.576279606793399</c:v>
                </c:pt>
                <c:pt idx="263">
                  <c:v>56.105032609249399</c:v>
                </c:pt>
                <c:pt idx="264">
                  <c:v>64.341620728591494</c:v>
                </c:pt>
                <c:pt idx="265">
                  <c:v>86.146041515618094</c:v>
                </c:pt>
                <c:pt idx="266">
                  <c:v>89.593486663325905</c:v>
                </c:pt>
                <c:pt idx="267">
                  <c:v>90.6284307579852</c:v>
                </c:pt>
                <c:pt idx="268">
                  <c:v>89.950885551149398</c:v>
                </c:pt>
                <c:pt idx="269">
                  <c:v>92.511872464855003</c:v>
                </c:pt>
                <c:pt idx="270">
                  <c:v>104.40161787212099</c:v>
                </c:pt>
                <c:pt idx="271">
                  <c:v>102.191473221584</c:v>
                </c:pt>
                <c:pt idx="272">
                  <c:v>97.368357988010203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incentive!$AQ$1</c:f>
              <c:strCache>
                <c:ptCount val="1"/>
                <c:pt idx="0">
                  <c:v>FGLMC</c:v>
                </c:pt>
              </c:strCache>
            </c:strRef>
          </c:tx>
          <c:marker>
            <c:symbol val="none"/>
          </c:marker>
          <c:cat>
            <c:numRef>
              <c:f>incentive!$AO$2:$AO$274</c:f>
              <c:numCache>
                <c:formatCode>m/d/yyyy</c:formatCode>
                <c:ptCount val="273"/>
                <c:pt idx="0">
                  <c:v>34366</c:v>
                </c:pt>
                <c:pt idx="1">
                  <c:v>34394</c:v>
                </c:pt>
                <c:pt idx="2">
                  <c:v>34425</c:v>
                </c:pt>
                <c:pt idx="3">
                  <c:v>34455</c:v>
                </c:pt>
                <c:pt idx="4">
                  <c:v>34486</c:v>
                </c:pt>
                <c:pt idx="5">
                  <c:v>34516</c:v>
                </c:pt>
                <c:pt idx="6">
                  <c:v>34547</c:v>
                </c:pt>
                <c:pt idx="7">
                  <c:v>34578</c:v>
                </c:pt>
                <c:pt idx="8">
                  <c:v>34608</c:v>
                </c:pt>
                <c:pt idx="9">
                  <c:v>34639</c:v>
                </c:pt>
                <c:pt idx="10">
                  <c:v>34669</c:v>
                </c:pt>
                <c:pt idx="11">
                  <c:v>34700</c:v>
                </c:pt>
                <c:pt idx="12">
                  <c:v>34731</c:v>
                </c:pt>
                <c:pt idx="13">
                  <c:v>34759</c:v>
                </c:pt>
                <c:pt idx="14">
                  <c:v>34790</c:v>
                </c:pt>
                <c:pt idx="15">
                  <c:v>34820</c:v>
                </c:pt>
                <c:pt idx="16">
                  <c:v>34851</c:v>
                </c:pt>
                <c:pt idx="17">
                  <c:v>34881</c:v>
                </c:pt>
                <c:pt idx="18">
                  <c:v>34912</c:v>
                </c:pt>
                <c:pt idx="19">
                  <c:v>34943</c:v>
                </c:pt>
                <c:pt idx="20">
                  <c:v>34973</c:v>
                </c:pt>
                <c:pt idx="21">
                  <c:v>35004</c:v>
                </c:pt>
                <c:pt idx="22">
                  <c:v>35034</c:v>
                </c:pt>
                <c:pt idx="23">
                  <c:v>35065</c:v>
                </c:pt>
                <c:pt idx="24">
                  <c:v>35096</c:v>
                </c:pt>
                <c:pt idx="25">
                  <c:v>35125</c:v>
                </c:pt>
                <c:pt idx="26">
                  <c:v>35156</c:v>
                </c:pt>
                <c:pt idx="27">
                  <c:v>35186</c:v>
                </c:pt>
                <c:pt idx="28">
                  <c:v>35217</c:v>
                </c:pt>
                <c:pt idx="29">
                  <c:v>35247</c:v>
                </c:pt>
                <c:pt idx="30">
                  <c:v>35278</c:v>
                </c:pt>
                <c:pt idx="31">
                  <c:v>35309</c:v>
                </c:pt>
                <c:pt idx="32">
                  <c:v>35339</c:v>
                </c:pt>
                <c:pt idx="33">
                  <c:v>35370</c:v>
                </c:pt>
                <c:pt idx="34">
                  <c:v>35400</c:v>
                </c:pt>
                <c:pt idx="35">
                  <c:v>35431</c:v>
                </c:pt>
                <c:pt idx="36">
                  <c:v>35462</c:v>
                </c:pt>
                <c:pt idx="37">
                  <c:v>35490</c:v>
                </c:pt>
                <c:pt idx="38">
                  <c:v>35521</c:v>
                </c:pt>
                <c:pt idx="39">
                  <c:v>35551</c:v>
                </c:pt>
                <c:pt idx="40">
                  <c:v>35582</c:v>
                </c:pt>
                <c:pt idx="41">
                  <c:v>35612</c:v>
                </c:pt>
                <c:pt idx="42">
                  <c:v>35643</c:v>
                </c:pt>
                <c:pt idx="43">
                  <c:v>35674</c:v>
                </c:pt>
                <c:pt idx="44">
                  <c:v>35704</c:v>
                </c:pt>
                <c:pt idx="45">
                  <c:v>35735</c:v>
                </c:pt>
                <c:pt idx="46">
                  <c:v>35765</c:v>
                </c:pt>
                <c:pt idx="47">
                  <c:v>35796</c:v>
                </c:pt>
                <c:pt idx="48">
                  <c:v>35827</c:v>
                </c:pt>
                <c:pt idx="49">
                  <c:v>35855</c:v>
                </c:pt>
                <c:pt idx="50">
                  <c:v>35886</c:v>
                </c:pt>
                <c:pt idx="51">
                  <c:v>35916</c:v>
                </c:pt>
                <c:pt idx="52">
                  <c:v>35947</c:v>
                </c:pt>
                <c:pt idx="53">
                  <c:v>35977</c:v>
                </c:pt>
                <c:pt idx="54">
                  <c:v>36008</c:v>
                </c:pt>
                <c:pt idx="55">
                  <c:v>36039</c:v>
                </c:pt>
                <c:pt idx="56">
                  <c:v>36069</c:v>
                </c:pt>
                <c:pt idx="57">
                  <c:v>36100</c:v>
                </c:pt>
                <c:pt idx="58">
                  <c:v>36130</c:v>
                </c:pt>
                <c:pt idx="59">
                  <c:v>36161</c:v>
                </c:pt>
                <c:pt idx="60">
                  <c:v>36192</c:v>
                </c:pt>
                <c:pt idx="61">
                  <c:v>36220</c:v>
                </c:pt>
                <c:pt idx="62">
                  <c:v>36251</c:v>
                </c:pt>
                <c:pt idx="63">
                  <c:v>36281</c:v>
                </c:pt>
                <c:pt idx="64">
                  <c:v>36312</c:v>
                </c:pt>
                <c:pt idx="65">
                  <c:v>36342</c:v>
                </c:pt>
                <c:pt idx="66">
                  <c:v>36373</c:v>
                </c:pt>
                <c:pt idx="67">
                  <c:v>36404</c:v>
                </c:pt>
                <c:pt idx="68">
                  <c:v>36434</c:v>
                </c:pt>
                <c:pt idx="69">
                  <c:v>36465</c:v>
                </c:pt>
                <c:pt idx="70">
                  <c:v>36495</c:v>
                </c:pt>
                <c:pt idx="71">
                  <c:v>36526</c:v>
                </c:pt>
                <c:pt idx="72">
                  <c:v>36557</c:v>
                </c:pt>
                <c:pt idx="73">
                  <c:v>36586</c:v>
                </c:pt>
                <c:pt idx="74">
                  <c:v>36617</c:v>
                </c:pt>
                <c:pt idx="75">
                  <c:v>36647</c:v>
                </c:pt>
                <c:pt idx="76">
                  <c:v>36678</c:v>
                </c:pt>
                <c:pt idx="77">
                  <c:v>36708</c:v>
                </c:pt>
                <c:pt idx="78">
                  <c:v>36739</c:v>
                </c:pt>
                <c:pt idx="79">
                  <c:v>36770</c:v>
                </c:pt>
                <c:pt idx="80">
                  <c:v>36800</c:v>
                </c:pt>
                <c:pt idx="81">
                  <c:v>36831</c:v>
                </c:pt>
                <c:pt idx="82">
                  <c:v>36861</c:v>
                </c:pt>
                <c:pt idx="83">
                  <c:v>36892</c:v>
                </c:pt>
                <c:pt idx="84">
                  <c:v>36923</c:v>
                </c:pt>
                <c:pt idx="85">
                  <c:v>36951</c:v>
                </c:pt>
                <c:pt idx="86">
                  <c:v>36982</c:v>
                </c:pt>
                <c:pt idx="87">
                  <c:v>37012</c:v>
                </c:pt>
                <c:pt idx="88">
                  <c:v>37043</c:v>
                </c:pt>
                <c:pt idx="89">
                  <c:v>37073</c:v>
                </c:pt>
                <c:pt idx="90">
                  <c:v>37104</c:v>
                </c:pt>
                <c:pt idx="91">
                  <c:v>37135</c:v>
                </c:pt>
                <c:pt idx="92">
                  <c:v>37165</c:v>
                </c:pt>
                <c:pt idx="93">
                  <c:v>37196</c:v>
                </c:pt>
                <c:pt idx="94">
                  <c:v>37226</c:v>
                </c:pt>
                <c:pt idx="95">
                  <c:v>37257</c:v>
                </c:pt>
                <c:pt idx="96">
                  <c:v>37288</c:v>
                </c:pt>
                <c:pt idx="97">
                  <c:v>37316</c:v>
                </c:pt>
                <c:pt idx="98">
                  <c:v>37347</c:v>
                </c:pt>
                <c:pt idx="99">
                  <c:v>37377</c:v>
                </c:pt>
                <c:pt idx="100">
                  <c:v>37408</c:v>
                </c:pt>
                <c:pt idx="101">
                  <c:v>37438</c:v>
                </c:pt>
                <c:pt idx="102">
                  <c:v>37469</c:v>
                </c:pt>
                <c:pt idx="103">
                  <c:v>37500</c:v>
                </c:pt>
                <c:pt idx="104">
                  <c:v>37530</c:v>
                </c:pt>
                <c:pt idx="105">
                  <c:v>37561</c:v>
                </c:pt>
                <c:pt idx="106">
                  <c:v>37591</c:v>
                </c:pt>
                <c:pt idx="107">
                  <c:v>37622</c:v>
                </c:pt>
                <c:pt idx="108">
                  <c:v>37653</c:v>
                </c:pt>
                <c:pt idx="109">
                  <c:v>37681</c:v>
                </c:pt>
                <c:pt idx="110">
                  <c:v>37712</c:v>
                </c:pt>
                <c:pt idx="111">
                  <c:v>37742</c:v>
                </c:pt>
                <c:pt idx="112">
                  <c:v>37773</c:v>
                </c:pt>
                <c:pt idx="113">
                  <c:v>37803</c:v>
                </c:pt>
                <c:pt idx="114">
                  <c:v>37834</c:v>
                </c:pt>
                <c:pt idx="115">
                  <c:v>37865</c:v>
                </c:pt>
                <c:pt idx="116">
                  <c:v>37895</c:v>
                </c:pt>
                <c:pt idx="117">
                  <c:v>37926</c:v>
                </c:pt>
                <c:pt idx="118">
                  <c:v>37956</c:v>
                </c:pt>
                <c:pt idx="119">
                  <c:v>37987</c:v>
                </c:pt>
                <c:pt idx="120">
                  <c:v>38018</c:v>
                </c:pt>
                <c:pt idx="121">
                  <c:v>38047</c:v>
                </c:pt>
                <c:pt idx="122">
                  <c:v>38078</c:v>
                </c:pt>
                <c:pt idx="123">
                  <c:v>38108</c:v>
                </c:pt>
                <c:pt idx="124">
                  <c:v>38139</c:v>
                </c:pt>
                <c:pt idx="125">
                  <c:v>38169</c:v>
                </c:pt>
                <c:pt idx="126">
                  <c:v>38200</c:v>
                </c:pt>
                <c:pt idx="127">
                  <c:v>38231</c:v>
                </c:pt>
                <c:pt idx="128">
                  <c:v>38261</c:v>
                </c:pt>
                <c:pt idx="129">
                  <c:v>38292</c:v>
                </c:pt>
                <c:pt idx="130">
                  <c:v>38322</c:v>
                </c:pt>
                <c:pt idx="131">
                  <c:v>38353</c:v>
                </c:pt>
                <c:pt idx="132">
                  <c:v>38384</c:v>
                </c:pt>
                <c:pt idx="133">
                  <c:v>38412</c:v>
                </c:pt>
                <c:pt idx="134">
                  <c:v>38443</c:v>
                </c:pt>
                <c:pt idx="135">
                  <c:v>38473</c:v>
                </c:pt>
                <c:pt idx="136">
                  <c:v>38504</c:v>
                </c:pt>
                <c:pt idx="137">
                  <c:v>38534</c:v>
                </c:pt>
                <c:pt idx="138">
                  <c:v>38565</c:v>
                </c:pt>
                <c:pt idx="139">
                  <c:v>38596</c:v>
                </c:pt>
                <c:pt idx="140">
                  <c:v>38626</c:v>
                </c:pt>
                <c:pt idx="141">
                  <c:v>38657</c:v>
                </c:pt>
                <c:pt idx="142">
                  <c:v>38687</c:v>
                </c:pt>
                <c:pt idx="143">
                  <c:v>38718</c:v>
                </c:pt>
                <c:pt idx="144">
                  <c:v>38749</c:v>
                </c:pt>
                <c:pt idx="145">
                  <c:v>38777</c:v>
                </c:pt>
                <c:pt idx="146">
                  <c:v>38808</c:v>
                </c:pt>
                <c:pt idx="147">
                  <c:v>38838</c:v>
                </c:pt>
                <c:pt idx="148">
                  <c:v>38869</c:v>
                </c:pt>
                <c:pt idx="149">
                  <c:v>38899</c:v>
                </c:pt>
                <c:pt idx="150">
                  <c:v>38930</c:v>
                </c:pt>
                <c:pt idx="151">
                  <c:v>38961</c:v>
                </c:pt>
                <c:pt idx="152">
                  <c:v>38991</c:v>
                </c:pt>
                <c:pt idx="153">
                  <c:v>39022</c:v>
                </c:pt>
                <c:pt idx="154">
                  <c:v>39052</c:v>
                </c:pt>
                <c:pt idx="155">
                  <c:v>39083</c:v>
                </c:pt>
                <c:pt idx="156">
                  <c:v>39114</c:v>
                </c:pt>
                <c:pt idx="157">
                  <c:v>39142</c:v>
                </c:pt>
                <c:pt idx="158">
                  <c:v>39173</c:v>
                </c:pt>
                <c:pt idx="159">
                  <c:v>39203</c:v>
                </c:pt>
                <c:pt idx="160">
                  <c:v>39234</c:v>
                </c:pt>
                <c:pt idx="161">
                  <c:v>39264</c:v>
                </c:pt>
                <c:pt idx="162">
                  <c:v>39295</c:v>
                </c:pt>
                <c:pt idx="163">
                  <c:v>39326</c:v>
                </c:pt>
                <c:pt idx="164">
                  <c:v>39356</c:v>
                </c:pt>
                <c:pt idx="165">
                  <c:v>39387</c:v>
                </c:pt>
                <c:pt idx="166">
                  <c:v>39417</c:v>
                </c:pt>
                <c:pt idx="167">
                  <c:v>39448</c:v>
                </c:pt>
                <c:pt idx="168">
                  <c:v>39479</c:v>
                </c:pt>
                <c:pt idx="169">
                  <c:v>39508</c:v>
                </c:pt>
                <c:pt idx="170">
                  <c:v>39539</c:v>
                </c:pt>
                <c:pt idx="171">
                  <c:v>39569</c:v>
                </c:pt>
                <c:pt idx="172">
                  <c:v>39600</c:v>
                </c:pt>
                <c:pt idx="173">
                  <c:v>39630</c:v>
                </c:pt>
                <c:pt idx="174">
                  <c:v>39661</c:v>
                </c:pt>
                <c:pt idx="175">
                  <c:v>39692</c:v>
                </c:pt>
                <c:pt idx="176">
                  <c:v>39722</c:v>
                </c:pt>
                <c:pt idx="177">
                  <c:v>39753</c:v>
                </c:pt>
                <c:pt idx="178">
                  <c:v>39783</c:v>
                </c:pt>
                <c:pt idx="179">
                  <c:v>39814</c:v>
                </c:pt>
                <c:pt idx="180">
                  <c:v>39845</c:v>
                </c:pt>
                <c:pt idx="181">
                  <c:v>39873</c:v>
                </c:pt>
                <c:pt idx="182">
                  <c:v>39904</c:v>
                </c:pt>
                <c:pt idx="183">
                  <c:v>39934</c:v>
                </c:pt>
                <c:pt idx="184">
                  <c:v>39965</c:v>
                </c:pt>
                <c:pt idx="185">
                  <c:v>39995</c:v>
                </c:pt>
                <c:pt idx="186">
                  <c:v>40026</c:v>
                </c:pt>
                <c:pt idx="187">
                  <c:v>40057</c:v>
                </c:pt>
                <c:pt idx="188">
                  <c:v>40087</c:v>
                </c:pt>
                <c:pt idx="189">
                  <c:v>40118</c:v>
                </c:pt>
                <c:pt idx="190">
                  <c:v>40148</c:v>
                </c:pt>
                <c:pt idx="191">
                  <c:v>40179</c:v>
                </c:pt>
                <c:pt idx="192">
                  <c:v>40210</c:v>
                </c:pt>
                <c:pt idx="193">
                  <c:v>40238</c:v>
                </c:pt>
                <c:pt idx="194">
                  <c:v>40269</c:v>
                </c:pt>
                <c:pt idx="195">
                  <c:v>40299</c:v>
                </c:pt>
                <c:pt idx="196">
                  <c:v>40330</c:v>
                </c:pt>
                <c:pt idx="197">
                  <c:v>40360</c:v>
                </c:pt>
                <c:pt idx="198">
                  <c:v>40391</c:v>
                </c:pt>
                <c:pt idx="199">
                  <c:v>40422</c:v>
                </c:pt>
                <c:pt idx="200">
                  <c:v>40452</c:v>
                </c:pt>
                <c:pt idx="201">
                  <c:v>40483</c:v>
                </c:pt>
                <c:pt idx="202">
                  <c:v>40513</c:v>
                </c:pt>
                <c:pt idx="203">
                  <c:v>40544</c:v>
                </c:pt>
                <c:pt idx="204">
                  <c:v>40575</c:v>
                </c:pt>
                <c:pt idx="205">
                  <c:v>40603</c:v>
                </c:pt>
                <c:pt idx="206">
                  <c:v>40634</c:v>
                </c:pt>
                <c:pt idx="207">
                  <c:v>40664</c:v>
                </c:pt>
                <c:pt idx="208">
                  <c:v>40695</c:v>
                </c:pt>
                <c:pt idx="209">
                  <c:v>40725</c:v>
                </c:pt>
                <c:pt idx="210">
                  <c:v>40756</c:v>
                </c:pt>
                <c:pt idx="211">
                  <c:v>40787</c:v>
                </c:pt>
                <c:pt idx="212">
                  <c:v>40817</c:v>
                </c:pt>
                <c:pt idx="213">
                  <c:v>40848</c:v>
                </c:pt>
                <c:pt idx="214">
                  <c:v>40878</c:v>
                </c:pt>
                <c:pt idx="215">
                  <c:v>40909</c:v>
                </c:pt>
                <c:pt idx="216">
                  <c:v>40940</c:v>
                </c:pt>
                <c:pt idx="217">
                  <c:v>40969</c:v>
                </c:pt>
                <c:pt idx="218">
                  <c:v>41000</c:v>
                </c:pt>
                <c:pt idx="219">
                  <c:v>41030</c:v>
                </c:pt>
                <c:pt idx="220">
                  <c:v>41061</c:v>
                </c:pt>
                <c:pt idx="221">
                  <c:v>41091</c:v>
                </c:pt>
                <c:pt idx="222">
                  <c:v>41122</c:v>
                </c:pt>
                <c:pt idx="223">
                  <c:v>41153</c:v>
                </c:pt>
                <c:pt idx="224">
                  <c:v>41183</c:v>
                </c:pt>
                <c:pt idx="225">
                  <c:v>41214</c:v>
                </c:pt>
                <c:pt idx="226">
                  <c:v>41244</c:v>
                </c:pt>
                <c:pt idx="227">
                  <c:v>41275</c:v>
                </c:pt>
                <c:pt idx="228">
                  <c:v>41306</c:v>
                </c:pt>
                <c:pt idx="229">
                  <c:v>41334</c:v>
                </c:pt>
                <c:pt idx="230">
                  <c:v>41365</c:v>
                </c:pt>
                <c:pt idx="231">
                  <c:v>41395</c:v>
                </c:pt>
                <c:pt idx="232">
                  <c:v>41426</c:v>
                </c:pt>
                <c:pt idx="233">
                  <c:v>41456</c:v>
                </c:pt>
                <c:pt idx="234">
                  <c:v>41487</c:v>
                </c:pt>
                <c:pt idx="235">
                  <c:v>41518</c:v>
                </c:pt>
                <c:pt idx="236">
                  <c:v>41548</c:v>
                </c:pt>
                <c:pt idx="237">
                  <c:v>41579</c:v>
                </c:pt>
                <c:pt idx="238">
                  <c:v>41609</c:v>
                </c:pt>
                <c:pt idx="239">
                  <c:v>41640</c:v>
                </c:pt>
                <c:pt idx="240">
                  <c:v>41671</c:v>
                </c:pt>
                <c:pt idx="241">
                  <c:v>41699</c:v>
                </c:pt>
                <c:pt idx="242">
                  <c:v>41730</c:v>
                </c:pt>
                <c:pt idx="243">
                  <c:v>41760</c:v>
                </c:pt>
                <c:pt idx="244">
                  <c:v>41791</c:v>
                </c:pt>
                <c:pt idx="245">
                  <c:v>41821</c:v>
                </c:pt>
                <c:pt idx="246">
                  <c:v>41852</c:v>
                </c:pt>
                <c:pt idx="247">
                  <c:v>41883</c:v>
                </c:pt>
                <c:pt idx="248">
                  <c:v>41913</c:v>
                </c:pt>
                <c:pt idx="249">
                  <c:v>41944</c:v>
                </c:pt>
                <c:pt idx="250">
                  <c:v>41974</c:v>
                </c:pt>
                <c:pt idx="251">
                  <c:v>42005</c:v>
                </c:pt>
                <c:pt idx="252">
                  <c:v>42036</c:v>
                </c:pt>
                <c:pt idx="253">
                  <c:v>42064</c:v>
                </c:pt>
                <c:pt idx="254">
                  <c:v>42095</c:v>
                </c:pt>
                <c:pt idx="255">
                  <c:v>42125</c:v>
                </c:pt>
                <c:pt idx="256">
                  <c:v>42156</c:v>
                </c:pt>
                <c:pt idx="257">
                  <c:v>42186</c:v>
                </c:pt>
                <c:pt idx="258">
                  <c:v>42217</c:v>
                </c:pt>
                <c:pt idx="259">
                  <c:v>42248</c:v>
                </c:pt>
                <c:pt idx="260">
                  <c:v>42278</c:v>
                </c:pt>
                <c:pt idx="261">
                  <c:v>42309</c:v>
                </c:pt>
                <c:pt idx="262">
                  <c:v>42339</c:v>
                </c:pt>
                <c:pt idx="263">
                  <c:v>42370</c:v>
                </c:pt>
                <c:pt idx="264">
                  <c:v>42401</c:v>
                </c:pt>
                <c:pt idx="265">
                  <c:v>42430</c:v>
                </c:pt>
                <c:pt idx="266">
                  <c:v>42461</c:v>
                </c:pt>
                <c:pt idx="267">
                  <c:v>42491</c:v>
                </c:pt>
                <c:pt idx="268">
                  <c:v>42522</c:v>
                </c:pt>
                <c:pt idx="269">
                  <c:v>42552</c:v>
                </c:pt>
                <c:pt idx="270">
                  <c:v>42583</c:v>
                </c:pt>
                <c:pt idx="271">
                  <c:v>42614</c:v>
                </c:pt>
                <c:pt idx="272">
                  <c:v>42644</c:v>
                </c:pt>
              </c:numCache>
            </c:numRef>
          </c:cat>
          <c:val>
            <c:numRef>
              <c:f>incentive!$AQ$2:$AQ$274</c:f>
              <c:numCache>
                <c:formatCode>General</c:formatCode>
                <c:ptCount val="273"/>
                <c:pt idx="0">
                  <c:v>74.190550938495093</c:v>
                </c:pt>
                <c:pt idx="1">
                  <c:v>58.255346217186101</c:v>
                </c:pt>
                <c:pt idx="2">
                  <c:v>-3.8680416544181702</c:v>
                </c:pt>
                <c:pt idx="3">
                  <c:v>#N/A</c:v>
                </c:pt>
                <c:pt idx="4">
                  <c:v>#N/A</c:v>
                </c:pt>
                <c:pt idx="5">
                  <c:v>-80.323549386591793</c:v>
                </c:pt>
                <c:pt idx="6">
                  <c:v>-100.238351385502</c:v>
                </c:pt>
                <c:pt idx="7">
                  <c:v>-87.478873162582303</c:v>
                </c:pt>
                <c:pt idx="8">
                  <c:v>-99.478039134631999</c:v>
                </c:pt>
                <c:pt idx="9">
                  <c:v>-127.103067959413</c:v>
                </c:pt>
                <c:pt idx="10">
                  <c:v>-151.65479833232999</c:v>
                </c:pt>
                <c:pt idx="11">
                  <c:v>-153.031617833263</c:v>
                </c:pt>
                <c:pt idx="12">
                  <c:v>-147.19984376571199</c:v>
                </c:pt>
                <c:pt idx="13">
                  <c:v>-115.10239783914599</c:v>
                </c:pt>
                <c:pt idx="14">
                  <c:v>-75.078795554713395</c:v>
                </c:pt>
                <c:pt idx="15">
                  <c:v>-61.121694982616503</c:v>
                </c:pt>
                <c:pt idx="16">
                  <c:v>-21.2032630399172</c:v>
                </c:pt>
                <c:pt idx="17">
                  <c:v>19.917486663097801</c:v>
                </c:pt>
                <c:pt idx="18">
                  <c:v>16.997313949463798</c:v>
                </c:pt>
                <c:pt idx="19">
                  <c:v>-8.2961909418398108</c:v>
                </c:pt>
                <c:pt idx="20">
                  <c:v>14.7477425367051</c:v>
                </c:pt>
                <c:pt idx="21">
                  <c:v>25.702523975573701</c:v>
                </c:pt>
                <c:pt idx="22">
                  <c:v>36.602948562794701</c:v>
                </c:pt>
                <c:pt idx="23">
                  <c:v>57.079058876851299</c:v>
                </c:pt>
                <c:pt idx="24">
                  <c:v>70.268500500616796</c:v>
                </c:pt>
                <c:pt idx="25">
                  <c:v>57.947992102338901</c:v>
                </c:pt>
                <c:pt idx="26">
                  <c:v>1.0816081929532999</c:v>
                </c:pt>
                <c:pt idx="27">
                  <c:v>-26.729540664991902</c:v>
                </c:pt>
                <c:pt idx="28">
                  <c:v>-41.366815095228297</c:v>
                </c:pt>
                <c:pt idx="29">
                  <c:v>-65.419892389318505</c:v>
                </c:pt>
                <c:pt idx="30">
                  <c:v>-59.163322787928301</c:v>
                </c:pt>
                <c:pt idx="31">
                  <c:v>-32.855937057378398</c:v>
                </c:pt>
                <c:pt idx="32">
                  <c:v>-54.8934445788977</c:v>
                </c:pt>
                <c:pt idx="33">
                  <c:v>-21.052065942080102</c:v>
                </c:pt>
                <c:pt idx="34">
                  <c:v>9.6920277960592198</c:v>
                </c:pt>
                <c:pt idx="35">
                  <c:v>#N/A</c:v>
                </c:pt>
                <c:pt idx="36">
                  <c:v>#N/A</c:v>
                </c:pt>
                <c:pt idx="37">
                  <c:v>4.0447905323333098</c:v>
                </c:pt>
                <c:pt idx="38">
                  <c:v>-22.042560771180302</c:v>
                </c:pt>
                <c:pt idx="39">
                  <c:v>-45.856152532617202</c:v>
                </c:pt>
                <c:pt idx="40">
                  <c:v>-24.248140550149699</c:v>
                </c:pt>
                <c:pt idx="41">
                  <c:v>0.68787861263028405</c:v>
                </c:pt>
                <c:pt idx="42">
                  <c:v>21.575670795737</c:v>
                </c:pt>
                <c:pt idx="43">
                  <c:v>18.532608215224101</c:v>
                </c:pt>
                <c:pt idx="44">
                  <c:v>26.788520723141101</c:v>
                </c:pt>
                <c:pt idx="45">
                  <c:v>39.657573182275598</c:v>
                </c:pt>
                <c:pt idx="46">
                  <c:v>47.1621720387297</c:v>
                </c:pt>
                <c:pt idx="47">
                  <c:v>55.090828346516098</c:v>
                </c:pt>
                <c:pt idx="48">
                  <c:v>74.8758723271674</c:v>
                </c:pt>
                <c:pt idx="49">
                  <c:v>72.168546715575104</c:v>
                </c:pt>
                <c:pt idx="50">
                  <c:v>61.794533051010198</c:v>
                </c:pt>
                <c:pt idx="51">
                  <c:v>57.682478861658602</c:v>
                </c:pt>
                <c:pt idx="52">
                  <c:v>56.6714405743149</c:v>
                </c:pt>
                <c:pt idx="53">
                  <c:v>67.479083646938605</c:v>
                </c:pt>
                <c:pt idx="54">
                  <c:v>67.031911930997495</c:v>
                </c:pt>
                <c:pt idx="55">
                  <c:v>67.180750829162207</c:v>
                </c:pt>
                <c:pt idx="56">
                  <c:v>87.940545078564497</c:v>
                </c:pt>
                <c:pt idx="57">
                  <c:v>86.514426564881404</c:v>
                </c:pt>
                <c:pt idx="58">
                  <c:v>66.757531895323595</c:v>
                </c:pt>
                <c:pt idx="59">
                  <c:v>73.8816225359827</c:v>
                </c:pt>
                <c:pt idx="60">
                  <c:v>66.070612848773195</c:v>
                </c:pt>
                <c:pt idx="61">
                  <c:v>58.357249426792798</c:v>
                </c:pt>
                <c:pt idx="62">
                  <c:v>34.516627893565399</c:v>
                </c:pt>
                <c:pt idx="63">
                  <c:v>42.047585787429398</c:v>
                </c:pt>
                <c:pt idx="64">
                  <c:v>16.340547782046102</c:v>
                </c:pt>
                <c:pt idx="65">
                  <c:v>-25.806713892398001</c:v>
                </c:pt>
                <c:pt idx="66">
                  <c:v>-35.033014203386301</c:v>
                </c:pt>
                <c:pt idx="67">
                  <c:v>-66.0907231555869</c:v>
                </c:pt>
                <c:pt idx="68">
                  <c:v>-50.5958290639187</c:v>
                </c:pt>
                <c:pt idx="69">
                  <c:v>-59.5077047941231</c:v>
                </c:pt>
                <c:pt idx="70">
                  <c:v>-43.525514314365097</c:v>
                </c:pt>
                <c:pt idx="71">
                  <c:v>-60.153374761858302</c:v>
                </c:pt>
                <c:pt idx="72">
                  <c:v>-88.975781398589803</c:v>
                </c:pt>
                <c:pt idx="73">
                  <c:v>-98.961726973257896</c:v>
                </c:pt>
                <c:pt idx="74">
                  <c:v>-89.548337702934802</c:v>
                </c:pt>
                <c:pt idx="75">
                  <c:v>-79.429363134696004</c:v>
                </c:pt>
                <c:pt idx="76">
                  <c:v>-114.958232048474</c:v>
                </c:pt>
                <c:pt idx="77">
                  <c:v>-89.121812175975805</c:v>
                </c:pt>
                <c:pt idx="78">
                  <c:v>-72.966637617078405</c:v>
                </c:pt>
                <c:pt idx="79">
                  <c:v>-58.746311639148701</c:v>
                </c:pt>
                <c:pt idx="80">
                  <c:v>-46.443179222903801</c:v>
                </c:pt>
                <c:pt idx="81">
                  <c:v>-33.759448641736398</c:v>
                </c:pt>
                <c:pt idx="82">
                  <c:v>-23.858669046557502</c:v>
                </c:pt>
                <c:pt idx="83">
                  <c:v>16.5512259856044</c:v>
                </c:pt>
                <c:pt idx="84">
                  <c:v>47.796270235165899</c:v>
                </c:pt>
                <c:pt idx="85">
                  <c:v>45.277071368739598</c:v>
                </c:pt>
                <c:pt idx="86">
                  <c:v>54.7794144968815</c:v>
                </c:pt>
                <c:pt idx="87">
                  <c:v>41.047063795535898</c:v>
                </c:pt>
                <c:pt idx="88">
                  <c:v>28.9188934623275</c:v>
                </c:pt>
                <c:pt idx="89">
                  <c:v>27.556720853083299</c:v>
                </c:pt>
                <c:pt idx="90">
                  <c:v>28.358759391345298</c:v>
                </c:pt>
                <c:pt idx="91">
                  <c:v>44.905698671691802</c:v>
                </c:pt>
                <c:pt idx="92">
                  <c:v>56.336247896176097</c:v>
                </c:pt>
                <c:pt idx="93">
                  <c:v>75.7350022377627</c:v>
                </c:pt>
                <c:pt idx="94">
                  <c:v>70.190030274291999</c:v>
                </c:pt>
                <c:pt idx="95">
                  <c:v>26.927941603463101</c:v>
                </c:pt>
                <c:pt idx="96">
                  <c:v>29.607112975442199</c:v>
                </c:pt>
                <c:pt idx="97">
                  <c:v>43.961304692736597</c:v>
                </c:pt>
                <c:pt idx="98">
                  <c:v>18.689622700493199</c:v>
                </c:pt>
                <c:pt idx="99">
                  <c:v>24.021385655237701</c:v>
                </c:pt>
                <c:pt idx="100">
                  <c:v>40.713155040885702</c:v>
                </c:pt>
                <c:pt idx="101">
                  <c:v>58.0950695973413</c:v>
                </c:pt>
                <c:pt idx="102">
                  <c:v>74.579191936174098</c:v>
                </c:pt>
                <c:pt idx="103">
                  <c:v>90.150900499985497</c:v>
                </c:pt>
                <c:pt idx="104">
                  <c:v>107.545329192813</c:v>
                </c:pt>
                <c:pt idx="105">
                  <c:v>103.133436443188</c:v>
                </c:pt>
                <c:pt idx="106">
                  <c:v>103.890237150167</c:v>
                </c:pt>
                <c:pt idx="107">
                  <c:v>100.27250723974601</c:v>
                </c:pt>
                <c:pt idx="108">
                  <c:v>108.815113400649</c:v>
                </c:pt>
                <c:pt idx="109">
                  <c:v>111.745955720119</c:v>
                </c:pt>
                <c:pt idx="110">
                  <c:v>116.997696539396</c:v>
                </c:pt>
                <c:pt idx="111">
                  <c:v>105.8147914963</c:v>
                </c:pt>
                <c:pt idx="112">
                  <c:v>132.50916432429599</c:v>
                </c:pt>
                <c:pt idx="113">
                  <c:v>154.472035043408</c:v>
                </c:pt>
                <c:pt idx="114">
                  <c:v>98.166530538078405</c:v>
                </c:pt>
                <c:pt idx="115">
                  <c:v>25.741510583856002</c:v>
                </c:pt>
                <c:pt idx="116">
                  <c:v>35.974035861419601</c:v>
                </c:pt>
                <c:pt idx="117">
                  <c:v>48.2659639827124</c:v>
                </c:pt>
                <c:pt idx="118">
                  <c:v>46.3799056167312</c:v>
                </c:pt>
                <c:pt idx="119">
                  <c:v>47.983428653724097</c:v>
                </c:pt>
                <c:pt idx="120">
                  <c:v>62.907451892085902</c:v>
                </c:pt>
                <c:pt idx="121">
                  <c:v>68.826870595556699</c:v>
                </c:pt>
                <c:pt idx="122">
                  <c:v>84.244284181382994</c:v>
                </c:pt>
                <c:pt idx="123">
                  <c:v>36.317871584146303</c:v>
                </c:pt>
                <c:pt idx="124">
                  <c:v>-3.0237459765794399</c:v>
                </c:pt>
                <c:pt idx="125">
                  <c:v>-4.2854142195648697</c:v>
                </c:pt>
                <c:pt idx="126">
                  <c:v>20.606956818366999</c:v>
                </c:pt>
                <c:pt idx="127">
                  <c:v>33.248350968076899</c:v>
                </c:pt>
                <c:pt idx="128">
                  <c:v>42.407206081832499</c:v>
                </c:pt>
                <c:pt idx="129">
                  <c:v>46.891888280245503</c:v>
                </c:pt>
                <c:pt idx="130">
                  <c:v>45.702711353575801</c:v>
                </c:pt>
                <c:pt idx="131">
                  <c:v>42.301713851065401</c:v>
                </c:pt>
                <c:pt idx="132">
                  <c:v>44.4859084197738</c:v>
                </c:pt>
                <c:pt idx="133">
                  <c:v>50.211464451944103</c:v>
                </c:pt>
                <c:pt idx="134">
                  <c:v>20.738085561694501</c:v>
                </c:pt>
                <c:pt idx="135">
                  <c:v>28.187192962208201</c:v>
                </c:pt>
                <c:pt idx="136">
                  <c:v>41.557957371356103</c:v>
                </c:pt>
                <c:pt idx="137">
                  <c:v>55.183544164119198</c:v>
                </c:pt>
                <c:pt idx="138">
                  <c:v>44.192222279180498</c:v>
                </c:pt>
                <c:pt idx="139">
                  <c:v>31.890451276673399</c:v>
                </c:pt>
                <c:pt idx="140">
                  <c:v>29.948023134710301</c:v>
                </c:pt>
                <c:pt idx="141">
                  <c:v>2.4967656869655799</c:v>
                </c:pt>
                <c:pt idx="142">
                  <c:v>-23.899047262388301</c:v>
                </c:pt>
                <c:pt idx="143">
                  <c:v>-21.1299948391779</c:v>
                </c:pt>
                <c:pt idx="144">
                  <c:v>-8.8840085696682891</c:v>
                </c:pt>
                <c:pt idx="145">
                  <c:v>-19.813350471056602</c:v>
                </c:pt>
                <c:pt idx="146">
                  <c:v>-27.587301840150101</c:v>
                </c:pt>
                <c:pt idx="147">
                  <c:v>-43.000937056380799</c:v>
                </c:pt>
                <c:pt idx="148">
                  <c:v>-49.340488666735197</c:v>
                </c:pt>
                <c:pt idx="149">
                  <c:v>-54.897492601201201</c:v>
                </c:pt>
                <c:pt idx="150">
                  <c:v>-59.367142606628498</c:v>
                </c:pt>
                <c:pt idx="151">
                  <c:v>-36.252716489437098</c:v>
                </c:pt>
                <c:pt idx="152">
                  <c:v>-25.3936089502097</c:v>
                </c:pt>
                <c:pt idx="153">
                  <c:v>-19.5211031403147</c:v>
                </c:pt>
                <c:pt idx="154">
                  <c:v>-8.8399684135061296</c:v>
                </c:pt>
                <c:pt idx="155">
                  <c:v>2.92963331972833</c:v>
                </c:pt>
                <c:pt idx="156">
                  <c:v>-6.7797218986924799</c:v>
                </c:pt>
                <c:pt idx="157">
                  <c:v>-6.8365428464228799</c:v>
                </c:pt>
                <c:pt idx="158">
                  <c:v>2.1066875080734402</c:v>
                </c:pt>
                <c:pt idx="159">
                  <c:v>-1.3422682862462201</c:v>
                </c:pt>
                <c:pt idx="160">
                  <c:v>-9.8657706770181104</c:v>
                </c:pt>
                <c:pt idx="161">
                  <c:v>-48.278196453150599</c:v>
                </c:pt>
                <c:pt idx="162">
                  <c:v>-51.001912286642501</c:v>
                </c:pt>
                <c:pt idx="163">
                  <c:v>-37.811163275774099</c:v>
                </c:pt>
                <c:pt idx="164">
                  <c:v>-21.285109939873401</c:v>
                </c:pt>
                <c:pt idx="165">
                  <c:v>-16.7137414546979</c:v>
                </c:pt>
                <c:pt idx="166">
                  <c:v>-0.78329668429376997</c:v>
                </c:pt>
                <c:pt idx="167">
                  <c:v>9.6748977466355406</c:v>
                </c:pt>
                <c:pt idx="168">
                  <c:v>41.908992397759299</c:v>
                </c:pt>
                <c:pt idx="169">
                  <c:v>19.546986210154898</c:v>
                </c:pt>
                <c:pt idx="170">
                  <c:v>13.168364206344201</c:v>
                </c:pt>
                <c:pt idx="171">
                  <c:v>15.7701465899822</c:v>
                </c:pt>
                <c:pt idx="172">
                  <c:v>3.77467521402188</c:v>
                </c:pt>
                <c:pt idx="173">
                  <c:v>-29.391847488816801</c:v>
                </c:pt>
                <c:pt idx="174">
                  <c:v>-39.869122073639801</c:v>
                </c:pt>
                <c:pt idx="175">
                  <c:v>-46.1668710577216</c:v>
                </c:pt>
                <c:pt idx="176">
                  <c:v>-3.83725797677852</c:v>
                </c:pt>
                <c:pt idx="177">
                  <c:v>-19.5330574505697</c:v>
                </c:pt>
                <c:pt idx="178">
                  <c:v>-10.9254675856699</c:v>
                </c:pt>
                <c:pt idx="179">
                  <c:v>67.895910492923406</c:v>
                </c:pt>
                <c:pt idx="180">
                  <c:v>91.713241412252799</c:v>
                </c:pt>
                <c:pt idx="181">
                  <c:v>79.810360434745206</c:v>
                </c:pt>
                <c:pt idx="182">
                  <c:v>89.547599286425793</c:v>
                </c:pt>
                <c:pt idx="183">
                  <c:v>104.921137562997</c:v>
                </c:pt>
                <c:pt idx="184">
                  <c:v>114.298211881829</c:v>
                </c:pt>
                <c:pt idx="185">
                  <c:v>55.221841883447397</c:v>
                </c:pt>
                <c:pt idx="186">
                  <c:v>70.678841533889099</c:v>
                </c:pt>
                <c:pt idx="187">
                  <c:v>71.297485245688407</c:v>
                </c:pt>
                <c:pt idx="188">
                  <c:v>84.6022459268099</c:v>
                </c:pt>
                <c:pt idx="189">
                  <c:v>90.384794573327994</c:v>
                </c:pt>
                <c:pt idx="190">
                  <c:v>96.351911461783303</c:v>
                </c:pt>
                <c:pt idx="191">
                  <c:v>88.285932297448795</c:v>
                </c:pt>
                <c:pt idx="192">
                  <c:v>77.073914647772398</c:v>
                </c:pt>
                <c:pt idx="193">
                  <c:v>78.476705023080896</c:v>
                </c:pt>
                <c:pt idx="194">
                  <c:v>74.644213959322002</c:v>
                </c:pt>
                <c:pt idx="195">
                  <c:v>63.043837267343498</c:v>
                </c:pt>
                <c:pt idx="196">
                  <c:v>82.008854019557504</c:v>
                </c:pt>
                <c:pt idx="197">
                  <c:v>97.794103776106098</c:v>
                </c:pt>
                <c:pt idx="198">
                  <c:v>110.642902515701</c:v>
                </c:pt>
                <c:pt idx="199">
                  <c:v>121.881345339966</c:v>
                </c:pt>
                <c:pt idx="200">
                  <c:v>126.85606553855</c:v>
                </c:pt>
                <c:pt idx="201">
                  <c:v>132.90894564867199</c:v>
                </c:pt>
                <c:pt idx="202">
                  <c:v>121.652827733066</c:v>
                </c:pt>
                <c:pt idx="203">
                  <c:v>78.594905559970002</c:v>
                </c:pt>
                <c:pt idx="204">
                  <c:v>69.8363013535986</c:v>
                </c:pt>
                <c:pt idx="205">
                  <c:v>48.6111948679156</c:v>
                </c:pt>
                <c:pt idx="206">
                  <c:v>59.265790326853597</c:v>
                </c:pt>
                <c:pt idx="207">
                  <c:v>57.314188146366</c:v>
                </c:pt>
                <c:pt idx="208">
                  <c:v>76.539685223652697</c:v>
                </c:pt>
                <c:pt idx="209">
                  <c:v>88.513556532566199</c:v>
                </c:pt>
                <c:pt idx="210">
                  <c:v>83.650282791261105</c:v>
                </c:pt>
                <c:pt idx="211">
                  <c:v>111.27441199041</c:v>
                </c:pt>
                <c:pt idx="212">
                  <c:v>128.07326030070101</c:v>
                </c:pt>
                <c:pt idx="213">
                  <c:v>124.57406891117699</c:v>
                </c:pt>
                <c:pt idx="214">
                  <c:v>132.33813515201001</c:v>
                </c:pt>
                <c:pt idx="215">
                  <c:v>135.13648293242201</c:v>
                </c:pt>
                <c:pt idx="216">
                  <c:v>135.60374954376201</c:v>
                </c:pt>
                <c:pt idx="217">
                  <c:v>134.563601832046</c:v>
                </c:pt>
                <c:pt idx="218">
                  <c:v>127.000801908672</c:v>
                </c:pt>
                <c:pt idx="219">
                  <c:v>132.53333731379601</c:v>
                </c:pt>
                <c:pt idx="220">
                  <c:v>142.30375053609399</c:v>
                </c:pt>
                <c:pt idx="221">
                  <c:v>155.719913951655</c:v>
                </c:pt>
                <c:pt idx="222">
                  <c:v>165.41720019127399</c:v>
                </c:pt>
                <c:pt idx="223">
                  <c:v>159.199225251532</c:v>
                </c:pt>
                <c:pt idx="224">
                  <c:v>166.76668655364</c:v>
                </c:pt>
                <c:pt idx="225">
                  <c:v>172.24418434676801</c:v>
                </c:pt>
                <c:pt idx="226">
                  <c:v>169.618560758402</c:v>
                </c:pt>
                <c:pt idx="227">
                  <c:v>167.41080740075699</c:v>
                </c:pt>
                <c:pt idx="228">
                  <c:v>156.421750161918</c:v>
                </c:pt>
                <c:pt idx="229">
                  <c:v>137.777618842132</c:v>
                </c:pt>
                <c:pt idx="230">
                  <c:v>131.34881430950199</c:v>
                </c:pt>
                <c:pt idx="231">
                  <c:v>139.327097963433</c:v>
                </c:pt>
                <c:pt idx="232">
                  <c:v>128.73917790199999</c:v>
                </c:pt>
                <c:pt idx="233">
                  <c:v>70.210738996596206</c:v>
                </c:pt>
                <c:pt idx="234">
                  <c:v>36.424364846665803</c:v>
                </c:pt>
                <c:pt idx="235">
                  <c:v>23.794123874656499</c:v>
                </c:pt>
                <c:pt idx="236">
                  <c:v>19.4586916661499</c:v>
                </c:pt>
                <c:pt idx="237">
                  <c:v>47.513115801038403</c:v>
                </c:pt>
                <c:pt idx="238">
                  <c:v>37.299689914851399</c:v>
                </c:pt>
                <c:pt idx="239">
                  <c:v>17.702370064556899</c:v>
                </c:pt>
                <c:pt idx="240">
                  <c:v>17.258585733965901</c:v>
                </c:pt>
                <c:pt idx="241">
                  <c:v>29.767544997349301</c:v>
                </c:pt>
                <c:pt idx="242">
                  <c:v>28.1922901864069</c:v>
                </c:pt>
                <c:pt idx="243">
                  <c:v>29.086680584380002</c:v>
                </c:pt>
                <c:pt idx="244">
                  <c:v>47.402990883723902</c:v>
                </c:pt>
                <c:pt idx="245">
                  <c:v>48.571567214942597</c:v>
                </c:pt>
                <c:pt idx="246">
                  <c:v>49.863675836796297</c:v>
                </c:pt>
                <c:pt idx="247">
                  <c:v>50.931776685808899</c:v>
                </c:pt>
                <c:pt idx="248">
                  <c:v>46.713468309624901</c:v>
                </c:pt>
                <c:pt idx="249">
                  <c:v>58.434240309495301</c:v>
                </c:pt>
                <c:pt idx="250">
                  <c:v>60.419319778435302</c:v>
                </c:pt>
                <c:pt idx="251">
                  <c:v>74.370223356523894</c:v>
                </c:pt>
                <c:pt idx="252">
                  <c:v>92.703908554810894</c:v>
                </c:pt>
                <c:pt idx="253">
                  <c:v>87.406445615381998</c:v>
                </c:pt>
                <c:pt idx="254">
                  <c:v>81.907524576338005</c:v>
                </c:pt>
                <c:pt idx="255">
                  <c:v>90.069990479865695</c:v>
                </c:pt>
                <c:pt idx="256">
                  <c:v>72.092324265742604</c:v>
                </c:pt>
                <c:pt idx="257">
                  <c:v>55.563045453099903</c:v>
                </c:pt>
                <c:pt idx="258">
                  <c:v>48.992204686896201</c:v>
                </c:pt>
                <c:pt idx="259">
                  <c:v>62.5355081479399</c:v>
                </c:pt>
                <c:pt idx="260">
                  <c:v>63.100953769028798</c:v>
                </c:pt>
                <c:pt idx="261">
                  <c:v>72.340251314488398</c:v>
                </c:pt>
                <c:pt idx="262">
                  <c:v>54.629846774720498</c:v>
                </c:pt>
                <c:pt idx="263">
                  <c:v>52.355958394322997</c:v>
                </c:pt>
                <c:pt idx="264">
                  <c:v>60.707782407489397</c:v>
                </c:pt>
                <c:pt idx="265">
                  <c:v>82.609201602511405</c:v>
                </c:pt>
                <c:pt idx="266">
                  <c:v>87.143394522260706</c:v>
                </c:pt>
                <c:pt idx="267">
                  <c:v>88.883543747065403</c:v>
                </c:pt>
                <c:pt idx="268">
                  <c:v>88.607690536873605</c:v>
                </c:pt>
                <c:pt idx="269">
                  <c:v>91.053762729829799</c:v>
                </c:pt>
                <c:pt idx="270">
                  <c:v>102.584292093388</c:v>
                </c:pt>
                <c:pt idx="271">
                  <c:v>100.228286131236</c:v>
                </c:pt>
                <c:pt idx="272">
                  <c:v>95.302262889827603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001344"/>
        <c:axId val="235002880"/>
      </c:lineChart>
      <c:dateAx>
        <c:axId val="2350013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35002880"/>
        <c:crosses val="autoZero"/>
        <c:auto val="1"/>
        <c:lblOffset val="100"/>
        <c:baseTimeUnit val="months"/>
      </c:dateAx>
      <c:valAx>
        <c:axId val="2350028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50013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incentive_detail!$E$1:$E$2</c:f>
              <c:strCache>
                <c:ptCount val="1"/>
                <c:pt idx="0">
                  <c:v>FNCR origPMI</c:v>
                </c:pt>
              </c:strCache>
            </c:strRef>
          </c:tx>
          <c:marker>
            <c:symbol val="none"/>
          </c:marker>
          <c:cat>
            <c:numRef>
              <c:f>incentive_detail!$B$3:$B$54</c:f>
              <c:numCache>
                <c:formatCode>m/d/yyyy</c:formatCode>
                <c:ptCount val="52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  <c:pt idx="46">
                  <c:v>42491</c:v>
                </c:pt>
                <c:pt idx="47">
                  <c:v>42522</c:v>
                </c:pt>
                <c:pt idx="48">
                  <c:v>42552</c:v>
                </c:pt>
                <c:pt idx="49">
                  <c:v>42583</c:v>
                </c:pt>
                <c:pt idx="50">
                  <c:v>42614</c:v>
                </c:pt>
                <c:pt idx="51">
                  <c:v>42644</c:v>
                </c:pt>
              </c:numCache>
            </c:numRef>
          </c:cat>
          <c:val>
            <c:numRef>
              <c:f>incentive_detail!$E$3:$E$54</c:f>
              <c:numCache>
                <c:formatCode>General</c:formatCode>
                <c:ptCount val="52"/>
                <c:pt idx="0">
                  <c:v>150.43054803178001</c:v>
                </c:pt>
                <c:pt idx="1">
                  <c:v>150.41716300805601</c:v>
                </c:pt>
                <c:pt idx="2">
                  <c:v>150.412456607726</c:v>
                </c:pt>
                <c:pt idx="3">
                  <c:v>150.41911137968501</c:v>
                </c:pt>
                <c:pt idx="4">
                  <c:v>150.423613360421</c:v>
                </c:pt>
                <c:pt idx="5">
                  <c:v>150.42371630751899</c:v>
                </c:pt>
                <c:pt idx="6">
                  <c:v>150.430050229974</c:v>
                </c:pt>
                <c:pt idx="7">
                  <c:v>136.27440333355401</c:v>
                </c:pt>
                <c:pt idx="8">
                  <c:v>127.41947965973699</c:v>
                </c:pt>
                <c:pt idx="9">
                  <c:v>120.230719702286</c:v>
                </c:pt>
                <c:pt idx="10">
                  <c:v>114.076456512238</c:v>
                </c:pt>
                <c:pt idx="11">
                  <c:v>110.02571715590101</c:v>
                </c:pt>
                <c:pt idx="12">
                  <c:v>106.387823379013</c:v>
                </c:pt>
                <c:pt idx="13">
                  <c:v>103.43550899455499</c:v>
                </c:pt>
                <c:pt idx="14">
                  <c:v>101.041165576192</c:v>
                </c:pt>
                <c:pt idx="15">
                  <c:v>99.572396712646096</c:v>
                </c:pt>
                <c:pt idx="16">
                  <c:v>98.512719661327907</c:v>
                </c:pt>
                <c:pt idx="17">
                  <c:v>97.628315580612906</c:v>
                </c:pt>
                <c:pt idx="18">
                  <c:v>96.291239456446206</c:v>
                </c:pt>
                <c:pt idx="19">
                  <c:v>95.726011273758203</c:v>
                </c:pt>
                <c:pt idx="20">
                  <c:v>95.253547925021607</c:v>
                </c:pt>
                <c:pt idx="21">
                  <c:v>94.886865480907801</c:v>
                </c:pt>
                <c:pt idx="22">
                  <c:v>94.611885720544194</c:v>
                </c:pt>
                <c:pt idx="23">
                  <c:v>94.401690387984502</c:v>
                </c:pt>
                <c:pt idx="24">
                  <c:v>94.157547727783296</c:v>
                </c:pt>
                <c:pt idx="25">
                  <c:v>93.937498308730298</c:v>
                </c:pt>
                <c:pt idx="26">
                  <c:v>93.724891244088596</c:v>
                </c:pt>
                <c:pt idx="27">
                  <c:v>93.545082538042706</c:v>
                </c:pt>
                <c:pt idx="28">
                  <c:v>93.364872026060993</c:v>
                </c:pt>
                <c:pt idx="29">
                  <c:v>93.205743874845794</c:v>
                </c:pt>
                <c:pt idx="30">
                  <c:v>93.073736903673193</c:v>
                </c:pt>
                <c:pt idx="31">
                  <c:v>92.945278731208205</c:v>
                </c:pt>
                <c:pt idx="32">
                  <c:v>92.823171384705304</c:v>
                </c:pt>
                <c:pt idx="33">
                  <c:v>92.676641300329095</c:v>
                </c:pt>
                <c:pt idx="34">
                  <c:v>92.535874872544696</c:v>
                </c:pt>
                <c:pt idx="35">
                  <c:v>92.375491804984094</c:v>
                </c:pt>
                <c:pt idx="36">
                  <c:v>92.233343121744596</c:v>
                </c:pt>
                <c:pt idx="37">
                  <c:v>92.084538556821499</c:v>
                </c:pt>
                <c:pt idx="38">
                  <c:v>91.957370757568597</c:v>
                </c:pt>
                <c:pt idx="39">
                  <c:v>91.820731058036301</c:v>
                </c:pt>
                <c:pt idx="40">
                  <c:v>91.544324027910804</c:v>
                </c:pt>
                <c:pt idx="41">
                  <c:v>91.424387143255899</c:v>
                </c:pt>
                <c:pt idx="42">
                  <c:v>91.313008838551994</c:v>
                </c:pt>
                <c:pt idx="43">
                  <c:v>91.189599987228803</c:v>
                </c:pt>
                <c:pt idx="44">
                  <c:v>91.080040099410098</c:v>
                </c:pt>
                <c:pt idx="45">
                  <c:v>90.955069421012098</c:v>
                </c:pt>
                <c:pt idx="46">
                  <c:v>90.819305174066002</c:v>
                </c:pt>
                <c:pt idx="47">
                  <c:v>90.682055483652505</c:v>
                </c:pt>
                <c:pt idx="48">
                  <c:v>90.4978872082729</c:v>
                </c:pt>
                <c:pt idx="49">
                  <c:v>90.331056706203697</c:v>
                </c:pt>
                <c:pt idx="50">
                  <c:v>90.165118363302994</c:v>
                </c:pt>
                <c:pt idx="51">
                  <c:v>89.950676727645003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incentive_detail!$F$1:$F$2</c:f>
              <c:strCache>
                <c:ptCount val="1"/>
                <c:pt idx="0">
                  <c:v>FGU9 origPMI</c:v>
                </c:pt>
              </c:strCache>
            </c:strRef>
          </c:tx>
          <c:marker>
            <c:symbol val="none"/>
          </c:marker>
          <c:cat>
            <c:numRef>
              <c:f>incentive_detail!$B$3:$B$54</c:f>
              <c:numCache>
                <c:formatCode>m/d/yyyy</c:formatCode>
                <c:ptCount val="52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  <c:pt idx="46">
                  <c:v>42491</c:v>
                </c:pt>
                <c:pt idx="47">
                  <c:v>42522</c:v>
                </c:pt>
                <c:pt idx="48">
                  <c:v>42552</c:v>
                </c:pt>
                <c:pt idx="49">
                  <c:v>42583</c:v>
                </c:pt>
                <c:pt idx="50">
                  <c:v>42614</c:v>
                </c:pt>
                <c:pt idx="51">
                  <c:v>42644</c:v>
                </c:pt>
              </c:numCache>
            </c:numRef>
          </c:cat>
          <c:val>
            <c:numRef>
              <c:f>incentive_detail!$F$3:$F$54</c:f>
              <c:numCache>
                <c:formatCode>General</c:formatCode>
                <c:ptCount val="52"/>
                <c:pt idx="0">
                  <c:v>16.211245947588999</c:v>
                </c:pt>
                <c:pt idx="1">
                  <c:v>16.6212070634529</c:v>
                </c:pt>
                <c:pt idx="2">
                  <c:v>17.292571385287701</c:v>
                </c:pt>
                <c:pt idx="3">
                  <c:v>17.709482314897201</c:v>
                </c:pt>
                <c:pt idx="4">
                  <c:v>17.7839989007506</c:v>
                </c:pt>
                <c:pt idx="5">
                  <c:v>18.1072520657106</c:v>
                </c:pt>
                <c:pt idx="6">
                  <c:v>18.300898344530399</c:v>
                </c:pt>
                <c:pt idx="7">
                  <c:v>18.475812539351502</c:v>
                </c:pt>
                <c:pt idx="8">
                  <c:v>18.639984555751699</c:v>
                </c:pt>
                <c:pt idx="9">
                  <c:v>19.008750065294301</c:v>
                </c:pt>
                <c:pt idx="10">
                  <c:v>19.295506005037701</c:v>
                </c:pt>
                <c:pt idx="11">
                  <c:v>19.5331189514194</c:v>
                </c:pt>
                <c:pt idx="12">
                  <c:v>19.770712529427801</c:v>
                </c:pt>
                <c:pt idx="13">
                  <c:v>19.982710771743498</c:v>
                </c:pt>
                <c:pt idx="14">
                  <c:v>20.0631897513654</c:v>
                </c:pt>
                <c:pt idx="15">
                  <c:v>20.163176764058399</c:v>
                </c:pt>
                <c:pt idx="16">
                  <c:v>20.2467927083839</c:v>
                </c:pt>
                <c:pt idx="17">
                  <c:v>20.312903557692501</c:v>
                </c:pt>
                <c:pt idx="18">
                  <c:v>20.400610230803899</c:v>
                </c:pt>
                <c:pt idx="19">
                  <c:v>20.458260109518498</c:v>
                </c:pt>
                <c:pt idx="20">
                  <c:v>20.5073641535528</c:v>
                </c:pt>
                <c:pt idx="21">
                  <c:v>20.5439498672105</c:v>
                </c:pt>
                <c:pt idx="22">
                  <c:v>20.568086804934801</c:v>
                </c:pt>
                <c:pt idx="23">
                  <c:v>20.603781065286501</c:v>
                </c:pt>
                <c:pt idx="24">
                  <c:v>20.612737562417099</c:v>
                </c:pt>
                <c:pt idx="25">
                  <c:v>20.634611162168898</c:v>
                </c:pt>
                <c:pt idx="26">
                  <c:v>20.662285239863898</c:v>
                </c:pt>
                <c:pt idx="27">
                  <c:v>20.673232917586098</c:v>
                </c:pt>
                <c:pt idx="28">
                  <c:v>20.6950433941558</c:v>
                </c:pt>
                <c:pt idx="29">
                  <c:v>20.698807128182601</c:v>
                </c:pt>
                <c:pt idx="30">
                  <c:v>20.710158216373699</c:v>
                </c:pt>
                <c:pt idx="31">
                  <c:v>20.740307464431599</c:v>
                </c:pt>
                <c:pt idx="32">
                  <c:v>20.754378141650701</c:v>
                </c:pt>
                <c:pt idx="33">
                  <c:v>20.768420396768601</c:v>
                </c:pt>
                <c:pt idx="34">
                  <c:v>20.7753388187556</c:v>
                </c:pt>
                <c:pt idx="35">
                  <c:v>20.776852876410299</c:v>
                </c:pt>
                <c:pt idx="36">
                  <c:v>20.795007862706001</c:v>
                </c:pt>
                <c:pt idx="37">
                  <c:v>20.8030589814446</c:v>
                </c:pt>
                <c:pt idx="38">
                  <c:v>20.804427679201599</c:v>
                </c:pt>
                <c:pt idx="39">
                  <c:v>20.833557995937301</c:v>
                </c:pt>
                <c:pt idx="40">
                  <c:v>20.840485469710099</c:v>
                </c:pt>
                <c:pt idx="41">
                  <c:v>20.848089860090798</c:v>
                </c:pt>
                <c:pt idx="42">
                  <c:v>20.856696023504998</c:v>
                </c:pt>
                <c:pt idx="43">
                  <c:v>20.8700949344442</c:v>
                </c:pt>
                <c:pt idx="44">
                  <c:v>20.883740757264999</c:v>
                </c:pt>
                <c:pt idx="45">
                  <c:v>20.8861513386822</c:v>
                </c:pt>
                <c:pt idx="46">
                  <c:v>20.8877363134688</c:v>
                </c:pt>
                <c:pt idx="47">
                  <c:v>20.887995906263502</c:v>
                </c:pt>
                <c:pt idx="48">
                  <c:v>20.8886571380223</c:v>
                </c:pt>
                <c:pt idx="49">
                  <c:v>20.893796901784</c:v>
                </c:pt>
                <c:pt idx="50">
                  <c:v>20.894478707314999</c:v>
                </c:pt>
                <c:pt idx="51">
                  <c:v>20.903680938983399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911232"/>
        <c:axId val="234912768"/>
      </c:lineChart>
      <c:dateAx>
        <c:axId val="2349112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34912768"/>
        <c:crosses val="autoZero"/>
        <c:auto val="1"/>
        <c:lblOffset val="100"/>
        <c:baseTimeUnit val="months"/>
      </c:dateAx>
      <c:valAx>
        <c:axId val="2349127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49112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incentive_detail!$V$1:$V$2</c:f>
              <c:strCache>
                <c:ptCount val="1"/>
                <c:pt idx="0">
                  <c:v>FNCR currLLPA</c:v>
                </c:pt>
              </c:strCache>
            </c:strRef>
          </c:tx>
          <c:marker>
            <c:symbol val="none"/>
          </c:marker>
          <c:cat>
            <c:numRef>
              <c:f>incentive_detail!$S$3:$S$54</c:f>
              <c:numCache>
                <c:formatCode>m/d/yyyy</c:formatCode>
                <c:ptCount val="52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  <c:pt idx="46">
                  <c:v>42491</c:v>
                </c:pt>
                <c:pt idx="47">
                  <c:v>42522</c:v>
                </c:pt>
                <c:pt idx="48">
                  <c:v>42552</c:v>
                </c:pt>
                <c:pt idx="49">
                  <c:v>42583</c:v>
                </c:pt>
                <c:pt idx="50">
                  <c:v>42614</c:v>
                </c:pt>
                <c:pt idx="51">
                  <c:v>42644</c:v>
                </c:pt>
              </c:numCache>
            </c:numRef>
          </c:cat>
          <c:val>
            <c:numRef>
              <c:f>incentive_detail!$V$3:$V$54</c:f>
              <c:numCache>
                <c:formatCode>General</c:formatCode>
                <c:ptCount val="52"/>
                <c:pt idx="0">
                  <c:v>447.370678977419</c:v>
                </c:pt>
                <c:pt idx="1">
                  <c:v>449.15112621911601</c:v>
                </c:pt>
                <c:pt idx="2">
                  <c:v>451.44272519622399</c:v>
                </c:pt>
                <c:pt idx="3">
                  <c:v>453.09954186548202</c:v>
                </c:pt>
                <c:pt idx="4">
                  <c:v>454.47393843604698</c:v>
                </c:pt>
                <c:pt idx="5">
                  <c:v>455.52226272076803</c:v>
                </c:pt>
                <c:pt idx="6">
                  <c:v>457.35348717033401</c:v>
                </c:pt>
                <c:pt idx="7">
                  <c:v>453.08302852818002</c:v>
                </c:pt>
                <c:pt idx="8">
                  <c:v>450.94808900539101</c:v>
                </c:pt>
                <c:pt idx="9">
                  <c:v>450.34805127957497</c:v>
                </c:pt>
                <c:pt idx="10">
                  <c:v>451.23791127998697</c:v>
                </c:pt>
                <c:pt idx="11">
                  <c:v>452.236002837667</c:v>
                </c:pt>
                <c:pt idx="12">
                  <c:v>453.59929784059199</c:v>
                </c:pt>
                <c:pt idx="13">
                  <c:v>455.10972951642702</c:v>
                </c:pt>
                <c:pt idx="14">
                  <c:v>456.64941692162802</c:v>
                </c:pt>
                <c:pt idx="15">
                  <c:v>457.49610324737898</c:v>
                </c:pt>
                <c:pt idx="16">
                  <c:v>458.11344886415799</c:v>
                </c:pt>
                <c:pt idx="17">
                  <c:v>458.66886527678503</c:v>
                </c:pt>
                <c:pt idx="18">
                  <c:v>458.23157236898999</c:v>
                </c:pt>
                <c:pt idx="19">
                  <c:v>458.25442245699702</c:v>
                </c:pt>
                <c:pt idx="20">
                  <c:v>458.293225302179</c:v>
                </c:pt>
                <c:pt idx="21">
                  <c:v>459.13834178110102</c:v>
                </c:pt>
                <c:pt idx="22">
                  <c:v>459.01132327697201</c:v>
                </c:pt>
                <c:pt idx="23">
                  <c:v>458.80616876149003</c:v>
                </c:pt>
                <c:pt idx="24">
                  <c:v>458.59796041594001</c:v>
                </c:pt>
                <c:pt idx="25">
                  <c:v>458.41738808452902</c:v>
                </c:pt>
                <c:pt idx="26">
                  <c:v>458.15263375525501</c:v>
                </c:pt>
                <c:pt idx="27">
                  <c:v>457.946767106153</c:v>
                </c:pt>
                <c:pt idx="28">
                  <c:v>457.63192916695402</c:v>
                </c:pt>
                <c:pt idx="29">
                  <c:v>457.30442507992001</c:v>
                </c:pt>
                <c:pt idx="30">
                  <c:v>453.78948909475599</c:v>
                </c:pt>
                <c:pt idx="31">
                  <c:v>453.40406442258899</c:v>
                </c:pt>
                <c:pt idx="32">
                  <c:v>453.05441292758002</c:v>
                </c:pt>
                <c:pt idx="33">
                  <c:v>452.67444097450698</c:v>
                </c:pt>
                <c:pt idx="34">
                  <c:v>452.228062203391</c:v>
                </c:pt>
                <c:pt idx="35">
                  <c:v>451.29214829102199</c:v>
                </c:pt>
                <c:pt idx="36">
                  <c:v>450.91716106159498</c:v>
                </c:pt>
                <c:pt idx="37">
                  <c:v>450.355817307189</c:v>
                </c:pt>
                <c:pt idx="38">
                  <c:v>409.31371500913002</c:v>
                </c:pt>
                <c:pt idx="39">
                  <c:v>408.93001062280899</c:v>
                </c:pt>
                <c:pt idx="40">
                  <c:v>408.44222558361099</c:v>
                </c:pt>
                <c:pt idx="41">
                  <c:v>408.028538565595</c:v>
                </c:pt>
                <c:pt idx="42">
                  <c:v>407.42264598463299</c:v>
                </c:pt>
                <c:pt idx="43">
                  <c:v>406.88616440898102</c:v>
                </c:pt>
                <c:pt idx="44">
                  <c:v>406.08758820644101</c:v>
                </c:pt>
                <c:pt idx="45">
                  <c:v>403.92430852824299</c:v>
                </c:pt>
                <c:pt idx="46">
                  <c:v>400.780841664408</c:v>
                </c:pt>
                <c:pt idx="47">
                  <c:v>398.72016142411599</c:v>
                </c:pt>
                <c:pt idx="48">
                  <c:v>398.61198743992702</c:v>
                </c:pt>
                <c:pt idx="49">
                  <c:v>397.002894062434</c:v>
                </c:pt>
                <c:pt idx="50">
                  <c:v>395.660459187019</c:v>
                </c:pt>
                <c:pt idx="51">
                  <c:v>395.67932818994399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incentive_detail!$W$1:$W$2</c:f>
              <c:strCache>
                <c:ptCount val="1"/>
                <c:pt idx="0">
                  <c:v>FGU9 currLLPA</c:v>
                </c:pt>
              </c:strCache>
            </c:strRef>
          </c:tx>
          <c:marker>
            <c:symbol val="none"/>
          </c:marker>
          <c:cat>
            <c:numRef>
              <c:f>incentive_detail!$S$3:$S$54</c:f>
              <c:numCache>
                <c:formatCode>m/d/yyyy</c:formatCode>
                <c:ptCount val="52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  <c:pt idx="46">
                  <c:v>42491</c:v>
                </c:pt>
                <c:pt idx="47">
                  <c:v>42522</c:v>
                </c:pt>
                <c:pt idx="48">
                  <c:v>42552</c:v>
                </c:pt>
                <c:pt idx="49">
                  <c:v>42583</c:v>
                </c:pt>
                <c:pt idx="50">
                  <c:v>42614</c:v>
                </c:pt>
                <c:pt idx="51">
                  <c:v>42644</c:v>
                </c:pt>
              </c:numCache>
            </c:numRef>
          </c:cat>
          <c:val>
            <c:numRef>
              <c:f>incentive_detail!$W$3:$W$54</c:f>
              <c:numCache>
                <c:formatCode>General</c:formatCode>
                <c:ptCount val="52"/>
                <c:pt idx="0">
                  <c:v>442.34826829216098</c:v>
                </c:pt>
                <c:pt idx="1">
                  <c:v>444.863105971793</c:v>
                </c:pt>
                <c:pt idx="2">
                  <c:v>446.99700310892098</c:v>
                </c:pt>
                <c:pt idx="3">
                  <c:v>448.60280254634398</c:v>
                </c:pt>
                <c:pt idx="4">
                  <c:v>449.89267969266399</c:v>
                </c:pt>
                <c:pt idx="5">
                  <c:v>451.85772024017501</c:v>
                </c:pt>
                <c:pt idx="6">
                  <c:v>452.29046942674</c:v>
                </c:pt>
                <c:pt idx="7">
                  <c:v>453.08301518194799</c:v>
                </c:pt>
                <c:pt idx="8">
                  <c:v>454.62328640067</c:v>
                </c:pt>
                <c:pt idx="9">
                  <c:v>455.88788328261802</c:v>
                </c:pt>
                <c:pt idx="10">
                  <c:v>457.30027039716902</c:v>
                </c:pt>
                <c:pt idx="11">
                  <c:v>458.24919102060699</c:v>
                </c:pt>
                <c:pt idx="12">
                  <c:v>459.21882567334802</c:v>
                </c:pt>
                <c:pt idx="13">
                  <c:v>459.70436803202898</c:v>
                </c:pt>
                <c:pt idx="14">
                  <c:v>459.80893232070798</c:v>
                </c:pt>
                <c:pt idx="15">
                  <c:v>460.26447322517902</c:v>
                </c:pt>
                <c:pt idx="16">
                  <c:v>460.25706271483602</c:v>
                </c:pt>
                <c:pt idx="17">
                  <c:v>460.355197958026</c:v>
                </c:pt>
                <c:pt idx="18">
                  <c:v>460.031976834207</c:v>
                </c:pt>
                <c:pt idx="19">
                  <c:v>459.70215983295998</c:v>
                </c:pt>
                <c:pt idx="20">
                  <c:v>459.10984658216</c:v>
                </c:pt>
                <c:pt idx="21">
                  <c:v>457.77047351319197</c:v>
                </c:pt>
                <c:pt idx="22">
                  <c:v>456.295143753606</c:v>
                </c:pt>
                <c:pt idx="23">
                  <c:v>454.467549038497</c:v>
                </c:pt>
                <c:pt idx="24">
                  <c:v>452.91790761516501</c:v>
                </c:pt>
                <c:pt idx="25">
                  <c:v>451.20993449100803</c:v>
                </c:pt>
                <c:pt idx="26">
                  <c:v>449.529190066654</c:v>
                </c:pt>
                <c:pt idx="27">
                  <c:v>448.813275090307</c:v>
                </c:pt>
                <c:pt idx="28">
                  <c:v>448.07073489317202</c:v>
                </c:pt>
                <c:pt idx="29">
                  <c:v>447.15704045904801</c:v>
                </c:pt>
                <c:pt idx="30">
                  <c:v>442.20593934547998</c:v>
                </c:pt>
                <c:pt idx="31">
                  <c:v>439.54569363204303</c:v>
                </c:pt>
                <c:pt idx="32">
                  <c:v>436.85419671559902</c:v>
                </c:pt>
                <c:pt idx="33">
                  <c:v>431.824793086189</c:v>
                </c:pt>
                <c:pt idx="34">
                  <c:v>426.11733019235498</c:v>
                </c:pt>
                <c:pt idx="35">
                  <c:v>419.576829809804</c:v>
                </c:pt>
                <c:pt idx="36">
                  <c:v>415.16472337697599</c:v>
                </c:pt>
                <c:pt idx="37">
                  <c:v>410.81384118913297</c:v>
                </c:pt>
                <c:pt idx="38">
                  <c:v>367.789353674376</c:v>
                </c:pt>
                <c:pt idx="39">
                  <c:v>365.32907586472999</c:v>
                </c:pt>
                <c:pt idx="40">
                  <c:v>362.87038538120999</c:v>
                </c:pt>
                <c:pt idx="41">
                  <c:v>360.497339834294</c:v>
                </c:pt>
                <c:pt idx="42">
                  <c:v>356.68882253932998</c:v>
                </c:pt>
                <c:pt idx="43">
                  <c:v>352.70609091540399</c:v>
                </c:pt>
                <c:pt idx="44">
                  <c:v>348.93856150875098</c:v>
                </c:pt>
                <c:pt idx="45">
                  <c:v>342.29612898361398</c:v>
                </c:pt>
                <c:pt idx="46">
                  <c:v>336.00213798349199</c:v>
                </c:pt>
                <c:pt idx="47">
                  <c:v>329.82669695218101</c:v>
                </c:pt>
                <c:pt idx="48">
                  <c:v>329.24018471981202</c:v>
                </c:pt>
                <c:pt idx="49">
                  <c:v>328.686899641624</c:v>
                </c:pt>
                <c:pt idx="50">
                  <c:v>328.24669654202398</c:v>
                </c:pt>
                <c:pt idx="51">
                  <c:v>328.05723727161802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6636032"/>
        <c:axId val="236637568"/>
      </c:lineChart>
      <c:dateAx>
        <c:axId val="2366360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36637568"/>
        <c:crosses val="autoZero"/>
        <c:auto val="1"/>
        <c:lblOffset val="100"/>
        <c:baseTimeUnit val="months"/>
      </c:dateAx>
      <c:valAx>
        <c:axId val="236637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66360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incentive_detail!$AD$1:$AD$2</c:f>
              <c:strCache>
                <c:ptCount val="1"/>
                <c:pt idx="0">
                  <c:v>FNCR currPMI</c:v>
                </c:pt>
              </c:strCache>
            </c:strRef>
          </c:tx>
          <c:marker>
            <c:symbol val="none"/>
          </c:marker>
          <c:cat>
            <c:numRef>
              <c:f>incentive_detail!$AA$3:$AA$54</c:f>
              <c:numCache>
                <c:formatCode>m/d/yyyy</c:formatCode>
                <c:ptCount val="52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  <c:pt idx="46">
                  <c:v>42491</c:v>
                </c:pt>
                <c:pt idx="47">
                  <c:v>42522</c:v>
                </c:pt>
                <c:pt idx="48">
                  <c:v>42552</c:v>
                </c:pt>
                <c:pt idx="49">
                  <c:v>42583</c:v>
                </c:pt>
                <c:pt idx="50">
                  <c:v>42614</c:v>
                </c:pt>
                <c:pt idx="51">
                  <c:v>42644</c:v>
                </c:pt>
              </c:numCache>
            </c:numRef>
          </c:cat>
          <c:val>
            <c:numRef>
              <c:f>incentive_detail!$AD$3:$AD$54</c:f>
              <c:numCache>
                <c:formatCode>General</c:formatCode>
                <c:ptCount val="52"/>
                <c:pt idx="0">
                  <c:v>150.43054803178001</c:v>
                </c:pt>
                <c:pt idx="1">
                  <c:v>150.41716300805601</c:v>
                </c:pt>
                <c:pt idx="2">
                  <c:v>150.41175646452299</c:v>
                </c:pt>
                <c:pt idx="3">
                  <c:v>150.41855485356501</c:v>
                </c:pt>
                <c:pt idx="4">
                  <c:v>150.42312225412499</c:v>
                </c:pt>
                <c:pt idx="5">
                  <c:v>150.42330067028001</c:v>
                </c:pt>
                <c:pt idx="6">
                  <c:v>150.429679216344</c:v>
                </c:pt>
                <c:pt idx="7">
                  <c:v>151.99072674823199</c:v>
                </c:pt>
                <c:pt idx="8">
                  <c:v>153.10487165365501</c:v>
                </c:pt>
                <c:pt idx="9">
                  <c:v>154.32502841495199</c:v>
                </c:pt>
                <c:pt idx="10">
                  <c:v>156.33536371199901</c:v>
                </c:pt>
                <c:pt idx="11">
                  <c:v>157.38818290976701</c:v>
                </c:pt>
                <c:pt idx="12">
                  <c:v>158.472728680047</c:v>
                </c:pt>
                <c:pt idx="13">
                  <c:v>179.06700296016399</c:v>
                </c:pt>
                <c:pt idx="14">
                  <c:v>179.200672165025</c:v>
                </c:pt>
                <c:pt idx="15">
                  <c:v>179.28674457897199</c:v>
                </c:pt>
                <c:pt idx="16">
                  <c:v>179.35150629108799</c:v>
                </c:pt>
                <c:pt idx="17">
                  <c:v>179.402126017467</c:v>
                </c:pt>
                <c:pt idx="18">
                  <c:v>179.198048935456</c:v>
                </c:pt>
                <c:pt idx="19">
                  <c:v>179.09632991865701</c:v>
                </c:pt>
                <c:pt idx="20">
                  <c:v>178.978145620719</c:v>
                </c:pt>
                <c:pt idx="21">
                  <c:v>178.84661311311601</c:v>
                </c:pt>
                <c:pt idx="22">
                  <c:v>181.744407522552</c:v>
                </c:pt>
                <c:pt idx="23">
                  <c:v>181.62614065708399</c:v>
                </c:pt>
                <c:pt idx="24">
                  <c:v>181.50047169670799</c:v>
                </c:pt>
                <c:pt idx="25">
                  <c:v>181.39070820016499</c:v>
                </c:pt>
                <c:pt idx="26">
                  <c:v>181.26364505453699</c:v>
                </c:pt>
                <c:pt idx="27">
                  <c:v>181.16115880032399</c:v>
                </c:pt>
                <c:pt idx="28">
                  <c:v>181.021043855155</c:v>
                </c:pt>
                <c:pt idx="29">
                  <c:v>180.88600104379699</c:v>
                </c:pt>
                <c:pt idx="30">
                  <c:v>180.732877067255</c:v>
                </c:pt>
                <c:pt idx="31">
                  <c:v>180.59598944380201</c:v>
                </c:pt>
                <c:pt idx="32">
                  <c:v>180.449141129879</c:v>
                </c:pt>
                <c:pt idx="33">
                  <c:v>180.29642565734099</c:v>
                </c:pt>
                <c:pt idx="34">
                  <c:v>180.126775658779</c:v>
                </c:pt>
                <c:pt idx="35">
                  <c:v>179.858989461091</c:v>
                </c:pt>
                <c:pt idx="36">
                  <c:v>179.71031588036101</c:v>
                </c:pt>
                <c:pt idx="37">
                  <c:v>179.44432278242101</c:v>
                </c:pt>
                <c:pt idx="38">
                  <c:v>179.296651228119</c:v>
                </c:pt>
                <c:pt idx="39">
                  <c:v>179.13219697273601</c:v>
                </c:pt>
                <c:pt idx="40">
                  <c:v>178.91814416280499</c:v>
                </c:pt>
                <c:pt idx="41">
                  <c:v>178.737715387284</c:v>
                </c:pt>
                <c:pt idx="42">
                  <c:v>178.50939519378099</c:v>
                </c:pt>
                <c:pt idx="43">
                  <c:v>178.28085765479199</c:v>
                </c:pt>
                <c:pt idx="44">
                  <c:v>177.99286487711899</c:v>
                </c:pt>
                <c:pt idx="45">
                  <c:v>217.74450560199099</c:v>
                </c:pt>
                <c:pt idx="46">
                  <c:v>216.03338033872299</c:v>
                </c:pt>
                <c:pt idx="47">
                  <c:v>214.85420001401499</c:v>
                </c:pt>
                <c:pt idx="48">
                  <c:v>214.71268027654801</c:v>
                </c:pt>
                <c:pt idx="49">
                  <c:v>213.780569350728</c:v>
                </c:pt>
                <c:pt idx="50">
                  <c:v>212.97124694288701</c:v>
                </c:pt>
                <c:pt idx="51">
                  <c:v>212.898306380072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incentive_detail!$AE$1:$AE$2</c:f>
              <c:strCache>
                <c:ptCount val="1"/>
                <c:pt idx="0">
                  <c:v>FGU9 currPMI</c:v>
                </c:pt>
              </c:strCache>
            </c:strRef>
          </c:tx>
          <c:marker>
            <c:symbol val="none"/>
          </c:marker>
          <c:cat>
            <c:numRef>
              <c:f>incentive_detail!$AA$3:$AA$54</c:f>
              <c:numCache>
                <c:formatCode>m/d/yyyy</c:formatCode>
                <c:ptCount val="52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  <c:pt idx="46">
                  <c:v>42491</c:v>
                </c:pt>
                <c:pt idx="47">
                  <c:v>42522</c:v>
                </c:pt>
                <c:pt idx="48">
                  <c:v>42552</c:v>
                </c:pt>
                <c:pt idx="49">
                  <c:v>42583</c:v>
                </c:pt>
                <c:pt idx="50">
                  <c:v>42614</c:v>
                </c:pt>
                <c:pt idx="51">
                  <c:v>42644</c:v>
                </c:pt>
              </c:numCache>
            </c:numRef>
          </c:cat>
          <c:val>
            <c:numRef>
              <c:f>incentive_detail!$AE$3:$AE$54</c:f>
              <c:numCache>
                <c:formatCode>General</c:formatCode>
                <c:ptCount val="52"/>
                <c:pt idx="0">
                  <c:v>150.75464299526399</c:v>
                </c:pt>
                <c:pt idx="1">
                  <c:v>150.82000563131501</c:v>
                </c:pt>
                <c:pt idx="2">
                  <c:v>150.83221115608501</c:v>
                </c:pt>
                <c:pt idx="3">
                  <c:v>150.82282996484</c:v>
                </c:pt>
                <c:pt idx="4">
                  <c:v>150.820070396228</c:v>
                </c:pt>
                <c:pt idx="5">
                  <c:v>150.82064986613599</c:v>
                </c:pt>
                <c:pt idx="6">
                  <c:v>150.81059937059899</c:v>
                </c:pt>
                <c:pt idx="7">
                  <c:v>150.80380973515</c:v>
                </c:pt>
                <c:pt idx="8">
                  <c:v>150.80430796978101</c:v>
                </c:pt>
                <c:pt idx="9">
                  <c:v>150.787143680084</c:v>
                </c:pt>
                <c:pt idx="10">
                  <c:v>151.784662411</c:v>
                </c:pt>
                <c:pt idx="11">
                  <c:v>151.78424848596001</c:v>
                </c:pt>
                <c:pt idx="12">
                  <c:v>151.774181388372</c:v>
                </c:pt>
                <c:pt idx="13">
                  <c:v>183.70192900618599</c:v>
                </c:pt>
                <c:pt idx="14">
                  <c:v>183.58690263464999</c:v>
                </c:pt>
                <c:pt idx="15">
                  <c:v>183.53244038714701</c:v>
                </c:pt>
                <c:pt idx="16">
                  <c:v>183.45312090156301</c:v>
                </c:pt>
                <c:pt idx="17">
                  <c:v>183.36928555062201</c:v>
                </c:pt>
                <c:pt idx="18">
                  <c:v>183.234289122673</c:v>
                </c:pt>
                <c:pt idx="19">
                  <c:v>183.050939907795</c:v>
                </c:pt>
                <c:pt idx="20">
                  <c:v>182.81744440625801</c:v>
                </c:pt>
                <c:pt idx="21">
                  <c:v>182.35604606676699</c:v>
                </c:pt>
                <c:pt idx="22">
                  <c:v>183.68334025342901</c:v>
                </c:pt>
                <c:pt idx="23">
                  <c:v>182.99730550246801</c:v>
                </c:pt>
                <c:pt idx="24">
                  <c:v>182.392526878182</c:v>
                </c:pt>
                <c:pt idx="25">
                  <c:v>181.69971990447399</c:v>
                </c:pt>
                <c:pt idx="26">
                  <c:v>180.99410650924199</c:v>
                </c:pt>
                <c:pt idx="27">
                  <c:v>180.689650211958</c:v>
                </c:pt>
                <c:pt idx="28">
                  <c:v>180.38438160600001</c:v>
                </c:pt>
                <c:pt idx="29">
                  <c:v>180.007055789726</c:v>
                </c:pt>
                <c:pt idx="30">
                  <c:v>179.231536847005</c:v>
                </c:pt>
                <c:pt idx="31">
                  <c:v>178.313505575514</c:v>
                </c:pt>
                <c:pt idx="32">
                  <c:v>177.35861772055799</c:v>
                </c:pt>
                <c:pt idx="33">
                  <c:v>175.58932220006699</c:v>
                </c:pt>
                <c:pt idx="34">
                  <c:v>173.64394443311301</c:v>
                </c:pt>
                <c:pt idx="35">
                  <c:v>171.31624864876301</c:v>
                </c:pt>
                <c:pt idx="36">
                  <c:v>169.66635076368499</c:v>
                </c:pt>
                <c:pt idx="37">
                  <c:v>167.97138441162099</c:v>
                </c:pt>
                <c:pt idx="38">
                  <c:v>166.16526958684801</c:v>
                </c:pt>
                <c:pt idx="39">
                  <c:v>165.06962845281299</c:v>
                </c:pt>
                <c:pt idx="40">
                  <c:v>163.94159548073</c:v>
                </c:pt>
                <c:pt idx="41">
                  <c:v>162.85966003080301</c:v>
                </c:pt>
                <c:pt idx="42">
                  <c:v>161.09181285539401</c:v>
                </c:pt>
                <c:pt idx="43">
                  <c:v>159.27653359080901</c:v>
                </c:pt>
                <c:pt idx="44">
                  <c:v>157.38853984962401</c:v>
                </c:pt>
                <c:pt idx="45">
                  <c:v>183.20648292047801</c:v>
                </c:pt>
                <c:pt idx="46">
                  <c:v>178.61951903766399</c:v>
                </c:pt>
                <c:pt idx="47">
                  <c:v>174.04929328450399</c:v>
                </c:pt>
                <c:pt idx="48">
                  <c:v>173.534570090947</c:v>
                </c:pt>
                <c:pt idx="49">
                  <c:v>173.032727402658</c:v>
                </c:pt>
                <c:pt idx="50">
                  <c:v>172.60179875376201</c:v>
                </c:pt>
                <c:pt idx="51">
                  <c:v>172.280657433367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816832"/>
        <c:axId val="238052096"/>
      </c:lineChart>
      <c:dateAx>
        <c:axId val="2378168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38052096"/>
        <c:crosses val="autoZero"/>
        <c:auto val="1"/>
        <c:lblOffset val="100"/>
        <c:baseTimeUnit val="months"/>
      </c:dateAx>
      <c:valAx>
        <c:axId val="2380520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78168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incentive_detail!$AK$1:$AK$2</c:f>
              <c:strCache>
                <c:ptCount val="1"/>
                <c:pt idx="0">
                  <c:v>FNCR currMIP</c:v>
                </c:pt>
              </c:strCache>
            </c:strRef>
          </c:tx>
          <c:marker>
            <c:symbol val="none"/>
          </c:marker>
          <c:cat>
            <c:numRef>
              <c:f>incentive_detail!$AH$3:$AH$54</c:f>
              <c:numCache>
                <c:formatCode>m/d/yyyy</c:formatCode>
                <c:ptCount val="52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  <c:pt idx="46">
                  <c:v>42491</c:v>
                </c:pt>
                <c:pt idx="47">
                  <c:v>42522</c:v>
                </c:pt>
                <c:pt idx="48">
                  <c:v>42552</c:v>
                </c:pt>
                <c:pt idx="49">
                  <c:v>42583</c:v>
                </c:pt>
                <c:pt idx="50">
                  <c:v>42614</c:v>
                </c:pt>
                <c:pt idx="51">
                  <c:v>42644</c:v>
                </c:pt>
              </c:numCache>
            </c:numRef>
          </c:cat>
          <c:val>
            <c:numRef>
              <c:f>incentive_detail!$AK$3:$AK$54</c:f>
              <c:numCache>
                <c:formatCode>General</c:formatCode>
                <c:ptCount val="52"/>
                <c:pt idx="0">
                  <c:v>139.58330000000001</c:v>
                </c:pt>
                <c:pt idx="1">
                  <c:v>139.58330000000001</c:v>
                </c:pt>
                <c:pt idx="2">
                  <c:v>139.58330000000001</c:v>
                </c:pt>
                <c:pt idx="3">
                  <c:v>139.58330000000001</c:v>
                </c:pt>
                <c:pt idx="4">
                  <c:v>139.58330000000001</c:v>
                </c:pt>
                <c:pt idx="5">
                  <c:v>139.58330000000001</c:v>
                </c:pt>
                <c:pt idx="6">
                  <c:v>139.58330000000001</c:v>
                </c:pt>
                <c:pt idx="7">
                  <c:v>140.629743319825</c:v>
                </c:pt>
                <c:pt idx="8">
                  <c:v>141.294019395921</c:v>
                </c:pt>
                <c:pt idx="9">
                  <c:v>141.85330390802901</c:v>
                </c:pt>
                <c:pt idx="10">
                  <c:v>149.372904880562</c:v>
                </c:pt>
                <c:pt idx="11">
                  <c:v>149.37445934599</c:v>
                </c:pt>
                <c:pt idx="12">
                  <c:v>149.38042121626299</c:v>
                </c:pt>
                <c:pt idx="13">
                  <c:v>149.385548307948</c:v>
                </c:pt>
                <c:pt idx="14">
                  <c:v>149.39164187530599</c:v>
                </c:pt>
                <c:pt idx="15">
                  <c:v>149.39507146223801</c:v>
                </c:pt>
                <c:pt idx="16">
                  <c:v>149.39803514231301</c:v>
                </c:pt>
                <c:pt idx="17">
                  <c:v>149.400163059942</c:v>
                </c:pt>
                <c:pt idx="18">
                  <c:v>149.39170684723101</c:v>
                </c:pt>
                <c:pt idx="19">
                  <c:v>149.385768779019</c:v>
                </c:pt>
                <c:pt idx="20">
                  <c:v>149.38058915072801</c:v>
                </c:pt>
                <c:pt idx="21">
                  <c:v>149.37496000690001</c:v>
                </c:pt>
                <c:pt idx="22">
                  <c:v>149.37025220898801</c:v>
                </c:pt>
                <c:pt idx="23">
                  <c:v>149.364406441342</c:v>
                </c:pt>
                <c:pt idx="24">
                  <c:v>149.35774295248399</c:v>
                </c:pt>
                <c:pt idx="25">
                  <c:v>149.35184028</c:v>
                </c:pt>
                <c:pt idx="26">
                  <c:v>149.34672614556899</c:v>
                </c:pt>
                <c:pt idx="27">
                  <c:v>149.34132705548501</c:v>
                </c:pt>
                <c:pt idx="28">
                  <c:v>149.33471361687899</c:v>
                </c:pt>
                <c:pt idx="29">
                  <c:v>149.32790390289699</c:v>
                </c:pt>
                <c:pt idx="30">
                  <c:v>149.32102631247901</c:v>
                </c:pt>
                <c:pt idx="31">
                  <c:v>99.315606929305403</c:v>
                </c:pt>
                <c:pt idx="32">
                  <c:v>99.308926600212502</c:v>
                </c:pt>
                <c:pt idx="33">
                  <c:v>99.301750370864497</c:v>
                </c:pt>
                <c:pt idx="34">
                  <c:v>99.293617206807198</c:v>
                </c:pt>
                <c:pt idx="35">
                  <c:v>99.2862968186449</c:v>
                </c:pt>
                <c:pt idx="36">
                  <c:v>99.279780229019494</c:v>
                </c:pt>
                <c:pt idx="37">
                  <c:v>99.263371318093107</c:v>
                </c:pt>
                <c:pt idx="38">
                  <c:v>99.256005267534206</c:v>
                </c:pt>
                <c:pt idx="39">
                  <c:v>99.248310167479104</c:v>
                </c:pt>
                <c:pt idx="40">
                  <c:v>99.238933756275003</c:v>
                </c:pt>
                <c:pt idx="41">
                  <c:v>99.230917706084696</c:v>
                </c:pt>
                <c:pt idx="42">
                  <c:v>99.222907544366805</c:v>
                </c:pt>
                <c:pt idx="43">
                  <c:v>99.211514990779193</c:v>
                </c:pt>
                <c:pt idx="44">
                  <c:v>99.201479763593198</c:v>
                </c:pt>
                <c:pt idx="45">
                  <c:v>99.188445044370894</c:v>
                </c:pt>
                <c:pt idx="46">
                  <c:v>99.152965912097798</c:v>
                </c:pt>
                <c:pt idx="47">
                  <c:v>99.123036748199098</c:v>
                </c:pt>
                <c:pt idx="48">
                  <c:v>99.105850989237098</c:v>
                </c:pt>
                <c:pt idx="49">
                  <c:v>99.095591757513802</c:v>
                </c:pt>
                <c:pt idx="50">
                  <c:v>99.082406728865806</c:v>
                </c:pt>
                <c:pt idx="51">
                  <c:v>99.069986253935696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incentive_detail!$AL$1:$AL$2</c:f>
              <c:strCache>
                <c:ptCount val="1"/>
                <c:pt idx="0">
                  <c:v>FGU9 currMIP</c:v>
                </c:pt>
              </c:strCache>
            </c:strRef>
          </c:tx>
          <c:marker>
            <c:symbol val="none"/>
          </c:marker>
          <c:cat>
            <c:numRef>
              <c:f>incentive_detail!$AH$3:$AH$54</c:f>
              <c:numCache>
                <c:formatCode>m/d/yyyy</c:formatCode>
                <c:ptCount val="52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  <c:pt idx="46">
                  <c:v>42491</c:v>
                </c:pt>
                <c:pt idx="47">
                  <c:v>42522</c:v>
                </c:pt>
                <c:pt idx="48">
                  <c:v>42552</c:v>
                </c:pt>
                <c:pt idx="49">
                  <c:v>42583</c:v>
                </c:pt>
                <c:pt idx="50">
                  <c:v>42614</c:v>
                </c:pt>
                <c:pt idx="51">
                  <c:v>42644</c:v>
                </c:pt>
              </c:numCache>
            </c:numRef>
          </c:cat>
          <c:val>
            <c:numRef>
              <c:f>incentive_detail!$AL$3:$AL$54</c:f>
              <c:numCache>
                <c:formatCode>General</c:formatCode>
                <c:ptCount val="52"/>
                <c:pt idx="0">
                  <c:v>139.585280358576</c:v>
                </c:pt>
                <c:pt idx="1">
                  <c:v>139.58766086956101</c:v>
                </c:pt>
                <c:pt idx="2">
                  <c:v>139.58624692276001</c:v>
                </c:pt>
                <c:pt idx="3">
                  <c:v>139.585361326418</c:v>
                </c:pt>
                <c:pt idx="4">
                  <c:v>139.58594933910501</c:v>
                </c:pt>
                <c:pt idx="5">
                  <c:v>139.58526447950501</c:v>
                </c:pt>
                <c:pt idx="6">
                  <c:v>139.58493540854801</c:v>
                </c:pt>
                <c:pt idx="7">
                  <c:v>139.58455019256101</c:v>
                </c:pt>
                <c:pt idx="8">
                  <c:v>139.584128891539</c:v>
                </c:pt>
                <c:pt idx="9">
                  <c:v>139.58369349074701</c:v>
                </c:pt>
                <c:pt idx="10">
                  <c:v>149.582616548597</c:v>
                </c:pt>
                <c:pt idx="11">
                  <c:v>149.58277316557499</c:v>
                </c:pt>
                <c:pt idx="12">
                  <c:v>149.582837881546</c:v>
                </c:pt>
                <c:pt idx="13">
                  <c:v>149.58003626108101</c:v>
                </c:pt>
                <c:pt idx="14">
                  <c:v>149.576005063743</c:v>
                </c:pt>
                <c:pt idx="15">
                  <c:v>149.574696908498</c:v>
                </c:pt>
                <c:pt idx="16">
                  <c:v>149.57220569231501</c:v>
                </c:pt>
                <c:pt idx="17">
                  <c:v>149.56974386426299</c:v>
                </c:pt>
                <c:pt idx="18">
                  <c:v>149.564927426602</c:v>
                </c:pt>
                <c:pt idx="19">
                  <c:v>149.55906657122901</c:v>
                </c:pt>
                <c:pt idx="20">
                  <c:v>149.55126739130401</c:v>
                </c:pt>
                <c:pt idx="21">
                  <c:v>149.536083408895</c:v>
                </c:pt>
                <c:pt idx="22">
                  <c:v>149.51197650350201</c:v>
                </c:pt>
                <c:pt idx="23">
                  <c:v>149.481640697915</c:v>
                </c:pt>
                <c:pt idx="24">
                  <c:v>149.45584604873901</c:v>
                </c:pt>
                <c:pt idx="25">
                  <c:v>149.42501157943599</c:v>
                </c:pt>
                <c:pt idx="26">
                  <c:v>149.39432184745499</c:v>
                </c:pt>
                <c:pt idx="27">
                  <c:v>149.381611948917</c:v>
                </c:pt>
                <c:pt idx="28">
                  <c:v>149.367951286368</c:v>
                </c:pt>
                <c:pt idx="29">
                  <c:v>149.352154217936</c:v>
                </c:pt>
                <c:pt idx="30">
                  <c:v>149.32030433355399</c:v>
                </c:pt>
                <c:pt idx="31">
                  <c:v>99.282973297981599</c:v>
                </c:pt>
                <c:pt idx="32">
                  <c:v>99.243227079274106</c:v>
                </c:pt>
                <c:pt idx="33">
                  <c:v>99.1694425258422</c:v>
                </c:pt>
                <c:pt idx="34">
                  <c:v>99.087494278541399</c:v>
                </c:pt>
                <c:pt idx="35">
                  <c:v>98.987963333160195</c:v>
                </c:pt>
                <c:pt idx="36">
                  <c:v>98.921219489698402</c:v>
                </c:pt>
                <c:pt idx="37">
                  <c:v>98.850236371376994</c:v>
                </c:pt>
                <c:pt idx="38">
                  <c:v>98.773395610038193</c:v>
                </c:pt>
                <c:pt idx="39">
                  <c:v>98.725670848473101</c:v>
                </c:pt>
                <c:pt idx="40">
                  <c:v>98.679267195234303</c:v>
                </c:pt>
                <c:pt idx="41">
                  <c:v>98.633702992207503</c:v>
                </c:pt>
                <c:pt idx="42">
                  <c:v>98.560925128802197</c:v>
                </c:pt>
                <c:pt idx="43">
                  <c:v>98.489272413504295</c:v>
                </c:pt>
                <c:pt idx="44">
                  <c:v>98.416293807360006</c:v>
                </c:pt>
                <c:pt idx="45">
                  <c:v>98.286685228774104</c:v>
                </c:pt>
                <c:pt idx="46">
                  <c:v>98.161568758865997</c:v>
                </c:pt>
                <c:pt idx="47">
                  <c:v>98.038754742956797</c:v>
                </c:pt>
                <c:pt idx="48">
                  <c:v>98.025293965480401</c:v>
                </c:pt>
                <c:pt idx="49">
                  <c:v>98.011163772505299</c:v>
                </c:pt>
                <c:pt idx="50">
                  <c:v>97.998791922515196</c:v>
                </c:pt>
                <c:pt idx="51">
                  <c:v>97.990854626479404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3389184"/>
        <c:axId val="243390720"/>
      </c:lineChart>
      <c:dateAx>
        <c:axId val="2433891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43390720"/>
        <c:crosses val="autoZero"/>
        <c:auto val="1"/>
        <c:lblOffset val="100"/>
        <c:baseTimeUnit val="months"/>
      </c:dateAx>
      <c:valAx>
        <c:axId val="2433907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33891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190500</xdr:colOff>
      <xdr:row>13</xdr:row>
      <xdr:rowOff>66675</xdr:rowOff>
    </xdr:from>
    <xdr:to>
      <xdr:col>21</xdr:col>
      <xdr:colOff>495300</xdr:colOff>
      <xdr:row>27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76200</xdr:colOff>
      <xdr:row>30</xdr:row>
      <xdr:rowOff>38100</xdr:rowOff>
    </xdr:from>
    <xdr:to>
      <xdr:col>21</xdr:col>
      <xdr:colOff>381000</xdr:colOff>
      <xdr:row>44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76200</xdr:colOff>
      <xdr:row>46</xdr:row>
      <xdr:rowOff>133350</xdr:rowOff>
    </xdr:from>
    <xdr:to>
      <xdr:col>21</xdr:col>
      <xdr:colOff>381000</xdr:colOff>
      <xdr:row>61</xdr:row>
      <xdr:rowOff>19050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457200</xdr:colOff>
      <xdr:row>11</xdr:row>
      <xdr:rowOff>76200</xdr:rowOff>
    </xdr:from>
    <xdr:to>
      <xdr:col>22</xdr:col>
      <xdr:colOff>152400</xdr:colOff>
      <xdr:row>25</xdr:row>
      <xdr:rowOff>152400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57150</xdr:colOff>
      <xdr:row>11</xdr:row>
      <xdr:rowOff>133350</xdr:rowOff>
    </xdr:from>
    <xdr:to>
      <xdr:col>25</xdr:col>
      <xdr:colOff>361950</xdr:colOff>
      <xdr:row>26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200025</xdr:colOff>
      <xdr:row>8</xdr:row>
      <xdr:rowOff>114300</xdr:rowOff>
    </xdr:from>
    <xdr:to>
      <xdr:col>25</xdr:col>
      <xdr:colOff>504825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390525</xdr:colOff>
      <xdr:row>9</xdr:row>
      <xdr:rowOff>0</xdr:rowOff>
    </xdr:from>
    <xdr:to>
      <xdr:col>26</xdr:col>
      <xdr:colOff>85725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361950</xdr:colOff>
      <xdr:row>12</xdr:row>
      <xdr:rowOff>171450</xdr:rowOff>
    </xdr:from>
    <xdr:to>
      <xdr:col>26</xdr:col>
      <xdr:colOff>57150</xdr:colOff>
      <xdr:row>27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381000</xdr:colOff>
      <xdr:row>29</xdr:row>
      <xdr:rowOff>47625</xdr:rowOff>
    </xdr:from>
    <xdr:to>
      <xdr:col>26</xdr:col>
      <xdr:colOff>76200</xdr:colOff>
      <xdr:row>43</xdr:row>
      <xdr:rowOff>123825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400050</xdr:colOff>
      <xdr:row>3</xdr:row>
      <xdr:rowOff>123825</xdr:rowOff>
    </xdr:from>
    <xdr:to>
      <xdr:col>16</xdr:col>
      <xdr:colOff>95250</xdr:colOff>
      <xdr:row>18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381000</xdr:colOff>
      <xdr:row>19</xdr:row>
      <xdr:rowOff>47625</xdr:rowOff>
    </xdr:from>
    <xdr:to>
      <xdr:col>16</xdr:col>
      <xdr:colOff>76200</xdr:colOff>
      <xdr:row>33</xdr:row>
      <xdr:rowOff>123825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390525</xdr:colOff>
      <xdr:row>34</xdr:row>
      <xdr:rowOff>114300</xdr:rowOff>
    </xdr:from>
    <xdr:to>
      <xdr:col>16</xdr:col>
      <xdr:colOff>85725</xdr:colOff>
      <xdr:row>49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323850</xdr:colOff>
      <xdr:row>51</xdr:row>
      <xdr:rowOff>9525</xdr:rowOff>
    </xdr:from>
    <xdr:to>
      <xdr:col>16</xdr:col>
      <xdr:colOff>19050</xdr:colOff>
      <xdr:row>65</xdr:row>
      <xdr:rowOff>85725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2671.460873032411" createdVersion="4" refreshedVersion="4" minRefreshableVersion="3" recordCount="504">
  <cacheSource type="worksheet">
    <worksheetSource ref="Y1:AC505" sheet="tpo"/>
  </cacheSource>
  <cacheFields count="5">
    <cacheField name="marketTicker" numFmtId="0">
      <sharedItems count="4">
        <s v="FGLMC"/>
        <s v="FGT6"/>
        <s v="FGU6"/>
        <s v="FGU9"/>
      </sharedItems>
    </cacheField>
    <cacheField name="asOf" numFmtId="14">
      <sharedItems containsSemiMixedTypes="0" containsNonDate="0" containsDate="1" containsString="0" minDate="1994-02-01T00:00:00" maxDate="2016-10-02T00:00:00" count="269">
        <d v="1994-02-01T00:00:00"/>
        <d v="1994-03-01T00:00:00"/>
        <d v="1994-04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</sharedItems>
    </cacheField>
    <cacheField name="count(1)" numFmtId="0">
      <sharedItems containsSemiMixedTypes="0" containsString="0" containsNumber="1" containsInteger="1" minValue="19" maxValue="168793"/>
    </cacheField>
    <cacheField name="sum(p.schamBalance)" numFmtId="0">
      <sharedItems containsSemiMixedTypes="0" containsString="0" containsNumber="1" minValue="140467044.28999999" maxValue="1301137589406.99"/>
    </cacheField>
    <cacheField name="tpo" numFmtId="0">
      <sharedItems containsMixedTypes="1" containsNumber="1" minValue="0.40037421933428402" maxValue="72.5058709209902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Lien Chen" refreshedDate="42671.467250462963" createdVersion="4" refreshedVersion="4" minRefreshableVersion="3" recordCount="509">
  <cacheSource type="worksheet">
    <worksheetSource ref="A1:E1048576" sheet="tpo"/>
  </cacheSource>
  <cacheFields count="5">
    <cacheField name="marketTicker" numFmtId="0">
      <sharedItems containsBlank="1" count="5">
        <s v="FNCL"/>
        <s v="FNCK"/>
        <s v="FNCQ30"/>
        <s v="FNCR"/>
        <m/>
      </sharedItems>
    </cacheField>
    <cacheField name="asOf" numFmtId="0">
      <sharedItems containsNonDate="0" containsDate="1" containsString="0" containsBlank="1" minDate="1994-02-01T00:00:00" maxDate="2016-10-02T00:00:00" count="274">
        <d v="1994-02-01T00:00:00"/>
        <d v="1994-03-01T00:00:00"/>
        <d v="1994-04-01T00:00:00"/>
        <d v="1994-05-01T00:00:00"/>
        <d v="1994-06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1-01T00:00:00"/>
        <d v="1997-0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m/>
      </sharedItems>
    </cacheField>
    <cacheField name="count(1)" numFmtId="0">
      <sharedItems containsString="0" containsBlank="1" containsNumber="1" containsInteger="1" minValue="11" maxValue="311376"/>
    </cacheField>
    <cacheField name="sum(p.schamBalance)" numFmtId="0">
      <sharedItems containsString="0" containsBlank="1" containsNumber="1" minValue="106566395.2" maxValue="1936230379188.45"/>
    </cacheField>
    <cacheField name="tpo" numFmtId="0">
      <sharedItems containsBlank="1" containsMixedTypes="1" containsNumber="1" minValue="0.29175987115948299" maxValue="64.8351806617958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4">
  <r>
    <x v="0"/>
    <x v="0"/>
    <n v="47564"/>
    <n v="179363030607.07999"/>
    <s v="(NULL)"/>
  </r>
  <r>
    <x v="0"/>
    <x v="1"/>
    <n v="48770"/>
    <n v="182676426202.38"/>
    <s v="(NULL)"/>
  </r>
  <r>
    <x v="0"/>
    <x v="2"/>
    <n v="50054"/>
    <n v="187173844372.01001"/>
    <s v="(NULL)"/>
  </r>
  <r>
    <x v="0"/>
    <x v="3"/>
    <n v="53319"/>
    <n v="198257625256.20999"/>
    <s v="(NULL)"/>
  </r>
  <r>
    <x v="0"/>
    <x v="4"/>
    <n v="54110"/>
    <n v="200679192483.73001"/>
    <s v="(NULL)"/>
  </r>
  <r>
    <x v="0"/>
    <x v="5"/>
    <n v="54835"/>
    <n v="202941258365.22"/>
    <s v="(NULL)"/>
  </r>
  <r>
    <x v="0"/>
    <x v="6"/>
    <n v="55530"/>
    <n v="205226671396.57999"/>
    <s v="(NULL)"/>
  </r>
  <r>
    <x v="0"/>
    <x v="7"/>
    <n v="56108"/>
    <n v="206975112252.98001"/>
    <s v="(NULL)"/>
  </r>
  <r>
    <x v="0"/>
    <x v="8"/>
    <n v="56529"/>
    <n v="207753709014.57999"/>
    <s v="(NULL)"/>
  </r>
  <r>
    <x v="0"/>
    <x v="9"/>
    <n v="56894"/>
    <n v="208406182510.07001"/>
    <s v="(NULL)"/>
  </r>
  <r>
    <x v="0"/>
    <x v="10"/>
    <n v="57294"/>
    <n v="209359181505.28"/>
    <s v="(NULL)"/>
  </r>
  <r>
    <x v="0"/>
    <x v="11"/>
    <n v="57702"/>
    <n v="210444667091.82001"/>
    <s v="(NULL)"/>
  </r>
  <r>
    <x v="0"/>
    <x v="12"/>
    <n v="58144"/>
    <n v="212078601432.42001"/>
    <s v="(NULL)"/>
  </r>
  <r>
    <x v="0"/>
    <x v="13"/>
    <n v="58699"/>
    <n v="214086172771.07001"/>
    <s v="(NULL)"/>
  </r>
  <r>
    <x v="0"/>
    <x v="14"/>
    <n v="59299"/>
    <n v="215985123514.95001"/>
    <s v="(NULL)"/>
  </r>
  <r>
    <x v="0"/>
    <x v="15"/>
    <n v="59982"/>
    <n v="218637993872.20999"/>
    <s v="(NULL)"/>
  </r>
  <r>
    <x v="0"/>
    <x v="16"/>
    <n v="60798"/>
    <n v="220537691305.53"/>
    <s v="(NULL)"/>
  </r>
  <r>
    <x v="0"/>
    <x v="17"/>
    <n v="61701"/>
    <n v="223537636405.35001"/>
    <s v="(NULL)"/>
  </r>
  <r>
    <x v="0"/>
    <x v="18"/>
    <n v="62672"/>
    <n v="229405456728.67999"/>
    <s v="(NULL)"/>
  </r>
  <r>
    <x v="0"/>
    <x v="19"/>
    <n v="63520"/>
    <n v="235258720640.07999"/>
    <s v="(NULL)"/>
  </r>
  <r>
    <x v="0"/>
    <x v="20"/>
    <n v="64356"/>
    <n v="239238384049.14999"/>
    <s v="(NULL)"/>
  </r>
  <r>
    <x v="0"/>
    <x v="21"/>
    <n v="65235"/>
    <n v="242924225298.66"/>
    <s v="(NULL)"/>
  </r>
  <r>
    <x v="0"/>
    <x v="22"/>
    <n v="66160"/>
    <n v="247706198611.98999"/>
    <s v="(NULL)"/>
  </r>
  <r>
    <x v="0"/>
    <x v="23"/>
    <n v="67083"/>
    <n v="252451222078.59"/>
    <s v="(NULL)"/>
  </r>
  <r>
    <x v="0"/>
    <x v="24"/>
    <n v="68019"/>
    <n v="258576610453.45001"/>
    <s v="(NULL)"/>
  </r>
  <r>
    <x v="0"/>
    <x v="25"/>
    <n v="68897"/>
    <n v="263680566665.75"/>
    <s v="(NULL)"/>
  </r>
  <r>
    <x v="0"/>
    <x v="26"/>
    <n v="69782"/>
    <n v="266531739812.85999"/>
    <s v="(NULL)"/>
  </r>
  <r>
    <x v="0"/>
    <x v="27"/>
    <n v="70524"/>
    <n v="269946338845.72"/>
    <s v="(NULL)"/>
  </r>
  <r>
    <x v="0"/>
    <x v="28"/>
    <n v="71320"/>
    <n v="275359751202.96997"/>
    <s v="(NULL)"/>
  </r>
  <r>
    <x v="0"/>
    <x v="29"/>
    <n v="72068"/>
    <n v="279116219901"/>
    <s v="(NULL)"/>
  </r>
  <r>
    <x v="0"/>
    <x v="30"/>
    <n v="72680"/>
    <n v="282696691198.75"/>
    <s v="(NULL)"/>
  </r>
  <r>
    <x v="0"/>
    <x v="31"/>
    <n v="73401"/>
    <n v="286599324454.46997"/>
    <s v="(NULL)"/>
  </r>
  <r>
    <x v="0"/>
    <x v="32"/>
    <n v="74137"/>
    <n v="289245055308.17999"/>
    <s v="(NULL)"/>
  </r>
  <r>
    <x v="0"/>
    <x v="33"/>
    <n v="76146"/>
    <n v="305558806072.76001"/>
    <s v="(NULL)"/>
  </r>
  <r>
    <x v="0"/>
    <x v="34"/>
    <n v="76726"/>
    <n v="308203632776.14001"/>
    <s v="(NULL)"/>
  </r>
  <r>
    <x v="0"/>
    <x v="35"/>
    <n v="77198"/>
    <n v="310466649017.64001"/>
    <s v="(NULL)"/>
  </r>
  <r>
    <x v="0"/>
    <x v="36"/>
    <n v="77710"/>
    <n v="312256914058.41998"/>
    <s v="(NULL)"/>
  </r>
  <r>
    <x v="0"/>
    <x v="37"/>
    <n v="78238"/>
    <n v="315317531887.77002"/>
    <s v="(NULL)"/>
  </r>
  <r>
    <x v="0"/>
    <x v="38"/>
    <n v="78728"/>
    <n v="318968926684.46997"/>
    <s v="(NULL)"/>
  </r>
  <r>
    <x v="0"/>
    <x v="39"/>
    <n v="79279"/>
    <n v="322889944513.82001"/>
    <s v="(NULL)"/>
  </r>
  <r>
    <x v="0"/>
    <x v="40"/>
    <n v="79818"/>
    <n v="326223233406.87"/>
    <s v="(NULL)"/>
  </r>
  <r>
    <x v="0"/>
    <x v="41"/>
    <n v="80470"/>
    <n v="331462404329.59998"/>
    <s v="(NULL)"/>
  </r>
  <r>
    <x v="0"/>
    <x v="42"/>
    <n v="81105"/>
    <n v="335920440468.38"/>
    <s v="(NULL)"/>
  </r>
  <r>
    <x v="0"/>
    <x v="43"/>
    <n v="81826"/>
    <n v="341078292801.59998"/>
    <s v="(NULL)"/>
  </r>
  <r>
    <x v="0"/>
    <x v="44"/>
    <n v="82571"/>
    <n v="342377531652.5"/>
    <s v="(NULL)"/>
  </r>
  <r>
    <x v="0"/>
    <x v="45"/>
    <n v="83367"/>
    <n v="347235598262.58002"/>
    <s v="(NULL)"/>
  </r>
  <r>
    <x v="0"/>
    <x v="46"/>
    <n v="84285"/>
    <n v="356844623340.15997"/>
    <s v="(NULL)"/>
  </r>
  <r>
    <x v="0"/>
    <x v="47"/>
    <n v="85347"/>
    <n v="363989269831.03998"/>
    <s v="(NULL)"/>
  </r>
  <r>
    <x v="0"/>
    <x v="48"/>
    <n v="86333"/>
    <n v="369967952529.34998"/>
    <s v="(NULL)"/>
  </r>
  <r>
    <x v="0"/>
    <x v="49"/>
    <n v="87205"/>
    <n v="377339687889.40997"/>
    <s v="(NULL)"/>
  </r>
  <r>
    <x v="0"/>
    <x v="50"/>
    <n v="88347"/>
    <n v="386367453157.35999"/>
    <s v="(NULL)"/>
  </r>
  <r>
    <x v="0"/>
    <x v="51"/>
    <n v="89353"/>
    <n v="391655603963.95001"/>
    <s v="(NULL)"/>
  </r>
  <r>
    <x v="0"/>
    <x v="52"/>
    <n v="90394"/>
    <n v="395905188008.88"/>
    <s v="(NULL)"/>
  </r>
  <r>
    <x v="0"/>
    <x v="53"/>
    <n v="91404"/>
    <n v="405477226088.94"/>
    <s v="(NULL)"/>
  </r>
  <r>
    <x v="0"/>
    <x v="54"/>
    <n v="92421"/>
    <n v="415987868538.75"/>
    <s v="(NULL)"/>
  </r>
  <r>
    <x v="0"/>
    <x v="55"/>
    <n v="93582"/>
    <n v="423029711253.54999"/>
    <s v="(NULL)"/>
  </r>
  <r>
    <x v="0"/>
    <x v="56"/>
    <n v="94621"/>
    <n v="428789332116.60999"/>
    <s v="(NULL)"/>
  </r>
  <r>
    <x v="0"/>
    <x v="57"/>
    <n v="95673"/>
    <n v="435071002275.32001"/>
    <s v="(NULL)"/>
  </r>
  <r>
    <x v="0"/>
    <x v="58"/>
    <n v="96985"/>
    <n v="445844508849.51001"/>
    <s v="(NULL)"/>
  </r>
  <r>
    <x v="0"/>
    <x v="59"/>
    <n v="98319"/>
    <n v="454861367864.41998"/>
    <s v="(NULL)"/>
  </r>
  <r>
    <x v="0"/>
    <x v="60"/>
    <n v="99372"/>
    <n v="462596813374.56"/>
    <s v="(NULL)"/>
  </r>
  <r>
    <x v="0"/>
    <x v="61"/>
    <n v="100290"/>
    <n v="469015767726"/>
    <s v="(NULL)"/>
  </r>
  <r>
    <x v="0"/>
    <x v="62"/>
    <n v="101048"/>
    <n v="474446604497.37"/>
    <s v="(NULL)"/>
  </r>
  <r>
    <x v="0"/>
    <x v="63"/>
    <n v="101791"/>
    <n v="478953183452.09003"/>
    <s v="(NULL)"/>
  </r>
  <r>
    <x v="0"/>
    <x v="64"/>
    <n v="102667"/>
    <n v="483684933728.44"/>
    <s v="(NULL)"/>
  </r>
  <r>
    <x v="0"/>
    <x v="65"/>
    <n v="103263"/>
    <n v="486113274951.03003"/>
    <s v="(NULL)"/>
  </r>
  <r>
    <x v="0"/>
    <x v="66"/>
    <n v="103797"/>
    <n v="488977501585.98999"/>
    <s v="(NULL)"/>
  </r>
  <r>
    <x v="0"/>
    <x v="67"/>
    <n v="104272"/>
    <n v="490954239429.84998"/>
    <s v="(NULL)"/>
  </r>
  <r>
    <x v="0"/>
    <x v="68"/>
    <n v="105024"/>
    <n v="496915801152.44"/>
    <s v="(NULL)"/>
  </r>
  <r>
    <x v="0"/>
    <x v="69"/>
    <n v="105571"/>
    <n v="498826947779.83002"/>
    <s v="(NULL)"/>
  </r>
  <r>
    <x v="0"/>
    <x v="70"/>
    <n v="106181"/>
    <n v="501711977650.15002"/>
    <s v="(NULL)"/>
  </r>
  <r>
    <x v="0"/>
    <x v="71"/>
    <n v="106663"/>
    <n v="503601588836.79999"/>
    <s v="(NULL)"/>
  </r>
  <r>
    <x v="0"/>
    <x v="72"/>
    <n v="107411"/>
    <n v="509012244894.96002"/>
    <s v="(NULL)"/>
  </r>
  <r>
    <x v="0"/>
    <x v="73"/>
    <n v="108179"/>
    <n v="513375798865.76001"/>
    <s v="(NULL)"/>
  </r>
  <r>
    <x v="0"/>
    <x v="74"/>
    <n v="108954"/>
    <n v="516317525107.78998"/>
    <s v="(NULL)"/>
  </r>
  <r>
    <x v="0"/>
    <x v="75"/>
    <n v="109821"/>
    <n v="523779386580.96997"/>
    <s v="(NULL)"/>
  </r>
  <r>
    <x v="0"/>
    <x v="76"/>
    <n v="110829"/>
    <n v="531358236787.52002"/>
    <s v="(NULL)"/>
  </r>
  <r>
    <x v="0"/>
    <x v="77"/>
    <n v="111769"/>
    <n v="538792043173.23999"/>
    <s v="(NULL)"/>
  </r>
  <r>
    <x v="0"/>
    <x v="78"/>
    <n v="112641"/>
    <n v="546830986491.85999"/>
    <s v="(NULL)"/>
  </r>
  <r>
    <x v="0"/>
    <x v="79"/>
    <n v="113547"/>
    <n v="556066207294.38"/>
    <s v="(NULL)"/>
  </r>
  <r>
    <x v="0"/>
    <x v="80"/>
    <n v="114381"/>
    <n v="562845782479.48999"/>
    <s v="(NULL)"/>
  </r>
  <r>
    <x v="0"/>
    <x v="81"/>
    <n v="115151"/>
    <n v="569916218919.31006"/>
    <s v="(NULL)"/>
  </r>
  <r>
    <x v="0"/>
    <x v="82"/>
    <n v="116096"/>
    <n v="575572661918.26001"/>
    <s v="(NULL)"/>
  </r>
  <r>
    <x v="0"/>
    <x v="83"/>
    <n v="117279"/>
    <n v="583145358940.57996"/>
    <s v="(NULL)"/>
  </r>
  <r>
    <x v="0"/>
    <x v="84"/>
    <n v="118507"/>
    <n v="593312179640.43005"/>
    <s v="(NULL)"/>
  </r>
  <r>
    <x v="0"/>
    <x v="85"/>
    <n v="119874"/>
    <n v="606812462774.06006"/>
    <s v="(NULL)"/>
  </r>
  <r>
    <x v="0"/>
    <x v="86"/>
    <n v="121171"/>
    <n v="618799228411.14001"/>
    <s v="(NULL)"/>
  </r>
  <r>
    <x v="0"/>
    <x v="87"/>
    <n v="122185"/>
    <n v="628849014233.57996"/>
    <s v="(NULL)"/>
  </r>
  <r>
    <x v="0"/>
    <x v="88"/>
    <n v="123147"/>
    <n v="638526972099.47998"/>
    <s v="(NULL)"/>
  </r>
  <r>
    <x v="0"/>
    <x v="89"/>
    <n v="124010"/>
    <n v="646314044955.62"/>
    <s v="(NULL)"/>
  </r>
  <r>
    <x v="0"/>
    <x v="90"/>
    <n v="124916"/>
    <n v="652589172511.04004"/>
    <s v="(NULL)"/>
  </r>
  <r>
    <x v="0"/>
    <x v="91"/>
    <n v="125971"/>
    <n v="656492839778.71997"/>
    <s v="(NULL)"/>
  </r>
  <r>
    <x v="0"/>
    <x v="92"/>
    <n v="126553"/>
    <n v="656259616015.84998"/>
    <s v="(NULL)"/>
  </r>
  <r>
    <x v="0"/>
    <x v="93"/>
    <n v="127090"/>
    <n v="662583566000.98999"/>
    <s v="(NULL)"/>
  </r>
  <r>
    <x v="0"/>
    <x v="94"/>
    <n v="127653"/>
    <n v="667885573629.41003"/>
    <s v="(NULL)"/>
  </r>
  <r>
    <x v="0"/>
    <x v="95"/>
    <n v="128365"/>
    <n v="674912607661.43994"/>
    <s v="(NULL)"/>
  </r>
  <r>
    <x v="0"/>
    <x v="96"/>
    <n v="128864"/>
    <n v="678135240839.68994"/>
    <s v="(NULL)"/>
  </r>
  <r>
    <x v="0"/>
    <x v="97"/>
    <n v="129402"/>
    <n v="683021748027.76001"/>
    <s v="(NULL)"/>
  </r>
  <r>
    <x v="0"/>
    <x v="98"/>
    <n v="129983"/>
    <n v="688071679304.38"/>
    <s v="(NULL)"/>
  </r>
  <r>
    <x v="0"/>
    <x v="99"/>
    <n v="130654"/>
    <n v="691163348256.39001"/>
    <s v="(NULL)"/>
  </r>
  <r>
    <x v="0"/>
    <x v="100"/>
    <n v="131312"/>
    <n v="688880072829.19995"/>
    <s v="(NULL)"/>
  </r>
  <r>
    <x v="0"/>
    <x v="101"/>
    <n v="131946"/>
    <n v="689252606557.81006"/>
    <s v="(NULL)"/>
  </r>
  <r>
    <x v="0"/>
    <x v="102"/>
    <n v="132496"/>
    <n v="678097657626.62"/>
    <s v="(NULL)"/>
  </r>
  <r>
    <x v="0"/>
    <x v="103"/>
    <n v="133145"/>
    <n v="672793627639.87"/>
    <s v="(NULL)"/>
  </r>
  <r>
    <x v="0"/>
    <x v="104"/>
    <n v="133403"/>
    <n v="656324799128.56006"/>
    <s v="(NULL)"/>
  </r>
  <r>
    <x v="0"/>
    <x v="105"/>
    <n v="133505"/>
    <n v="640698935655.10999"/>
    <s v="(NULL)"/>
  </r>
  <r>
    <x v="0"/>
    <x v="106"/>
    <n v="133637"/>
    <n v="636174006378.37"/>
    <s v="(NULL)"/>
  </r>
  <r>
    <x v="0"/>
    <x v="107"/>
    <n v="133620"/>
    <n v="622260662224.34998"/>
    <s v="(NULL)"/>
  </r>
  <r>
    <x v="0"/>
    <x v="108"/>
    <n v="133473"/>
    <n v="605904419338.96997"/>
    <s v="(NULL)"/>
  </r>
  <r>
    <x v="0"/>
    <x v="109"/>
    <n v="133321"/>
    <n v="593661864481.67004"/>
    <s v="(NULL)"/>
  </r>
  <r>
    <x v="0"/>
    <x v="110"/>
    <n v="133256"/>
    <n v="585595617223.56995"/>
    <s v="(NULL)"/>
  </r>
  <r>
    <x v="0"/>
    <x v="111"/>
    <n v="133073"/>
    <n v="578187329736.79004"/>
    <s v="(NULL)"/>
  </r>
  <r>
    <x v="0"/>
    <x v="112"/>
    <n v="132622"/>
    <n v="572848994581.45996"/>
    <s v="(NULL)"/>
  </r>
  <r>
    <x v="0"/>
    <x v="113"/>
    <n v="132115"/>
    <n v="579944340289.91003"/>
    <s v="(NULL)"/>
  </r>
  <r>
    <x v="0"/>
    <x v="114"/>
    <n v="131772"/>
    <n v="581881065707.89001"/>
    <s v="(NULL)"/>
  </r>
  <r>
    <x v="0"/>
    <x v="115"/>
    <n v="131683"/>
    <n v="587420024491.28003"/>
    <s v="(NULL)"/>
  </r>
  <r>
    <x v="0"/>
    <x v="116"/>
    <n v="131603"/>
    <n v="590492237003.89001"/>
    <s v="(NULL)"/>
  </r>
  <r>
    <x v="0"/>
    <x v="117"/>
    <n v="131664"/>
    <n v="593861198662.73999"/>
    <s v="(NULL)"/>
  </r>
  <r>
    <x v="0"/>
    <x v="118"/>
    <n v="131886"/>
    <n v="596477677222.82996"/>
    <s v="(NULL)"/>
  </r>
  <r>
    <x v="0"/>
    <x v="119"/>
    <n v="132088"/>
    <n v="597338404698.09998"/>
    <s v="(NULL)"/>
  </r>
  <r>
    <x v="0"/>
    <x v="120"/>
    <n v="132101"/>
    <n v="596273856729.08997"/>
    <s v="(NULL)"/>
  </r>
  <r>
    <x v="0"/>
    <x v="121"/>
    <n v="131952"/>
    <n v="601439464147.39001"/>
    <s v="(NULL)"/>
  </r>
  <r>
    <x v="0"/>
    <x v="122"/>
    <n v="131955"/>
    <n v="605197029837.21997"/>
    <s v="(NULL)"/>
  </r>
  <r>
    <x v="0"/>
    <x v="123"/>
    <n v="132161"/>
    <n v="608460652302.93994"/>
    <s v="(NULL)"/>
  </r>
  <r>
    <x v="0"/>
    <x v="124"/>
    <n v="132303"/>
    <n v="611155921112.51001"/>
    <s v="(NULL)"/>
  </r>
  <r>
    <x v="0"/>
    <x v="125"/>
    <n v="132433"/>
    <n v="614809241512.60999"/>
    <s v="(NULL)"/>
  </r>
  <r>
    <x v="0"/>
    <x v="126"/>
    <n v="132687"/>
    <n v="617441892380.83997"/>
    <s v="(NULL)"/>
  </r>
  <r>
    <x v="0"/>
    <x v="127"/>
    <n v="133092"/>
    <n v="623960122239.18994"/>
    <s v="(NULL)"/>
  </r>
  <r>
    <x v="0"/>
    <x v="128"/>
    <n v="133292"/>
    <n v="627455382401.26001"/>
    <s v="(NULL)"/>
  </r>
  <r>
    <x v="0"/>
    <x v="129"/>
    <n v="133606"/>
    <n v="630345840465.95996"/>
    <s v="(NULL)"/>
  </r>
  <r>
    <x v="0"/>
    <x v="130"/>
    <n v="133977"/>
    <n v="636404653411.88"/>
    <s v="(NULL)"/>
  </r>
  <r>
    <x v="0"/>
    <x v="131"/>
    <n v="134400"/>
    <n v="643943974637.40002"/>
    <s v="(NULL)"/>
  </r>
  <r>
    <x v="0"/>
    <x v="132"/>
    <n v="134739"/>
    <n v="653230277414.80005"/>
    <s v="(NULL)"/>
  </r>
  <r>
    <x v="0"/>
    <x v="133"/>
    <n v="135194"/>
    <n v="662672623504.70996"/>
    <s v="(NULL)"/>
  </r>
  <r>
    <x v="0"/>
    <x v="134"/>
    <n v="135445"/>
    <n v="669529147077.09998"/>
    <s v="(NULL)"/>
  </r>
  <r>
    <x v="0"/>
    <x v="135"/>
    <n v="135930"/>
    <n v="681084316958.28003"/>
    <s v="(NULL)"/>
  </r>
  <r>
    <x v="0"/>
    <x v="136"/>
    <n v="136354"/>
    <n v="696083136095.84998"/>
    <s v="(NULL)"/>
  </r>
  <r>
    <x v="0"/>
    <x v="137"/>
    <n v="136807"/>
    <n v="709909508509.60999"/>
    <s v="(NULL)"/>
  </r>
  <r>
    <x v="0"/>
    <x v="138"/>
    <n v="137306"/>
    <n v="723313661090.52002"/>
    <s v="(NULL)"/>
  </r>
  <r>
    <x v="0"/>
    <x v="139"/>
    <n v="137944"/>
    <n v="737066180148.85999"/>
    <s v="(NULL)"/>
  </r>
  <r>
    <x v="0"/>
    <x v="140"/>
    <n v="138515"/>
    <n v="750813136411.38"/>
    <s v="(NULL)"/>
  </r>
  <r>
    <x v="0"/>
    <x v="141"/>
    <n v="139200"/>
    <n v="762936156844.35999"/>
    <s v="(NULL)"/>
  </r>
  <r>
    <x v="0"/>
    <x v="142"/>
    <n v="139672"/>
    <n v="773774501099.78003"/>
    <s v="(NULL)"/>
  </r>
  <r>
    <x v="0"/>
    <x v="143"/>
    <n v="140122"/>
    <n v="784425698830.51001"/>
    <s v="(NULL)"/>
  </r>
  <r>
    <x v="0"/>
    <x v="144"/>
    <n v="140435"/>
    <n v="793859723461.93005"/>
    <s v="(NULL)"/>
  </r>
  <r>
    <x v="0"/>
    <x v="145"/>
    <n v="140872"/>
    <n v="804148796324.16003"/>
    <s v="(NULL)"/>
  </r>
  <r>
    <x v="0"/>
    <x v="146"/>
    <n v="141261"/>
    <n v="815623297124.84998"/>
    <s v="(NULL)"/>
  </r>
  <r>
    <x v="0"/>
    <x v="147"/>
    <n v="141782"/>
    <n v="829173302149.54004"/>
    <s v="(NULL)"/>
  </r>
  <r>
    <x v="0"/>
    <x v="148"/>
    <n v="142240"/>
    <n v="841370417123.65002"/>
    <s v="(NULL)"/>
  </r>
  <r>
    <x v="0"/>
    <x v="149"/>
    <n v="142710"/>
    <n v="852239587713.02002"/>
    <s v="(NULL)"/>
  </r>
  <r>
    <x v="0"/>
    <x v="150"/>
    <n v="143157"/>
    <n v="860737627696.97998"/>
    <s v="(NULL)"/>
  </r>
  <r>
    <x v="0"/>
    <x v="151"/>
    <n v="143792"/>
    <n v="875234917686.55005"/>
    <s v="(NULL)"/>
  </r>
  <r>
    <x v="0"/>
    <x v="152"/>
    <n v="144232"/>
    <n v="886289398566.56006"/>
    <s v="(NULL)"/>
  </r>
  <r>
    <x v="0"/>
    <x v="153"/>
    <n v="144924"/>
    <n v="902939742411.02002"/>
    <s v="(NULL)"/>
  </r>
  <r>
    <x v="0"/>
    <x v="154"/>
    <n v="145734"/>
    <n v="918275700682.27002"/>
    <s v="(NULL)"/>
  </r>
  <r>
    <x v="0"/>
    <x v="155"/>
    <n v="146420"/>
    <n v="931301394201.87"/>
    <s v="(NULL)"/>
  </r>
  <r>
    <x v="0"/>
    <x v="156"/>
    <n v="147268"/>
    <n v="945955296949.02002"/>
    <s v="(NULL)"/>
  </r>
  <r>
    <x v="0"/>
    <x v="157"/>
    <n v="147991"/>
    <n v="959167890179.53003"/>
    <s v="(NULL)"/>
  </r>
  <r>
    <x v="0"/>
    <x v="158"/>
    <n v="148654"/>
    <n v="970630930715.02002"/>
    <s v="(NULL)"/>
  </r>
  <r>
    <x v="0"/>
    <x v="159"/>
    <n v="149639"/>
    <n v="986147711440.53003"/>
    <s v="(NULL)"/>
  </r>
  <r>
    <x v="0"/>
    <x v="160"/>
    <n v="150721"/>
    <n v="1004291168943.65"/>
    <s v="(NULL)"/>
  </r>
  <r>
    <x v="0"/>
    <x v="161"/>
    <n v="151639"/>
    <n v="1018333619421.8199"/>
    <s v="(NULL)"/>
  </r>
  <r>
    <x v="0"/>
    <x v="162"/>
    <n v="152735"/>
    <n v="1036838440902.78"/>
    <s v="(NULL)"/>
  </r>
  <r>
    <x v="0"/>
    <x v="163"/>
    <n v="153907"/>
    <n v="1052366455361.34"/>
    <s v="(NULL)"/>
  </r>
  <r>
    <x v="0"/>
    <x v="164"/>
    <n v="155038"/>
    <n v="1067631591501.37"/>
    <s v="(NULL)"/>
  </r>
  <r>
    <x v="0"/>
    <x v="165"/>
    <n v="156626"/>
    <n v="1090932032300.9399"/>
    <s v="(NULL)"/>
  </r>
  <r>
    <x v="0"/>
    <x v="166"/>
    <n v="157658"/>
    <n v="1107233950410.77"/>
    <s v="(NULL)"/>
  </r>
  <r>
    <x v="0"/>
    <x v="167"/>
    <n v="158547"/>
    <n v="1121120060633.95"/>
    <s v="(NULL)"/>
  </r>
  <r>
    <x v="1"/>
    <x v="168"/>
    <n v="19"/>
    <n v="159670015.94"/>
    <s v="(NULL)"/>
  </r>
  <r>
    <x v="0"/>
    <x v="168"/>
    <n v="159524"/>
    <n v="1139760532494.3999"/>
    <s v="(NULL)"/>
  </r>
  <r>
    <x v="0"/>
    <x v="169"/>
    <n v="160395"/>
    <n v="1155479201809.6499"/>
    <s v="(NULL)"/>
  </r>
  <r>
    <x v="1"/>
    <x v="169"/>
    <n v="45"/>
    <n v="377180050.56"/>
    <s v="(NULL)"/>
  </r>
  <r>
    <x v="0"/>
    <x v="170"/>
    <n v="160920"/>
    <n v="1162237411975.8501"/>
    <s v="(NULL)"/>
  </r>
  <r>
    <x v="1"/>
    <x v="170"/>
    <n v="64"/>
    <n v="621719851.95000005"/>
    <s v="(NULL)"/>
  </r>
  <r>
    <x v="0"/>
    <x v="171"/>
    <n v="161444"/>
    <n v="1169648700447.6899"/>
    <n v="0.40037421933428402"/>
  </r>
  <r>
    <x v="1"/>
    <x v="171"/>
    <n v="67"/>
    <n v="763960929.25999999"/>
    <s v="(NULL)"/>
  </r>
  <r>
    <x v="1"/>
    <x v="172"/>
    <n v="70"/>
    <n v="816348629.33000004"/>
    <s v="(NULL)"/>
  </r>
  <r>
    <x v="0"/>
    <x v="172"/>
    <n v="161942"/>
    <n v="1177642747130.49"/>
    <n v="1.13059150232218"/>
  </r>
  <r>
    <x v="1"/>
    <x v="173"/>
    <n v="77"/>
    <n v="962156457.99000001"/>
    <n v="13.271813752019799"/>
  </r>
  <r>
    <x v="0"/>
    <x v="173"/>
    <n v="162223"/>
    <n v="1179818682767.8101"/>
    <n v="1.53277524862959"/>
  </r>
  <r>
    <x v="1"/>
    <x v="174"/>
    <n v="81"/>
    <n v="1017133767.9"/>
    <n v="17.801823180901099"/>
  </r>
  <r>
    <x v="0"/>
    <x v="174"/>
    <n v="162431"/>
    <n v="1183521139367"/>
    <n v="2.19731707429596"/>
  </r>
  <r>
    <x v="0"/>
    <x v="175"/>
    <n v="162775"/>
    <n v="1188990414254.24"/>
    <n v="2.8001472818733699"/>
  </r>
  <r>
    <x v="1"/>
    <x v="175"/>
    <n v="85"/>
    <n v="1108598255.4400001"/>
    <n v="24.7906554728362"/>
  </r>
  <r>
    <x v="1"/>
    <x v="176"/>
    <n v="91"/>
    <n v="1144655203.8699999"/>
    <n v="28.079956062117699"/>
  </r>
  <r>
    <x v="0"/>
    <x v="176"/>
    <n v="162938"/>
    <n v="1191848545477.6299"/>
    <n v="3.2952274773194499"/>
  </r>
  <r>
    <x v="1"/>
    <x v="177"/>
    <n v="96"/>
    <n v="1143216587.29"/>
    <n v="29.455160760674399"/>
  </r>
  <r>
    <x v="0"/>
    <x v="177"/>
    <n v="163109"/>
    <n v="1197686583453.0601"/>
    <n v="4.5266925355715601"/>
  </r>
  <r>
    <x v="1"/>
    <x v="178"/>
    <n v="98"/>
    <n v="1120084797.3399999"/>
    <n v="29.947776169182902"/>
  </r>
  <r>
    <x v="0"/>
    <x v="178"/>
    <n v="163376"/>
    <n v="1214626480567.3601"/>
    <n v="6.2479975004601798"/>
  </r>
  <r>
    <x v="0"/>
    <x v="179"/>
    <n v="163443"/>
    <n v="1227123431334.01"/>
    <n v="7.5545895815234498"/>
  </r>
  <r>
    <x v="1"/>
    <x v="179"/>
    <n v="98"/>
    <n v="1078894527.97"/>
    <n v="29.649493242250799"/>
  </r>
  <r>
    <x v="0"/>
    <x v="180"/>
    <n v="163569"/>
    <n v="1234260438018.73"/>
    <n v="8.7598133782788494"/>
  </r>
  <r>
    <x v="1"/>
    <x v="180"/>
    <n v="97"/>
    <n v="1032952441.29"/>
    <n v="29.7621632047581"/>
  </r>
  <r>
    <x v="0"/>
    <x v="181"/>
    <n v="163728"/>
    <n v="1252730272086.4099"/>
    <n v="10.2294683396066"/>
  </r>
  <r>
    <x v="1"/>
    <x v="181"/>
    <n v="97"/>
    <n v="993378509.11000001"/>
    <n v="29.8424095202312"/>
  </r>
  <r>
    <x v="0"/>
    <x v="182"/>
    <n v="163836"/>
    <n v="1257643264164.9099"/>
    <n v="11.2299950838371"/>
  </r>
  <r>
    <x v="1"/>
    <x v="182"/>
    <n v="96"/>
    <n v="946099456.75999999"/>
    <n v="30.265367636618599"/>
  </r>
  <r>
    <x v="0"/>
    <x v="183"/>
    <n v="163936"/>
    <n v="1270454083140.21"/>
    <n v="12.2642021843736"/>
  </r>
  <r>
    <x v="1"/>
    <x v="183"/>
    <n v="95"/>
    <n v="886300040.11000001"/>
    <n v="30.3118975927887"/>
  </r>
  <r>
    <x v="0"/>
    <x v="184"/>
    <n v="164180"/>
    <n v="1279191968274.55"/>
    <n v="12.923367946019701"/>
  </r>
  <r>
    <x v="1"/>
    <x v="184"/>
    <n v="95"/>
    <n v="853173864.62"/>
    <n v="30.250572911766"/>
  </r>
  <r>
    <x v="0"/>
    <x v="185"/>
    <n v="164194"/>
    <n v="1284380337007.78"/>
    <n v="13.470446044098701"/>
  </r>
  <r>
    <x v="1"/>
    <x v="185"/>
    <n v="95"/>
    <n v="819680231.34000003"/>
    <n v="30.016468619386401"/>
  </r>
  <r>
    <x v="0"/>
    <x v="186"/>
    <n v="164264"/>
    <n v="1288288962785.8999"/>
    <n v="14.067922094805301"/>
  </r>
  <r>
    <x v="1"/>
    <x v="186"/>
    <n v="94"/>
    <n v="778771901.41999996"/>
    <n v="30.611740962472201"/>
  </r>
  <r>
    <x v="0"/>
    <x v="187"/>
    <n v="164394"/>
    <n v="1297203353258.1899"/>
    <n v="14.802418374900901"/>
  </r>
  <r>
    <x v="1"/>
    <x v="187"/>
    <n v="94"/>
    <n v="730740246.76999998"/>
    <n v="30.899992134645199"/>
  </r>
  <r>
    <x v="2"/>
    <x v="187"/>
    <n v="26"/>
    <n v="140467044.28999999"/>
    <s v="(NULL)"/>
  </r>
  <r>
    <x v="0"/>
    <x v="188"/>
    <n v="164392"/>
    <n v="1297037709626.45"/>
    <n v="15.3794697143709"/>
  </r>
  <r>
    <x v="1"/>
    <x v="188"/>
    <n v="93"/>
    <n v="671519986.54999995"/>
    <n v="31.021664959343699"/>
  </r>
  <r>
    <x v="2"/>
    <x v="188"/>
    <n v="44"/>
    <n v="281456661.47000003"/>
    <n v="7.5751478459860602"/>
  </r>
  <r>
    <x v="0"/>
    <x v="189"/>
    <n v="164479"/>
    <n v="1301137589406.99"/>
    <n v="15.9096491065376"/>
  </r>
  <r>
    <x v="1"/>
    <x v="189"/>
    <n v="91"/>
    <n v="636390695.32000005"/>
    <n v="30.531803626268601"/>
  </r>
  <r>
    <x v="2"/>
    <x v="189"/>
    <n v="70"/>
    <n v="451475286.89999998"/>
    <n v="7.0988023486919598"/>
  </r>
  <r>
    <x v="0"/>
    <x v="190"/>
    <n v="163886"/>
    <n v="1262938911927.99"/>
    <n v="17.041077102451101"/>
  </r>
  <r>
    <x v="1"/>
    <x v="190"/>
    <n v="91"/>
    <n v="595742034.61000001"/>
    <n v="31.308401552845201"/>
  </r>
  <r>
    <x v="2"/>
    <x v="190"/>
    <n v="91"/>
    <n v="640592685.88999999"/>
    <n v="6.2931571262678201"/>
  </r>
  <r>
    <x v="0"/>
    <x v="191"/>
    <n v="163874"/>
    <n v="1257357437789.02"/>
    <n v="17.5303300081789"/>
  </r>
  <r>
    <x v="1"/>
    <x v="191"/>
    <n v="89"/>
    <n v="561587271.51999998"/>
    <n v="31.922203189771999"/>
  </r>
  <r>
    <x v="2"/>
    <x v="191"/>
    <n v="116"/>
    <n v="873082912.89999998"/>
    <n v="5.8069931331198701"/>
  </r>
  <r>
    <x v="0"/>
    <x v="192"/>
    <n v="163779"/>
    <n v="1253270914369.1101"/>
    <n v="18.003033973874299"/>
  </r>
  <r>
    <x v="1"/>
    <x v="192"/>
    <n v="88"/>
    <n v="531420686.00999999"/>
    <n v="32.484989447894797"/>
  </r>
  <r>
    <x v="2"/>
    <x v="192"/>
    <n v="138"/>
    <n v="1088381162.51"/>
    <n v="5.1556255904572801"/>
  </r>
  <r>
    <x v="0"/>
    <x v="193"/>
    <n v="163766"/>
    <n v="1254208414913.27"/>
    <n v="18.499878151031901"/>
  </r>
  <r>
    <x v="1"/>
    <x v="193"/>
    <n v="88"/>
    <n v="501401912.05000001"/>
    <n v="33.272267378383802"/>
  </r>
  <r>
    <x v="2"/>
    <x v="193"/>
    <n v="164"/>
    <n v="1322702870.9300001"/>
    <n v="4.8496058820705201"/>
  </r>
  <r>
    <x v="0"/>
    <x v="194"/>
    <n v="163753"/>
    <n v="1251134507397.9399"/>
    <n v="18.9978982864417"/>
  </r>
  <r>
    <x v="1"/>
    <x v="194"/>
    <n v="87"/>
    <n v="476695460.79000002"/>
    <n v="33.793356433245698"/>
  </r>
  <r>
    <x v="2"/>
    <x v="194"/>
    <n v="188"/>
    <n v="1562566788.21"/>
    <n v="4.5492171678927704"/>
  </r>
  <r>
    <x v="0"/>
    <x v="195"/>
    <n v="163755"/>
    <n v="1244762156873.8799"/>
    <n v="19.3792307567075"/>
  </r>
  <r>
    <x v="1"/>
    <x v="195"/>
    <n v="86"/>
    <n v="436910763.93000001"/>
    <n v="34.618002347334297"/>
  </r>
  <r>
    <x v="2"/>
    <x v="195"/>
    <n v="209"/>
    <n v="1800028459.5"/>
    <n v="4.2894150160009703"/>
  </r>
  <r>
    <x v="0"/>
    <x v="196"/>
    <n v="163816"/>
    <n v="1235982569471.3701"/>
    <n v="19.7688704867948"/>
  </r>
  <r>
    <x v="1"/>
    <x v="196"/>
    <n v="86"/>
    <n v="406964949.51999998"/>
    <n v="34.169942341310602"/>
  </r>
  <r>
    <x v="2"/>
    <x v="196"/>
    <n v="241"/>
    <n v="2289490119.9400001"/>
    <n v="3.7250677112585602"/>
  </r>
  <r>
    <x v="0"/>
    <x v="197"/>
    <n v="163859"/>
    <n v="1222216237246.51"/>
    <n v="20.092214129488401"/>
  </r>
  <r>
    <x v="1"/>
    <x v="197"/>
    <n v="84"/>
    <n v="376322526.51999998"/>
    <n v="35.085105659710997"/>
  </r>
  <r>
    <x v="2"/>
    <x v="197"/>
    <n v="276"/>
    <n v="2545033047.27"/>
    <n v="3.8206508671880601"/>
  </r>
  <r>
    <x v="0"/>
    <x v="198"/>
    <n v="164017"/>
    <n v="1208603766164.51"/>
    <n v="20.589200277121599"/>
  </r>
  <r>
    <x v="1"/>
    <x v="198"/>
    <n v="83"/>
    <n v="351522994.73000002"/>
    <n v="35.864104862182899"/>
  </r>
  <r>
    <x v="2"/>
    <x v="198"/>
    <n v="306"/>
    <n v="3126217292.7199998"/>
    <n v="4.0176954020231097"/>
  </r>
  <r>
    <x v="0"/>
    <x v="199"/>
    <n v="164228"/>
    <n v="1194423645357.02"/>
    <n v="21.007458205416"/>
  </r>
  <r>
    <x v="1"/>
    <x v="199"/>
    <n v="103"/>
    <n v="929665401.02999997"/>
    <n v="56.599727020622097"/>
  </r>
  <r>
    <x v="2"/>
    <x v="199"/>
    <n v="342"/>
    <n v="3903977995.2800002"/>
    <n v="3.5537237151580099"/>
  </r>
  <r>
    <x v="0"/>
    <x v="200"/>
    <n v="164247"/>
    <n v="1182814575891.2"/>
    <n v="21.5588018230976"/>
  </r>
  <r>
    <x v="1"/>
    <x v="200"/>
    <n v="118"/>
    <n v="1352151537.6500001"/>
    <n v="58.292459818125799"/>
  </r>
  <r>
    <x v="2"/>
    <x v="200"/>
    <n v="383"/>
    <n v="4392867761.4399996"/>
    <n v="3.4108003873814399"/>
  </r>
  <r>
    <x v="0"/>
    <x v="201"/>
    <n v="164474"/>
    <n v="1179826829308.1899"/>
    <n v="22.250082421805399"/>
  </r>
  <r>
    <x v="1"/>
    <x v="201"/>
    <n v="150"/>
    <n v="2662811185.9000001"/>
    <n v="57.055349130093603"/>
  </r>
  <r>
    <x v="2"/>
    <x v="201"/>
    <n v="430"/>
    <n v="5236503457.5500002"/>
    <n v="2.9737932777766898"/>
  </r>
  <r>
    <x v="0"/>
    <x v="202"/>
    <n v="164558"/>
    <n v="1171068568311.46"/>
    <n v="22.646556622387401"/>
  </r>
  <r>
    <x v="1"/>
    <x v="202"/>
    <n v="171"/>
    <n v="3016647647.4899998"/>
    <n v="55.837447825774703"/>
  </r>
  <r>
    <x v="2"/>
    <x v="202"/>
    <n v="478"/>
    <n v="6136502654.7399998"/>
    <n v="2.9758443619735502"/>
  </r>
  <r>
    <x v="0"/>
    <x v="203"/>
    <n v="164675"/>
    <n v="1165480717909.74"/>
    <n v="23.003293281185801"/>
  </r>
  <r>
    <x v="1"/>
    <x v="203"/>
    <n v="202"/>
    <n v="3576642912.5300002"/>
    <n v="56.005022084760299"/>
  </r>
  <r>
    <x v="2"/>
    <x v="203"/>
    <n v="523"/>
    <n v="6826056441.3299999"/>
    <n v="2.8691804523020701"/>
  </r>
  <r>
    <x v="0"/>
    <x v="204"/>
    <n v="164807"/>
    <n v="1160574203603.98"/>
    <n v="23.360695772950201"/>
  </r>
  <r>
    <x v="1"/>
    <x v="204"/>
    <n v="231"/>
    <n v="4235834937.54"/>
    <n v="54.731959039383597"/>
  </r>
  <r>
    <x v="2"/>
    <x v="204"/>
    <n v="560"/>
    <n v="7337956247.75"/>
    <n v="2.5274160206283098"/>
  </r>
  <r>
    <x v="0"/>
    <x v="205"/>
    <n v="164963"/>
    <n v="1157445015074.0801"/>
    <n v="23.763676273901901"/>
  </r>
  <r>
    <x v="1"/>
    <x v="205"/>
    <n v="269"/>
    <n v="5049498835.8699999"/>
    <n v="55.076928194725397"/>
  </r>
  <r>
    <x v="2"/>
    <x v="205"/>
    <n v="593"/>
    <n v="7947724964.54"/>
    <n v="2.5346904686353402"/>
  </r>
  <r>
    <x v="0"/>
    <x v="206"/>
    <n v="165116"/>
    <n v="1150165536380.5701"/>
    <n v="24.065331755532899"/>
  </r>
  <r>
    <x v="1"/>
    <x v="206"/>
    <n v="308"/>
    <n v="5555396980.3400002"/>
    <n v="56.549907569808099"/>
  </r>
  <r>
    <x v="2"/>
    <x v="206"/>
    <n v="626"/>
    <n v="8459759606.9799995"/>
    <n v="2.6372220630216199"/>
  </r>
  <r>
    <x v="0"/>
    <x v="207"/>
    <n v="165297"/>
    <n v="1145704754479.45"/>
    <n v="24.502639223388201"/>
  </r>
  <r>
    <x v="1"/>
    <x v="207"/>
    <n v="347"/>
    <n v="6013908013.3299999"/>
    <n v="57.958646719348103"/>
  </r>
  <r>
    <x v="2"/>
    <x v="207"/>
    <n v="659"/>
    <n v="9001686735.1800003"/>
    <n v="2.5734195524271"/>
  </r>
  <r>
    <x v="0"/>
    <x v="208"/>
    <n v="165496"/>
    <n v="1139539896703.1399"/>
    <n v="24.9145303487809"/>
  </r>
  <r>
    <x v="1"/>
    <x v="208"/>
    <n v="375"/>
    <n v="6542546587.2600002"/>
    <n v="59.179239761227102"/>
  </r>
  <r>
    <x v="2"/>
    <x v="208"/>
    <n v="691"/>
    <n v="9553441938.6800003"/>
    <n v="2.55694212452351"/>
  </r>
  <r>
    <x v="0"/>
    <x v="209"/>
    <n v="165673"/>
    <n v="1128758317047.3601"/>
    <n v="25.222662959882602"/>
  </r>
  <r>
    <x v="1"/>
    <x v="209"/>
    <n v="420"/>
    <n v="7247325924.1400003"/>
    <n v="62.799709751777002"/>
  </r>
  <r>
    <x v="2"/>
    <x v="209"/>
    <n v="724"/>
    <n v="10014880248.950001"/>
    <n v="2.5191444844121902"/>
  </r>
  <r>
    <x v="0"/>
    <x v="210"/>
    <n v="165738"/>
    <n v="1112728336442.3301"/>
    <n v="25.4991922656105"/>
  </r>
  <r>
    <x v="1"/>
    <x v="210"/>
    <n v="454"/>
    <n v="7904105803.1999998"/>
    <n v="64.511858036630699"/>
  </r>
  <r>
    <x v="2"/>
    <x v="210"/>
    <n v="767"/>
    <n v="10531876819.25"/>
    <n v="2.3266918204071101"/>
  </r>
  <r>
    <x v="0"/>
    <x v="211"/>
    <n v="165766"/>
    <n v="1093080187579.58"/>
    <n v="25.673080292163899"/>
  </r>
  <r>
    <x v="1"/>
    <x v="211"/>
    <n v="477"/>
    <n v="8280081942.8999996"/>
    <n v="65.387027712652198"/>
  </r>
  <r>
    <x v="2"/>
    <x v="211"/>
    <n v="787"/>
    <n v="10704727601.450001"/>
    <n v="2.34208967565871"/>
  </r>
  <r>
    <x v="0"/>
    <x v="212"/>
    <n v="165773"/>
    <n v="1081410722063.79"/>
    <n v="25.9723034709289"/>
  </r>
  <r>
    <x v="1"/>
    <x v="212"/>
    <n v="506"/>
    <n v="9177240853.75"/>
    <n v="65.765436935757407"/>
  </r>
  <r>
    <x v="2"/>
    <x v="212"/>
    <n v="834"/>
    <n v="11647194164.32"/>
    <n v="2.48199192075626"/>
  </r>
  <r>
    <x v="0"/>
    <x v="213"/>
    <n v="165846"/>
    <n v="1078176456162.38"/>
    <n v="26.383854959035698"/>
  </r>
  <r>
    <x v="1"/>
    <x v="213"/>
    <n v="540"/>
    <n v="9860695193.4599991"/>
    <n v="66.390389264456203"/>
  </r>
  <r>
    <x v="2"/>
    <x v="213"/>
    <n v="875"/>
    <n v="12353958514.68"/>
    <n v="2.4437632025687499"/>
  </r>
  <r>
    <x v="0"/>
    <x v="214"/>
    <n v="166147"/>
    <n v="1067086710288.16"/>
    <n v="26.661342440716201"/>
  </r>
  <r>
    <x v="1"/>
    <x v="214"/>
    <n v="588"/>
    <n v="10790895341.790001"/>
    <n v="66.470004455685697"/>
  </r>
  <r>
    <x v="2"/>
    <x v="214"/>
    <n v="946"/>
    <n v="13940030057.889999"/>
    <n v="2.2616989896657"/>
  </r>
  <r>
    <x v="0"/>
    <x v="215"/>
    <n v="166315"/>
    <n v="1052985823369.1899"/>
    <n v="26.7705984301396"/>
  </r>
  <r>
    <x v="1"/>
    <x v="215"/>
    <n v="623"/>
    <n v="11097007614.959999"/>
    <n v="66.793624612895798"/>
  </r>
  <r>
    <x v="2"/>
    <x v="215"/>
    <n v="1017"/>
    <n v="15124010719.23"/>
    <n v="2.2716679672576601"/>
  </r>
  <r>
    <x v="0"/>
    <x v="216"/>
    <n v="166481"/>
    <n v="1037553728529.5699"/>
    <n v="26.951718772658499"/>
  </r>
  <r>
    <x v="1"/>
    <x v="216"/>
    <n v="657"/>
    <n v="11616731956.02"/>
    <n v="66.845222335737901"/>
  </r>
  <r>
    <x v="2"/>
    <x v="216"/>
    <n v="1083"/>
    <n v="16232317795.49"/>
    <n v="2.3818149900967902"/>
  </r>
  <r>
    <x v="0"/>
    <x v="217"/>
    <n v="166552"/>
    <n v="1030696048023.48"/>
    <n v="27.535777698287699"/>
  </r>
  <r>
    <x v="1"/>
    <x v="217"/>
    <n v="691"/>
    <n v="12319469687.950001"/>
    <n v="66.624914933123904"/>
  </r>
  <r>
    <x v="2"/>
    <x v="217"/>
    <n v="1172"/>
    <n v="18410677468.970001"/>
    <n v="2.9464447400539902"/>
  </r>
  <r>
    <x v="3"/>
    <x v="217"/>
    <n v="127"/>
    <n v="6599126495.5600004"/>
    <n v="1.3093921486890501"/>
  </r>
  <r>
    <x v="0"/>
    <x v="218"/>
    <n v="166715"/>
    <n v="1017753718361.05"/>
    <n v="27.775754508834599"/>
  </r>
  <r>
    <x v="1"/>
    <x v="218"/>
    <n v="712"/>
    <n v="12593084313.99"/>
    <n v="67.152674933151005"/>
  </r>
  <r>
    <x v="2"/>
    <x v="218"/>
    <n v="1275"/>
    <n v="20102928824.52"/>
    <n v="3.39988523283031"/>
  </r>
  <r>
    <x v="3"/>
    <x v="218"/>
    <n v="218"/>
    <n v="8799458195.2600002"/>
    <n v="2.1179819024251199"/>
  </r>
  <r>
    <x v="0"/>
    <x v="219"/>
    <n v="166950"/>
    <n v="1009008459381.01"/>
    <n v="28.089733458886801"/>
  </r>
  <r>
    <x v="1"/>
    <x v="219"/>
    <n v="739"/>
    <n v="12913045386.299999"/>
    <n v="67.100420711202801"/>
  </r>
  <r>
    <x v="2"/>
    <x v="219"/>
    <n v="1363"/>
    <n v="21601411805.599998"/>
    <n v="3.6985790837783998"/>
  </r>
  <r>
    <x v="3"/>
    <x v="219"/>
    <n v="315"/>
    <n v="10777885227.879999"/>
    <n v="2.6978660979098401"/>
  </r>
  <r>
    <x v="0"/>
    <x v="220"/>
    <n v="167134"/>
    <n v="993395215390.30005"/>
    <n v="28.307327246342101"/>
  </r>
  <r>
    <x v="1"/>
    <x v="220"/>
    <n v="773"/>
    <n v="13621608844.34"/>
    <n v="68.695845825531904"/>
  </r>
  <r>
    <x v="2"/>
    <x v="220"/>
    <n v="1462"/>
    <n v="23066669892.529999"/>
    <n v="3.8994784843656598"/>
  </r>
  <r>
    <x v="3"/>
    <x v="220"/>
    <n v="415"/>
    <n v="12488997687"/>
    <n v="3.0863533658912599"/>
  </r>
  <r>
    <x v="0"/>
    <x v="221"/>
    <n v="167513"/>
    <n v="988480773477.10999"/>
    <n v="28.894908824380099"/>
  </r>
  <r>
    <x v="1"/>
    <x v="221"/>
    <n v="804"/>
    <n v="14812827435.530001"/>
    <n v="68.779355547754406"/>
  </r>
  <r>
    <x v="2"/>
    <x v="221"/>
    <n v="1557"/>
    <n v="24335750350.360001"/>
    <n v="4.3672089918967698"/>
  </r>
  <r>
    <x v="3"/>
    <x v="221"/>
    <n v="509"/>
    <n v="13991619224.620001"/>
    <n v="3.9075069445871602"/>
  </r>
  <r>
    <x v="0"/>
    <x v="222"/>
    <n v="168029"/>
    <n v="987833006284.93005"/>
    <n v="29.593153524885299"/>
  </r>
  <r>
    <x v="1"/>
    <x v="222"/>
    <n v="842"/>
    <n v="16035308040.73"/>
    <n v="69.323984540539797"/>
  </r>
  <r>
    <x v="2"/>
    <x v="222"/>
    <n v="1683"/>
    <n v="26041761003.119999"/>
    <n v="4.5778300262121601"/>
  </r>
  <r>
    <x v="3"/>
    <x v="222"/>
    <n v="623"/>
    <n v="15791782055.450001"/>
    <n v="4.0585839250179596"/>
  </r>
  <r>
    <x v="0"/>
    <x v="223"/>
    <n v="167997"/>
    <n v="972565007892.05005"/>
    <n v="29.653140507341899"/>
  </r>
  <r>
    <x v="1"/>
    <x v="223"/>
    <n v="864"/>
    <n v="15909947419.549999"/>
    <n v="69.219301982433507"/>
  </r>
  <r>
    <x v="2"/>
    <x v="223"/>
    <n v="1772"/>
    <n v="26882479097.080002"/>
    <n v="4.8975871161776299"/>
  </r>
  <r>
    <x v="3"/>
    <x v="223"/>
    <n v="707"/>
    <n v="16754712174.48"/>
    <n v="4.6387874964431299"/>
  </r>
  <r>
    <x v="0"/>
    <x v="224"/>
    <n v="168243"/>
    <n v="964648010655.91003"/>
    <n v="29.967678844452301"/>
  </r>
  <r>
    <x v="1"/>
    <x v="224"/>
    <n v="887"/>
    <n v="16552519980.950001"/>
    <n v="69.874463024203394"/>
  </r>
  <r>
    <x v="2"/>
    <x v="224"/>
    <n v="1884"/>
    <n v="28077568751.43"/>
    <n v="5.1768786032697598"/>
  </r>
  <r>
    <x v="3"/>
    <x v="224"/>
    <n v="803"/>
    <n v="17947136377.009998"/>
    <n v="4.8698616391199696"/>
  </r>
  <r>
    <x v="0"/>
    <x v="225"/>
    <n v="168444"/>
    <n v="958178399344.89001"/>
    <n v="30.393236665582101"/>
  </r>
  <r>
    <x v="1"/>
    <x v="225"/>
    <n v="912"/>
    <n v="16936331787.6"/>
    <n v="71.104704945245004"/>
  </r>
  <r>
    <x v="2"/>
    <x v="225"/>
    <n v="2008"/>
    <n v="29255937245.25"/>
    <n v="5.4218152047250596"/>
  </r>
  <r>
    <x v="3"/>
    <x v="225"/>
    <n v="924"/>
    <n v="19179632548.990002"/>
    <n v="5.0628868942146097"/>
  </r>
  <r>
    <x v="0"/>
    <x v="226"/>
    <n v="168554"/>
    <n v="958767138252.81006"/>
    <n v="31.104916887450901"/>
  </r>
  <r>
    <x v="1"/>
    <x v="226"/>
    <n v="934"/>
    <n v="17827951977.950001"/>
    <n v="71.339078508792298"/>
  </r>
  <r>
    <x v="2"/>
    <x v="226"/>
    <n v="2143"/>
    <n v="30765495579.349998"/>
    <n v="5.6402821746135796"/>
  </r>
  <r>
    <x v="3"/>
    <x v="226"/>
    <n v="1042"/>
    <n v="20590650800.080002"/>
    <n v="5.1842224037328704"/>
  </r>
  <r>
    <x v="0"/>
    <x v="227"/>
    <n v="168497"/>
    <n v="956989567273.20996"/>
    <n v="31.6850507105211"/>
  </r>
  <r>
    <x v="1"/>
    <x v="227"/>
    <n v="954"/>
    <n v="17960790708.68"/>
    <n v="71.694515843892404"/>
  </r>
  <r>
    <x v="2"/>
    <x v="227"/>
    <n v="2261"/>
    <n v="32051219221.419998"/>
    <n v="5.8550230161372596"/>
  </r>
  <r>
    <x v="3"/>
    <x v="227"/>
    <n v="1149"/>
    <n v="21763931987.459999"/>
    <n v="5.3005453233209199"/>
  </r>
  <r>
    <x v="0"/>
    <x v="228"/>
    <n v="168650"/>
    <n v="951379532622"/>
    <n v="32.132718972412597"/>
  </r>
  <r>
    <x v="1"/>
    <x v="228"/>
    <n v="976"/>
    <n v="18268825613.709999"/>
    <n v="72.021834861360503"/>
  </r>
  <r>
    <x v="2"/>
    <x v="228"/>
    <n v="2381"/>
    <n v="33234605901.299999"/>
    <n v="6.1672481439766802"/>
  </r>
  <r>
    <x v="3"/>
    <x v="228"/>
    <n v="1253"/>
    <n v="22743332810.720001"/>
    <n v="5.5666356886146398"/>
  </r>
  <r>
    <x v="0"/>
    <x v="229"/>
    <n v="168793"/>
    <n v="951112315863.43994"/>
    <n v="32.6313064821125"/>
  </r>
  <r>
    <x v="1"/>
    <x v="229"/>
    <n v="998"/>
    <n v="18453239115.400002"/>
    <n v="72.313847026954207"/>
  </r>
  <r>
    <x v="2"/>
    <x v="229"/>
    <n v="2498"/>
    <n v="34235158583.599998"/>
    <n v="6.4688006523015602"/>
  </r>
  <r>
    <x v="3"/>
    <x v="229"/>
    <n v="1350"/>
    <n v="23549228231.41"/>
    <n v="5.8090680962179198"/>
  </r>
  <r>
    <x v="0"/>
    <x v="230"/>
    <n v="168702"/>
    <n v="948978277212.25"/>
    <n v="33.085451549265102"/>
  </r>
  <r>
    <x v="1"/>
    <x v="230"/>
    <n v="1021"/>
    <n v="18743874307.419998"/>
    <n v="72.4858385500998"/>
  </r>
  <r>
    <x v="2"/>
    <x v="230"/>
    <n v="2594"/>
    <n v="34899645243.050003"/>
    <n v="6.6414526510665697"/>
  </r>
  <r>
    <x v="3"/>
    <x v="230"/>
    <n v="1432"/>
    <n v="24174777291.66"/>
    <n v="5.9359078455080798"/>
  </r>
  <r>
    <x v="0"/>
    <x v="231"/>
    <n v="168665"/>
    <n v="948811579876.78003"/>
    <n v="33.579733416475896"/>
  </r>
  <r>
    <x v="1"/>
    <x v="231"/>
    <n v="1045"/>
    <n v="19092526206.200001"/>
    <n v="72.490352622174299"/>
  </r>
  <r>
    <x v="2"/>
    <x v="231"/>
    <n v="2695"/>
    <n v="35367128013.260002"/>
    <n v="6.8372427314518402"/>
  </r>
  <r>
    <x v="3"/>
    <x v="231"/>
    <n v="1517"/>
    <n v="24578473067.509998"/>
    <n v="5.9994260373768604"/>
  </r>
  <r>
    <x v="0"/>
    <x v="232"/>
    <n v="168535"/>
    <n v="946698650327.43005"/>
    <n v="33.961568142548103"/>
  </r>
  <r>
    <x v="1"/>
    <x v="232"/>
    <n v="1073"/>
    <n v="19336227803.259998"/>
    <n v="72.428975265752399"/>
  </r>
  <r>
    <x v="2"/>
    <x v="232"/>
    <n v="2780"/>
    <n v="35804756803.43"/>
    <n v="6.9565555361759399"/>
  </r>
  <r>
    <x v="3"/>
    <x v="232"/>
    <n v="1605"/>
    <n v="24975426851.080002"/>
    <n v="6.1200506543494697"/>
  </r>
  <r>
    <x v="0"/>
    <x v="233"/>
    <n v="168454"/>
    <n v="945526028023.66003"/>
    <n v="34.292584690314897"/>
  </r>
  <r>
    <x v="1"/>
    <x v="233"/>
    <n v="1088"/>
    <n v="19613126291.07"/>
    <n v="72.505870920990205"/>
  </r>
  <r>
    <x v="2"/>
    <x v="233"/>
    <n v="2875"/>
    <n v="36128097823.209999"/>
    <n v="7.0513665206483802"/>
  </r>
  <r>
    <x v="3"/>
    <x v="233"/>
    <n v="1688"/>
    <n v="25218431194.439999"/>
    <n v="6.1817950713766301"/>
  </r>
  <r>
    <x v="0"/>
    <x v="234"/>
    <n v="168526"/>
    <n v="947567336728.01001"/>
    <n v="34.655399653676703"/>
  </r>
  <r>
    <x v="1"/>
    <x v="234"/>
    <n v="1109"/>
    <n v="19868500672.32"/>
    <n v="72.095790202675502"/>
  </r>
  <r>
    <x v="2"/>
    <x v="234"/>
    <n v="2973"/>
    <n v="36388443717.019997"/>
    <n v="7.1154680412529601"/>
  </r>
  <r>
    <x v="3"/>
    <x v="234"/>
    <n v="1747"/>
    <n v="25372731243.630001"/>
    <n v="6.20710547512315"/>
  </r>
  <r>
    <x v="0"/>
    <x v="235"/>
    <n v="168522"/>
    <n v="950558420406.93994"/>
    <n v="35.060713501856902"/>
  </r>
  <r>
    <x v="1"/>
    <x v="235"/>
    <n v="1122"/>
    <n v="20235778716.240002"/>
    <n v="71.559005548547901"/>
  </r>
  <r>
    <x v="2"/>
    <x v="235"/>
    <n v="3038"/>
    <n v="36429713513.779999"/>
    <n v="7.19308267744732"/>
  </r>
  <r>
    <x v="3"/>
    <x v="235"/>
    <n v="1805"/>
    <n v="25476399173.720001"/>
    <n v="6.2716421576123897"/>
  </r>
  <r>
    <x v="0"/>
    <x v="236"/>
    <n v="168389"/>
    <n v="951961756683.73999"/>
    <n v="35.301855542281601"/>
  </r>
  <r>
    <x v="1"/>
    <x v="236"/>
    <n v="1130"/>
    <n v="20424379265.459999"/>
    <n v="71.277256027452793"/>
  </r>
  <r>
    <x v="2"/>
    <x v="236"/>
    <n v="3094"/>
    <n v="36534296456.949997"/>
    <n v="7.2871189264989704"/>
  </r>
  <r>
    <x v="3"/>
    <x v="236"/>
    <n v="1854"/>
    <n v="25558725588.619999"/>
    <n v="6.3295104802927202"/>
  </r>
  <r>
    <x v="0"/>
    <x v="237"/>
    <n v="168241"/>
    <n v="954383832976.22998"/>
    <n v="35.612000107581103"/>
  </r>
  <r>
    <x v="1"/>
    <x v="237"/>
    <n v="1144"/>
    <n v="20512776387.459999"/>
    <n v="71.070872758799695"/>
  </r>
  <r>
    <x v="2"/>
    <x v="237"/>
    <n v="3164"/>
    <n v="36655105321.75"/>
    <n v="7.3455465500015604"/>
  </r>
  <r>
    <x v="3"/>
    <x v="237"/>
    <n v="1900"/>
    <n v="25637606597.049999"/>
    <n v="6.4088940108127099"/>
  </r>
  <r>
    <x v="0"/>
    <x v="238"/>
    <n v="168138"/>
    <n v="954656179373.09998"/>
    <n v="35.830227218025797"/>
  </r>
  <r>
    <x v="1"/>
    <x v="238"/>
    <n v="1155"/>
    <n v="20701049462.849998"/>
    <n v="70.784165426922002"/>
  </r>
  <r>
    <x v="2"/>
    <x v="238"/>
    <n v="3214"/>
    <n v="36681497623.199997"/>
    <n v="7.4489578932762601"/>
  </r>
  <r>
    <x v="3"/>
    <x v="238"/>
    <n v="1945"/>
    <n v="25659837687.27"/>
    <n v="6.46161560781613"/>
  </r>
  <r>
    <x v="0"/>
    <x v="239"/>
    <n v="168113"/>
    <n v="956139225086.04004"/>
    <n v="36.0759103250588"/>
  </r>
  <r>
    <x v="1"/>
    <x v="239"/>
    <n v="1161"/>
    <n v="20937825815.509998"/>
    <n v="70.535479048445694"/>
  </r>
  <r>
    <x v="2"/>
    <x v="239"/>
    <n v="3259"/>
    <n v="36636435212.349998"/>
    <n v="7.4891955913429502"/>
  </r>
  <r>
    <x v="3"/>
    <x v="239"/>
    <n v="1977"/>
    <n v="25645418956.459999"/>
    <n v="6.4702446275308203"/>
  </r>
  <r>
    <x v="0"/>
    <x v="240"/>
    <n v="168001"/>
    <n v="957828328319.79004"/>
    <n v="36.331329887416203"/>
  </r>
  <r>
    <x v="1"/>
    <x v="240"/>
    <n v="1165"/>
    <n v="21143780863.959999"/>
    <n v="70.258324533620097"/>
  </r>
  <r>
    <x v="2"/>
    <x v="240"/>
    <n v="3302"/>
    <n v="36550076567.910004"/>
    <n v="7.5482360711279002"/>
  </r>
  <r>
    <x v="3"/>
    <x v="240"/>
    <n v="2006"/>
    <n v="25616594460.360001"/>
    <n v="6.5159204881847099"/>
  </r>
  <r>
    <x v="0"/>
    <x v="241"/>
    <n v="167932"/>
    <n v="961134113453.43994"/>
    <n v="36.603115750839102"/>
  </r>
  <r>
    <x v="1"/>
    <x v="241"/>
    <n v="1168"/>
    <n v="21346094720.060001"/>
    <n v="70.017838202587697"/>
  </r>
  <r>
    <x v="2"/>
    <x v="241"/>
    <n v="3342"/>
    <n v="36429625540.220001"/>
    <n v="7.57266470563314"/>
  </r>
  <r>
    <x v="3"/>
    <x v="241"/>
    <n v="2033"/>
    <n v="25567285813.18"/>
    <n v="6.5357512862260796"/>
  </r>
  <r>
    <x v="0"/>
    <x v="242"/>
    <n v="167848"/>
    <n v="963933164722.85999"/>
    <n v="36.900223699642602"/>
  </r>
  <r>
    <x v="1"/>
    <x v="242"/>
    <n v="1172"/>
    <n v="21598307257.459999"/>
    <n v="69.780613029182604"/>
  </r>
  <r>
    <x v="2"/>
    <x v="242"/>
    <n v="3381"/>
    <n v="36252840693.470001"/>
    <n v="7.6125783634679598"/>
  </r>
  <r>
    <x v="3"/>
    <x v="242"/>
    <n v="2058"/>
    <n v="25497572102.110001"/>
    <n v="6.5592132301778401"/>
  </r>
  <r>
    <x v="0"/>
    <x v="243"/>
    <n v="167817"/>
    <n v="971985480145.08997"/>
    <n v="37.072380408015803"/>
  </r>
  <r>
    <x v="1"/>
    <x v="243"/>
    <n v="1181"/>
    <n v="21876660696.240002"/>
    <n v="69.352445294175297"/>
  </r>
  <r>
    <x v="2"/>
    <x v="243"/>
    <n v="3414"/>
    <n v="36064929252.449997"/>
    <n v="7.6596259164893601"/>
  </r>
  <r>
    <x v="3"/>
    <x v="243"/>
    <n v="2081"/>
    <n v="25426007923.25"/>
    <n v="6.5736268400114204"/>
  </r>
  <r>
    <x v="0"/>
    <x v="244"/>
    <n v="167776"/>
    <n v="977830257289.84998"/>
    <n v="37.346854855505697"/>
  </r>
  <r>
    <x v="1"/>
    <x v="244"/>
    <n v="1195"/>
    <n v="22145863654.419998"/>
    <n v="69.164249732026903"/>
  </r>
  <r>
    <x v="2"/>
    <x v="244"/>
    <n v="3450"/>
    <n v="35877576846.68"/>
    <n v="7.6956982489493297"/>
  </r>
  <r>
    <x v="3"/>
    <x v="244"/>
    <n v="2099"/>
    <n v="25334386957.700001"/>
    <n v="6.5821724707573601"/>
  </r>
  <r>
    <x v="0"/>
    <x v="245"/>
    <n v="167725"/>
    <n v="984220465218.06006"/>
    <n v="37.604928084510803"/>
  </r>
  <r>
    <x v="1"/>
    <x v="245"/>
    <n v="1204"/>
    <n v="22469954705.310001"/>
    <n v="69.108086019800396"/>
  </r>
  <r>
    <x v="2"/>
    <x v="245"/>
    <n v="3481"/>
    <n v="35684652551.809998"/>
    <n v="7.7279540619563498"/>
  </r>
  <r>
    <x v="3"/>
    <x v="245"/>
    <n v="2118"/>
    <n v="25256586100.18"/>
    <n v="6.5817951889563897"/>
  </r>
  <r>
    <x v="0"/>
    <x v="246"/>
    <n v="167748"/>
    <n v="988907164368.56995"/>
    <n v="37.847037204352901"/>
  </r>
  <r>
    <x v="1"/>
    <x v="246"/>
    <n v="1215"/>
    <n v="22783477587.259998"/>
    <n v="68.9923740754802"/>
  </r>
  <r>
    <x v="2"/>
    <x v="246"/>
    <n v="3515"/>
    <n v="35503193244.68"/>
    <n v="7.7653328649918096"/>
  </r>
  <r>
    <x v="3"/>
    <x v="246"/>
    <n v="2137"/>
    <n v="25157857048.23"/>
    <n v="6.6026371427775503"/>
  </r>
  <r>
    <x v="0"/>
    <x v="247"/>
    <n v="167726"/>
    <n v="991733333950.96997"/>
    <n v="37.958828940919602"/>
  </r>
  <r>
    <x v="1"/>
    <x v="247"/>
    <n v="1231"/>
    <n v="23102138271.23"/>
    <n v="68.784940414577306"/>
  </r>
  <r>
    <x v="2"/>
    <x v="247"/>
    <n v="3548"/>
    <n v="35322618934.839996"/>
    <n v="7.78145870082668"/>
  </r>
  <r>
    <x v="3"/>
    <x v="247"/>
    <n v="2158"/>
    <n v="25084444553.189999"/>
    <n v="6.6045174358884902"/>
  </r>
  <r>
    <x v="0"/>
    <x v="248"/>
    <n v="167645"/>
    <n v="993598228853.71997"/>
    <n v="38.1329623977295"/>
  </r>
  <r>
    <x v="1"/>
    <x v="248"/>
    <n v="1242"/>
    <n v="23306814326.459999"/>
    <n v="68.531897021471096"/>
  </r>
  <r>
    <x v="2"/>
    <x v="248"/>
    <n v="3575"/>
    <n v="35091353776.059998"/>
    <n v="7.8265464158801503"/>
  </r>
  <r>
    <x v="3"/>
    <x v="248"/>
    <n v="2177"/>
    <n v="24979796045.34"/>
    <n v="6.6111286110277403"/>
  </r>
  <r>
    <x v="0"/>
    <x v="249"/>
    <n v="167745"/>
    <n v="1002901485619.77"/>
    <n v="38.198023417596602"/>
  </r>
  <r>
    <x v="1"/>
    <x v="249"/>
    <n v="1254"/>
    <n v="23969868419.959999"/>
    <n v="67.479666645780199"/>
  </r>
  <r>
    <x v="2"/>
    <x v="249"/>
    <n v="3608"/>
    <n v="34926354082.489998"/>
    <n v="7.8430088085751803"/>
  </r>
  <r>
    <x v="3"/>
    <x v="249"/>
    <n v="2196"/>
    <n v="24896056870.400002"/>
    <n v="6.6137586113098603"/>
  </r>
  <r>
    <x v="0"/>
    <x v="250"/>
    <n v="167791"/>
    <n v="1003389102237.77"/>
    <n v="38.320643443171797"/>
  </r>
  <r>
    <x v="1"/>
    <x v="250"/>
    <n v="1268"/>
    <n v="24432622348.700001"/>
    <n v="67.138986958818094"/>
  </r>
  <r>
    <x v="2"/>
    <x v="250"/>
    <n v="3636"/>
    <n v="34721259988.510002"/>
    <n v="7.8633322372274304"/>
  </r>
  <r>
    <x v="3"/>
    <x v="250"/>
    <n v="2218"/>
    <n v="24790138675.59"/>
    <n v="6.6261937686048302"/>
  </r>
  <r>
    <x v="0"/>
    <x v="251"/>
    <n v="167754"/>
    <n v="1005967140686.14"/>
    <n v="38.410007138932599"/>
  </r>
  <r>
    <x v="1"/>
    <x v="251"/>
    <n v="1281"/>
    <n v="24516848923.099998"/>
    <n v="66.634769790780496"/>
  </r>
  <r>
    <x v="2"/>
    <x v="251"/>
    <n v="3670"/>
    <n v="34432613377.599998"/>
    <n v="7.88444420895447"/>
  </r>
  <r>
    <x v="3"/>
    <x v="251"/>
    <n v="2238"/>
    <n v="24665061611.119999"/>
    <n v="6.6287455794290899"/>
  </r>
  <r>
    <x v="0"/>
    <x v="252"/>
    <n v="167761"/>
    <n v="1011353959842.98"/>
    <n v="38.540293726756602"/>
  </r>
  <r>
    <x v="1"/>
    <x v="252"/>
    <n v="1295"/>
    <n v="25168406921.459999"/>
    <n v="65.892006221837505"/>
  </r>
  <r>
    <x v="2"/>
    <x v="252"/>
    <n v="3696"/>
    <n v="34121910893.049999"/>
    <n v="7.88461529982595"/>
  </r>
  <r>
    <x v="3"/>
    <x v="252"/>
    <n v="2253"/>
    <n v="24529470414.07"/>
    <n v="6.6441894699765296"/>
  </r>
  <r>
    <x v="0"/>
    <x v="253"/>
    <n v="167798"/>
    <n v="1019562376098.83"/>
    <n v="38.639714635483799"/>
  </r>
  <r>
    <x v="1"/>
    <x v="253"/>
    <n v="1310"/>
    <n v="25818891940.32"/>
    <n v="64.807701450607198"/>
  </r>
  <r>
    <x v="2"/>
    <x v="253"/>
    <n v="3719"/>
    <n v="33796473274.419998"/>
    <n v="7.88984314209433"/>
  </r>
  <r>
    <x v="3"/>
    <x v="253"/>
    <n v="2270"/>
    <n v="24378497038.580002"/>
    <n v="6.6233608304540903"/>
  </r>
  <r>
    <x v="0"/>
    <x v="254"/>
    <n v="167714"/>
    <n v="1026217511319.16"/>
    <n v="38.818369374535997"/>
  </r>
  <r>
    <x v="1"/>
    <x v="254"/>
    <n v="1325"/>
    <n v="26605889107.439999"/>
    <n v="64.400984503829307"/>
  </r>
  <r>
    <x v="2"/>
    <x v="254"/>
    <n v="3743"/>
    <n v="33433534762.73"/>
    <n v="7.9047717277962004"/>
  </r>
  <r>
    <x v="3"/>
    <x v="254"/>
    <n v="2283"/>
    <n v="24214652965.389999"/>
    <n v="6.6174191789274301"/>
  </r>
  <r>
    <x v="0"/>
    <x v="255"/>
    <n v="167792"/>
    <n v="1030442115796.87"/>
    <n v="38.978333762469802"/>
  </r>
  <r>
    <x v="1"/>
    <x v="255"/>
    <n v="1343"/>
    <n v="27200307893.240002"/>
    <n v="64.512075593712694"/>
  </r>
  <r>
    <x v="2"/>
    <x v="255"/>
    <n v="3765"/>
    <n v="33062256579.619999"/>
    <n v="7.9221132800994001"/>
  </r>
  <r>
    <x v="3"/>
    <x v="255"/>
    <n v="2300"/>
    <n v="24053767752.169998"/>
    <n v="6.6108535027787996"/>
  </r>
  <r>
    <x v="0"/>
    <x v="256"/>
    <n v="167839"/>
    <n v="1038047281338.8101"/>
    <n v="39.215656946433597"/>
  </r>
  <r>
    <x v="1"/>
    <x v="256"/>
    <n v="1349"/>
    <n v="27438877892.049999"/>
    <n v="64.187697841739904"/>
  </r>
  <r>
    <x v="2"/>
    <x v="256"/>
    <n v="3785"/>
    <n v="32745329977.57"/>
    <n v="7.9330981422420903"/>
  </r>
  <r>
    <x v="3"/>
    <x v="256"/>
    <n v="2317"/>
    <n v="23899278644.869999"/>
    <n v="6.5964607972577403"/>
  </r>
  <r>
    <x v="0"/>
    <x v="257"/>
    <n v="167892"/>
    <n v="1044720986839.0699"/>
    <n v="39.3520755091468"/>
  </r>
  <r>
    <x v="1"/>
    <x v="257"/>
    <n v="1359"/>
    <n v="27643915578"/>
    <n v="63.850570065920202"/>
  </r>
  <r>
    <x v="2"/>
    <x v="257"/>
    <n v="3805"/>
    <n v="32422189268.450001"/>
    <n v="7.9436126540629397"/>
  </r>
  <r>
    <x v="3"/>
    <x v="257"/>
    <n v="2330"/>
    <n v="23731834948.119999"/>
    <n v="6.6014852110770503"/>
  </r>
  <r>
    <x v="0"/>
    <x v="258"/>
    <n v="167821"/>
    <n v="1048282599235.3199"/>
    <n v="39.505816291523601"/>
  </r>
  <r>
    <x v="1"/>
    <x v="258"/>
    <n v="1370"/>
    <n v="27590487841.060001"/>
    <n v="63.786120467533699"/>
  </r>
  <r>
    <x v="2"/>
    <x v="258"/>
    <n v="3826"/>
    <n v="32128512653.16"/>
    <n v="7.9461813196343103"/>
  </r>
  <r>
    <x v="3"/>
    <x v="258"/>
    <n v="2346"/>
    <n v="23575272898.580002"/>
    <n v="6.6015617836651002"/>
  </r>
  <r>
    <x v="0"/>
    <x v="259"/>
    <n v="167786"/>
    <n v="1053135408462.49"/>
    <n v="39.655064582689398"/>
  </r>
  <r>
    <x v="1"/>
    <x v="259"/>
    <n v="1381"/>
    <n v="27568864683.950001"/>
    <n v="63.7314206882508"/>
  </r>
  <r>
    <x v="2"/>
    <x v="259"/>
    <n v="3844"/>
    <n v="31855645561.09"/>
    <n v="7.9596493519501399"/>
  </r>
  <r>
    <x v="3"/>
    <x v="259"/>
    <n v="2356"/>
    <n v="23422747348.59"/>
    <n v="6.6004661089559402"/>
  </r>
  <r>
    <x v="0"/>
    <x v="260"/>
    <n v="167674"/>
    <n v="1056501759559.97"/>
    <n v="39.711005092275201"/>
  </r>
  <r>
    <x v="1"/>
    <x v="260"/>
    <n v="1390"/>
    <n v="27574289474.23"/>
    <n v="63.589789940884202"/>
  </r>
  <r>
    <x v="2"/>
    <x v="260"/>
    <n v="3860"/>
    <n v="31546738579.189999"/>
    <n v="7.9709122929351004"/>
  </r>
  <r>
    <x v="3"/>
    <x v="260"/>
    <n v="2368"/>
    <n v="23264052426.27"/>
    <n v="6.6073653722588199"/>
  </r>
  <r>
    <x v="0"/>
    <x v="261"/>
    <n v="167654"/>
    <n v="1061253383982.33"/>
    <n v="39.832374855413903"/>
  </r>
  <r>
    <x v="1"/>
    <x v="261"/>
    <n v="1399"/>
    <n v="27584171144.939999"/>
    <n v="63.589486519970002"/>
  </r>
  <r>
    <x v="2"/>
    <x v="261"/>
    <n v="3880"/>
    <n v="31316354843.400002"/>
    <n v="7.9914214771733603"/>
  </r>
  <r>
    <x v="3"/>
    <x v="261"/>
    <n v="2380"/>
    <n v="23130415817.330002"/>
    <n v="6.6076268013864796"/>
  </r>
  <r>
    <x v="0"/>
    <x v="262"/>
    <n v="167751"/>
    <n v="1067579655967.17"/>
    <n v="39.924363335264403"/>
  </r>
  <r>
    <x v="1"/>
    <x v="262"/>
    <n v="1410"/>
    <n v="27476452096.830002"/>
    <n v="63.447440834401903"/>
  </r>
  <r>
    <x v="2"/>
    <x v="262"/>
    <n v="3899"/>
    <n v="31082070181.849998"/>
    <n v="8.0062257935376593"/>
  </r>
  <r>
    <x v="3"/>
    <x v="262"/>
    <n v="2389"/>
    <n v="22980966819.959999"/>
    <n v="6.60650730760306"/>
  </r>
  <r>
    <x v="0"/>
    <x v="263"/>
    <n v="167864"/>
    <n v="1070487060722.62"/>
    <n v="40.025254623885999"/>
  </r>
  <r>
    <x v="1"/>
    <x v="263"/>
    <n v="1421"/>
    <n v="27342767829.869999"/>
    <n v="63.4156761883063"/>
  </r>
  <r>
    <x v="2"/>
    <x v="263"/>
    <n v="3913"/>
    <n v="30768767902.790001"/>
    <n v="8.0198840433415395"/>
  </r>
  <r>
    <x v="3"/>
    <x v="263"/>
    <n v="2400"/>
    <n v="22785497201.860001"/>
    <n v="6.6009121539904303"/>
  </r>
  <r>
    <x v="0"/>
    <x v="264"/>
    <n v="167910"/>
    <n v="1077001935757.76"/>
    <n v="40.140372872434298"/>
  </r>
  <r>
    <x v="1"/>
    <x v="264"/>
    <n v="1438"/>
    <n v="27468235077.57"/>
    <n v="63.504983291217698"/>
  </r>
  <r>
    <x v="2"/>
    <x v="264"/>
    <n v="3929"/>
    <n v="30396299066.889999"/>
    <n v="8.0222268300754909"/>
  </r>
  <r>
    <x v="3"/>
    <x v="264"/>
    <n v="2409"/>
    <n v="22590823732.130001"/>
    <n v="6.5966274932975404"/>
  </r>
  <r>
    <x v="0"/>
    <x v="265"/>
    <n v="167921"/>
    <n v="1083261344979.64"/>
    <n v="40.220795228503803"/>
  </r>
  <r>
    <x v="1"/>
    <x v="265"/>
    <n v="1451"/>
    <n v="27606640319.299999"/>
    <n v="63.515127811740598"/>
  </r>
  <r>
    <x v="2"/>
    <x v="265"/>
    <n v="3942"/>
    <n v="30003341063.389999"/>
    <n v="8.0213645313227495"/>
  </r>
  <r>
    <x v="3"/>
    <x v="265"/>
    <n v="2418"/>
    <n v="22369714888.02"/>
    <n v="6.5794968508660396"/>
  </r>
  <r>
    <x v="3"/>
    <x v="266"/>
    <n v="2424"/>
    <n v="22125367840.490002"/>
    <n v="6.55373896860167"/>
  </r>
  <r>
    <x v="1"/>
    <x v="266"/>
    <n v="1457"/>
    <n v="27900162682.830002"/>
    <n v="63.627539001971002"/>
  </r>
  <r>
    <x v="2"/>
    <x v="266"/>
    <n v="3956"/>
    <n v="29549554388.610001"/>
    <n v="8.0366771540845203"/>
  </r>
  <r>
    <x v="0"/>
    <x v="266"/>
    <n v="168004"/>
    <n v="1092091052362.51"/>
    <n v="40.306679420853897"/>
  </r>
  <r>
    <x v="1"/>
    <x v="267"/>
    <n v="1466"/>
    <n v="27971451412.84"/>
    <n v="63.604151402603897"/>
  </r>
  <r>
    <x v="3"/>
    <x v="267"/>
    <n v="2433"/>
    <n v="21895878252.380001"/>
    <n v="6.5422483573360299"/>
  </r>
  <r>
    <x v="0"/>
    <x v="267"/>
    <n v="168203"/>
    <n v="1104025679684.96"/>
    <n v="40.400721206264201"/>
  </r>
  <r>
    <x v="2"/>
    <x v="267"/>
    <n v="3969"/>
    <n v="29142169991.91"/>
    <n v="8.04477969382698"/>
  </r>
  <r>
    <x v="0"/>
    <x v="268"/>
    <n v="168323"/>
    <n v="1112361826284.4299"/>
    <n v="40.515114373303298"/>
  </r>
  <r>
    <x v="1"/>
    <x v="268"/>
    <n v="1480"/>
    <n v="28869997063.16"/>
    <n v="63.841860413294199"/>
  </r>
  <r>
    <x v="3"/>
    <x v="268"/>
    <n v="2450"/>
    <n v="21624654083.630001"/>
    <n v="6.5256632656015201"/>
  </r>
  <r>
    <x v="2"/>
    <x v="268"/>
    <n v="4021"/>
    <n v="28689194494.099998"/>
    <n v="8.018132163814229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09">
  <r>
    <x v="0"/>
    <x v="0"/>
    <n v="126636"/>
    <n v="278490248452.07001"/>
    <s v="(NULL)"/>
  </r>
  <r>
    <x v="0"/>
    <x v="1"/>
    <n v="128266"/>
    <n v="282050828421.97998"/>
    <s v="(NULL)"/>
  </r>
  <r>
    <x v="0"/>
    <x v="2"/>
    <n v="129601"/>
    <n v="283874201256.09003"/>
    <s v="(NULL)"/>
  </r>
  <r>
    <x v="0"/>
    <x v="3"/>
    <n v="130768"/>
    <n v="284752896061.91998"/>
    <s v="(NULL)"/>
  </r>
  <r>
    <x v="0"/>
    <x v="4"/>
    <n v="131996"/>
    <n v="287122056681.57001"/>
    <s v="(NULL)"/>
  </r>
  <r>
    <x v="0"/>
    <x v="5"/>
    <n v="133140"/>
    <n v="288919754101.73999"/>
    <s v="(NULL)"/>
  </r>
  <r>
    <x v="0"/>
    <x v="6"/>
    <n v="134153"/>
    <n v="290640645437.90997"/>
    <s v="(NULL)"/>
  </r>
  <r>
    <x v="0"/>
    <x v="7"/>
    <n v="135077"/>
    <n v="292026246657.69"/>
    <s v="(NULL)"/>
  </r>
  <r>
    <x v="0"/>
    <x v="8"/>
    <n v="135888"/>
    <n v="293395992453.21002"/>
    <s v="(NULL)"/>
  </r>
  <r>
    <x v="0"/>
    <x v="9"/>
    <n v="136567"/>
    <n v="294791998506.56"/>
    <s v="(NULL)"/>
  </r>
  <r>
    <x v="0"/>
    <x v="10"/>
    <n v="137384"/>
    <n v="297022730158.53998"/>
    <s v="(NULL)"/>
  </r>
  <r>
    <x v="0"/>
    <x v="11"/>
    <n v="138175"/>
    <n v="299534791311.60999"/>
    <s v="(NULL)"/>
  </r>
  <r>
    <x v="0"/>
    <x v="12"/>
    <n v="138749"/>
    <n v="300578062603.90997"/>
    <n v="0.29175987115948299"/>
  </r>
  <r>
    <x v="0"/>
    <x v="13"/>
    <n v="139252"/>
    <n v="301515518476.67999"/>
    <n v="0.71268453569294998"/>
  </r>
  <r>
    <x v="0"/>
    <x v="14"/>
    <n v="139640"/>
    <n v="302130802958.65002"/>
    <n v="1.0451562492637101"/>
  </r>
  <r>
    <x v="0"/>
    <x v="15"/>
    <n v="140171"/>
    <n v="303193167019.19"/>
    <n v="1.6395773376873199"/>
  </r>
  <r>
    <x v="0"/>
    <x v="16"/>
    <n v="140845"/>
    <n v="305276200958.66998"/>
    <n v="2.4321899801315201"/>
  </r>
  <r>
    <x v="0"/>
    <x v="17"/>
    <n v="141735"/>
    <n v="308579513635.09003"/>
    <n v="3.5447290143599499"/>
  </r>
  <r>
    <x v="0"/>
    <x v="18"/>
    <n v="142847"/>
    <n v="313306085244.25"/>
    <n v="5.03064066078064"/>
  </r>
  <r>
    <x v="0"/>
    <x v="19"/>
    <n v="143912"/>
    <n v="317855864434.04999"/>
    <n v="6.5026338963785699"/>
  </r>
  <r>
    <x v="0"/>
    <x v="20"/>
    <n v="144902"/>
    <n v="321938074374.90002"/>
    <n v="7.9908291538676099"/>
  </r>
  <r>
    <x v="0"/>
    <x v="21"/>
    <n v="145867"/>
    <n v="326586660235.34998"/>
    <n v="9.4276335334870591"/>
  </r>
  <r>
    <x v="0"/>
    <x v="22"/>
    <n v="146882"/>
    <n v="331964887053.32001"/>
    <n v="10.905497385764299"/>
  </r>
  <r>
    <x v="0"/>
    <x v="23"/>
    <n v="147919"/>
    <n v="337304062600.06"/>
    <n v="12.2583258018369"/>
  </r>
  <r>
    <x v="0"/>
    <x v="24"/>
    <n v="148833"/>
    <n v="341672418203.37"/>
    <n v="13.4944746133589"/>
  </r>
  <r>
    <x v="0"/>
    <x v="25"/>
    <n v="149785"/>
    <n v="346545445220.38"/>
    <n v="14.5721507226118"/>
  </r>
  <r>
    <x v="0"/>
    <x v="26"/>
    <n v="150727"/>
    <n v="350465555808.21997"/>
    <n v="15.5232907959548"/>
  </r>
  <r>
    <x v="0"/>
    <x v="27"/>
    <n v="151726"/>
    <n v="354683248452.60999"/>
    <n v="16.490088524196999"/>
  </r>
  <r>
    <x v="0"/>
    <x v="28"/>
    <n v="152681"/>
    <n v="359153508694.62"/>
    <n v="17.497376236612698"/>
  </r>
  <r>
    <x v="0"/>
    <x v="29"/>
    <n v="153592"/>
    <n v="364145909105.21997"/>
    <n v="18.361486101218699"/>
  </r>
  <r>
    <x v="0"/>
    <x v="30"/>
    <n v="154353"/>
    <n v="367843583423.22998"/>
    <n v="19.013776229250301"/>
  </r>
  <r>
    <x v="0"/>
    <x v="31"/>
    <n v="155081"/>
    <n v="370513413856.09998"/>
    <n v="19.649355742239202"/>
  </r>
  <r>
    <x v="0"/>
    <x v="32"/>
    <n v="155900"/>
    <n v="375154945459.59998"/>
    <n v="20.3867810175445"/>
  </r>
  <r>
    <x v="0"/>
    <x v="33"/>
    <n v="156553"/>
    <n v="378164550622.22998"/>
    <n v="20.9629617611456"/>
  </r>
  <r>
    <x v="0"/>
    <x v="34"/>
    <n v="157183"/>
    <n v="380573155397.19"/>
    <n v="21.477043231118699"/>
  </r>
  <r>
    <x v="0"/>
    <x v="35"/>
    <n v="157961"/>
    <n v="383579286284.32001"/>
    <n v="21.9895256255558"/>
  </r>
  <r>
    <x v="0"/>
    <x v="36"/>
    <n v="158587"/>
    <n v="385622880966.02002"/>
    <n v="22.5313530264931"/>
  </r>
  <r>
    <x v="0"/>
    <x v="37"/>
    <n v="159328"/>
    <n v="388944585913.88"/>
    <n v="23.2220566081443"/>
  </r>
  <r>
    <x v="0"/>
    <x v="38"/>
    <n v="160031"/>
    <n v="391996345649.14001"/>
    <n v="23.8269487846899"/>
  </r>
  <r>
    <x v="0"/>
    <x v="39"/>
    <n v="160667"/>
    <n v="394401986179.65997"/>
    <n v="24.484699868277499"/>
  </r>
  <r>
    <x v="0"/>
    <x v="40"/>
    <n v="161332"/>
    <n v="397650299517.78003"/>
    <n v="25.244831138373801"/>
  </r>
  <r>
    <x v="0"/>
    <x v="41"/>
    <n v="161858"/>
    <n v="399661358461.85999"/>
    <n v="25.853456688453601"/>
  </r>
  <r>
    <x v="0"/>
    <x v="42"/>
    <n v="162531"/>
    <n v="402473247826.06"/>
    <n v="26.536515454624599"/>
  </r>
  <r>
    <x v="0"/>
    <x v="43"/>
    <n v="163328"/>
    <n v="407135000510.78003"/>
    <n v="27.452006226680801"/>
  </r>
  <r>
    <x v="0"/>
    <x v="44"/>
    <n v="164171"/>
    <n v="410957899203.09998"/>
    <n v="28.257272060733399"/>
  </r>
  <r>
    <x v="0"/>
    <x v="45"/>
    <n v="164998"/>
    <n v="415578143387.42999"/>
    <n v="29.114425099331498"/>
  </r>
  <r>
    <x v="0"/>
    <x v="46"/>
    <n v="165889"/>
    <n v="420442181020.82001"/>
    <n v="30.0271338421568"/>
  </r>
  <r>
    <x v="0"/>
    <x v="47"/>
    <n v="166964"/>
    <n v="425507008058.42999"/>
    <n v="30.880034945087498"/>
  </r>
  <r>
    <x v="0"/>
    <x v="48"/>
    <n v="167888"/>
    <n v="430133364045.90002"/>
    <n v="31.7445580157266"/>
  </r>
  <r>
    <x v="0"/>
    <x v="49"/>
    <n v="169006"/>
    <n v="436014643807.73999"/>
    <n v="32.500900634452201"/>
  </r>
  <r>
    <x v="0"/>
    <x v="50"/>
    <n v="170201"/>
    <n v="440572182741.69"/>
    <n v="33.227471736593102"/>
  </r>
  <r>
    <x v="0"/>
    <x v="51"/>
    <n v="171456"/>
    <n v="447378001346.06"/>
    <n v="34.197530675647698"/>
  </r>
  <r>
    <x v="0"/>
    <x v="52"/>
    <n v="172582"/>
    <n v="454600787180.84998"/>
    <n v="35.180030952995601"/>
  </r>
  <r>
    <x v="0"/>
    <x v="53"/>
    <n v="173773"/>
    <n v="463337515393.27002"/>
    <n v="36.111582600723601"/>
  </r>
  <r>
    <x v="0"/>
    <x v="54"/>
    <n v="174901"/>
    <n v="473963930458.06"/>
    <n v="37.0885802026826"/>
  </r>
  <r>
    <x v="0"/>
    <x v="55"/>
    <n v="175971"/>
    <n v="482637195788"/>
    <n v="37.934533357472297"/>
  </r>
  <r>
    <x v="0"/>
    <x v="56"/>
    <n v="177221"/>
    <n v="492759677673.42999"/>
    <n v="38.755843024368502"/>
  </r>
  <r>
    <x v="0"/>
    <x v="57"/>
    <n v="178640"/>
    <n v="502211629634.06"/>
    <n v="39.515895044904198"/>
  </r>
  <r>
    <x v="0"/>
    <x v="58"/>
    <n v="179937"/>
    <n v="508860817728.65997"/>
    <n v="40.2080503209163"/>
  </r>
  <r>
    <x v="0"/>
    <x v="59"/>
    <n v="181535"/>
    <n v="519181595242.40002"/>
    <n v="40.996136656163401"/>
  </r>
  <r>
    <x v="0"/>
    <x v="60"/>
    <n v="183021"/>
    <n v="529266546073.46997"/>
    <n v="41.8499177098997"/>
  </r>
  <r>
    <x v="0"/>
    <x v="61"/>
    <n v="184355"/>
    <n v="540755542094.21002"/>
    <n v="42.459751854853899"/>
  </r>
  <r>
    <x v="0"/>
    <x v="62"/>
    <n v="185605"/>
    <n v="549750472653.34998"/>
    <n v="42.872729718156897"/>
  </r>
  <r>
    <x v="0"/>
    <x v="63"/>
    <n v="186717"/>
    <n v="556506175459.81006"/>
    <n v="43.226033701853503"/>
  </r>
  <r>
    <x v="0"/>
    <x v="64"/>
    <n v="187662"/>
    <n v="563458838273"/>
    <n v="43.515926907734602"/>
  </r>
  <r>
    <x v="0"/>
    <x v="65"/>
    <n v="188811"/>
    <n v="572204607933.89001"/>
    <n v="43.786744098587398"/>
  </r>
  <r>
    <x v="0"/>
    <x v="66"/>
    <n v="189841"/>
    <n v="579291469300.42004"/>
    <n v="44.038012145564103"/>
  </r>
  <r>
    <x v="0"/>
    <x v="67"/>
    <n v="190764"/>
    <n v="587347551657.76001"/>
    <n v="44.243198126631199"/>
  </r>
  <r>
    <x v="0"/>
    <x v="68"/>
    <n v="191769"/>
    <n v="595358056585.48999"/>
    <n v="44.418301791645298"/>
  </r>
  <r>
    <x v="0"/>
    <x v="69"/>
    <n v="192676"/>
    <n v="603335784202.89001"/>
    <n v="44.574737561343198"/>
  </r>
  <r>
    <x v="0"/>
    <x v="70"/>
    <n v="193594"/>
    <n v="608661813729.64001"/>
    <n v="44.6913758803124"/>
  </r>
  <r>
    <x v="0"/>
    <x v="71"/>
    <n v="194574"/>
    <n v="614730545023.56995"/>
    <n v="44.795984232191302"/>
  </r>
  <r>
    <x v="0"/>
    <x v="72"/>
    <n v="195521"/>
    <n v="620175920606.63"/>
    <n v="44.7907714590891"/>
  </r>
  <r>
    <x v="0"/>
    <x v="73"/>
    <n v="196302"/>
    <n v="625373224000.52002"/>
    <n v="44.676906176606401"/>
  </r>
  <r>
    <x v="0"/>
    <x v="74"/>
    <n v="197211"/>
    <n v="628789317108.88"/>
    <n v="44.465967519736203"/>
  </r>
  <r>
    <x v="0"/>
    <x v="75"/>
    <n v="198200"/>
    <n v="633466085432.80005"/>
    <n v="44.206208854689201"/>
  </r>
  <r>
    <x v="0"/>
    <x v="76"/>
    <n v="199277"/>
    <n v="638637756539.06006"/>
    <n v="43.887340453672898"/>
  </r>
  <r>
    <x v="0"/>
    <x v="77"/>
    <n v="200318"/>
    <n v="644319934151.05005"/>
    <n v="43.525401604467397"/>
  </r>
  <r>
    <x v="0"/>
    <x v="78"/>
    <n v="201523"/>
    <n v="650241592057.52002"/>
    <n v="43.136065816579098"/>
  </r>
  <r>
    <x v="0"/>
    <x v="79"/>
    <n v="202877"/>
    <n v="659140528287.64001"/>
    <n v="42.690143288448198"/>
  </r>
  <r>
    <x v="0"/>
    <x v="80"/>
    <n v="204126"/>
    <n v="667771708329.09998"/>
    <n v="42.257589909917897"/>
  </r>
  <r>
    <x v="0"/>
    <x v="81"/>
    <n v="205336"/>
    <n v="678145982258.65002"/>
    <n v="40.546497816958698"/>
  </r>
  <r>
    <x v="0"/>
    <x v="82"/>
    <n v="206553"/>
    <n v="688667464062.68005"/>
    <n v="40.698068421918798"/>
  </r>
  <r>
    <x v="0"/>
    <x v="83"/>
    <n v="207893"/>
    <n v="700106336980.84998"/>
    <n v="40.290856430330301"/>
  </r>
  <r>
    <x v="0"/>
    <x v="84"/>
    <n v="209121"/>
    <n v="711936410692.26001"/>
    <n v="39.802819396563898"/>
  </r>
  <r>
    <x v="0"/>
    <x v="85"/>
    <n v="210670"/>
    <n v="724159427993.80005"/>
    <n v="39.282767597356496"/>
  </r>
  <r>
    <x v="0"/>
    <x v="86"/>
    <n v="212403"/>
    <n v="737131621054.80005"/>
    <n v="38.683227208863798"/>
  </r>
  <r>
    <x v="0"/>
    <x v="87"/>
    <n v="214231"/>
    <n v="752556214855.22998"/>
    <n v="37.860081079851597"/>
  </r>
  <r>
    <x v="0"/>
    <x v="88"/>
    <n v="216060"/>
    <n v="768634381863"/>
    <n v="37.024950568704902"/>
  </r>
  <r>
    <x v="0"/>
    <x v="89"/>
    <n v="217775"/>
    <n v="783899597190.81006"/>
    <n v="36.2370870808885"/>
  </r>
  <r>
    <x v="0"/>
    <x v="90"/>
    <n v="219337"/>
    <n v="800219895172"/>
    <n v="35.471846505212199"/>
  </r>
  <r>
    <x v="0"/>
    <x v="91"/>
    <n v="220863"/>
    <n v="816276961683.10999"/>
    <n v="34.760506318849103"/>
  </r>
  <r>
    <x v="0"/>
    <x v="92"/>
    <n v="222193"/>
    <n v="829340407712.87"/>
    <n v="34.129066992882997"/>
  </r>
  <r>
    <x v="0"/>
    <x v="93"/>
    <n v="223572"/>
    <n v="841081375122.14001"/>
    <n v="33.609841057372797"/>
  </r>
  <r>
    <x v="0"/>
    <x v="94"/>
    <n v="225055"/>
    <n v="853354387292.38"/>
    <n v="32.9002958375699"/>
  </r>
  <r>
    <x v="0"/>
    <x v="95"/>
    <n v="226605"/>
    <n v="865009341307.27002"/>
    <n v="32.098345579123098"/>
  </r>
  <r>
    <x v="0"/>
    <x v="96"/>
    <n v="227719"/>
    <n v="868002653952.68994"/>
    <n v="31.3921184777818"/>
  </r>
  <r>
    <x v="0"/>
    <x v="97"/>
    <n v="228962"/>
    <n v="879696484692.43994"/>
    <n v="30.721690873551299"/>
  </r>
  <r>
    <x v="0"/>
    <x v="98"/>
    <n v="229290"/>
    <n v="891137066963.31006"/>
    <n v="30.111107206336499"/>
  </r>
  <r>
    <x v="0"/>
    <x v="99"/>
    <n v="230242"/>
    <n v="898079497234.46997"/>
    <n v="29.524724336398101"/>
  </r>
  <r>
    <x v="0"/>
    <x v="100"/>
    <n v="231200"/>
    <n v="906196770233.09998"/>
    <n v="29.056067518937599"/>
  </r>
  <r>
    <x v="0"/>
    <x v="101"/>
    <n v="232155"/>
    <n v="915306614991.16003"/>
    <n v="28.587825361368701"/>
  </r>
  <r>
    <x v="0"/>
    <x v="102"/>
    <n v="232988"/>
    <n v="924210879564.21997"/>
    <n v="28.1444725436602"/>
  </r>
  <r>
    <x v="0"/>
    <x v="103"/>
    <n v="234029"/>
    <n v="933451662668.81006"/>
    <n v="27.626112929746402"/>
  </r>
  <r>
    <x v="0"/>
    <x v="104"/>
    <n v="235250"/>
    <n v="939163115315.12"/>
    <n v="27.026355355082199"/>
  </r>
  <r>
    <x v="0"/>
    <x v="105"/>
    <n v="236280"/>
    <n v="950835871010.5"/>
    <n v="26.249819755771799"/>
  </r>
  <r>
    <x v="0"/>
    <x v="106"/>
    <n v="237080"/>
    <n v="948704633830.25"/>
    <n v="25.4816099598562"/>
  </r>
  <r>
    <x v="0"/>
    <x v="107"/>
    <n v="238095"/>
    <n v="952529753121.88"/>
    <n v="24.732275789868002"/>
  </r>
  <r>
    <x v="0"/>
    <x v="108"/>
    <n v="238988"/>
    <n v="962426850688.71997"/>
    <n v="23.990683096178401"/>
  </r>
  <r>
    <x v="0"/>
    <x v="109"/>
    <n v="239791"/>
    <n v="971889246408.43994"/>
    <n v="23.610921087363199"/>
  </r>
  <r>
    <x v="0"/>
    <x v="110"/>
    <n v="240505"/>
    <n v="981397635555.85999"/>
    <n v="23.570430621573198"/>
  </r>
  <r>
    <x v="0"/>
    <x v="111"/>
    <n v="241199"/>
    <n v="998455877100.01001"/>
    <n v="23.843955266261901"/>
  </r>
  <r>
    <x v="0"/>
    <x v="112"/>
    <n v="241528"/>
    <n v="1000338175794.87"/>
    <n v="24.025911449798802"/>
  </r>
  <r>
    <x v="0"/>
    <x v="113"/>
    <n v="242127"/>
    <n v="1015393774840.89"/>
    <n v="24.124480301174199"/>
  </r>
  <r>
    <x v="0"/>
    <x v="114"/>
    <n v="242806"/>
    <n v="1022403673721.74"/>
    <n v="24.246920849661301"/>
  </r>
  <r>
    <x v="0"/>
    <x v="115"/>
    <n v="243055"/>
    <n v="1011345079983.45"/>
    <n v="24.4142503521587"/>
  </r>
  <r>
    <x v="0"/>
    <x v="116"/>
    <n v="243087"/>
    <n v="1018746952300.48"/>
    <n v="24.528204310909601"/>
  </r>
  <r>
    <x v="0"/>
    <x v="117"/>
    <n v="242823"/>
    <n v="1022881900552.3199"/>
    <n v="24.581430364710901"/>
  </r>
  <r>
    <x v="0"/>
    <x v="118"/>
    <n v="242568"/>
    <n v="1029221486063.8"/>
    <n v="24.633988832727098"/>
  </r>
  <r>
    <x v="0"/>
    <x v="119"/>
    <n v="242944"/>
    <n v="1041578015793.9"/>
    <n v="24.688677473916702"/>
  </r>
  <r>
    <x v="0"/>
    <x v="120"/>
    <n v="242958"/>
    <n v="1046154494968.26"/>
    <n v="24.808222137718001"/>
  </r>
  <r>
    <x v="0"/>
    <x v="121"/>
    <n v="243244"/>
    <n v="1054228745365.45"/>
    <n v="25.0861101224585"/>
  </r>
  <r>
    <x v="0"/>
    <x v="122"/>
    <n v="243458"/>
    <n v="1054419241918.8"/>
    <n v="25.411841587870899"/>
  </r>
  <r>
    <x v="0"/>
    <x v="123"/>
    <n v="243458"/>
    <n v="1053489210318.27"/>
    <n v="25.810034242693501"/>
  </r>
  <r>
    <x v="0"/>
    <x v="124"/>
    <n v="243206"/>
    <n v="1042475819587.54"/>
    <n v="26.1952252062271"/>
  </r>
  <r>
    <x v="0"/>
    <x v="125"/>
    <n v="243206"/>
    <n v="1043034371136.61"/>
    <n v="26.5440643323474"/>
  </r>
  <r>
    <x v="0"/>
    <x v="126"/>
    <n v="243079"/>
    <n v="1042526892174.13"/>
    <n v="26.812603349529098"/>
  </r>
  <r>
    <x v="0"/>
    <x v="127"/>
    <n v="243049"/>
    <n v="1043715265049.05"/>
    <n v="27.0322278143998"/>
  </r>
  <r>
    <x v="0"/>
    <x v="128"/>
    <n v="243211"/>
    <n v="1047052334367.59"/>
    <n v="27.2771218376507"/>
  </r>
  <r>
    <x v="0"/>
    <x v="129"/>
    <n v="243358"/>
    <n v="1046559366288.4301"/>
    <n v="27.4825842710705"/>
  </r>
  <r>
    <x v="0"/>
    <x v="130"/>
    <n v="243520"/>
    <n v="1046116620723.4399"/>
    <n v="27.6954077950783"/>
  </r>
  <r>
    <x v="0"/>
    <x v="131"/>
    <n v="243723"/>
    <n v="1045661950289.12"/>
    <n v="27.908511210921599"/>
  </r>
  <r>
    <x v="0"/>
    <x v="132"/>
    <n v="243770"/>
    <n v="1045305106228.61"/>
    <n v="28.085443979277901"/>
  </r>
  <r>
    <x v="0"/>
    <x v="133"/>
    <n v="243919"/>
    <n v="1047019150198.85"/>
    <n v="28.153000162950001"/>
  </r>
  <r>
    <x v="0"/>
    <x v="134"/>
    <n v="244114"/>
    <n v="1048394573900.75"/>
    <n v="28.185592210540399"/>
  </r>
  <r>
    <x v="0"/>
    <x v="135"/>
    <n v="244026"/>
    <n v="1046716620858.74"/>
    <n v="28.253852884032899"/>
  </r>
  <r>
    <x v="0"/>
    <x v="136"/>
    <n v="244112"/>
    <n v="1051148406451.9301"/>
    <n v="28.314816907877699"/>
  </r>
  <r>
    <x v="0"/>
    <x v="137"/>
    <n v="244290"/>
    <n v="1055396152979.1"/>
    <n v="28.365826620287901"/>
  </r>
  <r>
    <x v="0"/>
    <x v="138"/>
    <n v="244376"/>
    <n v="1062568967389.26"/>
    <n v="28.425295700544201"/>
  </r>
  <r>
    <x v="0"/>
    <x v="139"/>
    <n v="244769"/>
    <n v="1071676798504.13"/>
    <n v="28.4838824599851"/>
  </r>
  <r>
    <x v="0"/>
    <x v="140"/>
    <n v="245103"/>
    <n v="1083168990542.87"/>
    <n v="28.546898829682"/>
  </r>
  <r>
    <x v="0"/>
    <x v="141"/>
    <n v="245417"/>
    <n v="1092258150495.95"/>
    <n v="28.593532881155902"/>
  </r>
  <r>
    <x v="0"/>
    <x v="142"/>
    <n v="245734"/>
    <n v="1101714404588.9399"/>
    <n v="28.640223017605599"/>
  </r>
  <r>
    <x v="0"/>
    <x v="143"/>
    <n v="246265"/>
    <n v="1111269349920.8401"/>
    <n v="28.679365635524299"/>
  </r>
  <r>
    <x v="0"/>
    <x v="144"/>
    <n v="246636"/>
    <n v="1122419326727.3401"/>
    <n v="28.6805017078151"/>
  </r>
  <r>
    <x v="0"/>
    <x v="145"/>
    <n v="247214"/>
    <n v="1132529092295.1799"/>
    <n v="28.654386838034"/>
  </r>
  <r>
    <x v="0"/>
    <x v="146"/>
    <n v="247639"/>
    <n v="1142036164423.6499"/>
    <n v="28.619445247103702"/>
  </r>
  <r>
    <x v="0"/>
    <x v="147"/>
    <n v="248030"/>
    <n v="1155261788794.02"/>
    <n v="28.583832395914602"/>
  </r>
  <r>
    <x v="0"/>
    <x v="148"/>
    <n v="248548"/>
    <n v="1168142806797.22"/>
    <n v="28.538412543099799"/>
  </r>
  <r>
    <x v="0"/>
    <x v="149"/>
    <n v="248874"/>
    <n v="1181825510252.74"/>
    <n v="28.491628798279699"/>
  </r>
  <r>
    <x v="0"/>
    <x v="150"/>
    <n v="249248"/>
    <n v="1192430186515.3201"/>
    <n v="28.450708785781"/>
  </r>
  <r>
    <x v="0"/>
    <x v="151"/>
    <n v="249885"/>
    <n v="1206782284664.1699"/>
    <n v="28.409310906839"/>
  </r>
  <r>
    <x v="0"/>
    <x v="152"/>
    <n v="250428"/>
    <n v="1220415637263.49"/>
    <n v="28.3687516794994"/>
  </r>
  <r>
    <x v="0"/>
    <x v="153"/>
    <n v="250977"/>
    <n v="1240435866291.8799"/>
    <n v="28.320897126128301"/>
  </r>
  <r>
    <x v="0"/>
    <x v="154"/>
    <n v="251536"/>
    <n v="1253159977244.54"/>
    <n v="28.282075261503898"/>
  </r>
  <r>
    <x v="0"/>
    <x v="155"/>
    <n v="252197"/>
    <n v="1267753834052.5601"/>
    <n v="28.246646120542898"/>
  </r>
  <r>
    <x v="0"/>
    <x v="156"/>
    <n v="252755"/>
    <n v="1281899182108.53"/>
    <n v="28.508394973781002"/>
  </r>
  <r>
    <x v="0"/>
    <x v="157"/>
    <n v="253418"/>
    <n v="1297151286163.0601"/>
    <n v="29.061456063166599"/>
  </r>
  <r>
    <x v="0"/>
    <x v="158"/>
    <n v="254121"/>
    <n v="1313547803162.76"/>
    <n v="29.664619168619598"/>
  </r>
  <r>
    <x v="0"/>
    <x v="159"/>
    <n v="254866"/>
    <n v="1329046516438.8999"/>
    <n v="30.2806836474603"/>
  </r>
  <r>
    <x v="0"/>
    <x v="160"/>
    <n v="255714"/>
    <n v="1351361414625.3799"/>
    <n v="30.997969401220502"/>
  </r>
  <r>
    <x v="0"/>
    <x v="161"/>
    <n v="256516"/>
    <n v="1373358197427.46"/>
    <n v="31.708372328464101"/>
  </r>
  <r>
    <x v="0"/>
    <x v="162"/>
    <n v="257355"/>
    <n v="1398518091938.25"/>
    <n v="32.431531049469598"/>
  </r>
  <r>
    <x v="0"/>
    <x v="163"/>
    <n v="258242"/>
    <n v="1423075259258.24"/>
    <n v="33.0848090783334"/>
  </r>
  <r>
    <x v="0"/>
    <x v="164"/>
    <n v="259130"/>
    <n v="1448620805507.53"/>
    <n v="33.842541977092999"/>
  </r>
  <r>
    <x v="0"/>
    <x v="165"/>
    <n v="259997"/>
    <n v="1473008966168.4399"/>
    <n v="34.586527341977401"/>
  </r>
  <r>
    <x v="0"/>
    <x v="166"/>
    <n v="260697"/>
    <n v="1503089126091.8101"/>
    <n v="35.356771098262101"/>
  </r>
  <r>
    <x v="0"/>
    <x v="167"/>
    <n v="261695"/>
    <n v="1536876729700.0601"/>
    <n v="36.097321862479902"/>
  </r>
  <r>
    <x v="0"/>
    <x v="168"/>
    <n v="262505"/>
    <n v="1561574734904.05"/>
    <n v="36.733007579819102"/>
  </r>
  <r>
    <x v="0"/>
    <x v="169"/>
    <n v="264223"/>
    <n v="1598687945829.1299"/>
    <n v="37.467784722235997"/>
  </r>
  <r>
    <x v="0"/>
    <x v="170"/>
    <n v="264813"/>
    <n v="1611864597529.54"/>
    <n v="37.9234952990534"/>
  </r>
  <r>
    <x v="0"/>
    <x v="171"/>
    <n v="265488"/>
    <n v="1627058464695.98"/>
    <n v="38.238562647435401"/>
  </r>
  <r>
    <x v="0"/>
    <x v="172"/>
    <n v="266516"/>
    <n v="1649023403524.3301"/>
    <n v="38.463574856723"/>
  </r>
  <r>
    <x v="1"/>
    <x v="173"/>
    <n v="11"/>
    <n v="431216401.19999999"/>
    <n v="63.472164668371299"/>
  </r>
  <r>
    <x v="0"/>
    <x v="173"/>
    <n v="267221"/>
    <n v="1672012270673.77"/>
    <n v="38.5794869413347"/>
  </r>
  <r>
    <x v="0"/>
    <x v="174"/>
    <n v="267777"/>
    <n v="1682374180043.9399"/>
    <n v="38.961795602168301"/>
  </r>
  <r>
    <x v="1"/>
    <x v="174"/>
    <n v="15"/>
    <n v="2102895357.54"/>
    <n v="64.835180661795803"/>
  </r>
  <r>
    <x v="1"/>
    <x v="175"/>
    <n v="22"/>
    <n v="4048869571.6900001"/>
    <n v="62.092587055941202"/>
  </r>
  <r>
    <x v="0"/>
    <x v="175"/>
    <n v="268301"/>
    <n v="1690709203256.04"/>
    <n v="39.157092636100103"/>
  </r>
  <r>
    <x v="0"/>
    <x v="176"/>
    <n v="269084"/>
    <n v="1706507798745.03"/>
    <n v="39.371508596968397"/>
  </r>
  <r>
    <x v="1"/>
    <x v="176"/>
    <n v="32"/>
    <n v="6443245156.5"/>
    <n v="56.318296234812799"/>
  </r>
  <r>
    <x v="0"/>
    <x v="177"/>
    <n v="269586"/>
    <n v="1715320900515.99"/>
    <n v="39.506692530851304"/>
  </r>
  <r>
    <x v="1"/>
    <x v="177"/>
    <n v="33"/>
    <n v="7594722445.1199999"/>
    <n v="57.679833174196801"/>
  </r>
  <r>
    <x v="0"/>
    <x v="178"/>
    <n v="269880"/>
    <n v="1722159821907.24"/>
    <n v="39.586379267290397"/>
  </r>
  <r>
    <x v="1"/>
    <x v="178"/>
    <n v="33"/>
    <n v="7455294762.29"/>
    <n v="57.710604429396398"/>
  </r>
  <r>
    <x v="1"/>
    <x v="179"/>
    <n v="37"/>
    <n v="7385915358.9499998"/>
    <n v="57.717132928736802"/>
  </r>
  <r>
    <x v="0"/>
    <x v="179"/>
    <n v="270476"/>
    <n v="1743795423653.5901"/>
    <n v="39.843952196572197"/>
  </r>
  <r>
    <x v="0"/>
    <x v="180"/>
    <n v="270820"/>
    <n v="1747958716979.52"/>
    <n v="39.706789027185302"/>
  </r>
  <r>
    <x v="1"/>
    <x v="180"/>
    <n v="37"/>
    <n v="7186390255.3999996"/>
    <n v="57.405650549401599"/>
  </r>
  <r>
    <x v="0"/>
    <x v="181"/>
    <n v="271227"/>
    <n v="1754532172587.8201"/>
    <n v="39.941084437468398"/>
  </r>
  <r>
    <x v="1"/>
    <x v="181"/>
    <n v="57"/>
    <n v="7517545111.1499996"/>
    <n v="56.643391940545797"/>
  </r>
  <r>
    <x v="0"/>
    <x v="182"/>
    <n v="271839"/>
    <n v="1783832899325.1899"/>
    <n v="40.178703623051398"/>
  </r>
  <r>
    <x v="1"/>
    <x v="182"/>
    <n v="80"/>
    <n v="7812894988.0100002"/>
    <n v="56.315414038931102"/>
  </r>
  <r>
    <x v="1"/>
    <x v="183"/>
    <n v="94"/>
    <n v="7929838117.7600002"/>
    <n v="57.375417836790497"/>
  </r>
  <r>
    <x v="0"/>
    <x v="183"/>
    <n v="272056"/>
    <n v="1788604982272.3999"/>
    <n v="40.1055618084158"/>
  </r>
  <r>
    <x v="1"/>
    <x v="184"/>
    <n v="131"/>
    <n v="14236149645.15"/>
    <n v="32.204630007486898"/>
  </r>
  <r>
    <x v="0"/>
    <x v="184"/>
    <n v="272638"/>
    <n v="1851247613799.7"/>
    <n v="39.739697206853599"/>
  </r>
  <r>
    <x v="1"/>
    <x v="185"/>
    <n v="168"/>
    <n v="15653598327.879999"/>
    <n v="46.470756144213503"/>
  </r>
  <r>
    <x v="0"/>
    <x v="185"/>
    <n v="273233"/>
    <n v="1892906083080.45"/>
    <n v="39.6697834466014"/>
  </r>
  <r>
    <x v="1"/>
    <x v="186"/>
    <n v="188"/>
    <n v="16210075077.32"/>
    <n v="51.272290728732997"/>
  </r>
  <r>
    <x v="0"/>
    <x v="186"/>
    <n v="273609"/>
    <n v="1911210202909.05"/>
    <n v="39.703691184024898"/>
  </r>
  <r>
    <x v="1"/>
    <x v="187"/>
    <n v="222"/>
    <n v="17522334402.939999"/>
    <n v="52.415481945755801"/>
  </r>
  <r>
    <x v="0"/>
    <x v="187"/>
    <n v="273811"/>
    <n v="1922329055650.49"/>
    <n v="39.736460492727403"/>
  </r>
  <r>
    <x v="1"/>
    <x v="188"/>
    <n v="266"/>
    <n v="20636621094.560001"/>
    <n v="53.170659196165197"/>
  </r>
  <r>
    <x v="0"/>
    <x v="188"/>
    <n v="274246"/>
    <n v="1936230379188.45"/>
    <n v="39.675240608507998"/>
  </r>
  <r>
    <x v="1"/>
    <x v="189"/>
    <n v="290"/>
    <n v="24709665353.299999"/>
    <n v="50.944125130024901"/>
  </r>
  <r>
    <x v="0"/>
    <x v="189"/>
    <n v="274530"/>
    <n v="1935224752959.1399"/>
    <n v="39.610702798057297"/>
  </r>
  <r>
    <x v="1"/>
    <x v="190"/>
    <n v="353"/>
    <n v="27060927127.610001"/>
    <n v="51.366674832788703"/>
  </r>
  <r>
    <x v="0"/>
    <x v="190"/>
    <n v="274807"/>
    <n v="1931516393378.1001"/>
    <n v="39.623258347655103"/>
  </r>
  <r>
    <x v="2"/>
    <x v="190"/>
    <n v="17"/>
    <n v="106566395.2"/>
    <n v="4.1592377186133804"/>
  </r>
  <r>
    <x v="1"/>
    <x v="191"/>
    <n v="414"/>
    <n v="29069674532.27"/>
    <n v="51.305763938709298"/>
  </r>
  <r>
    <x v="0"/>
    <x v="191"/>
    <n v="275195"/>
    <n v="1935480749969.53"/>
    <n v="39.620862393396798"/>
  </r>
  <r>
    <x v="2"/>
    <x v="191"/>
    <n v="35"/>
    <n v="234862672.03"/>
    <n v="7.8798780141579998"/>
  </r>
  <r>
    <x v="1"/>
    <x v="192"/>
    <n v="458"/>
    <n v="30591542409.349998"/>
    <n v="50.361953235073699"/>
  </r>
  <r>
    <x v="0"/>
    <x v="192"/>
    <n v="275240"/>
    <n v="1926355203139.8799"/>
    <n v="39.571951284664998"/>
  </r>
  <r>
    <x v="2"/>
    <x v="192"/>
    <n v="52"/>
    <n v="406767057.86000001"/>
    <n v="7.6918624554178097"/>
  </r>
  <r>
    <x v="1"/>
    <x v="193"/>
    <n v="489"/>
    <n v="32188299766.919998"/>
    <n v="49.050238088786003"/>
  </r>
  <r>
    <x v="0"/>
    <x v="193"/>
    <n v="275437"/>
    <n v="1923031361638.27"/>
    <n v="39.546276206318502"/>
  </r>
  <r>
    <x v="2"/>
    <x v="193"/>
    <n v="66"/>
    <n v="597072260.88"/>
    <n v="7.3071291375643899"/>
  </r>
  <r>
    <x v="1"/>
    <x v="194"/>
    <n v="523"/>
    <n v="34019181733.130001"/>
    <n v="48.774244523055899"/>
  </r>
  <r>
    <x v="0"/>
    <x v="194"/>
    <n v="275562"/>
    <n v="1915973684687.22"/>
    <n v="39.4208288893714"/>
  </r>
  <r>
    <x v="2"/>
    <x v="194"/>
    <n v="83"/>
    <n v="810653741.88"/>
    <n v="6.6289084057271497"/>
  </r>
  <r>
    <x v="1"/>
    <x v="195"/>
    <n v="565"/>
    <n v="34942230806.919998"/>
    <n v="48.375811686334998"/>
  </r>
  <r>
    <x v="0"/>
    <x v="195"/>
    <n v="274490"/>
    <n v="1886014655841.54"/>
    <n v="39.231367310944897"/>
  </r>
  <r>
    <x v="2"/>
    <x v="195"/>
    <n v="99"/>
    <n v="1028774473.66"/>
    <n v="6.5341538920983302"/>
  </r>
  <r>
    <x v="1"/>
    <x v="196"/>
    <n v="596"/>
    <n v="35952137084.459999"/>
    <n v="48.057000986623301"/>
  </r>
  <r>
    <x v="0"/>
    <x v="196"/>
    <n v="274482"/>
    <n v="1851844202005.27"/>
    <n v="39.085437328043497"/>
  </r>
  <r>
    <x v="2"/>
    <x v="196"/>
    <n v="117"/>
    <n v="1283914779.73"/>
    <n v="6.3555454550641501"/>
  </r>
  <r>
    <x v="1"/>
    <x v="197"/>
    <n v="636"/>
    <n v="36911796753.43"/>
    <n v="47.727760677005698"/>
  </r>
  <r>
    <x v="0"/>
    <x v="197"/>
    <n v="274694"/>
    <n v="1823788108779.51"/>
    <n v="39.037508627084399"/>
  </r>
  <r>
    <x v="2"/>
    <x v="197"/>
    <n v="135"/>
    <n v="1489592023.8900001"/>
    <n v="6.2419564509364696"/>
  </r>
  <r>
    <x v="1"/>
    <x v="198"/>
    <n v="682"/>
    <n v="39233880521.379997"/>
    <n v="47.009975449441697"/>
  </r>
  <r>
    <x v="0"/>
    <x v="198"/>
    <n v="274934"/>
    <n v="1816002763653.8401"/>
    <n v="38.996291229933497"/>
  </r>
  <r>
    <x v="2"/>
    <x v="198"/>
    <n v="156"/>
    <n v="1693098544.05"/>
    <n v="5.8433266929865901"/>
  </r>
  <r>
    <x v="1"/>
    <x v="199"/>
    <n v="731"/>
    <n v="41226846111.760002"/>
    <n v="46.8101045911285"/>
  </r>
  <r>
    <x v="0"/>
    <x v="199"/>
    <n v="275265"/>
    <n v="1809160523507.3899"/>
    <n v="38.979515504416703"/>
  </r>
  <r>
    <x v="2"/>
    <x v="199"/>
    <n v="178"/>
    <n v="1929687214.6600001"/>
    <n v="5.8869281160867004"/>
  </r>
  <r>
    <x v="1"/>
    <x v="200"/>
    <n v="783"/>
    <n v="43877710701.519997"/>
    <n v="46.969890891667902"/>
  </r>
  <r>
    <x v="0"/>
    <x v="200"/>
    <n v="275759"/>
    <n v="1806620806982.2"/>
    <n v="39.096738232796298"/>
  </r>
  <r>
    <x v="2"/>
    <x v="200"/>
    <n v="196"/>
    <n v="2275609818.98"/>
    <n v="5.6796488832227103"/>
  </r>
  <r>
    <x v="1"/>
    <x v="201"/>
    <n v="843"/>
    <n v="46125972276.830002"/>
    <n v="46.727039428449302"/>
  </r>
  <r>
    <x v="0"/>
    <x v="201"/>
    <n v="276421"/>
    <n v="1800298888880.73"/>
    <n v="39.147939212962399"/>
  </r>
  <r>
    <x v="2"/>
    <x v="201"/>
    <n v="217"/>
    <n v="2589769137.29"/>
    <n v="5.51268864651363"/>
  </r>
  <r>
    <x v="1"/>
    <x v="202"/>
    <n v="896"/>
    <n v="48366176627.93"/>
    <n v="46.853730355069203"/>
  </r>
  <r>
    <x v="0"/>
    <x v="202"/>
    <n v="277266"/>
    <n v="1792464139799.6499"/>
    <n v="39.197228357473897"/>
  </r>
  <r>
    <x v="2"/>
    <x v="202"/>
    <n v="236"/>
    <n v="2951365460.7199998"/>
    <n v="5.4714063800260702"/>
  </r>
  <r>
    <x v="1"/>
    <x v="203"/>
    <n v="949"/>
    <n v="50759303463"/>
    <n v="47.671017473647197"/>
  </r>
  <r>
    <x v="0"/>
    <x v="203"/>
    <n v="278078"/>
    <n v="1786702401571.8401"/>
    <n v="39.397087438826603"/>
  </r>
  <r>
    <x v="2"/>
    <x v="203"/>
    <n v="259"/>
    <n v="3379401993.3099999"/>
    <n v="5.5548678060381498"/>
  </r>
  <r>
    <x v="1"/>
    <x v="204"/>
    <n v="1009"/>
    <n v="52653026516.040001"/>
    <n v="48.906762834155799"/>
  </r>
  <r>
    <x v="0"/>
    <x v="204"/>
    <n v="278395"/>
    <n v="1774777092612.05"/>
    <n v="39.589651783019299"/>
  </r>
  <r>
    <x v="2"/>
    <x v="204"/>
    <n v="279"/>
    <n v="3849888136.0700002"/>
    <n v="5.36910592764242"/>
  </r>
  <r>
    <x v="1"/>
    <x v="205"/>
    <n v="1046"/>
    <n v="54091880308.709999"/>
    <n v="49.290556668477997"/>
  </r>
  <r>
    <x v="0"/>
    <x v="205"/>
    <n v="278900"/>
    <n v="1768365158153.76"/>
    <n v="39.701731915353903"/>
  </r>
  <r>
    <x v="2"/>
    <x v="205"/>
    <n v="297"/>
    <n v="4348110845.5"/>
    <n v="5.3598784323324997"/>
  </r>
  <r>
    <x v="1"/>
    <x v="206"/>
    <n v="1107"/>
    <n v="55452548932.449997"/>
    <n v="49.0275625136644"/>
  </r>
  <r>
    <x v="0"/>
    <x v="206"/>
    <n v="279791"/>
    <n v="1771693715295.3601"/>
    <n v="39.855845284519297"/>
  </r>
  <r>
    <x v="2"/>
    <x v="206"/>
    <n v="323"/>
    <n v="4929321160.3199997"/>
    <n v="5.2496782302635703"/>
  </r>
  <r>
    <x v="1"/>
    <x v="207"/>
    <n v="1145"/>
    <n v="56144173209.129997"/>
    <n v="49.445229224155099"/>
  </r>
  <r>
    <x v="0"/>
    <x v="207"/>
    <n v="280244"/>
    <n v="1762890974623.96"/>
    <n v="39.868883190682098"/>
  </r>
  <r>
    <x v="2"/>
    <x v="207"/>
    <n v="350"/>
    <n v="5479584254.1499996"/>
    <n v="5.2582877472482696"/>
  </r>
  <r>
    <x v="1"/>
    <x v="208"/>
    <n v="1174"/>
    <n v="56713020697.900002"/>
    <n v="49.642434123971697"/>
  </r>
  <r>
    <x v="0"/>
    <x v="208"/>
    <n v="280629"/>
    <n v="1756163628422.04"/>
    <n v="39.842779660213097"/>
  </r>
  <r>
    <x v="2"/>
    <x v="208"/>
    <n v="376"/>
    <n v="5898298960.6400003"/>
    <n v="5.2399709585231697"/>
  </r>
  <r>
    <x v="1"/>
    <x v="209"/>
    <n v="1216"/>
    <n v="57606973208.239998"/>
    <n v="49.721706453536598"/>
  </r>
  <r>
    <x v="0"/>
    <x v="209"/>
    <n v="281075"/>
    <n v="1752854091034.3601"/>
    <n v="39.846028091711901"/>
  </r>
  <r>
    <x v="2"/>
    <x v="209"/>
    <n v="398"/>
    <n v="6434083171.8299999"/>
    <n v="5.2171823969583704"/>
  </r>
  <r>
    <x v="1"/>
    <x v="210"/>
    <n v="1268"/>
    <n v="58408841241.650002"/>
    <n v="49.861046433100903"/>
  </r>
  <r>
    <x v="0"/>
    <x v="210"/>
    <n v="281434"/>
    <n v="1742063298538.3899"/>
    <n v="39.828650274536301"/>
  </r>
  <r>
    <x v="2"/>
    <x v="210"/>
    <n v="417"/>
    <n v="6872090576.5200005"/>
    <n v="5.0666601659250903"/>
  </r>
  <r>
    <x v="1"/>
    <x v="211"/>
    <n v="1327"/>
    <n v="59412547411.709999"/>
    <n v="50.041602938675602"/>
  </r>
  <r>
    <x v="0"/>
    <x v="211"/>
    <n v="281942"/>
    <n v="1736000312551.3601"/>
    <n v="39.785668611666999"/>
  </r>
  <r>
    <x v="2"/>
    <x v="211"/>
    <n v="437"/>
    <n v="7393854531.21"/>
    <n v="4.8753149695735098"/>
  </r>
  <r>
    <x v="1"/>
    <x v="212"/>
    <n v="1392"/>
    <n v="60879463797.669998"/>
    <n v="49.732673803789197"/>
  </r>
  <r>
    <x v="0"/>
    <x v="212"/>
    <n v="282590"/>
    <n v="1730062143723.8999"/>
    <n v="39.788947653144497"/>
  </r>
  <r>
    <x v="2"/>
    <x v="212"/>
    <n v="461"/>
    <n v="7990816564.1599998"/>
    <n v="4.8266331897788497"/>
  </r>
  <r>
    <x v="1"/>
    <x v="213"/>
    <n v="1471"/>
    <n v="61528554510.57"/>
    <n v="50.029850511206497"/>
  </r>
  <r>
    <x v="0"/>
    <x v="213"/>
    <n v="283012"/>
    <n v="1716111353814.28"/>
    <n v="39.818997803828701"/>
  </r>
  <r>
    <x v="2"/>
    <x v="213"/>
    <n v="487"/>
    <n v="8517165199.3299999"/>
    <n v="4.8060863923828796"/>
  </r>
  <r>
    <x v="1"/>
    <x v="214"/>
    <n v="1523"/>
    <n v="63432840444.580002"/>
    <n v="51.283897085241797"/>
  </r>
  <r>
    <x v="0"/>
    <x v="214"/>
    <n v="283516"/>
    <n v="1704192012667.5601"/>
    <n v="39.885672792783303"/>
  </r>
  <r>
    <x v="2"/>
    <x v="214"/>
    <n v="514"/>
    <n v="9074021450.3299999"/>
    <n v="4.7788658709087599"/>
  </r>
  <r>
    <x v="1"/>
    <x v="215"/>
    <n v="1561"/>
    <n v="63431287348.879997"/>
    <n v="51.692811853623098"/>
  </r>
  <r>
    <x v="0"/>
    <x v="215"/>
    <n v="284179"/>
    <n v="1704718198742.55"/>
    <n v="40.227181856095598"/>
  </r>
  <r>
    <x v="2"/>
    <x v="215"/>
    <n v="537"/>
    <n v="9400322582.2900009"/>
    <n v="5.0314139348250704"/>
  </r>
  <r>
    <x v="1"/>
    <x v="216"/>
    <n v="1581"/>
    <n v="63028905485.379997"/>
    <n v="51.629772588459502"/>
  </r>
  <r>
    <x v="0"/>
    <x v="216"/>
    <n v="284757"/>
    <n v="1695810438281.72"/>
    <n v="40.271115027053099"/>
  </r>
  <r>
    <x v="2"/>
    <x v="216"/>
    <n v="563"/>
    <n v="10323435733.66"/>
    <n v="5.2682738615772804"/>
  </r>
  <r>
    <x v="1"/>
    <x v="217"/>
    <n v="1608"/>
    <n v="62701545672.050003"/>
    <n v="51.527151557301003"/>
  </r>
  <r>
    <x v="0"/>
    <x v="217"/>
    <n v="285377"/>
    <n v="1691373410963.1499"/>
    <n v="40.321817263505601"/>
  </r>
  <r>
    <x v="2"/>
    <x v="217"/>
    <n v="596"/>
    <n v="11215689816.950001"/>
    <n v="5.3326676328561096"/>
  </r>
  <r>
    <x v="1"/>
    <x v="218"/>
    <n v="1644"/>
    <n v="62862062606.980003"/>
    <n v="51.4358770863563"/>
  </r>
  <r>
    <x v="0"/>
    <x v="218"/>
    <n v="286478"/>
    <n v="1700883766281.3999"/>
    <n v="40.567718977334103"/>
  </r>
  <r>
    <x v="2"/>
    <x v="218"/>
    <n v="653"/>
    <n v="12887725448.07"/>
    <n v="5.3579089002529701"/>
  </r>
  <r>
    <x v="1"/>
    <x v="219"/>
    <n v="1667"/>
    <n v="61402153038.43"/>
    <n v="51.782082313721602"/>
  </r>
  <r>
    <x v="0"/>
    <x v="219"/>
    <n v="286960"/>
    <n v="1686240153711.4299"/>
    <n v="40.606267948666002"/>
  </r>
  <r>
    <x v="2"/>
    <x v="219"/>
    <n v="701"/>
    <n v="14157505535.01"/>
    <n v="5.4833946545312999"/>
  </r>
  <r>
    <x v="1"/>
    <x v="220"/>
    <n v="1684"/>
    <n v="61117631921.150002"/>
    <n v="51.696598905557401"/>
  </r>
  <r>
    <x v="0"/>
    <x v="220"/>
    <n v="287883"/>
    <n v="1687594503417.6201"/>
    <n v="40.753452866155499"/>
  </r>
  <r>
    <x v="2"/>
    <x v="220"/>
    <n v="753"/>
    <n v="16332228361.5"/>
    <n v="5.7880248941599701"/>
  </r>
  <r>
    <x v="1"/>
    <x v="221"/>
    <n v="1697"/>
    <n v="61062774148.769997"/>
    <n v="51.595189404265199"/>
  </r>
  <r>
    <x v="0"/>
    <x v="221"/>
    <n v="288800"/>
    <n v="1678034216160.9199"/>
    <n v="40.6884489194209"/>
  </r>
  <r>
    <x v="2"/>
    <x v="221"/>
    <n v="818"/>
    <n v="18926538940.299999"/>
    <n v="6.4041408435462301"/>
  </r>
  <r>
    <x v="3"/>
    <x v="221"/>
    <n v="91"/>
    <n v="5555695171.1300001"/>
    <n v="1.96488164685293"/>
  </r>
  <r>
    <x v="1"/>
    <x v="222"/>
    <n v="1720"/>
    <n v="61530216630.559998"/>
    <n v="51.537304012651198"/>
  </r>
  <r>
    <x v="0"/>
    <x v="222"/>
    <n v="289667"/>
    <n v="1673253636966.7"/>
    <n v="40.711988822909497"/>
  </r>
  <r>
    <x v="2"/>
    <x v="222"/>
    <n v="877"/>
    <n v="21611125130.189999"/>
    <n v="7.5643304815854098"/>
  </r>
  <r>
    <x v="3"/>
    <x v="222"/>
    <n v="156"/>
    <n v="8754398274.3899994"/>
    <n v="4.0578836498131601"/>
  </r>
  <r>
    <x v="1"/>
    <x v="223"/>
    <n v="1748"/>
    <n v="61794453574.470001"/>
    <n v="51.570867536532901"/>
  </r>
  <r>
    <x v="0"/>
    <x v="223"/>
    <n v="290751"/>
    <n v="1668901981848.5"/>
    <n v="40.703129365906896"/>
  </r>
  <r>
    <x v="2"/>
    <x v="223"/>
    <n v="932"/>
    <n v="24194119358.029999"/>
    <n v="8.1022630068049608"/>
  </r>
  <r>
    <x v="3"/>
    <x v="223"/>
    <n v="210"/>
    <n v="12053254300.4"/>
    <n v="4.55259411111183"/>
  </r>
  <r>
    <x v="1"/>
    <x v="224"/>
    <n v="1779"/>
    <n v="61518645943.379997"/>
    <n v="51.808485521638701"/>
  </r>
  <r>
    <x v="0"/>
    <x v="224"/>
    <n v="292008"/>
    <n v="1663516641773.1899"/>
    <n v="40.711164580375701"/>
  </r>
  <r>
    <x v="2"/>
    <x v="224"/>
    <n v="993"/>
    <n v="26597645245.860001"/>
    <n v="8.7442769372158509"/>
  </r>
  <r>
    <x v="3"/>
    <x v="224"/>
    <n v="281"/>
    <n v="15145163161.950001"/>
    <n v="5.87080797304146"/>
  </r>
  <r>
    <x v="1"/>
    <x v="225"/>
    <n v="1797"/>
    <n v="60741144641.419998"/>
    <n v="52.054060787439198"/>
  </r>
  <r>
    <x v="0"/>
    <x v="225"/>
    <n v="292794"/>
    <n v="1648405277502.1699"/>
    <n v="40.6419494731173"/>
  </r>
  <r>
    <x v="2"/>
    <x v="225"/>
    <n v="1047"/>
    <n v="28293094942.189999"/>
    <n v="9.0748742316109698"/>
  </r>
  <r>
    <x v="3"/>
    <x v="225"/>
    <n v="339"/>
    <n v="17141506906.68"/>
    <n v="6.46676110560756"/>
  </r>
  <r>
    <x v="1"/>
    <x v="226"/>
    <n v="1849"/>
    <n v="61181393447.510002"/>
    <n v="52.816817243117598"/>
  </r>
  <r>
    <x v="0"/>
    <x v="226"/>
    <n v="294272"/>
    <n v="1656955004649.22"/>
    <n v="40.825464163524998"/>
  </r>
  <r>
    <x v="2"/>
    <x v="226"/>
    <n v="1134"/>
    <n v="31066598637.540001"/>
    <n v="9.0904008199053603"/>
  </r>
  <r>
    <x v="3"/>
    <x v="226"/>
    <n v="427"/>
    <n v="20228876583.380001"/>
    <n v="6.3757849610075601"/>
  </r>
  <r>
    <x v="1"/>
    <x v="227"/>
    <n v="1864"/>
    <n v="59324750524.360001"/>
    <n v="53.371745684356704"/>
  </r>
  <r>
    <x v="0"/>
    <x v="227"/>
    <n v="294972"/>
    <n v="1645019670084.6001"/>
    <n v="40.731262396089903"/>
  </r>
  <r>
    <x v="2"/>
    <x v="227"/>
    <n v="1194"/>
    <n v="33051971704.52"/>
    <n v="9.48797477532875"/>
  </r>
  <r>
    <x v="3"/>
    <x v="227"/>
    <n v="493"/>
    <n v="22634123601.41"/>
    <n v="7.0954932029341196"/>
  </r>
  <r>
    <x v="1"/>
    <x v="228"/>
    <n v="1890"/>
    <n v="59341253640.129997"/>
    <n v="53.834291065296902"/>
  </r>
  <r>
    <x v="0"/>
    <x v="228"/>
    <n v="295747"/>
    <n v="1641408813705.6101"/>
    <n v="40.813105188442002"/>
  </r>
  <r>
    <x v="2"/>
    <x v="228"/>
    <n v="1265"/>
    <n v="35343557017.519997"/>
    <n v="9.5059364246822593"/>
  </r>
  <r>
    <x v="3"/>
    <x v="228"/>
    <n v="572"/>
    <n v="25710780014.439999"/>
    <n v="7.1127309063595501"/>
  </r>
  <r>
    <x v="1"/>
    <x v="229"/>
    <n v="1907"/>
    <n v="58273862919.07"/>
    <n v="54.274148876370397"/>
  </r>
  <r>
    <x v="0"/>
    <x v="229"/>
    <n v="296480"/>
    <n v="1639099306167.1299"/>
    <n v="40.932315370911802"/>
  </r>
  <r>
    <x v="2"/>
    <x v="229"/>
    <n v="1335"/>
    <n v="37312888521.379997"/>
    <n v="9.80572026479242"/>
  </r>
  <r>
    <x v="3"/>
    <x v="229"/>
    <n v="639"/>
    <n v="27919269484.799999"/>
    <n v="7.4977817106428502"/>
  </r>
  <r>
    <x v="1"/>
    <x v="230"/>
    <n v="1927"/>
    <n v="57984952680.769997"/>
    <n v="54.4577668094892"/>
  </r>
  <r>
    <x v="0"/>
    <x v="230"/>
    <n v="296774"/>
    <n v="1632928605681.1299"/>
    <n v="40.907171875611098"/>
  </r>
  <r>
    <x v="2"/>
    <x v="230"/>
    <n v="1395"/>
    <n v="39156032691.959999"/>
    <n v="9.9236734305459908"/>
  </r>
  <r>
    <x v="3"/>
    <x v="230"/>
    <n v="704"/>
    <n v="30041763432.959999"/>
    <n v="7.7688699614535199"/>
  </r>
  <r>
    <x v="1"/>
    <x v="231"/>
    <n v="1940"/>
    <n v="57919460773.599998"/>
    <n v="54.996216952753997"/>
  </r>
  <r>
    <x v="0"/>
    <x v="231"/>
    <n v="297206"/>
    <n v="1630926522634.1799"/>
    <n v="40.888030216353599"/>
  </r>
  <r>
    <x v="2"/>
    <x v="231"/>
    <n v="1447"/>
    <n v="41135466403"/>
    <n v="10.1655479331147"/>
  </r>
  <r>
    <x v="3"/>
    <x v="231"/>
    <n v="760"/>
    <n v="32087573394.82"/>
    <n v="7.99730141520606"/>
  </r>
  <r>
    <x v="1"/>
    <x v="232"/>
    <n v="1951"/>
    <n v="57743623776.370003"/>
    <n v="54.9185183029428"/>
  </r>
  <r>
    <x v="0"/>
    <x v="232"/>
    <n v="297478"/>
    <n v="1634172612883.0801"/>
    <n v="40.951971150373502"/>
  </r>
  <r>
    <x v="2"/>
    <x v="232"/>
    <n v="1489"/>
    <n v="42553384727.230003"/>
    <n v="10.2978014857052"/>
  </r>
  <r>
    <x v="3"/>
    <x v="232"/>
    <n v="806"/>
    <n v="33554081959.810001"/>
    <n v="8.2404824532632794"/>
  </r>
  <r>
    <x v="1"/>
    <x v="233"/>
    <n v="1967"/>
    <n v="57562689788.809998"/>
    <n v="55.262204909544799"/>
  </r>
  <r>
    <x v="0"/>
    <x v="233"/>
    <n v="297713"/>
    <n v="1630715136837.8301"/>
    <n v="40.936538217090799"/>
  </r>
  <r>
    <x v="2"/>
    <x v="233"/>
    <n v="1527"/>
    <n v="44044353148.919998"/>
    <n v="10.4745315721872"/>
  </r>
  <r>
    <x v="3"/>
    <x v="233"/>
    <n v="846"/>
    <n v="34996952153.550003"/>
    <n v="8.6310861028875205"/>
  </r>
  <r>
    <x v="1"/>
    <x v="234"/>
    <n v="1980"/>
    <n v="57358795381.5"/>
    <n v="55.469993984698199"/>
  </r>
  <r>
    <x v="0"/>
    <x v="234"/>
    <n v="297745"/>
    <n v="1635352864892.78"/>
    <n v="40.961177546825802"/>
  </r>
  <r>
    <x v="2"/>
    <x v="234"/>
    <n v="1571"/>
    <n v="45268306712.739998"/>
    <n v="10.5434785020561"/>
  </r>
  <r>
    <x v="3"/>
    <x v="234"/>
    <n v="890"/>
    <n v="36201078184.980003"/>
    <n v="8.7051636329041706"/>
  </r>
  <r>
    <x v="1"/>
    <x v="235"/>
    <n v="2002"/>
    <n v="57378888746.93"/>
    <n v="55.676204410870199"/>
  </r>
  <r>
    <x v="0"/>
    <x v="235"/>
    <n v="297935"/>
    <n v="1638979706834.8101"/>
    <n v="40.968530167770602"/>
  </r>
  <r>
    <x v="2"/>
    <x v="235"/>
    <n v="1617"/>
    <n v="46324942815.470001"/>
    <n v="10.6293765440142"/>
  </r>
  <r>
    <x v="3"/>
    <x v="235"/>
    <n v="939"/>
    <n v="37243354893.68"/>
    <n v="8.7429604244928694"/>
  </r>
  <r>
    <x v="1"/>
    <x v="236"/>
    <n v="2022"/>
    <n v="57356413673.699997"/>
    <n v="55.685002172748099"/>
  </r>
  <r>
    <x v="0"/>
    <x v="236"/>
    <n v="298051"/>
    <n v="1644012668533.9099"/>
    <n v="41.026529203945202"/>
  </r>
  <r>
    <x v="2"/>
    <x v="236"/>
    <n v="1660"/>
    <n v="47014770367.400002"/>
    <n v="10.672681254206999"/>
  </r>
  <r>
    <x v="3"/>
    <x v="236"/>
    <n v="980"/>
    <n v="37852364380.050003"/>
    <n v="8.8041615691801294"/>
  </r>
  <r>
    <x v="1"/>
    <x v="237"/>
    <n v="2039"/>
    <n v="57531922542.139999"/>
    <n v="55.804754998369198"/>
  </r>
  <r>
    <x v="0"/>
    <x v="237"/>
    <n v="298245"/>
    <n v="1652973739227.2"/>
    <n v="41.054040824349997"/>
  </r>
  <r>
    <x v="2"/>
    <x v="237"/>
    <n v="1704"/>
    <n v="47554737040.699997"/>
    <n v="10.6800878126912"/>
  </r>
  <r>
    <x v="3"/>
    <x v="237"/>
    <n v="1016"/>
    <n v="38288256348.959999"/>
    <n v="8.8215384490494806"/>
  </r>
  <r>
    <x v="1"/>
    <x v="238"/>
    <n v="2050"/>
    <n v="57672150701.269997"/>
    <n v="55.889853300536899"/>
  </r>
  <r>
    <x v="0"/>
    <x v="238"/>
    <n v="298380"/>
    <n v="1657289777281.8"/>
    <n v="41.079080840162803"/>
  </r>
  <r>
    <x v="2"/>
    <x v="238"/>
    <n v="1735"/>
    <n v="47935165709.389999"/>
    <n v="10.7225559926098"/>
  </r>
  <r>
    <x v="3"/>
    <x v="238"/>
    <n v="1053"/>
    <n v="38615010697.739998"/>
    <n v="8.8564328473556397"/>
  </r>
  <r>
    <x v="1"/>
    <x v="239"/>
    <n v="2057"/>
    <n v="57721870841.419998"/>
    <n v="55.993488273767198"/>
  </r>
  <r>
    <x v="0"/>
    <x v="239"/>
    <n v="298565"/>
    <n v="1661238948532.75"/>
    <n v="41.107060968752897"/>
  </r>
  <r>
    <x v="2"/>
    <x v="239"/>
    <n v="1774"/>
    <n v="48419743931.309998"/>
    <n v="10.674235241131001"/>
  </r>
  <r>
    <x v="3"/>
    <x v="239"/>
    <n v="1080"/>
    <n v="39260930004.410004"/>
    <n v="8.7785104077140801"/>
  </r>
  <r>
    <x v="1"/>
    <x v="240"/>
    <n v="2063"/>
    <n v="57492039709.059998"/>
    <n v="56.062952040144197"/>
  </r>
  <r>
    <x v="0"/>
    <x v="240"/>
    <n v="298522"/>
    <n v="1659593431085.3999"/>
    <n v="41.083924968803103"/>
  </r>
  <r>
    <x v="2"/>
    <x v="240"/>
    <n v="1801"/>
    <n v="48560145055.739998"/>
    <n v="11.2740221700998"/>
  </r>
  <r>
    <x v="3"/>
    <x v="240"/>
    <n v="1104"/>
    <n v="39416596215.529999"/>
    <n v="9.9498178283714598"/>
  </r>
  <r>
    <x v="1"/>
    <x v="241"/>
    <n v="2070"/>
    <n v="57352259518.470001"/>
    <n v="56.112751578982298"/>
  </r>
  <r>
    <x v="0"/>
    <x v="241"/>
    <n v="298590"/>
    <n v="1661124798886"/>
    <n v="41.114781099123398"/>
  </r>
  <r>
    <x v="2"/>
    <x v="241"/>
    <n v="1826"/>
    <n v="48717365807.82"/>
    <n v="11.313884043185199"/>
  </r>
  <r>
    <x v="3"/>
    <x v="241"/>
    <n v="1126"/>
    <n v="39507898369.230003"/>
    <n v="9.9660581751841395"/>
  </r>
  <r>
    <x v="1"/>
    <x v="242"/>
    <n v="2071"/>
    <n v="57132134715.449997"/>
    <n v="56.156672645441198"/>
  </r>
  <r>
    <x v="0"/>
    <x v="242"/>
    <n v="298754"/>
    <n v="1661638057181.03"/>
    <n v="41.1355549227547"/>
  </r>
  <r>
    <x v="2"/>
    <x v="242"/>
    <n v="1844"/>
    <n v="48775718507.580002"/>
    <n v="11.3244200103211"/>
  </r>
  <r>
    <x v="3"/>
    <x v="242"/>
    <n v="1146"/>
    <n v="39554921006.989998"/>
    <n v="9.9777651416054294"/>
  </r>
  <r>
    <x v="1"/>
    <x v="243"/>
    <n v="2078"/>
    <n v="56845766696.43"/>
    <n v="56.218865940761098"/>
  </r>
  <r>
    <x v="0"/>
    <x v="243"/>
    <n v="298806"/>
    <n v="1662332949157.3501"/>
    <n v="41.173930644224001"/>
  </r>
  <r>
    <x v="2"/>
    <x v="243"/>
    <n v="1858"/>
    <n v="48727978881.080002"/>
    <n v="11.3559422423657"/>
  </r>
  <r>
    <x v="3"/>
    <x v="243"/>
    <n v="1161"/>
    <n v="39534993055.339996"/>
    <n v="9.9917035233597993"/>
  </r>
  <r>
    <x v="1"/>
    <x v="244"/>
    <n v="2079"/>
    <n v="56578875659.620003"/>
    <n v="56.2556006679403"/>
  </r>
  <r>
    <x v="0"/>
    <x v="244"/>
    <n v="298894"/>
    <n v="1662352977660.22"/>
    <n v="41.202461193088197"/>
  </r>
  <r>
    <x v="2"/>
    <x v="244"/>
    <n v="1870"/>
    <n v="48598619464.529999"/>
    <n v="11.3883130076679"/>
  </r>
  <r>
    <x v="3"/>
    <x v="244"/>
    <n v="1174"/>
    <n v="39463404393.919998"/>
    <n v="9.9957571380735306"/>
  </r>
  <r>
    <x v="1"/>
    <x v="245"/>
    <n v="2077"/>
    <n v="56276938887.650002"/>
    <n v="56.313756728637301"/>
  </r>
  <r>
    <x v="0"/>
    <x v="245"/>
    <n v="299170"/>
    <n v="1664665897034.6699"/>
    <n v="41.229704809454702"/>
  </r>
  <r>
    <x v="2"/>
    <x v="245"/>
    <n v="1884"/>
    <n v="48483101276.080002"/>
    <n v="11.400463107913801"/>
  </r>
  <r>
    <x v="3"/>
    <x v="245"/>
    <n v="1188"/>
    <n v="39388794194.209999"/>
    <n v="10.0016790434494"/>
  </r>
  <r>
    <x v="1"/>
    <x v="246"/>
    <n v="2081"/>
    <n v="56062210355.080002"/>
    <n v="56.280715358585603"/>
  </r>
  <r>
    <x v="0"/>
    <x v="246"/>
    <n v="299545"/>
    <n v="1668539955684.26"/>
    <n v="41.230693593200499"/>
  </r>
  <r>
    <x v="2"/>
    <x v="246"/>
    <n v="1898"/>
    <n v="48306769923.019997"/>
    <n v="11.4000561949484"/>
  </r>
  <r>
    <x v="3"/>
    <x v="246"/>
    <n v="1198"/>
    <n v="39294654817.349998"/>
    <n v="10.008637869189499"/>
  </r>
  <r>
    <x v="1"/>
    <x v="247"/>
    <n v="2087"/>
    <n v="55645540533.309998"/>
    <n v="56.356231087793297"/>
  </r>
  <r>
    <x v="0"/>
    <x v="247"/>
    <n v="299871"/>
    <n v="1670343938037"/>
    <n v="41.230501122969898"/>
  </r>
  <r>
    <x v="2"/>
    <x v="247"/>
    <n v="1915"/>
    <n v="48102232418.32"/>
    <n v="11.3929747383534"/>
  </r>
  <r>
    <x v="3"/>
    <x v="247"/>
    <n v="1209"/>
    <n v="39192835810.529999"/>
    <n v="10.008443620452599"/>
  </r>
  <r>
    <x v="1"/>
    <x v="248"/>
    <n v="2090"/>
    <n v="55621264788.639999"/>
    <n v="56.5913664429766"/>
  </r>
  <r>
    <x v="0"/>
    <x v="248"/>
    <n v="300262"/>
    <n v="1676850309557.6299"/>
    <n v="41.343651206376599"/>
  </r>
  <r>
    <x v="2"/>
    <x v="248"/>
    <n v="1926"/>
    <n v="47890424521.330002"/>
    <n v="11.4007178927874"/>
  </r>
  <r>
    <x v="3"/>
    <x v="248"/>
    <n v="1218"/>
    <n v="39081676749.080002"/>
    <n v="10.0136348471696"/>
  </r>
  <r>
    <x v="1"/>
    <x v="249"/>
    <n v="2089"/>
    <n v="55366832140.669998"/>
    <n v="56.647323457477498"/>
  </r>
  <r>
    <x v="0"/>
    <x v="249"/>
    <n v="300784"/>
    <n v="1684277646790.8601"/>
    <n v="41.401183483495501"/>
  </r>
  <r>
    <x v="2"/>
    <x v="249"/>
    <n v="1935"/>
    <n v="47664710255.110001"/>
    <n v="11.389477929322499"/>
  </r>
  <r>
    <x v="3"/>
    <x v="249"/>
    <n v="1229"/>
    <n v="38971879224.970001"/>
    <n v="10.0053613033938"/>
  </r>
  <r>
    <x v="1"/>
    <x v="250"/>
    <n v="2093"/>
    <n v="55101250894.25"/>
    <n v="56.609313053964698"/>
  </r>
  <r>
    <x v="0"/>
    <x v="250"/>
    <n v="301174"/>
    <n v="1685362593546.73"/>
    <n v="41.392233911246898"/>
  </r>
  <r>
    <x v="2"/>
    <x v="250"/>
    <n v="1943"/>
    <n v="47405248626.07"/>
    <n v="11.411398648258899"/>
  </r>
  <r>
    <x v="3"/>
    <x v="250"/>
    <n v="1234"/>
    <n v="38837765170.470001"/>
    <n v="10.030960465518399"/>
  </r>
  <r>
    <x v="1"/>
    <x v="251"/>
    <n v="2104"/>
    <n v="54945293853.269997"/>
    <n v="56.575762677632802"/>
  </r>
  <r>
    <x v="0"/>
    <x v="251"/>
    <n v="301744"/>
    <n v="1694662663304.0601"/>
    <n v="41.420001405391197"/>
  </r>
  <r>
    <x v="2"/>
    <x v="251"/>
    <n v="1957"/>
    <n v="47210415269.309998"/>
    <n v="11.3950944795839"/>
  </r>
  <r>
    <x v="3"/>
    <x v="251"/>
    <n v="1244"/>
    <n v="38713428394.529999"/>
    <n v="10.0225890543967"/>
  </r>
  <r>
    <x v="1"/>
    <x v="252"/>
    <n v="2112"/>
    <n v="54539779489.800003"/>
    <n v="56.617766173499398"/>
  </r>
  <r>
    <x v="0"/>
    <x v="252"/>
    <n v="302124"/>
    <n v="1697793974754.6899"/>
    <n v="41.4295179182621"/>
  </r>
  <r>
    <x v="2"/>
    <x v="252"/>
    <n v="1967"/>
    <n v="46941608230.800003"/>
    <n v="11.4257415854049"/>
  </r>
  <r>
    <x v="3"/>
    <x v="252"/>
    <n v="1251"/>
    <n v="38563701206.080002"/>
    <n v="10.033172916204199"/>
  </r>
  <r>
    <x v="1"/>
    <x v="253"/>
    <n v="2123"/>
    <n v="54424224378.089996"/>
    <n v="56.513049916291799"/>
  </r>
  <r>
    <x v="0"/>
    <x v="253"/>
    <n v="302604"/>
    <n v="1701526727197.6599"/>
    <n v="41.431583913752704"/>
  </r>
  <r>
    <x v="2"/>
    <x v="253"/>
    <n v="1977"/>
    <n v="46731480687.449997"/>
    <n v="11.4323496445462"/>
  </r>
  <r>
    <x v="3"/>
    <x v="253"/>
    <n v="1258"/>
    <n v="38419602868.800003"/>
    <n v="10.044594881204199"/>
  </r>
  <r>
    <x v="1"/>
    <x v="254"/>
    <n v="2127"/>
    <n v="53980461373.160004"/>
    <n v="56.328710957907902"/>
  </r>
  <r>
    <x v="0"/>
    <x v="254"/>
    <n v="303067"/>
    <n v="1705063723228.8799"/>
    <n v="41.375947226311197"/>
  </r>
  <r>
    <x v="2"/>
    <x v="254"/>
    <n v="1989"/>
    <n v="46448619701.699997"/>
    <n v="11.4473512149578"/>
  </r>
  <r>
    <x v="3"/>
    <x v="254"/>
    <n v="1267"/>
    <n v="38264484535.919998"/>
    <n v="10.043630548384799"/>
  </r>
  <r>
    <x v="1"/>
    <x v="255"/>
    <n v="2130"/>
    <n v="53334300236"/>
    <n v="56.292809307133801"/>
  </r>
  <r>
    <x v="0"/>
    <x v="255"/>
    <n v="303626"/>
    <n v="1705465041251.01"/>
    <n v="41.297202390886603"/>
  </r>
  <r>
    <x v="2"/>
    <x v="255"/>
    <n v="2000"/>
    <n v="46068741761.550003"/>
    <n v="11.4487406357936"/>
  </r>
  <r>
    <x v="3"/>
    <x v="255"/>
    <n v="1274"/>
    <n v="38076849573.309998"/>
    <n v="10.051319179239099"/>
  </r>
  <r>
    <x v="1"/>
    <x v="256"/>
    <n v="2136"/>
    <n v="52743944187.010002"/>
    <n v="56.217603254707903"/>
  </r>
  <r>
    <x v="0"/>
    <x v="256"/>
    <n v="304069"/>
    <n v="1707243648596.95"/>
    <n v="41.276649152192498"/>
  </r>
  <r>
    <x v="2"/>
    <x v="256"/>
    <n v="2010"/>
    <n v="45680607740.449997"/>
    <n v="11.4348511216647"/>
  </r>
  <r>
    <x v="3"/>
    <x v="256"/>
    <n v="1284"/>
    <n v="37874463420.110001"/>
    <n v="10.038295481757499"/>
  </r>
  <r>
    <x v="1"/>
    <x v="257"/>
    <n v="2144"/>
    <n v="53035541022.290001"/>
    <n v="55.517665318327801"/>
  </r>
  <r>
    <x v="0"/>
    <x v="257"/>
    <n v="304526"/>
    <n v="1710074547945.3301"/>
    <n v="41.237016315499503"/>
  </r>
  <r>
    <x v="2"/>
    <x v="257"/>
    <n v="2021"/>
    <n v="45283690761.019997"/>
    <n v="11.413176930267101"/>
  </r>
  <r>
    <x v="3"/>
    <x v="257"/>
    <n v="1291"/>
    <n v="37654575557.940002"/>
    <n v="10.027444030899"/>
  </r>
  <r>
    <x v="1"/>
    <x v="258"/>
    <n v="2149"/>
    <n v="52795398936.43"/>
    <n v="55.196281293918297"/>
  </r>
  <r>
    <x v="0"/>
    <x v="258"/>
    <n v="304957"/>
    <n v="1715173017738.5601"/>
    <n v="41.238030389460498"/>
  </r>
  <r>
    <x v="2"/>
    <x v="258"/>
    <n v="2034"/>
    <n v="44830717499.190002"/>
    <n v="11.433175164160501"/>
  </r>
  <r>
    <x v="3"/>
    <x v="258"/>
    <n v="1300"/>
    <n v="37410876254.669998"/>
    <n v="10.0193517038736"/>
  </r>
  <r>
    <x v="1"/>
    <x v="259"/>
    <n v="2162"/>
    <n v="52770132887.830002"/>
    <n v="54.960807018460699"/>
  </r>
  <r>
    <x v="0"/>
    <x v="259"/>
    <n v="305492"/>
    <n v="1718096723563.3201"/>
    <n v="41.222075065960802"/>
  </r>
  <r>
    <x v="2"/>
    <x v="259"/>
    <n v="2042"/>
    <n v="44381702236.650002"/>
    <n v="11.4263631237241"/>
  </r>
  <r>
    <x v="3"/>
    <x v="259"/>
    <n v="1307"/>
    <n v="37159487080.809998"/>
    <n v="10.013690901575"/>
  </r>
  <r>
    <x v="1"/>
    <x v="260"/>
    <n v="2173"/>
    <n v="52633387839.209999"/>
    <n v="54.787642698126703"/>
  </r>
  <r>
    <x v="0"/>
    <x v="260"/>
    <n v="306021"/>
    <n v="1729227687203.3701"/>
    <n v="41.196666288365599"/>
  </r>
  <r>
    <x v="2"/>
    <x v="260"/>
    <n v="2052"/>
    <n v="44008637029.370003"/>
    <n v="11.4193993232614"/>
  </r>
  <r>
    <x v="3"/>
    <x v="260"/>
    <n v="1315"/>
    <n v="36939526623.260002"/>
    <n v="10.012172178677201"/>
  </r>
  <r>
    <x v="1"/>
    <x v="261"/>
    <n v="2186"/>
    <n v="52506624208.32"/>
    <n v="54.656304872564498"/>
  </r>
  <r>
    <x v="0"/>
    <x v="261"/>
    <n v="306476"/>
    <n v="1737379808198.2"/>
    <n v="41.224075048833598"/>
  </r>
  <r>
    <x v="2"/>
    <x v="261"/>
    <n v="2069"/>
    <n v="43698985154.040001"/>
    <n v="11.394420913548901"/>
  </r>
  <r>
    <x v="3"/>
    <x v="261"/>
    <n v="1328"/>
    <n v="36789617512.57"/>
    <n v="9.9759508900854499"/>
  </r>
  <r>
    <x v="1"/>
    <x v="262"/>
    <n v="2195"/>
    <n v="52316553177.239998"/>
    <n v="54.5741129126476"/>
  </r>
  <r>
    <x v="0"/>
    <x v="262"/>
    <n v="306761"/>
    <n v="1734507571227.5901"/>
    <n v="41.183459622241699"/>
  </r>
  <r>
    <x v="2"/>
    <x v="262"/>
    <n v="2073"/>
    <n v="43286317529.480003"/>
    <n v="11.487409237129"/>
  </r>
  <r>
    <x v="3"/>
    <x v="262"/>
    <n v="1332"/>
    <n v="36550588239.07"/>
    <n v="10.151531886325101"/>
  </r>
  <r>
    <x v="1"/>
    <x v="263"/>
    <n v="2212"/>
    <n v="52451800097.93"/>
    <n v="54.240019637383398"/>
  </r>
  <r>
    <x v="0"/>
    <x v="263"/>
    <n v="307158"/>
    <n v="1742660147829.8999"/>
    <n v="41.201769030992999"/>
  </r>
  <r>
    <x v="2"/>
    <x v="263"/>
    <n v="2082"/>
    <n v="42975673769.300003"/>
    <n v="11.478569622936799"/>
  </r>
  <r>
    <x v="3"/>
    <x v="263"/>
    <n v="1339"/>
    <n v="36350171434.389999"/>
    <n v="10.141755499199499"/>
  </r>
  <r>
    <x v="1"/>
    <x v="264"/>
    <n v="2214"/>
    <n v="52231231146.370003"/>
    <n v="54.140792253632199"/>
  </r>
  <r>
    <x v="0"/>
    <x v="264"/>
    <n v="307309"/>
    <n v="1746557623903.75"/>
    <n v="41.163498059336497"/>
  </r>
  <r>
    <x v="2"/>
    <x v="264"/>
    <n v="2090"/>
    <n v="42587228592.629997"/>
    <n v="11.480645409167799"/>
  </r>
  <r>
    <x v="3"/>
    <x v="264"/>
    <n v="1343"/>
    <n v="36103641907.169998"/>
    <n v="10.1478029805526"/>
  </r>
  <r>
    <x v="1"/>
    <x v="265"/>
    <n v="2226"/>
    <n v="52211453665.650002"/>
    <n v="54.126370196884999"/>
  </r>
  <r>
    <x v="0"/>
    <x v="265"/>
    <n v="307672"/>
    <n v="1749230451883.8101"/>
    <n v="41.126233586787698"/>
  </r>
  <r>
    <x v="2"/>
    <x v="265"/>
    <n v="2098"/>
    <n v="42314996395.470001"/>
    <n v="11.485460568927399"/>
  </r>
  <r>
    <x v="3"/>
    <x v="265"/>
    <n v="1347"/>
    <n v="35909399214.110001"/>
    <n v="10.153422243206"/>
  </r>
  <r>
    <x v="1"/>
    <x v="266"/>
    <n v="2236"/>
    <n v="52408156377.43"/>
    <n v="53.900630191098401"/>
  </r>
  <r>
    <x v="0"/>
    <x v="266"/>
    <n v="308177"/>
    <n v="1758381892008.99"/>
    <n v="41.105025345408002"/>
  </r>
  <r>
    <x v="2"/>
    <x v="266"/>
    <n v="2109"/>
    <n v="42015385385.540001"/>
    <n v="11.4722869594521"/>
  </r>
  <r>
    <x v="3"/>
    <x v="266"/>
    <n v="1356"/>
    <n v="35708371081.940002"/>
    <n v="10.148498974165699"/>
  </r>
  <r>
    <x v="1"/>
    <x v="267"/>
    <n v="2249"/>
    <n v="52597600836.050003"/>
    <n v="53.822852366503398"/>
  </r>
  <r>
    <x v="0"/>
    <x v="267"/>
    <n v="308550"/>
    <n v="1762538348889.95"/>
    <n v="41.094582078711802"/>
  </r>
  <r>
    <x v="2"/>
    <x v="267"/>
    <n v="2122"/>
    <n v="41605142128.040001"/>
    <n v="11.448639516599799"/>
  </r>
  <r>
    <x v="3"/>
    <x v="267"/>
    <n v="1361"/>
    <n v="35410457427.75"/>
    <n v="10.1417714030542"/>
  </r>
  <r>
    <x v="1"/>
    <x v="268"/>
    <n v="2258"/>
    <n v="52812767276.599998"/>
    <n v="53.793219650096098"/>
  </r>
  <r>
    <x v="0"/>
    <x v="268"/>
    <n v="308957"/>
    <n v="1767039306438.99"/>
    <n v="41.0717891340907"/>
  </r>
  <r>
    <x v="2"/>
    <x v="268"/>
    <n v="2130"/>
    <n v="41147928671"/>
    <n v="11.4273106436679"/>
  </r>
  <r>
    <x v="3"/>
    <x v="268"/>
    <n v="1367"/>
    <n v="35129109527.150002"/>
    <n v="10.131110270941999"/>
  </r>
  <r>
    <x v="1"/>
    <x v="269"/>
    <n v="2265"/>
    <n v="53682511085.900002"/>
    <n v="53.558350718732399"/>
  </r>
  <r>
    <x v="0"/>
    <x v="269"/>
    <n v="309633"/>
    <n v="1773173538779.0801"/>
    <n v="41.052868699273198"/>
  </r>
  <r>
    <x v="2"/>
    <x v="269"/>
    <n v="2137"/>
    <n v="40666312136.339996"/>
    <n v="11.413357054076"/>
  </r>
  <r>
    <x v="3"/>
    <x v="269"/>
    <n v="1374"/>
    <n v="34806670533.199997"/>
    <n v="10.110422353154799"/>
  </r>
  <r>
    <x v="3"/>
    <x v="270"/>
    <n v="1380"/>
    <n v="34436906908.110001"/>
    <n v="10.1067773493444"/>
  </r>
  <r>
    <x v="0"/>
    <x v="270"/>
    <n v="310027"/>
    <n v="1776650798767.21"/>
    <n v="40.893643366204998"/>
  </r>
  <r>
    <x v="2"/>
    <x v="270"/>
    <n v="2143"/>
    <n v="40108011455.849998"/>
    <n v="11.390929425335999"/>
  </r>
  <r>
    <x v="1"/>
    <x v="270"/>
    <n v="2278"/>
    <n v="54334948049.68"/>
    <n v="53.393376079986801"/>
  </r>
  <r>
    <x v="0"/>
    <x v="271"/>
    <n v="310733"/>
    <n v="1788184749657.6001"/>
    <n v="40.790713645569099"/>
  </r>
  <r>
    <x v="3"/>
    <x v="271"/>
    <n v="1385"/>
    <n v="34088680556.189999"/>
    <n v="10.0838918868234"/>
  </r>
  <r>
    <x v="1"/>
    <x v="271"/>
    <n v="2291"/>
    <n v="55686999256.790001"/>
    <n v="53.392407852365103"/>
  </r>
  <r>
    <x v="2"/>
    <x v="271"/>
    <n v="2148"/>
    <n v="39586221687.860001"/>
    <n v="11.3698394688909"/>
  </r>
  <r>
    <x v="1"/>
    <x v="272"/>
    <n v="2303"/>
    <n v="56641834722.18"/>
    <n v="53.089247452087498"/>
  </r>
  <r>
    <x v="0"/>
    <x v="272"/>
    <n v="311376"/>
    <n v="1794130472303.8501"/>
    <n v="40.739078467885001"/>
  </r>
  <r>
    <x v="3"/>
    <x v="272"/>
    <n v="1390"/>
    <n v="33686513650.32"/>
    <n v="10.0528456314007"/>
  </r>
  <r>
    <x v="2"/>
    <x v="272"/>
    <n v="2155"/>
    <n v="38990714989.599998"/>
    <n v="11.336105511148499"/>
  </r>
  <r>
    <x v="4"/>
    <x v="273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2" cacheId="1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E3:AF273" firstHeaderRow="1" firstDataRow="1" firstDataCol="1" rowPageCount="1" colPageCount="1"/>
  <pivotFields count="5">
    <pivotField axis="axisPage" showAll="0">
      <items count="5">
        <item x="0"/>
        <item x="1"/>
        <item x="2"/>
        <item x="3"/>
        <item t="default"/>
      </items>
    </pivotField>
    <pivotField axis="axisRow" numFmtId="14" showAll="0">
      <items count="27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t="default"/>
      </items>
    </pivotField>
    <pivotField showAll="0"/>
    <pivotField showAll="0"/>
    <pivotField dataField="1" showAll="0"/>
  </pivotFields>
  <rowFields count="1">
    <field x="1"/>
  </rowFields>
  <rowItems count="27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 t="grand">
      <x/>
    </i>
  </rowItems>
  <colItems count="1">
    <i/>
  </colItems>
  <pageFields count="1">
    <pageField fld="0" item="0" hier="-1"/>
  </pageFields>
  <dataFields count="1">
    <dataField name="Sum of tpo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15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I3:J277" firstHeaderRow="1" firstDataRow="1" firstDataCol="1" rowPageCount="1" colPageCount="1"/>
  <pivotFields count="5">
    <pivotField axis="axisPage" showAll="0">
      <items count="6">
        <item x="1"/>
        <item x="0"/>
        <item x="2"/>
        <item x="3"/>
        <item x="4"/>
        <item t="default"/>
      </items>
    </pivotField>
    <pivotField axis="axisRow" showAll="0">
      <items count="2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t="default"/>
      </items>
    </pivotField>
    <pivotField showAll="0"/>
    <pivotField showAll="0"/>
    <pivotField dataField="1" showAll="0" defaultSubtotal="0"/>
  </pivotFields>
  <rowFields count="1">
    <field x="1"/>
  </rowFields>
  <rowItems count="2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 t="grand">
      <x/>
    </i>
  </rowItems>
  <colItems count="1">
    <i/>
  </colItems>
  <pageFields count="1">
    <pageField fld="0" item="1" hier="-1"/>
  </pageFields>
  <dataFields count="1">
    <dataField name="Sum of tpo" fld="4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09"/>
  <sheetViews>
    <sheetView tabSelected="1" workbookViewId="0"/>
  </sheetViews>
  <sheetFormatPr defaultRowHeight="15" x14ac:dyDescent="0.25"/>
  <cols>
    <col min="9" max="9" width="13.140625" bestFit="1" customWidth="1"/>
    <col min="10" max="10" width="12" customWidth="1"/>
    <col min="31" max="31" width="13.140625" bestFit="1" customWidth="1"/>
    <col min="32" max="32" width="12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12</v>
      </c>
      <c r="I1" s="2" t="s">
        <v>0</v>
      </c>
      <c r="J1" t="s">
        <v>5</v>
      </c>
      <c r="Y1" t="s">
        <v>0</v>
      </c>
      <c r="Z1" t="s">
        <v>1</v>
      </c>
      <c r="AA1" t="s">
        <v>2</v>
      </c>
      <c r="AB1" t="s">
        <v>3</v>
      </c>
      <c r="AC1" t="s">
        <v>12</v>
      </c>
      <c r="AE1" s="2" t="s">
        <v>0</v>
      </c>
      <c r="AF1" t="s">
        <v>14</v>
      </c>
      <c r="AJ1" t="s">
        <v>19</v>
      </c>
      <c r="AK1" t="s">
        <v>18</v>
      </c>
    </row>
    <row r="2" spans="1:37" x14ac:dyDescent="0.25">
      <c r="A2" t="s">
        <v>5</v>
      </c>
      <c r="B2" s="1">
        <v>34366</v>
      </c>
      <c r="C2">
        <v>126636</v>
      </c>
      <c r="D2">
        <v>278490248452.07001</v>
      </c>
      <c r="E2" t="s">
        <v>6</v>
      </c>
      <c r="Y2" t="s">
        <v>14</v>
      </c>
      <c r="Z2" s="1">
        <v>34366</v>
      </c>
      <c r="AA2">
        <v>47564</v>
      </c>
      <c r="AB2">
        <v>179363030607.07999</v>
      </c>
      <c r="AC2" t="s">
        <v>6</v>
      </c>
      <c r="AI2" s="3">
        <v>41091</v>
      </c>
      <c r="AJ2" s="5">
        <v>1.96488164685293</v>
      </c>
      <c r="AK2" s="5">
        <v>1.3093921486890501</v>
      </c>
    </row>
    <row r="3" spans="1:37" x14ac:dyDescent="0.25">
      <c r="A3" t="s">
        <v>5</v>
      </c>
      <c r="B3" s="1">
        <v>34394</v>
      </c>
      <c r="C3">
        <v>128266</v>
      </c>
      <c r="D3">
        <v>282050828421.97998</v>
      </c>
      <c r="E3" t="s">
        <v>6</v>
      </c>
      <c r="I3" s="2" t="s">
        <v>10</v>
      </c>
      <c r="J3" t="s">
        <v>13</v>
      </c>
      <c r="Y3" t="s">
        <v>14</v>
      </c>
      <c r="Z3" s="1">
        <v>34394</v>
      </c>
      <c r="AA3">
        <v>48770</v>
      </c>
      <c r="AB3">
        <v>182676426202.38</v>
      </c>
      <c r="AC3" t="s">
        <v>6</v>
      </c>
      <c r="AE3" s="2" t="s">
        <v>10</v>
      </c>
      <c r="AF3" t="s">
        <v>13</v>
      </c>
      <c r="AI3" s="3">
        <v>41122</v>
      </c>
      <c r="AJ3" s="5">
        <v>4.0578836498131601</v>
      </c>
      <c r="AK3" s="5">
        <v>2.1179819024251199</v>
      </c>
    </row>
    <row r="4" spans="1:37" x14ac:dyDescent="0.25">
      <c r="A4" t="s">
        <v>5</v>
      </c>
      <c r="B4" s="1">
        <v>34425</v>
      </c>
      <c r="C4">
        <v>129601</v>
      </c>
      <c r="D4">
        <v>283874201256.09003</v>
      </c>
      <c r="E4" t="s">
        <v>6</v>
      </c>
      <c r="I4" s="3">
        <v>34366</v>
      </c>
      <c r="J4" s="5">
        <v>0</v>
      </c>
      <c r="Y4" t="s">
        <v>14</v>
      </c>
      <c r="Z4" s="1">
        <v>34425</v>
      </c>
      <c r="AA4">
        <v>50054</v>
      </c>
      <c r="AB4">
        <v>187173844372.01001</v>
      </c>
      <c r="AC4" t="s">
        <v>6</v>
      </c>
      <c r="AE4" s="3">
        <v>34366</v>
      </c>
      <c r="AF4" s="5">
        <v>0</v>
      </c>
      <c r="AI4" s="3">
        <v>41153</v>
      </c>
      <c r="AJ4" s="5">
        <v>4.55259411111183</v>
      </c>
      <c r="AK4" s="5">
        <v>2.6978660979098401</v>
      </c>
    </row>
    <row r="5" spans="1:37" x14ac:dyDescent="0.25">
      <c r="A5" t="s">
        <v>5</v>
      </c>
      <c r="B5" s="1">
        <v>34455</v>
      </c>
      <c r="C5">
        <v>130768</v>
      </c>
      <c r="D5">
        <v>284752896061.91998</v>
      </c>
      <c r="E5" t="s">
        <v>6</v>
      </c>
      <c r="I5" s="3">
        <v>34394</v>
      </c>
      <c r="J5" s="5">
        <v>0</v>
      </c>
      <c r="Y5" t="s">
        <v>14</v>
      </c>
      <c r="Z5" s="1">
        <v>34516</v>
      </c>
      <c r="AA5">
        <v>53319</v>
      </c>
      <c r="AB5">
        <v>198257625256.20999</v>
      </c>
      <c r="AC5" t="s">
        <v>6</v>
      </c>
      <c r="AE5" s="3">
        <v>34394</v>
      </c>
      <c r="AF5" s="5">
        <v>0</v>
      </c>
      <c r="AI5" s="3">
        <v>41183</v>
      </c>
      <c r="AJ5" s="5">
        <v>5.87080797304146</v>
      </c>
      <c r="AK5" s="5">
        <v>3.0863533658912599</v>
      </c>
    </row>
    <row r="6" spans="1:37" x14ac:dyDescent="0.25">
      <c r="A6" t="s">
        <v>5</v>
      </c>
      <c r="B6" s="1">
        <v>34486</v>
      </c>
      <c r="C6">
        <v>131996</v>
      </c>
      <c r="D6">
        <v>287122056681.57001</v>
      </c>
      <c r="E6" t="s">
        <v>6</v>
      </c>
      <c r="I6" s="3">
        <v>34425</v>
      </c>
      <c r="J6" s="5">
        <v>0</v>
      </c>
      <c r="Y6" t="s">
        <v>14</v>
      </c>
      <c r="Z6" s="1">
        <v>34547</v>
      </c>
      <c r="AA6">
        <v>54110</v>
      </c>
      <c r="AB6">
        <v>200679192483.73001</v>
      </c>
      <c r="AC6" t="s">
        <v>6</v>
      </c>
      <c r="AE6" s="3">
        <v>34425</v>
      </c>
      <c r="AF6" s="5">
        <v>0</v>
      </c>
      <c r="AI6" s="3">
        <v>41214</v>
      </c>
      <c r="AJ6" s="5">
        <v>6.46676110560756</v>
      </c>
      <c r="AK6" s="5">
        <v>3.9075069445871602</v>
      </c>
    </row>
    <row r="7" spans="1:37" x14ac:dyDescent="0.25">
      <c r="A7" t="s">
        <v>5</v>
      </c>
      <c r="B7" s="1">
        <v>34516</v>
      </c>
      <c r="C7">
        <v>133140</v>
      </c>
      <c r="D7">
        <v>288919754101.73999</v>
      </c>
      <c r="E7" t="s">
        <v>6</v>
      </c>
      <c r="I7" s="3">
        <v>34455</v>
      </c>
      <c r="J7" s="5">
        <v>0</v>
      </c>
      <c r="Y7" t="s">
        <v>14</v>
      </c>
      <c r="Z7" s="1">
        <v>34578</v>
      </c>
      <c r="AA7">
        <v>54835</v>
      </c>
      <c r="AB7">
        <v>202941258365.22</v>
      </c>
      <c r="AC7" t="s">
        <v>6</v>
      </c>
      <c r="AE7" s="3">
        <v>34516</v>
      </c>
      <c r="AF7" s="5">
        <v>0</v>
      </c>
      <c r="AI7" s="3">
        <v>41244</v>
      </c>
      <c r="AJ7" s="5">
        <v>6.3757849610075601</v>
      </c>
      <c r="AK7" s="5">
        <v>4.0585839250179596</v>
      </c>
    </row>
    <row r="8" spans="1:37" x14ac:dyDescent="0.25">
      <c r="A8" t="s">
        <v>5</v>
      </c>
      <c r="B8" s="1">
        <v>34547</v>
      </c>
      <c r="C8">
        <v>134153</v>
      </c>
      <c r="D8">
        <v>290640645437.90997</v>
      </c>
      <c r="E8" t="s">
        <v>6</v>
      </c>
      <c r="I8" s="3">
        <v>34486</v>
      </c>
      <c r="J8" s="5">
        <v>0</v>
      </c>
      <c r="Y8" t="s">
        <v>14</v>
      </c>
      <c r="Z8" s="1">
        <v>34608</v>
      </c>
      <c r="AA8">
        <v>55530</v>
      </c>
      <c r="AB8">
        <v>205226671396.57999</v>
      </c>
      <c r="AC8" t="s">
        <v>6</v>
      </c>
      <c r="AE8" s="3">
        <v>34547</v>
      </c>
      <c r="AF8" s="5">
        <v>0</v>
      </c>
      <c r="AI8" s="3">
        <v>41275</v>
      </c>
      <c r="AJ8" s="5">
        <v>7.0954932029341196</v>
      </c>
      <c r="AK8" s="5">
        <v>4.6387874964431299</v>
      </c>
    </row>
    <row r="9" spans="1:37" x14ac:dyDescent="0.25">
      <c r="A9" t="s">
        <v>5</v>
      </c>
      <c r="B9" s="1">
        <v>34578</v>
      </c>
      <c r="C9">
        <v>135077</v>
      </c>
      <c r="D9">
        <v>292026246657.69</v>
      </c>
      <c r="E9" t="s">
        <v>6</v>
      </c>
      <c r="I9" s="3">
        <v>34516</v>
      </c>
      <c r="J9" s="5">
        <v>0</v>
      </c>
      <c r="Y9" t="s">
        <v>14</v>
      </c>
      <c r="Z9" s="1">
        <v>34639</v>
      </c>
      <c r="AA9">
        <v>56108</v>
      </c>
      <c r="AB9">
        <v>206975112252.98001</v>
      </c>
      <c r="AC9" t="s">
        <v>6</v>
      </c>
      <c r="AE9" s="3">
        <v>34578</v>
      </c>
      <c r="AF9" s="5">
        <v>0</v>
      </c>
      <c r="AI9" s="3">
        <v>41306</v>
      </c>
      <c r="AJ9" s="5">
        <v>7.1127309063595501</v>
      </c>
      <c r="AK9" s="5">
        <v>4.8698616391199696</v>
      </c>
    </row>
    <row r="10" spans="1:37" x14ac:dyDescent="0.25">
      <c r="A10" t="s">
        <v>5</v>
      </c>
      <c r="B10" s="1">
        <v>34608</v>
      </c>
      <c r="C10">
        <v>135888</v>
      </c>
      <c r="D10">
        <v>293395992453.21002</v>
      </c>
      <c r="E10" t="s">
        <v>6</v>
      </c>
      <c r="I10" s="3">
        <v>34547</v>
      </c>
      <c r="J10" s="5">
        <v>0</v>
      </c>
      <c r="Y10" t="s">
        <v>14</v>
      </c>
      <c r="Z10" s="1">
        <v>34669</v>
      </c>
      <c r="AA10">
        <v>56529</v>
      </c>
      <c r="AB10">
        <v>207753709014.57999</v>
      </c>
      <c r="AC10" t="s">
        <v>6</v>
      </c>
      <c r="AE10" s="3">
        <v>34608</v>
      </c>
      <c r="AF10" s="5">
        <v>0</v>
      </c>
      <c r="AI10" s="3">
        <v>41334</v>
      </c>
      <c r="AJ10" s="5">
        <v>7.4977817106428502</v>
      </c>
      <c r="AK10" s="5">
        <v>5.0628868942146097</v>
      </c>
    </row>
    <row r="11" spans="1:37" x14ac:dyDescent="0.25">
      <c r="A11" t="s">
        <v>5</v>
      </c>
      <c r="B11" s="1">
        <v>34639</v>
      </c>
      <c r="C11">
        <v>136567</v>
      </c>
      <c r="D11">
        <v>294791998506.56</v>
      </c>
      <c r="E11" t="s">
        <v>6</v>
      </c>
      <c r="I11" s="3">
        <v>34578</v>
      </c>
      <c r="J11" s="5">
        <v>0</v>
      </c>
      <c r="Y11" t="s">
        <v>14</v>
      </c>
      <c r="Z11" s="1">
        <v>34700</v>
      </c>
      <c r="AA11">
        <v>56894</v>
      </c>
      <c r="AB11">
        <v>208406182510.07001</v>
      </c>
      <c r="AC11" t="s">
        <v>6</v>
      </c>
      <c r="AE11" s="3">
        <v>34639</v>
      </c>
      <c r="AF11" s="5">
        <v>0</v>
      </c>
      <c r="AI11" s="3">
        <v>41365</v>
      </c>
      <c r="AJ11" s="5">
        <v>7.7688699614535199</v>
      </c>
      <c r="AK11" s="5">
        <v>5.1842224037328704</v>
      </c>
    </row>
    <row r="12" spans="1:37" x14ac:dyDescent="0.25">
      <c r="A12" t="s">
        <v>5</v>
      </c>
      <c r="B12" s="1">
        <v>34669</v>
      </c>
      <c r="C12">
        <v>137384</v>
      </c>
      <c r="D12">
        <v>297022730158.53998</v>
      </c>
      <c r="E12" t="s">
        <v>6</v>
      </c>
      <c r="I12" s="3">
        <v>34608</v>
      </c>
      <c r="J12" s="5">
        <v>0</v>
      </c>
      <c r="Y12" t="s">
        <v>14</v>
      </c>
      <c r="Z12" s="1">
        <v>34731</v>
      </c>
      <c r="AA12">
        <v>57294</v>
      </c>
      <c r="AB12">
        <v>209359181505.28</v>
      </c>
      <c r="AC12" t="s">
        <v>6</v>
      </c>
      <c r="AE12" s="3">
        <v>34669</v>
      </c>
      <c r="AF12" s="5">
        <v>0</v>
      </c>
      <c r="AI12" s="3">
        <v>41395</v>
      </c>
      <c r="AJ12" s="5">
        <v>7.99730141520606</v>
      </c>
      <c r="AK12" s="5">
        <v>5.3005453233209199</v>
      </c>
    </row>
    <row r="13" spans="1:37" x14ac:dyDescent="0.25">
      <c r="A13" t="s">
        <v>5</v>
      </c>
      <c r="B13" s="1">
        <v>34700</v>
      </c>
      <c r="C13">
        <v>138175</v>
      </c>
      <c r="D13">
        <v>299534791311.60999</v>
      </c>
      <c r="E13" t="s">
        <v>6</v>
      </c>
      <c r="I13" s="3">
        <v>34639</v>
      </c>
      <c r="J13" s="5">
        <v>0</v>
      </c>
      <c r="Y13" t="s">
        <v>14</v>
      </c>
      <c r="Z13" s="1">
        <v>34759</v>
      </c>
      <c r="AA13">
        <v>57702</v>
      </c>
      <c r="AB13">
        <v>210444667091.82001</v>
      </c>
      <c r="AC13" t="s">
        <v>6</v>
      </c>
      <c r="AE13" s="3">
        <v>34700</v>
      </c>
      <c r="AF13" s="5">
        <v>0</v>
      </c>
      <c r="AI13" s="3">
        <v>41426</v>
      </c>
      <c r="AJ13" s="5">
        <v>8.2404824532632794</v>
      </c>
      <c r="AK13" s="5">
        <v>5.5666356886146398</v>
      </c>
    </row>
    <row r="14" spans="1:37" x14ac:dyDescent="0.25">
      <c r="A14" t="s">
        <v>5</v>
      </c>
      <c r="B14" s="1">
        <v>34731</v>
      </c>
      <c r="C14">
        <v>138749</v>
      </c>
      <c r="D14">
        <v>300578062603.90997</v>
      </c>
      <c r="E14">
        <v>0.29175987115948299</v>
      </c>
      <c r="I14" s="3">
        <v>34669</v>
      </c>
      <c r="J14" s="5">
        <v>0</v>
      </c>
      <c r="Y14" t="s">
        <v>14</v>
      </c>
      <c r="Z14" s="1">
        <v>34790</v>
      </c>
      <c r="AA14">
        <v>58144</v>
      </c>
      <c r="AB14">
        <v>212078601432.42001</v>
      </c>
      <c r="AC14" t="s">
        <v>6</v>
      </c>
      <c r="AE14" s="3">
        <v>34731</v>
      </c>
      <c r="AF14" s="5">
        <v>0</v>
      </c>
      <c r="AI14" s="3">
        <v>41456</v>
      </c>
      <c r="AJ14" s="5">
        <v>8.6310861028875205</v>
      </c>
      <c r="AK14" s="5">
        <v>5.8090680962179198</v>
      </c>
    </row>
    <row r="15" spans="1:37" x14ac:dyDescent="0.25">
      <c r="A15" t="s">
        <v>5</v>
      </c>
      <c r="B15" s="1">
        <v>34759</v>
      </c>
      <c r="C15">
        <v>139252</v>
      </c>
      <c r="D15">
        <v>301515518476.67999</v>
      </c>
      <c r="E15">
        <v>0.71268453569294998</v>
      </c>
      <c r="I15" s="3">
        <v>34700</v>
      </c>
      <c r="J15" s="5">
        <v>0</v>
      </c>
      <c r="Y15" t="s">
        <v>14</v>
      </c>
      <c r="Z15" s="1">
        <v>34820</v>
      </c>
      <c r="AA15">
        <v>58699</v>
      </c>
      <c r="AB15">
        <v>214086172771.07001</v>
      </c>
      <c r="AC15" t="s">
        <v>6</v>
      </c>
      <c r="AE15" s="3">
        <v>34759</v>
      </c>
      <c r="AF15" s="5">
        <v>0</v>
      </c>
      <c r="AI15" s="3">
        <v>41487</v>
      </c>
      <c r="AJ15" s="5">
        <v>8.7051636329041706</v>
      </c>
      <c r="AK15" s="5">
        <v>5.9359078455080798</v>
      </c>
    </row>
    <row r="16" spans="1:37" x14ac:dyDescent="0.25">
      <c r="A16" t="s">
        <v>5</v>
      </c>
      <c r="B16" s="1">
        <v>34790</v>
      </c>
      <c r="C16">
        <v>139640</v>
      </c>
      <c r="D16">
        <v>302130802958.65002</v>
      </c>
      <c r="E16">
        <v>1.0451562492637101</v>
      </c>
      <c r="I16" s="3">
        <v>34731</v>
      </c>
      <c r="J16" s="5">
        <v>0.29175987115948299</v>
      </c>
      <c r="Y16" t="s">
        <v>14</v>
      </c>
      <c r="Z16" s="1">
        <v>34851</v>
      </c>
      <c r="AA16">
        <v>59299</v>
      </c>
      <c r="AB16">
        <v>215985123514.95001</v>
      </c>
      <c r="AC16" t="s">
        <v>6</v>
      </c>
      <c r="AE16" s="3">
        <v>34790</v>
      </c>
      <c r="AF16" s="5">
        <v>0</v>
      </c>
      <c r="AI16" s="3">
        <v>41518</v>
      </c>
      <c r="AJ16" s="5">
        <v>8.7429604244928694</v>
      </c>
      <c r="AK16" s="5">
        <v>5.9994260373768604</v>
      </c>
    </row>
    <row r="17" spans="1:37" x14ac:dyDescent="0.25">
      <c r="A17" t="s">
        <v>5</v>
      </c>
      <c r="B17" s="1">
        <v>34820</v>
      </c>
      <c r="C17">
        <v>140171</v>
      </c>
      <c r="D17">
        <v>303193167019.19</v>
      </c>
      <c r="E17">
        <v>1.6395773376873199</v>
      </c>
      <c r="I17" s="3">
        <v>34759</v>
      </c>
      <c r="J17" s="5">
        <v>0.71268453569294998</v>
      </c>
      <c r="Y17" t="s">
        <v>14</v>
      </c>
      <c r="Z17" s="1">
        <v>34881</v>
      </c>
      <c r="AA17">
        <v>59982</v>
      </c>
      <c r="AB17">
        <v>218637993872.20999</v>
      </c>
      <c r="AC17" t="s">
        <v>6</v>
      </c>
      <c r="AE17" s="3">
        <v>34820</v>
      </c>
      <c r="AF17" s="5">
        <v>0</v>
      </c>
      <c r="AI17" s="3">
        <v>41548</v>
      </c>
      <c r="AJ17" s="5">
        <v>8.8041615691801294</v>
      </c>
      <c r="AK17" s="5">
        <v>6.1200506543494697</v>
      </c>
    </row>
    <row r="18" spans="1:37" x14ac:dyDescent="0.25">
      <c r="A18" t="s">
        <v>5</v>
      </c>
      <c r="B18" s="1">
        <v>34851</v>
      </c>
      <c r="C18">
        <v>140845</v>
      </c>
      <c r="D18">
        <v>305276200958.66998</v>
      </c>
      <c r="E18">
        <v>2.4321899801315201</v>
      </c>
      <c r="I18" s="3">
        <v>34790</v>
      </c>
      <c r="J18" s="5">
        <v>1.0451562492637101</v>
      </c>
      <c r="Y18" t="s">
        <v>14</v>
      </c>
      <c r="Z18" s="1">
        <v>34912</v>
      </c>
      <c r="AA18">
        <v>60798</v>
      </c>
      <c r="AB18">
        <v>220537691305.53</v>
      </c>
      <c r="AC18" t="s">
        <v>6</v>
      </c>
      <c r="AE18" s="3">
        <v>34851</v>
      </c>
      <c r="AF18" s="5">
        <v>0</v>
      </c>
      <c r="AI18" s="3">
        <v>41579</v>
      </c>
      <c r="AJ18" s="5">
        <v>8.8215384490494806</v>
      </c>
      <c r="AK18" s="5">
        <v>6.1817950713766301</v>
      </c>
    </row>
    <row r="19" spans="1:37" x14ac:dyDescent="0.25">
      <c r="A19" t="s">
        <v>5</v>
      </c>
      <c r="B19" s="1">
        <v>34881</v>
      </c>
      <c r="C19">
        <v>141735</v>
      </c>
      <c r="D19">
        <v>308579513635.09003</v>
      </c>
      <c r="E19">
        <v>3.5447290143599499</v>
      </c>
      <c r="I19" s="3">
        <v>34820</v>
      </c>
      <c r="J19" s="5">
        <v>1.6395773376873199</v>
      </c>
      <c r="Y19" t="s">
        <v>14</v>
      </c>
      <c r="Z19" s="1">
        <v>34943</v>
      </c>
      <c r="AA19">
        <v>61701</v>
      </c>
      <c r="AB19">
        <v>223537636405.35001</v>
      </c>
      <c r="AC19" t="s">
        <v>6</v>
      </c>
      <c r="AE19" s="3">
        <v>34881</v>
      </c>
      <c r="AF19" s="5">
        <v>0</v>
      </c>
      <c r="AI19" s="3">
        <v>41609</v>
      </c>
      <c r="AJ19" s="5">
        <v>8.8564328473556397</v>
      </c>
      <c r="AK19" s="5">
        <v>6.20710547512315</v>
      </c>
    </row>
    <row r="20" spans="1:37" x14ac:dyDescent="0.25">
      <c r="A20" t="s">
        <v>5</v>
      </c>
      <c r="B20" s="1">
        <v>34912</v>
      </c>
      <c r="C20">
        <v>142847</v>
      </c>
      <c r="D20">
        <v>313306085244.25</v>
      </c>
      <c r="E20">
        <v>5.03064066078064</v>
      </c>
      <c r="I20" s="3">
        <v>34851</v>
      </c>
      <c r="J20" s="5">
        <v>2.4321899801315201</v>
      </c>
      <c r="Y20" t="s">
        <v>14</v>
      </c>
      <c r="Z20" s="1">
        <v>34973</v>
      </c>
      <c r="AA20">
        <v>62672</v>
      </c>
      <c r="AB20">
        <v>229405456728.67999</v>
      </c>
      <c r="AC20" t="s">
        <v>6</v>
      </c>
      <c r="AE20" s="3">
        <v>34912</v>
      </c>
      <c r="AF20" s="5">
        <v>0</v>
      </c>
      <c r="AI20" s="3">
        <v>41640</v>
      </c>
      <c r="AJ20" s="5">
        <v>8.7785104077140801</v>
      </c>
      <c r="AK20" s="5">
        <v>6.2716421576123897</v>
      </c>
    </row>
    <row r="21" spans="1:37" x14ac:dyDescent="0.25">
      <c r="A21" t="s">
        <v>5</v>
      </c>
      <c r="B21" s="1">
        <v>34943</v>
      </c>
      <c r="C21">
        <v>143912</v>
      </c>
      <c r="D21">
        <v>317855864434.04999</v>
      </c>
      <c r="E21">
        <v>6.5026338963785699</v>
      </c>
      <c r="I21" s="3">
        <v>34881</v>
      </c>
      <c r="J21" s="5">
        <v>3.5447290143599499</v>
      </c>
      <c r="Y21" t="s">
        <v>14</v>
      </c>
      <c r="Z21" s="1">
        <v>35004</v>
      </c>
      <c r="AA21">
        <v>63520</v>
      </c>
      <c r="AB21">
        <v>235258720640.07999</v>
      </c>
      <c r="AC21" t="s">
        <v>6</v>
      </c>
      <c r="AE21" s="3">
        <v>34943</v>
      </c>
      <c r="AF21" s="5">
        <v>0</v>
      </c>
      <c r="AI21" s="3">
        <v>41671</v>
      </c>
      <c r="AJ21" s="5">
        <v>9.9498178283714598</v>
      </c>
      <c r="AK21" s="5">
        <v>6.3295104802927202</v>
      </c>
    </row>
    <row r="22" spans="1:37" x14ac:dyDescent="0.25">
      <c r="A22" t="s">
        <v>5</v>
      </c>
      <c r="B22" s="1">
        <v>34973</v>
      </c>
      <c r="C22">
        <v>144902</v>
      </c>
      <c r="D22">
        <v>321938074374.90002</v>
      </c>
      <c r="E22">
        <v>7.9908291538676099</v>
      </c>
      <c r="I22" s="3">
        <v>34912</v>
      </c>
      <c r="J22" s="5">
        <v>5.03064066078064</v>
      </c>
      <c r="Y22" t="s">
        <v>14</v>
      </c>
      <c r="Z22" s="1">
        <v>35034</v>
      </c>
      <c r="AA22">
        <v>64356</v>
      </c>
      <c r="AB22">
        <v>239238384049.14999</v>
      </c>
      <c r="AC22" t="s">
        <v>6</v>
      </c>
      <c r="AE22" s="3">
        <v>34973</v>
      </c>
      <c r="AF22" s="5">
        <v>0</v>
      </c>
      <c r="AI22" s="3">
        <v>41699</v>
      </c>
      <c r="AJ22" s="5">
        <v>9.9660581751841395</v>
      </c>
      <c r="AK22" s="5">
        <v>6.4088940108127099</v>
      </c>
    </row>
    <row r="23" spans="1:37" x14ac:dyDescent="0.25">
      <c r="A23" t="s">
        <v>5</v>
      </c>
      <c r="B23" s="1">
        <v>35004</v>
      </c>
      <c r="C23">
        <v>145867</v>
      </c>
      <c r="D23">
        <v>326586660235.34998</v>
      </c>
      <c r="E23">
        <v>9.4276335334870591</v>
      </c>
      <c r="I23" s="3">
        <v>34943</v>
      </c>
      <c r="J23" s="5">
        <v>6.5026338963785699</v>
      </c>
      <c r="Y23" t="s">
        <v>14</v>
      </c>
      <c r="Z23" s="1">
        <v>35065</v>
      </c>
      <c r="AA23">
        <v>65235</v>
      </c>
      <c r="AB23">
        <v>242924225298.66</v>
      </c>
      <c r="AC23" t="s">
        <v>6</v>
      </c>
      <c r="AE23" s="3">
        <v>35004</v>
      </c>
      <c r="AF23" s="5">
        <v>0</v>
      </c>
      <c r="AI23" s="3">
        <v>41730</v>
      </c>
      <c r="AJ23" s="5">
        <v>9.9777651416054294</v>
      </c>
      <c r="AK23" s="5">
        <v>6.46161560781613</v>
      </c>
    </row>
    <row r="24" spans="1:37" x14ac:dyDescent="0.25">
      <c r="A24" t="s">
        <v>5</v>
      </c>
      <c r="B24" s="1">
        <v>35034</v>
      </c>
      <c r="C24">
        <v>146882</v>
      </c>
      <c r="D24">
        <v>331964887053.32001</v>
      </c>
      <c r="E24">
        <v>10.905497385764299</v>
      </c>
      <c r="I24" s="3">
        <v>34973</v>
      </c>
      <c r="J24" s="5">
        <v>7.9908291538676099</v>
      </c>
      <c r="Y24" t="s">
        <v>14</v>
      </c>
      <c r="Z24" s="1">
        <v>35096</v>
      </c>
      <c r="AA24">
        <v>66160</v>
      </c>
      <c r="AB24">
        <v>247706198611.98999</v>
      </c>
      <c r="AC24" t="s">
        <v>6</v>
      </c>
      <c r="AE24" s="3">
        <v>35034</v>
      </c>
      <c r="AF24" s="5">
        <v>0</v>
      </c>
      <c r="AI24" s="3">
        <v>41760</v>
      </c>
      <c r="AJ24" s="5">
        <v>9.9917035233597993</v>
      </c>
      <c r="AK24" s="5">
        <v>6.4702446275308203</v>
      </c>
    </row>
    <row r="25" spans="1:37" x14ac:dyDescent="0.25">
      <c r="A25" t="s">
        <v>5</v>
      </c>
      <c r="B25" s="1">
        <v>35065</v>
      </c>
      <c r="C25">
        <v>147919</v>
      </c>
      <c r="D25">
        <v>337304062600.06</v>
      </c>
      <c r="E25">
        <v>12.2583258018369</v>
      </c>
      <c r="I25" s="3">
        <v>35004</v>
      </c>
      <c r="J25" s="5">
        <v>9.4276335334870591</v>
      </c>
      <c r="Y25" t="s">
        <v>14</v>
      </c>
      <c r="Z25" s="1">
        <v>35125</v>
      </c>
      <c r="AA25">
        <v>67083</v>
      </c>
      <c r="AB25">
        <v>252451222078.59</v>
      </c>
      <c r="AC25" t="s">
        <v>6</v>
      </c>
      <c r="AE25" s="3">
        <v>35065</v>
      </c>
      <c r="AF25" s="5">
        <v>0</v>
      </c>
      <c r="AI25" s="3">
        <v>41791</v>
      </c>
      <c r="AJ25" s="5">
        <v>9.9957571380735306</v>
      </c>
      <c r="AK25" s="5">
        <v>6.5159204881847099</v>
      </c>
    </row>
    <row r="26" spans="1:37" x14ac:dyDescent="0.25">
      <c r="A26" t="s">
        <v>5</v>
      </c>
      <c r="B26" s="1">
        <v>35096</v>
      </c>
      <c r="C26">
        <v>148833</v>
      </c>
      <c r="D26">
        <v>341672418203.37</v>
      </c>
      <c r="E26">
        <v>13.4944746133589</v>
      </c>
      <c r="I26" s="3">
        <v>35034</v>
      </c>
      <c r="J26" s="5">
        <v>10.905497385764299</v>
      </c>
      <c r="Y26" t="s">
        <v>14</v>
      </c>
      <c r="Z26" s="1">
        <v>35156</v>
      </c>
      <c r="AA26">
        <v>68019</v>
      </c>
      <c r="AB26">
        <v>258576610453.45001</v>
      </c>
      <c r="AC26" t="s">
        <v>6</v>
      </c>
      <c r="AE26" s="3">
        <v>35096</v>
      </c>
      <c r="AF26" s="5">
        <v>0</v>
      </c>
      <c r="AI26" s="3">
        <v>41821</v>
      </c>
      <c r="AJ26" s="5">
        <v>10.0016790434494</v>
      </c>
      <c r="AK26" s="5">
        <v>6.5357512862260796</v>
      </c>
    </row>
    <row r="27" spans="1:37" x14ac:dyDescent="0.25">
      <c r="A27" t="s">
        <v>5</v>
      </c>
      <c r="B27" s="1">
        <v>35125</v>
      </c>
      <c r="C27">
        <v>149785</v>
      </c>
      <c r="D27">
        <v>346545445220.38</v>
      </c>
      <c r="E27">
        <v>14.5721507226118</v>
      </c>
      <c r="I27" s="3">
        <v>35065</v>
      </c>
      <c r="J27" s="5">
        <v>12.2583258018369</v>
      </c>
      <c r="Y27" t="s">
        <v>14</v>
      </c>
      <c r="Z27" s="1">
        <v>35186</v>
      </c>
      <c r="AA27">
        <v>68897</v>
      </c>
      <c r="AB27">
        <v>263680566665.75</v>
      </c>
      <c r="AC27" t="s">
        <v>6</v>
      </c>
      <c r="AE27" s="3">
        <v>35125</v>
      </c>
      <c r="AF27" s="5">
        <v>0</v>
      </c>
      <c r="AI27" s="3">
        <v>41852</v>
      </c>
      <c r="AJ27" s="5">
        <v>10.008637869189499</v>
      </c>
      <c r="AK27" s="5">
        <v>6.5592132301778401</v>
      </c>
    </row>
    <row r="28" spans="1:37" x14ac:dyDescent="0.25">
      <c r="A28" t="s">
        <v>5</v>
      </c>
      <c r="B28" s="1">
        <v>35156</v>
      </c>
      <c r="C28">
        <v>150727</v>
      </c>
      <c r="D28">
        <v>350465555808.21997</v>
      </c>
      <c r="E28">
        <v>15.5232907959548</v>
      </c>
      <c r="I28" s="3">
        <v>35096</v>
      </c>
      <c r="J28" s="5">
        <v>13.4944746133589</v>
      </c>
      <c r="Y28" t="s">
        <v>14</v>
      </c>
      <c r="Z28" s="1">
        <v>35217</v>
      </c>
      <c r="AA28">
        <v>69782</v>
      </c>
      <c r="AB28">
        <v>266531739812.85999</v>
      </c>
      <c r="AC28" t="s">
        <v>6</v>
      </c>
      <c r="AE28" s="3">
        <v>35156</v>
      </c>
      <c r="AF28" s="5">
        <v>0</v>
      </c>
      <c r="AI28" s="3">
        <v>41883</v>
      </c>
      <c r="AJ28" s="5">
        <v>10.008443620452599</v>
      </c>
      <c r="AK28" s="5">
        <v>6.5736268400114204</v>
      </c>
    </row>
    <row r="29" spans="1:37" x14ac:dyDescent="0.25">
      <c r="A29" t="s">
        <v>5</v>
      </c>
      <c r="B29" s="1">
        <v>35186</v>
      </c>
      <c r="C29">
        <v>151726</v>
      </c>
      <c r="D29">
        <v>354683248452.60999</v>
      </c>
      <c r="E29">
        <v>16.490088524196999</v>
      </c>
      <c r="I29" s="3">
        <v>35125</v>
      </c>
      <c r="J29" s="5">
        <v>14.5721507226118</v>
      </c>
      <c r="Y29" t="s">
        <v>14</v>
      </c>
      <c r="Z29" s="1">
        <v>35247</v>
      </c>
      <c r="AA29">
        <v>70524</v>
      </c>
      <c r="AB29">
        <v>269946338845.72</v>
      </c>
      <c r="AC29" t="s">
        <v>6</v>
      </c>
      <c r="AE29" s="3">
        <v>35186</v>
      </c>
      <c r="AF29" s="5">
        <v>0</v>
      </c>
      <c r="AI29" s="3">
        <v>41913</v>
      </c>
      <c r="AJ29" s="5">
        <v>10.0136348471696</v>
      </c>
      <c r="AK29" s="5">
        <v>6.5821724707573601</v>
      </c>
    </row>
    <row r="30" spans="1:37" x14ac:dyDescent="0.25">
      <c r="A30" t="s">
        <v>5</v>
      </c>
      <c r="B30" s="1">
        <v>35217</v>
      </c>
      <c r="C30">
        <v>152681</v>
      </c>
      <c r="D30">
        <v>359153508694.62</v>
      </c>
      <c r="E30">
        <v>17.497376236612698</v>
      </c>
      <c r="I30" s="3">
        <v>35156</v>
      </c>
      <c r="J30" s="5">
        <v>15.5232907959548</v>
      </c>
      <c r="Y30" t="s">
        <v>14</v>
      </c>
      <c r="Z30" s="1">
        <v>35278</v>
      </c>
      <c r="AA30">
        <v>71320</v>
      </c>
      <c r="AB30">
        <v>275359751202.96997</v>
      </c>
      <c r="AC30" t="s">
        <v>6</v>
      </c>
      <c r="AE30" s="3">
        <v>35217</v>
      </c>
      <c r="AF30" s="5">
        <v>0</v>
      </c>
      <c r="AI30" s="3">
        <v>41944</v>
      </c>
      <c r="AJ30" s="5">
        <v>10.0053613033938</v>
      </c>
      <c r="AK30" s="5">
        <v>6.5817951889563897</v>
      </c>
    </row>
    <row r="31" spans="1:37" x14ac:dyDescent="0.25">
      <c r="A31" t="s">
        <v>5</v>
      </c>
      <c r="B31" s="1">
        <v>35247</v>
      </c>
      <c r="C31">
        <v>153592</v>
      </c>
      <c r="D31">
        <v>364145909105.21997</v>
      </c>
      <c r="E31">
        <v>18.361486101218699</v>
      </c>
      <c r="I31" s="3">
        <v>35186</v>
      </c>
      <c r="J31" s="5">
        <v>16.490088524196999</v>
      </c>
      <c r="Y31" t="s">
        <v>14</v>
      </c>
      <c r="Z31" s="1">
        <v>35309</v>
      </c>
      <c r="AA31">
        <v>72068</v>
      </c>
      <c r="AB31">
        <v>279116219901</v>
      </c>
      <c r="AC31" t="s">
        <v>6</v>
      </c>
      <c r="AE31" s="3">
        <v>35247</v>
      </c>
      <c r="AF31" s="5">
        <v>0</v>
      </c>
      <c r="AI31" s="3">
        <v>41974</v>
      </c>
      <c r="AJ31" s="5">
        <v>10.030960465518399</v>
      </c>
      <c r="AK31" s="5">
        <v>6.6026371427775503</v>
      </c>
    </row>
    <row r="32" spans="1:37" x14ac:dyDescent="0.25">
      <c r="A32" t="s">
        <v>5</v>
      </c>
      <c r="B32" s="1">
        <v>35278</v>
      </c>
      <c r="C32">
        <v>154353</v>
      </c>
      <c r="D32">
        <v>367843583423.22998</v>
      </c>
      <c r="E32">
        <v>19.013776229250301</v>
      </c>
      <c r="I32" s="3">
        <v>35217</v>
      </c>
      <c r="J32" s="5">
        <v>17.497376236612698</v>
      </c>
      <c r="Y32" t="s">
        <v>14</v>
      </c>
      <c r="Z32" s="1">
        <v>35339</v>
      </c>
      <c r="AA32">
        <v>72680</v>
      </c>
      <c r="AB32">
        <v>282696691198.75</v>
      </c>
      <c r="AC32" t="s">
        <v>6</v>
      </c>
      <c r="AE32" s="3">
        <v>35278</v>
      </c>
      <c r="AF32" s="5">
        <v>0</v>
      </c>
      <c r="AI32" s="3">
        <v>42005</v>
      </c>
      <c r="AJ32" s="5">
        <v>10.0225890543967</v>
      </c>
      <c r="AK32" s="5">
        <v>6.6045174358884902</v>
      </c>
    </row>
    <row r="33" spans="1:37" x14ac:dyDescent="0.25">
      <c r="A33" t="s">
        <v>5</v>
      </c>
      <c r="B33" s="1">
        <v>35309</v>
      </c>
      <c r="C33">
        <v>155081</v>
      </c>
      <c r="D33">
        <v>370513413856.09998</v>
      </c>
      <c r="E33">
        <v>19.649355742239202</v>
      </c>
      <c r="I33" s="3">
        <v>35247</v>
      </c>
      <c r="J33" s="5">
        <v>18.361486101218699</v>
      </c>
      <c r="Y33" t="s">
        <v>14</v>
      </c>
      <c r="Z33" s="1">
        <v>35370</v>
      </c>
      <c r="AA33">
        <v>73401</v>
      </c>
      <c r="AB33">
        <v>286599324454.46997</v>
      </c>
      <c r="AC33" t="s">
        <v>6</v>
      </c>
      <c r="AE33" s="3">
        <v>35309</v>
      </c>
      <c r="AF33" s="5">
        <v>0</v>
      </c>
      <c r="AI33" s="3">
        <v>42036</v>
      </c>
      <c r="AJ33" s="5">
        <v>10.033172916204199</v>
      </c>
      <c r="AK33" s="5">
        <v>6.6111286110277403</v>
      </c>
    </row>
    <row r="34" spans="1:37" x14ac:dyDescent="0.25">
      <c r="A34" t="s">
        <v>5</v>
      </c>
      <c r="B34" s="1">
        <v>35339</v>
      </c>
      <c r="C34">
        <v>155900</v>
      </c>
      <c r="D34">
        <v>375154945459.59998</v>
      </c>
      <c r="E34">
        <v>20.3867810175445</v>
      </c>
      <c r="I34" s="3">
        <v>35278</v>
      </c>
      <c r="J34" s="5">
        <v>19.013776229250301</v>
      </c>
      <c r="Y34" t="s">
        <v>14</v>
      </c>
      <c r="Z34" s="1">
        <v>35400</v>
      </c>
      <c r="AA34">
        <v>74137</v>
      </c>
      <c r="AB34">
        <v>289245055308.17999</v>
      </c>
      <c r="AC34" t="s">
        <v>6</v>
      </c>
      <c r="AE34" s="3">
        <v>35339</v>
      </c>
      <c r="AF34" s="5">
        <v>0</v>
      </c>
      <c r="AI34" s="3">
        <v>42064</v>
      </c>
      <c r="AJ34" s="5">
        <v>10.044594881204199</v>
      </c>
      <c r="AK34" s="5">
        <v>6.6137586113098603</v>
      </c>
    </row>
    <row r="35" spans="1:37" x14ac:dyDescent="0.25">
      <c r="A35" t="s">
        <v>5</v>
      </c>
      <c r="B35" s="1">
        <v>35370</v>
      </c>
      <c r="C35">
        <v>156553</v>
      </c>
      <c r="D35">
        <v>378164550622.22998</v>
      </c>
      <c r="E35">
        <v>20.9629617611456</v>
      </c>
      <c r="I35" s="3">
        <v>35309</v>
      </c>
      <c r="J35" s="5">
        <v>19.649355742239202</v>
      </c>
      <c r="Y35" t="s">
        <v>14</v>
      </c>
      <c r="Z35" s="1">
        <v>35490</v>
      </c>
      <c r="AA35">
        <v>76146</v>
      </c>
      <c r="AB35">
        <v>305558806072.76001</v>
      </c>
      <c r="AC35" t="s">
        <v>6</v>
      </c>
      <c r="AE35" s="3">
        <v>35370</v>
      </c>
      <c r="AF35" s="5">
        <v>0</v>
      </c>
      <c r="AI35" s="3">
        <v>42095</v>
      </c>
      <c r="AJ35" s="5">
        <v>10.043630548384799</v>
      </c>
      <c r="AK35" s="5">
        <v>6.6261937686048302</v>
      </c>
    </row>
    <row r="36" spans="1:37" x14ac:dyDescent="0.25">
      <c r="A36" t="s">
        <v>5</v>
      </c>
      <c r="B36" s="1">
        <v>35400</v>
      </c>
      <c r="C36">
        <v>157183</v>
      </c>
      <c r="D36">
        <v>380573155397.19</v>
      </c>
      <c r="E36">
        <v>21.477043231118699</v>
      </c>
      <c r="I36" s="3">
        <v>35339</v>
      </c>
      <c r="J36" s="5">
        <v>20.3867810175445</v>
      </c>
      <c r="Y36" t="s">
        <v>14</v>
      </c>
      <c r="Z36" s="1">
        <v>35521</v>
      </c>
      <c r="AA36">
        <v>76726</v>
      </c>
      <c r="AB36">
        <v>308203632776.14001</v>
      </c>
      <c r="AC36" t="s">
        <v>6</v>
      </c>
      <c r="AE36" s="3">
        <v>35400</v>
      </c>
      <c r="AF36" s="5">
        <v>0</v>
      </c>
      <c r="AI36" s="3">
        <v>42125</v>
      </c>
      <c r="AJ36" s="5">
        <v>10.051319179239099</v>
      </c>
      <c r="AK36" s="5">
        <v>6.6287455794290899</v>
      </c>
    </row>
    <row r="37" spans="1:37" x14ac:dyDescent="0.25">
      <c r="A37" t="s">
        <v>5</v>
      </c>
      <c r="B37" s="1">
        <v>35431</v>
      </c>
      <c r="C37">
        <v>157961</v>
      </c>
      <c r="D37">
        <v>383579286284.32001</v>
      </c>
      <c r="E37">
        <v>21.9895256255558</v>
      </c>
      <c r="I37" s="3">
        <v>35370</v>
      </c>
      <c r="J37" s="5">
        <v>20.9629617611456</v>
      </c>
      <c r="Y37" t="s">
        <v>14</v>
      </c>
      <c r="Z37" s="1">
        <v>35551</v>
      </c>
      <c r="AA37">
        <v>77198</v>
      </c>
      <c r="AB37">
        <v>310466649017.64001</v>
      </c>
      <c r="AC37" t="s">
        <v>6</v>
      </c>
      <c r="AE37" s="3">
        <v>35490</v>
      </c>
      <c r="AF37" s="5">
        <v>0</v>
      </c>
      <c r="AI37" s="3">
        <v>42156</v>
      </c>
      <c r="AJ37" s="5">
        <v>10.038295481757499</v>
      </c>
      <c r="AK37" s="5">
        <v>6.6441894699765296</v>
      </c>
    </row>
    <row r="38" spans="1:37" x14ac:dyDescent="0.25">
      <c r="A38" t="s">
        <v>5</v>
      </c>
      <c r="B38" s="1">
        <v>35462</v>
      </c>
      <c r="C38">
        <v>158587</v>
      </c>
      <c r="D38">
        <v>385622880966.02002</v>
      </c>
      <c r="E38">
        <v>22.5313530264931</v>
      </c>
      <c r="I38" s="3">
        <v>35400</v>
      </c>
      <c r="J38" s="5">
        <v>21.477043231118699</v>
      </c>
      <c r="Y38" t="s">
        <v>14</v>
      </c>
      <c r="Z38" s="1">
        <v>35582</v>
      </c>
      <c r="AA38">
        <v>77710</v>
      </c>
      <c r="AB38">
        <v>312256914058.41998</v>
      </c>
      <c r="AC38" t="s">
        <v>6</v>
      </c>
      <c r="AE38" s="3">
        <v>35521</v>
      </c>
      <c r="AF38" s="5">
        <v>0</v>
      </c>
      <c r="AI38" s="3">
        <v>42186</v>
      </c>
      <c r="AJ38" s="5">
        <v>10.027444030899</v>
      </c>
      <c r="AK38" s="5">
        <v>6.6233608304540903</v>
      </c>
    </row>
    <row r="39" spans="1:37" x14ac:dyDescent="0.25">
      <c r="A39" t="s">
        <v>5</v>
      </c>
      <c r="B39" s="1">
        <v>35490</v>
      </c>
      <c r="C39">
        <v>159328</v>
      </c>
      <c r="D39">
        <v>388944585913.88</v>
      </c>
      <c r="E39">
        <v>23.2220566081443</v>
      </c>
      <c r="I39" s="3">
        <v>35431</v>
      </c>
      <c r="J39" s="5">
        <v>21.9895256255558</v>
      </c>
      <c r="Y39" t="s">
        <v>14</v>
      </c>
      <c r="Z39" s="1">
        <v>35612</v>
      </c>
      <c r="AA39">
        <v>78238</v>
      </c>
      <c r="AB39">
        <v>315317531887.77002</v>
      </c>
      <c r="AC39" t="s">
        <v>6</v>
      </c>
      <c r="AE39" s="3">
        <v>35551</v>
      </c>
      <c r="AF39" s="5">
        <v>0</v>
      </c>
      <c r="AI39" s="3">
        <v>42217</v>
      </c>
      <c r="AJ39" s="5">
        <v>10.0193517038736</v>
      </c>
      <c r="AK39" s="5">
        <v>6.6174191789274301</v>
      </c>
    </row>
    <row r="40" spans="1:37" x14ac:dyDescent="0.25">
      <c r="A40" t="s">
        <v>5</v>
      </c>
      <c r="B40" s="1">
        <v>35521</v>
      </c>
      <c r="C40">
        <v>160031</v>
      </c>
      <c r="D40">
        <v>391996345649.14001</v>
      </c>
      <c r="E40">
        <v>23.8269487846899</v>
      </c>
      <c r="I40" s="3">
        <v>35462</v>
      </c>
      <c r="J40" s="5">
        <v>22.5313530264931</v>
      </c>
      <c r="Y40" t="s">
        <v>14</v>
      </c>
      <c r="Z40" s="1">
        <v>35643</v>
      </c>
      <c r="AA40">
        <v>78728</v>
      </c>
      <c r="AB40">
        <v>318968926684.46997</v>
      </c>
      <c r="AC40" t="s">
        <v>6</v>
      </c>
      <c r="AE40" s="3">
        <v>35582</v>
      </c>
      <c r="AF40" s="5">
        <v>0</v>
      </c>
      <c r="AI40" s="3">
        <v>42248</v>
      </c>
      <c r="AJ40" s="5">
        <v>10.013690901575</v>
      </c>
      <c r="AK40" s="5">
        <v>6.6108535027787996</v>
      </c>
    </row>
    <row r="41" spans="1:37" x14ac:dyDescent="0.25">
      <c r="A41" t="s">
        <v>5</v>
      </c>
      <c r="B41" s="1">
        <v>35551</v>
      </c>
      <c r="C41">
        <v>160667</v>
      </c>
      <c r="D41">
        <v>394401986179.65997</v>
      </c>
      <c r="E41">
        <v>24.484699868277499</v>
      </c>
      <c r="I41" s="3">
        <v>35490</v>
      </c>
      <c r="J41" s="5">
        <v>23.2220566081443</v>
      </c>
      <c r="Y41" t="s">
        <v>14</v>
      </c>
      <c r="Z41" s="1">
        <v>35674</v>
      </c>
      <c r="AA41">
        <v>79279</v>
      </c>
      <c r="AB41">
        <v>322889944513.82001</v>
      </c>
      <c r="AC41" t="s">
        <v>6</v>
      </c>
      <c r="AE41" s="3">
        <v>35612</v>
      </c>
      <c r="AF41" s="5">
        <v>0</v>
      </c>
      <c r="AI41" s="3">
        <v>42278</v>
      </c>
      <c r="AJ41" s="5">
        <v>10.012172178677201</v>
      </c>
      <c r="AK41" s="5">
        <v>6.5964607972577403</v>
      </c>
    </row>
    <row r="42" spans="1:37" x14ac:dyDescent="0.25">
      <c r="A42" t="s">
        <v>5</v>
      </c>
      <c r="B42" s="1">
        <v>35582</v>
      </c>
      <c r="C42">
        <v>161332</v>
      </c>
      <c r="D42">
        <v>397650299517.78003</v>
      </c>
      <c r="E42">
        <v>25.244831138373801</v>
      </c>
      <c r="I42" s="3">
        <v>35521</v>
      </c>
      <c r="J42" s="5">
        <v>23.8269487846899</v>
      </c>
      <c r="Y42" t="s">
        <v>14</v>
      </c>
      <c r="Z42" s="1">
        <v>35704</v>
      </c>
      <c r="AA42">
        <v>79818</v>
      </c>
      <c r="AB42">
        <v>326223233406.87</v>
      </c>
      <c r="AC42" t="s">
        <v>6</v>
      </c>
      <c r="AE42" s="3">
        <v>35643</v>
      </c>
      <c r="AF42" s="5">
        <v>0</v>
      </c>
      <c r="AI42" s="3">
        <v>42309</v>
      </c>
      <c r="AJ42" s="5">
        <v>9.9759508900854499</v>
      </c>
      <c r="AK42" s="5">
        <v>6.6014852110770503</v>
      </c>
    </row>
    <row r="43" spans="1:37" x14ac:dyDescent="0.25">
      <c r="A43" t="s">
        <v>5</v>
      </c>
      <c r="B43" s="1">
        <v>35612</v>
      </c>
      <c r="C43">
        <v>161858</v>
      </c>
      <c r="D43">
        <v>399661358461.85999</v>
      </c>
      <c r="E43">
        <v>25.853456688453601</v>
      </c>
      <c r="I43" s="3">
        <v>35551</v>
      </c>
      <c r="J43" s="5">
        <v>24.484699868277499</v>
      </c>
      <c r="Y43" t="s">
        <v>14</v>
      </c>
      <c r="Z43" s="1">
        <v>35735</v>
      </c>
      <c r="AA43">
        <v>80470</v>
      </c>
      <c r="AB43">
        <v>331462404329.59998</v>
      </c>
      <c r="AC43" t="s">
        <v>6</v>
      </c>
      <c r="AE43" s="3">
        <v>35674</v>
      </c>
      <c r="AF43" s="5">
        <v>0</v>
      </c>
      <c r="AI43" s="3">
        <v>42339</v>
      </c>
      <c r="AJ43" s="5">
        <v>10.151531886325101</v>
      </c>
      <c r="AK43" s="5">
        <v>6.6015617836651002</v>
      </c>
    </row>
    <row r="44" spans="1:37" x14ac:dyDescent="0.25">
      <c r="A44" t="s">
        <v>5</v>
      </c>
      <c r="B44" s="1">
        <v>35643</v>
      </c>
      <c r="C44">
        <v>162531</v>
      </c>
      <c r="D44">
        <v>402473247826.06</v>
      </c>
      <c r="E44">
        <v>26.536515454624599</v>
      </c>
      <c r="I44" s="3">
        <v>35582</v>
      </c>
      <c r="J44" s="5">
        <v>25.244831138373801</v>
      </c>
      <c r="Y44" t="s">
        <v>14</v>
      </c>
      <c r="Z44" s="1">
        <v>35765</v>
      </c>
      <c r="AA44">
        <v>81105</v>
      </c>
      <c r="AB44">
        <v>335920440468.38</v>
      </c>
      <c r="AC44" t="s">
        <v>6</v>
      </c>
      <c r="AE44" s="3">
        <v>35704</v>
      </c>
      <c r="AF44" s="5">
        <v>0</v>
      </c>
      <c r="AI44" s="3">
        <v>42370</v>
      </c>
      <c r="AJ44" s="5">
        <v>10.141755499199499</v>
      </c>
      <c r="AK44" s="5">
        <v>6.6004661089559402</v>
      </c>
    </row>
    <row r="45" spans="1:37" x14ac:dyDescent="0.25">
      <c r="A45" t="s">
        <v>5</v>
      </c>
      <c r="B45" s="1">
        <v>35674</v>
      </c>
      <c r="C45">
        <v>163328</v>
      </c>
      <c r="D45">
        <v>407135000510.78003</v>
      </c>
      <c r="E45">
        <v>27.452006226680801</v>
      </c>
      <c r="I45" s="3">
        <v>35612</v>
      </c>
      <c r="J45" s="5">
        <v>25.853456688453601</v>
      </c>
      <c r="Y45" t="s">
        <v>14</v>
      </c>
      <c r="Z45" s="1">
        <v>35796</v>
      </c>
      <c r="AA45">
        <v>81826</v>
      </c>
      <c r="AB45">
        <v>341078292801.59998</v>
      </c>
      <c r="AC45" t="s">
        <v>6</v>
      </c>
      <c r="AE45" s="3">
        <v>35735</v>
      </c>
      <c r="AF45" s="5">
        <v>0</v>
      </c>
      <c r="AI45" s="3">
        <v>42401</v>
      </c>
      <c r="AJ45" s="5">
        <v>10.1478029805526</v>
      </c>
      <c r="AK45" s="5">
        <v>6.6073653722588199</v>
      </c>
    </row>
    <row r="46" spans="1:37" x14ac:dyDescent="0.25">
      <c r="A46" t="s">
        <v>5</v>
      </c>
      <c r="B46" s="1">
        <v>35704</v>
      </c>
      <c r="C46">
        <v>164171</v>
      </c>
      <c r="D46">
        <v>410957899203.09998</v>
      </c>
      <c r="E46">
        <v>28.257272060733399</v>
      </c>
      <c r="I46" s="3">
        <v>35643</v>
      </c>
      <c r="J46" s="5">
        <v>26.536515454624599</v>
      </c>
      <c r="Y46" t="s">
        <v>14</v>
      </c>
      <c r="Z46" s="1">
        <v>35827</v>
      </c>
      <c r="AA46">
        <v>82571</v>
      </c>
      <c r="AB46">
        <v>342377531652.5</v>
      </c>
      <c r="AC46" t="s">
        <v>6</v>
      </c>
      <c r="AE46" s="3">
        <v>35765</v>
      </c>
      <c r="AF46" s="5">
        <v>0</v>
      </c>
      <c r="AI46" s="3">
        <v>42430</v>
      </c>
      <c r="AJ46" s="5">
        <v>10.153422243206</v>
      </c>
      <c r="AK46" s="5">
        <v>6.6076268013864796</v>
      </c>
    </row>
    <row r="47" spans="1:37" x14ac:dyDescent="0.25">
      <c r="A47" t="s">
        <v>5</v>
      </c>
      <c r="B47" s="1">
        <v>35735</v>
      </c>
      <c r="C47">
        <v>164998</v>
      </c>
      <c r="D47">
        <v>415578143387.42999</v>
      </c>
      <c r="E47">
        <v>29.114425099331498</v>
      </c>
      <c r="I47" s="3">
        <v>35674</v>
      </c>
      <c r="J47" s="5">
        <v>27.452006226680801</v>
      </c>
      <c r="Y47" t="s">
        <v>14</v>
      </c>
      <c r="Z47" s="1">
        <v>35855</v>
      </c>
      <c r="AA47">
        <v>83367</v>
      </c>
      <c r="AB47">
        <v>347235598262.58002</v>
      </c>
      <c r="AC47" t="s">
        <v>6</v>
      </c>
      <c r="AE47" s="3">
        <v>35796</v>
      </c>
      <c r="AF47" s="5">
        <v>0</v>
      </c>
      <c r="AI47" s="3">
        <v>42461</v>
      </c>
      <c r="AJ47" s="5">
        <v>10.148498974165699</v>
      </c>
      <c r="AK47" s="5">
        <v>6.60650730760306</v>
      </c>
    </row>
    <row r="48" spans="1:37" x14ac:dyDescent="0.25">
      <c r="A48" t="s">
        <v>5</v>
      </c>
      <c r="B48" s="1">
        <v>35765</v>
      </c>
      <c r="C48">
        <v>165889</v>
      </c>
      <c r="D48">
        <v>420442181020.82001</v>
      </c>
      <c r="E48">
        <v>30.0271338421568</v>
      </c>
      <c r="I48" s="3">
        <v>35704</v>
      </c>
      <c r="J48" s="5">
        <v>28.257272060733399</v>
      </c>
      <c r="Y48" t="s">
        <v>14</v>
      </c>
      <c r="Z48" s="1">
        <v>35886</v>
      </c>
      <c r="AA48">
        <v>84285</v>
      </c>
      <c r="AB48">
        <v>356844623340.15997</v>
      </c>
      <c r="AC48" t="s">
        <v>6</v>
      </c>
      <c r="AE48" s="3">
        <v>35827</v>
      </c>
      <c r="AF48" s="5">
        <v>0</v>
      </c>
      <c r="AI48" s="3">
        <v>42491</v>
      </c>
      <c r="AJ48" s="5">
        <v>10.1417714030542</v>
      </c>
      <c r="AK48" s="5">
        <v>6.6009121539904303</v>
      </c>
    </row>
    <row r="49" spans="1:37" x14ac:dyDescent="0.25">
      <c r="A49" t="s">
        <v>5</v>
      </c>
      <c r="B49" s="1">
        <v>35796</v>
      </c>
      <c r="C49">
        <v>166964</v>
      </c>
      <c r="D49">
        <v>425507008058.42999</v>
      </c>
      <c r="E49">
        <v>30.880034945087498</v>
      </c>
      <c r="I49" s="3">
        <v>35735</v>
      </c>
      <c r="J49" s="5">
        <v>29.114425099331498</v>
      </c>
      <c r="Y49" t="s">
        <v>14</v>
      </c>
      <c r="Z49" s="1">
        <v>35916</v>
      </c>
      <c r="AA49">
        <v>85347</v>
      </c>
      <c r="AB49">
        <v>363989269831.03998</v>
      </c>
      <c r="AC49" t="s">
        <v>6</v>
      </c>
      <c r="AE49" s="3">
        <v>35855</v>
      </c>
      <c r="AF49" s="5">
        <v>0</v>
      </c>
      <c r="AI49" s="3">
        <v>42522</v>
      </c>
      <c r="AJ49" s="5">
        <v>10.131110270941999</v>
      </c>
      <c r="AK49" s="5">
        <v>6.5966274932975404</v>
      </c>
    </row>
    <row r="50" spans="1:37" x14ac:dyDescent="0.25">
      <c r="A50" t="s">
        <v>5</v>
      </c>
      <c r="B50" s="1">
        <v>35827</v>
      </c>
      <c r="C50">
        <v>167888</v>
      </c>
      <c r="D50">
        <v>430133364045.90002</v>
      </c>
      <c r="E50">
        <v>31.7445580157266</v>
      </c>
      <c r="I50" s="3">
        <v>35765</v>
      </c>
      <c r="J50" s="5">
        <v>30.0271338421568</v>
      </c>
      <c r="Y50" t="s">
        <v>14</v>
      </c>
      <c r="Z50" s="1">
        <v>35947</v>
      </c>
      <c r="AA50">
        <v>86333</v>
      </c>
      <c r="AB50">
        <v>369967952529.34998</v>
      </c>
      <c r="AC50" t="s">
        <v>6</v>
      </c>
      <c r="AE50" s="3">
        <v>35886</v>
      </c>
      <c r="AF50" s="5">
        <v>0</v>
      </c>
      <c r="AI50" s="3">
        <v>42552</v>
      </c>
      <c r="AJ50" s="5">
        <v>10.110422353154799</v>
      </c>
      <c r="AK50" s="5">
        <v>6.5794968508660396</v>
      </c>
    </row>
    <row r="51" spans="1:37" x14ac:dyDescent="0.25">
      <c r="A51" t="s">
        <v>5</v>
      </c>
      <c r="B51" s="1">
        <v>35855</v>
      </c>
      <c r="C51">
        <v>169006</v>
      </c>
      <c r="D51">
        <v>436014643807.73999</v>
      </c>
      <c r="E51">
        <v>32.500900634452201</v>
      </c>
      <c r="I51" s="3">
        <v>35796</v>
      </c>
      <c r="J51" s="5">
        <v>30.880034945087498</v>
      </c>
      <c r="Y51" t="s">
        <v>14</v>
      </c>
      <c r="Z51" s="1">
        <v>35977</v>
      </c>
      <c r="AA51">
        <v>87205</v>
      </c>
      <c r="AB51">
        <v>377339687889.40997</v>
      </c>
      <c r="AC51" t="s">
        <v>6</v>
      </c>
      <c r="AE51" s="3">
        <v>35916</v>
      </c>
      <c r="AF51" s="5">
        <v>0</v>
      </c>
      <c r="AI51" s="3">
        <v>42583</v>
      </c>
      <c r="AJ51" s="5">
        <v>10.1067773493444</v>
      </c>
      <c r="AK51" s="5">
        <v>6.55373896860167</v>
      </c>
    </row>
    <row r="52" spans="1:37" x14ac:dyDescent="0.25">
      <c r="A52" t="s">
        <v>5</v>
      </c>
      <c r="B52" s="1">
        <v>35886</v>
      </c>
      <c r="C52">
        <v>170201</v>
      </c>
      <c r="D52">
        <v>440572182741.69</v>
      </c>
      <c r="E52">
        <v>33.227471736593102</v>
      </c>
      <c r="I52" s="3">
        <v>35827</v>
      </c>
      <c r="J52" s="5">
        <v>31.7445580157266</v>
      </c>
      <c r="Y52" t="s">
        <v>14</v>
      </c>
      <c r="Z52" s="1">
        <v>36008</v>
      </c>
      <c r="AA52">
        <v>88347</v>
      </c>
      <c r="AB52">
        <v>386367453157.35999</v>
      </c>
      <c r="AC52" t="s">
        <v>6</v>
      </c>
      <c r="AE52" s="3">
        <v>35947</v>
      </c>
      <c r="AF52" s="5">
        <v>0</v>
      </c>
      <c r="AI52" s="3">
        <v>42614</v>
      </c>
      <c r="AJ52" s="5">
        <v>10.0838918868234</v>
      </c>
      <c r="AK52" s="5">
        <v>6.5422483573360299</v>
      </c>
    </row>
    <row r="53" spans="1:37" x14ac:dyDescent="0.25">
      <c r="A53" t="s">
        <v>5</v>
      </c>
      <c r="B53" s="1">
        <v>35916</v>
      </c>
      <c r="C53">
        <v>171456</v>
      </c>
      <c r="D53">
        <v>447378001346.06</v>
      </c>
      <c r="E53">
        <v>34.197530675647698</v>
      </c>
      <c r="I53" s="3">
        <v>35855</v>
      </c>
      <c r="J53" s="5">
        <v>32.500900634452201</v>
      </c>
      <c r="Y53" t="s">
        <v>14</v>
      </c>
      <c r="Z53" s="1">
        <v>36039</v>
      </c>
      <c r="AA53">
        <v>89353</v>
      </c>
      <c r="AB53">
        <v>391655603963.95001</v>
      </c>
      <c r="AC53" t="s">
        <v>6</v>
      </c>
      <c r="AE53" s="3">
        <v>35977</v>
      </c>
      <c r="AF53" s="5">
        <v>0</v>
      </c>
      <c r="AI53" s="3">
        <v>42644</v>
      </c>
      <c r="AJ53" s="5">
        <v>10.0528456314007</v>
      </c>
      <c r="AK53" s="5">
        <v>6.5256632656015201</v>
      </c>
    </row>
    <row r="54" spans="1:37" x14ac:dyDescent="0.25">
      <c r="A54" t="s">
        <v>5</v>
      </c>
      <c r="B54" s="1">
        <v>35947</v>
      </c>
      <c r="C54">
        <v>172582</v>
      </c>
      <c r="D54">
        <v>454600787180.84998</v>
      </c>
      <c r="E54">
        <v>35.180030952995601</v>
      </c>
      <c r="I54" s="3">
        <v>35886</v>
      </c>
      <c r="J54" s="5">
        <v>33.227471736593102</v>
      </c>
      <c r="Y54" t="s">
        <v>14</v>
      </c>
      <c r="Z54" s="1">
        <v>36069</v>
      </c>
      <c r="AA54">
        <v>90394</v>
      </c>
      <c r="AB54">
        <v>395905188008.88</v>
      </c>
      <c r="AC54" t="s">
        <v>6</v>
      </c>
      <c r="AE54" s="3">
        <v>36008</v>
      </c>
      <c r="AF54" s="5">
        <v>0</v>
      </c>
    </row>
    <row r="55" spans="1:37" x14ac:dyDescent="0.25">
      <c r="A55" t="s">
        <v>5</v>
      </c>
      <c r="B55" s="1">
        <v>35977</v>
      </c>
      <c r="C55">
        <v>173773</v>
      </c>
      <c r="D55">
        <v>463337515393.27002</v>
      </c>
      <c r="E55">
        <v>36.111582600723601</v>
      </c>
      <c r="I55" s="3">
        <v>35916</v>
      </c>
      <c r="J55" s="5">
        <v>34.197530675647698</v>
      </c>
      <c r="Y55" t="s">
        <v>14</v>
      </c>
      <c r="Z55" s="1">
        <v>36100</v>
      </c>
      <c r="AA55">
        <v>91404</v>
      </c>
      <c r="AB55">
        <v>405477226088.94</v>
      </c>
      <c r="AC55" t="s">
        <v>6</v>
      </c>
      <c r="AE55" s="3">
        <v>36039</v>
      </c>
      <c r="AF55" s="5">
        <v>0</v>
      </c>
    </row>
    <row r="56" spans="1:37" x14ac:dyDescent="0.25">
      <c r="A56" t="s">
        <v>5</v>
      </c>
      <c r="B56" s="1">
        <v>36008</v>
      </c>
      <c r="C56">
        <v>174901</v>
      </c>
      <c r="D56">
        <v>473963930458.06</v>
      </c>
      <c r="E56">
        <v>37.0885802026826</v>
      </c>
      <c r="I56" s="3">
        <v>35947</v>
      </c>
      <c r="J56" s="5">
        <v>35.180030952995601</v>
      </c>
      <c r="Y56" t="s">
        <v>14</v>
      </c>
      <c r="Z56" s="1">
        <v>36130</v>
      </c>
      <c r="AA56">
        <v>92421</v>
      </c>
      <c r="AB56">
        <v>415987868538.75</v>
      </c>
      <c r="AC56" t="s">
        <v>6</v>
      </c>
      <c r="AE56" s="3">
        <v>36069</v>
      </c>
      <c r="AF56" s="5">
        <v>0</v>
      </c>
    </row>
    <row r="57" spans="1:37" x14ac:dyDescent="0.25">
      <c r="A57" t="s">
        <v>5</v>
      </c>
      <c r="B57" s="1">
        <v>36039</v>
      </c>
      <c r="C57">
        <v>175971</v>
      </c>
      <c r="D57">
        <v>482637195788</v>
      </c>
      <c r="E57">
        <v>37.934533357472297</v>
      </c>
      <c r="I57" s="3">
        <v>35977</v>
      </c>
      <c r="J57" s="5">
        <v>36.111582600723601</v>
      </c>
      <c r="Y57" t="s">
        <v>14</v>
      </c>
      <c r="Z57" s="1">
        <v>36161</v>
      </c>
      <c r="AA57">
        <v>93582</v>
      </c>
      <c r="AB57">
        <v>423029711253.54999</v>
      </c>
      <c r="AC57" t="s">
        <v>6</v>
      </c>
      <c r="AE57" s="3">
        <v>36100</v>
      </c>
      <c r="AF57" s="5">
        <v>0</v>
      </c>
    </row>
    <row r="58" spans="1:37" x14ac:dyDescent="0.25">
      <c r="A58" t="s">
        <v>5</v>
      </c>
      <c r="B58" s="1">
        <v>36069</v>
      </c>
      <c r="C58">
        <v>177221</v>
      </c>
      <c r="D58">
        <v>492759677673.42999</v>
      </c>
      <c r="E58">
        <v>38.755843024368502</v>
      </c>
      <c r="I58" s="3">
        <v>36008</v>
      </c>
      <c r="J58" s="5">
        <v>37.0885802026826</v>
      </c>
      <c r="Y58" t="s">
        <v>14</v>
      </c>
      <c r="Z58" s="1">
        <v>36192</v>
      </c>
      <c r="AA58">
        <v>94621</v>
      </c>
      <c r="AB58">
        <v>428789332116.60999</v>
      </c>
      <c r="AC58" t="s">
        <v>6</v>
      </c>
      <c r="AE58" s="3">
        <v>36130</v>
      </c>
      <c r="AF58" s="5">
        <v>0</v>
      </c>
    </row>
    <row r="59" spans="1:37" x14ac:dyDescent="0.25">
      <c r="A59" t="s">
        <v>5</v>
      </c>
      <c r="B59" s="1">
        <v>36100</v>
      </c>
      <c r="C59">
        <v>178640</v>
      </c>
      <c r="D59">
        <v>502211629634.06</v>
      </c>
      <c r="E59">
        <v>39.515895044904198</v>
      </c>
      <c r="I59" s="3">
        <v>36039</v>
      </c>
      <c r="J59" s="5">
        <v>37.934533357472297</v>
      </c>
      <c r="Y59" t="s">
        <v>14</v>
      </c>
      <c r="Z59" s="1">
        <v>36220</v>
      </c>
      <c r="AA59">
        <v>95673</v>
      </c>
      <c r="AB59">
        <v>435071002275.32001</v>
      </c>
      <c r="AC59" t="s">
        <v>6</v>
      </c>
      <c r="AE59" s="3">
        <v>36161</v>
      </c>
      <c r="AF59" s="5">
        <v>0</v>
      </c>
    </row>
    <row r="60" spans="1:37" x14ac:dyDescent="0.25">
      <c r="A60" t="s">
        <v>5</v>
      </c>
      <c r="B60" s="1">
        <v>36130</v>
      </c>
      <c r="C60">
        <v>179937</v>
      </c>
      <c r="D60">
        <v>508860817728.65997</v>
      </c>
      <c r="E60">
        <v>40.2080503209163</v>
      </c>
      <c r="I60" s="3">
        <v>36069</v>
      </c>
      <c r="J60" s="5">
        <v>38.755843024368502</v>
      </c>
      <c r="Y60" t="s">
        <v>14</v>
      </c>
      <c r="Z60" s="1">
        <v>36251</v>
      </c>
      <c r="AA60">
        <v>96985</v>
      </c>
      <c r="AB60">
        <v>445844508849.51001</v>
      </c>
      <c r="AC60" t="s">
        <v>6</v>
      </c>
      <c r="AE60" s="3">
        <v>36192</v>
      </c>
      <c r="AF60" s="5">
        <v>0</v>
      </c>
    </row>
    <row r="61" spans="1:37" x14ac:dyDescent="0.25">
      <c r="A61" t="s">
        <v>5</v>
      </c>
      <c r="B61" s="1">
        <v>36161</v>
      </c>
      <c r="C61">
        <v>181535</v>
      </c>
      <c r="D61">
        <v>519181595242.40002</v>
      </c>
      <c r="E61">
        <v>40.996136656163401</v>
      </c>
      <c r="I61" s="3">
        <v>36100</v>
      </c>
      <c r="J61" s="5">
        <v>39.515895044904198</v>
      </c>
      <c r="Y61" t="s">
        <v>14</v>
      </c>
      <c r="Z61" s="1">
        <v>36281</v>
      </c>
      <c r="AA61">
        <v>98319</v>
      </c>
      <c r="AB61">
        <v>454861367864.41998</v>
      </c>
      <c r="AC61" t="s">
        <v>6</v>
      </c>
      <c r="AE61" s="3">
        <v>36220</v>
      </c>
      <c r="AF61" s="5">
        <v>0</v>
      </c>
    </row>
    <row r="62" spans="1:37" x14ac:dyDescent="0.25">
      <c r="A62" t="s">
        <v>5</v>
      </c>
      <c r="B62" s="1">
        <v>36192</v>
      </c>
      <c r="C62">
        <v>183021</v>
      </c>
      <c r="D62">
        <v>529266546073.46997</v>
      </c>
      <c r="E62">
        <v>41.8499177098997</v>
      </c>
      <c r="I62" s="3">
        <v>36130</v>
      </c>
      <c r="J62" s="5">
        <v>40.2080503209163</v>
      </c>
      <c r="Y62" t="s">
        <v>14</v>
      </c>
      <c r="Z62" s="1">
        <v>36312</v>
      </c>
      <c r="AA62">
        <v>99372</v>
      </c>
      <c r="AB62">
        <v>462596813374.56</v>
      </c>
      <c r="AC62" t="s">
        <v>6</v>
      </c>
      <c r="AE62" s="3">
        <v>36251</v>
      </c>
      <c r="AF62" s="5">
        <v>0</v>
      </c>
    </row>
    <row r="63" spans="1:37" x14ac:dyDescent="0.25">
      <c r="A63" t="s">
        <v>5</v>
      </c>
      <c r="B63" s="1">
        <v>36220</v>
      </c>
      <c r="C63">
        <v>184355</v>
      </c>
      <c r="D63">
        <v>540755542094.21002</v>
      </c>
      <c r="E63">
        <v>42.459751854853899</v>
      </c>
      <c r="I63" s="3">
        <v>36161</v>
      </c>
      <c r="J63" s="5">
        <v>40.996136656163401</v>
      </c>
      <c r="Y63" t="s">
        <v>14</v>
      </c>
      <c r="Z63" s="1">
        <v>36342</v>
      </c>
      <c r="AA63">
        <v>100290</v>
      </c>
      <c r="AB63">
        <v>469015767726</v>
      </c>
      <c r="AC63" t="s">
        <v>6</v>
      </c>
      <c r="AE63" s="3">
        <v>36281</v>
      </c>
      <c r="AF63" s="5">
        <v>0</v>
      </c>
    </row>
    <row r="64" spans="1:37" x14ac:dyDescent="0.25">
      <c r="A64" t="s">
        <v>5</v>
      </c>
      <c r="B64" s="1">
        <v>36251</v>
      </c>
      <c r="C64">
        <v>185605</v>
      </c>
      <c r="D64">
        <v>549750472653.34998</v>
      </c>
      <c r="E64">
        <v>42.872729718156897</v>
      </c>
      <c r="I64" s="3">
        <v>36192</v>
      </c>
      <c r="J64" s="5">
        <v>41.8499177098997</v>
      </c>
      <c r="Y64" t="s">
        <v>14</v>
      </c>
      <c r="Z64" s="1">
        <v>36373</v>
      </c>
      <c r="AA64">
        <v>101048</v>
      </c>
      <c r="AB64">
        <v>474446604497.37</v>
      </c>
      <c r="AC64" t="s">
        <v>6</v>
      </c>
      <c r="AE64" s="3">
        <v>36312</v>
      </c>
      <c r="AF64" s="5">
        <v>0</v>
      </c>
    </row>
    <row r="65" spans="1:32" x14ac:dyDescent="0.25">
      <c r="A65" t="s">
        <v>5</v>
      </c>
      <c r="B65" s="1">
        <v>36281</v>
      </c>
      <c r="C65">
        <v>186717</v>
      </c>
      <c r="D65">
        <v>556506175459.81006</v>
      </c>
      <c r="E65">
        <v>43.226033701853503</v>
      </c>
      <c r="I65" s="3">
        <v>36220</v>
      </c>
      <c r="J65" s="5">
        <v>42.459751854853899</v>
      </c>
      <c r="Y65" t="s">
        <v>14</v>
      </c>
      <c r="Z65" s="1">
        <v>36404</v>
      </c>
      <c r="AA65">
        <v>101791</v>
      </c>
      <c r="AB65">
        <v>478953183452.09003</v>
      </c>
      <c r="AC65" t="s">
        <v>6</v>
      </c>
      <c r="AE65" s="3">
        <v>36342</v>
      </c>
      <c r="AF65" s="5">
        <v>0</v>
      </c>
    </row>
    <row r="66" spans="1:32" x14ac:dyDescent="0.25">
      <c r="A66" t="s">
        <v>5</v>
      </c>
      <c r="B66" s="1">
        <v>36312</v>
      </c>
      <c r="C66">
        <v>187662</v>
      </c>
      <c r="D66">
        <v>563458838273</v>
      </c>
      <c r="E66">
        <v>43.515926907734602</v>
      </c>
      <c r="I66" s="3">
        <v>36251</v>
      </c>
      <c r="J66" s="5">
        <v>42.872729718156897</v>
      </c>
      <c r="Y66" t="s">
        <v>14</v>
      </c>
      <c r="Z66" s="1">
        <v>36434</v>
      </c>
      <c r="AA66">
        <v>102667</v>
      </c>
      <c r="AB66">
        <v>483684933728.44</v>
      </c>
      <c r="AC66" t="s">
        <v>6</v>
      </c>
      <c r="AE66" s="3">
        <v>36373</v>
      </c>
      <c r="AF66" s="5">
        <v>0</v>
      </c>
    </row>
    <row r="67" spans="1:32" x14ac:dyDescent="0.25">
      <c r="A67" t="s">
        <v>5</v>
      </c>
      <c r="B67" s="1">
        <v>36342</v>
      </c>
      <c r="C67">
        <v>188811</v>
      </c>
      <c r="D67">
        <v>572204607933.89001</v>
      </c>
      <c r="E67">
        <v>43.786744098587398</v>
      </c>
      <c r="I67" s="3">
        <v>36281</v>
      </c>
      <c r="J67" s="5">
        <v>43.226033701853503</v>
      </c>
      <c r="Y67" t="s">
        <v>14</v>
      </c>
      <c r="Z67" s="1">
        <v>36465</v>
      </c>
      <c r="AA67">
        <v>103263</v>
      </c>
      <c r="AB67">
        <v>486113274951.03003</v>
      </c>
      <c r="AC67" t="s">
        <v>6</v>
      </c>
      <c r="AE67" s="3">
        <v>36404</v>
      </c>
      <c r="AF67" s="5">
        <v>0</v>
      </c>
    </row>
    <row r="68" spans="1:32" x14ac:dyDescent="0.25">
      <c r="A68" t="s">
        <v>5</v>
      </c>
      <c r="B68" s="1">
        <v>36373</v>
      </c>
      <c r="C68">
        <v>189841</v>
      </c>
      <c r="D68">
        <v>579291469300.42004</v>
      </c>
      <c r="E68">
        <v>44.038012145564103</v>
      </c>
      <c r="I68" s="3">
        <v>36312</v>
      </c>
      <c r="J68" s="5">
        <v>43.515926907734602</v>
      </c>
      <c r="Y68" t="s">
        <v>14</v>
      </c>
      <c r="Z68" s="1">
        <v>36495</v>
      </c>
      <c r="AA68">
        <v>103797</v>
      </c>
      <c r="AB68">
        <v>488977501585.98999</v>
      </c>
      <c r="AC68" t="s">
        <v>6</v>
      </c>
      <c r="AE68" s="3">
        <v>36434</v>
      </c>
      <c r="AF68" s="5">
        <v>0</v>
      </c>
    </row>
    <row r="69" spans="1:32" x14ac:dyDescent="0.25">
      <c r="A69" t="s">
        <v>5</v>
      </c>
      <c r="B69" s="1">
        <v>36404</v>
      </c>
      <c r="C69">
        <v>190764</v>
      </c>
      <c r="D69">
        <v>587347551657.76001</v>
      </c>
      <c r="E69">
        <v>44.243198126631199</v>
      </c>
      <c r="I69" s="3">
        <v>36342</v>
      </c>
      <c r="J69" s="5">
        <v>43.786744098587398</v>
      </c>
      <c r="Y69" t="s">
        <v>14</v>
      </c>
      <c r="Z69" s="1">
        <v>36526</v>
      </c>
      <c r="AA69">
        <v>104272</v>
      </c>
      <c r="AB69">
        <v>490954239429.84998</v>
      </c>
      <c r="AC69" t="s">
        <v>6</v>
      </c>
      <c r="AE69" s="3">
        <v>36465</v>
      </c>
      <c r="AF69" s="5">
        <v>0</v>
      </c>
    </row>
    <row r="70" spans="1:32" x14ac:dyDescent="0.25">
      <c r="A70" t="s">
        <v>5</v>
      </c>
      <c r="B70" s="1">
        <v>36434</v>
      </c>
      <c r="C70">
        <v>191769</v>
      </c>
      <c r="D70">
        <v>595358056585.48999</v>
      </c>
      <c r="E70">
        <v>44.418301791645298</v>
      </c>
      <c r="I70" s="3">
        <v>36373</v>
      </c>
      <c r="J70" s="5">
        <v>44.038012145564103</v>
      </c>
      <c r="Y70" t="s">
        <v>14</v>
      </c>
      <c r="Z70" s="1">
        <v>36557</v>
      </c>
      <c r="AA70">
        <v>105024</v>
      </c>
      <c r="AB70">
        <v>496915801152.44</v>
      </c>
      <c r="AC70" t="s">
        <v>6</v>
      </c>
      <c r="AE70" s="3">
        <v>36495</v>
      </c>
      <c r="AF70" s="5">
        <v>0</v>
      </c>
    </row>
    <row r="71" spans="1:32" x14ac:dyDescent="0.25">
      <c r="A71" t="s">
        <v>5</v>
      </c>
      <c r="B71" s="1">
        <v>36465</v>
      </c>
      <c r="C71">
        <v>192676</v>
      </c>
      <c r="D71">
        <v>603335784202.89001</v>
      </c>
      <c r="E71">
        <v>44.574737561343198</v>
      </c>
      <c r="I71" s="3">
        <v>36404</v>
      </c>
      <c r="J71" s="5">
        <v>44.243198126631199</v>
      </c>
      <c r="Y71" t="s">
        <v>14</v>
      </c>
      <c r="Z71" s="1">
        <v>36586</v>
      </c>
      <c r="AA71">
        <v>105571</v>
      </c>
      <c r="AB71">
        <v>498826947779.83002</v>
      </c>
      <c r="AC71" t="s">
        <v>6</v>
      </c>
      <c r="AE71" s="3">
        <v>36526</v>
      </c>
      <c r="AF71" s="5">
        <v>0</v>
      </c>
    </row>
    <row r="72" spans="1:32" x14ac:dyDescent="0.25">
      <c r="A72" t="s">
        <v>5</v>
      </c>
      <c r="B72" s="1">
        <v>36495</v>
      </c>
      <c r="C72">
        <v>193594</v>
      </c>
      <c r="D72">
        <v>608661813729.64001</v>
      </c>
      <c r="E72">
        <v>44.6913758803124</v>
      </c>
      <c r="I72" s="3">
        <v>36434</v>
      </c>
      <c r="J72" s="5">
        <v>44.418301791645298</v>
      </c>
      <c r="Y72" t="s">
        <v>14</v>
      </c>
      <c r="Z72" s="1">
        <v>36617</v>
      </c>
      <c r="AA72">
        <v>106181</v>
      </c>
      <c r="AB72">
        <v>501711977650.15002</v>
      </c>
      <c r="AC72" t="s">
        <v>6</v>
      </c>
      <c r="AE72" s="3">
        <v>36557</v>
      </c>
      <c r="AF72" s="5">
        <v>0</v>
      </c>
    </row>
    <row r="73" spans="1:32" x14ac:dyDescent="0.25">
      <c r="A73" t="s">
        <v>5</v>
      </c>
      <c r="B73" s="1">
        <v>36526</v>
      </c>
      <c r="C73">
        <v>194574</v>
      </c>
      <c r="D73">
        <v>614730545023.56995</v>
      </c>
      <c r="E73">
        <v>44.795984232191302</v>
      </c>
      <c r="I73" s="3">
        <v>36465</v>
      </c>
      <c r="J73" s="5">
        <v>44.574737561343198</v>
      </c>
      <c r="Y73" t="s">
        <v>14</v>
      </c>
      <c r="Z73" s="1">
        <v>36647</v>
      </c>
      <c r="AA73">
        <v>106663</v>
      </c>
      <c r="AB73">
        <v>503601588836.79999</v>
      </c>
      <c r="AC73" t="s">
        <v>6</v>
      </c>
      <c r="AE73" s="3">
        <v>36586</v>
      </c>
      <c r="AF73" s="5">
        <v>0</v>
      </c>
    </row>
    <row r="74" spans="1:32" x14ac:dyDescent="0.25">
      <c r="A74" t="s">
        <v>5</v>
      </c>
      <c r="B74" s="1">
        <v>36557</v>
      </c>
      <c r="C74">
        <v>195521</v>
      </c>
      <c r="D74">
        <v>620175920606.63</v>
      </c>
      <c r="E74">
        <v>44.7907714590891</v>
      </c>
      <c r="I74" s="3">
        <v>36495</v>
      </c>
      <c r="J74" s="5">
        <v>44.6913758803124</v>
      </c>
      <c r="Y74" t="s">
        <v>14</v>
      </c>
      <c r="Z74" s="1">
        <v>36678</v>
      </c>
      <c r="AA74">
        <v>107411</v>
      </c>
      <c r="AB74">
        <v>509012244894.96002</v>
      </c>
      <c r="AC74" t="s">
        <v>6</v>
      </c>
      <c r="AE74" s="3">
        <v>36617</v>
      </c>
      <c r="AF74" s="5">
        <v>0</v>
      </c>
    </row>
    <row r="75" spans="1:32" x14ac:dyDescent="0.25">
      <c r="A75" t="s">
        <v>5</v>
      </c>
      <c r="B75" s="1">
        <v>36586</v>
      </c>
      <c r="C75">
        <v>196302</v>
      </c>
      <c r="D75">
        <v>625373224000.52002</v>
      </c>
      <c r="E75">
        <v>44.676906176606401</v>
      </c>
      <c r="I75" s="3">
        <v>36526</v>
      </c>
      <c r="J75" s="5">
        <v>44.795984232191302</v>
      </c>
      <c r="Y75" t="s">
        <v>14</v>
      </c>
      <c r="Z75" s="1">
        <v>36708</v>
      </c>
      <c r="AA75">
        <v>108179</v>
      </c>
      <c r="AB75">
        <v>513375798865.76001</v>
      </c>
      <c r="AC75" t="s">
        <v>6</v>
      </c>
      <c r="AE75" s="3">
        <v>36647</v>
      </c>
      <c r="AF75" s="5">
        <v>0</v>
      </c>
    </row>
    <row r="76" spans="1:32" x14ac:dyDescent="0.25">
      <c r="A76" t="s">
        <v>5</v>
      </c>
      <c r="B76" s="1">
        <v>36617</v>
      </c>
      <c r="C76">
        <v>197211</v>
      </c>
      <c r="D76">
        <v>628789317108.88</v>
      </c>
      <c r="E76">
        <v>44.465967519736203</v>
      </c>
      <c r="I76" s="3">
        <v>36557</v>
      </c>
      <c r="J76" s="5">
        <v>44.7907714590891</v>
      </c>
      <c r="Y76" t="s">
        <v>14</v>
      </c>
      <c r="Z76" s="1">
        <v>36739</v>
      </c>
      <c r="AA76">
        <v>108954</v>
      </c>
      <c r="AB76">
        <v>516317525107.78998</v>
      </c>
      <c r="AC76" t="s">
        <v>6</v>
      </c>
      <c r="AE76" s="3">
        <v>36678</v>
      </c>
      <c r="AF76" s="5">
        <v>0</v>
      </c>
    </row>
    <row r="77" spans="1:32" x14ac:dyDescent="0.25">
      <c r="A77" t="s">
        <v>5</v>
      </c>
      <c r="B77" s="1">
        <v>36647</v>
      </c>
      <c r="C77">
        <v>198200</v>
      </c>
      <c r="D77">
        <v>633466085432.80005</v>
      </c>
      <c r="E77">
        <v>44.206208854689201</v>
      </c>
      <c r="I77" s="3">
        <v>36586</v>
      </c>
      <c r="J77" s="5">
        <v>44.676906176606401</v>
      </c>
      <c r="Y77" t="s">
        <v>14</v>
      </c>
      <c r="Z77" s="1">
        <v>36770</v>
      </c>
      <c r="AA77">
        <v>109821</v>
      </c>
      <c r="AB77">
        <v>523779386580.96997</v>
      </c>
      <c r="AC77" t="s">
        <v>6</v>
      </c>
      <c r="AE77" s="3">
        <v>36708</v>
      </c>
      <c r="AF77" s="5">
        <v>0</v>
      </c>
    </row>
    <row r="78" spans="1:32" x14ac:dyDescent="0.25">
      <c r="A78" t="s">
        <v>5</v>
      </c>
      <c r="B78" s="1">
        <v>36678</v>
      </c>
      <c r="C78">
        <v>199277</v>
      </c>
      <c r="D78">
        <v>638637756539.06006</v>
      </c>
      <c r="E78">
        <v>43.887340453672898</v>
      </c>
      <c r="I78" s="3">
        <v>36617</v>
      </c>
      <c r="J78" s="5">
        <v>44.465967519736203</v>
      </c>
      <c r="Y78" t="s">
        <v>14</v>
      </c>
      <c r="Z78" s="1">
        <v>36800</v>
      </c>
      <c r="AA78">
        <v>110829</v>
      </c>
      <c r="AB78">
        <v>531358236787.52002</v>
      </c>
      <c r="AC78" t="s">
        <v>6</v>
      </c>
      <c r="AE78" s="3">
        <v>36739</v>
      </c>
      <c r="AF78" s="5">
        <v>0</v>
      </c>
    </row>
    <row r="79" spans="1:32" x14ac:dyDescent="0.25">
      <c r="A79" t="s">
        <v>5</v>
      </c>
      <c r="B79" s="1">
        <v>36708</v>
      </c>
      <c r="C79">
        <v>200318</v>
      </c>
      <c r="D79">
        <v>644319934151.05005</v>
      </c>
      <c r="E79">
        <v>43.525401604467397</v>
      </c>
      <c r="I79" s="3">
        <v>36647</v>
      </c>
      <c r="J79" s="5">
        <v>44.206208854689201</v>
      </c>
      <c r="Y79" t="s">
        <v>14</v>
      </c>
      <c r="Z79" s="1">
        <v>36831</v>
      </c>
      <c r="AA79">
        <v>111769</v>
      </c>
      <c r="AB79">
        <v>538792043173.23999</v>
      </c>
      <c r="AC79" t="s">
        <v>6</v>
      </c>
      <c r="AE79" s="3">
        <v>36770</v>
      </c>
      <c r="AF79" s="5">
        <v>0</v>
      </c>
    </row>
    <row r="80" spans="1:32" x14ac:dyDescent="0.25">
      <c r="A80" t="s">
        <v>5</v>
      </c>
      <c r="B80" s="1">
        <v>36739</v>
      </c>
      <c r="C80">
        <v>201523</v>
      </c>
      <c r="D80">
        <v>650241592057.52002</v>
      </c>
      <c r="E80">
        <v>43.136065816579098</v>
      </c>
      <c r="I80" s="3">
        <v>36678</v>
      </c>
      <c r="J80" s="5">
        <v>43.887340453672898</v>
      </c>
      <c r="Y80" t="s">
        <v>14</v>
      </c>
      <c r="Z80" s="1">
        <v>36861</v>
      </c>
      <c r="AA80">
        <v>112641</v>
      </c>
      <c r="AB80">
        <v>546830986491.85999</v>
      </c>
      <c r="AC80" t="s">
        <v>6</v>
      </c>
      <c r="AE80" s="3">
        <v>36800</v>
      </c>
      <c r="AF80" s="5">
        <v>0</v>
      </c>
    </row>
    <row r="81" spans="1:32" x14ac:dyDescent="0.25">
      <c r="A81" t="s">
        <v>5</v>
      </c>
      <c r="B81" s="1">
        <v>36770</v>
      </c>
      <c r="C81">
        <v>202877</v>
      </c>
      <c r="D81">
        <v>659140528287.64001</v>
      </c>
      <c r="E81">
        <v>42.690143288448198</v>
      </c>
      <c r="I81" s="3">
        <v>36708</v>
      </c>
      <c r="J81" s="5">
        <v>43.525401604467397</v>
      </c>
      <c r="Y81" t="s">
        <v>14</v>
      </c>
      <c r="Z81" s="1">
        <v>36892</v>
      </c>
      <c r="AA81">
        <v>113547</v>
      </c>
      <c r="AB81">
        <v>556066207294.38</v>
      </c>
      <c r="AC81" t="s">
        <v>6</v>
      </c>
      <c r="AE81" s="3">
        <v>36831</v>
      </c>
      <c r="AF81" s="5">
        <v>0</v>
      </c>
    </row>
    <row r="82" spans="1:32" x14ac:dyDescent="0.25">
      <c r="A82" t="s">
        <v>5</v>
      </c>
      <c r="B82" s="1">
        <v>36800</v>
      </c>
      <c r="C82">
        <v>204126</v>
      </c>
      <c r="D82">
        <v>667771708329.09998</v>
      </c>
      <c r="E82">
        <v>42.257589909917897</v>
      </c>
      <c r="I82" s="3">
        <v>36739</v>
      </c>
      <c r="J82" s="5">
        <v>43.136065816579098</v>
      </c>
      <c r="Y82" t="s">
        <v>14</v>
      </c>
      <c r="Z82" s="1">
        <v>36923</v>
      </c>
      <c r="AA82">
        <v>114381</v>
      </c>
      <c r="AB82">
        <v>562845782479.48999</v>
      </c>
      <c r="AC82" t="s">
        <v>6</v>
      </c>
      <c r="AE82" s="3">
        <v>36861</v>
      </c>
      <c r="AF82" s="5">
        <v>0</v>
      </c>
    </row>
    <row r="83" spans="1:32" x14ac:dyDescent="0.25">
      <c r="A83" t="s">
        <v>5</v>
      </c>
      <c r="B83" s="1">
        <v>36831</v>
      </c>
      <c r="C83">
        <v>205336</v>
      </c>
      <c r="D83">
        <v>678145982258.65002</v>
      </c>
      <c r="E83">
        <v>40.546497816958698</v>
      </c>
      <c r="I83" s="3">
        <v>36770</v>
      </c>
      <c r="J83" s="5">
        <v>42.690143288448198</v>
      </c>
      <c r="Y83" t="s">
        <v>14</v>
      </c>
      <c r="Z83" s="1">
        <v>36951</v>
      </c>
      <c r="AA83">
        <v>115151</v>
      </c>
      <c r="AB83">
        <v>569916218919.31006</v>
      </c>
      <c r="AC83" t="s">
        <v>6</v>
      </c>
      <c r="AE83" s="3">
        <v>36892</v>
      </c>
      <c r="AF83" s="5">
        <v>0</v>
      </c>
    </row>
    <row r="84" spans="1:32" x14ac:dyDescent="0.25">
      <c r="A84" t="s">
        <v>5</v>
      </c>
      <c r="B84" s="1">
        <v>36861</v>
      </c>
      <c r="C84">
        <v>206553</v>
      </c>
      <c r="D84">
        <v>688667464062.68005</v>
      </c>
      <c r="E84">
        <v>40.698068421918798</v>
      </c>
      <c r="I84" s="3">
        <v>36800</v>
      </c>
      <c r="J84" s="5">
        <v>42.257589909917897</v>
      </c>
      <c r="Y84" t="s">
        <v>14</v>
      </c>
      <c r="Z84" s="1">
        <v>36982</v>
      </c>
      <c r="AA84">
        <v>116096</v>
      </c>
      <c r="AB84">
        <v>575572661918.26001</v>
      </c>
      <c r="AC84" t="s">
        <v>6</v>
      </c>
      <c r="AE84" s="3">
        <v>36923</v>
      </c>
      <c r="AF84" s="5">
        <v>0</v>
      </c>
    </row>
    <row r="85" spans="1:32" x14ac:dyDescent="0.25">
      <c r="A85" t="s">
        <v>5</v>
      </c>
      <c r="B85" s="1">
        <v>36892</v>
      </c>
      <c r="C85">
        <v>207893</v>
      </c>
      <c r="D85">
        <v>700106336980.84998</v>
      </c>
      <c r="E85">
        <v>40.290856430330301</v>
      </c>
      <c r="I85" s="3">
        <v>36831</v>
      </c>
      <c r="J85" s="5">
        <v>40.546497816958698</v>
      </c>
      <c r="Y85" t="s">
        <v>14</v>
      </c>
      <c r="Z85" s="1">
        <v>37012</v>
      </c>
      <c r="AA85">
        <v>117279</v>
      </c>
      <c r="AB85">
        <v>583145358940.57996</v>
      </c>
      <c r="AC85" t="s">
        <v>6</v>
      </c>
      <c r="AE85" s="3">
        <v>36951</v>
      </c>
      <c r="AF85" s="5">
        <v>0</v>
      </c>
    </row>
    <row r="86" spans="1:32" x14ac:dyDescent="0.25">
      <c r="A86" t="s">
        <v>5</v>
      </c>
      <c r="B86" s="1">
        <v>36923</v>
      </c>
      <c r="C86">
        <v>209121</v>
      </c>
      <c r="D86">
        <v>711936410692.26001</v>
      </c>
      <c r="E86">
        <v>39.802819396563898</v>
      </c>
      <c r="I86" s="3">
        <v>36861</v>
      </c>
      <c r="J86" s="5">
        <v>40.698068421918798</v>
      </c>
      <c r="Y86" t="s">
        <v>14</v>
      </c>
      <c r="Z86" s="1">
        <v>37043</v>
      </c>
      <c r="AA86">
        <v>118507</v>
      </c>
      <c r="AB86">
        <v>593312179640.43005</v>
      </c>
      <c r="AC86" t="s">
        <v>6</v>
      </c>
      <c r="AE86" s="3">
        <v>36982</v>
      </c>
      <c r="AF86" s="5">
        <v>0</v>
      </c>
    </row>
    <row r="87" spans="1:32" x14ac:dyDescent="0.25">
      <c r="A87" t="s">
        <v>5</v>
      </c>
      <c r="B87" s="1">
        <v>36951</v>
      </c>
      <c r="C87">
        <v>210670</v>
      </c>
      <c r="D87">
        <v>724159427993.80005</v>
      </c>
      <c r="E87">
        <v>39.282767597356496</v>
      </c>
      <c r="I87" s="3">
        <v>36892</v>
      </c>
      <c r="J87" s="5">
        <v>40.290856430330301</v>
      </c>
      <c r="Y87" t="s">
        <v>14</v>
      </c>
      <c r="Z87" s="1">
        <v>37073</v>
      </c>
      <c r="AA87">
        <v>119874</v>
      </c>
      <c r="AB87">
        <v>606812462774.06006</v>
      </c>
      <c r="AC87" t="s">
        <v>6</v>
      </c>
      <c r="AE87" s="3">
        <v>37012</v>
      </c>
      <c r="AF87" s="5">
        <v>0</v>
      </c>
    </row>
    <row r="88" spans="1:32" x14ac:dyDescent="0.25">
      <c r="A88" t="s">
        <v>5</v>
      </c>
      <c r="B88" s="1">
        <v>36982</v>
      </c>
      <c r="C88">
        <v>212403</v>
      </c>
      <c r="D88">
        <v>737131621054.80005</v>
      </c>
      <c r="E88">
        <v>38.683227208863798</v>
      </c>
      <c r="I88" s="3">
        <v>36923</v>
      </c>
      <c r="J88" s="5">
        <v>39.802819396563898</v>
      </c>
      <c r="Y88" t="s">
        <v>14</v>
      </c>
      <c r="Z88" s="1">
        <v>37104</v>
      </c>
      <c r="AA88">
        <v>121171</v>
      </c>
      <c r="AB88">
        <v>618799228411.14001</v>
      </c>
      <c r="AC88" t="s">
        <v>6</v>
      </c>
      <c r="AE88" s="3">
        <v>37043</v>
      </c>
      <c r="AF88" s="5">
        <v>0</v>
      </c>
    </row>
    <row r="89" spans="1:32" x14ac:dyDescent="0.25">
      <c r="A89" t="s">
        <v>5</v>
      </c>
      <c r="B89" s="1">
        <v>37012</v>
      </c>
      <c r="C89">
        <v>214231</v>
      </c>
      <c r="D89">
        <v>752556214855.22998</v>
      </c>
      <c r="E89">
        <v>37.860081079851597</v>
      </c>
      <c r="I89" s="3">
        <v>36951</v>
      </c>
      <c r="J89" s="5">
        <v>39.282767597356496</v>
      </c>
      <c r="Y89" t="s">
        <v>14</v>
      </c>
      <c r="Z89" s="1">
        <v>37135</v>
      </c>
      <c r="AA89">
        <v>122185</v>
      </c>
      <c r="AB89">
        <v>628849014233.57996</v>
      </c>
      <c r="AC89" t="s">
        <v>6</v>
      </c>
      <c r="AE89" s="3">
        <v>37073</v>
      </c>
      <c r="AF89" s="5">
        <v>0</v>
      </c>
    </row>
    <row r="90" spans="1:32" x14ac:dyDescent="0.25">
      <c r="A90" t="s">
        <v>5</v>
      </c>
      <c r="B90" s="1">
        <v>37043</v>
      </c>
      <c r="C90">
        <v>216060</v>
      </c>
      <c r="D90">
        <v>768634381863</v>
      </c>
      <c r="E90">
        <v>37.024950568704902</v>
      </c>
      <c r="I90" s="3">
        <v>36982</v>
      </c>
      <c r="J90" s="5">
        <v>38.683227208863798</v>
      </c>
      <c r="Y90" t="s">
        <v>14</v>
      </c>
      <c r="Z90" s="1">
        <v>37165</v>
      </c>
      <c r="AA90">
        <v>123147</v>
      </c>
      <c r="AB90">
        <v>638526972099.47998</v>
      </c>
      <c r="AC90" t="s">
        <v>6</v>
      </c>
      <c r="AE90" s="3">
        <v>37104</v>
      </c>
      <c r="AF90" s="5">
        <v>0</v>
      </c>
    </row>
    <row r="91" spans="1:32" x14ac:dyDescent="0.25">
      <c r="A91" t="s">
        <v>5</v>
      </c>
      <c r="B91" s="1">
        <v>37073</v>
      </c>
      <c r="C91">
        <v>217775</v>
      </c>
      <c r="D91">
        <v>783899597190.81006</v>
      </c>
      <c r="E91">
        <v>36.2370870808885</v>
      </c>
      <c r="I91" s="3">
        <v>37012</v>
      </c>
      <c r="J91" s="5">
        <v>37.860081079851597</v>
      </c>
      <c r="Y91" t="s">
        <v>14</v>
      </c>
      <c r="Z91" s="1">
        <v>37196</v>
      </c>
      <c r="AA91">
        <v>124010</v>
      </c>
      <c r="AB91">
        <v>646314044955.62</v>
      </c>
      <c r="AC91" t="s">
        <v>6</v>
      </c>
      <c r="AE91" s="3">
        <v>37135</v>
      </c>
      <c r="AF91" s="5">
        <v>0</v>
      </c>
    </row>
    <row r="92" spans="1:32" x14ac:dyDescent="0.25">
      <c r="A92" t="s">
        <v>5</v>
      </c>
      <c r="B92" s="1">
        <v>37104</v>
      </c>
      <c r="C92">
        <v>219337</v>
      </c>
      <c r="D92">
        <v>800219895172</v>
      </c>
      <c r="E92">
        <v>35.471846505212199</v>
      </c>
      <c r="I92" s="3">
        <v>37043</v>
      </c>
      <c r="J92" s="5">
        <v>37.024950568704902</v>
      </c>
      <c r="Y92" t="s">
        <v>14</v>
      </c>
      <c r="Z92" s="1">
        <v>37226</v>
      </c>
      <c r="AA92">
        <v>124916</v>
      </c>
      <c r="AB92">
        <v>652589172511.04004</v>
      </c>
      <c r="AC92" t="s">
        <v>6</v>
      </c>
      <c r="AE92" s="3">
        <v>37165</v>
      </c>
      <c r="AF92" s="5">
        <v>0</v>
      </c>
    </row>
    <row r="93" spans="1:32" x14ac:dyDescent="0.25">
      <c r="A93" t="s">
        <v>5</v>
      </c>
      <c r="B93" s="1">
        <v>37135</v>
      </c>
      <c r="C93">
        <v>220863</v>
      </c>
      <c r="D93">
        <v>816276961683.10999</v>
      </c>
      <c r="E93">
        <v>34.760506318849103</v>
      </c>
      <c r="I93" s="3">
        <v>37073</v>
      </c>
      <c r="J93" s="5">
        <v>36.2370870808885</v>
      </c>
      <c r="Y93" t="s">
        <v>14</v>
      </c>
      <c r="Z93" s="1">
        <v>37257</v>
      </c>
      <c r="AA93">
        <v>125971</v>
      </c>
      <c r="AB93">
        <v>656492839778.71997</v>
      </c>
      <c r="AC93" t="s">
        <v>6</v>
      </c>
      <c r="AE93" s="3">
        <v>37196</v>
      </c>
      <c r="AF93" s="5">
        <v>0</v>
      </c>
    </row>
    <row r="94" spans="1:32" x14ac:dyDescent="0.25">
      <c r="A94" t="s">
        <v>5</v>
      </c>
      <c r="B94" s="1">
        <v>37165</v>
      </c>
      <c r="C94">
        <v>222193</v>
      </c>
      <c r="D94">
        <v>829340407712.87</v>
      </c>
      <c r="E94">
        <v>34.129066992882997</v>
      </c>
      <c r="I94" s="3">
        <v>37104</v>
      </c>
      <c r="J94" s="5">
        <v>35.471846505212199</v>
      </c>
      <c r="Y94" t="s">
        <v>14</v>
      </c>
      <c r="Z94" s="1">
        <v>37288</v>
      </c>
      <c r="AA94">
        <v>126553</v>
      </c>
      <c r="AB94">
        <v>656259616015.84998</v>
      </c>
      <c r="AC94" t="s">
        <v>6</v>
      </c>
      <c r="AE94" s="3">
        <v>37226</v>
      </c>
      <c r="AF94" s="5">
        <v>0</v>
      </c>
    </row>
    <row r="95" spans="1:32" x14ac:dyDescent="0.25">
      <c r="A95" t="s">
        <v>5</v>
      </c>
      <c r="B95" s="1">
        <v>37196</v>
      </c>
      <c r="C95">
        <v>223572</v>
      </c>
      <c r="D95">
        <v>841081375122.14001</v>
      </c>
      <c r="E95">
        <v>33.609841057372797</v>
      </c>
      <c r="I95" s="3">
        <v>37135</v>
      </c>
      <c r="J95" s="5">
        <v>34.760506318849103</v>
      </c>
      <c r="Y95" t="s">
        <v>14</v>
      </c>
      <c r="Z95" s="1">
        <v>37316</v>
      </c>
      <c r="AA95">
        <v>127090</v>
      </c>
      <c r="AB95">
        <v>662583566000.98999</v>
      </c>
      <c r="AC95" t="s">
        <v>6</v>
      </c>
      <c r="AE95" s="3">
        <v>37257</v>
      </c>
      <c r="AF95" s="5">
        <v>0</v>
      </c>
    </row>
    <row r="96" spans="1:32" x14ac:dyDescent="0.25">
      <c r="A96" t="s">
        <v>5</v>
      </c>
      <c r="B96" s="1">
        <v>37226</v>
      </c>
      <c r="C96">
        <v>225055</v>
      </c>
      <c r="D96">
        <v>853354387292.38</v>
      </c>
      <c r="E96">
        <v>32.9002958375699</v>
      </c>
      <c r="I96" s="3">
        <v>37165</v>
      </c>
      <c r="J96" s="5">
        <v>34.129066992882997</v>
      </c>
      <c r="Y96" t="s">
        <v>14</v>
      </c>
      <c r="Z96" s="1">
        <v>37347</v>
      </c>
      <c r="AA96">
        <v>127653</v>
      </c>
      <c r="AB96">
        <v>667885573629.41003</v>
      </c>
      <c r="AC96" t="s">
        <v>6</v>
      </c>
      <c r="AE96" s="3">
        <v>37288</v>
      </c>
      <c r="AF96" s="5">
        <v>0</v>
      </c>
    </row>
    <row r="97" spans="1:32" x14ac:dyDescent="0.25">
      <c r="A97" t="s">
        <v>5</v>
      </c>
      <c r="B97" s="1">
        <v>37257</v>
      </c>
      <c r="C97">
        <v>226605</v>
      </c>
      <c r="D97">
        <v>865009341307.27002</v>
      </c>
      <c r="E97">
        <v>32.098345579123098</v>
      </c>
      <c r="I97" s="3">
        <v>37196</v>
      </c>
      <c r="J97" s="5">
        <v>33.609841057372797</v>
      </c>
      <c r="Y97" t="s">
        <v>14</v>
      </c>
      <c r="Z97" s="1">
        <v>37377</v>
      </c>
      <c r="AA97">
        <v>128365</v>
      </c>
      <c r="AB97">
        <v>674912607661.43994</v>
      </c>
      <c r="AC97" t="s">
        <v>6</v>
      </c>
      <c r="AE97" s="3">
        <v>37316</v>
      </c>
      <c r="AF97" s="5">
        <v>0</v>
      </c>
    </row>
    <row r="98" spans="1:32" x14ac:dyDescent="0.25">
      <c r="A98" t="s">
        <v>5</v>
      </c>
      <c r="B98" s="1">
        <v>37288</v>
      </c>
      <c r="C98">
        <v>227719</v>
      </c>
      <c r="D98">
        <v>868002653952.68994</v>
      </c>
      <c r="E98">
        <v>31.3921184777818</v>
      </c>
      <c r="I98" s="3">
        <v>37226</v>
      </c>
      <c r="J98" s="5">
        <v>32.9002958375699</v>
      </c>
      <c r="Y98" t="s">
        <v>14</v>
      </c>
      <c r="Z98" s="1">
        <v>37408</v>
      </c>
      <c r="AA98">
        <v>128864</v>
      </c>
      <c r="AB98">
        <v>678135240839.68994</v>
      </c>
      <c r="AC98" t="s">
        <v>6</v>
      </c>
      <c r="AE98" s="3">
        <v>37347</v>
      </c>
      <c r="AF98" s="5">
        <v>0</v>
      </c>
    </row>
    <row r="99" spans="1:32" x14ac:dyDescent="0.25">
      <c r="A99" t="s">
        <v>5</v>
      </c>
      <c r="B99" s="1">
        <v>37316</v>
      </c>
      <c r="C99">
        <v>228962</v>
      </c>
      <c r="D99">
        <v>879696484692.43994</v>
      </c>
      <c r="E99">
        <v>30.721690873551299</v>
      </c>
      <c r="I99" s="3">
        <v>37257</v>
      </c>
      <c r="J99" s="5">
        <v>32.098345579123098</v>
      </c>
      <c r="Y99" t="s">
        <v>14</v>
      </c>
      <c r="Z99" s="1">
        <v>37438</v>
      </c>
      <c r="AA99">
        <v>129402</v>
      </c>
      <c r="AB99">
        <v>683021748027.76001</v>
      </c>
      <c r="AC99" t="s">
        <v>6</v>
      </c>
      <c r="AE99" s="3">
        <v>37377</v>
      </c>
      <c r="AF99" s="5">
        <v>0</v>
      </c>
    </row>
    <row r="100" spans="1:32" x14ac:dyDescent="0.25">
      <c r="A100" t="s">
        <v>5</v>
      </c>
      <c r="B100" s="1">
        <v>37347</v>
      </c>
      <c r="C100">
        <v>229290</v>
      </c>
      <c r="D100">
        <v>891137066963.31006</v>
      </c>
      <c r="E100">
        <v>30.111107206336499</v>
      </c>
      <c r="I100" s="3">
        <v>37288</v>
      </c>
      <c r="J100" s="5">
        <v>31.3921184777818</v>
      </c>
      <c r="Y100" t="s">
        <v>14</v>
      </c>
      <c r="Z100" s="1">
        <v>37469</v>
      </c>
      <c r="AA100">
        <v>129983</v>
      </c>
      <c r="AB100">
        <v>688071679304.38</v>
      </c>
      <c r="AC100" t="s">
        <v>6</v>
      </c>
      <c r="AE100" s="3">
        <v>37408</v>
      </c>
      <c r="AF100" s="5">
        <v>0</v>
      </c>
    </row>
    <row r="101" spans="1:32" x14ac:dyDescent="0.25">
      <c r="A101" t="s">
        <v>5</v>
      </c>
      <c r="B101" s="1">
        <v>37377</v>
      </c>
      <c r="C101">
        <v>230242</v>
      </c>
      <c r="D101">
        <v>898079497234.46997</v>
      </c>
      <c r="E101">
        <v>29.524724336398101</v>
      </c>
      <c r="I101" s="3">
        <v>37316</v>
      </c>
      <c r="J101" s="5">
        <v>30.721690873551299</v>
      </c>
      <c r="Y101" t="s">
        <v>14</v>
      </c>
      <c r="Z101" s="1">
        <v>37500</v>
      </c>
      <c r="AA101">
        <v>130654</v>
      </c>
      <c r="AB101">
        <v>691163348256.39001</v>
      </c>
      <c r="AC101" t="s">
        <v>6</v>
      </c>
      <c r="AE101" s="3">
        <v>37438</v>
      </c>
      <c r="AF101" s="5">
        <v>0</v>
      </c>
    </row>
    <row r="102" spans="1:32" x14ac:dyDescent="0.25">
      <c r="A102" t="s">
        <v>5</v>
      </c>
      <c r="B102" s="1">
        <v>37408</v>
      </c>
      <c r="C102">
        <v>231200</v>
      </c>
      <c r="D102">
        <v>906196770233.09998</v>
      </c>
      <c r="E102">
        <v>29.056067518937599</v>
      </c>
      <c r="I102" s="3">
        <v>37347</v>
      </c>
      <c r="J102" s="5">
        <v>30.111107206336499</v>
      </c>
      <c r="Y102" t="s">
        <v>14</v>
      </c>
      <c r="Z102" s="1">
        <v>37530</v>
      </c>
      <c r="AA102">
        <v>131312</v>
      </c>
      <c r="AB102">
        <v>688880072829.19995</v>
      </c>
      <c r="AC102" t="s">
        <v>6</v>
      </c>
      <c r="AE102" s="3">
        <v>37469</v>
      </c>
      <c r="AF102" s="5">
        <v>0</v>
      </c>
    </row>
    <row r="103" spans="1:32" x14ac:dyDescent="0.25">
      <c r="A103" t="s">
        <v>5</v>
      </c>
      <c r="B103" s="1">
        <v>37438</v>
      </c>
      <c r="C103">
        <v>232155</v>
      </c>
      <c r="D103">
        <v>915306614991.16003</v>
      </c>
      <c r="E103">
        <v>28.587825361368701</v>
      </c>
      <c r="I103" s="3">
        <v>37377</v>
      </c>
      <c r="J103" s="5">
        <v>29.524724336398101</v>
      </c>
      <c r="Y103" t="s">
        <v>14</v>
      </c>
      <c r="Z103" s="1">
        <v>37561</v>
      </c>
      <c r="AA103">
        <v>131946</v>
      </c>
      <c r="AB103">
        <v>689252606557.81006</v>
      </c>
      <c r="AC103" t="s">
        <v>6</v>
      </c>
      <c r="AE103" s="3">
        <v>37500</v>
      </c>
      <c r="AF103" s="5">
        <v>0</v>
      </c>
    </row>
    <row r="104" spans="1:32" x14ac:dyDescent="0.25">
      <c r="A104" t="s">
        <v>5</v>
      </c>
      <c r="B104" s="1">
        <v>37469</v>
      </c>
      <c r="C104">
        <v>232988</v>
      </c>
      <c r="D104">
        <v>924210879564.21997</v>
      </c>
      <c r="E104">
        <v>28.1444725436602</v>
      </c>
      <c r="I104" s="3">
        <v>37408</v>
      </c>
      <c r="J104" s="5">
        <v>29.056067518937599</v>
      </c>
      <c r="Y104" t="s">
        <v>14</v>
      </c>
      <c r="Z104" s="1">
        <v>37591</v>
      </c>
      <c r="AA104">
        <v>132496</v>
      </c>
      <c r="AB104">
        <v>678097657626.62</v>
      </c>
      <c r="AC104" t="s">
        <v>6</v>
      </c>
      <c r="AE104" s="3">
        <v>37530</v>
      </c>
      <c r="AF104" s="5">
        <v>0</v>
      </c>
    </row>
    <row r="105" spans="1:32" x14ac:dyDescent="0.25">
      <c r="A105" t="s">
        <v>5</v>
      </c>
      <c r="B105" s="1">
        <v>37500</v>
      </c>
      <c r="C105">
        <v>234029</v>
      </c>
      <c r="D105">
        <v>933451662668.81006</v>
      </c>
      <c r="E105">
        <v>27.626112929746402</v>
      </c>
      <c r="I105" s="3">
        <v>37438</v>
      </c>
      <c r="J105" s="5">
        <v>28.587825361368701</v>
      </c>
      <c r="Y105" t="s">
        <v>14</v>
      </c>
      <c r="Z105" s="1">
        <v>37622</v>
      </c>
      <c r="AA105">
        <v>133145</v>
      </c>
      <c r="AB105">
        <v>672793627639.87</v>
      </c>
      <c r="AC105" t="s">
        <v>6</v>
      </c>
      <c r="AE105" s="3">
        <v>37561</v>
      </c>
      <c r="AF105" s="5">
        <v>0</v>
      </c>
    </row>
    <row r="106" spans="1:32" x14ac:dyDescent="0.25">
      <c r="A106" t="s">
        <v>5</v>
      </c>
      <c r="B106" s="1">
        <v>37530</v>
      </c>
      <c r="C106">
        <v>235250</v>
      </c>
      <c r="D106">
        <v>939163115315.12</v>
      </c>
      <c r="E106">
        <v>27.026355355082199</v>
      </c>
      <c r="I106" s="3">
        <v>37469</v>
      </c>
      <c r="J106" s="5">
        <v>28.1444725436602</v>
      </c>
      <c r="Y106" t="s">
        <v>14</v>
      </c>
      <c r="Z106" s="1">
        <v>37653</v>
      </c>
      <c r="AA106">
        <v>133403</v>
      </c>
      <c r="AB106">
        <v>656324799128.56006</v>
      </c>
      <c r="AC106" t="s">
        <v>6</v>
      </c>
      <c r="AE106" s="3">
        <v>37591</v>
      </c>
      <c r="AF106" s="5">
        <v>0</v>
      </c>
    </row>
    <row r="107" spans="1:32" x14ac:dyDescent="0.25">
      <c r="A107" t="s">
        <v>5</v>
      </c>
      <c r="B107" s="1">
        <v>37561</v>
      </c>
      <c r="C107">
        <v>236280</v>
      </c>
      <c r="D107">
        <v>950835871010.5</v>
      </c>
      <c r="E107">
        <v>26.249819755771799</v>
      </c>
      <c r="I107" s="3">
        <v>37500</v>
      </c>
      <c r="J107" s="5">
        <v>27.626112929746402</v>
      </c>
      <c r="Y107" t="s">
        <v>14</v>
      </c>
      <c r="Z107" s="1">
        <v>37681</v>
      </c>
      <c r="AA107">
        <v>133505</v>
      </c>
      <c r="AB107">
        <v>640698935655.10999</v>
      </c>
      <c r="AC107" t="s">
        <v>6</v>
      </c>
      <c r="AE107" s="3">
        <v>37622</v>
      </c>
      <c r="AF107" s="5">
        <v>0</v>
      </c>
    </row>
    <row r="108" spans="1:32" x14ac:dyDescent="0.25">
      <c r="A108" t="s">
        <v>5</v>
      </c>
      <c r="B108" s="1">
        <v>37591</v>
      </c>
      <c r="C108">
        <v>237080</v>
      </c>
      <c r="D108">
        <v>948704633830.25</v>
      </c>
      <c r="E108">
        <v>25.4816099598562</v>
      </c>
      <c r="I108" s="3">
        <v>37530</v>
      </c>
      <c r="J108" s="5">
        <v>27.026355355082199</v>
      </c>
      <c r="Y108" t="s">
        <v>14</v>
      </c>
      <c r="Z108" s="1">
        <v>37712</v>
      </c>
      <c r="AA108">
        <v>133637</v>
      </c>
      <c r="AB108">
        <v>636174006378.37</v>
      </c>
      <c r="AC108" t="s">
        <v>6</v>
      </c>
      <c r="AE108" s="3">
        <v>37653</v>
      </c>
      <c r="AF108" s="5">
        <v>0</v>
      </c>
    </row>
    <row r="109" spans="1:32" x14ac:dyDescent="0.25">
      <c r="A109" t="s">
        <v>5</v>
      </c>
      <c r="B109" s="1">
        <v>37622</v>
      </c>
      <c r="C109">
        <v>238095</v>
      </c>
      <c r="D109">
        <v>952529753121.88</v>
      </c>
      <c r="E109">
        <v>24.732275789868002</v>
      </c>
      <c r="I109" s="3">
        <v>37561</v>
      </c>
      <c r="J109" s="5">
        <v>26.249819755771799</v>
      </c>
      <c r="Y109" t="s">
        <v>14</v>
      </c>
      <c r="Z109" s="1">
        <v>37742</v>
      </c>
      <c r="AA109">
        <v>133620</v>
      </c>
      <c r="AB109">
        <v>622260662224.34998</v>
      </c>
      <c r="AC109" t="s">
        <v>6</v>
      </c>
      <c r="AE109" s="3">
        <v>37681</v>
      </c>
      <c r="AF109" s="5">
        <v>0</v>
      </c>
    </row>
    <row r="110" spans="1:32" x14ac:dyDescent="0.25">
      <c r="A110" t="s">
        <v>5</v>
      </c>
      <c r="B110" s="1">
        <v>37653</v>
      </c>
      <c r="C110">
        <v>238988</v>
      </c>
      <c r="D110">
        <v>962426850688.71997</v>
      </c>
      <c r="E110">
        <v>23.990683096178401</v>
      </c>
      <c r="I110" s="3">
        <v>37591</v>
      </c>
      <c r="J110" s="5">
        <v>25.4816099598562</v>
      </c>
      <c r="Y110" t="s">
        <v>14</v>
      </c>
      <c r="Z110" s="1">
        <v>37773</v>
      </c>
      <c r="AA110">
        <v>133473</v>
      </c>
      <c r="AB110">
        <v>605904419338.96997</v>
      </c>
      <c r="AC110" t="s">
        <v>6</v>
      </c>
      <c r="AE110" s="3">
        <v>37712</v>
      </c>
      <c r="AF110" s="5">
        <v>0</v>
      </c>
    </row>
    <row r="111" spans="1:32" x14ac:dyDescent="0.25">
      <c r="A111" t="s">
        <v>5</v>
      </c>
      <c r="B111" s="1">
        <v>37681</v>
      </c>
      <c r="C111">
        <v>239791</v>
      </c>
      <c r="D111">
        <v>971889246408.43994</v>
      </c>
      <c r="E111">
        <v>23.610921087363199</v>
      </c>
      <c r="I111" s="3">
        <v>37622</v>
      </c>
      <c r="J111" s="5">
        <v>24.732275789868002</v>
      </c>
      <c r="Y111" t="s">
        <v>14</v>
      </c>
      <c r="Z111" s="1">
        <v>37803</v>
      </c>
      <c r="AA111">
        <v>133321</v>
      </c>
      <c r="AB111">
        <v>593661864481.67004</v>
      </c>
      <c r="AC111" t="s">
        <v>6</v>
      </c>
      <c r="AE111" s="3">
        <v>37742</v>
      </c>
      <c r="AF111" s="5">
        <v>0</v>
      </c>
    </row>
    <row r="112" spans="1:32" x14ac:dyDescent="0.25">
      <c r="A112" t="s">
        <v>5</v>
      </c>
      <c r="B112" s="1">
        <v>37712</v>
      </c>
      <c r="C112">
        <v>240505</v>
      </c>
      <c r="D112">
        <v>981397635555.85999</v>
      </c>
      <c r="E112">
        <v>23.570430621573198</v>
      </c>
      <c r="I112" s="3">
        <v>37653</v>
      </c>
      <c r="J112" s="5">
        <v>23.990683096178401</v>
      </c>
      <c r="Y112" t="s">
        <v>14</v>
      </c>
      <c r="Z112" s="1">
        <v>37834</v>
      </c>
      <c r="AA112">
        <v>133256</v>
      </c>
      <c r="AB112">
        <v>585595617223.56995</v>
      </c>
      <c r="AC112" t="s">
        <v>6</v>
      </c>
      <c r="AE112" s="3">
        <v>37773</v>
      </c>
      <c r="AF112" s="5">
        <v>0</v>
      </c>
    </row>
    <row r="113" spans="1:32" x14ac:dyDescent="0.25">
      <c r="A113" t="s">
        <v>5</v>
      </c>
      <c r="B113" s="1">
        <v>37742</v>
      </c>
      <c r="C113">
        <v>241199</v>
      </c>
      <c r="D113">
        <v>998455877100.01001</v>
      </c>
      <c r="E113">
        <v>23.843955266261901</v>
      </c>
      <c r="I113" s="3">
        <v>37681</v>
      </c>
      <c r="J113" s="5">
        <v>23.610921087363199</v>
      </c>
      <c r="Y113" t="s">
        <v>14</v>
      </c>
      <c r="Z113" s="1">
        <v>37865</v>
      </c>
      <c r="AA113">
        <v>133073</v>
      </c>
      <c r="AB113">
        <v>578187329736.79004</v>
      </c>
      <c r="AC113" t="s">
        <v>6</v>
      </c>
      <c r="AE113" s="3">
        <v>37803</v>
      </c>
      <c r="AF113" s="5">
        <v>0</v>
      </c>
    </row>
    <row r="114" spans="1:32" x14ac:dyDescent="0.25">
      <c r="A114" t="s">
        <v>5</v>
      </c>
      <c r="B114" s="1">
        <v>37773</v>
      </c>
      <c r="C114">
        <v>241528</v>
      </c>
      <c r="D114">
        <v>1000338175794.87</v>
      </c>
      <c r="E114">
        <v>24.025911449798802</v>
      </c>
      <c r="I114" s="3">
        <v>37712</v>
      </c>
      <c r="J114" s="5">
        <v>23.570430621573198</v>
      </c>
      <c r="Y114" t="s">
        <v>14</v>
      </c>
      <c r="Z114" s="1">
        <v>37895</v>
      </c>
      <c r="AA114">
        <v>132622</v>
      </c>
      <c r="AB114">
        <v>572848994581.45996</v>
      </c>
      <c r="AC114" t="s">
        <v>6</v>
      </c>
      <c r="AE114" s="3">
        <v>37834</v>
      </c>
      <c r="AF114" s="5">
        <v>0</v>
      </c>
    </row>
    <row r="115" spans="1:32" x14ac:dyDescent="0.25">
      <c r="A115" t="s">
        <v>5</v>
      </c>
      <c r="B115" s="1">
        <v>37803</v>
      </c>
      <c r="C115">
        <v>242127</v>
      </c>
      <c r="D115">
        <v>1015393774840.89</v>
      </c>
      <c r="E115">
        <v>24.124480301174199</v>
      </c>
      <c r="I115" s="3">
        <v>37742</v>
      </c>
      <c r="J115" s="5">
        <v>23.843955266261901</v>
      </c>
      <c r="Y115" t="s">
        <v>14</v>
      </c>
      <c r="Z115" s="1">
        <v>37926</v>
      </c>
      <c r="AA115">
        <v>132115</v>
      </c>
      <c r="AB115">
        <v>579944340289.91003</v>
      </c>
      <c r="AC115" t="s">
        <v>6</v>
      </c>
      <c r="AE115" s="3">
        <v>37865</v>
      </c>
      <c r="AF115" s="5">
        <v>0</v>
      </c>
    </row>
    <row r="116" spans="1:32" x14ac:dyDescent="0.25">
      <c r="A116" t="s">
        <v>5</v>
      </c>
      <c r="B116" s="1">
        <v>37834</v>
      </c>
      <c r="C116">
        <v>242806</v>
      </c>
      <c r="D116">
        <v>1022403673721.74</v>
      </c>
      <c r="E116">
        <v>24.246920849661301</v>
      </c>
      <c r="I116" s="3">
        <v>37773</v>
      </c>
      <c r="J116" s="5">
        <v>24.025911449798802</v>
      </c>
      <c r="Y116" t="s">
        <v>14</v>
      </c>
      <c r="Z116" s="1">
        <v>37956</v>
      </c>
      <c r="AA116">
        <v>131772</v>
      </c>
      <c r="AB116">
        <v>581881065707.89001</v>
      </c>
      <c r="AC116" t="s">
        <v>6</v>
      </c>
      <c r="AE116" s="3">
        <v>37895</v>
      </c>
      <c r="AF116" s="5">
        <v>0</v>
      </c>
    </row>
    <row r="117" spans="1:32" x14ac:dyDescent="0.25">
      <c r="A117" t="s">
        <v>5</v>
      </c>
      <c r="B117" s="1">
        <v>37865</v>
      </c>
      <c r="C117">
        <v>243055</v>
      </c>
      <c r="D117">
        <v>1011345079983.45</v>
      </c>
      <c r="E117">
        <v>24.4142503521587</v>
      </c>
      <c r="I117" s="3">
        <v>37803</v>
      </c>
      <c r="J117" s="5">
        <v>24.124480301174199</v>
      </c>
      <c r="Y117" t="s">
        <v>14</v>
      </c>
      <c r="Z117" s="1">
        <v>37987</v>
      </c>
      <c r="AA117">
        <v>131683</v>
      </c>
      <c r="AB117">
        <v>587420024491.28003</v>
      </c>
      <c r="AC117" t="s">
        <v>6</v>
      </c>
      <c r="AE117" s="3">
        <v>37926</v>
      </c>
      <c r="AF117" s="5">
        <v>0</v>
      </c>
    </row>
    <row r="118" spans="1:32" x14ac:dyDescent="0.25">
      <c r="A118" t="s">
        <v>5</v>
      </c>
      <c r="B118" s="1">
        <v>37895</v>
      </c>
      <c r="C118">
        <v>243087</v>
      </c>
      <c r="D118">
        <v>1018746952300.48</v>
      </c>
      <c r="E118">
        <v>24.528204310909601</v>
      </c>
      <c r="I118" s="3">
        <v>37834</v>
      </c>
      <c r="J118" s="5">
        <v>24.246920849661301</v>
      </c>
      <c r="Y118" t="s">
        <v>14</v>
      </c>
      <c r="Z118" s="1">
        <v>38018</v>
      </c>
      <c r="AA118">
        <v>131603</v>
      </c>
      <c r="AB118">
        <v>590492237003.89001</v>
      </c>
      <c r="AC118" t="s">
        <v>6</v>
      </c>
      <c r="AE118" s="3">
        <v>37956</v>
      </c>
      <c r="AF118" s="5">
        <v>0</v>
      </c>
    </row>
    <row r="119" spans="1:32" x14ac:dyDescent="0.25">
      <c r="A119" t="s">
        <v>5</v>
      </c>
      <c r="B119" s="1">
        <v>37926</v>
      </c>
      <c r="C119">
        <v>242823</v>
      </c>
      <c r="D119">
        <v>1022881900552.3199</v>
      </c>
      <c r="E119">
        <v>24.581430364710901</v>
      </c>
      <c r="I119" s="3">
        <v>37865</v>
      </c>
      <c r="J119" s="5">
        <v>24.4142503521587</v>
      </c>
      <c r="Y119" t="s">
        <v>14</v>
      </c>
      <c r="Z119" s="1">
        <v>38047</v>
      </c>
      <c r="AA119">
        <v>131664</v>
      </c>
      <c r="AB119">
        <v>593861198662.73999</v>
      </c>
      <c r="AC119" t="s">
        <v>6</v>
      </c>
      <c r="AE119" s="3">
        <v>37987</v>
      </c>
      <c r="AF119" s="5">
        <v>0</v>
      </c>
    </row>
    <row r="120" spans="1:32" x14ac:dyDescent="0.25">
      <c r="A120" t="s">
        <v>5</v>
      </c>
      <c r="B120" s="1">
        <v>37956</v>
      </c>
      <c r="C120">
        <v>242568</v>
      </c>
      <c r="D120">
        <v>1029221486063.8</v>
      </c>
      <c r="E120">
        <v>24.633988832727098</v>
      </c>
      <c r="I120" s="3">
        <v>37895</v>
      </c>
      <c r="J120" s="5">
        <v>24.528204310909601</v>
      </c>
      <c r="Y120" t="s">
        <v>14</v>
      </c>
      <c r="Z120" s="1">
        <v>38078</v>
      </c>
      <c r="AA120">
        <v>131886</v>
      </c>
      <c r="AB120">
        <v>596477677222.82996</v>
      </c>
      <c r="AC120" t="s">
        <v>6</v>
      </c>
      <c r="AE120" s="3">
        <v>38018</v>
      </c>
      <c r="AF120" s="5">
        <v>0</v>
      </c>
    </row>
    <row r="121" spans="1:32" x14ac:dyDescent="0.25">
      <c r="A121" t="s">
        <v>5</v>
      </c>
      <c r="B121" s="1">
        <v>37987</v>
      </c>
      <c r="C121">
        <v>242944</v>
      </c>
      <c r="D121">
        <v>1041578015793.9</v>
      </c>
      <c r="E121">
        <v>24.688677473916702</v>
      </c>
      <c r="I121" s="3">
        <v>37926</v>
      </c>
      <c r="J121" s="5">
        <v>24.581430364710901</v>
      </c>
      <c r="Y121" t="s">
        <v>14</v>
      </c>
      <c r="Z121" s="1">
        <v>38108</v>
      </c>
      <c r="AA121">
        <v>132088</v>
      </c>
      <c r="AB121">
        <v>597338404698.09998</v>
      </c>
      <c r="AC121" t="s">
        <v>6</v>
      </c>
      <c r="AE121" s="3">
        <v>38047</v>
      </c>
      <c r="AF121" s="5">
        <v>0</v>
      </c>
    </row>
    <row r="122" spans="1:32" x14ac:dyDescent="0.25">
      <c r="A122" t="s">
        <v>5</v>
      </c>
      <c r="B122" s="1">
        <v>38018</v>
      </c>
      <c r="C122">
        <v>242958</v>
      </c>
      <c r="D122">
        <v>1046154494968.26</v>
      </c>
      <c r="E122">
        <v>24.808222137718001</v>
      </c>
      <c r="I122" s="3">
        <v>37956</v>
      </c>
      <c r="J122" s="5">
        <v>24.633988832727098</v>
      </c>
      <c r="Y122" t="s">
        <v>14</v>
      </c>
      <c r="Z122" s="1">
        <v>38139</v>
      </c>
      <c r="AA122">
        <v>132101</v>
      </c>
      <c r="AB122">
        <v>596273856729.08997</v>
      </c>
      <c r="AC122" t="s">
        <v>6</v>
      </c>
      <c r="AE122" s="3">
        <v>38078</v>
      </c>
      <c r="AF122" s="5">
        <v>0</v>
      </c>
    </row>
    <row r="123" spans="1:32" x14ac:dyDescent="0.25">
      <c r="A123" t="s">
        <v>5</v>
      </c>
      <c r="B123" s="1">
        <v>38047</v>
      </c>
      <c r="C123">
        <v>243244</v>
      </c>
      <c r="D123">
        <v>1054228745365.45</v>
      </c>
      <c r="E123">
        <v>25.0861101224585</v>
      </c>
      <c r="I123" s="3">
        <v>37987</v>
      </c>
      <c r="J123" s="5">
        <v>24.688677473916702</v>
      </c>
      <c r="Y123" t="s">
        <v>14</v>
      </c>
      <c r="Z123" s="1">
        <v>38169</v>
      </c>
      <c r="AA123">
        <v>131952</v>
      </c>
      <c r="AB123">
        <v>601439464147.39001</v>
      </c>
      <c r="AC123" t="s">
        <v>6</v>
      </c>
      <c r="AE123" s="3">
        <v>38108</v>
      </c>
      <c r="AF123" s="5">
        <v>0</v>
      </c>
    </row>
    <row r="124" spans="1:32" x14ac:dyDescent="0.25">
      <c r="A124" t="s">
        <v>5</v>
      </c>
      <c r="B124" s="1">
        <v>38078</v>
      </c>
      <c r="C124">
        <v>243458</v>
      </c>
      <c r="D124">
        <v>1054419241918.8</v>
      </c>
      <c r="E124">
        <v>25.411841587870899</v>
      </c>
      <c r="I124" s="3">
        <v>38018</v>
      </c>
      <c r="J124" s="5">
        <v>24.808222137718001</v>
      </c>
      <c r="Y124" t="s">
        <v>14</v>
      </c>
      <c r="Z124" s="1">
        <v>38200</v>
      </c>
      <c r="AA124">
        <v>131955</v>
      </c>
      <c r="AB124">
        <v>605197029837.21997</v>
      </c>
      <c r="AC124" t="s">
        <v>6</v>
      </c>
      <c r="AE124" s="3">
        <v>38139</v>
      </c>
      <c r="AF124" s="5">
        <v>0</v>
      </c>
    </row>
    <row r="125" spans="1:32" x14ac:dyDescent="0.25">
      <c r="A125" t="s">
        <v>5</v>
      </c>
      <c r="B125" s="1">
        <v>38108</v>
      </c>
      <c r="C125">
        <v>243458</v>
      </c>
      <c r="D125">
        <v>1053489210318.27</v>
      </c>
      <c r="E125">
        <v>25.810034242693501</v>
      </c>
      <c r="I125" s="3">
        <v>38047</v>
      </c>
      <c r="J125" s="5">
        <v>25.0861101224585</v>
      </c>
      <c r="Y125" t="s">
        <v>14</v>
      </c>
      <c r="Z125" s="1">
        <v>38231</v>
      </c>
      <c r="AA125">
        <v>132161</v>
      </c>
      <c r="AB125">
        <v>608460652302.93994</v>
      </c>
      <c r="AC125" t="s">
        <v>6</v>
      </c>
      <c r="AE125" s="3">
        <v>38169</v>
      </c>
      <c r="AF125" s="5">
        <v>0</v>
      </c>
    </row>
    <row r="126" spans="1:32" x14ac:dyDescent="0.25">
      <c r="A126" t="s">
        <v>5</v>
      </c>
      <c r="B126" s="1">
        <v>38139</v>
      </c>
      <c r="C126">
        <v>243206</v>
      </c>
      <c r="D126">
        <v>1042475819587.54</v>
      </c>
      <c r="E126">
        <v>26.1952252062271</v>
      </c>
      <c r="I126" s="3">
        <v>38078</v>
      </c>
      <c r="J126" s="5">
        <v>25.411841587870899</v>
      </c>
      <c r="Y126" t="s">
        <v>14</v>
      </c>
      <c r="Z126" s="1">
        <v>38261</v>
      </c>
      <c r="AA126">
        <v>132303</v>
      </c>
      <c r="AB126">
        <v>611155921112.51001</v>
      </c>
      <c r="AC126" t="s">
        <v>6</v>
      </c>
      <c r="AE126" s="3">
        <v>38200</v>
      </c>
      <c r="AF126" s="5">
        <v>0</v>
      </c>
    </row>
    <row r="127" spans="1:32" x14ac:dyDescent="0.25">
      <c r="A127" t="s">
        <v>5</v>
      </c>
      <c r="B127" s="1">
        <v>38169</v>
      </c>
      <c r="C127">
        <v>243206</v>
      </c>
      <c r="D127">
        <v>1043034371136.61</v>
      </c>
      <c r="E127">
        <v>26.5440643323474</v>
      </c>
      <c r="I127" s="3">
        <v>38108</v>
      </c>
      <c r="J127" s="5">
        <v>25.810034242693501</v>
      </c>
      <c r="Y127" t="s">
        <v>14</v>
      </c>
      <c r="Z127" s="1">
        <v>38292</v>
      </c>
      <c r="AA127">
        <v>132433</v>
      </c>
      <c r="AB127">
        <v>614809241512.60999</v>
      </c>
      <c r="AC127" t="s">
        <v>6</v>
      </c>
      <c r="AE127" s="3">
        <v>38231</v>
      </c>
      <c r="AF127" s="5">
        <v>0</v>
      </c>
    </row>
    <row r="128" spans="1:32" x14ac:dyDescent="0.25">
      <c r="A128" t="s">
        <v>5</v>
      </c>
      <c r="B128" s="1">
        <v>38200</v>
      </c>
      <c r="C128">
        <v>243079</v>
      </c>
      <c r="D128">
        <v>1042526892174.13</v>
      </c>
      <c r="E128">
        <v>26.812603349529098</v>
      </c>
      <c r="I128" s="3">
        <v>38139</v>
      </c>
      <c r="J128" s="5">
        <v>26.1952252062271</v>
      </c>
      <c r="Y128" t="s">
        <v>14</v>
      </c>
      <c r="Z128" s="1">
        <v>38322</v>
      </c>
      <c r="AA128">
        <v>132687</v>
      </c>
      <c r="AB128">
        <v>617441892380.83997</v>
      </c>
      <c r="AC128" t="s">
        <v>6</v>
      </c>
      <c r="AE128" s="3">
        <v>38261</v>
      </c>
      <c r="AF128" s="5">
        <v>0</v>
      </c>
    </row>
    <row r="129" spans="1:32" x14ac:dyDescent="0.25">
      <c r="A129" t="s">
        <v>5</v>
      </c>
      <c r="B129" s="1">
        <v>38231</v>
      </c>
      <c r="C129">
        <v>243049</v>
      </c>
      <c r="D129">
        <v>1043715265049.05</v>
      </c>
      <c r="E129">
        <v>27.0322278143998</v>
      </c>
      <c r="I129" s="3">
        <v>38169</v>
      </c>
      <c r="J129" s="5">
        <v>26.5440643323474</v>
      </c>
      <c r="Y129" t="s">
        <v>14</v>
      </c>
      <c r="Z129" s="1">
        <v>38353</v>
      </c>
      <c r="AA129">
        <v>133092</v>
      </c>
      <c r="AB129">
        <v>623960122239.18994</v>
      </c>
      <c r="AC129" t="s">
        <v>6</v>
      </c>
      <c r="AE129" s="3">
        <v>38292</v>
      </c>
      <c r="AF129" s="5">
        <v>0</v>
      </c>
    </row>
    <row r="130" spans="1:32" x14ac:dyDescent="0.25">
      <c r="A130" t="s">
        <v>5</v>
      </c>
      <c r="B130" s="1">
        <v>38261</v>
      </c>
      <c r="C130">
        <v>243211</v>
      </c>
      <c r="D130">
        <v>1047052334367.59</v>
      </c>
      <c r="E130">
        <v>27.2771218376507</v>
      </c>
      <c r="I130" s="3">
        <v>38200</v>
      </c>
      <c r="J130" s="5">
        <v>26.812603349529098</v>
      </c>
      <c r="Y130" t="s">
        <v>14</v>
      </c>
      <c r="Z130" s="1">
        <v>38384</v>
      </c>
      <c r="AA130">
        <v>133292</v>
      </c>
      <c r="AB130">
        <v>627455382401.26001</v>
      </c>
      <c r="AC130" t="s">
        <v>6</v>
      </c>
      <c r="AE130" s="3">
        <v>38322</v>
      </c>
      <c r="AF130" s="5">
        <v>0</v>
      </c>
    </row>
    <row r="131" spans="1:32" x14ac:dyDescent="0.25">
      <c r="A131" t="s">
        <v>5</v>
      </c>
      <c r="B131" s="1">
        <v>38292</v>
      </c>
      <c r="C131">
        <v>243358</v>
      </c>
      <c r="D131">
        <v>1046559366288.4301</v>
      </c>
      <c r="E131">
        <v>27.4825842710705</v>
      </c>
      <c r="I131" s="3">
        <v>38231</v>
      </c>
      <c r="J131" s="5">
        <v>27.0322278143998</v>
      </c>
      <c r="Y131" t="s">
        <v>14</v>
      </c>
      <c r="Z131" s="1">
        <v>38412</v>
      </c>
      <c r="AA131">
        <v>133606</v>
      </c>
      <c r="AB131">
        <v>630345840465.95996</v>
      </c>
      <c r="AC131" t="s">
        <v>6</v>
      </c>
      <c r="AE131" s="3">
        <v>38353</v>
      </c>
      <c r="AF131" s="5">
        <v>0</v>
      </c>
    </row>
    <row r="132" spans="1:32" x14ac:dyDescent="0.25">
      <c r="A132" t="s">
        <v>5</v>
      </c>
      <c r="B132" s="1">
        <v>38322</v>
      </c>
      <c r="C132">
        <v>243520</v>
      </c>
      <c r="D132">
        <v>1046116620723.4399</v>
      </c>
      <c r="E132">
        <v>27.6954077950783</v>
      </c>
      <c r="I132" s="3">
        <v>38261</v>
      </c>
      <c r="J132" s="5">
        <v>27.2771218376507</v>
      </c>
      <c r="Y132" t="s">
        <v>14</v>
      </c>
      <c r="Z132" s="1">
        <v>38443</v>
      </c>
      <c r="AA132">
        <v>133977</v>
      </c>
      <c r="AB132">
        <v>636404653411.88</v>
      </c>
      <c r="AC132" t="s">
        <v>6</v>
      </c>
      <c r="AE132" s="3">
        <v>38384</v>
      </c>
      <c r="AF132" s="5">
        <v>0</v>
      </c>
    </row>
    <row r="133" spans="1:32" x14ac:dyDescent="0.25">
      <c r="A133" t="s">
        <v>5</v>
      </c>
      <c r="B133" s="1">
        <v>38353</v>
      </c>
      <c r="C133">
        <v>243723</v>
      </c>
      <c r="D133">
        <v>1045661950289.12</v>
      </c>
      <c r="E133">
        <v>27.908511210921599</v>
      </c>
      <c r="I133" s="3">
        <v>38292</v>
      </c>
      <c r="J133" s="5">
        <v>27.4825842710705</v>
      </c>
      <c r="Y133" t="s">
        <v>14</v>
      </c>
      <c r="Z133" s="1">
        <v>38473</v>
      </c>
      <c r="AA133">
        <v>134400</v>
      </c>
      <c r="AB133">
        <v>643943974637.40002</v>
      </c>
      <c r="AC133" t="s">
        <v>6</v>
      </c>
      <c r="AE133" s="3">
        <v>38412</v>
      </c>
      <c r="AF133" s="5">
        <v>0</v>
      </c>
    </row>
    <row r="134" spans="1:32" x14ac:dyDescent="0.25">
      <c r="A134" t="s">
        <v>5</v>
      </c>
      <c r="B134" s="1">
        <v>38384</v>
      </c>
      <c r="C134">
        <v>243770</v>
      </c>
      <c r="D134">
        <v>1045305106228.61</v>
      </c>
      <c r="E134">
        <v>28.085443979277901</v>
      </c>
      <c r="I134" s="3">
        <v>38322</v>
      </c>
      <c r="J134" s="5">
        <v>27.6954077950783</v>
      </c>
      <c r="Y134" t="s">
        <v>14</v>
      </c>
      <c r="Z134" s="1">
        <v>38504</v>
      </c>
      <c r="AA134">
        <v>134739</v>
      </c>
      <c r="AB134">
        <v>653230277414.80005</v>
      </c>
      <c r="AC134" t="s">
        <v>6</v>
      </c>
      <c r="AE134" s="3">
        <v>38443</v>
      </c>
      <c r="AF134" s="5">
        <v>0</v>
      </c>
    </row>
    <row r="135" spans="1:32" x14ac:dyDescent="0.25">
      <c r="A135" t="s">
        <v>5</v>
      </c>
      <c r="B135" s="1">
        <v>38412</v>
      </c>
      <c r="C135">
        <v>243919</v>
      </c>
      <c r="D135">
        <v>1047019150198.85</v>
      </c>
      <c r="E135">
        <v>28.153000162950001</v>
      </c>
      <c r="I135" s="3">
        <v>38353</v>
      </c>
      <c r="J135" s="5">
        <v>27.908511210921599</v>
      </c>
      <c r="Y135" t="s">
        <v>14</v>
      </c>
      <c r="Z135" s="1">
        <v>38534</v>
      </c>
      <c r="AA135">
        <v>135194</v>
      </c>
      <c r="AB135">
        <v>662672623504.70996</v>
      </c>
      <c r="AC135" t="s">
        <v>6</v>
      </c>
      <c r="AE135" s="3">
        <v>38473</v>
      </c>
      <c r="AF135" s="5">
        <v>0</v>
      </c>
    </row>
    <row r="136" spans="1:32" x14ac:dyDescent="0.25">
      <c r="A136" t="s">
        <v>5</v>
      </c>
      <c r="B136" s="1">
        <v>38443</v>
      </c>
      <c r="C136">
        <v>244114</v>
      </c>
      <c r="D136">
        <v>1048394573900.75</v>
      </c>
      <c r="E136">
        <v>28.185592210540399</v>
      </c>
      <c r="I136" s="3">
        <v>38384</v>
      </c>
      <c r="J136" s="5">
        <v>28.085443979277901</v>
      </c>
      <c r="Y136" t="s">
        <v>14</v>
      </c>
      <c r="Z136" s="1">
        <v>38565</v>
      </c>
      <c r="AA136">
        <v>135445</v>
      </c>
      <c r="AB136">
        <v>669529147077.09998</v>
      </c>
      <c r="AC136" t="s">
        <v>6</v>
      </c>
      <c r="AE136" s="3">
        <v>38504</v>
      </c>
      <c r="AF136" s="5">
        <v>0</v>
      </c>
    </row>
    <row r="137" spans="1:32" x14ac:dyDescent="0.25">
      <c r="A137" t="s">
        <v>5</v>
      </c>
      <c r="B137" s="1">
        <v>38473</v>
      </c>
      <c r="C137">
        <v>244026</v>
      </c>
      <c r="D137">
        <v>1046716620858.74</v>
      </c>
      <c r="E137">
        <v>28.253852884032899</v>
      </c>
      <c r="I137" s="3">
        <v>38412</v>
      </c>
      <c r="J137" s="5">
        <v>28.153000162950001</v>
      </c>
      <c r="Y137" t="s">
        <v>14</v>
      </c>
      <c r="Z137" s="1">
        <v>38596</v>
      </c>
      <c r="AA137">
        <v>135930</v>
      </c>
      <c r="AB137">
        <v>681084316958.28003</v>
      </c>
      <c r="AC137" t="s">
        <v>6</v>
      </c>
      <c r="AE137" s="3">
        <v>38534</v>
      </c>
      <c r="AF137" s="5">
        <v>0</v>
      </c>
    </row>
    <row r="138" spans="1:32" x14ac:dyDescent="0.25">
      <c r="A138" t="s">
        <v>5</v>
      </c>
      <c r="B138" s="1">
        <v>38504</v>
      </c>
      <c r="C138">
        <v>244112</v>
      </c>
      <c r="D138">
        <v>1051148406451.9301</v>
      </c>
      <c r="E138">
        <v>28.314816907877699</v>
      </c>
      <c r="I138" s="3">
        <v>38443</v>
      </c>
      <c r="J138" s="5">
        <v>28.185592210540399</v>
      </c>
      <c r="Y138" t="s">
        <v>14</v>
      </c>
      <c r="Z138" s="1">
        <v>38626</v>
      </c>
      <c r="AA138">
        <v>136354</v>
      </c>
      <c r="AB138">
        <v>696083136095.84998</v>
      </c>
      <c r="AC138" t="s">
        <v>6</v>
      </c>
      <c r="AE138" s="3">
        <v>38565</v>
      </c>
      <c r="AF138" s="5">
        <v>0</v>
      </c>
    </row>
    <row r="139" spans="1:32" x14ac:dyDescent="0.25">
      <c r="A139" t="s">
        <v>5</v>
      </c>
      <c r="B139" s="1">
        <v>38534</v>
      </c>
      <c r="C139">
        <v>244290</v>
      </c>
      <c r="D139">
        <v>1055396152979.1</v>
      </c>
      <c r="E139">
        <v>28.365826620287901</v>
      </c>
      <c r="I139" s="3">
        <v>38473</v>
      </c>
      <c r="J139" s="5">
        <v>28.253852884032899</v>
      </c>
      <c r="Y139" t="s">
        <v>14</v>
      </c>
      <c r="Z139" s="1">
        <v>38657</v>
      </c>
      <c r="AA139">
        <v>136807</v>
      </c>
      <c r="AB139">
        <v>709909508509.60999</v>
      </c>
      <c r="AC139" t="s">
        <v>6</v>
      </c>
      <c r="AE139" s="3">
        <v>38596</v>
      </c>
      <c r="AF139" s="5">
        <v>0</v>
      </c>
    </row>
    <row r="140" spans="1:32" x14ac:dyDescent="0.25">
      <c r="A140" t="s">
        <v>5</v>
      </c>
      <c r="B140" s="1">
        <v>38565</v>
      </c>
      <c r="C140">
        <v>244376</v>
      </c>
      <c r="D140">
        <v>1062568967389.26</v>
      </c>
      <c r="E140">
        <v>28.425295700544201</v>
      </c>
      <c r="I140" s="3">
        <v>38504</v>
      </c>
      <c r="J140" s="5">
        <v>28.314816907877699</v>
      </c>
      <c r="Y140" t="s">
        <v>14</v>
      </c>
      <c r="Z140" s="1">
        <v>38687</v>
      </c>
      <c r="AA140">
        <v>137306</v>
      </c>
      <c r="AB140">
        <v>723313661090.52002</v>
      </c>
      <c r="AC140" t="s">
        <v>6</v>
      </c>
      <c r="AE140" s="3">
        <v>38626</v>
      </c>
      <c r="AF140" s="5">
        <v>0</v>
      </c>
    </row>
    <row r="141" spans="1:32" x14ac:dyDescent="0.25">
      <c r="A141" t="s">
        <v>5</v>
      </c>
      <c r="B141" s="1">
        <v>38596</v>
      </c>
      <c r="C141">
        <v>244769</v>
      </c>
      <c r="D141">
        <v>1071676798504.13</v>
      </c>
      <c r="E141">
        <v>28.4838824599851</v>
      </c>
      <c r="I141" s="3">
        <v>38534</v>
      </c>
      <c r="J141" s="5">
        <v>28.365826620287901</v>
      </c>
      <c r="Y141" t="s">
        <v>14</v>
      </c>
      <c r="Z141" s="1">
        <v>38718</v>
      </c>
      <c r="AA141">
        <v>137944</v>
      </c>
      <c r="AB141">
        <v>737066180148.85999</v>
      </c>
      <c r="AC141" t="s">
        <v>6</v>
      </c>
      <c r="AE141" s="3">
        <v>38657</v>
      </c>
      <c r="AF141" s="5">
        <v>0</v>
      </c>
    </row>
    <row r="142" spans="1:32" x14ac:dyDescent="0.25">
      <c r="A142" t="s">
        <v>5</v>
      </c>
      <c r="B142" s="1">
        <v>38626</v>
      </c>
      <c r="C142">
        <v>245103</v>
      </c>
      <c r="D142">
        <v>1083168990542.87</v>
      </c>
      <c r="E142">
        <v>28.546898829682</v>
      </c>
      <c r="I142" s="3">
        <v>38565</v>
      </c>
      <c r="J142" s="5">
        <v>28.425295700544201</v>
      </c>
      <c r="Y142" t="s">
        <v>14</v>
      </c>
      <c r="Z142" s="1">
        <v>38749</v>
      </c>
      <c r="AA142">
        <v>138515</v>
      </c>
      <c r="AB142">
        <v>750813136411.38</v>
      </c>
      <c r="AC142" t="s">
        <v>6</v>
      </c>
      <c r="AE142" s="3">
        <v>38687</v>
      </c>
      <c r="AF142" s="5">
        <v>0</v>
      </c>
    </row>
    <row r="143" spans="1:32" x14ac:dyDescent="0.25">
      <c r="A143" t="s">
        <v>5</v>
      </c>
      <c r="B143" s="1">
        <v>38657</v>
      </c>
      <c r="C143">
        <v>245417</v>
      </c>
      <c r="D143">
        <v>1092258150495.95</v>
      </c>
      <c r="E143">
        <v>28.593532881155902</v>
      </c>
      <c r="I143" s="3">
        <v>38596</v>
      </c>
      <c r="J143" s="5">
        <v>28.4838824599851</v>
      </c>
      <c r="Y143" t="s">
        <v>14</v>
      </c>
      <c r="Z143" s="1">
        <v>38777</v>
      </c>
      <c r="AA143">
        <v>139200</v>
      </c>
      <c r="AB143">
        <v>762936156844.35999</v>
      </c>
      <c r="AC143" t="s">
        <v>6</v>
      </c>
      <c r="AE143" s="3">
        <v>38718</v>
      </c>
      <c r="AF143" s="5">
        <v>0</v>
      </c>
    </row>
    <row r="144" spans="1:32" x14ac:dyDescent="0.25">
      <c r="A144" t="s">
        <v>5</v>
      </c>
      <c r="B144" s="1">
        <v>38687</v>
      </c>
      <c r="C144">
        <v>245734</v>
      </c>
      <c r="D144">
        <v>1101714404588.9399</v>
      </c>
      <c r="E144">
        <v>28.640223017605599</v>
      </c>
      <c r="I144" s="3">
        <v>38626</v>
      </c>
      <c r="J144" s="5">
        <v>28.546898829682</v>
      </c>
      <c r="Y144" t="s">
        <v>14</v>
      </c>
      <c r="Z144" s="1">
        <v>38808</v>
      </c>
      <c r="AA144">
        <v>139672</v>
      </c>
      <c r="AB144">
        <v>773774501099.78003</v>
      </c>
      <c r="AC144" t="s">
        <v>6</v>
      </c>
      <c r="AE144" s="3">
        <v>38749</v>
      </c>
      <c r="AF144" s="5">
        <v>0</v>
      </c>
    </row>
    <row r="145" spans="1:32" x14ac:dyDescent="0.25">
      <c r="A145" t="s">
        <v>5</v>
      </c>
      <c r="B145" s="1">
        <v>38718</v>
      </c>
      <c r="C145">
        <v>246265</v>
      </c>
      <c r="D145">
        <v>1111269349920.8401</v>
      </c>
      <c r="E145">
        <v>28.679365635524299</v>
      </c>
      <c r="I145" s="3">
        <v>38657</v>
      </c>
      <c r="J145" s="5">
        <v>28.593532881155902</v>
      </c>
      <c r="Y145" t="s">
        <v>14</v>
      </c>
      <c r="Z145" s="1">
        <v>38838</v>
      </c>
      <c r="AA145">
        <v>140122</v>
      </c>
      <c r="AB145">
        <v>784425698830.51001</v>
      </c>
      <c r="AC145" t="s">
        <v>6</v>
      </c>
      <c r="AE145" s="3">
        <v>38777</v>
      </c>
      <c r="AF145" s="5">
        <v>0</v>
      </c>
    </row>
    <row r="146" spans="1:32" x14ac:dyDescent="0.25">
      <c r="A146" t="s">
        <v>5</v>
      </c>
      <c r="B146" s="1">
        <v>38749</v>
      </c>
      <c r="C146">
        <v>246636</v>
      </c>
      <c r="D146">
        <v>1122419326727.3401</v>
      </c>
      <c r="E146">
        <v>28.6805017078151</v>
      </c>
      <c r="I146" s="3">
        <v>38687</v>
      </c>
      <c r="J146" s="5">
        <v>28.640223017605599</v>
      </c>
      <c r="Y146" t="s">
        <v>14</v>
      </c>
      <c r="Z146" s="1">
        <v>38869</v>
      </c>
      <c r="AA146">
        <v>140435</v>
      </c>
      <c r="AB146">
        <v>793859723461.93005</v>
      </c>
      <c r="AC146" t="s">
        <v>6</v>
      </c>
      <c r="AE146" s="3">
        <v>38808</v>
      </c>
      <c r="AF146" s="5">
        <v>0</v>
      </c>
    </row>
    <row r="147" spans="1:32" x14ac:dyDescent="0.25">
      <c r="A147" t="s">
        <v>5</v>
      </c>
      <c r="B147" s="1">
        <v>38777</v>
      </c>
      <c r="C147">
        <v>247214</v>
      </c>
      <c r="D147">
        <v>1132529092295.1799</v>
      </c>
      <c r="E147">
        <v>28.654386838034</v>
      </c>
      <c r="I147" s="3">
        <v>38718</v>
      </c>
      <c r="J147" s="5">
        <v>28.679365635524299</v>
      </c>
      <c r="Y147" t="s">
        <v>14</v>
      </c>
      <c r="Z147" s="1">
        <v>38899</v>
      </c>
      <c r="AA147">
        <v>140872</v>
      </c>
      <c r="AB147">
        <v>804148796324.16003</v>
      </c>
      <c r="AC147" t="s">
        <v>6</v>
      </c>
      <c r="AE147" s="3">
        <v>38838</v>
      </c>
      <c r="AF147" s="5">
        <v>0</v>
      </c>
    </row>
    <row r="148" spans="1:32" x14ac:dyDescent="0.25">
      <c r="A148" t="s">
        <v>5</v>
      </c>
      <c r="B148" s="1">
        <v>38808</v>
      </c>
      <c r="C148">
        <v>247639</v>
      </c>
      <c r="D148">
        <v>1142036164423.6499</v>
      </c>
      <c r="E148">
        <v>28.619445247103702</v>
      </c>
      <c r="I148" s="3">
        <v>38749</v>
      </c>
      <c r="J148" s="5">
        <v>28.6805017078151</v>
      </c>
      <c r="Y148" t="s">
        <v>14</v>
      </c>
      <c r="Z148" s="1">
        <v>38930</v>
      </c>
      <c r="AA148">
        <v>141261</v>
      </c>
      <c r="AB148">
        <v>815623297124.84998</v>
      </c>
      <c r="AC148" t="s">
        <v>6</v>
      </c>
      <c r="AE148" s="3">
        <v>38869</v>
      </c>
      <c r="AF148" s="5">
        <v>0</v>
      </c>
    </row>
    <row r="149" spans="1:32" x14ac:dyDescent="0.25">
      <c r="A149" t="s">
        <v>5</v>
      </c>
      <c r="B149" s="1">
        <v>38838</v>
      </c>
      <c r="C149">
        <v>248030</v>
      </c>
      <c r="D149">
        <v>1155261788794.02</v>
      </c>
      <c r="E149">
        <v>28.583832395914602</v>
      </c>
      <c r="I149" s="3">
        <v>38777</v>
      </c>
      <c r="J149" s="5">
        <v>28.654386838034</v>
      </c>
      <c r="Y149" t="s">
        <v>14</v>
      </c>
      <c r="Z149" s="1">
        <v>38961</v>
      </c>
      <c r="AA149">
        <v>141782</v>
      </c>
      <c r="AB149">
        <v>829173302149.54004</v>
      </c>
      <c r="AC149" t="s">
        <v>6</v>
      </c>
      <c r="AE149" s="3">
        <v>38899</v>
      </c>
      <c r="AF149" s="5">
        <v>0</v>
      </c>
    </row>
    <row r="150" spans="1:32" x14ac:dyDescent="0.25">
      <c r="A150" t="s">
        <v>5</v>
      </c>
      <c r="B150" s="1">
        <v>38869</v>
      </c>
      <c r="C150">
        <v>248548</v>
      </c>
      <c r="D150">
        <v>1168142806797.22</v>
      </c>
      <c r="E150">
        <v>28.538412543099799</v>
      </c>
      <c r="I150" s="3">
        <v>38808</v>
      </c>
      <c r="J150" s="5">
        <v>28.619445247103702</v>
      </c>
      <c r="Y150" t="s">
        <v>14</v>
      </c>
      <c r="Z150" s="1">
        <v>38991</v>
      </c>
      <c r="AA150">
        <v>142240</v>
      </c>
      <c r="AB150">
        <v>841370417123.65002</v>
      </c>
      <c r="AC150" t="s">
        <v>6</v>
      </c>
      <c r="AE150" s="3">
        <v>38930</v>
      </c>
      <c r="AF150" s="5">
        <v>0</v>
      </c>
    </row>
    <row r="151" spans="1:32" x14ac:dyDescent="0.25">
      <c r="A151" t="s">
        <v>5</v>
      </c>
      <c r="B151" s="1">
        <v>38899</v>
      </c>
      <c r="C151">
        <v>248874</v>
      </c>
      <c r="D151">
        <v>1181825510252.74</v>
      </c>
      <c r="E151">
        <v>28.491628798279699</v>
      </c>
      <c r="I151" s="3">
        <v>38838</v>
      </c>
      <c r="J151" s="5">
        <v>28.583832395914602</v>
      </c>
      <c r="Y151" t="s">
        <v>14</v>
      </c>
      <c r="Z151" s="1">
        <v>39022</v>
      </c>
      <c r="AA151">
        <v>142710</v>
      </c>
      <c r="AB151">
        <v>852239587713.02002</v>
      </c>
      <c r="AC151" t="s">
        <v>6</v>
      </c>
      <c r="AE151" s="3">
        <v>38961</v>
      </c>
      <c r="AF151" s="5">
        <v>0</v>
      </c>
    </row>
    <row r="152" spans="1:32" x14ac:dyDescent="0.25">
      <c r="A152" t="s">
        <v>5</v>
      </c>
      <c r="B152" s="1">
        <v>38930</v>
      </c>
      <c r="C152">
        <v>249248</v>
      </c>
      <c r="D152">
        <v>1192430186515.3201</v>
      </c>
      <c r="E152">
        <v>28.450708785781</v>
      </c>
      <c r="I152" s="3">
        <v>38869</v>
      </c>
      <c r="J152" s="5">
        <v>28.538412543099799</v>
      </c>
      <c r="Y152" t="s">
        <v>14</v>
      </c>
      <c r="Z152" s="1">
        <v>39052</v>
      </c>
      <c r="AA152">
        <v>143157</v>
      </c>
      <c r="AB152">
        <v>860737627696.97998</v>
      </c>
      <c r="AC152" t="s">
        <v>6</v>
      </c>
      <c r="AE152" s="3">
        <v>38991</v>
      </c>
      <c r="AF152" s="5">
        <v>0</v>
      </c>
    </row>
    <row r="153" spans="1:32" x14ac:dyDescent="0.25">
      <c r="A153" t="s">
        <v>5</v>
      </c>
      <c r="B153" s="1">
        <v>38961</v>
      </c>
      <c r="C153">
        <v>249885</v>
      </c>
      <c r="D153">
        <v>1206782284664.1699</v>
      </c>
      <c r="E153">
        <v>28.409310906839</v>
      </c>
      <c r="I153" s="3">
        <v>38899</v>
      </c>
      <c r="J153" s="5">
        <v>28.491628798279699</v>
      </c>
      <c r="Y153" t="s">
        <v>14</v>
      </c>
      <c r="Z153" s="1">
        <v>39083</v>
      </c>
      <c r="AA153">
        <v>143792</v>
      </c>
      <c r="AB153">
        <v>875234917686.55005</v>
      </c>
      <c r="AC153" t="s">
        <v>6</v>
      </c>
      <c r="AE153" s="3">
        <v>39022</v>
      </c>
      <c r="AF153" s="5">
        <v>0</v>
      </c>
    </row>
    <row r="154" spans="1:32" x14ac:dyDescent="0.25">
      <c r="A154" t="s">
        <v>5</v>
      </c>
      <c r="B154" s="1">
        <v>38991</v>
      </c>
      <c r="C154">
        <v>250428</v>
      </c>
      <c r="D154">
        <v>1220415637263.49</v>
      </c>
      <c r="E154">
        <v>28.3687516794994</v>
      </c>
      <c r="I154" s="3">
        <v>38930</v>
      </c>
      <c r="J154" s="5">
        <v>28.450708785781</v>
      </c>
      <c r="Y154" t="s">
        <v>14</v>
      </c>
      <c r="Z154" s="1">
        <v>39114</v>
      </c>
      <c r="AA154">
        <v>144232</v>
      </c>
      <c r="AB154">
        <v>886289398566.56006</v>
      </c>
      <c r="AC154" t="s">
        <v>6</v>
      </c>
      <c r="AE154" s="3">
        <v>39052</v>
      </c>
      <c r="AF154" s="5">
        <v>0</v>
      </c>
    </row>
    <row r="155" spans="1:32" x14ac:dyDescent="0.25">
      <c r="A155" t="s">
        <v>5</v>
      </c>
      <c r="B155" s="1">
        <v>39022</v>
      </c>
      <c r="C155">
        <v>250977</v>
      </c>
      <c r="D155">
        <v>1240435866291.8799</v>
      </c>
      <c r="E155">
        <v>28.320897126128301</v>
      </c>
      <c r="I155" s="3">
        <v>38961</v>
      </c>
      <c r="J155" s="5">
        <v>28.409310906839</v>
      </c>
      <c r="Y155" t="s">
        <v>14</v>
      </c>
      <c r="Z155" s="1">
        <v>39142</v>
      </c>
      <c r="AA155">
        <v>144924</v>
      </c>
      <c r="AB155">
        <v>902939742411.02002</v>
      </c>
      <c r="AC155" t="s">
        <v>6</v>
      </c>
      <c r="AE155" s="3">
        <v>39083</v>
      </c>
      <c r="AF155" s="5">
        <v>0</v>
      </c>
    </row>
    <row r="156" spans="1:32" x14ac:dyDescent="0.25">
      <c r="A156" t="s">
        <v>5</v>
      </c>
      <c r="B156" s="1">
        <v>39052</v>
      </c>
      <c r="C156">
        <v>251536</v>
      </c>
      <c r="D156">
        <v>1253159977244.54</v>
      </c>
      <c r="E156">
        <v>28.282075261503898</v>
      </c>
      <c r="I156" s="3">
        <v>38991</v>
      </c>
      <c r="J156" s="5">
        <v>28.3687516794994</v>
      </c>
      <c r="Y156" t="s">
        <v>14</v>
      </c>
      <c r="Z156" s="1">
        <v>39173</v>
      </c>
      <c r="AA156">
        <v>145734</v>
      </c>
      <c r="AB156">
        <v>918275700682.27002</v>
      </c>
      <c r="AC156" t="s">
        <v>6</v>
      </c>
      <c r="AE156" s="3">
        <v>39114</v>
      </c>
      <c r="AF156" s="5">
        <v>0</v>
      </c>
    </row>
    <row r="157" spans="1:32" x14ac:dyDescent="0.25">
      <c r="A157" t="s">
        <v>5</v>
      </c>
      <c r="B157" s="1">
        <v>39083</v>
      </c>
      <c r="C157">
        <v>252197</v>
      </c>
      <c r="D157">
        <v>1267753834052.5601</v>
      </c>
      <c r="E157">
        <v>28.246646120542898</v>
      </c>
      <c r="I157" s="3">
        <v>39022</v>
      </c>
      <c r="J157" s="5">
        <v>28.320897126128301</v>
      </c>
      <c r="Y157" t="s">
        <v>14</v>
      </c>
      <c r="Z157" s="1">
        <v>39203</v>
      </c>
      <c r="AA157">
        <v>146420</v>
      </c>
      <c r="AB157">
        <v>931301394201.87</v>
      </c>
      <c r="AC157" t="s">
        <v>6</v>
      </c>
      <c r="AE157" s="3">
        <v>39142</v>
      </c>
      <c r="AF157" s="5">
        <v>0</v>
      </c>
    </row>
    <row r="158" spans="1:32" x14ac:dyDescent="0.25">
      <c r="A158" t="s">
        <v>5</v>
      </c>
      <c r="B158" s="1">
        <v>39114</v>
      </c>
      <c r="C158">
        <v>252755</v>
      </c>
      <c r="D158">
        <v>1281899182108.53</v>
      </c>
      <c r="E158">
        <v>28.508394973781002</v>
      </c>
      <c r="I158" s="3">
        <v>39052</v>
      </c>
      <c r="J158" s="5">
        <v>28.282075261503898</v>
      </c>
      <c r="Y158" t="s">
        <v>14</v>
      </c>
      <c r="Z158" s="1">
        <v>39234</v>
      </c>
      <c r="AA158">
        <v>147268</v>
      </c>
      <c r="AB158">
        <v>945955296949.02002</v>
      </c>
      <c r="AC158" t="s">
        <v>6</v>
      </c>
      <c r="AE158" s="3">
        <v>39173</v>
      </c>
      <c r="AF158" s="5">
        <v>0</v>
      </c>
    </row>
    <row r="159" spans="1:32" x14ac:dyDescent="0.25">
      <c r="A159" t="s">
        <v>5</v>
      </c>
      <c r="B159" s="1">
        <v>39142</v>
      </c>
      <c r="C159">
        <v>253418</v>
      </c>
      <c r="D159">
        <v>1297151286163.0601</v>
      </c>
      <c r="E159">
        <v>29.061456063166599</v>
      </c>
      <c r="I159" s="3">
        <v>39083</v>
      </c>
      <c r="J159" s="5">
        <v>28.246646120542898</v>
      </c>
      <c r="Y159" t="s">
        <v>14</v>
      </c>
      <c r="Z159" s="1">
        <v>39264</v>
      </c>
      <c r="AA159">
        <v>147991</v>
      </c>
      <c r="AB159">
        <v>959167890179.53003</v>
      </c>
      <c r="AC159" t="s">
        <v>6</v>
      </c>
      <c r="AE159" s="3">
        <v>39203</v>
      </c>
      <c r="AF159" s="5">
        <v>0</v>
      </c>
    </row>
    <row r="160" spans="1:32" x14ac:dyDescent="0.25">
      <c r="A160" t="s">
        <v>5</v>
      </c>
      <c r="B160" s="1">
        <v>39173</v>
      </c>
      <c r="C160">
        <v>254121</v>
      </c>
      <c r="D160">
        <v>1313547803162.76</v>
      </c>
      <c r="E160">
        <v>29.664619168619598</v>
      </c>
      <c r="I160" s="3">
        <v>39114</v>
      </c>
      <c r="J160" s="5">
        <v>28.508394973781002</v>
      </c>
      <c r="Y160" t="s">
        <v>14</v>
      </c>
      <c r="Z160" s="1">
        <v>39295</v>
      </c>
      <c r="AA160">
        <v>148654</v>
      </c>
      <c r="AB160">
        <v>970630930715.02002</v>
      </c>
      <c r="AC160" t="s">
        <v>6</v>
      </c>
      <c r="AE160" s="3">
        <v>39234</v>
      </c>
      <c r="AF160" s="5">
        <v>0</v>
      </c>
    </row>
    <row r="161" spans="1:32" x14ac:dyDescent="0.25">
      <c r="A161" t="s">
        <v>5</v>
      </c>
      <c r="B161" s="1">
        <v>39203</v>
      </c>
      <c r="C161">
        <v>254866</v>
      </c>
      <c r="D161">
        <v>1329046516438.8999</v>
      </c>
      <c r="E161">
        <v>30.2806836474603</v>
      </c>
      <c r="I161" s="3">
        <v>39142</v>
      </c>
      <c r="J161" s="5">
        <v>29.061456063166599</v>
      </c>
      <c r="Y161" t="s">
        <v>14</v>
      </c>
      <c r="Z161" s="1">
        <v>39326</v>
      </c>
      <c r="AA161">
        <v>149639</v>
      </c>
      <c r="AB161">
        <v>986147711440.53003</v>
      </c>
      <c r="AC161" t="s">
        <v>6</v>
      </c>
      <c r="AE161" s="3">
        <v>39264</v>
      </c>
      <c r="AF161" s="5">
        <v>0</v>
      </c>
    </row>
    <row r="162" spans="1:32" x14ac:dyDescent="0.25">
      <c r="A162" t="s">
        <v>5</v>
      </c>
      <c r="B162" s="1">
        <v>39234</v>
      </c>
      <c r="C162">
        <v>255714</v>
      </c>
      <c r="D162">
        <v>1351361414625.3799</v>
      </c>
      <c r="E162">
        <v>30.997969401220502</v>
      </c>
      <c r="I162" s="3">
        <v>39173</v>
      </c>
      <c r="J162" s="5">
        <v>29.664619168619598</v>
      </c>
      <c r="Y162" t="s">
        <v>14</v>
      </c>
      <c r="Z162" s="1">
        <v>39356</v>
      </c>
      <c r="AA162">
        <v>150721</v>
      </c>
      <c r="AB162">
        <v>1004291168943.65</v>
      </c>
      <c r="AC162" t="s">
        <v>6</v>
      </c>
      <c r="AE162" s="3">
        <v>39295</v>
      </c>
      <c r="AF162" s="5">
        <v>0</v>
      </c>
    </row>
    <row r="163" spans="1:32" x14ac:dyDescent="0.25">
      <c r="A163" t="s">
        <v>5</v>
      </c>
      <c r="B163" s="1">
        <v>39264</v>
      </c>
      <c r="C163">
        <v>256516</v>
      </c>
      <c r="D163">
        <v>1373358197427.46</v>
      </c>
      <c r="E163">
        <v>31.708372328464101</v>
      </c>
      <c r="I163" s="3">
        <v>39203</v>
      </c>
      <c r="J163" s="5">
        <v>30.2806836474603</v>
      </c>
      <c r="Y163" t="s">
        <v>14</v>
      </c>
      <c r="Z163" s="1">
        <v>39387</v>
      </c>
      <c r="AA163">
        <v>151639</v>
      </c>
      <c r="AB163">
        <v>1018333619421.8199</v>
      </c>
      <c r="AC163" t="s">
        <v>6</v>
      </c>
      <c r="AE163" s="3">
        <v>39326</v>
      </c>
      <c r="AF163" s="5">
        <v>0</v>
      </c>
    </row>
    <row r="164" spans="1:32" x14ac:dyDescent="0.25">
      <c r="A164" t="s">
        <v>5</v>
      </c>
      <c r="B164" s="1">
        <v>39295</v>
      </c>
      <c r="C164">
        <v>257355</v>
      </c>
      <c r="D164">
        <v>1398518091938.25</v>
      </c>
      <c r="E164">
        <v>32.431531049469598</v>
      </c>
      <c r="I164" s="3">
        <v>39234</v>
      </c>
      <c r="J164" s="5">
        <v>30.997969401220502</v>
      </c>
      <c r="Y164" t="s">
        <v>14</v>
      </c>
      <c r="Z164" s="1">
        <v>39417</v>
      </c>
      <c r="AA164">
        <v>152735</v>
      </c>
      <c r="AB164">
        <v>1036838440902.78</v>
      </c>
      <c r="AC164" t="s">
        <v>6</v>
      </c>
      <c r="AE164" s="3">
        <v>39356</v>
      </c>
      <c r="AF164" s="5">
        <v>0</v>
      </c>
    </row>
    <row r="165" spans="1:32" x14ac:dyDescent="0.25">
      <c r="A165" t="s">
        <v>5</v>
      </c>
      <c r="B165" s="1">
        <v>39326</v>
      </c>
      <c r="C165">
        <v>258242</v>
      </c>
      <c r="D165">
        <v>1423075259258.24</v>
      </c>
      <c r="E165">
        <v>33.0848090783334</v>
      </c>
      <c r="I165" s="3">
        <v>39264</v>
      </c>
      <c r="J165" s="5">
        <v>31.708372328464101</v>
      </c>
      <c r="Y165" t="s">
        <v>14</v>
      </c>
      <c r="Z165" s="1">
        <v>39448</v>
      </c>
      <c r="AA165">
        <v>153907</v>
      </c>
      <c r="AB165">
        <v>1052366455361.34</v>
      </c>
      <c r="AC165" t="s">
        <v>6</v>
      </c>
      <c r="AE165" s="3">
        <v>39387</v>
      </c>
      <c r="AF165" s="5">
        <v>0</v>
      </c>
    </row>
    <row r="166" spans="1:32" x14ac:dyDescent="0.25">
      <c r="A166" t="s">
        <v>5</v>
      </c>
      <c r="B166" s="1">
        <v>39356</v>
      </c>
      <c r="C166">
        <v>259130</v>
      </c>
      <c r="D166">
        <v>1448620805507.53</v>
      </c>
      <c r="E166">
        <v>33.842541977092999</v>
      </c>
      <c r="I166" s="3">
        <v>39295</v>
      </c>
      <c r="J166" s="5">
        <v>32.431531049469598</v>
      </c>
      <c r="Y166" t="s">
        <v>14</v>
      </c>
      <c r="Z166" s="1">
        <v>39479</v>
      </c>
      <c r="AA166">
        <v>155038</v>
      </c>
      <c r="AB166">
        <v>1067631591501.37</v>
      </c>
      <c r="AC166" t="s">
        <v>6</v>
      </c>
      <c r="AE166" s="3">
        <v>39417</v>
      </c>
      <c r="AF166" s="5">
        <v>0</v>
      </c>
    </row>
    <row r="167" spans="1:32" x14ac:dyDescent="0.25">
      <c r="A167" t="s">
        <v>5</v>
      </c>
      <c r="B167" s="1">
        <v>39387</v>
      </c>
      <c r="C167">
        <v>259997</v>
      </c>
      <c r="D167">
        <v>1473008966168.4399</v>
      </c>
      <c r="E167">
        <v>34.586527341977401</v>
      </c>
      <c r="I167" s="3">
        <v>39326</v>
      </c>
      <c r="J167" s="5">
        <v>33.0848090783334</v>
      </c>
      <c r="Y167" t="s">
        <v>14</v>
      </c>
      <c r="Z167" s="1">
        <v>39508</v>
      </c>
      <c r="AA167">
        <v>156626</v>
      </c>
      <c r="AB167">
        <v>1090932032300.9399</v>
      </c>
      <c r="AC167" t="s">
        <v>6</v>
      </c>
      <c r="AE167" s="3">
        <v>39448</v>
      </c>
      <c r="AF167" s="5">
        <v>0</v>
      </c>
    </row>
    <row r="168" spans="1:32" x14ac:dyDescent="0.25">
      <c r="A168" t="s">
        <v>5</v>
      </c>
      <c r="B168" s="1">
        <v>39417</v>
      </c>
      <c r="C168">
        <v>260697</v>
      </c>
      <c r="D168">
        <v>1503089126091.8101</v>
      </c>
      <c r="E168">
        <v>35.356771098262101</v>
      </c>
      <c r="I168" s="3">
        <v>39356</v>
      </c>
      <c r="J168" s="5">
        <v>33.842541977092999</v>
      </c>
      <c r="Y168" t="s">
        <v>14</v>
      </c>
      <c r="Z168" s="1">
        <v>39539</v>
      </c>
      <c r="AA168">
        <v>157658</v>
      </c>
      <c r="AB168">
        <v>1107233950410.77</v>
      </c>
      <c r="AC168" t="s">
        <v>6</v>
      </c>
      <c r="AE168" s="3">
        <v>39479</v>
      </c>
      <c r="AF168" s="5">
        <v>0</v>
      </c>
    </row>
    <row r="169" spans="1:32" x14ac:dyDescent="0.25">
      <c r="A169" t="s">
        <v>5</v>
      </c>
      <c r="B169" s="1">
        <v>39448</v>
      </c>
      <c r="C169">
        <v>261695</v>
      </c>
      <c r="D169">
        <v>1536876729700.0601</v>
      </c>
      <c r="E169">
        <v>36.097321862479902</v>
      </c>
      <c r="I169" s="3">
        <v>39387</v>
      </c>
      <c r="J169" s="5">
        <v>34.586527341977401</v>
      </c>
      <c r="Y169" t="s">
        <v>14</v>
      </c>
      <c r="Z169" s="1">
        <v>39569</v>
      </c>
      <c r="AA169">
        <v>158547</v>
      </c>
      <c r="AB169">
        <v>1121120060633.95</v>
      </c>
      <c r="AC169" t="s">
        <v>6</v>
      </c>
      <c r="AE169" s="3">
        <v>39508</v>
      </c>
      <c r="AF169" s="5">
        <v>0</v>
      </c>
    </row>
    <row r="170" spans="1:32" x14ac:dyDescent="0.25">
      <c r="A170" t="s">
        <v>5</v>
      </c>
      <c r="B170" s="1">
        <v>39479</v>
      </c>
      <c r="C170">
        <v>262505</v>
      </c>
      <c r="D170">
        <v>1561574734904.05</v>
      </c>
      <c r="E170">
        <v>36.733007579819102</v>
      </c>
      <c r="I170" s="3">
        <v>39417</v>
      </c>
      <c r="J170" s="5">
        <v>35.356771098262101</v>
      </c>
      <c r="Y170" t="s">
        <v>15</v>
      </c>
      <c r="Z170" s="1">
        <v>39600</v>
      </c>
      <c r="AA170">
        <v>19</v>
      </c>
      <c r="AB170">
        <v>159670015.94</v>
      </c>
      <c r="AC170" t="s">
        <v>6</v>
      </c>
      <c r="AE170" s="3">
        <v>39539</v>
      </c>
      <c r="AF170" s="5">
        <v>0</v>
      </c>
    </row>
    <row r="171" spans="1:32" x14ac:dyDescent="0.25">
      <c r="A171" t="s">
        <v>5</v>
      </c>
      <c r="B171" s="1">
        <v>39508</v>
      </c>
      <c r="C171">
        <v>264223</v>
      </c>
      <c r="D171">
        <v>1598687945829.1299</v>
      </c>
      <c r="E171">
        <v>37.467784722235997</v>
      </c>
      <c r="I171" s="3">
        <v>39448</v>
      </c>
      <c r="J171" s="5">
        <v>36.097321862479902</v>
      </c>
      <c r="Y171" t="s">
        <v>14</v>
      </c>
      <c r="Z171" s="1">
        <v>39600</v>
      </c>
      <c r="AA171">
        <v>159524</v>
      </c>
      <c r="AB171">
        <v>1139760532494.3999</v>
      </c>
      <c r="AC171" t="s">
        <v>6</v>
      </c>
      <c r="AE171" s="3">
        <v>39569</v>
      </c>
      <c r="AF171" s="5">
        <v>0</v>
      </c>
    </row>
    <row r="172" spans="1:32" x14ac:dyDescent="0.25">
      <c r="A172" t="s">
        <v>5</v>
      </c>
      <c r="B172" s="1">
        <v>39539</v>
      </c>
      <c r="C172">
        <v>264813</v>
      </c>
      <c r="D172">
        <v>1611864597529.54</v>
      </c>
      <c r="E172">
        <v>37.9234952990534</v>
      </c>
      <c r="I172" s="3">
        <v>39479</v>
      </c>
      <c r="J172" s="5">
        <v>36.733007579819102</v>
      </c>
      <c r="Y172" t="s">
        <v>14</v>
      </c>
      <c r="Z172" s="1">
        <v>39630</v>
      </c>
      <c r="AA172">
        <v>160395</v>
      </c>
      <c r="AB172">
        <v>1155479201809.6499</v>
      </c>
      <c r="AC172" t="s">
        <v>6</v>
      </c>
      <c r="AE172" s="3">
        <v>39600</v>
      </c>
      <c r="AF172" s="5">
        <v>0</v>
      </c>
    </row>
    <row r="173" spans="1:32" x14ac:dyDescent="0.25">
      <c r="A173" t="s">
        <v>5</v>
      </c>
      <c r="B173" s="1">
        <v>39569</v>
      </c>
      <c r="C173">
        <v>265488</v>
      </c>
      <c r="D173">
        <v>1627058464695.98</v>
      </c>
      <c r="E173">
        <v>38.238562647435401</v>
      </c>
      <c r="I173" s="3">
        <v>39508</v>
      </c>
      <c r="J173" s="5">
        <v>37.467784722235997</v>
      </c>
      <c r="Y173" t="s">
        <v>15</v>
      </c>
      <c r="Z173" s="1">
        <v>39630</v>
      </c>
      <c r="AA173">
        <v>45</v>
      </c>
      <c r="AB173">
        <v>377180050.56</v>
      </c>
      <c r="AC173" t="s">
        <v>6</v>
      </c>
      <c r="AE173" s="3">
        <v>39630</v>
      </c>
      <c r="AF173" s="5">
        <v>0</v>
      </c>
    </row>
    <row r="174" spans="1:32" x14ac:dyDescent="0.25">
      <c r="A174" t="s">
        <v>5</v>
      </c>
      <c r="B174" s="1">
        <v>39600</v>
      </c>
      <c r="C174">
        <v>266516</v>
      </c>
      <c r="D174">
        <v>1649023403524.3301</v>
      </c>
      <c r="E174">
        <v>38.463574856723</v>
      </c>
      <c r="I174" s="3">
        <v>39539</v>
      </c>
      <c r="J174" s="5">
        <v>37.9234952990534</v>
      </c>
      <c r="Y174" t="s">
        <v>14</v>
      </c>
      <c r="Z174" s="1">
        <v>39661</v>
      </c>
      <c r="AA174">
        <v>160920</v>
      </c>
      <c r="AB174">
        <v>1162237411975.8501</v>
      </c>
      <c r="AC174" t="s">
        <v>6</v>
      </c>
      <c r="AE174" s="3">
        <v>39661</v>
      </c>
      <c r="AF174" s="5">
        <v>0</v>
      </c>
    </row>
    <row r="175" spans="1:32" x14ac:dyDescent="0.25">
      <c r="A175" t="s">
        <v>7</v>
      </c>
      <c r="B175" s="1">
        <v>39630</v>
      </c>
      <c r="C175">
        <v>11</v>
      </c>
      <c r="D175">
        <v>431216401.19999999</v>
      </c>
      <c r="E175">
        <v>63.472164668371299</v>
      </c>
      <c r="I175" s="3">
        <v>39569</v>
      </c>
      <c r="J175" s="5">
        <v>38.238562647435401</v>
      </c>
      <c r="Y175" t="s">
        <v>15</v>
      </c>
      <c r="Z175" s="1">
        <v>39661</v>
      </c>
      <c r="AA175">
        <v>64</v>
      </c>
      <c r="AB175">
        <v>621719851.95000005</v>
      </c>
      <c r="AC175" t="s">
        <v>6</v>
      </c>
      <c r="AE175" s="3">
        <v>39692</v>
      </c>
      <c r="AF175" s="5">
        <v>0.40037421933428402</v>
      </c>
    </row>
    <row r="176" spans="1:32" x14ac:dyDescent="0.25">
      <c r="A176" t="s">
        <v>5</v>
      </c>
      <c r="B176" s="1">
        <v>39630</v>
      </c>
      <c r="C176">
        <v>267221</v>
      </c>
      <c r="D176">
        <v>1672012270673.77</v>
      </c>
      <c r="E176">
        <v>38.5794869413347</v>
      </c>
      <c r="I176" s="3">
        <v>39600</v>
      </c>
      <c r="J176" s="5">
        <v>38.463574856723</v>
      </c>
      <c r="Y176" t="s">
        <v>14</v>
      </c>
      <c r="Z176" s="1">
        <v>39692</v>
      </c>
      <c r="AA176">
        <v>161444</v>
      </c>
      <c r="AB176">
        <v>1169648700447.6899</v>
      </c>
      <c r="AC176">
        <v>0.40037421933428402</v>
      </c>
      <c r="AE176" s="3">
        <v>39722</v>
      </c>
      <c r="AF176" s="5">
        <v>1.13059150232218</v>
      </c>
    </row>
    <row r="177" spans="1:32" x14ac:dyDescent="0.25">
      <c r="A177" t="s">
        <v>5</v>
      </c>
      <c r="B177" s="1">
        <v>39661</v>
      </c>
      <c r="C177">
        <v>267777</v>
      </c>
      <c r="D177">
        <v>1682374180043.9399</v>
      </c>
      <c r="E177">
        <v>38.961795602168301</v>
      </c>
      <c r="I177" s="3">
        <v>39630</v>
      </c>
      <c r="J177" s="5">
        <v>38.5794869413347</v>
      </c>
      <c r="Y177" t="s">
        <v>15</v>
      </c>
      <c r="Z177" s="1">
        <v>39692</v>
      </c>
      <c r="AA177">
        <v>67</v>
      </c>
      <c r="AB177">
        <v>763960929.25999999</v>
      </c>
      <c r="AC177" t="s">
        <v>6</v>
      </c>
      <c r="AE177" s="3">
        <v>39753</v>
      </c>
      <c r="AF177" s="5">
        <v>1.53277524862959</v>
      </c>
    </row>
    <row r="178" spans="1:32" x14ac:dyDescent="0.25">
      <c r="A178" t="s">
        <v>7</v>
      </c>
      <c r="B178" s="1">
        <v>39661</v>
      </c>
      <c r="C178">
        <v>15</v>
      </c>
      <c r="D178">
        <v>2102895357.54</v>
      </c>
      <c r="E178">
        <v>64.835180661795803</v>
      </c>
      <c r="I178" s="3">
        <v>39661</v>
      </c>
      <c r="J178" s="5">
        <v>38.961795602168301</v>
      </c>
      <c r="Y178" t="s">
        <v>15</v>
      </c>
      <c r="Z178" s="1">
        <v>39722</v>
      </c>
      <c r="AA178">
        <v>70</v>
      </c>
      <c r="AB178">
        <v>816348629.33000004</v>
      </c>
      <c r="AC178" t="s">
        <v>6</v>
      </c>
      <c r="AE178" s="3">
        <v>39783</v>
      </c>
      <c r="AF178" s="5">
        <v>2.19731707429596</v>
      </c>
    </row>
    <row r="179" spans="1:32" x14ac:dyDescent="0.25">
      <c r="A179" t="s">
        <v>7</v>
      </c>
      <c r="B179" s="1">
        <v>39692</v>
      </c>
      <c r="C179">
        <v>22</v>
      </c>
      <c r="D179">
        <v>4048869571.6900001</v>
      </c>
      <c r="E179">
        <v>62.092587055941202</v>
      </c>
      <c r="I179" s="3">
        <v>39692</v>
      </c>
      <c r="J179" s="5">
        <v>39.157092636100103</v>
      </c>
      <c r="Y179" t="s">
        <v>14</v>
      </c>
      <c r="Z179" s="1">
        <v>39722</v>
      </c>
      <c r="AA179">
        <v>161942</v>
      </c>
      <c r="AB179">
        <v>1177642747130.49</v>
      </c>
      <c r="AC179">
        <v>1.13059150232218</v>
      </c>
      <c r="AE179" s="3">
        <v>39814</v>
      </c>
      <c r="AF179" s="5">
        <v>2.8001472818733699</v>
      </c>
    </row>
    <row r="180" spans="1:32" x14ac:dyDescent="0.25">
      <c r="A180" t="s">
        <v>5</v>
      </c>
      <c r="B180" s="1">
        <v>39692</v>
      </c>
      <c r="C180">
        <v>268301</v>
      </c>
      <c r="D180">
        <v>1690709203256.04</v>
      </c>
      <c r="E180">
        <v>39.157092636100103</v>
      </c>
      <c r="I180" s="3">
        <v>39722</v>
      </c>
      <c r="J180" s="5">
        <v>39.371508596968397</v>
      </c>
      <c r="Y180" t="s">
        <v>15</v>
      </c>
      <c r="Z180" s="1">
        <v>39753</v>
      </c>
      <c r="AA180">
        <v>77</v>
      </c>
      <c r="AB180">
        <v>962156457.99000001</v>
      </c>
      <c r="AC180">
        <v>13.271813752019799</v>
      </c>
      <c r="AE180" s="3">
        <v>39845</v>
      </c>
      <c r="AF180" s="5">
        <v>3.2952274773194499</v>
      </c>
    </row>
    <row r="181" spans="1:32" x14ac:dyDescent="0.25">
      <c r="A181" t="s">
        <v>5</v>
      </c>
      <c r="B181" s="1">
        <v>39722</v>
      </c>
      <c r="C181">
        <v>269084</v>
      </c>
      <c r="D181">
        <v>1706507798745.03</v>
      </c>
      <c r="E181">
        <v>39.371508596968397</v>
      </c>
      <c r="I181" s="3">
        <v>39753</v>
      </c>
      <c r="J181" s="5">
        <v>39.506692530851304</v>
      </c>
      <c r="Y181" t="s">
        <v>14</v>
      </c>
      <c r="Z181" s="1">
        <v>39753</v>
      </c>
      <c r="AA181">
        <v>162223</v>
      </c>
      <c r="AB181">
        <v>1179818682767.8101</v>
      </c>
      <c r="AC181">
        <v>1.53277524862959</v>
      </c>
      <c r="AE181" s="3">
        <v>39873</v>
      </c>
      <c r="AF181" s="5">
        <v>4.5266925355715601</v>
      </c>
    </row>
    <row r="182" spans="1:32" x14ac:dyDescent="0.25">
      <c r="A182" t="s">
        <v>7</v>
      </c>
      <c r="B182" s="1">
        <v>39722</v>
      </c>
      <c r="C182">
        <v>32</v>
      </c>
      <c r="D182">
        <v>6443245156.5</v>
      </c>
      <c r="E182">
        <v>56.318296234812799</v>
      </c>
      <c r="I182" s="3">
        <v>39783</v>
      </c>
      <c r="J182" s="5">
        <v>39.586379267290397</v>
      </c>
      <c r="Y182" t="s">
        <v>15</v>
      </c>
      <c r="Z182" s="1">
        <v>39783</v>
      </c>
      <c r="AA182">
        <v>81</v>
      </c>
      <c r="AB182">
        <v>1017133767.9</v>
      </c>
      <c r="AC182">
        <v>17.801823180901099</v>
      </c>
      <c r="AE182" s="3">
        <v>39904</v>
      </c>
      <c r="AF182" s="5">
        <v>6.2479975004601798</v>
      </c>
    </row>
    <row r="183" spans="1:32" x14ac:dyDescent="0.25">
      <c r="A183" t="s">
        <v>5</v>
      </c>
      <c r="B183" s="1">
        <v>39753</v>
      </c>
      <c r="C183">
        <v>269586</v>
      </c>
      <c r="D183">
        <v>1715320900515.99</v>
      </c>
      <c r="E183">
        <v>39.506692530851304</v>
      </c>
      <c r="I183" s="3">
        <v>39814</v>
      </c>
      <c r="J183" s="5">
        <v>39.843952196572197</v>
      </c>
      <c r="Y183" t="s">
        <v>14</v>
      </c>
      <c r="Z183" s="1">
        <v>39783</v>
      </c>
      <c r="AA183">
        <v>162431</v>
      </c>
      <c r="AB183">
        <v>1183521139367</v>
      </c>
      <c r="AC183">
        <v>2.19731707429596</v>
      </c>
      <c r="AE183" s="3">
        <v>39934</v>
      </c>
      <c r="AF183" s="5">
        <v>7.5545895815234498</v>
      </c>
    </row>
    <row r="184" spans="1:32" x14ac:dyDescent="0.25">
      <c r="A184" t="s">
        <v>7</v>
      </c>
      <c r="B184" s="1">
        <v>39753</v>
      </c>
      <c r="C184">
        <v>33</v>
      </c>
      <c r="D184">
        <v>7594722445.1199999</v>
      </c>
      <c r="E184">
        <v>57.679833174196801</v>
      </c>
      <c r="I184" s="3">
        <v>39845</v>
      </c>
      <c r="J184" s="5">
        <v>39.706789027185302</v>
      </c>
      <c r="Y184" t="s">
        <v>14</v>
      </c>
      <c r="Z184" s="1">
        <v>39814</v>
      </c>
      <c r="AA184">
        <v>162775</v>
      </c>
      <c r="AB184">
        <v>1188990414254.24</v>
      </c>
      <c r="AC184">
        <v>2.8001472818733699</v>
      </c>
      <c r="AE184" s="3">
        <v>39965</v>
      </c>
      <c r="AF184" s="5">
        <v>8.7598133782788494</v>
      </c>
    </row>
    <row r="185" spans="1:32" x14ac:dyDescent="0.25">
      <c r="A185" t="s">
        <v>5</v>
      </c>
      <c r="B185" s="1">
        <v>39783</v>
      </c>
      <c r="C185">
        <v>269880</v>
      </c>
      <c r="D185">
        <v>1722159821907.24</v>
      </c>
      <c r="E185">
        <v>39.586379267290397</v>
      </c>
      <c r="I185" s="3">
        <v>39873</v>
      </c>
      <c r="J185" s="5">
        <v>39.941084437468398</v>
      </c>
      <c r="Y185" t="s">
        <v>15</v>
      </c>
      <c r="Z185" s="1">
        <v>39814</v>
      </c>
      <c r="AA185">
        <v>85</v>
      </c>
      <c r="AB185">
        <v>1108598255.4400001</v>
      </c>
      <c r="AC185">
        <v>24.7906554728362</v>
      </c>
      <c r="AE185" s="3">
        <v>39995</v>
      </c>
      <c r="AF185" s="5">
        <v>10.2294683396066</v>
      </c>
    </row>
    <row r="186" spans="1:32" x14ac:dyDescent="0.25">
      <c r="A186" t="s">
        <v>7</v>
      </c>
      <c r="B186" s="1">
        <v>39783</v>
      </c>
      <c r="C186">
        <v>33</v>
      </c>
      <c r="D186">
        <v>7455294762.29</v>
      </c>
      <c r="E186">
        <v>57.710604429396398</v>
      </c>
      <c r="I186" s="3">
        <v>39904</v>
      </c>
      <c r="J186" s="5">
        <v>40.178703623051398</v>
      </c>
      <c r="Y186" t="s">
        <v>15</v>
      </c>
      <c r="Z186" s="1">
        <v>39845</v>
      </c>
      <c r="AA186">
        <v>91</v>
      </c>
      <c r="AB186">
        <v>1144655203.8699999</v>
      </c>
      <c r="AC186">
        <v>28.079956062117699</v>
      </c>
      <c r="AE186" s="3">
        <v>40026</v>
      </c>
      <c r="AF186" s="5">
        <v>11.2299950838371</v>
      </c>
    </row>
    <row r="187" spans="1:32" x14ac:dyDescent="0.25">
      <c r="A187" t="s">
        <v>7</v>
      </c>
      <c r="B187" s="1">
        <v>39814</v>
      </c>
      <c r="C187">
        <v>37</v>
      </c>
      <c r="D187">
        <v>7385915358.9499998</v>
      </c>
      <c r="E187">
        <v>57.717132928736802</v>
      </c>
      <c r="I187" s="3">
        <v>39934</v>
      </c>
      <c r="J187" s="5">
        <v>40.1055618084158</v>
      </c>
      <c r="Y187" t="s">
        <v>14</v>
      </c>
      <c r="Z187" s="1">
        <v>39845</v>
      </c>
      <c r="AA187">
        <v>162938</v>
      </c>
      <c r="AB187">
        <v>1191848545477.6299</v>
      </c>
      <c r="AC187">
        <v>3.2952274773194499</v>
      </c>
      <c r="AE187" s="3">
        <v>40057</v>
      </c>
      <c r="AF187" s="5">
        <v>12.2642021843736</v>
      </c>
    </row>
    <row r="188" spans="1:32" x14ac:dyDescent="0.25">
      <c r="A188" t="s">
        <v>5</v>
      </c>
      <c r="B188" s="1">
        <v>39814</v>
      </c>
      <c r="C188">
        <v>270476</v>
      </c>
      <c r="D188">
        <v>1743795423653.5901</v>
      </c>
      <c r="E188">
        <v>39.843952196572197</v>
      </c>
      <c r="I188" s="3">
        <v>39965</v>
      </c>
      <c r="J188" s="5">
        <v>39.739697206853599</v>
      </c>
      <c r="Y188" t="s">
        <v>15</v>
      </c>
      <c r="Z188" s="1">
        <v>39873</v>
      </c>
      <c r="AA188">
        <v>96</v>
      </c>
      <c r="AB188">
        <v>1143216587.29</v>
      </c>
      <c r="AC188">
        <v>29.455160760674399</v>
      </c>
      <c r="AE188" s="3">
        <v>40087</v>
      </c>
      <c r="AF188" s="5">
        <v>12.923367946019701</v>
      </c>
    </row>
    <row r="189" spans="1:32" x14ac:dyDescent="0.25">
      <c r="A189" t="s">
        <v>5</v>
      </c>
      <c r="B189" s="1">
        <v>39845</v>
      </c>
      <c r="C189">
        <v>270820</v>
      </c>
      <c r="D189">
        <v>1747958716979.52</v>
      </c>
      <c r="E189">
        <v>39.706789027185302</v>
      </c>
      <c r="I189" s="3">
        <v>39995</v>
      </c>
      <c r="J189" s="5">
        <v>39.6697834466014</v>
      </c>
      <c r="Y189" t="s">
        <v>14</v>
      </c>
      <c r="Z189" s="1">
        <v>39873</v>
      </c>
      <c r="AA189">
        <v>163109</v>
      </c>
      <c r="AB189">
        <v>1197686583453.0601</v>
      </c>
      <c r="AC189">
        <v>4.5266925355715601</v>
      </c>
      <c r="AE189" s="3">
        <v>40118</v>
      </c>
      <c r="AF189" s="5">
        <v>13.470446044098701</v>
      </c>
    </row>
    <row r="190" spans="1:32" x14ac:dyDescent="0.25">
      <c r="A190" t="s">
        <v>7</v>
      </c>
      <c r="B190" s="1">
        <v>39845</v>
      </c>
      <c r="C190">
        <v>37</v>
      </c>
      <c r="D190">
        <v>7186390255.3999996</v>
      </c>
      <c r="E190">
        <v>57.405650549401599</v>
      </c>
      <c r="I190" s="3">
        <v>40026</v>
      </c>
      <c r="J190" s="5">
        <v>39.703691184024898</v>
      </c>
      <c r="Y190" t="s">
        <v>15</v>
      </c>
      <c r="Z190" s="1">
        <v>39904</v>
      </c>
      <c r="AA190">
        <v>98</v>
      </c>
      <c r="AB190">
        <v>1120084797.3399999</v>
      </c>
      <c r="AC190">
        <v>29.947776169182902</v>
      </c>
      <c r="AE190" s="3">
        <v>40148</v>
      </c>
      <c r="AF190" s="5">
        <v>14.067922094805301</v>
      </c>
    </row>
    <row r="191" spans="1:32" x14ac:dyDescent="0.25">
      <c r="A191" t="s">
        <v>5</v>
      </c>
      <c r="B191" s="1">
        <v>39873</v>
      </c>
      <c r="C191">
        <v>271227</v>
      </c>
      <c r="D191">
        <v>1754532172587.8201</v>
      </c>
      <c r="E191">
        <v>39.941084437468398</v>
      </c>
      <c r="I191" s="3">
        <v>40057</v>
      </c>
      <c r="J191" s="5">
        <v>39.736460492727403</v>
      </c>
      <c r="Y191" t="s">
        <v>14</v>
      </c>
      <c r="Z191" s="1">
        <v>39904</v>
      </c>
      <c r="AA191">
        <v>163376</v>
      </c>
      <c r="AB191">
        <v>1214626480567.3601</v>
      </c>
      <c r="AC191">
        <v>6.2479975004601798</v>
      </c>
      <c r="AE191" s="3">
        <v>40179</v>
      </c>
      <c r="AF191" s="5">
        <v>14.802418374900901</v>
      </c>
    </row>
    <row r="192" spans="1:32" x14ac:dyDescent="0.25">
      <c r="A192" t="s">
        <v>7</v>
      </c>
      <c r="B192" s="1">
        <v>39873</v>
      </c>
      <c r="C192">
        <v>57</v>
      </c>
      <c r="D192">
        <v>7517545111.1499996</v>
      </c>
      <c r="E192">
        <v>56.643391940545797</v>
      </c>
      <c r="I192" s="3">
        <v>40087</v>
      </c>
      <c r="J192" s="5">
        <v>39.675240608507998</v>
      </c>
      <c r="Y192" t="s">
        <v>14</v>
      </c>
      <c r="Z192" s="1">
        <v>39934</v>
      </c>
      <c r="AA192">
        <v>163443</v>
      </c>
      <c r="AB192">
        <v>1227123431334.01</v>
      </c>
      <c r="AC192">
        <v>7.5545895815234498</v>
      </c>
      <c r="AE192" s="3">
        <v>40210</v>
      </c>
      <c r="AF192" s="5">
        <v>15.3794697143709</v>
      </c>
    </row>
    <row r="193" spans="1:32" x14ac:dyDescent="0.25">
      <c r="A193" t="s">
        <v>5</v>
      </c>
      <c r="B193" s="1">
        <v>39904</v>
      </c>
      <c r="C193">
        <v>271839</v>
      </c>
      <c r="D193">
        <v>1783832899325.1899</v>
      </c>
      <c r="E193">
        <v>40.178703623051398</v>
      </c>
      <c r="I193" s="3">
        <v>40118</v>
      </c>
      <c r="J193" s="5">
        <v>39.610702798057297</v>
      </c>
      <c r="Y193" t="s">
        <v>15</v>
      </c>
      <c r="Z193" s="1">
        <v>39934</v>
      </c>
      <c r="AA193">
        <v>98</v>
      </c>
      <c r="AB193">
        <v>1078894527.97</v>
      </c>
      <c r="AC193">
        <v>29.649493242250799</v>
      </c>
      <c r="AE193" s="3">
        <v>40238</v>
      </c>
      <c r="AF193" s="5">
        <v>15.9096491065376</v>
      </c>
    </row>
    <row r="194" spans="1:32" x14ac:dyDescent="0.25">
      <c r="A194" t="s">
        <v>7</v>
      </c>
      <c r="B194" s="1">
        <v>39904</v>
      </c>
      <c r="C194">
        <v>80</v>
      </c>
      <c r="D194">
        <v>7812894988.0100002</v>
      </c>
      <c r="E194">
        <v>56.315414038931102</v>
      </c>
      <c r="I194" s="3">
        <v>40148</v>
      </c>
      <c r="J194" s="5">
        <v>39.623258347655103</v>
      </c>
      <c r="Y194" t="s">
        <v>14</v>
      </c>
      <c r="Z194" s="1">
        <v>39965</v>
      </c>
      <c r="AA194">
        <v>163569</v>
      </c>
      <c r="AB194">
        <v>1234260438018.73</v>
      </c>
      <c r="AC194">
        <v>8.7598133782788494</v>
      </c>
      <c r="AE194" s="3">
        <v>40269</v>
      </c>
      <c r="AF194" s="5">
        <v>17.041077102451101</v>
      </c>
    </row>
    <row r="195" spans="1:32" x14ac:dyDescent="0.25">
      <c r="A195" t="s">
        <v>7</v>
      </c>
      <c r="B195" s="1">
        <v>39934</v>
      </c>
      <c r="C195">
        <v>94</v>
      </c>
      <c r="D195">
        <v>7929838117.7600002</v>
      </c>
      <c r="E195">
        <v>57.375417836790497</v>
      </c>
      <c r="I195" s="3">
        <v>40179</v>
      </c>
      <c r="J195" s="5">
        <v>39.620862393396798</v>
      </c>
      <c r="Y195" t="s">
        <v>15</v>
      </c>
      <c r="Z195" s="1">
        <v>39965</v>
      </c>
      <c r="AA195">
        <v>97</v>
      </c>
      <c r="AB195">
        <v>1032952441.29</v>
      </c>
      <c r="AC195">
        <v>29.7621632047581</v>
      </c>
      <c r="AE195" s="3">
        <v>40299</v>
      </c>
      <c r="AF195" s="5">
        <v>17.5303300081789</v>
      </c>
    </row>
    <row r="196" spans="1:32" x14ac:dyDescent="0.25">
      <c r="A196" t="s">
        <v>5</v>
      </c>
      <c r="B196" s="1">
        <v>39934</v>
      </c>
      <c r="C196">
        <v>272056</v>
      </c>
      <c r="D196">
        <v>1788604982272.3999</v>
      </c>
      <c r="E196">
        <v>40.1055618084158</v>
      </c>
      <c r="I196" s="3">
        <v>40210</v>
      </c>
      <c r="J196" s="5">
        <v>39.571951284664998</v>
      </c>
      <c r="Y196" t="s">
        <v>14</v>
      </c>
      <c r="Z196" s="1">
        <v>39995</v>
      </c>
      <c r="AA196">
        <v>163728</v>
      </c>
      <c r="AB196">
        <v>1252730272086.4099</v>
      </c>
      <c r="AC196">
        <v>10.2294683396066</v>
      </c>
      <c r="AE196" s="3">
        <v>40330</v>
      </c>
      <c r="AF196" s="5">
        <v>18.003033973874299</v>
      </c>
    </row>
    <row r="197" spans="1:32" x14ac:dyDescent="0.25">
      <c r="A197" t="s">
        <v>7</v>
      </c>
      <c r="B197" s="1">
        <v>39965</v>
      </c>
      <c r="C197">
        <v>131</v>
      </c>
      <c r="D197">
        <v>14236149645.15</v>
      </c>
      <c r="E197">
        <v>32.204630007486898</v>
      </c>
      <c r="I197" s="3">
        <v>40238</v>
      </c>
      <c r="J197" s="5">
        <v>39.546276206318502</v>
      </c>
      <c r="Y197" t="s">
        <v>15</v>
      </c>
      <c r="Z197" s="1">
        <v>39995</v>
      </c>
      <c r="AA197">
        <v>97</v>
      </c>
      <c r="AB197">
        <v>993378509.11000001</v>
      </c>
      <c r="AC197">
        <v>29.8424095202312</v>
      </c>
      <c r="AE197" s="3">
        <v>40360</v>
      </c>
      <c r="AF197" s="5">
        <v>18.499878151031901</v>
      </c>
    </row>
    <row r="198" spans="1:32" x14ac:dyDescent="0.25">
      <c r="A198" t="s">
        <v>5</v>
      </c>
      <c r="B198" s="1">
        <v>39965</v>
      </c>
      <c r="C198">
        <v>272638</v>
      </c>
      <c r="D198">
        <v>1851247613799.7</v>
      </c>
      <c r="E198">
        <v>39.739697206853599</v>
      </c>
      <c r="I198" s="3">
        <v>40269</v>
      </c>
      <c r="J198" s="5">
        <v>39.4208288893714</v>
      </c>
      <c r="Y198" t="s">
        <v>14</v>
      </c>
      <c r="Z198" s="1">
        <v>40026</v>
      </c>
      <c r="AA198">
        <v>163836</v>
      </c>
      <c r="AB198">
        <v>1257643264164.9099</v>
      </c>
      <c r="AC198">
        <v>11.2299950838371</v>
      </c>
      <c r="AE198" s="3">
        <v>40391</v>
      </c>
      <c r="AF198" s="5">
        <v>18.9978982864417</v>
      </c>
    </row>
    <row r="199" spans="1:32" x14ac:dyDescent="0.25">
      <c r="A199" t="s">
        <v>7</v>
      </c>
      <c r="B199" s="1">
        <v>39995</v>
      </c>
      <c r="C199">
        <v>168</v>
      </c>
      <c r="D199">
        <v>15653598327.879999</v>
      </c>
      <c r="E199">
        <v>46.470756144213503</v>
      </c>
      <c r="I199" s="3">
        <v>40299</v>
      </c>
      <c r="J199" s="5">
        <v>39.231367310944897</v>
      </c>
      <c r="Y199" t="s">
        <v>15</v>
      </c>
      <c r="Z199" s="1">
        <v>40026</v>
      </c>
      <c r="AA199">
        <v>96</v>
      </c>
      <c r="AB199">
        <v>946099456.75999999</v>
      </c>
      <c r="AC199">
        <v>30.265367636618599</v>
      </c>
      <c r="AE199" s="3">
        <v>40422</v>
      </c>
      <c r="AF199" s="5">
        <v>19.3792307567075</v>
      </c>
    </row>
    <row r="200" spans="1:32" x14ac:dyDescent="0.25">
      <c r="A200" t="s">
        <v>5</v>
      </c>
      <c r="B200" s="1">
        <v>39995</v>
      </c>
      <c r="C200">
        <v>273233</v>
      </c>
      <c r="D200">
        <v>1892906083080.45</v>
      </c>
      <c r="E200">
        <v>39.6697834466014</v>
      </c>
      <c r="I200" s="3">
        <v>40330</v>
      </c>
      <c r="J200" s="5">
        <v>39.085437328043497</v>
      </c>
      <c r="Y200" t="s">
        <v>14</v>
      </c>
      <c r="Z200" s="1">
        <v>40057</v>
      </c>
      <c r="AA200">
        <v>163936</v>
      </c>
      <c r="AB200">
        <v>1270454083140.21</v>
      </c>
      <c r="AC200">
        <v>12.2642021843736</v>
      </c>
      <c r="AE200" s="3">
        <v>40452</v>
      </c>
      <c r="AF200" s="5">
        <v>19.7688704867948</v>
      </c>
    </row>
    <row r="201" spans="1:32" x14ac:dyDescent="0.25">
      <c r="A201" t="s">
        <v>7</v>
      </c>
      <c r="B201" s="1">
        <v>40026</v>
      </c>
      <c r="C201">
        <v>188</v>
      </c>
      <c r="D201">
        <v>16210075077.32</v>
      </c>
      <c r="E201">
        <v>51.272290728732997</v>
      </c>
      <c r="I201" s="3">
        <v>40360</v>
      </c>
      <c r="J201" s="5">
        <v>39.037508627084399</v>
      </c>
      <c r="Y201" t="s">
        <v>15</v>
      </c>
      <c r="Z201" s="1">
        <v>40057</v>
      </c>
      <c r="AA201">
        <v>95</v>
      </c>
      <c r="AB201">
        <v>886300040.11000001</v>
      </c>
      <c r="AC201">
        <v>30.3118975927887</v>
      </c>
      <c r="AE201" s="3">
        <v>40483</v>
      </c>
      <c r="AF201" s="5">
        <v>20.092214129488401</v>
      </c>
    </row>
    <row r="202" spans="1:32" x14ac:dyDescent="0.25">
      <c r="A202" t="s">
        <v>5</v>
      </c>
      <c r="B202" s="1">
        <v>40026</v>
      </c>
      <c r="C202">
        <v>273609</v>
      </c>
      <c r="D202">
        <v>1911210202909.05</v>
      </c>
      <c r="E202">
        <v>39.703691184024898</v>
      </c>
      <c r="I202" s="3">
        <v>40391</v>
      </c>
      <c r="J202" s="5">
        <v>38.996291229933497</v>
      </c>
      <c r="Y202" t="s">
        <v>14</v>
      </c>
      <c r="Z202" s="1">
        <v>40087</v>
      </c>
      <c r="AA202">
        <v>164180</v>
      </c>
      <c r="AB202">
        <v>1279191968274.55</v>
      </c>
      <c r="AC202">
        <v>12.923367946019701</v>
      </c>
      <c r="AE202" s="3">
        <v>40513</v>
      </c>
      <c r="AF202" s="5">
        <v>20.589200277121599</v>
      </c>
    </row>
    <row r="203" spans="1:32" x14ac:dyDescent="0.25">
      <c r="A203" t="s">
        <v>7</v>
      </c>
      <c r="B203" s="1">
        <v>40057</v>
      </c>
      <c r="C203">
        <v>222</v>
      </c>
      <c r="D203">
        <v>17522334402.939999</v>
      </c>
      <c r="E203">
        <v>52.415481945755801</v>
      </c>
      <c r="I203" s="3">
        <v>40422</v>
      </c>
      <c r="J203" s="5">
        <v>38.979515504416703</v>
      </c>
      <c r="Y203" t="s">
        <v>15</v>
      </c>
      <c r="Z203" s="1">
        <v>40087</v>
      </c>
      <c r="AA203">
        <v>95</v>
      </c>
      <c r="AB203">
        <v>853173864.62</v>
      </c>
      <c r="AC203">
        <v>30.250572911766</v>
      </c>
      <c r="AE203" s="3">
        <v>40544</v>
      </c>
      <c r="AF203" s="5">
        <v>21.007458205416</v>
      </c>
    </row>
    <row r="204" spans="1:32" x14ac:dyDescent="0.25">
      <c r="A204" t="s">
        <v>5</v>
      </c>
      <c r="B204" s="1">
        <v>40057</v>
      </c>
      <c r="C204">
        <v>273811</v>
      </c>
      <c r="D204">
        <v>1922329055650.49</v>
      </c>
      <c r="E204">
        <v>39.736460492727403</v>
      </c>
      <c r="I204" s="3">
        <v>40452</v>
      </c>
      <c r="J204" s="5">
        <v>39.096738232796298</v>
      </c>
      <c r="Y204" t="s">
        <v>14</v>
      </c>
      <c r="Z204" s="1">
        <v>40118</v>
      </c>
      <c r="AA204">
        <v>164194</v>
      </c>
      <c r="AB204">
        <v>1284380337007.78</v>
      </c>
      <c r="AC204">
        <v>13.470446044098701</v>
      </c>
      <c r="AE204" s="3">
        <v>40575</v>
      </c>
      <c r="AF204" s="5">
        <v>21.5588018230976</v>
      </c>
    </row>
    <row r="205" spans="1:32" x14ac:dyDescent="0.25">
      <c r="A205" t="s">
        <v>7</v>
      </c>
      <c r="B205" s="1">
        <v>40087</v>
      </c>
      <c r="C205">
        <v>266</v>
      </c>
      <c r="D205">
        <v>20636621094.560001</v>
      </c>
      <c r="E205">
        <v>53.170659196165197</v>
      </c>
      <c r="I205" s="3">
        <v>40483</v>
      </c>
      <c r="J205" s="5">
        <v>39.147939212962399</v>
      </c>
      <c r="Y205" t="s">
        <v>15</v>
      </c>
      <c r="Z205" s="1">
        <v>40118</v>
      </c>
      <c r="AA205">
        <v>95</v>
      </c>
      <c r="AB205">
        <v>819680231.34000003</v>
      </c>
      <c r="AC205">
        <v>30.016468619386401</v>
      </c>
      <c r="AE205" s="3">
        <v>40603</v>
      </c>
      <c r="AF205" s="5">
        <v>22.250082421805399</v>
      </c>
    </row>
    <row r="206" spans="1:32" x14ac:dyDescent="0.25">
      <c r="A206" t="s">
        <v>5</v>
      </c>
      <c r="B206" s="1">
        <v>40087</v>
      </c>
      <c r="C206">
        <v>274246</v>
      </c>
      <c r="D206">
        <v>1936230379188.45</v>
      </c>
      <c r="E206">
        <v>39.675240608507998</v>
      </c>
      <c r="I206" s="3">
        <v>40513</v>
      </c>
      <c r="J206" s="5">
        <v>39.197228357473897</v>
      </c>
      <c r="Y206" t="s">
        <v>14</v>
      </c>
      <c r="Z206" s="1">
        <v>40148</v>
      </c>
      <c r="AA206">
        <v>164264</v>
      </c>
      <c r="AB206">
        <v>1288288962785.8999</v>
      </c>
      <c r="AC206">
        <v>14.067922094805301</v>
      </c>
      <c r="AE206" s="3">
        <v>40634</v>
      </c>
      <c r="AF206" s="5">
        <v>22.646556622387401</v>
      </c>
    </row>
    <row r="207" spans="1:32" x14ac:dyDescent="0.25">
      <c r="A207" t="s">
        <v>7</v>
      </c>
      <c r="B207" s="1">
        <v>40118</v>
      </c>
      <c r="C207">
        <v>290</v>
      </c>
      <c r="D207">
        <v>24709665353.299999</v>
      </c>
      <c r="E207">
        <v>50.944125130024901</v>
      </c>
      <c r="I207" s="3">
        <v>40544</v>
      </c>
      <c r="J207" s="5">
        <v>39.397087438826603</v>
      </c>
      <c r="Y207" t="s">
        <v>15</v>
      </c>
      <c r="Z207" s="1">
        <v>40148</v>
      </c>
      <c r="AA207">
        <v>94</v>
      </c>
      <c r="AB207">
        <v>778771901.41999996</v>
      </c>
      <c r="AC207">
        <v>30.611740962472201</v>
      </c>
      <c r="AE207" s="3">
        <v>40664</v>
      </c>
      <c r="AF207" s="5">
        <v>23.003293281185801</v>
      </c>
    </row>
    <row r="208" spans="1:32" x14ac:dyDescent="0.25">
      <c r="A208" t="s">
        <v>5</v>
      </c>
      <c r="B208" s="1">
        <v>40118</v>
      </c>
      <c r="C208">
        <v>274530</v>
      </c>
      <c r="D208">
        <v>1935224752959.1399</v>
      </c>
      <c r="E208">
        <v>39.610702798057297</v>
      </c>
      <c r="I208" s="3">
        <v>40575</v>
      </c>
      <c r="J208" s="5">
        <v>39.589651783019299</v>
      </c>
      <c r="Y208" t="s">
        <v>14</v>
      </c>
      <c r="Z208" s="1">
        <v>40179</v>
      </c>
      <c r="AA208">
        <v>164394</v>
      </c>
      <c r="AB208">
        <v>1297203353258.1899</v>
      </c>
      <c r="AC208">
        <v>14.802418374900901</v>
      </c>
      <c r="AE208" s="3">
        <v>40695</v>
      </c>
      <c r="AF208" s="5">
        <v>23.360695772950201</v>
      </c>
    </row>
    <row r="209" spans="1:32" x14ac:dyDescent="0.25">
      <c r="A209" t="s">
        <v>7</v>
      </c>
      <c r="B209" s="1">
        <v>40148</v>
      </c>
      <c r="C209">
        <v>353</v>
      </c>
      <c r="D209">
        <v>27060927127.610001</v>
      </c>
      <c r="E209">
        <v>51.366674832788703</v>
      </c>
      <c r="I209" s="3">
        <v>40603</v>
      </c>
      <c r="J209" s="5">
        <v>39.701731915353903</v>
      </c>
      <c r="Y209" t="s">
        <v>15</v>
      </c>
      <c r="Z209" s="1">
        <v>40179</v>
      </c>
      <c r="AA209">
        <v>94</v>
      </c>
      <c r="AB209">
        <v>730740246.76999998</v>
      </c>
      <c r="AC209">
        <v>30.899992134645199</v>
      </c>
      <c r="AE209" s="3">
        <v>40725</v>
      </c>
      <c r="AF209" s="5">
        <v>23.763676273901901</v>
      </c>
    </row>
    <row r="210" spans="1:32" x14ac:dyDescent="0.25">
      <c r="A210" t="s">
        <v>5</v>
      </c>
      <c r="B210" s="1">
        <v>40148</v>
      </c>
      <c r="C210">
        <v>274807</v>
      </c>
      <c r="D210">
        <v>1931516393378.1001</v>
      </c>
      <c r="E210">
        <v>39.623258347655103</v>
      </c>
      <c r="I210" s="3">
        <v>40634</v>
      </c>
      <c r="J210" s="5">
        <v>39.855845284519297</v>
      </c>
      <c r="Y210" t="s">
        <v>16</v>
      </c>
      <c r="Z210" s="1">
        <v>40179</v>
      </c>
      <c r="AA210">
        <v>26</v>
      </c>
      <c r="AB210">
        <v>140467044.28999999</v>
      </c>
      <c r="AC210" t="s">
        <v>6</v>
      </c>
      <c r="AE210" s="3">
        <v>40756</v>
      </c>
      <c r="AF210" s="5">
        <v>24.065331755532899</v>
      </c>
    </row>
    <row r="211" spans="1:32" x14ac:dyDescent="0.25">
      <c r="A211" t="s">
        <v>8</v>
      </c>
      <c r="B211" s="1">
        <v>40148</v>
      </c>
      <c r="C211">
        <v>17</v>
      </c>
      <c r="D211">
        <v>106566395.2</v>
      </c>
      <c r="E211">
        <v>4.1592377186133804</v>
      </c>
      <c r="I211" s="3">
        <v>40664</v>
      </c>
      <c r="J211" s="5">
        <v>39.868883190682098</v>
      </c>
      <c r="Y211" t="s">
        <v>14</v>
      </c>
      <c r="Z211" s="1">
        <v>40210</v>
      </c>
      <c r="AA211">
        <v>164392</v>
      </c>
      <c r="AB211">
        <v>1297037709626.45</v>
      </c>
      <c r="AC211">
        <v>15.3794697143709</v>
      </c>
      <c r="AE211" s="3">
        <v>40787</v>
      </c>
      <c r="AF211" s="5">
        <v>24.502639223388201</v>
      </c>
    </row>
    <row r="212" spans="1:32" x14ac:dyDescent="0.25">
      <c r="A212" t="s">
        <v>7</v>
      </c>
      <c r="B212" s="1">
        <v>40179</v>
      </c>
      <c r="C212">
        <v>414</v>
      </c>
      <c r="D212">
        <v>29069674532.27</v>
      </c>
      <c r="E212">
        <v>51.305763938709298</v>
      </c>
      <c r="I212" s="3">
        <v>40695</v>
      </c>
      <c r="J212" s="5">
        <v>39.842779660213097</v>
      </c>
      <c r="Y212" t="s">
        <v>15</v>
      </c>
      <c r="Z212" s="1">
        <v>40210</v>
      </c>
      <c r="AA212">
        <v>93</v>
      </c>
      <c r="AB212">
        <v>671519986.54999995</v>
      </c>
      <c r="AC212">
        <v>31.021664959343699</v>
      </c>
      <c r="AE212" s="3">
        <v>40817</v>
      </c>
      <c r="AF212" s="5">
        <v>24.9145303487809</v>
      </c>
    </row>
    <row r="213" spans="1:32" x14ac:dyDescent="0.25">
      <c r="A213" t="s">
        <v>5</v>
      </c>
      <c r="B213" s="1">
        <v>40179</v>
      </c>
      <c r="C213">
        <v>275195</v>
      </c>
      <c r="D213">
        <v>1935480749969.53</v>
      </c>
      <c r="E213">
        <v>39.620862393396798</v>
      </c>
      <c r="I213" s="3">
        <v>40725</v>
      </c>
      <c r="J213" s="5">
        <v>39.846028091711901</v>
      </c>
      <c r="Y213" t="s">
        <v>16</v>
      </c>
      <c r="Z213" s="1">
        <v>40210</v>
      </c>
      <c r="AA213">
        <v>44</v>
      </c>
      <c r="AB213">
        <v>281456661.47000003</v>
      </c>
      <c r="AC213">
        <v>7.5751478459860602</v>
      </c>
      <c r="AE213" s="3">
        <v>40848</v>
      </c>
      <c r="AF213" s="5">
        <v>25.222662959882602</v>
      </c>
    </row>
    <row r="214" spans="1:32" x14ac:dyDescent="0.25">
      <c r="A214" t="s">
        <v>8</v>
      </c>
      <c r="B214" s="1">
        <v>40179</v>
      </c>
      <c r="C214">
        <v>35</v>
      </c>
      <c r="D214">
        <v>234862672.03</v>
      </c>
      <c r="E214">
        <v>7.8798780141579998</v>
      </c>
      <c r="I214" s="3">
        <v>40756</v>
      </c>
      <c r="J214" s="5">
        <v>39.828650274536301</v>
      </c>
      <c r="Y214" t="s">
        <v>14</v>
      </c>
      <c r="Z214" s="1">
        <v>40238</v>
      </c>
      <c r="AA214">
        <v>164479</v>
      </c>
      <c r="AB214">
        <v>1301137589406.99</v>
      </c>
      <c r="AC214">
        <v>15.9096491065376</v>
      </c>
      <c r="AE214" s="3">
        <v>40878</v>
      </c>
      <c r="AF214" s="5">
        <v>25.4991922656105</v>
      </c>
    </row>
    <row r="215" spans="1:32" x14ac:dyDescent="0.25">
      <c r="A215" t="s">
        <v>7</v>
      </c>
      <c r="B215" s="1">
        <v>40210</v>
      </c>
      <c r="C215">
        <v>458</v>
      </c>
      <c r="D215">
        <v>30591542409.349998</v>
      </c>
      <c r="E215">
        <v>50.361953235073699</v>
      </c>
      <c r="I215" s="3">
        <v>40787</v>
      </c>
      <c r="J215" s="5">
        <v>39.785668611666999</v>
      </c>
      <c r="Y215" t="s">
        <v>15</v>
      </c>
      <c r="Z215" s="1">
        <v>40238</v>
      </c>
      <c r="AA215">
        <v>91</v>
      </c>
      <c r="AB215">
        <v>636390695.32000005</v>
      </c>
      <c r="AC215">
        <v>30.531803626268601</v>
      </c>
      <c r="AE215" s="3">
        <v>40909</v>
      </c>
      <c r="AF215" s="5">
        <v>25.673080292163899</v>
      </c>
    </row>
    <row r="216" spans="1:32" x14ac:dyDescent="0.25">
      <c r="A216" t="s">
        <v>5</v>
      </c>
      <c r="B216" s="1">
        <v>40210</v>
      </c>
      <c r="C216">
        <v>275240</v>
      </c>
      <c r="D216">
        <v>1926355203139.8799</v>
      </c>
      <c r="E216">
        <v>39.571951284664998</v>
      </c>
      <c r="I216" s="3">
        <v>40817</v>
      </c>
      <c r="J216" s="5">
        <v>39.788947653144497</v>
      </c>
      <c r="Y216" t="s">
        <v>16</v>
      </c>
      <c r="Z216" s="1">
        <v>40238</v>
      </c>
      <c r="AA216">
        <v>70</v>
      </c>
      <c r="AB216">
        <v>451475286.89999998</v>
      </c>
      <c r="AC216">
        <v>7.0988023486919598</v>
      </c>
      <c r="AE216" s="3">
        <v>40940</v>
      </c>
      <c r="AF216" s="5">
        <v>25.9723034709289</v>
      </c>
    </row>
    <row r="217" spans="1:32" x14ac:dyDescent="0.25">
      <c r="A217" t="s">
        <v>8</v>
      </c>
      <c r="B217" s="1">
        <v>40210</v>
      </c>
      <c r="C217">
        <v>52</v>
      </c>
      <c r="D217">
        <v>406767057.86000001</v>
      </c>
      <c r="E217">
        <v>7.6918624554178097</v>
      </c>
      <c r="I217" s="3">
        <v>40848</v>
      </c>
      <c r="J217" s="5">
        <v>39.818997803828701</v>
      </c>
      <c r="Y217" t="s">
        <v>14</v>
      </c>
      <c r="Z217" s="1">
        <v>40269</v>
      </c>
      <c r="AA217">
        <v>163886</v>
      </c>
      <c r="AB217">
        <v>1262938911927.99</v>
      </c>
      <c r="AC217">
        <v>17.041077102451101</v>
      </c>
      <c r="AE217" s="3">
        <v>40969</v>
      </c>
      <c r="AF217" s="5">
        <v>26.383854959035698</v>
      </c>
    </row>
    <row r="218" spans="1:32" x14ac:dyDescent="0.25">
      <c r="A218" t="s">
        <v>7</v>
      </c>
      <c r="B218" s="1">
        <v>40238</v>
      </c>
      <c r="C218">
        <v>489</v>
      </c>
      <c r="D218">
        <v>32188299766.919998</v>
      </c>
      <c r="E218">
        <v>49.050238088786003</v>
      </c>
      <c r="I218" s="3">
        <v>40878</v>
      </c>
      <c r="J218" s="5">
        <v>39.885672792783303</v>
      </c>
      <c r="Y218" t="s">
        <v>15</v>
      </c>
      <c r="Z218" s="1">
        <v>40269</v>
      </c>
      <c r="AA218">
        <v>91</v>
      </c>
      <c r="AB218">
        <v>595742034.61000001</v>
      </c>
      <c r="AC218">
        <v>31.308401552845201</v>
      </c>
      <c r="AE218" s="3">
        <v>41000</v>
      </c>
      <c r="AF218" s="5">
        <v>26.661342440716201</v>
      </c>
    </row>
    <row r="219" spans="1:32" x14ac:dyDescent="0.25">
      <c r="A219" t="s">
        <v>5</v>
      </c>
      <c r="B219" s="1">
        <v>40238</v>
      </c>
      <c r="C219">
        <v>275437</v>
      </c>
      <c r="D219">
        <v>1923031361638.27</v>
      </c>
      <c r="E219">
        <v>39.546276206318502</v>
      </c>
      <c r="I219" s="3">
        <v>40909</v>
      </c>
      <c r="J219" s="5">
        <v>40.227181856095598</v>
      </c>
      <c r="Y219" t="s">
        <v>16</v>
      </c>
      <c r="Z219" s="1">
        <v>40269</v>
      </c>
      <c r="AA219">
        <v>91</v>
      </c>
      <c r="AB219">
        <v>640592685.88999999</v>
      </c>
      <c r="AC219">
        <v>6.2931571262678201</v>
      </c>
      <c r="AE219" s="3">
        <v>41030</v>
      </c>
      <c r="AF219" s="5">
        <v>26.7705984301396</v>
      </c>
    </row>
    <row r="220" spans="1:32" x14ac:dyDescent="0.25">
      <c r="A220" t="s">
        <v>8</v>
      </c>
      <c r="B220" s="1">
        <v>40238</v>
      </c>
      <c r="C220">
        <v>66</v>
      </c>
      <c r="D220">
        <v>597072260.88</v>
      </c>
      <c r="E220">
        <v>7.3071291375643899</v>
      </c>
      <c r="I220" s="3">
        <v>40940</v>
      </c>
      <c r="J220" s="5">
        <v>40.271115027053099</v>
      </c>
      <c r="Y220" t="s">
        <v>14</v>
      </c>
      <c r="Z220" s="1">
        <v>40299</v>
      </c>
      <c r="AA220">
        <v>163874</v>
      </c>
      <c r="AB220">
        <v>1257357437789.02</v>
      </c>
      <c r="AC220">
        <v>17.5303300081789</v>
      </c>
      <c r="AE220" s="3">
        <v>41061</v>
      </c>
      <c r="AF220" s="5">
        <v>26.951718772658499</v>
      </c>
    </row>
    <row r="221" spans="1:32" x14ac:dyDescent="0.25">
      <c r="A221" t="s">
        <v>7</v>
      </c>
      <c r="B221" s="1">
        <v>40269</v>
      </c>
      <c r="C221">
        <v>523</v>
      </c>
      <c r="D221">
        <v>34019181733.130001</v>
      </c>
      <c r="E221">
        <v>48.774244523055899</v>
      </c>
      <c r="I221" s="3">
        <v>40969</v>
      </c>
      <c r="J221" s="5">
        <v>40.321817263505601</v>
      </c>
      <c r="Y221" t="s">
        <v>15</v>
      </c>
      <c r="Z221" s="1">
        <v>40299</v>
      </c>
      <c r="AA221">
        <v>89</v>
      </c>
      <c r="AB221">
        <v>561587271.51999998</v>
      </c>
      <c r="AC221">
        <v>31.922203189771999</v>
      </c>
      <c r="AE221" s="3">
        <v>41091</v>
      </c>
      <c r="AF221" s="5">
        <v>27.535777698287699</v>
      </c>
    </row>
    <row r="222" spans="1:32" x14ac:dyDescent="0.25">
      <c r="A222" t="s">
        <v>5</v>
      </c>
      <c r="B222" s="1">
        <v>40269</v>
      </c>
      <c r="C222">
        <v>275562</v>
      </c>
      <c r="D222">
        <v>1915973684687.22</v>
      </c>
      <c r="E222">
        <v>39.4208288893714</v>
      </c>
      <c r="I222" s="3">
        <v>41000</v>
      </c>
      <c r="J222" s="5">
        <v>40.567718977334103</v>
      </c>
      <c r="Y222" t="s">
        <v>16</v>
      </c>
      <c r="Z222" s="1">
        <v>40299</v>
      </c>
      <c r="AA222">
        <v>116</v>
      </c>
      <c r="AB222">
        <v>873082912.89999998</v>
      </c>
      <c r="AC222">
        <v>5.8069931331198701</v>
      </c>
      <c r="AE222" s="3">
        <v>41122</v>
      </c>
      <c r="AF222" s="5">
        <v>27.775754508834599</v>
      </c>
    </row>
    <row r="223" spans="1:32" x14ac:dyDescent="0.25">
      <c r="A223" t="s">
        <v>8</v>
      </c>
      <c r="B223" s="1">
        <v>40269</v>
      </c>
      <c r="C223">
        <v>83</v>
      </c>
      <c r="D223">
        <v>810653741.88</v>
      </c>
      <c r="E223">
        <v>6.6289084057271497</v>
      </c>
      <c r="I223" s="3">
        <v>41030</v>
      </c>
      <c r="J223" s="5">
        <v>40.606267948666002</v>
      </c>
      <c r="Y223" t="s">
        <v>14</v>
      </c>
      <c r="Z223" s="1">
        <v>40330</v>
      </c>
      <c r="AA223">
        <v>163779</v>
      </c>
      <c r="AB223">
        <v>1253270914369.1101</v>
      </c>
      <c r="AC223">
        <v>18.003033973874299</v>
      </c>
      <c r="AE223" s="3">
        <v>41153</v>
      </c>
      <c r="AF223" s="5">
        <v>28.089733458886801</v>
      </c>
    </row>
    <row r="224" spans="1:32" x14ac:dyDescent="0.25">
      <c r="A224" t="s">
        <v>7</v>
      </c>
      <c r="B224" s="1">
        <v>40299</v>
      </c>
      <c r="C224">
        <v>565</v>
      </c>
      <c r="D224">
        <v>34942230806.919998</v>
      </c>
      <c r="E224">
        <v>48.375811686334998</v>
      </c>
      <c r="I224" s="3">
        <v>41061</v>
      </c>
      <c r="J224" s="5">
        <v>40.753452866155499</v>
      </c>
      <c r="Y224" t="s">
        <v>15</v>
      </c>
      <c r="Z224" s="1">
        <v>40330</v>
      </c>
      <c r="AA224">
        <v>88</v>
      </c>
      <c r="AB224">
        <v>531420686.00999999</v>
      </c>
      <c r="AC224">
        <v>32.484989447894797</v>
      </c>
      <c r="AE224" s="3">
        <v>41183</v>
      </c>
      <c r="AF224" s="5">
        <v>28.307327246342101</v>
      </c>
    </row>
    <row r="225" spans="1:32" x14ac:dyDescent="0.25">
      <c r="A225" t="s">
        <v>5</v>
      </c>
      <c r="B225" s="1">
        <v>40299</v>
      </c>
      <c r="C225">
        <v>274490</v>
      </c>
      <c r="D225">
        <v>1886014655841.54</v>
      </c>
      <c r="E225">
        <v>39.231367310944897</v>
      </c>
      <c r="I225" s="3">
        <v>41091</v>
      </c>
      <c r="J225" s="5">
        <v>40.6884489194209</v>
      </c>
      <c r="Y225" t="s">
        <v>16</v>
      </c>
      <c r="Z225" s="1">
        <v>40330</v>
      </c>
      <c r="AA225">
        <v>138</v>
      </c>
      <c r="AB225">
        <v>1088381162.51</v>
      </c>
      <c r="AC225">
        <v>5.1556255904572801</v>
      </c>
      <c r="AE225" s="3">
        <v>41214</v>
      </c>
      <c r="AF225" s="5">
        <v>28.894908824380099</v>
      </c>
    </row>
    <row r="226" spans="1:32" x14ac:dyDescent="0.25">
      <c r="A226" t="s">
        <v>8</v>
      </c>
      <c r="B226" s="1">
        <v>40299</v>
      </c>
      <c r="C226">
        <v>99</v>
      </c>
      <c r="D226">
        <v>1028774473.66</v>
      </c>
      <c r="E226">
        <v>6.5341538920983302</v>
      </c>
      <c r="I226" s="3">
        <v>41122</v>
      </c>
      <c r="J226" s="5">
        <v>40.711988822909497</v>
      </c>
      <c r="Y226" t="s">
        <v>14</v>
      </c>
      <c r="Z226" s="1">
        <v>40360</v>
      </c>
      <c r="AA226">
        <v>163766</v>
      </c>
      <c r="AB226">
        <v>1254208414913.27</v>
      </c>
      <c r="AC226">
        <v>18.499878151031901</v>
      </c>
      <c r="AE226" s="3">
        <v>41244</v>
      </c>
      <c r="AF226" s="5">
        <v>29.593153524885299</v>
      </c>
    </row>
    <row r="227" spans="1:32" x14ac:dyDescent="0.25">
      <c r="A227" t="s">
        <v>7</v>
      </c>
      <c r="B227" s="1">
        <v>40330</v>
      </c>
      <c r="C227">
        <v>596</v>
      </c>
      <c r="D227">
        <v>35952137084.459999</v>
      </c>
      <c r="E227">
        <v>48.057000986623301</v>
      </c>
      <c r="I227" s="3">
        <v>41153</v>
      </c>
      <c r="J227" s="5">
        <v>40.703129365906896</v>
      </c>
      <c r="Y227" t="s">
        <v>15</v>
      </c>
      <c r="Z227" s="1">
        <v>40360</v>
      </c>
      <c r="AA227">
        <v>88</v>
      </c>
      <c r="AB227">
        <v>501401912.05000001</v>
      </c>
      <c r="AC227">
        <v>33.272267378383802</v>
      </c>
      <c r="AE227" s="3">
        <v>41275</v>
      </c>
      <c r="AF227" s="5">
        <v>29.653140507341899</v>
      </c>
    </row>
    <row r="228" spans="1:32" x14ac:dyDescent="0.25">
      <c r="A228" t="s">
        <v>5</v>
      </c>
      <c r="B228" s="1">
        <v>40330</v>
      </c>
      <c r="C228">
        <v>274482</v>
      </c>
      <c r="D228">
        <v>1851844202005.27</v>
      </c>
      <c r="E228">
        <v>39.085437328043497</v>
      </c>
      <c r="I228" s="3">
        <v>41183</v>
      </c>
      <c r="J228" s="5">
        <v>40.711164580375701</v>
      </c>
      <c r="Y228" t="s">
        <v>16</v>
      </c>
      <c r="Z228" s="1">
        <v>40360</v>
      </c>
      <c r="AA228">
        <v>164</v>
      </c>
      <c r="AB228">
        <v>1322702870.9300001</v>
      </c>
      <c r="AC228">
        <v>4.8496058820705201</v>
      </c>
      <c r="AE228" s="3">
        <v>41306</v>
      </c>
      <c r="AF228" s="5">
        <v>29.967678844452301</v>
      </c>
    </row>
    <row r="229" spans="1:32" x14ac:dyDescent="0.25">
      <c r="A229" t="s">
        <v>8</v>
      </c>
      <c r="B229" s="1">
        <v>40330</v>
      </c>
      <c r="C229">
        <v>117</v>
      </c>
      <c r="D229">
        <v>1283914779.73</v>
      </c>
      <c r="E229">
        <v>6.3555454550641501</v>
      </c>
      <c r="I229" s="3">
        <v>41214</v>
      </c>
      <c r="J229" s="5">
        <v>40.6419494731173</v>
      </c>
      <c r="Y229" t="s">
        <v>14</v>
      </c>
      <c r="Z229" s="1">
        <v>40391</v>
      </c>
      <c r="AA229">
        <v>163753</v>
      </c>
      <c r="AB229">
        <v>1251134507397.9399</v>
      </c>
      <c r="AC229">
        <v>18.9978982864417</v>
      </c>
      <c r="AE229" s="3">
        <v>41334</v>
      </c>
      <c r="AF229" s="5">
        <v>30.393236665582101</v>
      </c>
    </row>
    <row r="230" spans="1:32" x14ac:dyDescent="0.25">
      <c r="A230" t="s">
        <v>7</v>
      </c>
      <c r="B230" s="1">
        <v>40360</v>
      </c>
      <c r="C230">
        <v>636</v>
      </c>
      <c r="D230">
        <v>36911796753.43</v>
      </c>
      <c r="E230">
        <v>47.727760677005698</v>
      </c>
      <c r="I230" s="3">
        <v>41244</v>
      </c>
      <c r="J230" s="5">
        <v>40.825464163524998</v>
      </c>
      <c r="Y230" t="s">
        <v>15</v>
      </c>
      <c r="Z230" s="1">
        <v>40391</v>
      </c>
      <c r="AA230">
        <v>87</v>
      </c>
      <c r="AB230">
        <v>476695460.79000002</v>
      </c>
      <c r="AC230">
        <v>33.793356433245698</v>
      </c>
      <c r="AE230" s="3">
        <v>41365</v>
      </c>
      <c r="AF230" s="5">
        <v>31.104916887450901</v>
      </c>
    </row>
    <row r="231" spans="1:32" x14ac:dyDescent="0.25">
      <c r="A231" t="s">
        <v>5</v>
      </c>
      <c r="B231" s="1">
        <v>40360</v>
      </c>
      <c r="C231">
        <v>274694</v>
      </c>
      <c r="D231">
        <v>1823788108779.51</v>
      </c>
      <c r="E231">
        <v>39.037508627084399</v>
      </c>
      <c r="I231" s="3">
        <v>41275</v>
      </c>
      <c r="J231" s="5">
        <v>40.731262396089903</v>
      </c>
      <c r="Y231" t="s">
        <v>16</v>
      </c>
      <c r="Z231" s="1">
        <v>40391</v>
      </c>
      <c r="AA231">
        <v>188</v>
      </c>
      <c r="AB231">
        <v>1562566788.21</v>
      </c>
      <c r="AC231">
        <v>4.5492171678927704</v>
      </c>
      <c r="AE231" s="3">
        <v>41395</v>
      </c>
      <c r="AF231" s="5">
        <v>31.6850507105211</v>
      </c>
    </row>
    <row r="232" spans="1:32" x14ac:dyDescent="0.25">
      <c r="A232" t="s">
        <v>8</v>
      </c>
      <c r="B232" s="1">
        <v>40360</v>
      </c>
      <c r="C232">
        <v>135</v>
      </c>
      <c r="D232">
        <v>1489592023.8900001</v>
      </c>
      <c r="E232">
        <v>6.2419564509364696</v>
      </c>
      <c r="I232" s="3">
        <v>41306</v>
      </c>
      <c r="J232" s="5">
        <v>40.813105188442002</v>
      </c>
      <c r="Y232" t="s">
        <v>14</v>
      </c>
      <c r="Z232" s="1">
        <v>40422</v>
      </c>
      <c r="AA232">
        <v>163755</v>
      </c>
      <c r="AB232">
        <v>1244762156873.8799</v>
      </c>
      <c r="AC232">
        <v>19.3792307567075</v>
      </c>
      <c r="AE232" s="3">
        <v>41426</v>
      </c>
      <c r="AF232" s="5">
        <v>32.132718972412597</v>
      </c>
    </row>
    <row r="233" spans="1:32" x14ac:dyDescent="0.25">
      <c r="A233" t="s">
        <v>7</v>
      </c>
      <c r="B233" s="1">
        <v>40391</v>
      </c>
      <c r="C233">
        <v>682</v>
      </c>
      <c r="D233">
        <v>39233880521.379997</v>
      </c>
      <c r="E233">
        <v>47.009975449441697</v>
      </c>
      <c r="I233" s="3">
        <v>41334</v>
      </c>
      <c r="J233" s="5">
        <v>40.932315370911802</v>
      </c>
      <c r="Y233" t="s">
        <v>15</v>
      </c>
      <c r="Z233" s="1">
        <v>40422</v>
      </c>
      <c r="AA233">
        <v>86</v>
      </c>
      <c r="AB233">
        <v>436910763.93000001</v>
      </c>
      <c r="AC233">
        <v>34.618002347334297</v>
      </c>
      <c r="AE233" s="3">
        <v>41456</v>
      </c>
      <c r="AF233" s="5">
        <v>32.6313064821125</v>
      </c>
    </row>
    <row r="234" spans="1:32" x14ac:dyDescent="0.25">
      <c r="A234" t="s">
        <v>5</v>
      </c>
      <c r="B234" s="1">
        <v>40391</v>
      </c>
      <c r="C234">
        <v>274934</v>
      </c>
      <c r="D234">
        <v>1816002763653.8401</v>
      </c>
      <c r="E234">
        <v>38.996291229933497</v>
      </c>
      <c r="I234" s="3">
        <v>41365</v>
      </c>
      <c r="J234" s="5">
        <v>40.907171875611098</v>
      </c>
      <c r="Y234" t="s">
        <v>16</v>
      </c>
      <c r="Z234" s="1">
        <v>40422</v>
      </c>
      <c r="AA234">
        <v>209</v>
      </c>
      <c r="AB234">
        <v>1800028459.5</v>
      </c>
      <c r="AC234">
        <v>4.2894150160009703</v>
      </c>
      <c r="AE234" s="3">
        <v>41487</v>
      </c>
      <c r="AF234" s="5">
        <v>33.085451549265102</v>
      </c>
    </row>
    <row r="235" spans="1:32" x14ac:dyDescent="0.25">
      <c r="A235" t="s">
        <v>8</v>
      </c>
      <c r="B235" s="1">
        <v>40391</v>
      </c>
      <c r="C235">
        <v>156</v>
      </c>
      <c r="D235">
        <v>1693098544.05</v>
      </c>
      <c r="E235">
        <v>5.8433266929865901</v>
      </c>
      <c r="I235" s="3">
        <v>41395</v>
      </c>
      <c r="J235" s="5">
        <v>40.888030216353599</v>
      </c>
      <c r="Y235" t="s">
        <v>14</v>
      </c>
      <c r="Z235" s="1">
        <v>40452</v>
      </c>
      <c r="AA235">
        <v>163816</v>
      </c>
      <c r="AB235">
        <v>1235982569471.3701</v>
      </c>
      <c r="AC235">
        <v>19.7688704867948</v>
      </c>
      <c r="AE235" s="3">
        <v>41518</v>
      </c>
      <c r="AF235" s="5">
        <v>33.579733416475896</v>
      </c>
    </row>
    <row r="236" spans="1:32" x14ac:dyDescent="0.25">
      <c r="A236" t="s">
        <v>7</v>
      </c>
      <c r="B236" s="1">
        <v>40422</v>
      </c>
      <c r="C236">
        <v>731</v>
      </c>
      <c r="D236">
        <v>41226846111.760002</v>
      </c>
      <c r="E236">
        <v>46.8101045911285</v>
      </c>
      <c r="I236" s="3">
        <v>41426</v>
      </c>
      <c r="J236" s="5">
        <v>40.951971150373502</v>
      </c>
      <c r="Y236" t="s">
        <v>15</v>
      </c>
      <c r="Z236" s="1">
        <v>40452</v>
      </c>
      <c r="AA236">
        <v>86</v>
      </c>
      <c r="AB236">
        <v>406964949.51999998</v>
      </c>
      <c r="AC236">
        <v>34.169942341310602</v>
      </c>
      <c r="AE236" s="3">
        <v>41548</v>
      </c>
      <c r="AF236" s="5">
        <v>33.961568142548103</v>
      </c>
    </row>
    <row r="237" spans="1:32" x14ac:dyDescent="0.25">
      <c r="A237" t="s">
        <v>5</v>
      </c>
      <c r="B237" s="1">
        <v>40422</v>
      </c>
      <c r="C237">
        <v>275265</v>
      </c>
      <c r="D237">
        <v>1809160523507.3899</v>
      </c>
      <c r="E237">
        <v>38.979515504416703</v>
      </c>
      <c r="I237" s="3">
        <v>41456</v>
      </c>
      <c r="J237" s="5">
        <v>40.936538217090799</v>
      </c>
      <c r="Y237" t="s">
        <v>16</v>
      </c>
      <c r="Z237" s="1">
        <v>40452</v>
      </c>
      <c r="AA237">
        <v>241</v>
      </c>
      <c r="AB237">
        <v>2289490119.9400001</v>
      </c>
      <c r="AC237">
        <v>3.7250677112585602</v>
      </c>
      <c r="AE237" s="3">
        <v>41579</v>
      </c>
      <c r="AF237" s="5">
        <v>34.292584690314897</v>
      </c>
    </row>
    <row r="238" spans="1:32" x14ac:dyDescent="0.25">
      <c r="A238" t="s">
        <v>8</v>
      </c>
      <c r="B238" s="1">
        <v>40422</v>
      </c>
      <c r="C238">
        <v>178</v>
      </c>
      <c r="D238">
        <v>1929687214.6600001</v>
      </c>
      <c r="E238">
        <v>5.8869281160867004</v>
      </c>
      <c r="I238" s="3">
        <v>41487</v>
      </c>
      <c r="J238" s="5">
        <v>40.961177546825802</v>
      </c>
      <c r="Y238" t="s">
        <v>14</v>
      </c>
      <c r="Z238" s="1">
        <v>40483</v>
      </c>
      <c r="AA238">
        <v>163859</v>
      </c>
      <c r="AB238">
        <v>1222216237246.51</v>
      </c>
      <c r="AC238">
        <v>20.092214129488401</v>
      </c>
      <c r="AE238" s="3">
        <v>41609</v>
      </c>
      <c r="AF238" s="5">
        <v>34.655399653676703</v>
      </c>
    </row>
    <row r="239" spans="1:32" x14ac:dyDescent="0.25">
      <c r="A239" t="s">
        <v>7</v>
      </c>
      <c r="B239" s="1">
        <v>40452</v>
      </c>
      <c r="C239">
        <v>783</v>
      </c>
      <c r="D239">
        <v>43877710701.519997</v>
      </c>
      <c r="E239">
        <v>46.969890891667902</v>
      </c>
      <c r="I239" s="3">
        <v>41518</v>
      </c>
      <c r="J239" s="5">
        <v>40.968530167770602</v>
      </c>
      <c r="Y239" t="s">
        <v>15</v>
      </c>
      <c r="Z239" s="1">
        <v>40483</v>
      </c>
      <c r="AA239">
        <v>84</v>
      </c>
      <c r="AB239">
        <v>376322526.51999998</v>
      </c>
      <c r="AC239">
        <v>35.085105659710997</v>
      </c>
      <c r="AE239" s="3">
        <v>41640</v>
      </c>
      <c r="AF239" s="5">
        <v>35.060713501856902</v>
      </c>
    </row>
    <row r="240" spans="1:32" x14ac:dyDescent="0.25">
      <c r="A240" t="s">
        <v>5</v>
      </c>
      <c r="B240" s="1">
        <v>40452</v>
      </c>
      <c r="C240">
        <v>275759</v>
      </c>
      <c r="D240">
        <v>1806620806982.2</v>
      </c>
      <c r="E240">
        <v>39.096738232796298</v>
      </c>
      <c r="I240" s="3">
        <v>41548</v>
      </c>
      <c r="J240" s="5">
        <v>41.026529203945202</v>
      </c>
      <c r="Y240" t="s">
        <v>16</v>
      </c>
      <c r="Z240" s="1">
        <v>40483</v>
      </c>
      <c r="AA240">
        <v>276</v>
      </c>
      <c r="AB240">
        <v>2545033047.27</v>
      </c>
      <c r="AC240">
        <v>3.8206508671880601</v>
      </c>
      <c r="AE240" s="3">
        <v>41671</v>
      </c>
      <c r="AF240" s="5">
        <v>35.301855542281601</v>
      </c>
    </row>
    <row r="241" spans="1:32" x14ac:dyDescent="0.25">
      <c r="A241" t="s">
        <v>8</v>
      </c>
      <c r="B241" s="1">
        <v>40452</v>
      </c>
      <c r="C241">
        <v>196</v>
      </c>
      <c r="D241">
        <v>2275609818.98</v>
      </c>
      <c r="E241">
        <v>5.6796488832227103</v>
      </c>
      <c r="I241" s="3">
        <v>41579</v>
      </c>
      <c r="J241" s="5">
        <v>41.054040824349997</v>
      </c>
      <c r="Y241" t="s">
        <v>14</v>
      </c>
      <c r="Z241" s="1">
        <v>40513</v>
      </c>
      <c r="AA241">
        <v>164017</v>
      </c>
      <c r="AB241">
        <v>1208603766164.51</v>
      </c>
      <c r="AC241">
        <v>20.589200277121599</v>
      </c>
      <c r="AE241" s="3">
        <v>41699</v>
      </c>
      <c r="AF241" s="5">
        <v>35.612000107581103</v>
      </c>
    </row>
    <row r="242" spans="1:32" x14ac:dyDescent="0.25">
      <c r="A242" t="s">
        <v>7</v>
      </c>
      <c r="B242" s="1">
        <v>40483</v>
      </c>
      <c r="C242">
        <v>843</v>
      </c>
      <c r="D242">
        <v>46125972276.830002</v>
      </c>
      <c r="E242">
        <v>46.727039428449302</v>
      </c>
      <c r="I242" s="3">
        <v>41609</v>
      </c>
      <c r="J242" s="5">
        <v>41.079080840162803</v>
      </c>
      <c r="Y242" t="s">
        <v>15</v>
      </c>
      <c r="Z242" s="1">
        <v>40513</v>
      </c>
      <c r="AA242">
        <v>83</v>
      </c>
      <c r="AB242">
        <v>351522994.73000002</v>
      </c>
      <c r="AC242">
        <v>35.864104862182899</v>
      </c>
      <c r="AE242" s="3">
        <v>41730</v>
      </c>
      <c r="AF242" s="5">
        <v>35.830227218025797</v>
      </c>
    </row>
    <row r="243" spans="1:32" x14ac:dyDescent="0.25">
      <c r="A243" t="s">
        <v>5</v>
      </c>
      <c r="B243" s="1">
        <v>40483</v>
      </c>
      <c r="C243">
        <v>276421</v>
      </c>
      <c r="D243">
        <v>1800298888880.73</v>
      </c>
      <c r="E243">
        <v>39.147939212962399</v>
      </c>
      <c r="I243" s="3">
        <v>41640</v>
      </c>
      <c r="J243" s="5">
        <v>41.107060968752897</v>
      </c>
      <c r="Y243" t="s">
        <v>16</v>
      </c>
      <c r="Z243" s="1">
        <v>40513</v>
      </c>
      <c r="AA243">
        <v>306</v>
      </c>
      <c r="AB243">
        <v>3126217292.7199998</v>
      </c>
      <c r="AC243">
        <v>4.0176954020231097</v>
      </c>
      <c r="AE243" s="3">
        <v>41760</v>
      </c>
      <c r="AF243" s="5">
        <v>36.0759103250588</v>
      </c>
    </row>
    <row r="244" spans="1:32" x14ac:dyDescent="0.25">
      <c r="A244" t="s">
        <v>8</v>
      </c>
      <c r="B244" s="1">
        <v>40483</v>
      </c>
      <c r="C244">
        <v>217</v>
      </c>
      <c r="D244">
        <v>2589769137.29</v>
      </c>
      <c r="E244">
        <v>5.51268864651363</v>
      </c>
      <c r="I244" s="3">
        <v>41671</v>
      </c>
      <c r="J244" s="5">
        <v>41.083924968803103</v>
      </c>
      <c r="Y244" t="s">
        <v>14</v>
      </c>
      <c r="Z244" s="1">
        <v>40544</v>
      </c>
      <c r="AA244">
        <v>164228</v>
      </c>
      <c r="AB244">
        <v>1194423645357.02</v>
      </c>
      <c r="AC244">
        <v>21.007458205416</v>
      </c>
      <c r="AE244" s="3">
        <v>41791</v>
      </c>
      <c r="AF244" s="5">
        <v>36.331329887416203</v>
      </c>
    </row>
    <row r="245" spans="1:32" x14ac:dyDescent="0.25">
      <c r="A245" t="s">
        <v>7</v>
      </c>
      <c r="B245" s="1">
        <v>40513</v>
      </c>
      <c r="C245">
        <v>896</v>
      </c>
      <c r="D245">
        <v>48366176627.93</v>
      </c>
      <c r="E245">
        <v>46.853730355069203</v>
      </c>
      <c r="I245" s="3">
        <v>41699</v>
      </c>
      <c r="J245" s="5">
        <v>41.114781099123398</v>
      </c>
      <c r="Y245" t="s">
        <v>15</v>
      </c>
      <c r="Z245" s="1">
        <v>40544</v>
      </c>
      <c r="AA245">
        <v>103</v>
      </c>
      <c r="AB245">
        <v>929665401.02999997</v>
      </c>
      <c r="AC245">
        <v>56.599727020622097</v>
      </c>
      <c r="AE245" s="3">
        <v>41821</v>
      </c>
      <c r="AF245" s="5">
        <v>36.603115750839102</v>
      </c>
    </row>
    <row r="246" spans="1:32" x14ac:dyDescent="0.25">
      <c r="A246" t="s">
        <v>5</v>
      </c>
      <c r="B246" s="1">
        <v>40513</v>
      </c>
      <c r="C246">
        <v>277266</v>
      </c>
      <c r="D246">
        <v>1792464139799.6499</v>
      </c>
      <c r="E246">
        <v>39.197228357473897</v>
      </c>
      <c r="I246" s="3">
        <v>41730</v>
      </c>
      <c r="J246" s="5">
        <v>41.1355549227547</v>
      </c>
      <c r="Y246" t="s">
        <v>16</v>
      </c>
      <c r="Z246" s="1">
        <v>40544</v>
      </c>
      <c r="AA246">
        <v>342</v>
      </c>
      <c r="AB246">
        <v>3903977995.2800002</v>
      </c>
      <c r="AC246">
        <v>3.5537237151580099</v>
      </c>
      <c r="AE246" s="3">
        <v>41852</v>
      </c>
      <c r="AF246" s="5">
        <v>36.900223699642602</v>
      </c>
    </row>
    <row r="247" spans="1:32" x14ac:dyDescent="0.25">
      <c r="A247" t="s">
        <v>8</v>
      </c>
      <c r="B247" s="1">
        <v>40513</v>
      </c>
      <c r="C247">
        <v>236</v>
      </c>
      <c r="D247">
        <v>2951365460.7199998</v>
      </c>
      <c r="E247">
        <v>5.4714063800260702</v>
      </c>
      <c r="I247" s="3">
        <v>41760</v>
      </c>
      <c r="J247" s="5">
        <v>41.173930644224001</v>
      </c>
      <c r="Y247" t="s">
        <v>14</v>
      </c>
      <c r="Z247" s="1">
        <v>40575</v>
      </c>
      <c r="AA247">
        <v>164247</v>
      </c>
      <c r="AB247">
        <v>1182814575891.2</v>
      </c>
      <c r="AC247">
        <v>21.5588018230976</v>
      </c>
      <c r="AE247" s="3">
        <v>41883</v>
      </c>
      <c r="AF247" s="5">
        <v>37.072380408015803</v>
      </c>
    </row>
    <row r="248" spans="1:32" x14ac:dyDescent="0.25">
      <c r="A248" t="s">
        <v>7</v>
      </c>
      <c r="B248" s="1">
        <v>40544</v>
      </c>
      <c r="C248">
        <v>949</v>
      </c>
      <c r="D248">
        <v>50759303463</v>
      </c>
      <c r="E248">
        <v>47.671017473647197</v>
      </c>
      <c r="I248" s="3">
        <v>41791</v>
      </c>
      <c r="J248" s="5">
        <v>41.202461193088197</v>
      </c>
      <c r="Y248" t="s">
        <v>15</v>
      </c>
      <c r="Z248" s="1">
        <v>40575</v>
      </c>
      <c r="AA248">
        <v>118</v>
      </c>
      <c r="AB248">
        <v>1352151537.6500001</v>
      </c>
      <c r="AC248">
        <v>58.292459818125799</v>
      </c>
      <c r="AE248" s="3">
        <v>41913</v>
      </c>
      <c r="AF248" s="5">
        <v>37.346854855505697</v>
      </c>
    </row>
    <row r="249" spans="1:32" x14ac:dyDescent="0.25">
      <c r="A249" t="s">
        <v>5</v>
      </c>
      <c r="B249" s="1">
        <v>40544</v>
      </c>
      <c r="C249">
        <v>278078</v>
      </c>
      <c r="D249">
        <v>1786702401571.8401</v>
      </c>
      <c r="E249">
        <v>39.397087438826603</v>
      </c>
      <c r="I249" s="3">
        <v>41821</v>
      </c>
      <c r="J249" s="5">
        <v>41.229704809454702</v>
      </c>
      <c r="Y249" t="s">
        <v>16</v>
      </c>
      <c r="Z249" s="1">
        <v>40575</v>
      </c>
      <c r="AA249">
        <v>383</v>
      </c>
      <c r="AB249">
        <v>4392867761.4399996</v>
      </c>
      <c r="AC249">
        <v>3.4108003873814399</v>
      </c>
      <c r="AE249" s="3">
        <v>41944</v>
      </c>
      <c r="AF249" s="5">
        <v>37.604928084510803</v>
      </c>
    </row>
    <row r="250" spans="1:32" x14ac:dyDescent="0.25">
      <c r="A250" t="s">
        <v>8</v>
      </c>
      <c r="B250" s="1">
        <v>40544</v>
      </c>
      <c r="C250">
        <v>259</v>
      </c>
      <c r="D250">
        <v>3379401993.3099999</v>
      </c>
      <c r="E250">
        <v>5.5548678060381498</v>
      </c>
      <c r="I250" s="3">
        <v>41852</v>
      </c>
      <c r="J250" s="5">
        <v>41.230693593200499</v>
      </c>
      <c r="Y250" t="s">
        <v>14</v>
      </c>
      <c r="Z250" s="1">
        <v>40603</v>
      </c>
      <c r="AA250">
        <v>164474</v>
      </c>
      <c r="AB250">
        <v>1179826829308.1899</v>
      </c>
      <c r="AC250">
        <v>22.250082421805399</v>
      </c>
      <c r="AE250" s="3">
        <v>41974</v>
      </c>
      <c r="AF250" s="5">
        <v>37.847037204352901</v>
      </c>
    </row>
    <row r="251" spans="1:32" x14ac:dyDescent="0.25">
      <c r="A251" t="s">
        <v>7</v>
      </c>
      <c r="B251" s="1">
        <v>40575</v>
      </c>
      <c r="C251">
        <v>1009</v>
      </c>
      <c r="D251">
        <v>52653026516.040001</v>
      </c>
      <c r="E251">
        <v>48.906762834155799</v>
      </c>
      <c r="I251" s="3">
        <v>41883</v>
      </c>
      <c r="J251" s="5">
        <v>41.230501122969898</v>
      </c>
      <c r="Y251" t="s">
        <v>15</v>
      </c>
      <c r="Z251" s="1">
        <v>40603</v>
      </c>
      <c r="AA251">
        <v>150</v>
      </c>
      <c r="AB251">
        <v>2662811185.9000001</v>
      </c>
      <c r="AC251">
        <v>57.055349130093603</v>
      </c>
      <c r="AE251" s="3">
        <v>42005</v>
      </c>
      <c r="AF251" s="5">
        <v>37.958828940919602</v>
      </c>
    </row>
    <row r="252" spans="1:32" x14ac:dyDescent="0.25">
      <c r="A252" t="s">
        <v>5</v>
      </c>
      <c r="B252" s="1">
        <v>40575</v>
      </c>
      <c r="C252">
        <v>278395</v>
      </c>
      <c r="D252">
        <v>1774777092612.05</v>
      </c>
      <c r="E252">
        <v>39.589651783019299</v>
      </c>
      <c r="I252" s="3">
        <v>41913</v>
      </c>
      <c r="J252" s="5">
        <v>41.343651206376599</v>
      </c>
      <c r="Y252" t="s">
        <v>16</v>
      </c>
      <c r="Z252" s="1">
        <v>40603</v>
      </c>
      <c r="AA252">
        <v>430</v>
      </c>
      <c r="AB252">
        <v>5236503457.5500002</v>
      </c>
      <c r="AC252">
        <v>2.9737932777766898</v>
      </c>
      <c r="AE252" s="3">
        <v>42036</v>
      </c>
      <c r="AF252" s="5">
        <v>38.1329623977295</v>
      </c>
    </row>
    <row r="253" spans="1:32" x14ac:dyDescent="0.25">
      <c r="A253" t="s">
        <v>8</v>
      </c>
      <c r="B253" s="1">
        <v>40575</v>
      </c>
      <c r="C253">
        <v>279</v>
      </c>
      <c r="D253">
        <v>3849888136.0700002</v>
      </c>
      <c r="E253">
        <v>5.36910592764242</v>
      </c>
      <c r="I253" s="3">
        <v>41944</v>
      </c>
      <c r="J253" s="5">
        <v>41.401183483495501</v>
      </c>
      <c r="Y253" t="s">
        <v>14</v>
      </c>
      <c r="Z253" s="1">
        <v>40634</v>
      </c>
      <c r="AA253">
        <v>164558</v>
      </c>
      <c r="AB253">
        <v>1171068568311.46</v>
      </c>
      <c r="AC253">
        <v>22.646556622387401</v>
      </c>
      <c r="AE253" s="3">
        <v>42064</v>
      </c>
      <c r="AF253" s="5">
        <v>38.198023417596602</v>
      </c>
    </row>
    <row r="254" spans="1:32" x14ac:dyDescent="0.25">
      <c r="A254" t="s">
        <v>7</v>
      </c>
      <c r="B254" s="1">
        <v>40603</v>
      </c>
      <c r="C254">
        <v>1046</v>
      </c>
      <c r="D254">
        <v>54091880308.709999</v>
      </c>
      <c r="E254">
        <v>49.290556668477997</v>
      </c>
      <c r="I254" s="3">
        <v>41974</v>
      </c>
      <c r="J254" s="5">
        <v>41.392233911246898</v>
      </c>
      <c r="Y254" t="s">
        <v>15</v>
      </c>
      <c r="Z254" s="1">
        <v>40634</v>
      </c>
      <c r="AA254">
        <v>171</v>
      </c>
      <c r="AB254">
        <v>3016647647.4899998</v>
      </c>
      <c r="AC254">
        <v>55.837447825774703</v>
      </c>
      <c r="AE254" s="3">
        <v>42095</v>
      </c>
      <c r="AF254" s="5">
        <v>38.320643443171797</v>
      </c>
    </row>
    <row r="255" spans="1:32" x14ac:dyDescent="0.25">
      <c r="A255" t="s">
        <v>5</v>
      </c>
      <c r="B255" s="1">
        <v>40603</v>
      </c>
      <c r="C255">
        <v>278900</v>
      </c>
      <c r="D255">
        <v>1768365158153.76</v>
      </c>
      <c r="E255">
        <v>39.701731915353903</v>
      </c>
      <c r="I255" s="3">
        <v>42005</v>
      </c>
      <c r="J255" s="5">
        <v>41.420001405391197</v>
      </c>
      <c r="Y255" t="s">
        <v>16</v>
      </c>
      <c r="Z255" s="1">
        <v>40634</v>
      </c>
      <c r="AA255">
        <v>478</v>
      </c>
      <c r="AB255">
        <v>6136502654.7399998</v>
      </c>
      <c r="AC255">
        <v>2.9758443619735502</v>
      </c>
      <c r="AE255" s="3">
        <v>42125</v>
      </c>
      <c r="AF255" s="5">
        <v>38.410007138932599</v>
      </c>
    </row>
    <row r="256" spans="1:32" x14ac:dyDescent="0.25">
      <c r="A256" t="s">
        <v>8</v>
      </c>
      <c r="B256" s="1">
        <v>40603</v>
      </c>
      <c r="C256">
        <v>297</v>
      </c>
      <c r="D256">
        <v>4348110845.5</v>
      </c>
      <c r="E256">
        <v>5.3598784323324997</v>
      </c>
      <c r="I256" s="3">
        <v>42036</v>
      </c>
      <c r="J256" s="5">
        <v>41.4295179182621</v>
      </c>
      <c r="Y256" t="s">
        <v>14</v>
      </c>
      <c r="Z256" s="1">
        <v>40664</v>
      </c>
      <c r="AA256">
        <v>164675</v>
      </c>
      <c r="AB256">
        <v>1165480717909.74</v>
      </c>
      <c r="AC256">
        <v>23.003293281185801</v>
      </c>
      <c r="AE256" s="3">
        <v>42156</v>
      </c>
      <c r="AF256" s="5">
        <v>38.540293726756602</v>
      </c>
    </row>
    <row r="257" spans="1:32" x14ac:dyDescent="0.25">
      <c r="A257" t="s">
        <v>7</v>
      </c>
      <c r="B257" s="1">
        <v>40634</v>
      </c>
      <c r="C257">
        <v>1107</v>
      </c>
      <c r="D257">
        <v>55452548932.449997</v>
      </c>
      <c r="E257">
        <v>49.0275625136644</v>
      </c>
      <c r="I257" s="3">
        <v>42064</v>
      </c>
      <c r="J257" s="5">
        <v>41.431583913752704</v>
      </c>
      <c r="Y257" t="s">
        <v>15</v>
      </c>
      <c r="Z257" s="1">
        <v>40664</v>
      </c>
      <c r="AA257">
        <v>202</v>
      </c>
      <c r="AB257">
        <v>3576642912.5300002</v>
      </c>
      <c r="AC257">
        <v>56.005022084760299</v>
      </c>
      <c r="AE257" s="3">
        <v>42186</v>
      </c>
      <c r="AF257" s="5">
        <v>38.639714635483799</v>
      </c>
    </row>
    <row r="258" spans="1:32" x14ac:dyDescent="0.25">
      <c r="A258" t="s">
        <v>5</v>
      </c>
      <c r="B258" s="1">
        <v>40634</v>
      </c>
      <c r="C258">
        <v>279791</v>
      </c>
      <c r="D258">
        <v>1771693715295.3601</v>
      </c>
      <c r="E258">
        <v>39.855845284519297</v>
      </c>
      <c r="I258" s="3">
        <v>42095</v>
      </c>
      <c r="J258" s="5">
        <v>41.375947226311197</v>
      </c>
      <c r="Y258" t="s">
        <v>16</v>
      </c>
      <c r="Z258" s="1">
        <v>40664</v>
      </c>
      <c r="AA258">
        <v>523</v>
      </c>
      <c r="AB258">
        <v>6826056441.3299999</v>
      </c>
      <c r="AC258">
        <v>2.8691804523020701</v>
      </c>
      <c r="AE258" s="3">
        <v>42217</v>
      </c>
      <c r="AF258" s="5">
        <v>38.818369374535997</v>
      </c>
    </row>
    <row r="259" spans="1:32" x14ac:dyDescent="0.25">
      <c r="A259" t="s">
        <v>8</v>
      </c>
      <c r="B259" s="1">
        <v>40634</v>
      </c>
      <c r="C259">
        <v>323</v>
      </c>
      <c r="D259">
        <v>4929321160.3199997</v>
      </c>
      <c r="E259">
        <v>5.2496782302635703</v>
      </c>
      <c r="I259" s="3">
        <v>42125</v>
      </c>
      <c r="J259" s="5">
        <v>41.297202390886603</v>
      </c>
      <c r="Y259" t="s">
        <v>14</v>
      </c>
      <c r="Z259" s="1">
        <v>40695</v>
      </c>
      <c r="AA259">
        <v>164807</v>
      </c>
      <c r="AB259">
        <v>1160574203603.98</v>
      </c>
      <c r="AC259">
        <v>23.360695772950201</v>
      </c>
      <c r="AE259" s="3">
        <v>42248</v>
      </c>
      <c r="AF259" s="5">
        <v>38.978333762469802</v>
      </c>
    </row>
    <row r="260" spans="1:32" x14ac:dyDescent="0.25">
      <c r="A260" t="s">
        <v>7</v>
      </c>
      <c r="B260" s="1">
        <v>40664</v>
      </c>
      <c r="C260">
        <v>1145</v>
      </c>
      <c r="D260">
        <v>56144173209.129997</v>
      </c>
      <c r="E260">
        <v>49.445229224155099</v>
      </c>
      <c r="I260" s="3">
        <v>42156</v>
      </c>
      <c r="J260" s="5">
        <v>41.276649152192498</v>
      </c>
      <c r="Y260" t="s">
        <v>15</v>
      </c>
      <c r="Z260" s="1">
        <v>40695</v>
      </c>
      <c r="AA260">
        <v>231</v>
      </c>
      <c r="AB260">
        <v>4235834937.54</v>
      </c>
      <c r="AC260">
        <v>54.731959039383597</v>
      </c>
      <c r="AE260" s="3">
        <v>42278</v>
      </c>
      <c r="AF260" s="5">
        <v>39.215656946433597</v>
      </c>
    </row>
    <row r="261" spans="1:32" x14ac:dyDescent="0.25">
      <c r="A261" t="s">
        <v>5</v>
      </c>
      <c r="B261" s="1">
        <v>40664</v>
      </c>
      <c r="C261">
        <v>280244</v>
      </c>
      <c r="D261">
        <v>1762890974623.96</v>
      </c>
      <c r="E261">
        <v>39.868883190682098</v>
      </c>
      <c r="I261" s="3">
        <v>42186</v>
      </c>
      <c r="J261" s="5">
        <v>41.237016315499503</v>
      </c>
      <c r="Y261" t="s">
        <v>16</v>
      </c>
      <c r="Z261" s="1">
        <v>40695</v>
      </c>
      <c r="AA261">
        <v>560</v>
      </c>
      <c r="AB261">
        <v>7337956247.75</v>
      </c>
      <c r="AC261">
        <v>2.5274160206283098</v>
      </c>
      <c r="AE261" s="3">
        <v>42309</v>
      </c>
      <c r="AF261" s="5">
        <v>39.3520755091468</v>
      </c>
    </row>
    <row r="262" spans="1:32" x14ac:dyDescent="0.25">
      <c r="A262" t="s">
        <v>8</v>
      </c>
      <c r="B262" s="1">
        <v>40664</v>
      </c>
      <c r="C262">
        <v>350</v>
      </c>
      <c r="D262">
        <v>5479584254.1499996</v>
      </c>
      <c r="E262">
        <v>5.2582877472482696</v>
      </c>
      <c r="I262" s="3">
        <v>42217</v>
      </c>
      <c r="J262" s="5">
        <v>41.238030389460498</v>
      </c>
      <c r="Y262" t="s">
        <v>14</v>
      </c>
      <c r="Z262" s="1">
        <v>40725</v>
      </c>
      <c r="AA262">
        <v>164963</v>
      </c>
      <c r="AB262">
        <v>1157445015074.0801</v>
      </c>
      <c r="AC262">
        <v>23.763676273901901</v>
      </c>
      <c r="AE262" s="3">
        <v>42339</v>
      </c>
      <c r="AF262" s="5">
        <v>39.505816291523601</v>
      </c>
    </row>
    <row r="263" spans="1:32" x14ac:dyDescent="0.25">
      <c r="A263" t="s">
        <v>7</v>
      </c>
      <c r="B263" s="1">
        <v>40695</v>
      </c>
      <c r="C263">
        <v>1174</v>
      </c>
      <c r="D263">
        <v>56713020697.900002</v>
      </c>
      <c r="E263">
        <v>49.642434123971697</v>
      </c>
      <c r="I263" s="3">
        <v>42248</v>
      </c>
      <c r="J263" s="5">
        <v>41.222075065960802</v>
      </c>
      <c r="Y263" t="s">
        <v>15</v>
      </c>
      <c r="Z263" s="1">
        <v>40725</v>
      </c>
      <c r="AA263">
        <v>269</v>
      </c>
      <c r="AB263">
        <v>5049498835.8699999</v>
      </c>
      <c r="AC263">
        <v>55.076928194725397</v>
      </c>
      <c r="AE263" s="3">
        <v>42370</v>
      </c>
      <c r="AF263" s="5">
        <v>39.655064582689398</v>
      </c>
    </row>
    <row r="264" spans="1:32" x14ac:dyDescent="0.25">
      <c r="A264" t="s">
        <v>5</v>
      </c>
      <c r="B264" s="1">
        <v>40695</v>
      </c>
      <c r="C264">
        <v>280629</v>
      </c>
      <c r="D264">
        <v>1756163628422.04</v>
      </c>
      <c r="E264">
        <v>39.842779660213097</v>
      </c>
      <c r="I264" s="3">
        <v>42278</v>
      </c>
      <c r="J264" s="5">
        <v>41.196666288365599</v>
      </c>
      <c r="Y264" t="s">
        <v>16</v>
      </c>
      <c r="Z264" s="1">
        <v>40725</v>
      </c>
      <c r="AA264">
        <v>593</v>
      </c>
      <c r="AB264">
        <v>7947724964.54</v>
      </c>
      <c r="AC264">
        <v>2.5346904686353402</v>
      </c>
      <c r="AE264" s="3">
        <v>42401</v>
      </c>
      <c r="AF264" s="5">
        <v>39.711005092275201</v>
      </c>
    </row>
    <row r="265" spans="1:32" x14ac:dyDescent="0.25">
      <c r="A265" t="s">
        <v>8</v>
      </c>
      <c r="B265" s="1">
        <v>40695</v>
      </c>
      <c r="C265">
        <v>376</v>
      </c>
      <c r="D265">
        <v>5898298960.6400003</v>
      </c>
      <c r="E265">
        <v>5.2399709585231697</v>
      </c>
      <c r="I265" s="3">
        <v>42309</v>
      </c>
      <c r="J265" s="5">
        <v>41.224075048833598</v>
      </c>
      <c r="Y265" t="s">
        <v>14</v>
      </c>
      <c r="Z265" s="1">
        <v>40756</v>
      </c>
      <c r="AA265">
        <v>165116</v>
      </c>
      <c r="AB265">
        <v>1150165536380.5701</v>
      </c>
      <c r="AC265">
        <v>24.065331755532899</v>
      </c>
      <c r="AE265" s="3">
        <v>42430</v>
      </c>
      <c r="AF265" s="5">
        <v>39.832374855413903</v>
      </c>
    </row>
    <row r="266" spans="1:32" x14ac:dyDescent="0.25">
      <c r="A266" t="s">
        <v>7</v>
      </c>
      <c r="B266" s="1">
        <v>40725</v>
      </c>
      <c r="C266">
        <v>1216</v>
      </c>
      <c r="D266">
        <v>57606973208.239998</v>
      </c>
      <c r="E266">
        <v>49.721706453536598</v>
      </c>
      <c r="I266" s="3">
        <v>42339</v>
      </c>
      <c r="J266" s="5">
        <v>41.183459622241699</v>
      </c>
      <c r="Y266" t="s">
        <v>15</v>
      </c>
      <c r="Z266" s="1">
        <v>40756</v>
      </c>
      <c r="AA266">
        <v>308</v>
      </c>
      <c r="AB266">
        <v>5555396980.3400002</v>
      </c>
      <c r="AC266">
        <v>56.549907569808099</v>
      </c>
      <c r="AE266" s="3">
        <v>42461</v>
      </c>
      <c r="AF266" s="5">
        <v>39.924363335264403</v>
      </c>
    </row>
    <row r="267" spans="1:32" x14ac:dyDescent="0.25">
      <c r="A267" t="s">
        <v>5</v>
      </c>
      <c r="B267" s="1">
        <v>40725</v>
      </c>
      <c r="C267">
        <v>281075</v>
      </c>
      <c r="D267">
        <v>1752854091034.3601</v>
      </c>
      <c r="E267">
        <v>39.846028091711901</v>
      </c>
      <c r="I267" s="3">
        <v>42370</v>
      </c>
      <c r="J267" s="5">
        <v>41.201769030992999</v>
      </c>
      <c r="Y267" t="s">
        <v>16</v>
      </c>
      <c r="Z267" s="1">
        <v>40756</v>
      </c>
      <c r="AA267">
        <v>626</v>
      </c>
      <c r="AB267">
        <v>8459759606.9799995</v>
      </c>
      <c r="AC267">
        <v>2.6372220630216199</v>
      </c>
      <c r="AE267" s="3">
        <v>42491</v>
      </c>
      <c r="AF267" s="5">
        <v>40.025254623885999</v>
      </c>
    </row>
    <row r="268" spans="1:32" x14ac:dyDescent="0.25">
      <c r="A268" t="s">
        <v>8</v>
      </c>
      <c r="B268" s="1">
        <v>40725</v>
      </c>
      <c r="C268">
        <v>398</v>
      </c>
      <c r="D268">
        <v>6434083171.8299999</v>
      </c>
      <c r="E268">
        <v>5.2171823969583704</v>
      </c>
      <c r="I268" s="3">
        <v>42401</v>
      </c>
      <c r="J268" s="5">
        <v>41.163498059336497</v>
      </c>
      <c r="Y268" t="s">
        <v>14</v>
      </c>
      <c r="Z268" s="1">
        <v>40787</v>
      </c>
      <c r="AA268">
        <v>165297</v>
      </c>
      <c r="AB268">
        <v>1145704754479.45</v>
      </c>
      <c r="AC268">
        <v>24.502639223388201</v>
      </c>
      <c r="AE268" s="3">
        <v>42522</v>
      </c>
      <c r="AF268" s="5">
        <v>40.140372872434298</v>
      </c>
    </row>
    <row r="269" spans="1:32" x14ac:dyDescent="0.25">
      <c r="A269" t="s">
        <v>7</v>
      </c>
      <c r="B269" s="1">
        <v>40756</v>
      </c>
      <c r="C269">
        <v>1268</v>
      </c>
      <c r="D269">
        <v>58408841241.650002</v>
      </c>
      <c r="E269">
        <v>49.861046433100903</v>
      </c>
      <c r="I269" s="3">
        <v>42430</v>
      </c>
      <c r="J269" s="5">
        <v>41.126233586787698</v>
      </c>
      <c r="Y269" t="s">
        <v>15</v>
      </c>
      <c r="Z269" s="1">
        <v>40787</v>
      </c>
      <c r="AA269">
        <v>347</v>
      </c>
      <c r="AB269">
        <v>6013908013.3299999</v>
      </c>
      <c r="AC269">
        <v>57.958646719348103</v>
      </c>
      <c r="AE269" s="3">
        <v>42552</v>
      </c>
      <c r="AF269" s="5">
        <v>40.220795228503803</v>
      </c>
    </row>
    <row r="270" spans="1:32" x14ac:dyDescent="0.25">
      <c r="A270" t="s">
        <v>5</v>
      </c>
      <c r="B270" s="1">
        <v>40756</v>
      </c>
      <c r="C270">
        <v>281434</v>
      </c>
      <c r="D270">
        <v>1742063298538.3899</v>
      </c>
      <c r="E270">
        <v>39.828650274536301</v>
      </c>
      <c r="I270" s="3">
        <v>42461</v>
      </c>
      <c r="J270" s="5">
        <v>41.105025345408002</v>
      </c>
      <c r="Y270" t="s">
        <v>16</v>
      </c>
      <c r="Z270" s="1">
        <v>40787</v>
      </c>
      <c r="AA270">
        <v>659</v>
      </c>
      <c r="AB270">
        <v>9001686735.1800003</v>
      </c>
      <c r="AC270">
        <v>2.5734195524271</v>
      </c>
      <c r="AE270" s="3">
        <v>42583</v>
      </c>
      <c r="AF270" s="5">
        <v>40.306679420853897</v>
      </c>
    </row>
    <row r="271" spans="1:32" x14ac:dyDescent="0.25">
      <c r="A271" t="s">
        <v>8</v>
      </c>
      <c r="B271" s="1">
        <v>40756</v>
      </c>
      <c r="C271">
        <v>417</v>
      </c>
      <c r="D271">
        <v>6872090576.5200005</v>
      </c>
      <c r="E271">
        <v>5.0666601659250903</v>
      </c>
      <c r="I271" s="3">
        <v>42491</v>
      </c>
      <c r="J271" s="5">
        <v>41.094582078711802</v>
      </c>
      <c r="Y271" t="s">
        <v>14</v>
      </c>
      <c r="Z271" s="1">
        <v>40817</v>
      </c>
      <c r="AA271">
        <v>165496</v>
      </c>
      <c r="AB271">
        <v>1139539896703.1399</v>
      </c>
      <c r="AC271">
        <v>24.9145303487809</v>
      </c>
      <c r="AE271" s="3">
        <v>42614</v>
      </c>
      <c r="AF271" s="5">
        <v>40.400721206264201</v>
      </c>
    </row>
    <row r="272" spans="1:32" x14ac:dyDescent="0.25">
      <c r="A272" t="s">
        <v>7</v>
      </c>
      <c r="B272" s="1">
        <v>40787</v>
      </c>
      <c r="C272">
        <v>1327</v>
      </c>
      <c r="D272">
        <v>59412547411.709999</v>
      </c>
      <c r="E272">
        <v>50.041602938675602</v>
      </c>
      <c r="I272" s="3">
        <v>42522</v>
      </c>
      <c r="J272" s="5">
        <v>41.0717891340907</v>
      </c>
      <c r="Y272" t="s">
        <v>15</v>
      </c>
      <c r="Z272" s="1">
        <v>40817</v>
      </c>
      <c r="AA272">
        <v>375</v>
      </c>
      <c r="AB272">
        <v>6542546587.2600002</v>
      </c>
      <c r="AC272">
        <v>59.179239761227102</v>
      </c>
      <c r="AE272" s="3">
        <v>42644</v>
      </c>
      <c r="AF272" s="5">
        <v>40.515114373303298</v>
      </c>
    </row>
    <row r="273" spans="1:32" x14ac:dyDescent="0.25">
      <c r="A273" t="s">
        <v>5</v>
      </c>
      <c r="B273" s="1">
        <v>40787</v>
      </c>
      <c r="C273">
        <v>281942</v>
      </c>
      <c r="D273">
        <v>1736000312551.3601</v>
      </c>
      <c r="E273">
        <v>39.785668611666999</v>
      </c>
      <c r="I273" s="3">
        <v>42552</v>
      </c>
      <c r="J273" s="5">
        <v>41.052868699273198</v>
      </c>
      <c r="Y273" t="s">
        <v>16</v>
      </c>
      <c r="Z273" s="1">
        <v>40817</v>
      </c>
      <c r="AA273">
        <v>691</v>
      </c>
      <c r="AB273">
        <v>9553441938.6800003</v>
      </c>
      <c r="AC273">
        <v>2.55694212452351</v>
      </c>
      <c r="AE273" s="3" t="s">
        <v>11</v>
      </c>
      <c r="AF273" s="5">
        <v>2628.5605067242791</v>
      </c>
    </row>
    <row r="274" spans="1:32" x14ac:dyDescent="0.25">
      <c r="A274" t="s">
        <v>8</v>
      </c>
      <c r="B274" s="1">
        <v>40787</v>
      </c>
      <c r="C274">
        <v>437</v>
      </c>
      <c r="D274">
        <v>7393854531.21</v>
      </c>
      <c r="E274">
        <v>4.8753149695735098</v>
      </c>
      <c r="I274" s="3">
        <v>42583</v>
      </c>
      <c r="J274" s="5">
        <v>40.893643366204998</v>
      </c>
      <c r="Y274" t="s">
        <v>14</v>
      </c>
      <c r="Z274" s="1">
        <v>40848</v>
      </c>
      <c r="AA274">
        <v>165673</v>
      </c>
      <c r="AB274">
        <v>1128758317047.3601</v>
      </c>
      <c r="AC274">
        <v>25.222662959882602</v>
      </c>
    </row>
    <row r="275" spans="1:32" x14ac:dyDescent="0.25">
      <c r="A275" t="s">
        <v>7</v>
      </c>
      <c r="B275" s="1">
        <v>40817</v>
      </c>
      <c r="C275">
        <v>1392</v>
      </c>
      <c r="D275">
        <v>60879463797.669998</v>
      </c>
      <c r="E275">
        <v>49.732673803789197</v>
      </c>
      <c r="I275" s="3">
        <v>42614</v>
      </c>
      <c r="J275" s="5">
        <v>40.790713645569099</v>
      </c>
      <c r="Y275" t="s">
        <v>15</v>
      </c>
      <c r="Z275" s="1">
        <v>40848</v>
      </c>
      <c r="AA275">
        <v>420</v>
      </c>
      <c r="AB275">
        <v>7247325924.1400003</v>
      </c>
      <c r="AC275">
        <v>62.799709751777002</v>
      </c>
    </row>
    <row r="276" spans="1:32" x14ac:dyDescent="0.25">
      <c r="A276" t="s">
        <v>5</v>
      </c>
      <c r="B276" s="1">
        <v>40817</v>
      </c>
      <c r="C276">
        <v>282590</v>
      </c>
      <c r="D276">
        <v>1730062143723.8999</v>
      </c>
      <c r="E276">
        <v>39.788947653144497</v>
      </c>
      <c r="I276" s="3">
        <v>42644</v>
      </c>
      <c r="J276" s="5">
        <v>40.739078467885001</v>
      </c>
      <c r="Y276" t="s">
        <v>16</v>
      </c>
      <c r="Z276" s="1">
        <v>40848</v>
      </c>
      <c r="AA276">
        <v>724</v>
      </c>
      <c r="AB276">
        <v>10014880248.950001</v>
      </c>
      <c r="AC276">
        <v>2.5191444844121902</v>
      </c>
    </row>
    <row r="277" spans="1:32" x14ac:dyDescent="0.25">
      <c r="A277" t="s">
        <v>8</v>
      </c>
      <c r="B277" s="1">
        <v>40817</v>
      </c>
      <c r="C277">
        <v>461</v>
      </c>
      <c r="D277">
        <v>7990816564.1599998</v>
      </c>
      <c r="E277">
        <v>4.8266331897788497</v>
      </c>
      <c r="I277" s="4" t="s">
        <v>11</v>
      </c>
      <c r="J277" s="5">
        <v>8750.9332516761224</v>
      </c>
      <c r="Y277" t="s">
        <v>14</v>
      </c>
      <c r="Z277" s="1">
        <v>40878</v>
      </c>
      <c r="AA277">
        <v>165738</v>
      </c>
      <c r="AB277">
        <v>1112728336442.3301</v>
      </c>
      <c r="AC277">
        <v>25.4991922656105</v>
      </c>
    </row>
    <row r="278" spans="1:32" x14ac:dyDescent="0.25">
      <c r="A278" t="s">
        <v>7</v>
      </c>
      <c r="B278" s="1">
        <v>40848</v>
      </c>
      <c r="C278">
        <v>1471</v>
      </c>
      <c r="D278">
        <v>61528554510.57</v>
      </c>
      <c r="E278">
        <v>50.029850511206497</v>
      </c>
      <c r="Y278" t="s">
        <v>15</v>
      </c>
      <c r="Z278" s="1">
        <v>40878</v>
      </c>
      <c r="AA278">
        <v>454</v>
      </c>
      <c r="AB278">
        <v>7904105803.1999998</v>
      </c>
      <c r="AC278">
        <v>64.511858036630699</v>
      </c>
    </row>
    <row r="279" spans="1:32" x14ac:dyDescent="0.25">
      <c r="A279" t="s">
        <v>5</v>
      </c>
      <c r="B279" s="1">
        <v>40848</v>
      </c>
      <c r="C279">
        <v>283012</v>
      </c>
      <c r="D279">
        <v>1716111353814.28</v>
      </c>
      <c r="E279">
        <v>39.818997803828701</v>
      </c>
      <c r="Y279" t="s">
        <v>16</v>
      </c>
      <c r="Z279" s="1">
        <v>40878</v>
      </c>
      <c r="AA279">
        <v>767</v>
      </c>
      <c r="AB279">
        <v>10531876819.25</v>
      </c>
      <c r="AC279">
        <v>2.3266918204071101</v>
      </c>
    </row>
    <row r="280" spans="1:32" x14ac:dyDescent="0.25">
      <c r="A280" t="s">
        <v>8</v>
      </c>
      <c r="B280" s="1">
        <v>40848</v>
      </c>
      <c r="C280">
        <v>487</v>
      </c>
      <c r="D280">
        <v>8517165199.3299999</v>
      </c>
      <c r="E280">
        <v>4.8060863923828796</v>
      </c>
      <c r="Y280" t="s">
        <v>14</v>
      </c>
      <c r="Z280" s="1">
        <v>40909</v>
      </c>
      <c r="AA280">
        <v>165766</v>
      </c>
      <c r="AB280">
        <v>1093080187579.58</v>
      </c>
      <c r="AC280">
        <v>25.673080292163899</v>
      </c>
    </row>
    <row r="281" spans="1:32" x14ac:dyDescent="0.25">
      <c r="A281" t="s">
        <v>7</v>
      </c>
      <c r="B281" s="1">
        <v>40878</v>
      </c>
      <c r="C281">
        <v>1523</v>
      </c>
      <c r="D281">
        <v>63432840444.580002</v>
      </c>
      <c r="E281">
        <v>51.283897085241797</v>
      </c>
      <c r="Y281" t="s">
        <v>15</v>
      </c>
      <c r="Z281" s="1">
        <v>40909</v>
      </c>
      <c r="AA281">
        <v>477</v>
      </c>
      <c r="AB281">
        <v>8280081942.8999996</v>
      </c>
      <c r="AC281">
        <v>65.387027712652198</v>
      </c>
    </row>
    <row r="282" spans="1:32" x14ac:dyDescent="0.25">
      <c r="A282" t="s">
        <v>5</v>
      </c>
      <c r="B282" s="1">
        <v>40878</v>
      </c>
      <c r="C282">
        <v>283516</v>
      </c>
      <c r="D282">
        <v>1704192012667.5601</v>
      </c>
      <c r="E282">
        <v>39.885672792783303</v>
      </c>
      <c r="Y282" t="s">
        <v>16</v>
      </c>
      <c r="Z282" s="1">
        <v>40909</v>
      </c>
      <c r="AA282">
        <v>787</v>
      </c>
      <c r="AB282">
        <v>10704727601.450001</v>
      </c>
      <c r="AC282">
        <v>2.34208967565871</v>
      </c>
    </row>
    <row r="283" spans="1:32" x14ac:dyDescent="0.25">
      <c r="A283" t="s">
        <v>8</v>
      </c>
      <c r="B283" s="1">
        <v>40878</v>
      </c>
      <c r="C283">
        <v>514</v>
      </c>
      <c r="D283">
        <v>9074021450.3299999</v>
      </c>
      <c r="E283">
        <v>4.7788658709087599</v>
      </c>
      <c r="Y283" t="s">
        <v>14</v>
      </c>
      <c r="Z283" s="1">
        <v>40940</v>
      </c>
      <c r="AA283">
        <v>165773</v>
      </c>
      <c r="AB283">
        <v>1081410722063.79</v>
      </c>
      <c r="AC283">
        <v>25.9723034709289</v>
      </c>
    </row>
    <row r="284" spans="1:32" x14ac:dyDescent="0.25">
      <c r="A284" t="s">
        <v>7</v>
      </c>
      <c r="B284" s="1">
        <v>40909</v>
      </c>
      <c r="C284">
        <v>1561</v>
      </c>
      <c r="D284">
        <v>63431287348.879997</v>
      </c>
      <c r="E284">
        <v>51.692811853623098</v>
      </c>
      <c r="Y284" t="s">
        <v>15</v>
      </c>
      <c r="Z284" s="1">
        <v>40940</v>
      </c>
      <c r="AA284">
        <v>506</v>
      </c>
      <c r="AB284">
        <v>9177240853.75</v>
      </c>
      <c r="AC284">
        <v>65.765436935757407</v>
      </c>
    </row>
    <row r="285" spans="1:32" x14ac:dyDescent="0.25">
      <c r="A285" t="s">
        <v>5</v>
      </c>
      <c r="B285" s="1">
        <v>40909</v>
      </c>
      <c r="C285">
        <v>284179</v>
      </c>
      <c r="D285">
        <v>1704718198742.55</v>
      </c>
      <c r="E285">
        <v>40.227181856095598</v>
      </c>
      <c r="Y285" t="s">
        <v>16</v>
      </c>
      <c r="Z285" s="1">
        <v>40940</v>
      </c>
      <c r="AA285">
        <v>834</v>
      </c>
      <c r="AB285">
        <v>11647194164.32</v>
      </c>
      <c r="AC285">
        <v>2.48199192075626</v>
      </c>
    </row>
    <row r="286" spans="1:32" x14ac:dyDescent="0.25">
      <c r="A286" t="s">
        <v>8</v>
      </c>
      <c r="B286" s="1">
        <v>40909</v>
      </c>
      <c r="C286">
        <v>537</v>
      </c>
      <c r="D286">
        <v>9400322582.2900009</v>
      </c>
      <c r="E286">
        <v>5.0314139348250704</v>
      </c>
      <c r="Y286" t="s">
        <v>14</v>
      </c>
      <c r="Z286" s="1">
        <v>40969</v>
      </c>
      <c r="AA286">
        <v>165846</v>
      </c>
      <c r="AB286">
        <v>1078176456162.38</v>
      </c>
      <c r="AC286">
        <v>26.383854959035698</v>
      </c>
    </row>
    <row r="287" spans="1:32" x14ac:dyDescent="0.25">
      <c r="A287" t="s">
        <v>7</v>
      </c>
      <c r="B287" s="1">
        <v>40940</v>
      </c>
      <c r="C287">
        <v>1581</v>
      </c>
      <c r="D287">
        <v>63028905485.379997</v>
      </c>
      <c r="E287">
        <v>51.629772588459502</v>
      </c>
      <c r="Y287" t="s">
        <v>15</v>
      </c>
      <c r="Z287" s="1">
        <v>40969</v>
      </c>
      <c r="AA287">
        <v>540</v>
      </c>
      <c r="AB287">
        <v>9860695193.4599991</v>
      </c>
      <c r="AC287">
        <v>66.390389264456203</v>
      </c>
    </row>
    <row r="288" spans="1:32" x14ac:dyDescent="0.25">
      <c r="A288" t="s">
        <v>5</v>
      </c>
      <c r="B288" s="1">
        <v>40940</v>
      </c>
      <c r="C288">
        <v>284757</v>
      </c>
      <c r="D288">
        <v>1695810438281.72</v>
      </c>
      <c r="E288">
        <v>40.271115027053099</v>
      </c>
      <c r="Y288" t="s">
        <v>16</v>
      </c>
      <c r="Z288" s="1">
        <v>40969</v>
      </c>
      <c r="AA288">
        <v>875</v>
      </c>
      <c r="AB288">
        <v>12353958514.68</v>
      </c>
      <c r="AC288">
        <v>2.4437632025687499</v>
      </c>
    </row>
    <row r="289" spans="1:29" x14ac:dyDescent="0.25">
      <c r="A289" t="s">
        <v>8</v>
      </c>
      <c r="B289" s="1">
        <v>40940</v>
      </c>
      <c r="C289">
        <v>563</v>
      </c>
      <c r="D289">
        <v>10323435733.66</v>
      </c>
      <c r="E289">
        <v>5.2682738615772804</v>
      </c>
      <c r="Y289" t="s">
        <v>14</v>
      </c>
      <c r="Z289" s="1">
        <v>41000</v>
      </c>
      <c r="AA289">
        <v>166147</v>
      </c>
      <c r="AB289">
        <v>1067086710288.16</v>
      </c>
      <c r="AC289">
        <v>26.661342440716201</v>
      </c>
    </row>
    <row r="290" spans="1:29" x14ac:dyDescent="0.25">
      <c r="A290" t="s">
        <v>7</v>
      </c>
      <c r="B290" s="1">
        <v>40969</v>
      </c>
      <c r="C290">
        <v>1608</v>
      </c>
      <c r="D290">
        <v>62701545672.050003</v>
      </c>
      <c r="E290">
        <v>51.527151557301003</v>
      </c>
      <c r="Y290" t="s">
        <v>15</v>
      </c>
      <c r="Z290" s="1">
        <v>41000</v>
      </c>
      <c r="AA290">
        <v>588</v>
      </c>
      <c r="AB290">
        <v>10790895341.790001</v>
      </c>
      <c r="AC290">
        <v>66.470004455685697</v>
      </c>
    </row>
    <row r="291" spans="1:29" x14ac:dyDescent="0.25">
      <c r="A291" t="s">
        <v>5</v>
      </c>
      <c r="B291" s="1">
        <v>40969</v>
      </c>
      <c r="C291">
        <v>285377</v>
      </c>
      <c r="D291">
        <v>1691373410963.1499</v>
      </c>
      <c r="E291">
        <v>40.321817263505601</v>
      </c>
      <c r="Y291" t="s">
        <v>16</v>
      </c>
      <c r="Z291" s="1">
        <v>41000</v>
      </c>
      <c r="AA291">
        <v>946</v>
      </c>
      <c r="AB291">
        <v>13940030057.889999</v>
      </c>
      <c r="AC291">
        <v>2.2616989896657</v>
      </c>
    </row>
    <row r="292" spans="1:29" x14ac:dyDescent="0.25">
      <c r="A292" t="s">
        <v>8</v>
      </c>
      <c r="B292" s="1">
        <v>40969</v>
      </c>
      <c r="C292">
        <v>596</v>
      </c>
      <c r="D292">
        <v>11215689816.950001</v>
      </c>
      <c r="E292">
        <v>5.3326676328561096</v>
      </c>
      <c r="Y292" t="s">
        <v>14</v>
      </c>
      <c r="Z292" s="1">
        <v>41030</v>
      </c>
      <c r="AA292">
        <v>166315</v>
      </c>
      <c r="AB292">
        <v>1052985823369.1899</v>
      </c>
      <c r="AC292">
        <v>26.7705984301396</v>
      </c>
    </row>
    <row r="293" spans="1:29" x14ac:dyDescent="0.25">
      <c r="A293" t="s">
        <v>7</v>
      </c>
      <c r="B293" s="1">
        <v>41000</v>
      </c>
      <c r="C293">
        <v>1644</v>
      </c>
      <c r="D293">
        <v>62862062606.980003</v>
      </c>
      <c r="E293">
        <v>51.4358770863563</v>
      </c>
      <c r="Y293" t="s">
        <v>15</v>
      </c>
      <c r="Z293" s="1">
        <v>41030</v>
      </c>
      <c r="AA293">
        <v>623</v>
      </c>
      <c r="AB293">
        <v>11097007614.959999</v>
      </c>
      <c r="AC293">
        <v>66.793624612895798</v>
      </c>
    </row>
    <row r="294" spans="1:29" x14ac:dyDescent="0.25">
      <c r="A294" t="s">
        <v>5</v>
      </c>
      <c r="B294" s="1">
        <v>41000</v>
      </c>
      <c r="C294">
        <v>286478</v>
      </c>
      <c r="D294">
        <v>1700883766281.3999</v>
      </c>
      <c r="E294">
        <v>40.567718977334103</v>
      </c>
      <c r="Y294" t="s">
        <v>16</v>
      </c>
      <c r="Z294" s="1">
        <v>41030</v>
      </c>
      <c r="AA294">
        <v>1017</v>
      </c>
      <c r="AB294">
        <v>15124010719.23</v>
      </c>
      <c r="AC294">
        <v>2.2716679672576601</v>
      </c>
    </row>
    <row r="295" spans="1:29" x14ac:dyDescent="0.25">
      <c r="A295" t="s">
        <v>8</v>
      </c>
      <c r="B295" s="1">
        <v>41000</v>
      </c>
      <c r="C295">
        <v>653</v>
      </c>
      <c r="D295">
        <v>12887725448.07</v>
      </c>
      <c r="E295">
        <v>5.3579089002529701</v>
      </c>
      <c r="Y295" t="s">
        <v>14</v>
      </c>
      <c r="Z295" s="1">
        <v>41061</v>
      </c>
      <c r="AA295">
        <v>166481</v>
      </c>
      <c r="AB295">
        <v>1037553728529.5699</v>
      </c>
      <c r="AC295">
        <v>26.951718772658499</v>
      </c>
    </row>
    <row r="296" spans="1:29" x14ac:dyDescent="0.25">
      <c r="A296" t="s">
        <v>7</v>
      </c>
      <c r="B296" s="1">
        <v>41030</v>
      </c>
      <c r="C296">
        <v>1667</v>
      </c>
      <c r="D296">
        <v>61402153038.43</v>
      </c>
      <c r="E296">
        <v>51.782082313721602</v>
      </c>
      <c r="Y296" t="s">
        <v>15</v>
      </c>
      <c r="Z296" s="1">
        <v>41061</v>
      </c>
      <c r="AA296">
        <v>657</v>
      </c>
      <c r="AB296">
        <v>11616731956.02</v>
      </c>
      <c r="AC296">
        <v>66.845222335737901</v>
      </c>
    </row>
    <row r="297" spans="1:29" x14ac:dyDescent="0.25">
      <c r="A297" t="s">
        <v>5</v>
      </c>
      <c r="B297" s="1">
        <v>41030</v>
      </c>
      <c r="C297">
        <v>286960</v>
      </c>
      <c r="D297">
        <v>1686240153711.4299</v>
      </c>
      <c r="E297">
        <v>40.606267948666002</v>
      </c>
      <c r="Y297" t="s">
        <v>16</v>
      </c>
      <c r="Z297" s="1">
        <v>41061</v>
      </c>
      <c r="AA297">
        <v>1083</v>
      </c>
      <c r="AB297">
        <v>16232317795.49</v>
      </c>
      <c r="AC297">
        <v>2.3818149900967902</v>
      </c>
    </row>
    <row r="298" spans="1:29" x14ac:dyDescent="0.25">
      <c r="A298" t="s">
        <v>8</v>
      </c>
      <c r="B298" s="1">
        <v>41030</v>
      </c>
      <c r="C298">
        <v>701</v>
      </c>
      <c r="D298">
        <v>14157505535.01</v>
      </c>
      <c r="E298">
        <v>5.4833946545312999</v>
      </c>
      <c r="Y298" t="s">
        <v>14</v>
      </c>
      <c r="Z298" s="1">
        <v>41091</v>
      </c>
      <c r="AA298">
        <v>166552</v>
      </c>
      <c r="AB298">
        <v>1030696048023.48</v>
      </c>
      <c r="AC298">
        <v>27.535777698287699</v>
      </c>
    </row>
    <row r="299" spans="1:29" x14ac:dyDescent="0.25">
      <c r="A299" t="s">
        <v>7</v>
      </c>
      <c r="B299" s="1">
        <v>41061</v>
      </c>
      <c r="C299">
        <v>1684</v>
      </c>
      <c r="D299">
        <v>61117631921.150002</v>
      </c>
      <c r="E299">
        <v>51.696598905557401</v>
      </c>
      <c r="Y299" t="s">
        <v>15</v>
      </c>
      <c r="Z299" s="1">
        <v>41091</v>
      </c>
      <c r="AA299">
        <v>691</v>
      </c>
      <c r="AB299">
        <v>12319469687.950001</v>
      </c>
      <c r="AC299">
        <v>66.624914933123904</v>
      </c>
    </row>
    <row r="300" spans="1:29" x14ac:dyDescent="0.25">
      <c r="A300" t="s">
        <v>5</v>
      </c>
      <c r="B300" s="1">
        <v>41061</v>
      </c>
      <c r="C300">
        <v>287883</v>
      </c>
      <c r="D300">
        <v>1687594503417.6201</v>
      </c>
      <c r="E300">
        <v>40.753452866155499</v>
      </c>
      <c r="Y300" t="s">
        <v>16</v>
      </c>
      <c r="Z300" s="1">
        <v>41091</v>
      </c>
      <c r="AA300">
        <v>1172</v>
      </c>
      <c r="AB300">
        <v>18410677468.970001</v>
      </c>
      <c r="AC300">
        <v>2.9464447400539902</v>
      </c>
    </row>
    <row r="301" spans="1:29" x14ac:dyDescent="0.25">
      <c r="A301" t="s">
        <v>8</v>
      </c>
      <c r="B301" s="1">
        <v>41061</v>
      </c>
      <c r="C301">
        <v>753</v>
      </c>
      <c r="D301">
        <v>16332228361.5</v>
      </c>
      <c r="E301">
        <v>5.7880248941599701</v>
      </c>
      <c r="Y301" t="s">
        <v>17</v>
      </c>
      <c r="Z301" s="1">
        <v>41091</v>
      </c>
      <c r="AA301">
        <v>127</v>
      </c>
      <c r="AB301">
        <v>6599126495.5600004</v>
      </c>
      <c r="AC301">
        <v>1.3093921486890501</v>
      </c>
    </row>
    <row r="302" spans="1:29" x14ac:dyDescent="0.25">
      <c r="A302" t="s">
        <v>7</v>
      </c>
      <c r="B302" s="1">
        <v>41091</v>
      </c>
      <c r="C302">
        <v>1697</v>
      </c>
      <c r="D302">
        <v>61062774148.769997</v>
      </c>
      <c r="E302">
        <v>51.595189404265199</v>
      </c>
      <c r="Y302" t="s">
        <v>14</v>
      </c>
      <c r="Z302" s="1">
        <v>41122</v>
      </c>
      <c r="AA302">
        <v>166715</v>
      </c>
      <c r="AB302">
        <v>1017753718361.05</v>
      </c>
      <c r="AC302">
        <v>27.775754508834599</v>
      </c>
    </row>
    <row r="303" spans="1:29" x14ac:dyDescent="0.25">
      <c r="A303" t="s">
        <v>5</v>
      </c>
      <c r="B303" s="1">
        <v>41091</v>
      </c>
      <c r="C303">
        <v>288800</v>
      </c>
      <c r="D303">
        <v>1678034216160.9199</v>
      </c>
      <c r="E303">
        <v>40.6884489194209</v>
      </c>
      <c r="Y303" t="s">
        <v>15</v>
      </c>
      <c r="Z303" s="1">
        <v>41122</v>
      </c>
      <c r="AA303">
        <v>712</v>
      </c>
      <c r="AB303">
        <v>12593084313.99</v>
      </c>
      <c r="AC303">
        <v>67.152674933151005</v>
      </c>
    </row>
    <row r="304" spans="1:29" x14ac:dyDescent="0.25">
      <c r="A304" t="s">
        <v>8</v>
      </c>
      <c r="B304" s="1">
        <v>41091</v>
      </c>
      <c r="C304">
        <v>818</v>
      </c>
      <c r="D304">
        <v>18926538940.299999</v>
      </c>
      <c r="E304">
        <v>6.4041408435462301</v>
      </c>
      <c r="Y304" t="s">
        <v>16</v>
      </c>
      <c r="Z304" s="1">
        <v>41122</v>
      </c>
      <c r="AA304">
        <v>1275</v>
      </c>
      <c r="AB304">
        <v>20102928824.52</v>
      </c>
      <c r="AC304">
        <v>3.39988523283031</v>
      </c>
    </row>
    <row r="305" spans="1:29" x14ac:dyDescent="0.25">
      <c r="A305" t="s">
        <v>9</v>
      </c>
      <c r="B305" s="1">
        <v>41091</v>
      </c>
      <c r="C305">
        <v>91</v>
      </c>
      <c r="D305">
        <v>5555695171.1300001</v>
      </c>
      <c r="E305">
        <v>1.96488164685293</v>
      </c>
      <c r="Y305" t="s">
        <v>17</v>
      </c>
      <c r="Z305" s="1">
        <v>41122</v>
      </c>
      <c r="AA305">
        <v>218</v>
      </c>
      <c r="AB305">
        <v>8799458195.2600002</v>
      </c>
      <c r="AC305">
        <v>2.1179819024251199</v>
      </c>
    </row>
    <row r="306" spans="1:29" x14ac:dyDescent="0.25">
      <c r="A306" t="s">
        <v>7</v>
      </c>
      <c r="B306" s="1">
        <v>41122</v>
      </c>
      <c r="C306">
        <v>1720</v>
      </c>
      <c r="D306">
        <v>61530216630.559998</v>
      </c>
      <c r="E306">
        <v>51.537304012651198</v>
      </c>
      <c r="Y306" t="s">
        <v>14</v>
      </c>
      <c r="Z306" s="1">
        <v>41153</v>
      </c>
      <c r="AA306">
        <v>166950</v>
      </c>
      <c r="AB306">
        <v>1009008459381.01</v>
      </c>
      <c r="AC306">
        <v>28.089733458886801</v>
      </c>
    </row>
    <row r="307" spans="1:29" x14ac:dyDescent="0.25">
      <c r="A307" t="s">
        <v>5</v>
      </c>
      <c r="B307" s="1">
        <v>41122</v>
      </c>
      <c r="C307">
        <v>289667</v>
      </c>
      <c r="D307">
        <v>1673253636966.7</v>
      </c>
      <c r="E307">
        <v>40.711988822909497</v>
      </c>
      <c r="Y307" t="s">
        <v>15</v>
      </c>
      <c r="Z307" s="1">
        <v>41153</v>
      </c>
      <c r="AA307">
        <v>739</v>
      </c>
      <c r="AB307">
        <v>12913045386.299999</v>
      </c>
      <c r="AC307">
        <v>67.100420711202801</v>
      </c>
    </row>
    <row r="308" spans="1:29" x14ac:dyDescent="0.25">
      <c r="A308" t="s">
        <v>8</v>
      </c>
      <c r="B308" s="1">
        <v>41122</v>
      </c>
      <c r="C308">
        <v>877</v>
      </c>
      <c r="D308">
        <v>21611125130.189999</v>
      </c>
      <c r="E308">
        <v>7.5643304815854098</v>
      </c>
      <c r="Y308" t="s">
        <v>16</v>
      </c>
      <c r="Z308" s="1">
        <v>41153</v>
      </c>
      <c r="AA308">
        <v>1363</v>
      </c>
      <c r="AB308">
        <v>21601411805.599998</v>
      </c>
      <c r="AC308">
        <v>3.6985790837783998</v>
      </c>
    </row>
    <row r="309" spans="1:29" x14ac:dyDescent="0.25">
      <c r="A309" t="s">
        <v>9</v>
      </c>
      <c r="B309" s="1">
        <v>41122</v>
      </c>
      <c r="C309">
        <v>156</v>
      </c>
      <c r="D309">
        <v>8754398274.3899994</v>
      </c>
      <c r="E309">
        <v>4.0578836498131601</v>
      </c>
      <c r="Y309" t="s">
        <v>17</v>
      </c>
      <c r="Z309" s="1">
        <v>41153</v>
      </c>
      <c r="AA309">
        <v>315</v>
      </c>
      <c r="AB309">
        <v>10777885227.879999</v>
      </c>
      <c r="AC309">
        <v>2.6978660979098401</v>
      </c>
    </row>
    <row r="310" spans="1:29" x14ac:dyDescent="0.25">
      <c r="A310" t="s">
        <v>7</v>
      </c>
      <c r="B310" s="1">
        <v>41153</v>
      </c>
      <c r="C310">
        <v>1748</v>
      </c>
      <c r="D310">
        <v>61794453574.470001</v>
      </c>
      <c r="E310">
        <v>51.570867536532901</v>
      </c>
      <c r="Y310" t="s">
        <v>14</v>
      </c>
      <c r="Z310" s="1">
        <v>41183</v>
      </c>
      <c r="AA310">
        <v>167134</v>
      </c>
      <c r="AB310">
        <v>993395215390.30005</v>
      </c>
      <c r="AC310">
        <v>28.307327246342101</v>
      </c>
    </row>
    <row r="311" spans="1:29" x14ac:dyDescent="0.25">
      <c r="A311" t="s">
        <v>5</v>
      </c>
      <c r="B311" s="1">
        <v>41153</v>
      </c>
      <c r="C311">
        <v>290751</v>
      </c>
      <c r="D311">
        <v>1668901981848.5</v>
      </c>
      <c r="E311">
        <v>40.703129365906896</v>
      </c>
      <c r="Y311" t="s">
        <v>15</v>
      </c>
      <c r="Z311" s="1">
        <v>41183</v>
      </c>
      <c r="AA311">
        <v>773</v>
      </c>
      <c r="AB311">
        <v>13621608844.34</v>
      </c>
      <c r="AC311">
        <v>68.695845825531904</v>
      </c>
    </row>
    <row r="312" spans="1:29" x14ac:dyDescent="0.25">
      <c r="A312" t="s">
        <v>8</v>
      </c>
      <c r="B312" s="1">
        <v>41153</v>
      </c>
      <c r="C312">
        <v>932</v>
      </c>
      <c r="D312">
        <v>24194119358.029999</v>
      </c>
      <c r="E312">
        <v>8.1022630068049608</v>
      </c>
      <c r="Y312" t="s">
        <v>16</v>
      </c>
      <c r="Z312" s="1">
        <v>41183</v>
      </c>
      <c r="AA312">
        <v>1462</v>
      </c>
      <c r="AB312">
        <v>23066669892.529999</v>
      </c>
      <c r="AC312">
        <v>3.8994784843656598</v>
      </c>
    </row>
    <row r="313" spans="1:29" x14ac:dyDescent="0.25">
      <c r="A313" t="s">
        <v>9</v>
      </c>
      <c r="B313" s="1">
        <v>41153</v>
      </c>
      <c r="C313">
        <v>210</v>
      </c>
      <c r="D313">
        <v>12053254300.4</v>
      </c>
      <c r="E313">
        <v>4.55259411111183</v>
      </c>
      <c r="Y313" t="s">
        <v>17</v>
      </c>
      <c r="Z313" s="1">
        <v>41183</v>
      </c>
      <c r="AA313">
        <v>415</v>
      </c>
      <c r="AB313">
        <v>12488997687</v>
      </c>
      <c r="AC313">
        <v>3.0863533658912599</v>
      </c>
    </row>
    <row r="314" spans="1:29" x14ac:dyDescent="0.25">
      <c r="A314" t="s">
        <v>7</v>
      </c>
      <c r="B314" s="1">
        <v>41183</v>
      </c>
      <c r="C314">
        <v>1779</v>
      </c>
      <c r="D314">
        <v>61518645943.379997</v>
      </c>
      <c r="E314">
        <v>51.808485521638701</v>
      </c>
      <c r="Y314" t="s">
        <v>14</v>
      </c>
      <c r="Z314" s="1">
        <v>41214</v>
      </c>
      <c r="AA314">
        <v>167513</v>
      </c>
      <c r="AB314">
        <v>988480773477.10999</v>
      </c>
      <c r="AC314">
        <v>28.894908824380099</v>
      </c>
    </row>
    <row r="315" spans="1:29" x14ac:dyDescent="0.25">
      <c r="A315" t="s">
        <v>5</v>
      </c>
      <c r="B315" s="1">
        <v>41183</v>
      </c>
      <c r="C315">
        <v>292008</v>
      </c>
      <c r="D315">
        <v>1663516641773.1899</v>
      </c>
      <c r="E315">
        <v>40.711164580375701</v>
      </c>
      <c r="Y315" t="s">
        <v>15</v>
      </c>
      <c r="Z315" s="1">
        <v>41214</v>
      </c>
      <c r="AA315">
        <v>804</v>
      </c>
      <c r="AB315">
        <v>14812827435.530001</v>
      </c>
      <c r="AC315">
        <v>68.779355547754406</v>
      </c>
    </row>
    <row r="316" spans="1:29" x14ac:dyDescent="0.25">
      <c r="A316" t="s">
        <v>8</v>
      </c>
      <c r="B316" s="1">
        <v>41183</v>
      </c>
      <c r="C316">
        <v>993</v>
      </c>
      <c r="D316">
        <v>26597645245.860001</v>
      </c>
      <c r="E316">
        <v>8.7442769372158509</v>
      </c>
      <c r="Y316" t="s">
        <v>16</v>
      </c>
      <c r="Z316" s="1">
        <v>41214</v>
      </c>
      <c r="AA316">
        <v>1557</v>
      </c>
      <c r="AB316">
        <v>24335750350.360001</v>
      </c>
      <c r="AC316">
        <v>4.3672089918967698</v>
      </c>
    </row>
    <row r="317" spans="1:29" x14ac:dyDescent="0.25">
      <c r="A317" t="s">
        <v>9</v>
      </c>
      <c r="B317" s="1">
        <v>41183</v>
      </c>
      <c r="C317">
        <v>281</v>
      </c>
      <c r="D317">
        <v>15145163161.950001</v>
      </c>
      <c r="E317">
        <v>5.87080797304146</v>
      </c>
      <c r="Y317" t="s">
        <v>17</v>
      </c>
      <c r="Z317" s="1">
        <v>41214</v>
      </c>
      <c r="AA317">
        <v>509</v>
      </c>
      <c r="AB317">
        <v>13991619224.620001</v>
      </c>
      <c r="AC317">
        <v>3.9075069445871602</v>
      </c>
    </row>
    <row r="318" spans="1:29" x14ac:dyDescent="0.25">
      <c r="A318" t="s">
        <v>7</v>
      </c>
      <c r="B318" s="1">
        <v>41214</v>
      </c>
      <c r="C318">
        <v>1797</v>
      </c>
      <c r="D318">
        <v>60741144641.419998</v>
      </c>
      <c r="E318">
        <v>52.054060787439198</v>
      </c>
      <c r="Y318" t="s">
        <v>14</v>
      </c>
      <c r="Z318" s="1">
        <v>41244</v>
      </c>
      <c r="AA318">
        <v>168029</v>
      </c>
      <c r="AB318">
        <v>987833006284.93005</v>
      </c>
      <c r="AC318">
        <v>29.593153524885299</v>
      </c>
    </row>
    <row r="319" spans="1:29" x14ac:dyDescent="0.25">
      <c r="A319" t="s">
        <v>5</v>
      </c>
      <c r="B319" s="1">
        <v>41214</v>
      </c>
      <c r="C319">
        <v>292794</v>
      </c>
      <c r="D319">
        <v>1648405277502.1699</v>
      </c>
      <c r="E319">
        <v>40.6419494731173</v>
      </c>
      <c r="Y319" t="s">
        <v>15</v>
      </c>
      <c r="Z319" s="1">
        <v>41244</v>
      </c>
      <c r="AA319">
        <v>842</v>
      </c>
      <c r="AB319">
        <v>16035308040.73</v>
      </c>
      <c r="AC319">
        <v>69.323984540539797</v>
      </c>
    </row>
    <row r="320" spans="1:29" x14ac:dyDescent="0.25">
      <c r="A320" t="s">
        <v>8</v>
      </c>
      <c r="B320" s="1">
        <v>41214</v>
      </c>
      <c r="C320">
        <v>1047</v>
      </c>
      <c r="D320">
        <v>28293094942.189999</v>
      </c>
      <c r="E320">
        <v>9.0748742316109698</v>
      </c>
      <c r="Y320" t="s">
        <v>16</v>
      </c>
      <c r="Z320" s="1">
        <v>41244</v>
      </c>
      <c r="AA320">
        <v>1683</v>
      </c>
      <c r="AB320">
        <v>26041761003.119999</v>
      </c>
      <c r="AC320">
        <v>4.5778300262121601</v>
      </c>
    </row>
    <row r="321" spans="1:29" x14ac:dyDescent="0.25">
      <c r="A321" t="s">
        <v>9</v>
      </c>
      <c r="B321" s="1">
        <v>41214</v>
      </c>
      <c r="C321">
        <v>339</v>
      </c>
      <c r="D321">
        <v>17141506906.68</v>
      </c>
      <c r="E321">
        <v>6.46676110560756</v>
      </c>
      <c r="Y321" t="s">
        <v>17</v>
      </c>
      <c r="Z321" s="1">
        <v>41244</v>
      </c>
      <c r="AA321">
        <v>623</v>
      </c>
      <c r="AB321">
        <v>15791782055.450001</v>
      </c>
      <c r="AC321">
        <v>4.0585839250179596</v>
      </c>
    </row>
    <row r="322" spans="1:29" x14ac:dyDescent="0.25">
      <c r="A322" t="s">
        <v>7</v>
      </c>
      <c r="B322" s="1">
        <v>41244</v>
      </c>
      <c r="C322">
        <v>1849</v>
      </c>
      <c r="D322">
        <v>61181393447.510002</v>
      </c>
      <c r="E322">
        <v>52.816817243117598</v>
      </c>
      <c r="Y322" t="s">
        <v>14</v>
      </c>
      <c r="Z322" s="1">
        <v>41275</v>
      </c>
      <c r="AA322">
        <v>167997</v>
      </c>
      <c r="AB322">
        <v>972565007892.05005</v>
      </c>
      <c r="AC322">
        <v>29.653140507341899</v>
      </c>
    </row>
    <row r="323" spans="1:29" x14ac:dyDescent="0.25">
      <c r="A323" t="s">
        <v>5</v>
      </c>
      <c r="B323" s="1">
        <v>41244</v>
      </c>
      <c r="C323">
        <v>294272</v>
      </c>
      <c r="D323">
        <v>1656955004649.22</v>
      </c>
      <c r="E323">
        <v>40.825464163524998</v>
      </c>
      <c r="Y323" t="s">
        <v>15</v>
      </c>
      <c r="Z323" s="1">
        <v>41275</v>
      </c>
      <c r="AA323">
        <v>864</v>
      </c>
      <c r="AB323">
        <v>15909947419.549999</v>
      </c>
      <c r="AC323">
        <v>69.219301982433507</v>
      </c>
    </row>
    <row r="324" spans="1:29" x14ac:dyDescent="0.25">
      <c r="A324" t="s">
        <v>8</v>
      </c>
      <c r="B324" s="1">
        <v>41244</v>
      </c>
      <c r="C324">
        <v>1134</v>
      </c>
      <c r="D324">
        <v>31066598637.540001</v>
      </c>
      <c r="E324">
        <v>9.0904008199053603</v>
      </c>
      <c r="Y324" t="s">
        <v>16</v>
      </c>
      <c r="Z324" s="1">
        <v>41275</v>
      </c>
      <c r="AA324">
        <v>1772</v>
      </c>
      <c r="AB324">
        <v>26882479097.080002</v>
      </c>
      <c r="AC324">
        <v>4.8975871161776299</v>
      </c>
    </row>
    <row r="325" spans="1:29" x14ac:dyDescent="0.25">
      <c r="A325" t="s">
        <v>9</v>
      </c>
      <c r="B325" s="1">
        <v>41244</v>
      </c>
      <c r="C325">
        <v>427</v>
      </c>
      <c r="D325">
        <v>20228876583.380001</v>
      </c>
      <c r="E325">
        <v>6.3757849610075601</v>
      </c>
      <c r="Y325" t="s">
        <v>17</v>
      </c>
      <c r="Z325" s="1">
        <v>41275</v>
      </c>
      <c r="AA325">
        <v>707</v>
      </c>
      <c r="AB325">
        <v>16754712174.48</v>
      </c>
      <c r="AC325">
        <v>4.6387874964431299</v>
      </c>
    </row>
    <row r="326" spans="1:29" x14ac:dyDescent="0.25">
      <c r="A326" t="s">
        <v>7</v>
      </c>
      <c r="B326" s="1">
        <v>41275</v>
      </c>
      <c r="C326">
        <v>1864</v>
      </c>
      <c r="D326">
        <v>59324750524.360001</v>
      </c>
      <c r="E326">
        <v>53.371745684356704</v>
      </c>
      <c r="Y326" t="s">
        <v>14</v>
      </c>
      <c r="Z326" s="1">
        <v>41306</v>
      </c>
      <c r="AA326">
        <v>168243</v>
      </c>
      <c r="AB326">
        <v>964648010655.91003</v>
      </c>
      <c r="AC326">
        <v>29.967678844452301</v>
      </c>
    </row>
    <row r="327" spans="1:29" x14ac:dyDescent="0.25">
      <c r="A327" t="s">
        <v>5</v>
      </c>
      <c r="B327" s="1">
        <v>41275</v>
      </c>
      <c r="C327">
        <v>294972</v>
      </c>
      <c r="D327">
        <v>1645019670084.6001</v>
      </c>
      <c r="E327">
        <v>40.731262396089903</v>
      </c>
      <c r="Y327" t="s">
        <v>15</v>
      </c>
      <c r="Z327" s="1">
        <v>41306</v>
      </c>
      <c r="AA327">
        <v>887</v>
      </c>
      <c r="AB327">
        <v>16552519980.950001</v>
      </c>
      <c r="AC327">
        <v>69.874463024203394</v>
      </c>
    </row>
    <row r="328" spans="1:29" x14ac:dyDescent="0.25">
      <c r="A328" t="s">
        <v>8</v>
      </c>
      <c r="B328" s="1">
        <v>41275</v>
      </c>
      <c r="C328">
        <v>1194</v>
      </c>
      <c r="D328">
        <v>33051971704.52</v>
      </c>
      <c r="E328">
        <v>9.48797477532875</v>
      </c>
      <c r="Y328" t="s">
        <v>16</v>
      </c>
      <c r="Z328" s="1">
        <v>41306</v>
      </c>
      <c r="AA328">
        <v>1884</v>
      </c>
      <c r="AB328">
        <v>28077568751.43</v>
      </c>
      <c r="AC328">
        <v>5.1768786032697598</v>
      </c>
    </row>
    <row r="329" spans="1:29" x14ac:dyDescent="0.25">
      <c r="A329" t="s">
        <v>9</v>
      </c>
      <c r="B329" s="1">
        <v>41275</v>
      </c>
      <c r="C329">
        <v>493</v>
      </c>
      <c r="D329">
        <v>22634123601.41</v>
      </c>
      <c r="E329">
        <v>7.0954932029341196</v>
      </c>
      <c r="Y329" t="s">
        <v>17</v>
      </c>
      <c r="Z329" s="1">
        <v>41306</v>
      </c>
      <c r="AA329">
        <v>803</v>
      </c>
      <c r="AB329">
        <v>17947136377.009998</v>
      </c>
      <c r="AC329">
        <v>4.8698616391199696</v>
      </c>
    </row>
    <row r="330" spans="1:29" x14ac:dyDescent="0.25">
      <c r="A330" t="s">
        <v>7</v>
      </c>
      <c r="B330" s="1">
        <v>41306</v>
      </c>
      <c r="C330">
        <v>1890</v>
      </c>
      <c r="D330">
        <v>59341253640.129997</v>
      </c>
      <c r="E330">
        <v>53.834291065296902</v>
      </c>
      <c r="Y330" t="s">
        <v>14</v>
      </c>
      <c r="Z330" s="1">
        <v>41334</v>
      </c>
      <c r="AA330">
        <v>168444</v>
      </c>
      <c r="AB330">
        <v>958178399344.89001</v>
      </c>
      <c r="AC330">
        <v>30.393236665582101</v>
      </c>
    </row>
    <row r="331" spans="1:29" x14ac:dyDescent="0.25">
      <c r="A331" t="s">
        <v>5</v>
      </c>
      <c r="B331" s="1">
        <v>41306</v>
      </c>
      <c r="C331">
        <v>295747</v>
      </c>
      <c r="D331">
        <v>1641408813705.6101</v>
      </c>
      <c r="E331">
        <v>40.813105188442002</v>
      </c>
      <c r="Y331" t="s">
        <v>15</v>
      </c>
      <c r="Z331" s="1">
        <v>41334</v>
      </c>
      <c r="AA331">
        <v>912</v>
      </c>
      <c r="AB331">
        <v>16936331787.6</v>
      </c>
      <c r="AC331">
        <v>71.104704945245004</v>
      </c>
    </row>
    <row r="332" spans="1:29" x14ac:dyDescent="0.25">
      <c r="A332" t="s">
        <v>8</v>
      </c>
      <c r="B332" s="1">
        <v>41306</v>
      </c>
      <c r="C332">
        <v>1265</v>
      </c>
      <c r="D332">
        <v>35343557017.519997</v>
      </c>
      <c r="E332">
        <v>9.5059364246822593</v>
      </c>
      <c r="Y332" t="s">
        <v>16</v>
      </c>
      <c r="Z332" s="1">
        <v>41334</v>
      </c>
      <c r="AA332">
        <v>2008</v>
      </c>
      <c r="AB332">
        <v>29255937245.25</v>
      </c>
      <c r="AC332">
        <v>5.4218152047250596</v>
      </c>
    </row>
    <row r="333" spans="1:29" x14ac:dyDescent="0.25">
      <c r="A333" t="s">
        <v>9</v>
      </c>
      <c r="B333" s="1">
        <v>41306</v>
      </c>
      <c r="C333">
        <v>572</v>
      </c>
      <c r="D333">
        <v>25710780014.439999</v>
      </c>
      <c r="E333">
        <v>7.1127309063595501</v>
      </c>
      <c r="Y333" t="s">
        <v>17</v>
      </c>
      <c r="Z333" s="1">
        <v>41334</v>
      </c>
      <c r="AA333">
        <v>924</v>
      </c>
      <c r="AB333">
        <v>19179632548.990002</v>
      </c>
      <c r="AC333">
        <v>5.0628868942146097</v>
      </c>
    </row>
    <row r="334" spans="1:29" x14ac:dyDescent="0.25">
      <c r="A334" t="s">
        <v>7</v>
      </c>
      <c r="B334" s="1">
        <v>41334</v>
      </c>
      <c r="C334">
        <v>1907</v>
      </c>
      <c r="D334">
        <v>58273862919.07</v>
      </c>
      <c r="E334">
        <v>54.274148876370397</v>
      </c>
      <c r="Y334" t="s">
        <v>14</v>
      </c>
      <c r="Z334" s="1">
        <v>41365</v>
      </c>
      <c r="AA334">
        <v>168554</v>
      </c>
      <c r="AB334">
        <v>958767138252.81006</v>
      </c>
      <c r="AC334">
        <v>31.104916887450901</v>
      </c>
    </row>
    <row r="335" spans="1:29" x14ac:dyDescent="0.25">
      <c r="A335" t="s">
        <v>5</v>
      </c>
      <c r="B335" s="1">
        <v>41334</v>
      </c>
      <c r="C335">
        <v>296480</v>
      </c>
      <c r="D335">
        <v>1639099306167.1299</v>
      </c>
      <c r="E335">
        <v>40.932315370911802</v>
      </c>
      <c r="Y335" t="s">
        <v>15</v>
      </c>
      <c r="Z335" s="1">
        <v>41365</v>
      </c>
      <c r="AA335">
        <v>934</v>
      </c>
      <c r="AB335">
        <v>17827951977.950001</v>
      </c>
      <c r="AC335">
        <v>71.339078508792298</v>
      </c>
    </row>
    <row r="336" spans="1:29" x14ac:dyDescent="0.25">
      <c r="A336" t="s">
        <v>8</v>
      </c>
      <c r="B336" s="1">
        <v>41334</v>
      </c>
      <c r="C336">
        <v>1335</v>
      </c>
      <c r="D336">
        <v>37312888521.379997</v>
      </c>
      <c r="E336">
        <v>9.80572026479242</v>
      </c>
      <c r="Y336" t="s">
        <v>16</v>
      </c>
      <c r="Z336" s="1">
        <v>41365</v>
      </c>
      <c r="AA336">
        <v>2143</v>
      </c>
      <c r="AB336">
        <v>30765495579.349998</v>
      </c>
      <c r="AC336">
        <v>5.6402821746135796</v>
      </c>
    </row>
    <row r="337" spans="1:29" x14ac:dyDescent="0.25">
      <c r="A337" t="s">
        <v>9</v>
      </c>
      <c r="B337" s="1">
        <v>41334</v>
      </c>
      <c r="C337">
        <v>639</v>
      </c>
      <c r="D337">
        <v>27919269484.799999</v>
      </c>
      <c r="E337">
        <v>7.4977817106428502</v>
      </c>
      <c r="Y337" t="s">
        <v>17</v>
      </c>
      <c r="Z337" s="1">
        <v>41365</v>
      </c>
      <c r="AA337">
        <v>1042</v>
      </c>
      <c r="AB337">
        <v>20590650800.080002</v>
      </c>
      <c r="AC337">
        <v>5.1842224037328704</v>
      </c>
    </row>
    <row r="338" spans="1:29" x14ac:dyDescent="0.25">
      <c r="A338" t="s">
        <v>7</v>
      </c>
      <c r="B338" s="1">
        <v>41365</v>
      </c>
      <c r="C338">
        <v>1927</v>
      </c>
      <c r="D338">
        <v>57984952680.769997</v>
      </c>
      <c r="E338">
        <v>54.4577668094892</v>
      </c>
      <c r="Y338" t="s">
        <v>14</v>
      </c>
      <c r="Z338" s="1">
        <v>41395</v>
      </c>
      <c r="AA338">
        <v>168497</v>
      </c>
      <c r="AB338">
        <v>956989567273.20996</v>
      </c>
      <c r="AC338">
        <v>31.6850507105211</v>
      </c>
    </row>
    <row r="339" spans="1:29" x14ac:dyDescent="0.25">
      <c r="A339" t="s">
        <v>5</v>
      </c>
      <c r="B339" s="1">
        <v>41365</v>
      </c>
      <c r="C339">
        <v>296774</v>
      </c>
      <c r="D339">
        <v>1632928605681.1299</v>
      </c>
      <c r="E339">
        <v>40.907171875611098</v>
      </c>
      <c r="Y339" t="s">
        <v>15</v>
      </c>
      <c r="Z339" s="1">
        <v>41395</v>
      </c>
      <c r="AA339">
        <v>954</v>
      </c>
      <c r="AB339">
        <v>17960790708.68</v>
      </c>
      <c r="AC339">
        <v>71.694515843892404</v>
      </c>
    </row>
    <row r="340" spans="1:29" x14ac:dyDescent="0.25">
      <c r="A340" t="s">
        <v>8</v>
      </c>
      <c r="B340" s="1">
        <v>41365</v>
      </c>
      <c r="C340">
        <v>1395</v>
      </c>
      <c r="D340">
        <v>39156032691.959999</v>
      </c>
      <c r="E340">
        <v>9.9236734305459908</v>
      </c>
      <c r="Y340" t="s">
        <v>16</v>
      </c>
      <c r="Z340" s="1">
        <v>41395</v>
      </c>
      <c r="AA340">
        <v>2261</v>
      </c>
      <c r="AB340">
        <v>32051219221.419998</v>
      </c>
      <c r="AC340">
        <v>5.8550230161372596</v>
      </c>
    </row>
    <row r="341" spans="1:29" x14ac:dyDescent="0.25">
      <c r="A341" t="s">
        <v>9</v>
      </c>
      <c r="B341" s="1">
        <v>41365</v>
      </c>
      <c r="C341">
        <v>704</v>
      </c>
      <c r="D341">
        <v>30041763432.959999</v>
      </c>
      <c r="E341">
        <v>7.7688699614535199</v>
      </c>
      <c r="Y341" t="s">
        <v>17</v>
      </c>
      <c r="Z341" s="1">
        <v>41395</v>
      </c>
      <c r="AA341">
        <v>1149</v>
      </c>
      <c r="AB341">
        <v>21763931987.459999</v>
      </c>
      <c r="AC341">
        <v>5.3005453233209199</v>
      </c>
    </row>
    <row r="342" spans="1:29" x14ac:dyDescent="0.25">
      <c r="A342" t="s">
        <v>7</v>
      </c>
      <c r="B342" s="1">
        <v>41395</v>
      </c>
      <c r="C342">
        <v>1940</v>
      </c>
      <c r="D342">
        <v>57919460773.599998</v>
      </c>
      <c r="E342">
        <v>54.996216952753997</v>
      </c>
      <c r="Y342" t="s">
        <v>14</v>
      </c>
      <c r="Z342" s="1">
        <v>41426</v>
      </c>
      <c r="AA342">
        <v>168650</v>
      </c>
      <c r="AB342">
        <v>951379532622</v>
      </c>
      <c r="AC342">
        <v>32.132718972412597</v>
      </c>
    </row>
    <row r="343" spans="1:29" x14ac:dyDescent="0.25">
      <c r="A343" t="s">
        <v>5</v>
      </c>
      <c r="B343" s="1">
        <v>41395</v>
      </c>
      <c r="C343">
        <v>297206</v>
      </c>
      <c r="D343">
        <v>1630926522634.1799</v>
      </c>
      <c r="E343">
        <v>40.888030216353599</v>
      </c>
      <c r="Y343" t="s">
        <v>15</v>
      </c>
      <c r="Z343" s="1">
        <v>41426</v>
      </c>
      <c r="AA343">
        <v>976</v>
      </c>
      <c r="AB343">
        <v>18268825613.709999</v>
      </c>
      <c r="AC343">
        <v>72.021834861360503</v>
      </c>
    </row>
    <row r="344" spans="1:29" x14ac:dyDescent="0.25">
      <c r="A344" t="s">
        <v>8</v>
      </c>
      <c r="B344" s="1">
        <v>41395</v>
      </c>
      <c r="C344">
        <v>1447</v>
      </c>
      <c r="D344">
        <v>41135466403</v>
      </c>
      <c r="E344">
        <v>10.1655479331147</v>
      </c>
      <c r="Y344" t="s">
        <v>16</v>
      </c>
      <c r="Z344" s="1">
        <v>41426</v>
      </c>
      <c r="AA344">
        <v>2381</v>
      </c>
      <c r="AB344">
        <v>33234605901.299999</v>
      </c>
      <c r="AC344">
        <v>6.1672481439766802</v>
      </c>
    </row>
    <row r="345" spans="1:29" x14ac:dyDescent="0.25">
      <c r="A345" t="s">
        <v>9</v>
      </c>
      <c r="B345" s="1">
        <v>41395</v>
      </c>
      <c r="C345">
        <v>760</v>
      </c>
      <c r="D345">
        <v>32087573394.82</v>
      </c>
      <c r="E345">
        <v>7.99730141520606</v>
      </c>
      <c r="Y345" t="s">
        <v>17</v>
      </c>
      <c r="Z345" s="1">
        <v>41426</v>
      </c>
      <c r="AA345">
        <v>1253</v>
      </c>
      <c r="AB345">
        <v>22743332810.720001</v>
      </c>
      <c r="AC345">
        <v>5.5666356886146398</v>
      </c>
    </row>
    <row r="346" spans="1:29" x14ac:dyDescent="0.25">
      <c r="A346" t="s">
        <v>7</v>
      </c>
      <c r="B346" s="1">
        <v>41426</v>
      </c>
      <c r="C346">
        <v>1951</v>
      </c>
      <c r="D346">
        <v>57743623776.370003</v>
      </c>
      <c r="E346">
        <v>54.9185183029428</v>
      </c>
      <c r="Y346" t="s">
        <v>14</v>
      </c>
      <c r="Z346" s="1">
        <v>41456</v>
      </c>
      <c r="AA346">
        <v>168793</v>
      </c>
      <c r="AB346">
        <v>951112315863.43994</v>
      </c>
      <c r="AC346">
        <v>32.6313064821125</v>
      </c>
    </row>
    <row r="347" spans="1:29" x14ac:dyDescent="0.25">
      <c r="A347" t="s">
        <v>5</v>
      </c>
      <c r="B347" s="1">
        <v>41426</v>
      </c>
      <c r="C347">
        <v>297478</v>
      </c>
      <c r="D347">
        <v>1634172612883.0801</v>
      </c>
      <c r="E347">
        <v>40.951971150373502</v>
      </c>
      <c r="Y347" t="s">
        <v>15</v>
      </c>
      <c r="Z347" s="1">
        <v>41456</v>
      </c>
      <c r="AA347">
        <v>998</v>
      </c>
      <c r="AB347">
        <v>18453239115.400002</v>
      </c>
      <c r="AC347">
        <v>72.313847026954207</v>
      </c>
    </row>
    <row r="348" spans="1:29" x14ac:dyDescent="0.25">
      <c r="A348" t="s">
        <v>8</v>
      </c>
      <c r="B348" s="1">
        <v>41426</v>
      </c>
      <c r="C348">
        <v>1489</v>
      </c>
      <c r="D348">
        <v>42553384727.230003</v>
      </c>
      <c r="E348">
        <v>10.2978014857052</v>
      </c>
      <c r="Y348" t="s">
        <v>16</v>
      </c>
      <c r="Z348" s="1">
        <v>41456</v>
      </c>
      <c r="AA348">
        <v>2498</v>
      </c>
      <c r="AB348">
        <v>34235158583.599998</v>
      </c>
      <c r="AC348">
        <v>6.4688006523015602</v>
      </c>
    </row>
    <row r="349" spans="1:29" x14ac:dyDescent="0.25">
      <c r="A349" t="s">
        <v>9</v>
      </c>
      <c r="B349" s="1">
        <v>41426</v>
      </c>
      <c r="C349">
        <v>806</v>
      </c>
      <c r="D349">
        <v>33554081959.810001</v>
      </c>
      <c r="E349">
        <v>8.2404824532632794</v>
      </c>
      <c r="Y349" t="s">
        <v>17</v>
      </c>
      <c r="Z349" s="1">
        <v>41456</v>
      </c>
      <c r="AA349">
        <v>1350</v>
      </c>
      <c r="AB349">
        <v>23549228231.41</v>
      </c>
      <c r="AC349">
        <v>5.8090680962179198</v>
      </c>
    </row>
    <row r="350" spans="1:29" x14ac:dyDescent="0.25">
      <c r="A350" t="s">
        <v>7</v>
      </c>
      <c r="B350" s="1">
        <v>41456</v>
      </c>
      <c r="C350">
        <v>1967</v>
      </c>
      <c r="D350">
        <v>57562689788.809998</v>
      </c>
      <c r="E350">
        <v>55.262204909544799</v>
      </c>
      <c r="Y350" t="s">
        <v>14</v>
      </c>
      <c r="Z350" s="1">
        <v>41487</v>
      </c>
      <c r="AA350">
        <v>168702</v>
      </c>
      <c r="AB350">
        <v>948978277212.25</v>
      </c>
      <c r="AC350">
        <v>33.085451549265102</v>
      </c>
    </row>
    <row r="351" spans="1:29" x14ac:dyDescent="0.25">
      <c r="A351" t="s">
        <v>5</v>
      </c>
      <c r="B351" s="1">
        <v>41456</v>
      </c>
      <c r="C351">
        <v>297713</v>
      </c>
      <c r="D351">
        <v>1630715136837.8301</v>
      </c>
      <c r="E351">
        <v>40.936538217090799</v>
      </c>
      <c r="Y351" t="s">
        <v>15</v>
      </c>
      <c r="Z351" s="1">
        <v>41487</v>
      </c>
      <c r="AA351">
        <v>1021</v>
      </c>
      <c r="AB351">
        <v>18743874307.419998</v>
      </c>
      <c r="AC351">
        <v>72.4858385500998</v>
      </c>
    </row>
    <row r="352" spans="1:29" x14ac:dyDescent="0.25">
      <c r="A352" t="s">
        <v>8</v>
      </c>
      <c r="B352" s="1">
        <v>41456</v>
      </c>
      <c r="C352">
        <v>1527</v>
      </c>
      <c r="D352">
        <v>44044353148.919998</v>
      </c>
      <c r="E352">
        <v>10.4745315721872</v>
      </c>
      <c r="Y352" t="s">
        <v>16</v>
      </c>
      <c r="Z352" s="1">
        <v>41487</v>
      </c>
      <c r="AA352">
        <v>2594</v>
      </c>
      <c r="AB352">
        <v>34899645243.050003</v>
      </c>
      <c r="AC352">
        <v>6.6414526510665697</v>
      </c>
    </row>
    <row r="353" spans="1:29" x14ac:dyDescent="0.25">
      <c r="A353" t="s">
        <v>9</v>
      </c>
      <c r="B353" s="1">
        <v>41456</v>
      </c>
      <c r="C353">
        <v>846</v>
      </c>
      <c r="D353">
        <v>34996952153.550003</v>
      </c>
      <c r="E353">
        <v>8.6310861028875205</v>
      </c>
      <c r="Y353" t="s">
        <v>17</v>
      </c>
      <c r="Z353" s="1">
        <v>41487</v>
      </c>
      <c r="AA353">
        <v>1432</v>
      </c>
      <c r="AB353">
        <v>24174777291.66</v>
      </c>
      <c r="AC353">
        <v>5.9359078455080798</v>
      </c>
    </row>
    <row r="354" spans="1:29" x14ac:dyDescent="0.25">
      <c r="A354" t="s">
        <v>7</v>
      </c>
      <c r="B354" s="1">
        <v>41487</v>
      </c>
      <c r="C354">
        <v>1980</v>
      </c>
      <c r="D354">
        <v>57358795381.5</v>
      </c>
      <c r="E354">
        <v>55.469993984698199</v>
      </c>
      <c r="Y354" t="s">
        <v>14</v>
      </c>
      <c r="Z354" s="1">
        <v>41518</v>
      </c>
      <c r="AA354">
        <v>168665</v>
      </c>
      <c r="AB354">
        <v>948811579876.78003</v>
      </c>
      <c r="AC354">
        <v>33.579733416475896</v>
      </c>
    </row>
    <row r="355" spans="1:29" x14ac:dyDescent="0.25">
      <c r="A355" t="s">
        <v>5</v>
      </c>
      <c r="B355" s="1">
        <v>41487</v>
      </c>
      <c r="C355">
        <v>297745</v>
      </c>
      <c r="D355">
        <v>1635352864892.78</v>
      </c>
      <c r="E355">
        <v>40.961177546825802</v>
      </c>
      <c r="Y355" t="s">
        <v>15</v>
      </c>
      <c r="Z355" s="1">
        <v>41518</v>
      </c>
      <c r="AA355">
        <v>1045</v>
      </c>
      <c r="AB355">
        <v>19092526206.200001</v>
      </c>
      <c r="AC355">
        <v>72.490352622174299</v>
      </c>
    </row>
    <row r="356" spans="1:29" x14ac:dyDescent="0.25">
      <c r="A356" t="s">
        <v>8</v>
      </c>
      <c r="B356" s="1">
        <v>41487</v>
      </c>
      <c r="C356">
        <v>1571</v>
      </c>
      <c r="D356">
        <v>45268306712.739998</v>
      </c>
      <c r="E356">
        <v>10.5434785020561</v>
      </c>
      <c r="Y356" t="s">
        <v>16</v>
      </c>
      <c r="Z356" s="1">
        <v>41518</v>
      </c>
      <c r="AA356">
        <v>2695</v>
      </c>
      <c r="AB356">
        <v>35367128013.260002</v>
      </c>
      <c r="AC356">
        <v>6.8372427314518402</v>
      </c>
    </row>
    <row r="357" spans="1:29" x14ac:dyDescent="0.25">
      <c r="A357" t="s">
        <v>9</v>
      </c>
      <c r="B357" s="1">
        <v>41487</v>
      </c>
      <c r="C357">
        <v>890</v>
      </c>
      <c r="D357">
        <v>36201078184.980003</v>
      </c>
      <c r="E357">
        <v>8.7051636329041706</v>
      </c>
      <c r="Y357" t="s">
        <v>17</v>
      </c>
      <c r="Z357" s="1">
        <v>41518</v>
      </c>
      <c r="AA357">
        <v>1517</v>
      </c>
      <c r="AB357">
        <v>24578473067.509998</v>
      </c>
      <c r="AC357">
        <v>5.9994260373768604</v>
      </c>
    </row>
    <row r="358" spans="1:29" x14ac:dyDescent="0.25">
      <c r="A358" t="s">
        <v>7</v>
      </c>
      <c r="B358" s="1">
        <v>41518</v>
      </c>
      <c r="C358">
        <v>2002</v>
      </c>
      <c r="D358">
        <v>57378888746.93</v>
      </c>
      <c r="E358">
        <v>55.676204410870199</v>
      </c>
      <c r="Y358" t="s">
        <v>14</v>
      </c>
      <c r="Z358" s="1">
        <v>41548</v>
      </c>
      <c r="AA358">
        <v>168535</v>
      </c>
      <c r="AB358">
        <v>946698650327.43005</v>
      </c>
      <c r="AC358">
        <v>33.961568142548103</v>
      </c>
    </row>
    <row r="359" spans="1:29" x14ac:dyDescent="0.25">
      <c r="A359" t="s">
        <v>5</v>
      </c>
      <c r="B359" s="1">
        <v>41518</v>
      </c>
      <c r="C359">
        <v>297935</v>
      </c>
      <c r="D359">
        <v>1638979706834.8101</v>
      </c>
      <c r="E359">
        <v>40.968530167770602</v>
      </c>
      <c r="Y359" t="s">
        <v>15</v>
      </c>
      <c r="Z359" s="1">
        <v>41548</v>
      </c>
      <c r="AA359">
        <v>1073</v>
      </c>
      <c r="AB359">
        <v>19336227803.259998</v>
      </c>
      <c r="AC359">
        <v>72.428975265752399</v>
      </c>
    </row>
    <row r="360" spans="1:29" x14ac:dyDescent="0.25">
      <c r="A360" t="s">
        <v>8</v>
      </c>
      <c r="B360" s="1">
        <v>41518</v>
      </c>
      <c r="C360">
        <v>1617</v>
      </c>
      <c r="D360">
        <v>46324942815.470001</v>
      </c>
      <c r="E360">
        <v>10.6293765440142</v>
      </c>
      <c r="Y360" t="s">
        <v>16</v>
      </c>
      <c r="Z360" s="1">
        <v>41548</v>
      </c>
      <c r="AA360">
        <v>2780</v>
      </c>
      <c r="AB360">
        <v>35804756803.43</v>
      </c>
      <c r="AC360">
        <v>6.9565555361759399</v>
      </c>
    </row>
    <row r="361" spans="1:29" x14ac:dyDescent="0.25">
      <c r="A361" t="s">
        <v>9</v>
      </c>
      <c r="B361" s="1">
        <v>41518</v>
      </c>
      <c r="C361">
        <v>939</v>
      </c>
      <c r="D361">
        <v>37243354893.68</v>
      </c>
      <c r="E361">
        <v>8.7429604244928694</v>
      </c>
      <c r="Y361" t="s">
        <v>17</v>
      </c>
      <c r="Z361" s="1">
        <v>41548</v>
      </c>
      <c r="AA361">
        <v>1605</v>
      </c>
      <c r="AB361">
        <v>24975426851.080002</v>
      </c>
      <c r="AC361">
        <v>6.1200506543494697</v>
      </c>
    </row>
    <row r="362" spans="1:29" x14ac:dyDescent="0.25">
      <c r="A362" t="s">
        <v>7</v>
      </c>
      <c r="B362" s="1">
        <v>41548</v>
      </c>
      <c r="C362">
        <v>2022</v>
      </c>
      <c r="D362">
        <v>57356413673.699997</v>
      </c>
      <c r="E362">
        <v>55.685002172748099</v>
      </c>
      <c r="Y362" t="s">
        <v>14</v>
      </c>
      <c r="Z362" s="1">
        <v>41579</v>
      </c>
      <c r="AA362">
        <v>168454</v>
      </c>
      <c r="AB362">
        <v>945526028023.66003</v>
      </c>
      <c r="AC362">
        <v>34.292584690314897</v>
      </c>
    </row>
    <row r="363" spans="1:29" x14ac:dyDescent="0.25">
      <c r="A363" t="s">
        <v>5</v>
      </c>
      <c r="B363" s="1">
        <v>41548</v>
      </c>
      <c r="C363">
        <v>298051</v>
      </c>
      <c r="D363">
        <v>1644012668533.9099</v>
      </c>
      <c r="E363">
        <v>41.026529203945202</v>
      </c>
      <c r="Y363" t="s">
        <v>15</v>
      </c>
      <c r="Z363" s="1">
        <v>41579</v>
      </c>
      <c r="AA363">
        <v>1088</v>
      </c>
      <c r="AB363">
        <v>19613126291.07</v>
      </c>
      <c r="AC363">
        <v>72.505870920990205</v>
      </c>
    </row>
    <row r="364" spans="1:29" x14ac:dyDescent="0.25">
      <c r="A364" t="s">
        <v>8</v>
      </c>
      <c r="B364" s="1">
        <v>41548</v>
      </c>
      <c r="C364">
        <v>1660</v>
      </c>
      <c r="D364">
        <v>47014770367.400002</v>
      </c>
      <c r="E364">
        <v>10.672681254206999</v>
      </c>
      <c r="Y364" t="s">
        <v>16</v>
      </c>
      <c r="Z364" s="1">
        <v>41579</v>
      </c>
      <c r="AA364">
        <v>2875</v>
      </c>
      <c r="AB364">
        <v>36128097823.209999</v>
      </c>
      <c r="AC364">
        <v>7.0513665206483802</v>
      </c>
    </row>
    <row r="365" spans="1:29" x14ac:dyDescent="0.25">
      <c r="A365" t="s">
        <v>9</v>
      </c>
      <c r="B365" s="1">
        <v>41548</v>
      </c>
      <c r="C365">
        <v>980</v>
      </c>
      <c r="D365">
        <v>37852364380.050003</v>
      </c>
      <c r="E365">
        <v>8.8041615691801294</v>
      </c>
      <c r="Y365" t="s">
        <v>17</v>
      </c>
      <c r="Z365" s="1">
        <v>41579</v>
      </c>
      <c r="AA365">
        <v>1688</v>
      </c>
      <c r="AB365">
        <v>25218431194.439999</v>
      </c>
      <c r="AC365">
        <v>6.1817950713766301</v>
      </c>
    </row>
    <row r="366" spans="1:29" x14ac:dyDescent="0.25">
      <c r="A366" t="s">
        <v>7</v>
      </c>
      <c r="B366" s="1">
        <v>41579</v>
      </c>
      <c r="C366">
        <v>2039</v>
      </c>
      <c r="D366">
        <v>57531922542.139999</v>
      </c>
      <c r="E366">
        <v>55.804754998369198</v>
      </c>
      <c r="Y366" t="s">
        <v>14</v>
      </c>
      <c r="Z366" s="1">
        <v>41609</v>
      </c>
      <c r="AA366">
        <v>168526</v>
      </c>
      <c r="AB366">
        <v>947567336728.01001</v>
      </c>
      <c r="AC366">
        <v>34.655399653676703</v>
      </c>
    </row>
    <row r="367" spans="1:29" x14ac:dyDescent="0.25">
      <c r="A367" t="s">
        <v>5</v>
      </c>
      <c r="B367" s="1">
        <v>41579</v>
      </c>
      <c r="C367">
        <v>298245</v>
      </c>
      <c r="D367">
        <v>1652973739227.2</v>
      </c>
      <c r="E367">
        <v>41.054040824349997</v>
      </c>
      <c r="Y367" t="s">
        <v>15</v>
      </c>
      <c r="Z367" s="1">
        <v>41609</v>
      </c>
      <c r="AA367">
        <v>1109</v>
      </c>
      <c r="AB367">
        <v>19868500672.32</v>
      </c>
      <c r="AC367">
        <v>72.095790202675502</v>
      </c>
    </row>
    <row r="368" spans="1:29" x14ac:dyDescent="0.25">
      <c r="A368" t="s">
        <v>8</v>
      </c>
      <c r="B368" s="1">
        <v>41579</v>
      </c>
      <c r="C368">
        <v>1704</v>
      </c>
      <c r="D368">
        <v>47554737040.699997</v>
      </c>
      <c r="E368">
        <v>10.6800878126912</v>
      </c>
      <c r="Y368" t="s">
        <v>16</v>
      </c>
      <c r="Z368" s="1">
        <v>41609</v>
      </c>
      <c r="AA368">
        <v>2973</v>
      </c>
      <c r="AB368">
        <v>36388443717.019997</v>
      </c>
      <c r="AC368">
        <v>7.1154680412529601</v>
      </c>
    </row>
    <row r="369" spans="1:29" x14ac:dyDescent="0.25">
      <c r="A369" t="s">
        <v>9</v>
      </c>
      <c r="B369" s="1">
        <v>41579</v>
      </c>
      <c r="C369">
        <v>1016</v>
      </c>
      <c r="D369">
        <v>38288256348.959999</v>
      </c>
      <c r="E369">
        <v>8.8215384490494806</v>
      </c>
      <c r="Y369" t="s">
        <v>17</v>
      </c>
      <c r="Z369" s="1">
        <v>41609</v>
      </c>
      <c r="AA369">
        <v>1747</v>
      </c>
      <c r="AB369">
        <v>25372731243.630001</v>
      </c>
      <c r="AC369">
        <v>6.20710547512315</v>
      </c>
    </row>
    <row r="370" spans="1:29" x14ac:dyDescent="0.25">
      <c r="A370" t="s">
        <v>7</v>
      </c>
      <c r="B370" s="1">
        <v>41609</v>
      </c>
      <c r="C370">
        <v>2050</v>
      </c>
      <c r="D370">
        <v>57672150701.269997</v>
      </c>
      <c r="E370">
        <v>55.889853300536899</v>
      </c>
      <c r="Y370" t="s">
        <v>14</v>
      </c>
      <c r="Z370" s="1">
        <v>41640</v>
      </c>
      <c r="AA370">
        <v>168522</v>
      </c>
      <c r="AB370">
        <v>950558420406.93994</v>
      </c>
      <c r="AC370">
        <v>35.060713501856902</v>
      </c>
    </row>
    <row r="371" spans="1:29" x14ac:dyDescent="0.25">
      <c r="A371" t="s">
        <v>5</v>
      </c>
      <c r="B371" s="1">
        <v>41609</v>
      </c>
      <c r="C371">
        <v>298380</v>
      </c>
      <c r="D371">
        <v>1657289777281.8</v>
      </c>
      <c r="E371">
        <v>41.079080840162803</v>
      </c>
      <c r="Y371" t="s">
        <v>15</v>
      </c>
      <c r="Z371" s="1">
        <v>41640</v>
      </c>
      <c r="AA371">
        <v>1122</v>
      </c>
      <c r="AB371">
        <v>20235778716.240002</v>
      </c>
      <c r="AC371">
        <v>71.559005548547901</v>
      </c>
    </row>
    <row r="372" spans="1:29" x14ac:dyDescent="0.25">
      <c r="A372" t="s">
        <v>8</v>
      </c>
      <c r="B372" s="1">
        <v>41609</v>
      </c>
      <c r="C372">
        <v>1735</v>
      </c>
      <c r="D372">
        <v>47935165709.389999</v>
      </c>
      <c r="E372">
        <v>10.7225559926098</v>
      </c>
      <c r="Y372" t="s">
        <v>16</v>
      </c>
      <c r="Z372" s="1">
        <v>41640</v>
      </c>
      <c r="AA372">
        <v>3038</v>
      </c>
      <c r="AB372">
        <v>36429713513.779999</v>
      </c>
      <c r="AC372">
        <v>7.19308267744732</v>
      </c>
    </row>
    <row r="373" spans="1:29" x14ac:dyDescent="0.25">
      <c r="A373" t="s">
        <v>9</v>
      </c>
      <c r="B373" s="1">
        <v>41609</v>
      </c>
      <c r="C373">
        <v>1053</v>
      </c>
      <c r="D373">
        <v>38615010697.739998</v>
      </c>
      <c r="E373">
        <v>8.8564328473556397</v>
      </c>
      <c r="Y373" t="s">
        <v>17</v>
      </c>
      <c r="Z373" s="1">
        <v>41640</v>
      </c>
      <c r="AA373">
        <v>1805</v>
      </c>
      <c r="AB373">
        <v>25476399173.720001</v>
      </c>
      <c r="AC373">
        <v>6.2716421576123897</v>
      </c>
    </row>
    <row r="374" spans="1:29" x14ac:dyDescent="0.25">
      <c r="A374" t="s">
        <v>7</v>
      </c>
      <c r="B374" s="1">
        <v>41640</v>
      </c>
      <c r="C374">
        <v>2057</v>
      </c>
      <c r="D374">
        <v>57721870841.419998</v>
      </c>
      <c r="E374">
        <v>55.993488273767198</v>
      </c>
      <c r="Y374" t="s">
        <v>14</v>
      </c>
      <c r="Z374" s="1">
        <v>41671</v>
      </c>
      <c r="AA374">
        <v>168389</v>
      </c>
      <c r="AB374">
        <v>951961756683.73999</v>
      </c>
      <c r="AC374">
        <v>35.301855542281601</v>
      </c>
    </row>
    <row r="375" spans="1:29" x14ac:dyDescent="0.25">
      <c r="A375" t="s">
        <v>5</v>
      </c>
      <c r="B375" s="1">
        <v>41640</v>
      </c>
      <c r="C375">
        <v>298565</v>
      </c>
      <c r="D375">
        <v>1661238948532.75</v>
      </c>
      <c r="E375">
        <v>41.107060968752897</v>
      </c>
      <c r="Y375" t="s">
        <v>15</v>
      </c>
      <c r="Z375" s="1">
        <v>41671</v>
      </c>
      <c r="AA375">
        <v>1130</v>
      </c>
      <c r="AB375">
        <v>20424379265.459999</v>
      </c>
      <c r="AC375">
        <v>71.277256027452793</v>
      </c>
    </row>
    <row r="376" spans="1:29" x14ac:dyDescent="0.25">
      <c r="A376" t="s">
        <v>8</v>
      </c>
      <c r="B376" s="1">
        <v>41640</v>
      </c>
      <c r="C376">
        <v>1774</v>
      </c>
      <c r="D376">
        <v>48419743931.309998</v>
      </c>
      <c r="E376">
        <v>10.674235241131001</v>
      </c>
      <c r="Y376" t="s">
        <v>16</v>
      </c>
      <c r="Z376" s="1">
        <v>41671</v>
      </c>
      <c r="AA376">
        <v>3094</v>
      </c>
      <c r="AB376">
        <v>36534296456.949997</v>
      </c>
      <c r="AC376">
        <v>7.2871189264989704</v>
      </c>
    </row>
    <row r="377" spans="1:29" x14ac:dyDescent="0.25">
      <c r="A377" t="s">
        <v>9</v>
      </c>
      <c r="B377" s="1">
        <v>41640</v>
      </c>
      <c r="C377">
        <v>1080</v>
      </c>
      <c r="D377">
        <v>39260930004.410004</v>
      </c>
      <c r="E377">
        <v>8.7785104077140801</v>
      </c>
      <c r="Y377" t="s">
        <v>17</v>
      </c>
      <c r="Z377" s="1">
        <v>41671</v>
      </c>
      <c r="AA377">
        <v>1854</v>
      </c>
      <c r="AB377">
        <v>25558725588.619999</v>
      </c>
      <c r="AC377">
        <v>6.3295104802927202</v>
      </c>
    </row>
    <row r="378" spans="1:29" x14ac:dyDescent="0.25">
      <c r="A378" t="s">
        <v>7</v>
      </c>
      <c r="B378" s="1">
        <v>41671</v>
      </c>
      <c r="C378">
        <v>2063</v>
      </c>
      <c r="D378">
        <v>57492039709.059998</v>
      </c>
      <c r="E378">
        <v>56.062952040144197</v>
      </c>
      <c r="Y378" t="s">
        <v>14</v>
      </c>
      <c r="Z378" s="1">
        <v>41699</v>
      </c>
      <c r="AA378">
        <v>168241</v>
      </c>
      <c r="AB378">
        <v>954383832976.22998</v>
      </c>
      <c r="AC378">
        <v>35.612000107581103</v>
      </c>
    </row>
    <row r="379" spans="1:29" x14ac:dyDescent="0.25">
      <c r="A379" t="s">
        <v>5</v>
      </c>
      <c r="B379" s="1">
        <v>41671</v>
      </c>
      <c r="C379">
        <v>298522</v>
      </c>
      <c r="D379">
        <v>1659593431085.3999</v>
      </c>
      <c r="E379">
        <v>41.083924968803103</v>
      </c>
      <c r="Y379" t="s">
        <v>15</v>
      </c>
      <c r="Z379" s="1">
        <v>41699</v>
      </c>
      <c r="AA379">
        <v>1144</v>
      </c>
      <c r="AB379">
        <v>20512776387.459999</v>
      </c>
      <c r="AC379">
        <v>71.070872758799695</v>
      </c>
    </row>
    <row r="380" spans="1:29" x14ac:dyDescent="0.25">
      <c r="A380" t="s">
        <v>8</v>
      </c>
      <c r="B380" s="1">
        <v>41671</v>
      </c>
      <c r="C380">
        <v>1801</v>
      </c>
      <c r="D380">
        <v>48560145055.739998</v>
      </c>
      <c r="E380">
        <v>11.2740221700998</v>
      </c>
      <c r="Y380" t="s">
        <v>16</v>
      </c>
      <c r="Z380" s="1">
        <v>41699</v>
      </c>
      <c r="AA380">
        <v>3164</v>
      </c>
      <c r="AB380">
        <v>36655105321.75</v>
      </c>
      <c r="AC380">
        <v>7.3455465500015604</v>
      </c>
    </row>
    <row r="381" spans="1:29" x14ac:dyDescent="0.25">
      <c r="A381" t="s">
        <v>9</v>
      </c>
      <c r="B381" s="1">
        <v>41671</v>
      </c>
      <c r="C381">
        <v>1104</v>
      </c>
      <c r="D381">
        <v>39416596215.529999</v>
      </c>
      <c r="E381">
        <v>9.9498178283714598</v>
      </c>
      <c r="Y381" t="s">
        <v>17</v>
      </c>
      <c r="Z381" s="1">
        <v>41699</v>
      </c>
      <c r="AA381">
        <v>1900</v>
      </c>
      <c r="AB381">
        <v>25637606597.049999</v>
      </c>
      <c r="AC381">
        <v>6.4088940108127099</v>
      </c>
    </row>
    <row r="382" spans="1:29" x14ac:dyDescent="0.25">
      <c r="A382" t="s">
        <v>7</v>
      </c>
      <c r="B382" s="1">
        <v>41699</v>
      </c>
      <c r="C382">
        <v>2070</v>
      </c>
      <c r="D382">
        <v>57352259518.470001</v>
      </c>
      <c r="E382">
        <v>56.112751578982298</v>
      </c>
      <c r="Y382" t="s">
        <v>14</v>
      </c>
      <c r="Z382" s="1">
        <v>41730</v>
      </c>
      <c r="AA382">
        <v>168138</v>
      </c>
      <c r="AB382">
        <v>954656179373.09998</v>
      </c>
      <c r="AC382">
        <v>35.830227218025797</v>
      </c>
    </row>
    <row r="383" spans="1:29" x14ac:dyDescent="0.25">
      <c r="A383" t="s">
        <v>5</v>
      </c>
      <c r="B383" s="1">
        <v>41699</v>
      </c>
      <c r="C383">
        <v>298590</v>
      </c>
      <c r="D383">
        <v>1661124798886</v>
      </c>
      <c r="E383">
        <v>41.114781099123398</v>
      </c>
      <c r="Y383" t="s">
        <v>15</v>
      </c>
      <c r="Z383" s="1">
        <v>41730</v>
      </c>
      <c r="AA383">
        <v>1155</v>
      </c>
      <c r="AB383">
        <v>20701049462.849998</v>
      </c>
      <c r="AC383">
        <v>70.784165426922002</v>
      </c>
    </row>
    <row r="384" spans="1:29" x14ac:dyDescent="0.25">
      <c r="A384" t="s">
        <v>8</v>
      </c>
      <c r="B384" s="1">
        <v>41699</v>
      </c>
      <c r="C384">
        <v>1826</v>
      </c>
      <c r="D384">
        <v>48717365807.82</v>
      </c>
      <c r="E384">
        <v>11.313884043185199</v>
      </c>
      <c r="Y384" t="s">
        <v>16</v>
      </c>
      <c r="Z384" s="1">
        <v>41730</v>
      </c>
      <c r="AA384">
        <v>3214</v>
      </c>
      <c r="AB384">
        <v>36681497623.199997</v>
      </c>
      <c r="AC384">
        <v>7.4489578932762601</v>
      </c>
    </row>
    <row r="385" spans="1:29" x14ac:dyDescent="0.25">
      <c r="A385" t="s">
        <v>9</v>
      </c>
      <c r="B385" s="1">
        <v>41699</v>
      </c>
      <c r="C385">
        <v>1126</v>
      </c>
      <c r="D385">
        <v>39507898369.230003</v>
      </c>
      <c r="E385">
        <v>9.9660581751841395</v>
      </c>
      <c r="Y385" t="s">
        <v>17</v>
      </c>
      <c r="Z385" s="1">
        <v>41730</v>
      </c>
      <c r="AA385">
        <v>1945</v>
      </c>
      <c r="AB385">
        <v>25659837687.27</v>
      </c>
      <c r="AC385">
        <v>6.46161560781613</v>
      </c>
    </row>
    <row r="386" spans="1:29" x14ac:dyDescent="0.25">
      <c r="A386" t="s">
        <v>7</v>
      </c>
      <c r="B386" s="1">
        <v>41730</v>
      </c>
      <c r="C386">
        <v>2071</v>
      </c>
      <c r="D386">
        <v>57132134715.449997</v>
      </c>
      <c r="E386">
        <v>56.156672645441198</v>
      </c>
      <c r="Y386" t="s">
        <v>14</v>
      </c>
      <c r="Z386" s="1">
        <v>41760</v>
      </c>
      <c r="AA386">
        <v>168113</v>
      </c>
      <c r="AB386">
        <v>956139225086.04004</v>
      </c>
      <c r="AC386">
        <v>36.0759103250588</v>
      </c>
    </row>
    <row r="387" spans="1:29" x14ac:dyDescent="0.25">
      <c r="A387" t="s">
        <v>5</v>
      </c>
      <c r="B387" s="1">
        <v>41730</v>
      </c>
      <c r="C387">
        <v>298754</v>
      </c>
      <c r="D387">
        <v>1661638057181.03</v>
      </c>
      <c r="E387">
        <v>41.1355549227547</v>
      </c>
      <c r="Y387" t="s">
        <v>15</v>
      </c>
      <c r="Z387" s="1">
        <v>41760</v>
      </c>
      <c r="AA387">
        <v>1161</v>
      </c>
      <c r="AB387">
        <v>20937825815.509998</v>
      </c>
      <c r="AC387">
        <v>70.535479048445694</v>
      </c>
    </row>
    <row r="388" spans="1:29" x14ac:dyDescent="0.25">
      <c r="A388" t="s">
        <v>8</v>
      </c>
      <c r="B388" s="1">
        <v>41730</v>
      </c>
      <c r="C388">
        <v>1844</v>
      </c>
      <c r="D388">
        <v>48775718507.580002</v>
      </c>
      <c r="E388">
        <v>11.3244200103211</v>
      </c>
      <c r="Y388" t="s">
        <v>16</v>
      </c>
      <c r="Z388" s="1">
        <v>41760</v>
      </c>
      <c r="AA388">
        <v>3259</v>
      </c>
      <c r="AB388">
        <v>36636435212.349998</v>
      </c>
      <c r="AC388">
        <v>7.4891955913429502</v>
      </c>
    </row>
    <row r="389" spans="1:29" x14ac:dyDescent="0.25">
      <c r="A389" t="s">
        <v>9</v>
      </c>
      <c r="B389" s="1">
        <v>41730</v>
      </c>
      <c r="C389">
        <v>1146</v>
      </c>
      <c r="D389">
        <v>39554921006.989998</v>
      </c>
      <c r="E389">
        <v>9.9777651416054294</v>
      </c>
      <c r="Y389" t="s">
        <v>17</v>
      </c>
      <c r="Z389" s="1">
        <v>41760</v>
      </c>
      <c r="AA389">
        <v>1977</v>
      </c>
      <c r="AB389">
        <v>25645418956.459999</v>
      </c>
      <c r="AC389">
        <v>6.4702446275308203</v>
      </c>
    </row>
    <row r="390" spans="1:29" x14ac:dyDescent="0.25">
      <c r="A390" t="s">
        <v>7</v>
      </c>
      <c r="B390" s="1">
        <v>41760</v>
      </c>
      <c r="C390">
        <v>2078</v>
      </c>
      <c r="D390">
        <v>56845766696.43</v>
      </c>
      <c r="E390">
        <v>56.218865940761098</v>
      </c>
      <c r="Y390" t="s">
        <v>14</v>
      </c>
      <c r="Z390" s="1">
        <v>41791</v>
      </c>
      <c r="AA390">
        <v>168001</v>
      </c>
      <c r="AB390">
        <v>957828328319.79004</v>
      </c>
      <c r="AC390">
        <v>36.331329887416203</v>
      </c>
    </row>
    <row r="391" spans="1:29" x14ac:dyDescent="0.25">
      <c r="A391" t="s">
        <v>5</v>
      </c>
      <c r="B391" s="1">
        <v>41760</v>
      </c>
      <c r="C391">
        <v>298806</v>
      </c>
      <c r="D391">
        <v>1662332949157.3501</v>
      </c>
      <c r="E391">
        <v>41.173930644224001</v>
      </c>
      <c r="Y391" t="s">
        <v>15</v>
      </c>
      <c r="Z391" s="1">
        <v>41791</v>
      </c>
      <c r="AA391">
        <v>1165</v>
      </c>
      <c r="AB391">
        <v>21143780863.959999</v>
      </c>
      <c r="AC391">
        <v>70.258324533620097</v>
      </c>
    </row>
    <row r="392" spans="1:29" x14ac:dyDescent="0.25">
      <c r="A392" t="s">
        <v>8</v>
      </c>
      <c r="B392" s="1">
        <v>41760</v>
      </c>
      <c r="C392">
        <v>1858</v>
      </c>
      <c r="D392">
        <v>48727978881.080002</v>
      </c>
      <c r="E392">
        <v>11.3559422423657</v>
      </c>
      <c r="Y392" t="s">
        <v>16</v>
      </c>
      <c r="Z392" s="1">
        <v>41791</v>
      </c>
      <c r="AA392">
        <v>3302</v>
      </c>
      <c r="AB392">
        <v>36550076567.910004</v>
      </c>
      <c r="AC392">
        <v>7.5482360711279002</v>
      </c>
    </row>
    <row r="393" spans="1:29" x14ac:dyDescent="0.25">
      <c r="A393" t="s">
        <v>9</v>
      </c>
      <c r="B393" s="1">
        <v>41760</v>
      </c>
      <c r="C393">
        <v>1161</v>
      </c>
      <c r="D393">
        <v>39534993055.339996</v>
      </c>
      <c r="E393">
        <v>9.9917035233597993</v>
      </c>
      <c r="Y393" t="s">
        <v>17</v>
      </c>
      <c r="Z393" s="1">
        <v>41791</v>
      </c>
      <c r="AA393">
        <v>2006</v>
      </c>
      <c r="AB393">
        <v>25616594460.360001</v>
      </c>
      <c r="AC393">
        <v>6.5159204881847099</v>
      </c>
    </row>
    <row r="394" spans="1:29" x14ac:dyDescent="0.25">
      <c r="A394" t="s">
        <v>7</v>
      </c>
      <c r="B394" s="1">
        <v>41791</v>
      </c>
      <c r="C394">
        <v>2079</v>
      </c>
      <c r="D394">
        <v>56578875659.620003</v>
      </c>
      <c r="E394">
        <v>56.2556006679403</v>
      </c>
      <c r="Y394" t="s">
        <v>14</v>
      </c>
      <c r="Z394" s="1">
        <v>41821</v>
      </c>
      <c r="AA394">
        <v>167932</v>
      </c>
      <c r="AB394">
        <v>961134113453.43994</v>
      </c>
      <c r="AC394">
        <v>36.603115750839102</v>
      </c>
    </row>
    <row r="395" spans="1:29" x14ac:dyDescent="0.25">
      <c r="A395" t="s">
        <v>5</v>
      </c>
      <c r="B395" s="1">
        <v>41791</v>
      </c>
      <c r="C395">
        <v>298894</v>
      </c>
      <c r="D395">
        <v>1662352977660.22</v>
      </c>
      <c r="E395">
        <v>41.202461193088197</v>
      </c>
      <c r="Y395" t="s">
        <v>15</v>
      </c>
      <c r="Z395" s="1">
        <v>41821</v>
      </c>
      <c r="AA395">
        <v>1168</v>
      </c>
      <c r="AB395">
        <v>21346094720.060001</v>
      </c>
      <c r="AC395">
        <v>70.017838202587697</v>
      </c>
    </row>
    <row r="396" spans="1:29" x14ac:dyDescent="0.25">
      <c r="A396" t="s">
        <v>8</v>
      </c>
      <c r="B396" s="1">
        <v>41791</v>
      </c>
      <c r="C396">
        <v>1870</v>
      </c>
      <c r="D396">
        <v>48598619464.529999</v>
      </c>
      <c r="E396">
        <v>11.3883130076679</v>
      </c>
      <c r="Y396" t="s">
        <v>16</v>
      </c>
      <c r="Z396" s="1">
        <v>41821</v>
      </c>
      <c r="AA396">
        <v>3342</v>
      </c>
      <c r="AB396">
        <v>36429625540.220001</v>
      </c>
      <c r="AC396">
        <v>7.57266470563314</v>
      </c>
    </row>
    <row r="397" spans="1:29" x14ac:dyDescent="0.25">
      <c r="A397" t="s">
        <v>9</v>
      </c>
      <c r="B397" s="1">
        <v>41791</v>
      </c>
      <c r="C397">
        <v>1174</v>
      </c>
      <c r="D397">
        <v>39463404393.919998</v>
      </c>
      <c r="E397">
        <v>9.9957571380735306</v>
      </c>
      <c r="Y397" t="s">
        <v>17</v>
      </c>
      <c r="Z397" s="1">
        <v>41821</v>
      </c>
      <c r="AA397">
        <v>2033</v>
      </c>
      <c r="AB397">
        <v>25567285813.18</v>
      </c>
      <c r="AC397">
        <v>6.5357512862260796</v>
      </c>
    </row>
    <row r="398" spans="1:29" x14ac:dyDescent="0.25">
      <c r="A398" t="s">
        <v>7</v>
      </c>
      <c r="B398" s="1">
        <v>41821</v>
      </c>
      <c r="C398">
        <v>2077</v>
      </c>
      <c r="D398">
        <v>56276938887.650002</v>
      </c>
      <c r="E398">
        <v>56.313756728637301</v>
      </c>
      <c r="Y398" t="s">
        <v>14</v>
      </c>
      <c r="Z398" s="1">
        <v>41852</v>
      </c>
      <c r="AA398">
        <v>167848</v>
      </c>
      <c r="AB398">
        <v>963933164722.85999</v>
      </c>
      <c r="AC398">
        <v>36.900223699642602</v>
      </c>
    </row>
    <row r="399" spans="1:29" x14ac:dyDescent="0.25">
      <c r="A399" t="s">
        <v>5</v>
      </c>
      <c r="B399" s="1">
        <v>41821</v>
      </c>
      <c r="C399">
        <v>299170</v>
      </c>
      <c r="D399">
        <v>1664665897034.6699</v>
      </c>
      <c r="E399">
        <v>41.229704809454702</v>
      </c>
      <c r="Y399" t="s">
        <v>15</v>
      </c>
      <c r="Z399" s="1">
        <v>41852</v>
      </c>
      <c r="AA399">
        <v>1172</v>
      </c>
      <c r="AB399">
        <v>21598307257.459999</v>
      </c>
      <c r="AC399">
        <v>69.780613029182604</v>
      </c>
    </row>
    <row r="400" spans="1:29" x14ac:dyDescent="0.25">
      <c r="A400" t="s">
        <v>8</v>
      </c>
      <c r="B400" s="1">
        <v>41821</v>
      </c>
      <c r="C400">
        <v>1884</v>
      </c>
      <c r="D400">
        <v>48483101276.080002</v>
      </c>
      <c r="E400">
        <v>11.400463107913801</v>
      </c>
      <c r="Y400" t="s">
        <v>16</v>
      </c>
      <c r="Z400" s="1">
        <v>41852</v>
      </c>
      <c r="AA400">
        <v>3381</v>
      </c>
      <c r="AB400">
        <v>36252840693.470001</v>
      </c>
      <c r="AC400">
        <v>7.6125783634679598</v>
      </c>
    </row>
    <row r="401" spans="1:29" x14ac:dyDescent="0.25">
      <c r="A401" t="s">
        <v>9</v>
      </c>
      <c r="B401" s="1">
        <v>41821</v>
      </c>
      <c r="C401">
        <v>1188</v>
      </c>
      <c r="D401">
        <v>39388794194.209999</v>
      </c>
      <c r="E401">
        <v>10.0016790434494</v>
      </c>
      <c r="Y401" t="s">
        <v>17</v>
      </c>
      <c r="Z401" s="1">
        <v>41852</v>
      </c>
      <c r="AA401">
        <v>2058</v>
      </c>
      <c r="AB401">
        <v>25497572102.110001</v>
      </c>
      <c r="AC401">
        <v>6.5592132301778401</v>
      </c>
    </row>
    <row r="402" spans="1:29" x14ac:dyDescent="0.25">
      <c r="A402" t="s">
        <v>7</v>
      </c>
      <c r="B402" s="1">
        <v>41852</v>
      </c>
      <c r="C402">
        <v>2081</v>
      </c>
      <c r="D402">
        <v>56062210355.080002</v>
      </c>
      <c r="E402">
        <v>56.280715358585603</v>
      </c>
      <c r="Y402" t="s">
        <v>14</v>
      </c>
      <c r="Z402" s="1">
        <v>41883</v>
      </c>
      <c r="AA402">
        <v>167817</v>
      </c>
      <c r="AB402">
        <v>971985480145.08997</v>
      </c>
      <c r="AC402">
        <v>37.072380408015803</v>
      </c>
    </row>
    <row r="403" spans="1:29" x14ac:dyDescent="0.25">
      <c r="A403" t="s">
        <v>5</v>
      </c>
      <c r="B403" s="1">
        <v>41852</v>
      </c>
      <c r="C403">
        <v>299545</v>
      </c>
      <c r="D403">
        <v>1668539955684.26</v>
      </c>
      <c r="E403">
        <v>41.230693593200499</v>
      </c>
      <c r="Y403" t="s">
        <v>15</v>
      </c>
      <c r="Z403" s="1">
        <v>41883</v>
      </c>
      <c r="AA403">
        <v>1181</v>
      </c>
      <c r="AB403">
        <v>21876660696.240002</v>
      </c>
      <c r="AC403">
        <v>69.352445294175297</v>
      </c>
    </row>
    <row r="404" spans="1:29" x14ac:dyDescent="0.25">
      <c r="A404" t="s">
        <v>8</v>
      </c>
      <c r="B404" s="1">
        <v>41852</v>
      </c>
      <c r="C404">
        <v>1898</v>
      </c>
      <c r="D404">
        <v>48306769923.019997</v>
      </c>
      <c r="E404">
        <v>11.4000561949484</v>
      </c>
      <c r="Y404" t="s">
        <v>16</v>
      </c>
      <c r="Z404" s="1">
        <v>41883</v>
      </c>
      <c r="AA404">
        <v>3414</v>
      </c>
      <c r="AB404">
        <v>36064929252.449997</v>
      </c>
      <c r="AC404">
        <v>7.6596259164893601</v>
      </c>
    </row>
    <row r="405" spans="1:29" x14ac:dyDescent="0.25">
      <c r="A405" t="s">
        <v>9</v>
      </c>
      <c r="B405" s="1">
        <v>41852</v>
      </c>
      <c r="C405">
        <v>1198</v>
      </c>
      <c r="D405">
        <v>39294654817.349998</v>
      </c>
      <c r="E405">
        <v>10.008637869189499</v>
      </c>
      <c r="Y405" t="s">
        <v>17</v>
      </c>
      <c r="Z405" s="1">
        <v>41883</v>
      </c>
      <c r="AA405">
        <v>2081</v>
      </c>
      <c r="AB405">
        <v>25426007923.25</v>
      </c>
      <c r="AC405">
        <v>6.5736268400114204</v>
      </c>
    </row>
    <row r="406" spans="1:29" x14ac:dyDescent="0.25">
      <c r="A406" t="s">
        <v>7</v>
      </c>
      <c r="B406" s="1">
        <v>41883</v>
      </c>
      <c r="C406">
        <v>2087</v>
      </c>
      <c r="D406">
        <v>55645540533.309998</v>
      </c>
      <c r="E406">
        <v>56.356231087793297</v>
      </c>
      <c r="Y406" t="s">
        <v>14</v>
      </c>
      <c r="Z406" s="1">
        <v>41913</v>
      </c>
      <c r="AA406">
        <v>167776</v>
      </c>
      <c r="AB406">
        <v>977830257289.84998</v>
      </c>
      <c r="AC406">
        <v>37.346854855505697</v>
      </c>
    </row>
    <row r="407" spans="1:29" x14ac:dyDescent="0.25">
      <c r="A407" t="s">
        <v>5</v>
      </c>
      <c r="B407" s="1">
        <v>41883</v>
      </c>
      <c r="C407">
        <v>299871</v>
      </c>
      <c r="D407">
        <v>1670343938037</v>
      </c>
      <c r="E407">
        <v>41.230501122969898</v>
      </c>
      <c r="Y407" t="s">
        <v>15</v>
      </c>
      <c r="Z407" s="1">
        <v>41913</v>
      </c>
      <c r="AA407">
        <v>1195</v>
      </c>
      <c r="AB407">
        <v>22145863654.419998</v>
      </c>
      <c r="AC407">
        <v>69.164249732026903</v>
      </c>
    </row>
    <row r="408" spans="1:29" x14ac:dyDescent="0.25">
      <c r="A408" t="s">
        <v>8</v>
      </c>
      <c r="B408" s="1">
        <v>41883</v>
      </c>
      <c r="C408">
        <v>1915</v>
      </c>
      <c r="D408">
        <v>48102232418.32</v>
      </c>
      <c r="E408">
        <v>11.3929747383534</v>
      </c>
      <c r="Y408" t="s">
        <v>16</v>
      </c>
      <c r="Z408" s="1">
        <v>41913</v>
      </c>
      <c r="AA408">
        <v>3450</v>
      </c>
      <c r="AB408">
        <v>35877576846.68</v>
      </c>
      <c r="AC408">
        <v>7.6956982489493297</v>
      </c>
    </row>
    <row r="409" spans="1:29" x14ac:dyDescent="0.25">
      <c r="A409" t="s">
        <v>9</v>
      </c>
      <c r="B409" s="1">
        <v>41883</v>
      </c>
      <c r="C409">
        <v>1209</v>
      </c>
      <c r="D409">
        <v>39192835810.529999</v>
      </c>
      <c r="E409">
        <v>10.008443620452599</v>
      </c>
      <c r="Y409" t="s">
        <v>17</v>
      </c>
      <c r="Z409" s="1">
        <v>41913</v>
      </c>
      <c r="AA409">
        <v>2099</v>
      </c>
      <c r="AB409">
        <v>25334386957.700001</v>
      </c>
      <c r="AC409">
        <v>6.5821724707573601</v>
      </c>
    </row>
    <row r="410" spans="1:29" x14ac:dyDescent="0.25">
      <c r="A410" t="s">
        <v>7</v>
      </c>
      <c r="B410" s="1">
        <v>41913</v>
      </c>
      <c r="C410">
        <v>2090</v>
      </c>
      <c r="D410">
        <v>55621264788.639999</v>
      </c>
      <c r="E410">
        <v>56.5913664429766</v>
      </c>
      <c r="Y410" t="s">
        <v>14</v>
      </c>
      <c r="Z410" s="1">
        <v>41944</v>
      </c>
      <c r="AA410">
        <v>167725</v>
      </c>
      <c r="AB410">
        <v>984220465218.06006</v>
      </c>
      <c r="AC410">
        <v>37.604928084510803</v>
      </c>
    </row>
    <row r="411" spans="1:29" x14ac:dyDescent="0.25">
      <c r="A411" t="s">
        <v>5</v>
      </c>
      <c r="B411" s="1">
        <v>41913</v>
      </c>
      <c r="C411">
        <v>300262</v>
      </c>
      <c r="D411">
        <v>1676850309557.6299</v>
      </c>
      <c r="E411">
        <v>41.343651206376599</v>
      </c>
      <c r="Y411" t="s">
        <v>15</v>
      </c>
      <c r="Z411" s="1">
        <v>41944</v>
      </c>
      <c r="AA411">
        <v>1204</v>
      </c>
      <c r="AB411">
        <v>22469954705.310001</v>
      </c>
      <c r="AC411">
        <v>69.108086019800396</v>
      </c>
    </row>
    <row r="412" spans="1:29" x14ac:dyDescent="0.25">
      <c r="A412" t="s">
        <v>8</v>
      </c>
      <c r="B412" s="1">
        <v>41913</v>
      </c>
      <c r="C412">
        <v>1926</v>
      </c>
      <c r="D412">
        <v>47890424521.330002</v>
      </c>
      <c r="E412">
        <v>11.4007178927874</v>
      </c>
      <c r="Y412" t="s">
        <v>16</v>
      </c>
      <c r="Z412" s="1">
        <v>41944</v>
      </c>
      <c r="AA412">
        <v>3481</v>
      </c>
      <c r="AB412">
        <v>35684652551.809998</v>
      </c>
      <c r="AC412">
        <v>7.7279540619563498</v>
      </c>
    </row>
    <row r="413" spans="1:29" x14ac:dyDescent="0.25">
      <c r="A413" t="s">
        <v>9</v>
      </c>
      <c r="B413" s="1">
        <v>41913</v>
      </c>
      <c r="C413">
        <v>1218</v>
      </c>
      <c r="D413">
        <v>39081676749.080002</v>
      </c>
      <c r="E413">
        <v>10.0136348471696</v>
      </c>
      <c r="Y413" t="s">
        <v>17</v>
      </c>
      <c r="Z413" s="1">
        <v>41944</v>
      </c>
      <c r="AA413">
        <v>2118</v>
      </c>
      <c r="AB413">
        <v>25256586100.18</v>
      </c>
      <c r="AC413">
        <v>6.5817951889563897</v>
      </c>
    </row>
    <row r="414" spans="1:29" x14ac:dyDescent="0.25">
      <c r="A414" t="s">
        <v>7</v>
      </c>
      <c r="B414" s="1">
        <v>41944</v>
      </c>
      <c r="C414">
        <v>2089</v>
      </c>
      <c r="D414">
        <v>55366832140.669998</v>
      </c>
      <c r="E414">
        <v>56.647323457477498</v>
      </c>
      <c r="Y414" t="s">
        <v>14</v>
      </c>
      <c r="Z414" s="1">
        <v>41974</v>
      </c>
      <c r="AA414">
        <v>167748</v>
      </c>
      <c r="AB414">
        <v>988907164368.56995</v>
      </c>
      <c r="AC414">
        <v>37.847037204352901</v>
      </c>
    </row>
    <row r="415" spans="1:29" x14ac:dyDescent="0.25">
      <c r="A415" t="s">
        <v>5</v>
      </c>
      <c r="B415" s="1">
        <v>41944</v>
      </c>
      <c r="C415">
        <v>300784</v>
      </c>
      <c r="D415">
        <v>1684277646790.8601</v>
      </c>
      <c r="E415">
        <v>41.401183483495501</v>
      </c>
      <c r="Y415" t="s">
        <v>15</v>
      </c>
      <c r="Z415" s="1">
        <v>41974</v>
      </c>
      <c r="AA415">
        <v>1215</v>
      </c>
      <c r="AB415">
        <v>22783477587.259998</v>
      </c>
      <c r="AC415">
        <v>68.9923740754802</v>
      </c>
    </row>
    <row r="416" spans="1:29" x14ac:dyDescent="0.25">
      <c r="A416" t="s">
        <v>8</v>
      </c>
      <c r="B416" s="1">
        <v>41944</v>
      </c>
      <c r="C416">
        <v>1935</v>
      </c>
      <c r="D416">
        <v>47664710255.110001</v>
      </c>
      <c r="E416">
        <v>11.389477929322499</v>
      </c>
      <c r="Y416" t="s">
        <v>16</v>
      </c>
      <c r="Z416" s="1">
        <v>41974</v>
      </c>
      <c r="AA416">
        <v>3515</v>
      </c>
      <c r="AB416">
        <v>35503193244.68</v>
      </c>
      <c r="AC416">
        <v>7.7653328649918096</v>
      </c>
    </row>
    <row r="417" spans="1:29" x14ac:dyDescent="0.25">
      <c r="A417" t="s">
        <v>9</v>
      </c>
      <c r="B417" s="1">
        <v>41944</v>
      </c>
      <c r="C417">
        <v>1229</v>
      </c>
      <c r="D417">
        <v>38971879224.970001</v>
      </c>
      <c r="E417">
        <v>10.0053613033938</v>
      </c>
      <c r="Y417" t="s">
        <v>17</v>
      </c>
      <c r="Z417" s="1">
        <v>41974</v>
      </c>
      <c r="AA417">
        <v>2137</v>
      </c>
      <c r="AB417">
        <v>25157857048.23</v>
      </c>
      <c r="AC417">
        <v>6.6026371427775503</v>
      </c>
    </row>
    <row r="418" spans="1:29" x14ac:dyDescent="0.25">
      <c r="A418" t="s">
        <v>7</v>
      </c>
      <c r="B418" s="1">
        <v>41974</v>
      </c>
      <c r="C418">
        <v>2093</v>
      </c>
      <c r="D418">
        <v>55101250894.25</v>
      </c>
      <c r="E418">
        <v>56.609313053964698</v>
      </c>
      <c r="Y418" t="s">
        <v>14</v>
      </c>
      <c r="Z418" s="1">
        <v>42005</v>
      </c>
      <c r="AA418">
        <v>167726</v>
      </c>
      <c r="AB418">
        <v>991733333950.96997</v>
      </c>
      <c r="AC418">
        <v>37.958828940919602</v>
      </c>
    </row>
    <row r="419" spans="1:29" x14ac:dyDescent="0.25">
      <c r="A419" t="s">
        <v>5</v>
      </c>
      <c r="B419" s="1">
        <v>41974</v>
      </c>
      <c r="C419">
        <v>301174</v>
      </c>
      <c r="D419">
        <v>1685362593546.73</v>
      </c>
      <c r="E419">
        <v>41.392233911246898</v>
      </c>
      <c r="Y419" t="s">
        <v>15</v>
      </c>
      <c r="Z419" s="1">
        <v>42005</v>
      </c>
      <c r="AA419">
        <v>1231</v>
      </c>
      <c r="AB419">
        <v>23102138271.23</v>
      </c>
      <c r="AC419">
        <v>68.784940414577306</v>
      </c>
    </row>
    <row r="420" spans="1:29" x14ac:dyDescent="0.25">
      <c r="A420" t="s">
        <v>8</v>
      </c>
      <c r="B420" s="1">
        <v>41974</v>
      </c>
      <c r="C420">
        <v>1943</v>
      </c>
      <c r="D420">
        <v>47405248626.07</v>
      </c>
      <c r="E420">
        <v>11.411398648258899</v>
      </c>
      <c r="Y420" t="s">
        <v>16</v>
      </c>
      <c r="Z420" s="1">
        <v>42005</v>
      </c>
      <c r="AA420">
        <v>3548</v>
      </c>
      <c r="AB420">
        <v>35322618934.839996</v>
      </c>
      <c r="AC420">
        <v>7.78145870082668</v>
      </c>
    </row>
    <row r="421" spans="1:29" x14ac:dyDescent="0.25">
      <c r="A421" t="s">
        <v>9</v>
      </c>
      <c r="B421" s="1">
        <v>41974</v>
      </c>
      <c r="C421">
        <v>1234</v>
      </c>
      <c r="D421">
        <v>38837765170.470001</v>
      </c>
      <c r="E421">
        <v>10.030960465518399</v>
      </c>
      <c r="Y421" t="s">
        <v>17</v>
      </c>
      <c r="Z421" s="1">
        <v>42005</v>
      </c>
      <c r="AA421">
        <v>2158</v>
      </c>
      <c r="AB421">
        <v>25084444553.189999</v>
      </c>
      <c r="AC421">
        <v>6.6045174358884902</v>
      </c>
    </row>
    <row r="422" spans="1:29" x14ac:dyDescent="0.25">
      <c r="A422" t="s">
        <v>7</v>
      </c>
      <c r="B422" s="1">
        <v>42005</v>
      </c>
      <c r="C422">
        <v>2104</v>
      </c>
      <c r="D422">
        <v>54945293853.269997</v>
      </c>
      <c r="E422">
        <v>56.575762677632802</v>
      </c>
      <c r="Y422" t="s">
        <v>14</v>
      </c>
      <c r="Z422" s="1">
        <v>42036</v>
      </c>
      <c r="AA422">
        <v>167645</v>
      </c>
      <c r="AB422">
        <v>993598228853.71997</v>
      </c>
      <c r="AC422">
        <v>38.1329623977295</v>
      </c>
    </row>
    <row r="423" spans="1:29" x14ac:dyDescent="0.25">
      <c r="A423" t="s">
        <v>5</v>
      </c>
      <c r="B423" s="1">
        <v>42005</v>
      </c>
      <c r="C423">
        <v>301744</v>
      </c>
      <c r="D423">
        <v>1694662663304.0601</v>
      </c>
      <c r="E423">
        <v>41.420001405391197</v>
      </c>
      <c r="Y423" t="s">
        <v>15</v>
      </c>
      <c r="Z423" s="1">
        <v>42036</v>
      </c>
      <c r="AA423">
        <v>1242</v>
      </c>
      <c r="AB423">
        <v>23306814326.459999</v>
      </c>
      <c r="AC423">
        <v>68.531897021471096</v>
      </c>
    </row>
    <row r="424" spans="1:29" x14ac:dyDescent="0.25">
      <c r="A424" t="s">
        <v>8</v>
      </c>
      <c r="B424" s="1">
        <v>42005</v>
      </c>
      <c r="C424">
        <v>1957</v>
      </c>
      <c r="D424">
        <v>47210415269.309998</v>
      </c>
      <c r="E424">
        <v>11.3950944795839</v>
      </c>
      <c r="Y424" t="s">
        <v>16</v>
      </c>
      <c r="Z424" s="1">
        <v>42036</v>
      </c>
      <c r="AA424">
        <v>3575</v>
      </c>
      <c r="AB424">
        <v>35091353776.059998</v>
      </c>
      <c r="AC424">
        <v>7.8265464158801503</v>
      </c>
    </row>
    <row r="425" spans="1:29" x14ac:dyDescent="0.25">
      <c r="A425" t="s">
        <v>9</v>
      </c>
      <c r="B425" s="1">
        <v>42005</v>
      </c>
      <c r="C425">
        <v>1244</v>
      </c>
      <c r="D425">
        <v>38713428394.529999</v>
      </c>
      <c r="E425">
        <v>10.0225890543967</v>
      </c>
      <c r="Y425" t="s">
        <v>17</v>
      </c>
      <c r="Z425" s="1">
        <v>42036</v>
      </c>
      <c r="AA425">
        <v>2177</v>
      </c>
      <c r="AB425">
        <v>24979796045.34</v>
      </c>
      <c r="AC425">
        <v>6.6111286110277403</v>
      </c>
    </row>
    <row r="426" spans="1:29" x14ac:dyDescent="0.25">
      <c r="A426" t="s">
        <v>7</v>
      </c>
      <c r="B426" s="1">
        <v>42036</v>
      </c>
      <c r="C426">
        <v>2112</v>
      </c>
      <c r="D426">
        <v>54539779489.800003</v>
      </c>
      <c r="E426">
        <v>56.617766173499398</v>
      </c>
      <c r="Y426" t="s">
        <v>14</v>
      </c>
      <c r="Z426" s="1">
        <v>42064</v>
      </c>
      <c r="AA426">
        <v>167745</v>
      </c>
      <c r="AB426">
        <v>1002901485619.77</v>
      </c>
      <c r="AC426">
        <v>38.198023417596602</v>
      </c>
    </row>
    <row r="427" spans="1:29" x14ac:dyDescent="0.25">
      <c r="A427" t="s">
        <v>5</v>
      </c>
      <c r="B427" s="1">
        <v>42036</v>
      </c>
      <c r="C427">
        <v>302124</v>
      </c>
      <c r="D427">
        <v>1697793974754.6899</v>
      </c>
      <c r="E427">
        <v>41.4295179182621</v>
      </c>
      <c r="Y427" t="s">
        <v>15</v>
      </c>
      <c r="Z427" s="1">
        <v>42064</v>
      </c>
      <c r="AA427">
        <v>1254</v>
      </c>
      <c r="AB427">
        <v>23969868419.959999</v>
      </c>
      <c r="AC427">
        <v>67.479666645780199</v>
      </c>
    </row>
    <row r="428" spans="1:29" x14ac:dyDescent="0.25">
      <c r="A428" t="s">
        <v>8</v>
      </c>
      <c r="B428" s="1">
        <v>42036</v>
      </c>
      <c r="C428">
        <v>1967</v>
      </c>
      <c r="D428">
        <v>46941608230.800003</v>
      </c>
      <c r="E428">
        <v>11.4257415854049</v>
      </c>
      <c r="Y428" t="s">
        <v>16</v>
      </c>
      <c r="Z428" s="1">
        <v>42064</v>
      </c>
      <c r="AA428">
        <v>3608</v>
      </c>
      <c r="AB428">
        <v>34926354082.489998</v>
      </c>
      <c r="AC428">
        <v>7.8430088085751803</v>
      </c>
    </row>
    <row r="429" spans="1:29" x14ac:dyDescent="0.25">
      <c r="A429" t="s">
        <v>9</v>
      </c>
      <c r="B429" s="1">
        <v>42036</v>
      </c>
      <c r="C429">
        <v>1251</v>
      </c>
      <c r="D429">
        <v>38563701206.080002</v>
      </c>
      <c r="E429">
        <v>10.033172916204199</v>
      </c>
      <c r="Y429" t="s">
        <v>17</v>
      </c>
      <c r="Z429" s="1">
        <v>42064</v>
      </c>
      <c r="AA429">
        <v>2196</v>
      </c>
      <c r="AB429">
        <v>24896056870.400002</v>
      </c>
      <c r="AC429">
        <v>6.6137586113098603</v>
      </c>
    </row>
    <row r="430" spans="1:29" x14ac:dyDescent="0.25">
      <c r="A430" t="s">
        <v>7</v>
      </c>
      <c r="B430" s="1">
        <v>42064</v>
      </c>
      <c r="C430">
        <v>2123</v>
      </c>
      <c r="D430">
        <v>54424224378.089996</v>
      </c>
      <c r="E430">
        <v>56.513049916291799</v>
      </c>
      <c r="Y430" t="s">
        <v>14</v>
      </c>
      <c r="Z430" s="1">
        <v>42095</v>
      </c>
      <c r="AA430">
        <v>167791</v>
      </c>
      <c r="AB430">
        <v>1003389102237.77</v>
      </c>
      <c r="AC430">
        <v>38.320643443171797</v>
      </c>
    </row>
    <row r="431" spans="1:29" x14ac:dyDescent="0.25">
      <c r="A431" t="s">
        <v>5</v>
      </c>
      <c r="B431" s="1">
        <v>42064</v>
      </c>
      <c r="C431">
        <v>302604</v>
      </c>
      <c r="D431">
        <v>1701526727197.6599</v>
      </c>
      <c r="E431">
        <v>41.431583913752704</v>
      </c>
      <c r="Y431" t="s">
        <v>15</v>
      </c>
      <c r="Z431" s="1">
        <v>42095</v>
      </c>
      <c r="AA431">
        <v>1268</v>
      </c>
      <c r="AB431">
        <v>24432622348.700001</v>
      </c>
      <c r="AC431">
        <v>67.138986958818094</v>
      </c>
    </row>
    <row r="432" spans="1:29" x14ac:dyDescent="0.25">
      <c r="A432" t="s">
        <v>8</v>
      </c>
      <c r="B432" s="1">
        <v>42064</v>
      </c>
      <c r="C432">
        <v>1977</v>
      </c>
      <c r="D432">
        <v>46731480687.449997</v>
      </c>
      <c r="E432">
        <v>11.4323496445462</v>
      </c>
      <c r="Y432" t="s">
        <v>16</v>
      </c>
      <c r="Z432" s="1">
        <v>42095</v>
      </c>
      <c r="AA432">
        <v>3636</v>
      </c>
      <c r="AB432">
        <v>34721259988.510002</v>
      </c>
      <c r="AC432">
        <v>7.8633322372274304</v>
      </c>
    </row>
    <row r="433" spans="1:29" x14ac:dyDescent="0.25">
      <c r="A433" t="s">
        <v>9</v>
      </c>
      <c r="B433" s="1">
        <v>42064</v>
      </c>
      <c r="C433">
        <v>1258</v>
      </c>
      <c r="D433">
        <v>38419602868.800003</v>
      </c>
      <c r="E433">
        <v>10.044594881204199</v>
      </c>
      <c r="Y433" t="s">
        <v>17</v>
      </c>
      <c r="Z433" s="1">
        <v>42095</v>
      </c>
      <c r="AA433">
        <v>2218</v>
      </c>
      <c r="AB433">
        <v>24790138675.59</v>
      </c>
      <c r="AC433">
        <v>6.6261937686048302</v>
      </c>
    </row>
    <row r="434" spans="1:29" x14ac:dyDescent="0.25">
      <c r="A434" t="s">
        <v>7</v>
      </c>
      <c r="B434" s="1">
        <v>42095</v>
      </c>
      <c r="C434">
        <v>2127</v>
      </c>
      <c r="D434">
        <v>53980461373.160004</v>
      </c>
      <c r="E434">
        <v>56.328710957907902</v>
      </c>
      <c r="Y434" t="s">
        <v>14</v>
      </c>
      <c r="Z434" s="1">
        <v>42125</v>
      </c>
      <c r="AA434">
        <v>167754</v>
      </c>
      <c r="AB434">
        <v>1005967140686.14</v>
      </c>
      <c r="AC434">
        <v>38.410007138932599</v>
      </c>
    </row>
    <row r="435" spans="1:29" x14ac:dyDescent="0.25">
      <c r="A435" t="s">
        <v>5</v>
      </c>
      <c r="B435" s="1">
        <v>42095</v>
      </c>
      <c r="C435">
        <v>303067</v>
      </c>
      <c r="D435">
        <v>1705063723228.8799</v>
      </c>
      <c r="E435">
        <v>41.375947226311197</v>
      </c>
      <c r="Y435" t="s">
        <v>15</v>
      </c>
      <c r="Z435" s="1">
        <v>42125</v>
      </c>
      <c r="AA435">
        <v>1281</v>
      </c>
      <c r="AB435">
        <v>24516848923.099998</v>
      </c>
      <c r="AC435">
        <v>66.634769790780496</v>
      </c>
    </row>
    <row r="436" spans="1:29" x14ac:dyDescent="0.25">
      <c r="A436" t="s">
        <v>8</v>
      </c>
      <c r="B436" s="1">
        <v>42095</v>
      </c>
      <c r="C436">
        <v>1989</v>
      </c>
      <c r="D436">
        <v>46448619701.699997</v>
      </c>
      <c r="E436">
        <v>11.4473512149578</v>
      </c>
      <c r="Y436" t="s">
        <v>16</v>
      </c>
      <c r="Z436" s="1">
        <v>42125</v>
      </c>
      <c r="AA436">
        <v>3670</v>
      </c>
      <c r="AB436">
        <v>34432613377.599998</v>
      </c>
      <c r="AC436">
        <v>7.88444420895447</v>
      </c>
    </row>
    <row r="437" spans="1:29" x14ac:dyDescent="0.25">
      <c r="A437" t="s">
        <v>9</v>
      </c>
      <c r="B437" s="1">
        <v>42095</v>
      </c>
      <c r="C437">
        <v>1267</v>
      </c>
      <c r="D437">
        <v>38264484535.919998</v>
      </c>
      <c r="E437">
        <v>10.043630548384799</v>
      </c>
      <c r="Y437" t="s">
        <v>17</v>
      </c>
      <c r="Z437" s="1">
        <v>42125</v>
      </c>
      <c r="AA437">
        <v>2238</v>
      </c>
      <c r="AB437">
        <v>24665061611.119999</v>
      </c>
      <c r="AC437">
        <v>6.6287455794290899</v>
      </c>
    </row>
    <row r="438" spans="1:29" x14ac:dyDescent="0.25">
      <c r="A438" t="s">
        <v>7</v>
      </c>
      <c r="B438" s="1">
        <v>42125</v>
      </c>
      <c r="C438">
        <v>2130</v>
      </c>
      <c r="D438">
        <v>53334300236</v>
      </c>
      <c r="E438">
        <v>56.292809307133801</v>
      </c>
      <c r="Y438" t="s">
        <v>14</v>
      </c>
      <c r="Z438" s="1">
        <v>42156</v>
      </c>
      <c r="AA438">
        <v>167761</v>
      </c>
      <c r="AB438">
        <v>1011353959842.98</v>
      </c>
      <c r="AC438">
        <v>38.540293726756602</v>
      </c>
    </row>
    <row r="439" spans="1:29" x14ac:dyDescent="0.25">
      <c r="A439" t="s">
        <v>5</v>
      </c>
      <c r="B439" s="1">
        <v>42125</v>
      </c>
      <c r="C439">
        <v>303626</v>
      </c>
      <c r="D439">
        <v>1705465041251.01</v>
      </c>
      <c r="E439">
        <v>41.297202390886603</v>
      </c>
      <c r="Y439" t="s">
        <v>15</v>
      </c>
      <c r="Z439" s="1">
        <v>42156</v>
      </c>
      <c r="AA439">
        <v>1295</v>
      </c>
      <c r="AB439">
        <v>25168406921.459999</v>
      </c>
      <c r="AC439">
        <v>65.892006221837505</v>
      </c>
    </row>
    <row r="440" spans="1:29" x14ac:dyDescent="0.25">
      <c r="A440" t="s">
        <v>8</v>
      </c>
      <c r="B440" s="1">
        <v>42125</v>
      </c>
      <c r="C440">
        <v>2000</v>
      </c>
      <c r="D440">
        <v>46068741761.550003</v>
      </c>
      <c r="E440">
        <v>11.4487406357936</v>
      </c>
      <c r="Y440" t="s">
        <v>16</v>
      </c>
      <c r="Z440" s="1">
        <v>42156</v>
      </c>
      <c r="AA440">
        <v>3696</v>
      </c>
      <c r="AB440">
        <v>34121910893.049999</v>
      </c>
      <c r="AC440">
        <v>7.88461529982595</v>
      </c>
    </row>
    <row r="441" spans="1:29" x14ac:dyDescent="0.25">
      <c r="A441" t="s">
        <v>9</v>
      </c>
      <c r="B441" s="1">
        <v>42125</v>
      </c>
      <c r="C441">
        <v>1274</v>
      </c>
      <c r="D441">
        <v>38076849573.309998</v>
      </c>
      <c r="E441">
        <v>10.051319179239099</v>
      </c>
      <c r="Y441" t="s">
        <v>17</v>
      </c>
      <c r="Z441" s="1">
        <v>42156</v>
      </c>
      <c r="AA441">
        <v>2253</v>
      </c>
      <c r="AB441">
        <v>24529470414.07</v>
      </c>
      <c r="AC441">
        <v>6.6441894699765296</v>
      </c>
    </row>
    <row r="442" spans="1:29" x14ac:dyDescent="0.25">
      <c r="A442" t="s">
        <v>7</v>
      </c>
      <c r="B442" s="1">
        <v>42156</v>
      </c>
      <c r="C442">
        <v>2136</v>
      </c>
      <c r="D442">
        <v>52743944187.010002</v>
      </c>
      <c r="E442">
        <v>56.217603254707903</v>
      </c>
      <c r="Y442" t="s">
        <v>14</v>
      </c>
      <c r="Z442" s="1">
        <v>42186</v>
      </c>
      <c r="AA442">
        <v>167798</v>
      </c>
      <c r="AB442">
        <v>1019562376098.83</v>
      </c>
      <c r="AC442">
        <v>38.639714635483799</v>
      </c>
    </row>
    <row r="443" spans="1:29" x14ac:dyDescent="0.25">
      <c r="A443" t="s">
        <v>5</v>
      </c>
      <c r="B443" s="1">
        <v>42156</v>
      </c>
      <c r="C443">
        <v>304069</v>
      </c>
      <c r="D443">
        <v>1707243648596.95</v>
      </c>
      <c r="E443">
        <v>41.276649152192498</v>
      </c>
      <c r="Y443" t="s">
        <v>15</v>
      </c>
      <c r="Z443" s="1">
        <v>42186</v>
      </c>
      <c r="AA443">
        <v>1310</v>
      </c>
      <c r="AB443">
        <v>25818891940.32</v>
      </c>
      <c r="AC443">
        <v>64.807701450607198</v>
      </c>
    </row>
    <row r="444" spans="1:29" x14ac:dyDescent="0.25">
      <c r="A444" t="s">
        <v>8</v>
      </c>
      <c r="B444" s="1">
        <v>42156</v>
      </c>
      <c r="C444">
        <v>2010</v>
      </c>
      <c r="D444">
        <v>45680607740.449997</v>
      </c>
      <c r="E444">
        <v>11.4348511216647</v>
      </c>
      <c r="Y444" t="s">
        <v>16</v>
      </c>
      <c r="Z444" s="1">
        <v>42186</v>
      </c>
      <c r="AA444">
        <v>3719</v>
      </c>
      <c r="AB444">
        <v>33796473274.419998</v>
      </c>
      <c r="AC444">
        <v>7.88984314209433</v>
      </c>
    </row>
    <row r="445" spans="1:29" x14ac:dyDescent="0.25">
      <c r="A445" t="s">
        <v>9</v>
      </c>
      <c r="B445" s="1">
        <v>42156</v>
      </c>
      <c r="C445">
        <v>1284</v>
      </c>
      <c r="D445">
        <v>37874463420.110001</v>
      </c>
      <c r="E445">
        <v>10.038295481757499</v>
      </c>
      <c r="Y445" t="s">
        <v>17</v>
      </c>
      <c r="Z445" s="1">
        <v>42186</v>
      </c>
      <c r="AA445">
        <v>2270</v>
      </c>
      <c r="AB445">
        <v>24378497038.580002</v>
      </c>
      <c r="AC445">
        <v>6.6233608304540903</v>
      </c>
    </row>
    <row r="446" spans="1:29" x14ac:dyDescent="0.25">
      <c r="A446" t="s">
        <v>7</v>
      </c>
      <c r="B446" s="1">
        <v>42186</v>
      </c>
      <c r="C446">
        <v>2144</v>
      </c>
      <c r="D446">
        <v>53035541022.290001</v>
      </c>
      <c r="E446">
        <v>55.517665318327801</v>
      </c>
      <c r="Y446" t="s">
        <v>14</v>
      </c>
      <c r="Z446" s="1">
        <v>42217</v>
      </c>
      <c r="AA446">
        <v>167714</v>
      </c>
      <c r="AB446">
        <v>1026217511319.16</v>
      </c>
      <c r="AC446">
        <v>38.818369374535997</v>
      </c>
    </row>
    <row r="447" spans="1:29" x14ac:dyDescent="0.25">
      <c r="A447" t="s">
        <v>5</v>
      </c>
      <c r="B447" s="1">
        <v>42186</v>
      </c>
      <c r="C447">
        <v>304526</v>
      </c>
      <c r="D447">
        <v>1710074547945.3301</v>
      </c>
      <c r="E447">
        <v>41.237016315499503</v>
      </c>
      <c r="Y447" t="s">
        <v>15</v>
      </c>
      <c r="Z447" s="1">
        <v>42217</v>
      </c>
      <c r="AA447">
        <v>1325</v>
      </c>
      <c r="AB447">
        <v>26605889107.439999</v>
      </c>
      <c r="AC447">
        <v>64.400984503829307</v>
      </c>
    </row>
    <row r="448" spans="1:29" x14ac:dyDescent="0.25">
      <c r="A448" t="s">
        <v>8</v>
      </c>
      <c r="B448" s="1">
        <v>42186</v>
      </c>
      <c r="C448">
        <v>2021</v>
      </c>
      <c r="D448">
        <v>45283690761.019997</v>
      </c>
      <c r="E448">
        <v>11.413176930267101</v>
      </c>
      <c r="Y448" t="s">
        <v>16</v>
      </c>
      <c r="Z448" s="1">
        <v>42217</v>
      </c>
      <c r="AA448">
        <v>3743</v>
      </c>
      <c r="AB448">
        <v>33433534762.73</v>
      </c>
      <c r="AC448">
        <v>7.9047717277962004</v>
      </c>
    </row>
    <row r="449" spans="1:29" x14ac:dyDescent="0.25">
      <c r="A449" t="s">
        <v>9</v>
      </c>
      <c r="B449" s="1">
        <v>42186</v>
      </c>
      <c r="C449">
        <v>1291</v>
      </c>
      <c r="D449">
        <v>37654575557.940002</v>
      </c>
      <c r="E449">
        <v>10.027444030899</v>
      </c>
      <c r="Y449" t="s">
        <v>17</v>
      </c>
      <c r="Z449" s="1">
        <v>42217</v>
      </c>
      <c r="AA449">
        <v>2283</v>
      </c>
      <c r="AB449">
        <v>24214652965.389999</v>
      </c>
      <c r="AC449">
        <v>6.6174191789274301</v>
      </c>
    </row>
    <row r="450" spans="1:29" x14ac:dyDescent="0.25">
      <c r="A450" t="s">
        <v>7</v>
      </c>
      <c r="B450" s="1">
        <v>42217</v>
      </c>
      <c r="C450">
        <v>2149</v>
      </c>
      <c r="D450">
        <v>52795398936.43</v>
      </c>
      <c r="E450">
        <v>55.196281293918297</v>
      </c>
      <c r="Y450" t="s">
        <v>14</v>
      </c>
      <c r="Z450" s="1">
        <v>42248</v>
      </c>
      <c r="AA450">
        <v>167792</v>
      </c>
      <c r="AB450">
        <v>1030442115796.87</v>
      </c>
      <c r="AC450">
        <v>38.978333762469802</v>
      </c>
    </row>
    <row r="451" spans="1:29" x14ac:dyDescent="0.25">
      <c r="A451" t="s">
        <v>5</v>
      </c>
      <c r="B451" s="1">
        <v>42217</v>
      </c>
      <c r="C451">
        <v>304957</v>
      </c>
      <c r="D451">
        <v>1715173017738.5601</v>
      </c>
      <c r="E451">
        <v>41.238030389460498</v>
      </c>
      <c r="Y451" t="s">
        <v>15</v>
      </c>
      <c r="Z451" s="1">
        <v>42248</v>
      </c>
      <c r="AA451">
        <v>1343</v>
      </c>
      <c r="AB451">
        <v>27200307893.240002</v>
      </c>
      <c r="AC451">
        <v>64.512075593712694</v>
      </c>
    </row>
    <row r="452" spans="1:29" x14ac:dyDescent="0.25">
      <c r="A452" t="s">
        <v>8</v>
      </c>
      <c r="B452" s="1">
        <v>42217</v>
      </c>
      <c r="C452">
        <v>2034</v>
      </c>
      <c r="D452">
        <v>44830717499.190002</v>
      </c>
      <c r="E452">
        <v>11.433175164160501</v>
      </c>
      <c r="Y452" t="s">
        <v>16</v>
      </c>
      <c r="Z452" s="1">
        <v>42248</v>
      </c>
      <c r="AA452">
        <v>3765</v>
      </c>
      <c r="AB452">
        <v>33062256579.619999</v>
      </c>
      <c r="AC452">
        <v>7.9221132800994001</v>
      </c>
    </row>
    <row r="453" spans="1:29" x14ac:dyDescent="0.25">
      <c r="A453" t="s">
        <v>9</v>
      </c>
      <c r="B453" s="1">
        <v>42217</v>
      </c>
      <c r="C453">
        <v>1300</v>
      </c>
      <c r="D453">
        <v>37410876254.669998</v>
      </c>
      <c r="E453">
        <v>10.0193517038736</v>
      </c>
      <c r="Y453" t="s">
        <v>17</v>
      </c>
      <c r="Z453" s="1">
        <v>42248</v>
      </c>
      <c r="AA453">
        <v>2300</v>
      </c>
      <c r="AB453">
        <v>24053767752.169998</v>
      </c>
      <c r="AC453">
        <v>6.6108535027787996</v>
      </c>
    </row>
    <row r="454" spans="1:29" x14ac:dyDescent="0.25">
      <c r="A454" t="s">
        <v>7</v>
      </c>
      <c r="B454" s="1">
        <v>42248</v>
      </c>
      <c r="C454">
        <v>2162</v>
      </c>
      <c r="D454">
        <v>52770132887.830002</v>
      </c>
      <c r="E454">
        <v>54.960807018460699</v>
      </c>
      <c r="Y454" t="s">
        <v>14</v>
      </c>
      <c r="Z454" s="1">
        <v>42278</v>
      </c>
      <c r="AA454">
        <v>167839</v>
      </c>
      <c r="AB454">
        <v>1038047281338.8101</v>
      </c>
      <c r="AC454">
        <v>39.215656946433597</v>
      </c>
    </row>
    <row r="455" spans="1:29" x14ac:dyDescent="0.25">
      <c r="A455" t="s">
        <v>5</v>
      </c>
      <c r="B455" s="1">
        <v>42248</v>
      </c>
      <c r="C455">
        <v>305492</v>
      </c>
      <c r="D455">
        <v>1718096723563.3201</v>
      </c>
      <c r="E455">
        <v>41.222075065960802</v>
      </c>
      <c r="Y455" t="s">
        <v>15</v>
      </c>
      <c r="Z455" s="1">
        <v>42278</v>
      </c>
      <c r="AA455">
        <v>1349</v>
      </c>
      <c r="AB455">
        <v>27438877892.049999</v>
      </c>
      <c r="AC455">
        <v>64.187697841739904</v>
      </c>
    </row>
    <row r="456" spans="1:29" x14ac:dyDescent="0.25">
      <c r="A456" t="s">
        <v>8</v>
      </c>
      <c r="B456" s="1">
        <v>42248</v>
      </c>
      <c r="C456">
        <v>2042</v>
      </c>
      <c r="D456">
        <v>44381702236.650002</v>
      </c>
      <c r="E456">
        <v>11.4263631237241</v>
      </c>
      <c r="Y456" t="s">
        <v>16</v>
      </c>
      <c r="Z456" s="1">
        <v>42278</v>
      </c>
      <c r="AA456">
        <v>3785</v>
      </c>
      <c r="AB456">
        <v>32745329977.57</v>
      </c>
      <c r="AC456">
        <v>7.9330981422420903</v>
      </c>
    </row>
    <row r="457" spans="1:29" x14ac:dyDescent="0.25">
      <c r="A457" t="s">
        <v>9</v>
      </c>
      <c r="B457" s="1">
        <v>42248</v>
      </c>
      <c r="C457">
        <v>1307</v>
      </c>
      <c r="D457">
        <v>37159487080.809998</v>
      </c>
      <c r="E457">
        <v>10.013690901575</v>
      </c>
      <c r="Y457" t="s">
        <v>17</v>
      </c>
      <c r="Z457" s="1">
        <v>42278</v>
      </c>
      <c r="AA457">
        <v>2317</v>
      </c>
      <c r="AB457">
        <v>23899278644.869999</v>
      </c>
      <c r="AC457">
        <v>6.5964607972577403</v>
      </c>
    </row>
    <row r="458" spans="1:29" x14ac:dyDescent="0.25">
      <c r="A458" t="s">
        <v>7</v>
      </c>
      <c r="B458" s="1">
        <v>42278</v>
      </c>
      <c r="C458">
        <v>2173</v>
      </c>
      <c r="D458">
        <v>52633387839.209999</v>
      </c>
      <c r="E458">
        <v>54.787642698126703</v>
      </c>
      <c r="Y458" t="s">
        <v>14</v>
      </c>
      <c r="Z458" s="1">
        <v>42309</v>
      </c>
      <c r="AA458">
        <v>167892</v>
      </c>
      <c r="AB458">
        <v>1044720986839.0699</v>
      </c>
      <c r="AC458">
        <v>39.3520755091468</v>
      </c>
    </row>
    <row r="459" spans="1:29" x14ac:dyDescent="0.25">
      <c r="A459" t="s">
        <v>5</v>
      </c>
      <c r="B459" s="1">
        <v>42278</v>
      </c>
      <c r="C459">
        <v>306021</v>
      </c>
      <c r="D459">
        <v>1729227687203.3701</v>
      </c>
      <c r="E459">
        <v>41.196666288365599</v>
      </c>
      <c r="Y459" t="s">
        <v>15</v>
      </c>
      <c r="Z459" s="1">
        <v>42309</v>
      </c>
      <c r="AA459">
        <v>1359</v>
      </c>
      <c r="AB459">
        <v>27643915578</v>
      </c>
      <c r="AC459">
        <v>63.850570065920202</v>
      </c>
    </row>
    <row r="460" spans="1:29" x14ac:dyDescent="0.25">
      <c r="A460" t="s">
        <v>8</v>
      </c>
      <c r="B460" s="1">
        <v>42278</v>
      </c>
      <c r="C460">
        <v>2052</v>
      </c>
      <c r="D460">
        <v>44008637029.370003</v>
      </c>
      <c r="E460">
        <v>11.4193993232614</v>
      </c>
      <c r="Y460" t="s">
        <v>16</v>
      </c>
      <c r="Z460" s="1">
        <v>42309</v>
      </c>
      <c r="AA460">
        <v>3805</v>
      </c>
      <c r="AB460">
        <v>32422189268.450001</v>
      </c>
      <c r="AC460">
        <v>7.9436126540629397</v>
      </c>
    </row>
    <row r="461" spans="1:29" x14ac:dyDescent="0.25">
      <c r="A461" t="s">
        <v>9</v>
      </c>
      <c r="B461" s="1">
        <v>42278</v>
      </c>
      <c r="C461">
        <v>1315</v>
      </c>
      <c r="D461">
        <v>36939526623.260002</v>
      </c>
      <c r="E461">
        <v>10.012172178677201</v>
      </c>
      <c r="Y461" t="s">
        <v>17</v>
      </c>
      <c r="Z461" s="1">
        <v>42309</v>
      </c>
      <c r="AA461">
        <v>2330</v>
      </c>
      <c r="AB461">
        <v>23731834948.119999</v>
      </c>
      <c r="AC461">
        <v>6.6014852110770503</v>
      </c>
    </row>
    <row r="462" spans="1:29" x14ac:dyDescent="0.25">
      <c r="A462" t="s">
        <v>7</v>
      </c>
      <c r="B462" s="1">
        <v>42309</v>
      </c>
      <c r="C462">
        <v>2186</v>
      </c>
      <c r="D462">
        <v>52506624208.32</v>
      </c>
      <c r="E462">
        <v>54.656304872564498</v>
      </c>
      <c r="Y462" t="s">
        <v>14</v>
      </c>
      <c r="Z462" s="1">
        <v>42339</v>
      </c>
      <c r="AA462">
        <v>167821</v>
      </c>
      <c r="AB462">
        <v>1048282599235.3199</v>
      </c>
      <c r="AC462">
        <v>39.505816291523601</v>
      </c>
    </row>
    <row r="463" spans="1:29" x14ac:dyDescent="0.25">
      <c r="A463" t="s">
        <v>5</v>
      </c>
      <c r="B463" s="1">
        <v>42309</v>
      </c>
      <c r="C463">
        <v>306476</v>
      </c>
      <c r="D463">
        <v>1737379808198.2</v>
      </c>
      <c r="E463">
        <v>41.224075048833598</v>
      </c>
      <c r="Y463" t="s">
        <v>15</v>
      </c>
      <c r="Z463" s="1">
        <v>42339</v>
      </c>
      <c r="AA463">
        <v>1370</v>
      </c>
      <c r="AB463">
        <v>27590487841.060001</v>
      </c>
      <c r="AC463">
        <v>63.786120467533699</v>
      </c>
    </row>
    <row r="464" spans="1:29" x14ac:dyDescent="0.25">
      <c r="A464" t="s">
        <v>8</v>
      </c>
      <c r="B464" s="1">
        <v>42309</v>
      </c>
      <c r="C464">
        <v>2069</v>
      </c>
      <c r="D464">
        <v>43698985154.040001</v>
      </c>
      <c r="E464">
        <v>11.394420913548901</v>
      </c>
      <c r="Y464" t="s">
        <v>16</v>
      </c>
      <c r="Z464" s="1">
        <v>42339</v>
      </c>
      <c r="AA464">
        <v>3826</v>
      </c>
      <c r="AB464">
        <v>32128512653.16</v>
      </c>
      <c r="AC464">
        <v>7.9461813196343103</v>
      </c>
    </row>
    <row r="465" spans="1:29" x14ac:dyDescent="0.25">
      <c r="A465" t="s">
        <v>9</v>
      </c>
      <c r="B465" s="1">
        <v>42309</v>
      </c>
      <c r="C465">
        <v>1328</v>
      </c>
      <c r="D465">
        <v>36789617512.57</v>
      </c>
      <c r="E465">
        <v>9.9759508900854499</v>
      </c>
      <c r="Y465" t="s">
        <v>17</v>
      </c>
      <c r="Z465" s="1">
        <v>42339</v>
      </c>
      <c r="AA465">
        <v>2346</v>
      </c>
      <c r="AB465">
        <v>23575272898.580002</v>
      </c>
      <c r="AC465">
        <v>6.6015617836651002</v>
      </c>
    </row>
    <row r="466" spans="1:29" x14ac:dyDescent="0.25">
      <c r="A466" t="s">
        <v>7</v>
      </c>
      <c r="B466" s="1">
        <v>42339</v>
      </c>
      <c r="C466">
        <v>2195</v>
      </c>
      <c r="D466">
        <v>52316553177.239998</v>
      </c>
      <c r="E466">
        <v>54.5741129126476</v>
      </c>
      <c r="Y466" t="s">
        <v>14</v>
      </c>
      <c r="Z466" s="1">
        <v>42370</v>
      </c>
      <c r="AA466">
        <v>167786</v>
      </c>
      <c r="AB466">
        <v>1053135408462.49</v>
      </c>
      <c r="AC466">
        <v>39.655064582689398</v>
      </c>
    </row>
    <row r="467" spans="1:29" x14ac:dyDescent="0.25">
      <c r="A467" t="s">
        <v>5</v>
      </c>
      <c r="B467" s="1">
        <v>42339</v>
      </c>
      <c r="C467">
        <v>306761</v>
      </c>
      <c r="D467">
        <v>1734507571227.5901</v>
      </c>
      <c r="E467">
        <v>41.183459622241699</v>
      </c>
      <c r="Y467" t="s">
        <v>15</v>
      </c>
      <c r="Z467" s="1">
        <v>42370</v>
      </c>
      <c r="AA467">
        <v>1381</v>
      </c>
      <c r="AB467">
        <v>27568864683.950001</v>
      </c>
      <c r="AC467">
        <v>63.7314206882508</v>
      </c>
    </row>
    <row r="468" spans="1:29" x14ac:dyDescent="0.25">
      <c r="A468" t="s">
        <v>8</v>
      </c>
      <c r="B468" s="1">
        <v>42339</v>
      </c>
      <c r="C468">
        <v>2073</v>
      </c>
      <c r="D468">
        <v>43286317529.480003</v>
      </c>
      <c r="E468">
        <v>11.487409237129</v>
      </c>
      <c r="Y468" t="s">
        <v>16</v>
      </c>
      <c r="Z468" s="1">
        <v>42370</v>
      </c>
      <c r="AA468">
        <v>3844</v>
      </c>
      <c r="AB468">
        <v>31855645561.09</v>
      </c>
      <c r="AC468">
        <v>7.9596493519501399</v>
      </c>
    </row>
    <row r="469" spans="1:29" x14ac:dyDescent="0.25">
      <c r="A469" t="s">
        <v>9</v>
      </c>
      <c r="B469" s="1">
        <v>42339</v>
      </c>
      <c r="C469">
        <v>1332</v>
      </c>
      <c r="D469">
        <v>36550588239.07</v>
      </c>
      <c r="E469">
        <v>10.151531886325101</v>
      </c>
      <c r="Y469" t="s">
        <v>17</v>
      </c>
      <c r="Z469" s="1">
        <v>42370</v>
      </c>
      <c r="AA469">
        <v>2356</v>
      </c>
      <c r="AB469">
        <v>23422747348.59</v>
      </c>
      <c r="AC469">
        <v>6.6004661089559402</v>
      </c>
    </row>
    <row r="470" spans="1:29" x14ac:dyDescent="0.25">
      <c r="A470" t="s">
        <v>7</v>
      </c>
      <c r="B470" s="1">
        <v>42370</v>
      </c>
      <c r="C470">
        <v>2212</v>
      </c>
      <c r="D470">
        <v>52451800097.93</v>
      </c>
      <c r="E470">
        <v>54.240019637383398</v>
      </c>
      <c r="Y470" t="s">
        <v>14</v>
      </c>
      <c r="Z470" s="1">
        <v>42401</v>
      </c>
      <c r="AA470">
        <v>167674</v>
      </c>
      <c r="AB470">
        <v>1056501759559.97</v>
      </c>
      <c r="AC470">
        <v>39.711005092275201</v>
      </c>
    </row>
    <row r="471" spans="1:29" x14ac:dyDescent="0.25">
      <c r="A471" t="s">
        <v>5</v>
      </c>
      <c r="B471" s="1">
        <v>42370</v>
      </c>
      <c r="C471">
        <v>307158</v>
      </c>
      <c r="D471">
        <v>1742660147829.8999</v>
      </c>
      <c r="E471">
        <v>41.201769030992999</v>
      </c>
      <c r="Y471" t="s">
        <v>15</v>
      </c>
      <c r="Z471" s="1">
        <v>42401</v>
      </c>
      <c r="AA471">
        <v>1390</v>
      </c>
      <c r="AB471">
        <v>27574289474.23</v>
      </c>
      <c r="AC471">
        <v>63.589789940884202</v>
      </c>
    </row>
    <row r="472" spans="1:29" x14ac:dyDescent="0.25">
      <c r="A472" t="s">
        <v>8</v>
      </c>
      <c r="B472" s="1">
        <v>42370</v>
      </c>
      <c r="C472">
        <v>2082</v>
      </c>
      <c r="D472">
        <v>42975673769.300003</v>
      </c>
      <c r="E472">
        <v>11.478569622936799</v>
      </c>
      <c r="Y472" t="s">
        <v>16</v>
      </c>
      <c r="Z472" s="1">
        <v>42401</v>
      </c>
      <c r="AA472">
        <v>3860</v>
      </c>
      <c r="AB472">
        <v>31546738579.189999</v>
      </c>
      <c r="AC472">
        <v>7.9709122929351004</v>
      </c>
    </row>
    <row r="473" spans="1:29" x14ac:dyDescent="0.25">
      <c r="A473" t="s">
        <v>9</v>
      </c>
      <c r="B473" s="1">
        <v>42370</v>
      </c>
      <c r="C473">
        <v>1339</v>
      </c>
      <c r="D473">
        <v>36350171434.389999</v>
      </c>
      <c r="E473">
        <v>10.141755499199499</v>
      </c>
      <c r="Y473" t="s">
        <v>17</v>
      </c>
      <c r="Z473" s="1">
        <v>42401</v>
      </c>
      <c r="AA473">
        <v>2368</v>
      </c>
      <c r="AB473">
        <v>23264052426.27</v>
      </c>
      <c r="AC473">
        <v>6.6073653722588199</v>
      </c>
    </row>
    <row r="474" spans="1:29" x14ac:dyDescent="0.25">
      <c r="A474" t="s">
        <v>7</v>
      </c>
      <c r="B474" s="1">
        <v>42401</v>
      </c>
      <c r="C474">
        <v>2214</v>
      </c>
      <c r="D474">
        <v>52231231146.370003</v>
      </c>
      <c r="E474">
        <v>54.140792253632199</v>
      </c>
      <c r="Y474" t="s">
        <v>14</v>
      </c>
      <c r="Z474" s="1">
        <v>42430</v>
      </c>
      <c r="AA474">
        <v>167654</v>
      </c>
      <c r="AB474">
        <v>1061253383982.33</v>
      </c>
      <c r="AC474">
        <v>39.832374855413903</v>
      </c>
    </row>
    <row r="475" spans="1:29" x14ac:dyDescent="0.25">
      <c r="A475" t="s">
        <v>5</v>
      </c>
      <c r="B475" s="1">
        <v>42401</v>
      </c>
      <c r="C475">
        <v>307309</v>
      </c>
      <c r="D475">
        <v>1746557623903.75</v>
      </c>
      <c r="E475">
        <v>41.163498059336497</v>
      </c>
      <c r="Y475" t="s">
        <v>15</v>
      </c>
      <c r="Z475" s="1">
        <v>42430</v>
      </c>
      <c r="AA475">
        <v>1399</v>
      </c>
      <c r="AB475">
        <v>27584171144.939999</v>
      </c>
      <c r="AC475">
        <v>63.589486519970002</v>
      </c>
    </row>
    <row r="476" spans="1:29" x14ac:dyDescent="0.25">
      <c r="A476" t="s">
        <v>8</v>
      </c>
      <c r="B476" s="1">
        <v>42401</v>
      </c>
      <c r="C476">
        <v>2090</v>
      </c>
      <c r="D476">
        <v>42587228592.629997</v>
      </c>
      <c r="E476">
        <v>11.480645409167799</v>
      </c>
      <c r="Y476" t="s">
        <v>16</v>
      </c>
      <c r="Z476" s="1">
        <v>42430</v>
      </c>
      <c r="AA476">
        <v>3880</v>
      </c>
      <c r="AB476">
        <v>31316354843.400002</v>
      </c>
      <c r="AC476">
        <v>7.9914214771733603</v>
      </c>
    </row>
    <row r="477" spans="1:29" x14ac:dyDescent="0.25">
      <c r="A477" t="s">
        <v>9</v>
      </c>
      <c r="B477" s="1">
        <v>42401</v>
      </c>
      <c r="C477">
        <v>1343</v>
      </c>
      <c r="D477">
        <v>36103641907.169998</v>
      </c>
      <c r="E477">
        <v>10.1478029805526</v>
      </c>
      <c r="Y477" t="s">
        <v>17</v>
      </c>
      <c r="Z477" s="1">
        <v>42430</v>
      </c>
      <c r="AA477">
        <v>2380</v>
      </c>
      <c r="AB477">
        <v>23130415817.330002</v>
      </c>
      <c r="AC477">
        <v>6.6076268013864796</v>
      </c>
    </row>
    <row r="478" spans="1:29" x14ac:dyDescent="0.25">
      <c r="A478" t="s">
        <v>7</v>
      </c>
      <c r="B478" s="1">
        <v>42430</v>
      </c>
      <c r="C478">
        <v>2226</v>
      </c>
      <c r="D478">
        <v>52211453665.650002</v>
      </c>
      <c r="E478">
        <v>54.126370196884999</v>
      </c>
      <c r="Y478" t="s">
        <v>14</v>
      </c>
      <c r="Z478" s="1">
        <v>42461</v>
      </c>
      <c r="AA478">
        <v>167751</v>
      </c>
      <c r="AB478">
        <v>1067579655967.17</v>
      </c>
      <c r="AC478">
        <v>39.924363335264403</v>
      </c>
    </row>
    <row r="479" spans="1:29" x14ac:dyDescent="0.25">
      <c r="A479" t="s">
        <v>5</v>
      </c>
      <c r="B479" s="1">
        <v>42430</v>
      </c>
      <c r="C479">
        <v>307672</v>
      </c>
      <c r="D479">
        <v>1749230451883.8101</v>
      </c>
      <c r="E479">
        <v>41.126233586787698</v>
      </c>
      <c r="Y479" t="s">
        <v>15</v>
      </c>
      <c r="Z479" s="1">
        <v>42461</v>
      </c>
      <c r="AA479">
        <v>1410</v>
      </c>
      <c r="AB479">
        <v>27476452096.830002</v>
      </c>
      <c r="AC479">
        <v>63.447440834401903</v>
      </c>
    </row>
    <row r="480" spans="1:29" x14ac:dyDescent="0.25">
      <c r="A480" t="s">
        <v>8</v>
      </c>
      <c r="B480" s="1">
        <v>42430</v>
      </c>
      <c r="C480">
        <v>2098</v>
      </c>
      <c r="D480">
        <v>42314996395.470001</v>
      </c>
      <c r="E480">
        <v>11.485460568927399</v>
      </c>
      <c r="Y480" t="s">
        <v>16</v>
      </c>
      <c r="Z480" s="1">
        <v>42461</v>
      </c>
      <c r="AA480">
        <v>3899</v>
      </c>
      <c r="AB480">
        <v>31082070181.849998</v>
      </c>
      <c r="AC480">
        <v>8.0062257935376593</v>
      </c>
    </row>
    <row r="481" spans="1:29" x14ac:dyDescent="0.25">
      <c r="A481" t="s">
        <v>9</v>
      </c>
      <c r="B481" s="1">
        <v>42430</v>
      </c>
      <c r="C481">
        <v>1347</v>
      </c>
      <c r="D481">
        <v>35909399214.110001</v>
      </c>
      <c r="E481">
        <v>10.153422243206</v>
      </c>
      <c r="Y481" t="s">
        <v>17</v>
      </c>
      <c r="Z481" s="1">
        <v>42461</v>
      </c>
      <c r="AA481">
        <v>2389</v>
      </c>
      <c r="AB481">
        <v>22980966819.959999</v>
      </c>
      <c r="AC481">
        <v>6.60650730760306</v>
      </c>
    </row>
    <row r="482" spans="1:29" x14ac:dyDescent="0.25">
      <c r="A482" t="s">
        <v>7</v>
      </c>
      <c r="B482" s="1">
        <v>42461</v>
      </c>
      <c r="C482">
        <v>2236</v>
      </c>
      <c r="D482">
        <v>52408156377.43</v>
      </c>
      <c r="E482">
        <v>53.900630191098401</v>
      </c>
      <c r="Y482" t="s">
        <v>14</v>
      </c>
      <c r="Z482" s="1">
        <v>42491</v>
      </c>
      <c r="AA482">
        <v>167864</v>
      </c>
      <c r="AB482">
        <v>1070487060722.62</v>
      </c>
      <c r="AC482">
        <v>40.025254623885999</v>
      </c>
    </row>
    <row r="483" spans="1:29" x14ac:dyDescent="0.25">
      <c r="A483" t="s">
        <v>5</v>
      </c>
      <c r="B483" s="1">
        <v>42461</v>
      </c>
      <c r="C483">
        <v>308177</v>
      </c>
      <c r="D483">
        <v>1758381892008.99</v>
      </c>
      <c r="E483">
        <v>41.105025345408002</v>
      </c>
      <c r="Y483" t="s">
        <v>15</v>
      </c>
      <c r="Z483" s="1">
        <v>42491</v>
      </c>
      <c r="AA483">
        <v>1421</v>
      </c>
      <c r="AB483">
        <v>27342767829.869999</v>
      </c>
      <c r="AC483">
        <v>63.4156761883063</v>
      </c>
    </row>
    <row r="484" spans="1:29" x14ac:dyDescent="0.25">
      <c r="A484" t="s">
        <v>8</v>
      </c>
      <c r="B484" s="1">
        <v>42461</v>
      </c>
      <c r="C484">
        <v>2109</v>
      </c>
      <c r="D484">
        <v>42015385385.540001</v>
      </c>
      <c r="E484">
        <v>11.4722869594521</v>
      </c>
      <c r="Y484" t="s">
        <v>16</v>
      </c>
      <c r="Z484" s="1">
        <v>42491</v>
      </c>
      <c r="AA484">
        <v>3913</v>
      </c>
      <c r="AB484">
        <v>30768767902.790001</v>
      </c>
      <c r="AC484">
        <v>8.0198840433415395</v>
      </c>
    </row>
    <row r="485" spans="1:29" x14ac:dyDescent="0.25">
      <c r="A485" t="s">
        <v>9</v>
      </c>
      <c r="B485" s="1">
        <v>42461</v>
      </c>
      <c r="C485">
        <v>1356</v>
      </c>
      <c r="D485">
        <v>35708371081.940002</v>
      </c>
      <c r="E485">
        <v>10.148498974165699</v>
      </c>
      <c r="Y485" t="s">
        <v>17</v>
      </c>
      <c r="Z485" s="1">
        <v>42491</v>
      </c>
      <c r="AA485">
        <v>2400</v>
      </c>
      <c r="AB485">
        <v>22785497201.860001</v>
      </c>
      <c r="AC485">
        <v>6.6009121539904303</v>
      </c>
    </row>
    <row r="486" spans="1:29" x14ac:dyDescent="0.25">
      <c r="A486" t="s">
        <v>7</v>
      </c>
      <c r="B486" s="1">
        <v>42491</v>
      </c>
      <c r="C486">
        <v>2249</v>
      </c>
      <c r="D486">
        <v>52597600836.050003</v>
      </c>
      <c r="E486">
        <v>53.822852366503398</v>
      </c>
      <c r="Y486" t="s">
        <v>14</v>
      </c>
      <c r="Z486" s="1">
        <v>42522</v>
      </c>
      <c r="AA486">
        <v>167910</v>
      </c>
      <c r="AB486">
        <v>1077001935757.76</v>
      </c>
      <c r="AC486">
        <v>40.140372872434298</v>
      </c>
    </row>
    <row r="487" spans="1:29" x14ac:dyDescent="0.25">
      <c r="A487" t="s">
        <v>5</v>
      </c>
      <c r="B487" s="1">
        <v>42491</v>
      </c>
      <c r="C487">
        <v>308550</v>
      </c>
      <c r="D487">
        <v>1762538348889.95</v>
      </c>
      <c r="E487">
        <v>41.094582078711802</v>
      </c>
      <c r="Y487" t="s">
        <v>15</v>
      </c>
      <c r="Z487" s="1">
        <v>42522</v>
      </c>
      <c r="AA487">
        <v>1438</v>
      </c>
      <c r="AB487">
        <v>27468235077.57</v>
      </c>
      <c r="AC487">
        <v>63.504983291217698</v>
      </c>
    </row>
    <row r="488" spans="1:29" x14ac:dyDescent="0.25">
      <c r="A488" t="s">
        <v>8</v>
      </c>
      <c r="B488" s="1">
        <v>42491</v>
      </c>
      <c r="C488">
        <v>2122</v>
      </c>
      <c r="D488">
        <v>41605142128.040001</v>
      </c>
      <c r="E488">
        <v>11.448639516599799</v>
      </c>
      <c r="Y488" t="s">
        <v>16</v>
      </c>
      <c r="Z488" s="1">
        <v>42522</v>
      </c>
      <c r="AA488">
        <v>3929</v>
      </c>
      <c r="AB488">
        <v>30396299066.889999</v>
      </c>
      <c r="AC488">
        <v>8.0222268300754909</v>
      </c>
    </row>
    <row r="489" spans="1:29" x14ac:dyDescent="0.25">
      <c r="A489" t="s">
        <v>9</v>
      </c>
      <c r="B489" s="1">
        <v>42491</v>
      </c>
      <c r="C489">
        <v>1361</v>
      </c>
      <c r="D489">
        <v>35410457427.75</v>
      </c>
      <c r="E489">
        <v>10.1417714030542</v>
      </c>
      <c r="Y489" t="s">
        <v>17</v>
      </c>
      <c r="Z489" s="1">
        <v>42522</v>
      </c>
      <c r="AA489">
        <v>2409</v>
      </c>
      <c r="AB489">
        <v>22590823732.130001</v>
      </c>
      <c r="AC489">
        <v>6.5966274932975404</v>
      </c>
    </row>
    <row r="490" spans="1:29" x14ac:dyDescent="0.25">
      <c r="A490" t="s">
        <v>7</v>
      </c>
      <c r="B490" s="1">
        <v>42522</v>
      </c>
      <c r="C490">
        <v>2258</v>
      </c>
      <c r="D490">
        <v>52812767276.599998</v>
      </c>
      <c r="E490">
        <v>53.793219650096098</v>
      </c>
      <c r="Y490" t="s">
        <v>14</v>
      </c>
      <c r="Z490" s="1">
        <v>42552</v>
      </c>
      <c r="AA490">
        <v>167921</v>
      </c>
      <c r="AB490">
        <v>1083261344979.64</v>
      </c>
      <c r="AC490">
        <v>40.220795228503803</v>
      </c>
    </row>
    <row r="491" spans="1:29" x14ac:dyDescent="0.25">
      <c r="A491" t="s">
        <v>5</v>
      </c>
      <c r="B491" s="1">
        <v>42522</v>
      </c>
      <c r="C491">
        <v>308957</v>
      </c>
      <c r="D491">
        <v>1767039306438.99</v>
      </c>
      <c r="E491">
        <v>41.0717891340907</v>
      </c>
      <c r="Y491" t="s">
        <v>15</v>
      </c>
      <c r="Z491" s="1">
        <v>42552</v>
      </c>
      <c r="AA491">
        <v>1451</v>
      </c>
      <c r="AB491">
        <v>27606640319.299999</v>
      </c>
      <c r="AC491">
        <v>63.515127811740598</v>
      </c>
    </row>
    <row r="492" spans="1:29" x14ac:dyDescent="0.25">
      <c r="A492" t="s">
        <v>8</v>
      </c>
      <c r="B492" s="1">
        <v>42522</v>
      </c>
      <c r="C492">
        <v>2130</v>
      </c>
      <c r="D492">
        <v>41147928671</v>
      </c>
      <c r="E492">
        <v>11.4273106436679</v>
      </c>
      <c r="Y492" t="s">
        <v>16</v>
      </c>
      <c r="Z492" s="1">
        <v>42552</v>
      </c>
      <c r="AA492">
        <v>3942</v>
      </c>
      <c r="AB492">
        <v>30003341063.389999</v>
      </c>
      <c r="AC492">
        <v>8.0213645313227495</v>
      </c>
    </row>
    <row r="493" spans="1:29" x14ac:dyDescent="0.25">
      <c r="A493" t="s">
        <v>9</v>
      </c>
      <c r="B493" s="1">
        <v>42522</v>
      </c>
      <c r="C493">
        <v>1367</v>
      </c>
      <c r="D493">
        <v>35129109527.150002</v>
      </c>
      <c r="E493">
        <v>10.131110270941999</v>
      </c>
      <c r="Y493" t="s">
        <v>17</v>
      </c>
      <c r="Z493" s="1">
        <v>42552</v>
      </c>
      <c r="AA493">
        <v>2418</v>
      </c>
      <c r="AB493">
        <v>22369714888.02</v>
      </c>
      <c r="AC493">
        <v>6.5794968508660396</v>
      </c>
    </row>
    <row r="494" spans="1:29" x14ac:dyDescent="0.25">
      <c r="A494" t="s">
        <v>7</v>
      </c>
      <c r="B494" s="1">
        <v>42552</v>
      </c>
      <c r="C494">
        <v>2265</v>
      </c>
      <c r="D494">
        <v>53682511085.900002</v>
      </c>
      <c r="E494">
        <v>53.558350718732399</v>
      </c>
      <c r="Y494" t="s">
        <v>17</v>
      </c>
      <c r="Z494" s="1">
        <v>42583</v>
      </c>
      <c r="AA494">
        <v>2424</v>
      </c>
      <c r="AB494">
        <v>22125367840.490002</v>
      </c>
      <c r="AC494">
        <v>6.55373896860167</v>
      </c>
    </row>
    <row r="495" spans="1:29" x14ac:dyDescent="0.25">
      <c r="A495" t="s">
        <v>5</v>
      </c>
      <c r="B495" s="1">
        <v>42552</v>
      </c>
      <c r="C495">
        <v>309633</v>
      </c>
      <c r="D495">
        <v>1773173538779.0801</v>
      </c>
      <c r="E495">
        <v>41.052868699273198</v>
      </c>
      <c r="Y495" t="s">
        <v>15</v>
      </c>
      <c r="Z495" s="1">
        <v>42583</v>
      </c>
      <c r="AA495">
        <v>1457</v>
      </c>
      <c r="AB495">
        <v>27900162682.830002</v>
      </c>
      <c r="AC495">
        <v>63.627539001971002</v>
      </c>
    </row>
    <row r="496" spans="1:29" x14ac:dyDescent="0.25">
      <c r="A496" t="s">
        <v>8</v>
      </c>
      <c r="B496" s="1">
        <v>42552</v>
      </c>
      <c r="C496">
        <v>2137</v>
      </c>
      <c r="D496">
        <v>40666312136.339996</v>
      </c>
      <c r="E496">
        <v>11.413357054076</v>
      </c>
      <c r="Y496" t="s">
        <v>16</v>
      </c>
      <c r="Z496" s="1">
        <v>42583</v>
      </c>
      <c r="AA496">
        <v>3956</v>
      </c>
      <c r="AB496">
        <v>29549554388.610001</v>
      </c>
      <c r="AC496">
        <v>8.0366771540845203</v>
      </c>
    </row>
    <row r="497" spans="1:29" x14ac:dyDescent="0.25">
      <c r="A497" t="s">
        <v>9</v>
      </c>
      <c r="B497" s="1">
        <v>42552</v>
      </c>
      <c r="C497">
        <v>1374</v>
      </c>
      <c r="D497">
        <v>34806670533.199997</v>
      </c>
      <c r="E497">
        <v>10.110422353154799</v>
      </c>
      <c r="Y497" t="s">
        <v>14</v>
      </c>
      <c r="Z497" s="1">
        <v>42583</v>
      </c>
      <c r="AA497">
        <v>168004</v>
      </c>
      <c r="AB497">
        <v>1092091052362.51</v>
      </c>
      <c r="AC497">
        <v>40.306679420853897</v>
      </c>
    </row>
    <row r="498" spans="1:29" x14ac:dyDescent="0.25">
      <c r="A498" t="s">
        <v>9</v>
      </c>
      <c r="B498" s="1">
        <v>42583</v>
      </c>
      <c r="C498">
        <v>1380</v>
      </c>
      <c r="D498">
        <v>34436906908.110001</v>
      </c>
      <c r="E498">
        <v>10.1067773493444</v>
      </c>
      <c r="Y498" t="s">
        <v>15</v>
      </c>
      <c r="Z498" s="1">
        <v>42614</v>
      </c>
      <c r="AA498">
        <v>1466</v>
      </c>
      <c r="AB498">
        <v>27971451412.84</v>
      </c>
      <c r="AC498">
        <v>63.604151402603897</v>
      </c>
    </row>
    <row r="499" spans="1:29" x14ac:dyDescent="0.25">
      <c r="A499" t="s">
        <v>5</v>
      </c>
      <c r="B499" s="1">
        <v>42583</v>
      </c>
      <c r="C499">
        <v>310027</v>
      </c>
      <c r="D499">
        <v>1776650798767.21</v>
      </c>
      <c r="E499">
        <v>40.893643366204998</v>
      </c>
      <c r="Y499" t="s">
        <v>17</v>
      </c>
      <c r="Z499" s="1">
        <v>42614</v>
      </c>
      <c r="AA499">
        <v>2433</v>
      </c>
      <c r="AB499">
        <v>21895878252.380001</v>
      </c>
      <c r="AC499">
        <v>6.5422483573360299</v>
      </c>
    </row>
    <row r="500" spans="1:29" x14ac:dyDescent="0.25">
      <c r="A500" t="s">
        <v>8</v>
      </c>
      <c r="B500" s="1">
        <v>42583</v>
      </c>
      <c r="C500">
        <v>2143</v>
      </c>
      <c r="D500">
        <v>40108011455.849998</v>
      </c>
      <c r="E500">
        <v>11.390929425335999</v>
      </c>
      <c r="Y500" t="s">
        <v>14</v>
      </c>
      <c r="Z500" s="1">
        <v>42614</v>
      </c>
      <c r="AA500">
        <v>168203</v>
      </c>
      <c r="AB500">
        <v>1104025679684.96</v>
      </c>
      <c r="AC500">
        <v>40.400721206264201</v>
      </c>
    </row>
    <row r="501" spans="1:29" x14ac:dyDescent="0.25">
      <c r="A501" t="s">
        <v>7</v>
      </c>
      <c r="B501" s="1">
        <v>42583</v>
      </c>
      <c r="C501">
        <v>2278</v>
      </c>
      <c r="D501">
        <v>54334948049.68</v>
      </c>
      <c r="E501">
        <v>53.393376079986801</v>
      </c>
      <c r="Y501" t="s">
        <v>16</v>
      </c>
      <c r="Z501" s="1">
        <v>42614</v>
      </c>
      <c r="AA501">
        <v>3969</v>
      </c>
      <c r="AB501">
        <v>29142169991.91</v>
      </c>
      <c r="AC501">
        <v>8.04477969382698</v>
      </c>
    </row>
    <row r="502" spans="1:29" x14ac:dyDescent="0.25">
      <c r="A502" t="s">
        <v>5</v>
      </c>
      <c r="B502" s="1">
        <v>42614</v>
      </c>
      <c r="C502">
        <v>310733</v>
      </c>
      <c r="D502">
        <v>1788184749657.6001</v>
      </c>
      <c r="E502">
        <v>40.790713645569099</v>
      </c>
      <c r="Y502" t="s">
        <v>14</v>
      </c>
      <c r="Z502" s="1">
        <v>42644</v>
      </c>
      <c r="AA502">
        <v>168323</v>
      </c>
      <c r="AB502">
        <v>1112361826284.4299</v>
      </c>
      <c r="AC502">
        <v>40.515114373303298</v>
      </c>
    </row>
    <row r="503" spans="1:29" x14ac:dyDescent="0.25">
      <c r="A503" t="s">
        <v>9</v>
      </c>
      <c r="B503" s="1">
        <v>42614</v>
      </c>
      <c r="C503">
        <v>1385</v>
      </c>
      <c r="D503">
        <v>34088680556.189999</v>
      </c>
      <c r="E503">
        <v>10.0838918868234</v>
      </c>
      <c r="Y503" t="s">
        <v>15</v>
      </c>
      <c r="Z503" s="1">
        <v>42644</v>
      </c>
      <c r="AA503">
        <v>1480</v>
      </c>
      <c r="AB503">
        <v>28869997063.16</v>
      </c>
      <c r="AC503">
        <v>63.841860413294199</v>
      </c>
    </row>
    <row r="504" spans="1:29" x14ac:dyDescent="0.25">
      <c r="A504" t="s">
        <v>7</v>
      </c>
      <c r="B504" s="1">
        <v>42614</v>
      </c>
      <c r="C504">
        <v>2291</v>
      </c>
      <c r="D504">
        <v>55686999256.790001</v>
      </c>
      <c r="E504">
        <v>53.392407852365103</v>
      </c>
      <c r="Y504" t="s">
        <v>17</v>
      </c>
      <c r="Z504" s="1">
        <v>42644</v>
      </c>
      <c r="AA504">
        <v>2450</v>
      </c>
      <c r="AB504">
        <v>21624654083.630001</v>
      </c>
      <c r="AC504">
        <v>6.5256632656015201</v>
      </c>
    </row>
    <row r="505" spans="1:29" x14ac:dyDescent="0.25">
      <c r="A505" t="s">
        <v>8</v>
      </c>
      <c r="B505" s="1">
        <v>42614</v>
      </c>
      <c r="C505">
        <v>2148</v>
      </c>
      <c r="D505">
        <v>39586221687.860001</v>
      </c>
      <c r="E505">
        <v>11.3698394688909</v>
      </c>
      <c r="Y505" t="s">
        <v>16</v>
      </c>
      <c r="Z505" s="1">
        <v>42644</v>
      </c>
      <c r="AA505">
        <v>4021</v>
      </c>
      <c r="AB505">
        <v>28689194494.099998</v>
      </c>
      <c r="AC505">
        <v>8.0181321638142293</v>
      </c>
    </row>
    <row r="506" spans="1:29" x14ac:dyDescent="0.25">
      <c r="A506" t="s">
        <v>7</v>
      </c>
      <c r="B506" s="1">
        <v>42644</v>
      </c>
      <c r="C506">
        <v>2303</v>
      </c>
      <c r="D506">
        <v>56641834722.18</v>
      </c>
      <c r="E506">
        <v>53.089247452087498</v>
      </c>
    </row>
    <row r="507" spans="1:29" x14ac:dyDescent="0.25">
      <c r="A507" t="s">
        <v>5</v>
      </c>
      <c r="B507" s="1">
        <v>42644</v>
      </c>
      <c r="C507">
        <v>311376</v>
      </c>
      <c r="D507">
        <v>1794130472303.8501</v>
      </c>
      <c r="E507">
        <v>40.739078467885001</v>
      </c>
    </row>
    <row r="508" spans="1:29" x14ac:dyDescent="0.25">
      <c r="A508" t="s">
        <v>9</v>
      </c>
      <c r="B508" s="1">
        <v>42644</v>
      </c>
      <c r="C508">
        <v>1390</v>
      </c>
      <c r="D508">
        <v>33686513650.32</v>
      </c>
      <c r="E508">
        <v>10.0528456314007</v>
      </c>
    </row>
    <row r="509" spans="1:29" x14ac:dyDescent="0.25">
      <c r="A509" t="s">
        <v>8</v>
      </c>
      <c r="B509" s="1">
        <v>42644</v>
      </c>
      <c r="C509">
        <v>2155</v>
      </c>
      <c r="D509">
        <v>38990714989.599998</v>
      </c>
      <c r="E509">
        <v>11.336105511148499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09"/>
  <sheetViews>
    <sheetView workbookViewId="0">
      <selection activeCell="AC42" sqref="AC42"/>
    </sheetView>
  </sheetViews>
  <sheetFormatPr defaultRowHeight="15" x14ac:dyDescent="0.25"/>
  <cols>
    <col min="9" max="9" width="13.140625" bestFit="1" customWidth="1"/>
    <col min="10" max="10" width="12" customWidth="1"/>
    <col min="31" max="31" width="13.140625" bestFit="1" customWidth="1"/>
    <col min="32" max="32" width="12" customWidth="1"/>
  </cols>
  <sheetData>
    <row r="1" spans="1:37" x14ac:dyDescent="0.25">
      <c r="A1" t="s">
        <v>0</v>
      </c>
      <c r="C1" t="s">
        <v>2</v>
      </c>
      <c r="D1" t="s">
        <v>3</v>
      </c>
      <c r="E1" t="s">
        <v>19</v>
      </c>
      <c r="H1" t="s">
        <v>0</v>
      </c>
      <c r="I1" t="s">
        <v>1</v>
      </c>
      <c r="J1" t="s">
        <v>2</v>
      </c>
      <c r="K1" t="s">
        <v>3</v>
      </c>
      <c r="L1" t="s">
        <v>18</v>
      </c>
    </row>
    <row r="2" spans="1:37" x14ac:dyDescent="0.25">
      <c r="A2" t="s">
        <v>9</v>
      </c>
      <c r="B2" s="1">
        <v>41091</v>
      </c>
      <c r="C2">
        <v>91</v>
      </c>
      <c r="D2">
        <v>5555695171.1300001</v>
      </c>
      <c r="E2">
        <v>85.693415165300806</v>
      </c>
      <c r="H2" t="s">
        <v>17</v>
      </c>
      <c r="I2" s="1">
        <v>41091</v>
      </c>
      <c r="J2">
        <v>127</v>
      </c>
      <c r="K2">
        <v>6599126495.5600004</v>
      </c>
      <c r="L2">
        <v>100</v>
      </c>
      <c r="Z2" s="1"/>
      <c r="AI2" s="3"/>
      <c r="AJ2" s="5"/>
      <c r="AK2" s="5"/>
    </row>
    <row r="3" spans="1:37" x14ac:dyDescent="0.25">
      <c r="A3" t="s">
        <v>9</v>
      </c>
      <c r="B3" s="1">
        <v>41122</v>
      </c>
      <c r="C3">
        <v>156</v>
      </c>
      <c r="D3">
        <v>8754398274.3899994</v>
      </c>
      <c r="E3">
        <v>96.482340188406994</v>
      </c>
      <c r="H3" t="s">
        <v>17</v>
      </c>
      <c r="I3" s="1">
        <v>41122</v>
      </c>
      <c r="J3">
        <v>218</v>
      </c>
      <c r="K3">
        <v>8799458195.2600002</v>
      </c>
      <c r="L3">
        <v>100</v>
      </c>
      <c r="Z3" s="1"/>
      <c r="AI3" s="3"/>
      <c r="AJ3" s="5"/>
      <c r="AK3" s="5"/>
    </row>
    <row r="4" spans="1:37" x14ac:dyDescent="0.25">
      <c r="A4" t="s">
        <v>9</v>
      </c>
      <c r="B4" s="1">
        <v>41153</v>
      </c>
      <c r="C4">
        <v>210</v>
      </c>
      <c r="D4">
        <v>12053254300.4</v>
      </c>
      <c r="E4">
        <v>97.595426576825901</v>
      </c>
      <c r="H4" t="s">
        <v>17</v>
      </c>
      <c r="I4" s="3">
        <v>41153</v>
      </c>
      <c r="J4" s="5">
        <v>315</v>
      </c>
      <c r="K4">
        <v>10777885227.879999</v>
      </c>
      <c r="L4">
        <v>100</v>
      </c>
      <c r="Z4" s="1"/>
      <c r="AE4" s="3"/>
      <c r="AF4" s="5"/>
      <c r="AI4" s="3"/>
      <c r="AJ4" s="5"/>
      <c r="AK4" s="5"/>
    </row>
    <row r="5" spans="1:37" x14ac:dyDescent="0.25">
      <c r="A5" t="s">
        <v>9</v>
      </c>
      <c r="B5" s="1">
        <v>41183</v>
      </c>
      <c r="C5">
        <v>281</v>
      </c>
      <c r="D5">
        <v>15145163161.950001</v>
      </c>
      <c r="E5">
        <v>97.735807819908302</v>
      </c>
      <c r="H5" t="s">
        <v>17</v>
      </c>
      <c r="I5" s="3">
        <v>41183</v>
      </c>
      <c r="J5" s="5">
        <v>415</v>
      </c>
      <c r="K5">
        <v>12488997687</v>
      </c>
      <c r="L5">
        <v>100</v>
      </c>
      <c r="Z5" s="1"/>
      <c r="AE5" s="3"/>
      <c r="AF5" s="5"/>
      <c r="AI5" s="3"/>
      <c r="AJ5" s="5"/>
      <c r="AK5" s="5"/>
    </row>
    <row r="6" spans="1:37" x14ac:dyDescent="0.25">
      <c r="A6" t="s">
        <v>9</v>
      </c>
      <c r="B6" s="1">
        <v>41214</v>
      </c>
      <c r="C6">
        <v>339</v>
      </c>
      <c r="D6">
        <v>17141506906.68</v>
      </c>
      <c r="E6">
        <v>99.388632249045898</v>
      </c>
      <c r="H6" t="s">
        <v>17</v>
      </c>
      <c r="I6" s="3">
        <v>41214</v>
      </c>
      <c r="J6" s="5">
        <v>509</v>
      </c>
      <c r="K6">
        <v>13991619224.620001</v>
      </c>
      <c r="L6">
        <v>100</v>
      </c>
      <c r="Z6" s="1"/>
      <c r="AE6" s="3"/>
      <c r="AF6" s="5"/>
      <c r="AI6" s="3"/>
      <c r="AJ6" s="5"/>
      <c r="AK6" s="5"/>
    </row>
    <row r="7" spans="1:37" x14ac:dyDescent="0.25">
      <c r="A7" t="s">
        <v>9</v>
      </c>
      <c r="B7" s="1">
        <v>41244</v>
      </c>
      <c r="C7">
        <v>427</v>
      </c>
      <c r="D7">
        <v>20228876583.380001</v>
      </c>
      <c r="E7">
        <v>98.373309923175</v>
      </c>
      <c r="H7" t="s">
        <v>17</v>
      </c>
      <c r="I7" s="3">
        <v>41244</v>
      </c>
      <c r="J7" s="5">
        <v>623</v>
      </c>
      <c r="K7">
        <v>15791782055.450001</v>
      </c>
      <c r="L7">
        <v>100</v>
      </c>
      <c r="Z7" s="1"/>
      <c r="AE7" s="3"/>
      <c r="AF7" s="5"/>
      <c r="AI7" s="3"/>
      <c r="AJ7" s="5"/>
      <c r="AK7" s="5"/>
    </row>
    <row r="8" spans="1:37" x14ac:dyDescent="0.25">
      <c r="A8" t="s">
        <v>9</v>
      </c>
      <c r="B8" s="1">
        <v>41275</v>
      </c>
      <c r="C8">
        <v>493</v>
      </c>
      <c r="D8">
        <v>22634123601.41</v>
      </c>
      <c r="E8">
        <v>99.0863450566642</v>
      </c>
      <c r="H8" t="s">
        <v>17</v>
      </c>
      <c r="I8" s="3">
        <v>41275</v>
      </c>
      <c r="J8" s="5">
        <v>707</v>
      </c>
      <c r="K8">
        <v>16754712174.48</v>
      </c>
      <c r="L8">
        <v>100</v>
      </c>
      <c r="Z8" s="1"/>
      <c r="AE8" s="3"/>
      <c r="AF8" s="5"/>
      <c r="AI8" s="3"/>
      <c r="AJ8" s="5"/>
      <c r="AK8" s="5"/>
    </row>
    <row r="9" spans="1:37" x14ac:dyDescent="0.25">
      <c r="A9" t="s">
        <v>9</v>
      </c>
      <c r="B9" s="1">
        <v>41306</v>
      </c>
      <c r="C9">
        <v>572</v>
      </c>
      <c r="D9">
        <v>25710780014.439999</v>
      </c>
      <c r="E9">
        <v>98.995572343663</v>
      </c>
      <c r="H9" t="s">
        <v>17</v>
      </c>
      <c r="I9" s="3">
        <v>41306</v>
      </c>
      <c r="J9" s="5">
        <v>803</v>
      </c>
      <c r="K9">
        <v>17947136377.009998</v>
      </c>
      <c r="L9">
        <v>100</v>
      </c>
      <c r="Z9" s="1"/>
      <c r="AE9" s="3"/>
      <c r="AF9" s="5"/>
      <c r="AI9" s="3"/>
      <c r="AJ9" s="5"/>
      <c r="AK9" s="5"/>
    </row>
    <row r="10" spans="1:37" x14ac:dyDescent="0.25">
      <c r="A10" t="s">
        <v>9</v>
      </c>
      <c r="B10" s="1">
        <v>41334</v>
      </c>
      <c r="C10">
        <v>639</v>
      </c>
      <c r="D10">
        <v>27919269484.799999</v>
      </c>
      <c r="E10">
        <v>99.252271367276805</v>
      </c>
      <c r="H10" t="s">
        <v>17</v>
      </c>
      <c r="I10" s="3">
        <v>41334</v>
      </c>
      <c r="J10" s="5">
        <v>924</v>
      </c>
      <c r="K10">
        <v>19179632548.990002</v>
      </c>
      <c r="L10">
        <v>100</v>
      </c>
      <c r="Z10" s="1"/>
      <c r="AE10" s="3"/>
      <c r="AF10" s="5"/>
      <c r="AI10" s="3"/>
      <c r="AJ10" s="5"/>
      <c r="AK10" s="5"/>
    </row>
    <row r="11" spans="1:37" x14ac:dyDescent="0.25">
      <c r="A11" t="s">
        <v>9</v>
      </c>
      <c r="B11" s="1">
        <v>41365</v>
      </c>
      <c r="C11">
        <v>704</v>
      </c>
      <c r="D11">
        <v>30041763432.959999</v>
      </c>
      <c r="E11">
        <v>99.387780121561605</v>
      </c>
      <c r="H11" t="s">
        <v>17</v>
      </c>
      <c r="I11" s="3">
        <v>41365</v>
      </c>
      <c r="J11" s="5">
        <v>1042</v>
      </c>
      <c r="K11">
        <v>20590650800.080002</v>
      </c>
      <c r="L11">
        <v>100</v>
      </c>
      <c r="Z11" s="1"/>
      <c r="AE11" s="3"/>
      <c r="AF11" s="5"/>
      <c r="AI11" s="3"/>
      <c r="AJ11" s="5"/>
      <c r="AK11" s="5"/>
    </row>
    <row r="12" spans="1:37" x14ac:dyDescent="0.25">
      <c r="A12" t="s">
        <v>9</v>
      </c>
      <c r="B12" s="1">
        <v>41395</v>
      </c>
      <c r="C12">
        <v>760</v>
      </c>
      <c r="D12">
        <v>32087573394.82</v>
      </c>
      <c r="E12">
        <v>99.467069786297301</v>
      </c>
      <c r="H12" t="s">
        <v>17</v>
      </c>
      <c r="I12" s="3">
        <v>41395</v>
      </c>
      <c r="J12" s="5">
        <v>1149</v>
      </c>
      <c r="K12">
        <v>21763931987.459999</v>
      </c>
      <c r="L12">
        <v>100</v>
      </c>
      <c r="Z12" s="1"/>
      <c r="AE12" s="3"/>
      <c r="AF12" s="5"/>
      <c r="AI12" s="3"/>
      <c r="AJ12" s="5"/>
      <c r="AK12" s="5"/>
    </row>
    <row r="13" spans="1:37" x14ac:dyDescent="0.25">
      <c r="A13" t="s">
        <v>9</v>
      </c>
      <c r="B13" s="1">
        <v>41426</v>
      </c>
      <c r="C13">
        <v>806</v>
      </c>
      <c r="D13">
        <v>33554081959.810001</v>
      </c>
      <c r="E13">
        <v>99.577346548432203</v>
      </c>
      <c r="H13" t="s">
        <v>17</v>
      </c>
      <c r="I13" s="3">
        <v>41426</v>
      </c>
      <c r="J13" s="5">
        <v>1253</v>
      </c>
      <c r="K13">
        <v>22743332810.720001</v>
      </c>
      <c r="L13">
        <v>100</v>
      </c>
      <c r="Z13" s="1"/>
      <c r="AE13" s="3"/>
      <c r="AF13" s="5"/>
      <c r="AI13" s="3"/>
      <c r="AJ13" s="5"/>
      <c r="AK13" s="5"/>
    </row>
    <row r="14" spans="1:37" x14ac:dyDescent="0.25">
      <c r="A14" t="s">
        <v>9</v>
      </c>
      <c r="B14" s="1">
        <v>41456</v>
      </c>
      <c r="C14">
        <v>846</v>
      </c>
      <c r="D14">
        <v>34996952153.550003</v>
      </c>
      <c r="E14">
        <v>99.715091122871101</v>
      </c>
      <c r="H14" t="s">
        <v>17</v>
      </c>
      <c r="I14" s="3">
        <v>41456</v>
      </c>
      <c r="J14" s="5">
        <v>1350</v>
      </c>
      <c r="K14">
        <v>23549228231.41</v>
      </c>
      <c r="L14">
        <v>100</v>
      </c>
      <c r="Z14" s="1"/>
      <c r="AE14" s="3"/>
      <c r="AF14" s="5"/>
      <c r="AI14" s="3"/>
      <c r="AJ14" s="5"/>
      <c r="AK14" s="5"/>
    </row>
    <row r="15" spans="1:37" x14ac:dyDescent="0.25">
      <c r="A15" t="s">
        <v>9</v>
      </c>
      <c r="B15" s="1">
        <v>41487</v>
      </c>
      <c r="C15">
        <v>890</v>
      </c>
      <c r="D15">
        <v>36201078184.980003</v>
      </c>
      <c r="E15">
        <v>99.812700928302306</v>
      </c>
      <c r="H15" t="s">
        <v>17</v>
      </c>
      <c r="I15" s="3">
        <v>41487</v>
      </c>
      <c r="J15" s="5">
        <v>1432</v>
      </c>
      <c r="K15">
        <v>24174777291.66</v>
      </c>
      <c r="L15">
        <v>100</v>
      </c>
      <c r="Z15" s="1"/>
      <c r="AE15" s="3"/>
      <c r="AF15" s="5"/>
      <c r="AI15" s="3"/>
      <c r="AJ15" s="5"/>
      <c r="AK15" s="5"/>
    </row>
    <row r="16" spans="1:37" x14ac:dyDescent="0.25">
      <c r="A16" t="s">
        <v>9</v>
      </c>
      <c r="B16" s="1">
        <v>41518</v>
      </c>
      <c r="C16">
        <v>939</v>
      </c>
      <c r="D16">
        <v>37243354893.68</v>
      </c>
      <c r="E16">
        <v>99.827756629261401</v>
      </c>
      <c r="H16" t="s">
        <v>17</v>
      </c>
      <c r="I16" s="3">
        <v>41518</v>
      </c>
      <c r="J16" s="5">
        <v>1517</v>
      </c>
      <c r="K16">
        <v>24578473067.509998</v>
      </c>
      <c r="L16">
        <v>100</v>
      </c>
      <c r="Z16" s="1"/>
      <c r="AE16" s="3"/>
      <c r="AF16" s="5"/>
      <c r="AI16" s="3"/>
      <c r="AJ16" s="5"/>
      <c r="AK16" s="5"/>
    </row>
    <row r="17" spans="1:37" x14ac:dyDescent="0.25">
      <c r="A17" t="s">
        <v>9</v>
      </c>
      <c r="B17" s="1">
        <v>41548</v>
      </c>
      <c r="C17">
        <v>980</v>
      </c>
      <c r="D17">
        <v>37852364380.050003</v>
      </c>
      <c r="E17">
        <v>99.881741310528</v>
      </c>
      <c r="H17" t="s">
        <v>17</v>
      </c>
      <c r="I17" s="3">
        <v>41548</v>
      </c>
      <c r="J17" s="5">
        <v>1605</v>
      </c>
      <c r="K17">
        <v>24975426851.080002</v>
      </c>
      <c r="L17">
        <v>100</v>
      </c>
      <c r="Z17" s="1"/>
      <c r="AE17" s="3"/>
      <c r="AF17" s="5"/>
      <c r="AI17" s="3"/>
      <c r="AJ17" s="5"/>
      <c r="AK17" s="5"/>
    </row>
    <row r="18" spans="1:37" x14ac:dyDescent="0.25">
      <c r="A18" t="s">
        <v>9</v>
      </c>
      <c r="B18" s="1">
        <v>41579</v>
      </c>
      <c r="C18">
        <v>1016</v>
      </c>
      <c r="D18">
        <v>38288256348.959999</v>
      </c>
      <c r="E18">
        <v>99.901184069600404</v>
      </c>
      <c r="H18" t="s">
        <v>17</v>
      </c>
      <c r="I18" s="3">
        <v>41579</v>
      </c>
      <c r="J18" s="5">
        <v>1688</v>
      </c>
      <c r="K18">
        <v>25218431194.439999</v>
      </c>
      <c r="L18">
        <v>100</v>
      </c>
      <c r="Z18" s="1"/>
      <c r="AE18" s="3"/>
      <c r="AF18" s="5"/>
      <c r="AI18" s="3"/>
      <c r="AJ18" s="5"/>
      <c r="AK18" s="5"/>
    </row>
    <row r="19" spans="1:37" x14ac:dyDescent="0.25">
      <c r="A19" t="s">
        <v>9</v>
      </c>
      <c r="B19" s="1">
        <v>41609</v>
      </c>
      <c r="C19">
        <v>1053</v>
      </c>
      <c r="D19">
        <v>38615010697.739998</v>
      </c>
      <c r="E19">
        <v>99.935704560968901</v>
      </c>
      <c r="H19" t="s">
        <v>17</v>
      </c>
      <c r="I19" s="3">
        <v>41609</v>
      </c>
      <c r="J19" s="5">
        <v>1747</v>
      </c>
      <c r="K19">
        <v>25372731243.630001</v>
      </c>
      <c r="L19">
        <v>100</v>
      </c>
      <c r="Z19" s="1"/>
      <c r="AE19" s="3"/>
      <c r="AF19" s="5"/>
      <c r="AI19" s="3"/>
      <c r="AJ19" s="5"/>
      <c r="AK19" s="5"/>
    </row>
    <row r="20" spans="1:37" x14ac:dyDescent="0.25">
      <c r="A20" t="s">
        <v>9</v>
      </c>
      <c r="B20" s="1">
        <v>41640</v>
      </c>
      <c r="C20">
        <v>1080</v>
      </c>
      <c r="D20">
        <v>39260930004.410004</v>
      </c>
      <c r="E20">
        <v>99.349232414103994</v>
      </c>
      <c r="H20" t="s">
        <v>17</v>
      </c>
      <c r="I20" s="3">
        <v>41640</v>
      </c>
      <c r="J20" s="5">
        <v>1805</v>
      </c>
      <c r="K20">
        <v>25476399173.720001</v>
      </c>
      <c r="L20">
        <v>100</v>
      </c>
      <c r="Z20" s="1"/>
      <c r="AE20" s="3"/>
      <c r="AF20" s="5"/>
      <c r="AI20" s="3"/>
      <c r="AJ20" s="5"/>
      <c r="AK20" s="5"/>
    </row>
    <row r="21" spans="1:37" x14ac:dyDescent="0.25">
      <c r="A21" t="s">
        <v>9</v>
      </c>
      <c r="B21" s="1">
        <v>41671</v>
      </c>
      <c r="C21">
        <v>1104</v>
      </c>
      <c r="D21">
        <v>39416596215.529999</v>
      </c>
      <c r="E21">
        <v>99.955040284825401</v>
      </c>
      <c r="H21" t="s">
        <v>17</v>
      </c>
      <c r="I21" s="3">
        <v>41671</v>
      </c>
      <c r="J21" s="5">
        <v>1854</v>
      </c>
      <c r="K21">
        <v>25558725588.619999</v>
      </c>
      <c r="L21">
        <v>100</v>
      </c>
      <c r="Z21" s="1"/>
      <c r="AE21" s="3"/>
      <c r="AF21" s="5"/>
      <c r="AI21" s="3"/>
      <c r="AJ21" s="5"/>
      <c r="AK21" s="5"/>
    </row>
    <row r="22" spans="1:37" x14ac:dyDescent="0.25">
      <c r="A22" t="s">
        <v>9</v>
      </c>
      <c r="B22" s="1">
        <v>41699</v>
      </c>
      <c r="C22">
        <v>1126</v>
      </c>
      <c r="D22">
        <v>39507898369.230003</v>
      </c>
      <c r="E22">
        <v>99.964593840200493</v>
      </c>
      <c r="H22" t="s">
        <v>17</v>
      </c>
      <c r="I22" s="3">
        <v>41699</v>
      </c>
      <c r="J22" s="5">
        <v>1900</v>
      </c>
      <c r="K22">
        <v>25637606597.049999</v>
      </c>
      <c r="L22">
        <v>100</v>
      </c>
      <c r="Z22" s="1"/>
      <c r="AE22" s="3"/>
      <c r="AF22" s="5"/>
      <c r="AI22" s="3"/>
      <c r="AJ22" s="5"/>
      <c r="AK22" s="5"/>
    </row>
    <row r="23" spans="1:37" x14ac:dyDescent="0.25">
      <c r="A23" t="s">
        <v>9</v>
      </c>
      <c r="B23" s="1">
        <v>41730</v>
      </c>
      <c r="C23">
        <v>1146</v>
      </c>
      <c r="D23">
        <v>39554921006.989998</v>
      </c>
      <c r="E23">
        <v>99.969774070177195</v>
      </c>
      <c r="H23" t="s">
        <v>17</v>
      </c>
      <c r="I23" s="3">
        <v>41730</v>
      </c>
      <c r="J23" s="5">
        <v>1945</v>
      </c>
      <c r="K23">
        <v>25659837687.27</v>
      </c>
      <c r="L23">
        <v>100</v>
      </c>
      <c r="Z23" s="1"/>
      <c r="AE23" s="3"/>
      <c r="AF23" s="5"/>
      <c r="AI23" s="3"/>
      <c r="AJ23" s="5"/>
      <c r="AK23" s="5"/>
    </row>
    <row r="24" spans="1:37" x14ac:dyDescent="0.25">
      <c r="A24" t="s">
        <v>9</v>
      </c>
      <c r="B24" s="1">
        <v>41760</v>
      </c>
      <c r="C24">
        <v>1161</v>
      </c>
      <c r="D24">
        <v>39534993055.339996</v>
      </c>
      <c r="E24">
        <v>99.980512248290395</v>
      </c>
      <c r="H24" t="s">
        <v>17</v>
      </c>
      <c r="I24" s="3">
        <v>41760</v>
      </c>
      <c r="J24" s="5">
        <v>1977</v>
      </c>
      <c r="K24">
        <v>25645418956.459999</v>
      </c>
      <c r="L24">
        <v>100</v>
      </c>
      <c r="Z24" s="1"/>
      <c r="AE24" s="3"/>
      <c r="AF24" s="5"/>
      <c r="AI24" s="3"/>
      <c r="AJ24" s="5"/>
      <c r="AK24" s="5"/>
    </row>
    <row r="25" spans="1:37" x14ac:dyDescent="0.25">
      <c r="A25" t="s">
        <v>9</v>
      </c>
      <c r="B25" s="1">
        <v>41791</v>
      </c>
      <c r="C25">
        <v>1174</v>
      </c>
      <c r="D25">
        <v>39463404393.919998</v>
      </c>
      <c r="E25">
        <v>99.966894756355501</v>
      </c>
      <c r="H25" t="s">
        <v>17</v>
      </c>
      <c r="I25" s="3">
        <v>41791</v>
      </c>
      <c r="J25" s="5">
        <v>2006</v>
      </c>
      <c r="K25">
        <v>25616594460.360001</v>
      </c>
      <c r="L25">
        <v>100</v>
      </c>
      <c r="Z25" s="1"/>
      <c r="AE25" s="3"/>
      <c r="AF25" s="5"/>
      <c r="AI25" s="3"/>
      <c r="AJ25" s="5"/>
      <c r="AK25" s="5"/>
    </row>
    <row r="26" spans="1:37" x14ac:dyDescent="0.25">
      <c r="A26" t="s">
        <v>9</v>
      </c>
      <c r="B26" s="1">
        <v>41821</v>
      </c>
      <c r="C26">
        <v>1188</v>
      </c>
      <c r="D26">
        <v>39388794194.209999</v>
      </c>
      <c r="E26">
        <v>99.980470253348997</v>
      </c>
      <c r="H26" t="s">
        <v>17</v>
      </c>
      <c r="I26" s="3">
        <v>41821</v>
      </c>
      <c r="J26" s="5">
        <v>2033</v>
      </c>
      <c r="K26">
        <v>25567285813.18</v>
      </c>
      <c r="L26">
        <v>100</v>
      </c>
      <c r="Z26" s="1"/>
      <c r="AE26" s="3"/>
      <c r="AF26" s="5"/>
      <c r="AI26" s="3"/>
      <c r="AJ26" s="5"/>
      <c r="AK26" s="5"/>
    </row>
    <row r="27" spans="1:37" x14ac:dyDescent="0.25">
      <c r="A27" t="s">
        <v>9</v>
      </c>
      <c r="B27" s="1">
        <v>41852</v>
      </c>
      <c r="C27">
        <v>1198</v>
      </c>
      <c r="D27">
        <v>39294654817.349998</v>
      </c>
      <c r="E27">
        <v>99.978622896386099</v>
      </c>
      <c r="H27" t="s">
        <v>17</v>
      </c>
      <c r="I27" s="3">
        <v>41852</v>
      </c>
      <c r="J27" s="5">
        <v>2058</v>
      </c>
      <c r="K27">
        <v>25497572102.110001</v>
      </c>
      <c r="L27">
        <v>100</v>
      </c>
      <c r="Z27" s="1"/>
      <c r="AE27" s="3"/>
      <c r="AF27" s="5"/>
      <c r="AI27" s="3"/>
      <c r="AJ27" s="5"/>
      <c r="AK27" s="5"/>
    </row>
    <row r="28" spans="1:37" x14ac:dyDescent="0.25">
      <c r="A28" t="s">
        <v>9</v>
      </c>
      <c r="B28" s="1">
        <v>41883</v>
      </c>
      <c r="C28">
        <v>1209</v>
      </c>
      <c r="D28">
        <v>39192835810.529999</v>
      </c>
      <c r="E28">
        <v>99.981835523322601</v>
      </c>
      <c r="H28" t="s">
        <v>17</v>
      </c>
      <c r="I28" s="3">
        <v>41883</v>
      </c>
      <c r="J28" s="5">
        <v>2081</v>
      </c>
      <c r="K28">
        <v>25426007923.25</v>
      </c>
      <c r="L28">
        <v>100</v>
      </c>
      <c r="Z28" s="1"/>
      <c r="AE28" s="3"/>
      <c r="AF28" s="5"/>
      <c r="AI28" s="3"/>
      <c r="AJ28" s="5"/>
      <c r="AK28" s="5"/>
    </row>
    <row r="29" spans="1:37" x14ac:dyDescent="0.25">
      <c r="A29" t="s">
        <v>9</v>
      </c>
      <c r="B29" s="1">
        <v>41913</v>
      </c>
      <c r="C29">
        <v>1218</v>
      </c>
      <c r="D29">
        <v>39081676749.080002</v>
      </c>
      <c r="E29">
        <v>99.987654922968105</v>
      </c>
      <c r="H29" t="s">
        <v>17</v>
      </c>
      <c r="I29" s="3">
        <v>41913</v>
      </c>
      <c r="J29" s="5">
        <v>2099</v>
      </c>
      <c r="K29">
        <v>25334386957.700001</v>
      </c>
      <c r="L29">
        <v>100</v>
      </c>
      <c r="Z29" s="1"/>
      <c r="AE29" s="3"/>
      <c r="AF29" s="5"/>
      <c r="AI29" s="3"/>
      <c r="AJ29" s="5"/>
      <c r="AK29" s="5"/>
    </row>
    <row r="30" spans="1:37" x14ac:dyDescent="0.25">
      <c r="A30" t="s">
        <v>9</v>
      </c>
      <c r="B30" s="1">
        <v>41944</v>
      </c>
      <c r="C30">
        <v>1229</v>
      </c>
      <c r="D30">
        <v>38971879224.970001</v>
      </c>
      <c r="E30">
        <v>99.971222116939003</v>
      </c>
      <c r="H30" t="s">
        <v>17</v>
      </c>
      <c r="I30" s="3">
        <v>41944</v>
      </c>
      <c r="J30" s="5">
        <v>2118</v>
      </c>
      <c r="K30">
        <v>25256586100.18</v>
      </c>
      <c r="L30">
        <v>100</v>
      </c>
      <c r="Z30" s="1"/>
      <c r="AE30" s="3"/>
      <c r="AF30" s="5"/>
      <c r="AI30" s="3"/>
      <c r="AJ30" s="5"/>
      <c r="AK30" s="5"/>
    </row>
    <row r="31" spans="1:37" x14ac:dyDescent="0.25">
      <c r="A31" t="s">
        <v>9</v>
      </c>
      <c r="B31" s="1">
        <v>41974</v>
      </c>
      <c r="C31">
        <v>1234</v>
      </c>
      <c r="D31">
        <v>38837765170.470001</v>
      </c>
      <c r="E31">
        <v>100</v>
      </c>
      <c r="H31" t="s">
        <v>17</v>
      </c>
      <c r="I31" s="3">
        <v>41974</v>
      </c>
      <c r="J31" s="5">
        <v>2137</v>
      </c>
      <c r="K31">
        <v>25157857048.23</v>
      </c>
      <c r="L31">
        <v>100</v>
      </c>
      <c r="Z31" s="1"/>
      <c r="AE31" s="3"/>
      <c r="AF31" s="5"/>
      <c r="AI31" s="3"/>
      <c r="AJ31" s="5"/>
      <c r="AK31" s="5"/>
    </row>
    <row r="32" spans="1:37" x14ac:dyDescent="0.25">
      <c r="A32" t="s">
        <v>9</v>
      </c>
      <c r="B32" s="1">
        <v>42005</v>
      </c>
      <c r="C32">
        <v>1244</v>
      </c>
      <c r="D32">
        <v>38713428394.529999</v>
      </c>
      <c r="E32">
        <v>99.974829418036293</v>
      </c>
      <c r="H32" t="s">
        <v>17</v>
      </c>
      <c r="I32" s="3">
        <v>42005</v>
      </c>
      <c r="J32" s="5">
        <v>2158</v>
      </c>
      <c r="K32">
        <v>25084444553.189999</v>
      </c>
      <c r="L32">
        <v>100</v>
      </c>
      <c r="Z32" s="1"/>
      <c r="AE32" s="3"/>
      <c r="AF32" s="5"/>
      <c r="AI32" s="3"/>
      <c r="AJ32" s="5"/>
      <c r="AK32" s="5"/>
    </row>
    <row r="33" spans="1:37" x14ac:dyDescent="0.25">
      <c r="A33" t="s">
        <v>9</v>
      </c>
      <c r="B33" s="1">
        <v>42036</v>
      </c>
      <c r="C33">
        <v>1251</v>
      </c>
      <c r="D33">
        <v>38563701206.080002</v>
      </c>
      <c r="E33">
        <v>99.984892742351505</v>
      </c>
      <c r="H33" t="s">
        <v>17</v>
      </c>
      <c r="I33" s="3">
        <v>42036</v>
      </c>
      <c r="J33" s="5">
        <v>2177</v>
      </c>
      <c r="K33">
        <v>24979796045.34</v>
      </c>
      <c r="L33">
        <v>100</v>
      </c>
      <c r="Z33" s="1"/>
      <c r="AE33" s="3"/>
      <c r="AF33" s="5"/>
      <c r="AI33" s="3"/>
      <c r="AJ33" s="5"/>
      <c r="AK33" s="5"/>
    </row>
    <row r="34" spans="1:37" x14ac:dyDescent="0.25">
      <c r="A34" t="s">
        <v>9</v>
      </c>
      <c r="B34" s="1">
        <v>42064</v>
      </c>
      <c r="C34">
        <v>1258</v>
      </c>
      <c r="D34">
        <v>38419602868.800003</v>
      </c>
      <c r="E34">
        <v>99.989890919218297</v>
      </c>
      <c r="H34" t="s">
        <v>17</v>
      </c>
      <c r="I34" s="3">
        <v>42064</v>
      </c>
      <c r="J34" s="5">
        <v>2196</v>
      </c>
      <c r="K34">
        <v>24896056870.400002</v>
      </c>
      <c r="L34">
        <v>100</v>
      </c>
      <c r="Z34" s="1"/>
      <c r="AE34" s="3"/>
      <c r="AF34" s="5"/>
      <c r="AI34" s="3"/>
      <c r="AJ34" s="5"/>
      <c r="AK34" s="5"/>
    </row>
    <row r="35" spans="1:37" x14ac:dyDescent="0.25">
      <c r="A35" t="s">
        <v>9</v>
      </c>
      <c r="B35" s="1">
        <v>42095</v>
      </c>
      <c r="C35">
        <v>1267</v>
      </c>
      <c r="D35">
        <v>38264484535.919998</v>
      </c>
      <c r="E35">
        <v>99.980509885810605</v>
      </c>
      <c r="H35" t="s">
        <v>17</v>
      </c>
      <c r="I35" s="3">
        <v>42095</v>
      </c>
      <c r="J35" s="5">
        <v>2218</v>
      </c>
      <c r="K35">
        <v>24790138675.59</v>
      </c>
      <c r="L35">
        <v>100</v>
      </c>
      <c r="Z35" s="1"/>
      <c r="AE35" s="3"/>
      <c r="AF35" s="5"/>
      <c r="AI35" s="3"/>
      <c r="AJ35" s="5"/>
      <c r="AK35" s="5"/>
    </row>
    <row r="36" spans="1:37" x14ac:dyDescent="0.25">
      <c r="A36" t="s">
        <v>9</v>
      </c>
      <c r="B36" s="1">
        <v>42125</v>
      </c>
      <c r="C36">
        <v>1274</v>
      </c>
      <c r="D36">
        <v>38076849573.309998</v>
      </c>
      <c r="E36">
        <v>99.990338512294898</v>
      </c>
      <c r="H36" t="s">
        <v>17</v>
      </c>
      <c r="I36" s="3">
        <v>42125</v>
      </c>
      <c r="J36" s="5">
        <v>2238</v>
      </c>
      <c r="K36">
        <v>24665061611.119999</v>
      </c>
      <c r="L36">
        <v>100</v>
      </c>
      <c r="Z36" s="1"/>
      <c r="AE36" s="3"/>
      <c r="AF36" s="5"/>
      <c r="AI36" s="3"/>
      <c r="AJ36" s="5"/>
      <c r="AK36" s="5"/>
    </row>
    <row r="37" spans="1:37" x14ac:dyDescent="0.25">
      <c r="A37" t="s">
        <v>9</v>
      </c>
      <c r="B37" s="1">
        <v>42156</v>
      </c>
      <c r="C37">
        <v>1284</v>
      </c>
      <c r="D37">
        <v>37874463420.110001</v>
      </c>
      <c r="E37">
        <v>99.989036672958306</v>
      </c>
      <c r="H37" t="s">
        <v>17</v>
      </c>
      <c r="I37" s="3">
        <v>42156</v>
      </c>
      <c r="J37" s="5">
        <v>2253</v>
      </c>
      <c r="K37">
        <v>24529470414.07</v>
      </c>
      <c r="L37">
        <v>100</v>
      </c>
      <c r="Z37" s="1"/>
      <c r="AE37" s="3"/>
      <c r="AF37" s="5"/>
      <c r="AI37" s="3"/>
      <c r="AJ37" s="5"/>
      <c r="AK37" s="5"/>
    </row>
    <row r="38" spans="1:37" x14ac:dyDescent="0.25">
      <c r="A38" t="s">
        <v>9</v>
      </c>
      <c r="B38" s="1">
        <v>42186</v>
      </c>
      <c r="C38">
        <v>1291</v>
      </c>
      <c r="D38">
        <v>37654575557.940002</v>
      </c>
      <c r="E38">
        <v>99.979674291340103</v>
      </c>
      <c r="H38" t="s">
        <v>17</v>
      </c>
      <c r="I38" s="3">
        <v>42186</v>
      </c>
      <c r="J38" s="5">
        <v>2270</v>
      </c>
      <c r="K38">
        <v>24378497038.580002</v>
      </c>
      <c r="L38">
        <v>100</v>
      </c>
      <c r="Z38" s="1"/>
      <c r="AE38" s="3"/>
      <c r="AF38" s="5"/>
      <c r="AI38" s="3"/>
      <c r="AJ38" s="5"/>
      <c r="AK38" s="5"/>
    </row>
    <row r="39" spans="1:37" x14ac:dyDescent="0.25">
      <c r="A39" t="s">
        <v>9</v>
      </c>
      <c r="B39" s="1">
        <v>42217</v>
      </c>
      <c r="C39">
        <v>1300</v>
      </c>
      <c r="D39">
        <v>37410876254.669998</v>
      </c>
      <c r="E39">
        <v>99.987995949013694</v>
      </c>
      <c r="H39" t="s">
        <v>17</v>
      </c>
      <c r="I39" s="3">
        <v>42217</v>
      </c>
      <c r="J39" s="5">
        <v>2283</v>
      </c>
      <c r="K39">
        <v>24214652965.389999</v>
      </c>
      <c r="L39">
        <v>100</v>
      </c>
      <c r="Z39" s="1"/>
      <c r="AE39" s="3"/>
      <c r="AF39" s="5"/>
      <c r="AI39" s="3"/>
      <c r="AJ39" s="5"/>
      <c r="AK39" s="5"/>
    </row>
    <row r="40" spans="1:37" x14ac:dyDescent="0.25">
      <c r="A40" t="s">
        <v>9</v>
      </c>
      <c r="B40" s="1">
        <v>42248</v>
      </c>
      <c r="C40">
        <v>1307</v>
      </c>
      <c r="D40">
        <v>37159487080.809998</v>
      </c>
      <c r="E40">
        <v>99.989697821846406</v>
      </c>
      <c r="H40" t="s">
        <v>17</v>
      </c>
      <c r="I40" s="3">
        <v>42248</v>
      </c>
      <c r="J40" s="5">
        <v>2300</v>
      </c>
      <c r="K40">
        <v>24053767752.169998</v>
      </c>
      <c r="L40">
        <v>100</v>
      </c>
      <c r="Z40" s="1"/>
      <c r="AE40" s="3"/>
      <c r="AF40" s="5"/>
      <c r="AI40" s="3"/>
      <c r="AJ40" s="5"/>
      <c r="AK40" s="5"/>
    </row>
    <row r="41" spans="1:37" x14ac:dyDescent="0.25">
      <c r="A41" t="s">
        <v>9</v>
      </c>
      <c r="B41" s="1">
        <v>42278</v>
      </c>
      <c r="C41">
        <v>1315</v>
      </c>
      <c r="D41">
        <v>36939526623.260002</v>
      </c>
      <c r="E41">
        <v>99.986733380790199</v>
      </c>
      <c r="H41" t="s">
        <v>17</v>
      </c>
      <c r="I41" s="3">
        <v>42278</v>
      </c>
      <c r="J41" s="5">
        <v>2317</v>
      </c>
      <c r="K41">
        <v>23899278644.869999</v>
      </c>
      <c r="L41">
        <v>100</v>
      </c>
      <c r="Z41" s="1"/>
      <c r="AE41" s="3"/>
      <c r="AF41" s="5"/>
      <c r="AI41" s="3"/>
      <c r="AJ41" s="5"/>
      <c r="AK41" s="5"/>
    </row>
    <row r="42" spans="1:37" x14ac:dyDescent="0.25">
      <c r="A42" t="s">
        <v>9</v>
      </c>
      <c r="B42" s="1">
        <v>42309</v>
      </c>
      <c r="C42">
        <v>1328</v>
      </c>
      <c r="D42">
        <v>36789617512.57</v>
      </c>
      <c r="E42">
        <v>99.875324988648401</v>
      </c>
      <c r="H42" t="s">
        <v>17</v>
      </c>
      <c r="I42" s="3">
        <v>42309</v>
      </c>
      <c r="J42" s="5">
        <v>2330</v>
      </c>
      <c r="K42">
        <v>23731834948.119999</v>
      </c>
      <c r="L42">
        <v>100</v>
      </c>
      <c r="Z42" s="1"/>
      <c r="AE42" s="3"/>
      <c r="AF42" s="5"/>
      <c r="AI42" s="3"/>
      <c r="AJ42" s="5"/>
      <c r="AK42" s="5"/>
    </row>
    <row r="43" spans="1:37" x14ac:dyDescent="0.25">
      <c r="A43" t="s">
        <v>9</v>
      </c>
      <c r="B43" s="1">
        <v>42339</v>
      </c>
      <c r="C43">
        <v>1332</v>
      </c>
      <c r="D43">
        <v>36550588239.07</v>
      </c>
      <c r="E43">
        <v>100</v>
      </c>
      <c r="H43" t="s">
        <v>17</v>
      </c>
      <c r="I43" s="3">
        <v>42339</v>
      </c>
      <c r="J43" s="5">
        <v>2346</v>
      </c>
      <c r="K43">
        <v>23575272898.580002</v>
      </c>
      <c r="L43">
        <v>100</v>
      </c>
      <c r="Z43" s="1"/>
      <c r="AE43" s="3"/>
      <c r="AF43" s="5"/>
      <c r="AI43" s="3"/>
      <c r="AJ43" s="5"/>
      <c r="AK43" s="5"/>
    </row>
    <row r="44" spans="1:37" x14ac:dyDescent="0.25">
      <c r="A44" t="s">
        <v>9</v>
      </c>
      <c r="B44" s="1">
        <v>42370</v>
      </c>
      <c r="C44">
        <v>1339</v>
      </c>
      <c r="D44">
        <v>36350171434.389999</v>
      </c>
      <c r="E44">
        <v>99.975213419223394</v>
      </c>
      <c r="H44" t="s">
        <v>17</v>
      </c>
      <c r="I44" s="3">
        <v>42370</v>
      </c>
      <c r="J44" s="5">
        <v>2356</v>
      </c>
      <c r="K44">
        <v>23422747348.59</v>
      </c>
      <c r="L44">
        <v>100</v>
      </c>
      <c r="Z44" s="1"/>
      <c r="AE44" s="3"/>
      <c r="AF44" s="5"/>
      <c r="AI44" s="3"/>
      <c r="AJ44" s="5"/>
      <c r="AK44" s="5"/>
    </row>
    <row r="45" spans="1:37" x14ac:dyDescent="0.25">
      <c r="A45" t="s">
        <v>9</v>
      </c>
      <c r="B45" s="1">
        <v>42401</v>
      </c>
      <c r="C45">
        <v>1343</v>
      </c>
      <c r="D45">
        <v>36103641907.169998</v>
      </c>
      <c r="E45">
        <v>99.989391017975805</v>
      </c>
      <c r="H45" t="s">
        <v>17</v>
      </c>
      <c r="I45" s="3">
        <v>42401</v>
      </c>
      <c r="J45" s="5">
        <v>2368</v>
      </c>
      <c r="K45">
        <v>23264052426.27</v>
      </c>
      <c r="L45">
        <v>100</v>
      </c>
      <c r="Z45" s="1"/>
      <c r="AE45" s="3"/>
      <c r="AF45" s="5"/>
      <c r="AI45" s="3"/>
      <c r="AJ45" s="5"/>
      <c r="AK45" s="5"/>
    </row>
    <row r="46" spans="1:37" x14ac:dyDescent="0.25">
      <c r="A46" t="s">
        <v>9</v>
      </c>
      <c r="B46" s="1">
        <v>42430</v>
      </c>
      <c r="C46">
        <v>1347</v>
      </c>
      <c r="D46">
        <v>35909399214.110001</v>
      </c>
      <c r="E46">
        <v>100</v>
      </c>
      <c r="H46" t="s">
        <v>17</v>
      </c>
      <c r="I46" s="3">
        <v>42430</v>
      </c>
      <c r="J46" s="5">
        <v>2380</v>
      </c>
      <c r="K46">
        <v>23130415817.330002</v>
      </c>
      <c r="L46">
        <v>100</v>
      </c>
      <c r="Z46" s="1"/>
      <c r="AE46" s="3"/>
      <c r="AF46" s="5"/>
      <c r="AI46" s="3"/>
      <c r="AJ46" s="5"/>
      <c r="AK46" s="5"/>
    </row>
    <row r="47" spans="1:37" x14ac:dyDescent="0.25">
      <c r="A47" t="s">
        <v>9</v>
      </c>
      <c r="B47" s="1">
        <v>42461</v>
      </c>
      <c r="C47">
        <v>1356</v>
      </c>
      <c r="D47">
        <v>35708371081.940002</v>
      </c>
      <c r="E47">
        <v>99.984814250368402</v>
      </c>
      <c r="H47" t="s">
        <v>17</v>
      </c>
      <c r="I47" s="3">
        <v>42461</v>
      </c>
      <c r="J47" s="5">
        <v>2389</v>
      </c>
      <c r="K47">
        <v>22980966819.959999</v>
      </c>
      <c r="L47">
        <v>100</v>
      </c>
      <c r="Z47" s="1"/>
      <c r="AE47" s="3"/>
      <c r="AF47" s="5"/>
      <c r="AI47" s="3"/>
      <c r="AJ47" s="5"/>
      <c r="AK47" s="5"/>
    </row>
    <row r="48" spans="1:37" x14ac:dyDescent="0.25">
      <c r="A48" t="s">
        <v>9</v>
      </c>
      <c r="B48" s="1">
        <v>42491</v>
      </c>
      <c r="C48">
        <v>1361</v>
      </c>
      <c r="D48">
        <v>35410457427.75</v>
      </c>
      <c r="E48">
        <v>99.989535696742806</v>
      </c>
      <c r="H48" t="s">
        <v>17</v>
      </c>
      <c r="I48" s="3">
        <v>42491</v>
      </c>
      <c r="J48" s="5">
        <v>2400</v>
      </c>
      <c r="K48">
        <v>22785497201.860001</v>
      </c>
      <c r="L48">
        <v>100</v>
      </c>
      <c r="Z48" s="1"/>
      <c r="AE48" s="3"/>
      <c r="AF48" s="5"/>
      <c r="AI48" s="3"/>
      <c r="AJ48" s="5"/>
      <c r="AK48" s="5"/>
    </row>
    <row r="49" spans="1:37" x14ac:dyDescent="0.25">
      <c r="A49" t="s">
        <v>9</v>
      </c>
      <c r="B49" s="1">
        <v>42522</v>
      </c>
      <c r="C49">
        <v>1367</v>
      </c>
      <c r="D49">
        <v>35129109527.150002</v>
      </c>
      <c r="E49">
        <v>99.9940748585488</v>
      </c>
      <c r="H49" t="s">
        <v>17</v>
      </c>
      <c r="I49" s="3">
        <v>42522</v>
      </c>
      <c r="J49" s="5">
        <v>2409</v>
      </c>
      <c r="K49">
        <v>22590823732.130001</v>
      </c>
      <c r="L49">
        <v>100</v>
      </c>
      <c r="Z49" s="1"/>
      <c r="AE49" s="3"/>
      <c r="AF49" s="5"/>
      <c r="AI49" s="3"/>
      <c r="AJ49" s="5"/>
      <c r="AK49" s="5"/>
    </row>
    <row r="50" spans="1:37" x14ac:dyDescent="0.25">
      <c r="A50" t="s">
        <v>9</v>
      </c>
      <c r="B50" s="1">
        <v>42552</v>
      </c>
      <c r="C50">
        <v>1374</v>
      </c>
      <c r="D50">
        <v>34806670533.199997</v>
      </c>
      <c r="E50">
        <v>99.993243568778695</v>
      </c>
      <c r="H50" t="s">
        <v>17</v>
      </c>
      <c r="I50" s="3">
        <v>42552</v>
      </c>
      <c r="J50" s="5">
        <v>2418</v>
      </c>
      <c r="K50">
        <v>22369714888.02</v>
      </c>
      <c r="L50">
        <v>100</v>
      </c>
      <c r="Z50" s="1"/>
      <c r="AE50" s="3"/>
      <c r="AF50" s="5"/>
      <c r="AI50" s="3"/>
      <c r="AJ50" s="5"/>
      <c r="AK50" s="5"/>
    </row>
    <row r="51" spans="1:37" x14ac:dyDescent="0.25">
      <c r="A51" t="s">
        <v>9</v>
      </c>
      <c r="B51" s="1">
        <v>42583</v>
      </c>
      <c r="C51">
        <v>1380</v>
      </c>
      <c r="D51">
        <v>34436906908.110001</v>
      </c>
      <c r="E51">
        <v>100</v>
      </c>
      <c r="H51" t="s">
        <v>17</v>
      </c>
      <c r="I51" s="3">
        <v>42583</v>
      </c>
      <c r="J51" s="5">
        <v>2424</v>
      </c>
      <c r="K51">
        <v>22125367840.490002</v>
      </c>
      <c r="L51">
        <v>100</v>
      </c>
      <c r="Z51" s="1"/>
      <c r="AE51" s="3"/>
      <c r="AF51" s="5"/>
      <c r="AI51" s="3"/>
      <c r="AJ51" s="5"/>
      <c r="AK51" s="5"/>
    </row>
    <row r="52" spans="1:37" x14ac:dyDescent="0.25">
      <c r="A52" t="s">
        <v>9</v>
      </c>
      <c r="B52" s="1">
        <v>42614</v>
      </c>
      <c r="C52">
        <v>1385</v>
      </c>
      <c r="D52">
        <v>34088680556.189999</v>
      </c>
      <c r="E52">
        <v>100</v>
      </c>
      <c r="H52" t="s">
        <v>17</v>
      </c>
      <c r="I52" s="3">
        <v>42614</v>
      </c>
      <c r="J52" s="5">
        <v>2433</v>
      </c>
      <c r="K52">
        <v>21895878252.380001</v>
      </c>
      <c r="L52">
        <v>100</v>
      </c>
      <c r="Z52" s="1"/>
      <c r="AE52" s="3"/>
      <c r="AF52" s="5"/>
      <c r="AI52" s="3"/>
      <c r="AJ52" s="5"/>
      <c r="AK52" s="5"/>
    </row>
    <row r="53" spans="1:37" x14ac:dyDescent="0.25">
      <c r="A53" t="s">
        <v>9</v>
      </c>
      <c r="B53" s="1">
        <v>42644</v>
      </c>
      <c r="C53">
        <v>1390</v>
      </c>
      <c r="D53">
        <v>33686513650.32</v>
      </c>
      <c r="E53">
        <v>100</v>
      </c>
      <c r="H53" t="s">
        <v>17</v>
      </c>
      <c r="I53" s="3">
        <v>42644</v>
      </c>
      <c r="J53" s="5">
        <v>2450</v>
      </c>
      <c r="K53">
        <v>21624654083.630001</v>
      </c>
      <c r="L53">
        <v>100</v>
      </c>
      <c r="Z53" s="1"/>
      <c r="AE53" s="3"/>
      <c r="AF53" s="5"/>
      <c r="AI53" s="3"/>
      <c r="AJ53" s="5"/>
      <c r="AK53" s="5"/>
    </row>
    <row r="54" spans="1:37" x14ac:dyDescent="0.25">
      <c r="B54" s="1"/>
      <c r="I54" s="3"/>
      <c r="J54" s="5"/>
      <c r="Z54" s="1"/>
      <c r="AE54" s="3"/>
      <c r="AF54" s="5"/>
    </row>
    <row r="55" spans="1:37" x14ac:dyDescent="0.25">
      <c r="B55" s="1"/>
      <c r="I55" s="3"/>
      <c r="J55" s="5"/>
      <c r="Z55" s="1"/>
      <c r="AE55" s="3"/>
      <c r="AF55" s="5"/>
    </row>
    <row r="56" spans="1:37" x14ac:dyDescent="0.25">
      <c r="B56" s="1"/>
      <c r="I56" s="4"/>
      <c r="J56" s="5"/>
      <c r="Z56" s="1"/>
      <c r="AE56" s="3"/>
      <c r="AF56" s="5"/>
    </row>
    <row r="57" spans="1:37" x14ac:dyDescent="0.25">
      <c r="B57" s="1"/>
      <c r="Z57" s="1"/>
    </row>
    <row r="58" spans="1:37" x14ac:dyDescent="0.25">
      <c r="B58" s="1"/>
      <c r="Z58" s="1"/>
    </row>
    <row r="59" spans="1:37" x14ac:dyDescent="0.25">
      <c r="B59" s="1"/>
      <c r="Z59" s="1"/>
    </row>
    <row r="60" spans="1:37" x14ac:dyDescent="0.25">
      <c r="B60" s="1"/>
      <c r="Z60" s="1"/>
    </row>
    <row r="61" spans="1:37" x14ac:dyDescent="0.25">
      <c r="B61" s="1"/>
      <c r="Z61" s="1"/>
    </row>
    <row r="62" spans="1:37" x14ac:dyDescent="0.25">
      <c r="B62" s="1"/>
      <c r="Z62" s="1"/>
    </row>
    <row r="63" spans="1:37" x14ac:dyDescent="0.25">
      <c r="B63" s="1"/>
      <c r="Z63" s="1"/>
    </row>
    <row r="64" spans="1:37" x14ac:dyDescent="0.25">
      <c r="B64" s="1"/>
      <c r="Z64" s="1"/>
    </row>
    <row r="65" spans="2:26" x14ac:dyDescent="0.25">
      <c r="B65" s="1"/>
      <c r="Z65" s="1"/>
    </row>
    <row r="66" spans="2:26" x14ac:dyDescent="0.25">
      <c r="B66" s="1"/>
      <c r="Z66" s="1"/>
    </row>
    <row r="67" spans="2:26" x14ac:dyDescent="0.25">
      <c r="B67" s="1"/>
      <c r="Z67" s="1"/>
    </row>
    <row r="68" spans="2:26" x14ac:dyDescent="0.25">
      <c r="B68" s="1"/>
      <c r="Z68" s="1"/>
    </row>
    <row r="69" spans="2:26" x14ac:dyDescent="0.25">
      <c r="B69" s="1"/>
      <c r="Z69" s="1"/>
    </row>
    <row r="70" spans="2:26" x14ac:dyDescent="0.25">
      <c r="B70" s="1"/>
      <c r="Z70" s="1"/>
    </row>
    <row r="71" spans="2:26" x14ac:dyDescent="0.25">
      <c r="B71" s="1"/>
      <c r="Z71" s="1"/>
    </row>
    <row r="72" spans="2:26" x14ac:dyDescent="0.25">
      <c r="B72" s="1"/>
      <c r="Z72" s="1"/>
    </row>
    <row r="73" spans="2:26" x14ac:dyDescent="0.25">
      <c r="B73" s="1"/>
      <c r="Z73" s="1"/>
    </row>
    <row r="74" spans="2:26" x14ac:dyDescent="0.25">
      <c r="B74" s="1"/>
      <c r="Z74" s="1"/>
    </row>
    <row r="75" spans="2:26" x14ac:dyDescent="0.25">
      <c r="B75" s="1"/>
      <c r="Z75" s="1"/>
    </row>
    <row r="76" spans="2:26" x14ac:dyDescent="0.25">
      <c r="B76" s="1"/>
      <c r="Z76" s="1"/>
    </row>
    <row r="77" spans="2:26" x14ac:dyDescent="0.25">
      <c r="B77" s="1"/>
      <c r="Z77" s="1"/>
    </row>
    <row r="78" spans="2:26" x14ac:dyDescent="0.25">
      <c r="B78" s="1"/>
      <c r="Z78" s="1"/>
    </row>
    <row r="79" spans="2:26" x14ac:dyDescent="0.25">
      <c r="B79" s="1"/>
      <c r="Z79" s="1"/>
    </row>
    <row r="80" spans="2:26" x14ac:dyDescent="0.25">
      <c r="B80" s="1"/>
      <c r="Z80" s="1"/>
    </row>
    <row r="81" spans="2:26" x14ac:dyDescent="0.25">
      <c r="B81" s="1"/>
      <c r="Z81" s="1"/>
    </row>
    <row r="82" spans="2:26" x14ac:dyDescent="0.25">
      <c r="B82" s="1"/>
      <c r="Z82" s="1"/>
    </row>
    <row r="83" spans="2:26" x14ac:dyDescent="0.25">
      <c r="B83" s="1"/>
      <c r="Z83" s="1"/>
    </row>
    <row r="84" spans="2:26" x14ac:dyDescent="0.25">
      <c r="B84" s="1"/>
      <c r="Z84" s="1"/>
    </row>
    <row r="85" spans="2:26" x14ac:dyDescent="0.25">
      <c r="B85" s="1"/>
      <c r="Z85" s="1"/>
    </row>
    <row r="86" spans="2:26" x14ac:dyDescent="0.25">
      <c r="B86" s="1"/>
      <c r="Z86" s="1"/>
    </row>
    <row r="87" spans="2:26" x14ac:dyDescent="0.25">
      <c r="B87" s="1"/>
      <c r="Z87" s="1"/>
    </row>
    <row r="88" spans="2:26" x14ac:dyDescent="0.25">
      <c r="B88" s="1"/>
      <c r="Z88" s="1"/>
    </row>
    <row r="89" spans="2:26" x14ac:dyDescent="0.25">
      <c r="B89" s="1"/>
      <c r="Z89" s="1"/>
    </row>
    <row r="90" spans="2:26" x14ac:dyDescent="0.25">
      <c r="B90" s="1"/>
      <c r="Z90" s="1"/>
    </row>
    <row r="91" spans="2:26" x14ac:dyDescent="0.25">
      <c r="B91" s="1"/>
      <c r="Z91" s="1"/>
    </row>
    <row r="92" spans="2:26" x14ac:dyDescent="0.25">
      <c r="B92" s="1"/>
      <c r="Z92" s="1"/>
    </row>
    <row r="93" spans="2:26" x14ac:dyDescent="0.25">
      <c r="B93" s="1"/>
      <c r="Z93" s="1"/>
    </row>
    <row r="94" spans="2:26" x14ac:dyDescent="0.25">
      <c r="B94" s="1"/>
      <c r="Z94" s="1"/>
    </row>
    <row r="95" spans="2:26" x14ac:dyDescent="0.25">
      <c r="B95" s="1"/>
      <c r="Z95" s="1"/>
    </row>
    <row r="96" spans="2:26" x14ac:dyDescent="0.25">
      <c r="B96" s="1"/>
      <c r="Z96" s="1"/>
    </row>
    <row r="97" spans="2:26" x14ac:dyDescent="0.25">
      <c r="B97" s="1"/>
      <c r="Z97" s="1"/>
    </row>
    <row r="98" spans="2:26" x14ac:dyDescent="0.25">
      <c r="B98" s="1"/>
      <c r="Z98" s="1"/>
    </row>
    <row r="99" spans="2:26" x14ac:dyDescent="0.25">
      <c r="B99" s="1"/>
      <c r="Z99" s="1"/>
    </row>
    <row r="100" spans="2:26" x14ac:dyDescent="0.25">
      <c r="B100" s="1"/>
      <c r="Z100" s="1"/>
    </row>
    <row r="101" spans="2:26" x14ac:dyDescent="0.25">
      <c r="B101" s="1"/>
      <c r="Z101" s="1"/>
    </row>
    <row r="102" spans="2:26" x14ac:dyDescent="0.25">
      <c r="B102" s="1"/>
      <c r="Z102" s="1"/>
    </row>
    <row r="103" spans="2:26" x14ac:dyDescent="0.25">
      <c r="B103" s="1"/>
      <c r="Z103" s="1"/>
    </row>
    <row r="104" spans="2:26" x14ac:dyDescent="0.25">
      <c r="B104" s="1"/>
      <c r="Z104" s="1"/>
    </row>
    <row r="105" spans="2:26" x14ac:dyDescent="0.25">
      <c r="B105" s="1"/>
      <c r="Z105" s="1"/>
    </row>
    <row r="106" spans="2:26" x14ac:dyDescent="0.25">
      <c r="B106" s="1"/>
      <c r="Z106" s="1"/>
    </row>
    <row r="107" spans="2:26" x14ac:dyDescent="0.25">
      <c r="B107" s="1"/>
      <c r="Z107" s="1"/>
    </row>
    <row r="108" spans="2:26" x14ac:dyDescent="0.25">
      <c r="B108" s="1"/>
      <c r="Z108" s="1"/>
    </row>
    <row r="109" spans="2:26" x14ac:dyDescent="0.25">
      <c r="B109" s="1"/>
      <c r="Z109" s="1"/>
    </row>
    <row r="110" spans="2:26" x14ac:dyDescent="0.25">
      <c r="B110" s="1"/>
      <c r="Z110" s="1"/>
    </row>
    <row r="111" spans="2:26" x14ac:dyDescent="0.25">
      <c r="B111" s="1"/>
      <c r="Z111" s="1"/>
    </row>
    <row r="112" spans="2:26" x14ac:dyDescent="0.25">
      <c r="B112" s="1"/>
      <c r="Z112" s="1"/>
    </row>
    <row r="113" spans="2:26" x14ac:dyDescent="0.25">
      <c r="B113" s="1"/>
      <c r="Z113" s="1"/>
    </row>
    <row r="114" spans="2:26" x14ac:dyDescent="0.25">
      <c r="B114" s="1"/>
      <c r="Z114" s="1"/>
    </row>
    <row r="115" spans="2:26" x14ac:dyDescent="0.25">
      <c r="B115" s="1"/>
      <c r="Z115" s="1"/>
    </row>
    <row r="116" spans="2:26" x14ac:dyDescent="0.25">
      <c r="B116" s="1"/>
      <c r="Z116" s="1"/>
    </row>
    <row r="117" spans="2:26" x14ac:dyDescent="0.25">
      <c r="B117" s="1"/>
      <c r="Z117" s="1"/>
    </row>
    <row r="118" spans="2:26" x14ac:dyDescent="0.25">
      <c r="B118" s="1"/>
      <c r="Z118" s="1"/>
    </row>
    <row r="119" spans="2:26" x14ac:dyDescent="0.25">
      <c r="B119" s="1"/>
      <c r="Z119" s="1"/>
    </row>
    <row r="120" spans="2:26" x14ac:dyDescent="0.25">
      <c r="B120" s="1"/>
      <c r="Z120" s="1"/>
    </row>
    <row r="121" spans="2:26" x14ac:dyDescent="0.25">
      <c r="B121" s="1"/>
      <c r="Z121" s="1"/>
    </row>
    <row r="122" spans="2:26" x14ac:dyDescent="0.25">
      <c r="B122" s="1"/>
      <c r="Z122" s="1"/>
    </row>
    <row r="123" spans="2:26" x14ac:dyDescent="0.25">
      <c r="B123" s="1"/>
      <c r="Z123" s="1"/>
    </row>
    <row r="124" spans="2:26" x14ac:dyDescent="0.25">
      <c r="B124" s="1"/>
      <c r="Z124" s="1"/>
    </row>
    <row r="125" spans="2:26" x14ac:dyDescent="0.25">
      <c r="B125" s="1"/>
      <c r="Z125" s="1"/>
    </row>
    <row r="126" spans="2:26" x14ac:dyDescent="0.25">
      <c r="B126" s="1"/>
      <c r="Z126" s="1"/>
    </row>
    <row r="127" spans="2:26" x14ac:dyDescent="0.25">
      <c r="B127" s="1"/>
      <c r="Z127" s="1"/>
    </row>
    <row r="128" spans="2:26" x14ac:dyDescent="0.25">
      <c r="B128" s="1"/>
      <c r="Z128" s="1"/>
    </row>
    <row r="129" spans="2:26" x14ac:dyDescent="0.25">
      <c r="B129" s="1"/>
      <c r="Z129" s="1"/>
    </row>
    <row r="130" spans="2:26" x14ac:dyDescent="0.25">
      <c r="B130" s="1"/>
      <c r="Z130" s="1"/>
    </row>
    <row r="131" spans="2:26" x14ac:dyDescent="0.25">
      <c r="B131" s="1"/>
      <c r="Z131" s="1"/>
    </row>
    <row r="132" spans="2:26" x14ac:dyDescent="0.25">
      <c r="B132" s="1"/>
      <c r="Z132" s="1"/>
    </row>
    <row r="133" spans="2:26" x14ac:dyDescent="0.25">
      <c r="B133" s="1"/>
      <c r="Z133" s="1"/>
    </row>
    <row r="134" spans="2:26" x14ac:dyDescent="0.25">
      <c r="B134" s="1"/>
      <c r="Z134" s="1"/>
    </row>
    <row r="135" spans="2:26" x14ac:dyDescent="0.25">
      <c r="B135" s="1"/>
      <c r="Z135" s="1"/>
    </row>
    <row r="136" spans="2:26" x14ac:dyDescent="0.25">
      <c r="B136" s="1"/>
      <c r="Z136" s="1"/>
    </row>
    <row r="137" spans="2:26" x14ac:dyDescent="0.25">
      <c r="B137" s="1"/>
      <c r="Z137" s="1"/>
    </row>
    <row r="138" spans="2:26" x14ac:dyDescent="0.25">
      <c r="B138" s="1"/>
      <c r="Z138" s="1"/>
    </row>
    <row r="139" spans="2:26" x14ac:dyDescent="0.25">
      <c r="B139" s="1"/>
      <c r="Z139" s="1"/>
    </row>
    <row r="140" spans="2:26" x14ac:dyDescent="0.25">
      <c r="B140" s="1"/>
      <c r="Z140" s="1"/>
    </row>
    <row r="141" spans="2:26" x14ac:dyDescent="0.25">
      <c r="B141" s="1"/>
      <c r="Z141" s="1"/>
    </row>
    <row r="142" spans="2:26" x14ac:dyDescent="0.25">
      <c r="B142" s="1"/>
      <c r="Z142" s="1"/>
    </row>
    <row r="143" spans="2:26" x14ac:dyDescent="0.25">
      <c r="B143" s="1"/>
      <c r="Z143" s="1"/>
    </row>
    <row r="144" spans="2:26" x14ac:dyDescent="0.25">
      <c r="B144" s="1"/>
      <c r="Z144" s="1"/>
    </row>
    <row r="145" spans="2:26" x14ac:dyDescent="0.25">
      <c r="B145" s="1"/>
      <c r="Z145" s="1"/>
    </row>
    <row r="146" spans="2:26" x14ac:dyDescent="0.25">
      <c r="B146" s="1"/>
      <c r="Z146" s="1"/>
    </row>
    <row r="147" spans="2:26" x14ac:dyDescent="0.25">
      <c r="B147" s="1"/>
      <c r="Z147" s="1"/>
    </row>
    <row r="148" spans="2:26" x14ac:dyDescent="0.25">
      <c r="B148" s="1"/>
      <c r="Z148" s="1"/>
    </row>
    <row r="149" spans="2:26" x14ac:dyDescent="0.25">
      <c r="B149" s="1"/>
      <c r="Z149" s="1"/>
    </row>
    <row r="150" spans="2:26" x14ac:dyDescent="0.25">
      <c r="B150" s="1"/>
      <c r="Z150" s="1"/>
    </row>
    <row r="151" spans="2:26" x14ac:dyDescent="0.25">
      <c r="B151" s="1"/>
      <c r="Z151" s="1"/>
    </row>
    <row r="152" spans="2:26" x14ac:dyDescent="0.25">
      <c r="B152" s="1"/>
      <c r="Z152" s="1"/>
    </row>
    <row r="153" spans="2:26" x14ac:dyDescent="0.25">
      <c r="B153" s="1"/>
      <c r="Z153" s="1"/>
    </row>
    <row r="154" spans="2:26" x14ac:dyDescent="0.25">
      <c r="B154" s="1"/>
      <c r="Z154" s="1"/>
    </row>
    <row r="155" spans="2:26" x14ac:dyDescent="0.25">
      <c r="B155" s="1"/>
      <c r="Z155" s="1"/>
    </row>
    <row r="156" spans="2:26" x14ac:dyDescent="0.25">
      <c r="B156" s="1"/>
      <c r="Z156" s="1"/>
    </row>
    <row r="157" spans="2:26" x14ac:dyDescent="0.25">
      <c r="B157" s="1"/>
      <c r="Z157" s="1"/>
    </row>
    <row r="158" spans="2:26" x14ac:dyDescent="0.25">
      <c r="B158" s="1"/>
      <c r="Z158" s="1"/>
    </row>
    <row r="159" spans="2:26" x14ac:dyDescent="0.25">
      <c r="B159" s="1"/>
      <c r="Z159" s="1"/>
    </row>
    <row r="160" spans="2:26" x14ac:dyDescent="0.25">
      <c r="B160" s="1"/>
      <c r="Z160" s="1"/>
    </row>
    <row r="161" spans="2:26" x14ac:dyDescent="0.25">
      <c r="B161" s="1"/>
      <c r="Z161" s="1"/>
    </row>
    <row r="162" spans="2:26" x14ac:dyDescent="0.25">
      <c r="B162" s="1"/>
      <c r="Z162" s="1"/>
    </row>
    <row r="163" spans="2:26" x14ac:dyDescent="0.25">
      <c r="B163" s="1"/>
      <c r="Z163" s="1"/>
    </row>
    <row r="164" spans="2:26" x14ac:dyDescent="0.25">
      <c r="B164" s="1"/>
      <c r="Z164" s="1"/>
    </row>
    <row r="165" spans="2:26" x14ac:dyDescent="0.25">
      <c r="B165" s="1"/>
      <c r="Z165" s="1"/>
    </row>
    <row r="166" spans="2:26" x14ac:dyDescent="0.25">
      <c r="B166" s="1"/>
      <c r="Z166" s="1"/>
    </row>
    <row r="167" spans="2:26" x14ac:dyDescent="0.25">
      <c r="B167" s="1"/>
      <c r="Z167" s="1"/>
    </row>
    <row r="168" spans="2:26" x14ac:dyDescent="0.25">
      <c r="B168" s="1"/>
      <c r="Z168" s="1"/>
    </row>
    <row r="169" spans="2:26" x14ac:dyDescent="0.25">
      <c r="B169" s="1"/>
      <c r="Z169" s="1"/>
    </row>
    <row r="170" spans="2:26" x14ac:dyDescent="0.25">
      <c r="B170" s="1"/>
      <c r="Z170" s="1"/>
    </row>
    <row r="171" spans="2:26" x14ac:dyDescent="0.25">
      <c r="B171" s="1"/>
      <c r="Z171" s="1"/>
    </row>
    <row r="172" spans="2:26" x14ac:dyDescent="0.25">
      <c r="B172" s="1"/>
      <c r="Z172" s="1"/>
    </row>
    <row r="173" spans="2:26" x14ac:dyDescent="0.25">
      <c r="B173" s="1"/>
      <c r="Z173" s="1"/>
    </row>
    <row r="174" spans="2:26" x14ac:dyDescent="0.25">
      <c r="B174" s="1"/>
      <c r="Z174" s="1"/>
    </row>
    <row r="175" spans="2:26" x14ac:dyDescent="0.25">
      <c r="B175" s="1"/>
      <c r="Z175" s="1"/>
    </row>
    <row r="176" spans="2:26" x14ac:dyDescent="0.25">
      <c r="B176" s="1"/>
      <c r="Z176" s="1"/>
    </row>
    <row r="177" spans="2:26" x14ac:dyDescent="0.25">
      <c r="B177" s="1"/>
      <c r="Z177" s="1"/>
    </row>
    <row r="178" spans="2:26" x14ac:dyDescent="0.25">
      <c r="B178" s="1"/>
      <c r="Z178" s="1"/>
    </row>
    <row r="179" spans="2:26" x14ac:dyDescent="0.25">
      <c r="B179" s="1"/>
      <c r="Z179" s="1"/>
    </row>
    <row r="180" spans="2:26" x14ac:dyDescent="0.25">
      <c r="B180" s="1"/>
      <c r="Z180" s="1"/>
    </row>
    <row r="181" spans="2:26" x14ac:dyDescent="0.25">
      <c r="B181" s="1"/>
      <c r="Z181" s="1"/>
    </row>
    <row r="182" spans="2:26" x14ac:dyDescent="0.25">
      <c r="B182" s="1"/>
      <c r="Z182" s="1"/>
    </row>
    <row r="183" spans="2:26" x14ac:dyDescent="0.25">
      <c r="B183" s="1"/>
      <c r="Z183" s="1"/>
    </row>
    <row r="184" spans="2:26" x14ac:dyDescent="0.25">
      <c r="B184" s="1"/>
      <c r="Z184" s="1"/>
    </row>
    <row r="185" spans="2:26" x14ac:dyDescent="0.25">
      <c r="B185" s="1"/>
      <c r="Z185" s="1"/>
    </row>
    <row r="186" spans="2:26" x14ac:dyDescent="0.25">
      <c r="B186" s="1"/>
      <c r="Z186" s="1"/>
    </row>
    <row r="187" spans="2:26" x14ac:dyDescent="0.25">
      <c r="B187" s="1"/>
      <c r="Z187" s="1"/>
    </row>
    <row r="188" spans="2:26" x14ac:dyDescent="0.25">
      <c r="B188" s="1"/>
      <c r="Z188" s="1"/>
    </row>
    <row r="189" spans="2:26" x14ac:dyDescent="0.25">
      <c r="B189" s="1"/>
      <c r="Z189" s="1"/>
    </row>
    <row r="190" spans="2:26" x14ac:dyDescent="0.25">
      <c r="B190" s="1"/>
      <c r="Z190" s="1"/>
    </row>
    <row r="191" spans="2:26" x14ac:dyDescent="0.25">
      <c r="B191" s="1"/>
      <c r="Z191" s="1"/>
    </row>
    <row r="192" spans="2:26" x14ac:dyDescent="0.25">
      <c r="B192" s="1"/>
      <c r="Z192" s="1"/>
    </row>
    <row r="193" spans="2:26" x14ac:dyDescent="0.25">
      <c r="B193" s="1"/>
      <c r="Z193" s="1"/>
    </row>
    <row r="194" spans="2:26" x14ac:dyDescent="0.25">
      <c r="B194" s="1"/>
      <c r="Z194" s="1"/>
    </row>
    <row r="195" spans="2:26" x14ac:dyDescent="0.25">
      <c r="B195" s="1"/>
      <c r="Z195" s="1"/>
    </row>
    <row r="196" spans="2:26" x14ac:dyDescent="0.25">
      <c r="B196" s="1"/>
      <c r="Z196" s="1"/>
    </row>
    <row r="197" spans="2:26" x14ac:dyDescent="0.25">
      <c r="B197" s="1"/>
      <c r="Z197" s="1"/>
    </row>
    <row r="198" spans="2:26" x14ac:dyDescent="0.25">
      <c r="B198" s="1"/>
      <c r="Z198" s="1"/>
    </row>
    <row r="199" spans="2:26" x14ac:dyDescent="0.25">
      <c r="B199" s="1"/>
      <c r="Z199" s="1"/>
    </row>
    <row r="200" spans="2:26" x14ac:dyDescent="0.25">
      <c r="B200" s="1"/>
      <c r="Z200" s="1"/>
    </row>
    <row r="201" spans="2:26" x14ac:dyDescent="0.25">
      <c r="B201" s="1"/>
      <c r="Z201" s="1"/>
    </row>
    <row r="202" spans="2:26" x14ac:dyDescent="0.25">
      <c r="B202" s="1"/>
      <c r="Z202" s="1"/>
    </row>
    <row r="203" spans="2:26" x14ac:dyDescent="0.25">
      <c r="B203" s="1"/>
      <c r="Z203" s="1"/>
    </row>
    <row r="204" spans="2:26" x14ac:dyDescent="0.25">
      <c r="B204" s="1"/>
      <c r="Z204" s="1"/>
    </row>
    <row r="205" spans="2:26" x14ac:dyDescent="0.25">
      <c r="B205" s="1"/>
      <c r="Z205" s="1"/>
    </row>
    <row r="206" spans="2:26" x14ac:dyDescent="0.25">
      <c r="B206" s="1"/>
      <c r="Z206" s="1"/>
    </row>
    <row r="207" spans="2:26" x14ac:dyDescent="0.25">
      <c r="B207" s="1"/>
      <c r="Z207" s="1"/>
    </row>
    <row r="208" spans="2:26" x14ac:dyDescent="0.25">
      <c r="B208" s="1"/>
      <c r="Z208" s="1"/>
    </row>
    <row r="209" spans="2:26" x14ac:dyDescent="0.25">
      <c r="B209" s="1"/>
      <c r="Z209" s="1"/>
    </row>
    <row r="210" spans="2:26" x14ac:dyDescent="0.25">
      <c r="B210" s="1"/>
      <c r="Z210" s="1"/>
    </row>
    <row r="211" spans="2:26" x14ac:dyDescent="0.25">
      <c r="B211" s="1"/>
      <c r="Z211" s="1"/>
    </row>
    <row r="212" spans="2:26" x14ac:dyDescent="0.25">
      <c r="B212" s="1"/>
      <c r="Z212" s="1"/>
    </row>
    <row r="213" spans="2:26" x14ac:dyDescent="0.25">
      <c r="B213" s="1"/>
      <c r="Z213" s="1"/>
    </row>
    <row r="214" spans="2:26" x14ac:dyDescent="0.25">
      <c r="B214" s="1"/>
      <c r="Z214" s="1"/>
    </row>
    <row r="215" spans="2:26" x14ac:dyDescent="0.25">
      <c r="B215" s="1"/>
      <c r="Z215" s="1"/>
    </row>
    <row r="216" spans="2:26" x14ac:dyDescent="0.25">
      <c r="B216" s="1"/>
      <c r="Z216" s="1"/>
    </row>
    <row r="217" spans="2:26" x14ac:dyDescent="0.25">
      <c r="B217" s="1"/>
      <c r="Z217" s="1"/>
    </row>
    <row r="218" spans="2:26" x14ac:dyDescent="0.25">
      <c r="B218" s="1"/>
      <c r="Z218" s="1"/>
    </row>
    <row r="219" spans="2:26" x14ac:dyDescent="0.25">
      <c r="B219" s="1"/>
      <c r="Z219" s="1"/>
    </row>
    <row r="220" spans="2:26" x14ac:dyDescent="0.25">
      <c r="B220" s="1"/>
      <c r="Z220" s="1"/>
    </row>
    <row r="221" spans="2:26" x14ac:dyDescent="0.25">
      <c r="B221" s="1"/>
      <c r="Z221" s="1"/>
    </row>
    <row r="222" spans="2:26" x14ac:dyDescent="0.25">
      <c r="B222" s="1"/>
      <c r="Z222" s="1"/>
    </row>
    <row r="223" spans="2:26" x14ac:dyDescent="0.25">
      <c r="B223" s="1"/>
      <c r="Z223" s="1"/>
    </row>
    <row r="224" spans="2:26" x14ac:dyDescent="0.25">
      <c r="B224" s="1"/>
      <c r="Z224" s="1"/>
    </row>
    <row r="225" spans="2:26" x14ac:dyDescent="0.25">
      <c r="B225" s="1"/>
      <c r="Z225" s="1"/>
    </row>
    <row r="226" spans="2:26" x14ac:dyDescent="0.25">
      <c r="B226" s="1"/>
      <c r="Z226" s="1"/>
    </row>
    <row r="227" spans="2:26" x14ac:dyDescent="0.25">
      <c r="B227" s="1"/>
      <c r="Z227" s="1"/>
    </row>
    <row r="228" spans="2:26" x14ac:dyDescent="0.25">
      <c r="B228" s="1"/>
      <c r="Z228" s="1"/>
    </row>
    <row r="229" spans="2:26" x14ac:dyDescent="0.25">
      <c r="B229" s="1"/>
      <c r="Z229" s="1"/>
    </row>
    <row r="230" spans="2:26" x14ac:dyDescent="0.25">
      <c r="B230" s="1"/>
      <c r="Z230" s="1"/>
    </row>
    <row r="231" spans="2:26" x14ac:dyDescent="0.25">
      <c r="B231" s="1"/>
      <c r="Z231" s="1"/>
    </row>
    <row r="232" spans="2:26" x14ac:dyDescent="0.25">
      <c r="B232" s="1"/>
      <c r="Z232" s="1"/>
    </row>
    <row r="233" spans="2:26" x14ac:dyDescent="0.25">
      <c r="B233" s="1"/>
      <c r="Z233" s="1"/>
    </row>
    <row r="234" spans="2:26" x14ac:dyDescent="0.25">
      <c r="B234" s="1"/>
      <c r="Z234" s="1"/>
    </row>
    <row r="235" spans="2:26" x14ac:dyDescent="0.25">
      <c r="B235" s="1"/>
      <c r="Z235" s="1"/>
    </row>
    <row r="236" spans="2:26" x14ac:dyDescent="0.25">
      <c r="B236" s="1"/>
      <c r="Z236" s="1"/>
    </row>
    <row r="237" spans="2:26" x14ac:dyDescent="0.25">
      <c r="B237" s="1"/>
      <c r="Z237" s="1"/>
    </row>
    <row r="238" spans="2:26" x14ac:dyDescent="0.25">
      <c r="B238" s="1"/>
      <c r="Z238" s="1"/>
    </row>
    <row r="239" spans="2:26" x14ac:dyDescent="0.25">
      <c r="B239" s="1"/>
      <c r="Z239" s="1"/>
    </row>
    <row r="240" spans="2:26" x14ac:dyDescent="0.25">
      <c r="B240" s="1"/>
      <c r="Z240" s="1"/>
    </row>
    <row r="241" spans="2:26" x14ac:dyDescent="0.25">
      <c r="B241" s="1"/>
      <c r="Z241" s="1"/>
    </row>
    <row r="242" spans="2:26" x14ac:dyDescent="0.25">
      <c r="B242" s="1"/>
      <c r="Z242" s="1"/>
    </row>
    <row r="243" spans="2:26" x14ac:dyDescent="0.25">
      <c r="B243" s="1"/>
      <c r="Z243" s="1"/>
    </row>
    <row r="244" spans="2:26" x14ac:dyDescent="0.25">
      <c r="B244" s="1"/>
      <c r="Z244" s="1"/>
    </row>
    <row r="245" spans="2:26" x14ac:dyDescent="0.25">
      <c r="B245" s="1"/>
      <c r="Z245" s="1"/>
    </row>
    <row r="246" spans="2:26" x14ac:dyDescent="0.25">
      <c r="B246" s="1"/>
      <c r="Z246" s="1"/>
    </row>
    <row r="247" spans="2:26" x14ac:dyDescent="0.25">
      <c r="B247" s="1"/>
      <c r="Z247" s="1"/>
    </row>
    <row r="248" spans="2:26" x14ac:dyDescent="0.25">
      <c r="B248" s="1"/>
      <c r="Z248" s="1"/>
    </row>
    <row r="249" spans="2:26" x14ac:dyDescent="0.25">
      <c r="B249" s="1"/>
      <c r="Z249" s="1"/>
    </row>
    <row r="250" spans="2:26" x14ac:dyDescent="0.25">
      <c r="B250" s="1"/>
      <c r="Z250" s="1"/>
    </row>
    <row r="251" spans="2:26" x14ac:dyDescent="0.25">
      <c r="B251" s="1"/>
      <c r="Z251" s="1"/>
    </row>
    <row r="252" spans="2:26" x14ac:dyDescent="0.25">
      <c r="B252" s="1"/>
      <c r="Z252" s="1"/>
    </row>
    <row r="253" spans="2:26" x14ac:dyDescent="0.25">
      <c r="B253" s="1"/>
      <c r="Z253" s="1"/>
    </row>
    <row r="254" spans="2:26" x14ac:dyDescent="0.25">
      <c r="B254" s="1"/>
      <c r="Z254" s="1"/>
    </row>
    <row r="255" spans="2:26" x14ac:dyDescent="0.25">
      <c r="B255" s="1"/>
      <c r="Z255" s="1"/>
    </row>
    <row r="256" spans="2:26" x14ac:dyDescent="0.25">
      <c r="B256" s="1"/>
      <c r="Z256" s="1"/>
    </row>
    <row r="257" spans="2:26" x14ac:dyDescent="0.25">
      <c r="B257" s="1"/>
      <c r="Z257" s="1"/>
    </row>
    <row r="258" spans="2:26" x14ac:dyDescent="0.25">
      <c r="B258" s="1"/>
      <c r="Z258" s="1"/>
    </row>
    <row r="259" spans="2:26" x14ac:dyDescent="0.25">
      <c r="B259" s="1"/>
      <c r="Z259" s="1"/>
    </row>
    <row r="260" spans="2:26" x14ac:dyDescent="0.25">
      <c r="B260" s="1"/>
      <c r="Z260" s="1"/>
    </row>
    <row r="261" spans="2:26" x14ac:dyDescent="0.25">
      <c r="B261" s="1"/>
      <c r="Z261" s="1"/>
    </row>
    <row r="262" spans="2:26" x14ac:dyDescent="0.25">
      <c r="B262" s="1"/>
      <c r="Z262" s="1"/>
    </row>
    <row r="263" spans="2:26" x14ac:dyDescent="0.25">
      <c r="B263" s="1"/>
      <c r="Z263" s="1"/>
    </row>
    <row r="264" spans="2:26" x14ac:dyDescent="0.25">
      <c r="B264" s="1"/>
      <c r="Z264" s="1"/>
    </row>
    <row r="265" spans="2:26" x14ac:dyDescent="0.25">
      <c r="B265" s="1"/>
      <c r="Z265" s="1"/>
    </row>
    <row r="266" spans="2:26" x14ac:dyDescent="0.25">
      <c r="B266" s="1"/>
      <c r="Z266" s="1"/>
    </row>
    <row r="267" spans="2:26" x14ac:dyDescent="0.25">
      <c r="B267" s="1"/>
      <c r="Z267" s="1"/>
    </row>
    <row r="268" spans="2:26" x14ac:dyDescent="0.25">
      <c r="B268" s="1"/>
      <c r="Z268" s="1"/>
    </row>
    <row r="269" spans="2:26" x14ac:dyDescent="0.25">
      <c r="B269" s="1"/>
      <c r="Z269" s="1"/>
    </row>
    <row r="270" spans="2:26" x14ac:dyDescent="0.25">
      <c r="B270" s="1"/>
      <c r="Z270" s="1"/>
    </row>
    <row r="271" spans="2:26" x14ac:dyDescent="0.25">
      <c r="B271" s="1"/>
      <c r="Z271" s="1"/>
    </row>
    <row r="272" spans="2:26" x14ac:dyDescent="0.25">
      <c r="B272" s="1"/>
      <c r="Z272" s="1"/>
    </row>
    <row r="273" spans="2:26" x14ac:dyDescent="0.25">
      <c r="B273" s="1"/>
      <c r="Z273" s="1"/>
    </row>
    <row r="274" spans="2:26" x14ac:dyDescent="0.25">
      <c r="B274" s="1"/>
      <c r="Z274" s="1"/>
    </row>
    <row r="275" spans="2:26" x14ac:dyDescent="0.25">
      <c r="B275" s="1"/>
      <c r="Z275" s="1"/>
    </row>
    <row r="276" spans="2:26" x14ac:dyDescent="0.25">
      <c r="B276" s="1"/>
      <c r="Z276" s="1"/>
    </row>
    <row r="277" spans="2:26" x14ac:dyDescent="0.25">
      <c r="B277" s="1"/>
      <c r="Z277" s="1"/>
    </row>
    <row r="278" spans="2:26" x14ac:dyDescent="0.25">
      <c r="B278" s="1"/>
      <c r="Z278" s="1"/>
    </row>
    <row r="279" spans="2:26" x14ac:dyDescent="0.25">
      <c r="B279" s="1"/>
      <c r="Z279" s="1"/>
    </row>
    <row r="280" spans="2:26" x14ac:dyDescent="0.25">
      <c r="B280" s="1"/>
      <c r="Z280" s="1"/>
    </row>
    <row r="281" spans="2:26" x14ac:dyDescent="0.25">
      <c r="B281" s="1"/>
      <c r="Z281" s="1"/>
    </row>
    <row r="282" spans="2:26" x14ac:dyDescent="0.25">
      <c r="B282" s="1"/>
      <c r="Z282" s="1"/>
    </row>
    <row r="283" spans="2:26" x14ac:dyDescent="0.25">
      <c r="B283" s="1"/>
      <c r="Z283" s="1"/>
    </row>
    <row r="284" spans="2:26" x14ac:dyDescent="0.25">
      <c r="B284" s="1"/>
      <c r="Z284" s="1"/>
    </row>
    <row r="285" spans="2:26" x14ac:dyDescent="0.25">
      <c r="B285" s="1"/>
      <c r="Z285" s="1"/>
    </row>
    <row r="286" spans="2:26" x14ac:dyDescent="0.25">
      <c r="B286" s="1"/>
      <c r="Z286" s="1"/>
    </row>
    <row r="287" spans="2:26" x14ac:dyDescent="0.25">
      <c r="B287" s="1"/>
      <c r="Z287" s="1"/>
    </row>
    <row r="288" spans="2:26" x14ac:dyDescent="0.25">
      <c r="B288" s="1"/>
      <c r="Z288" s="1"/>
    </row>
    <row r="289" spans="2:26" x14ac:dyDescent="0.25">
      <c r="B289" s="1"/>
      <c r="Z289" s="1"/>
    </row>
    <row r="290" spans="2:26" x14ac:dyDescent="0.25">
      <c r="B290" s="1"/>
      <c r="Z290" s="1"/>
    </row>
    <row r="291" spans="2:26" x14ac:dyDescent="0.25">
      <c r="B291" s="1"/>
      <c r="Z291" s="1"/>
    </row>
    <row r="292" spans="2:26" x14ac:dyDescent="0.25">
      <c r="B292" s="1"/>
      <c r="Z292" s="1"/>
    </row>
    <row r="293" spans="2:26" x14ac:dyDescent="0.25">
      <c r="B293" s="1"/>
      <c r="Z293" s="1"/>
    </row>
    <row r="294" spans="2:26" x14ac:dyDescent="0.25">
      <c r="B294" s="1"/>
      <c r="Z294" s="1"/>
    </row>
    <row r="295" spans="2:26" x14ac:dyDescent="0.25">
      <c r="B295" s="1"/>
      <c r="Z295" s="1"/>
    </row>
    <row r="296" spans="2:26" x14ac:dyDescent="0.25">
      <c r="B296" s="1"/>
      <c r="Z296" s="1"/>
    </row>
    <row r="297" spans="2:26" x14ac:dyDescent="0.25">
      <c r="B297" s="1"/>
      <c r="Z297" s="1"/>
    </row>
    <row r="298" spans="2:26" x14ac:dyDescent="0.25">
      <c r="B298" s="1"/>
      <c r="Z298" s="1"/>
    </row>
    <row r="299" spans="2:26" x14ac:dyDescent="0.25">
      <c r="B299" s="1"/>
      <c r="Z299" s="1"/>
    </row>
    <row r="300" spans="2:26" x14ac:dyDescent="0.25">
      <c r="B300" s="1"/>
      <c r="Z300" s="1"/>
    </row>
    <row r="301" spans="2:26" x14ac:dyDescent="0.25">
      <c r="B301" s="1"/>
      <c r="Z301" s="1"/>
    </row>
    <row r="302" spans="2:26" x14ac:dyDescent="0.25">
      <c r="B302" s="1"/>
      <c r="Z302" s="1"/>
    </row>
    <row r="303" spans="2:26" x14ac:dyDescent="0.25">
      <c r="B303" s="1"/>
      <c r="Z303" s="1"/>
    </row>
    <row r="304" spans="2:26" x14ac:dyDescent="0.25">
      <c r="B304" s="1"/>
      <c r="Z304" s="1"/>
    </row>
    <row r="305" spans="2:26" x14ac:dyDescent="0.25">
      <c r="B305" s="1"/>
      <c r="Z305" s="1"/>
    </row>
    <row r="306" spans="2:26" x14ac:dyDescent="0.25">
      <c r="B306" s="1"/>
      <c r="Z306" s="1"/>
    </row>
    <row r="307" spans="2:26" x14ac:dyDescent="0.25">
      <c r="B307" s="1"/>
      <c r="Z307" s="1"/>
    </row>
    <row r="308" spans="2:26" x14ac:dyDescent="0.25">
      <c r="B308" s="1"/>
      <c r="Z308" s="1"/>
    </row>
    <row r="309" spans="2:26" x14ac:dyDescent="0.25">
      <c r="B309" s="1"/>
      <c r="Z309" s="1"/>
    </row>
    <row r="310" spans="2:26" x14ac:dyDescent="0.25">
      <c r="B310" s="1"/>
      <c r="Z310" s="1"/>
    </row>
    <row r="311" spans="2:26" x14ac:dyDescent="0.25">
      <c r="B311" s="1"/>
      <c r="Z311" s="1"/>
    </row>
    <row r="312" spans="2:26" x14ac:dyDescent="0.25">
      <c r="B312" s="1"/>
      <c r="Z312" s="1"/>
    </row>
    <row r="313" spans="2:26" x14ac:dyDescent="0.25">
      <c r="B313" s="1"/>
      <c r="Z313" s="1"/>
    </row>
    <row r="314" spans="2:26" x14ac:dyDescent="0.25">
      <c r="B314" s="1"/>
      <c r="Z314" s="1"/>
    </row>
    <row r="315" spans="2:26" x14ac:dyDescent="0.25">
      <c r="B315" s="1"/>
      <c r="Z315" s="1"/>
    </row>
    <row r="316" spans="2:26" x14ac:dyDescent="0.25">
      <c r="B316" s="1"/>
      <c r="Z316" s="1"/>
    </row>
    <row r="317" spans="2:26" x14ac:dyDescent="0.25">
      <c r="B317" s="1"/>
      <c r="Z317" s="1"/>
    </row>
    <row r="318" spans="2:26" x14ac:dyDescent="0.25">
      <c r="B318" s="1"/>
      <c r="Z318" s="1"/>
    </row>
    <row r="319" spans="2:26" x14ac:dyDescent="0.25">
      <c r="B319" s="1"/>
      <c r="Z319" s="1"/>
    </row>
    <row r="320" spans="2:26" x14ac:dyDescent="0.25">
      <c r="B320" s="1"/>
      <c r="Z320" s="1"/>
    </row>
    <row r="321" spans="2:26" x14ac:dyDescent="0.25">
      <c r="B321" s="1"/>
      <c r="Z321" s="1"/>
    </row>
    <row r="322" spans="2:26" x14ac:dyDescent="0.25">
      <c r="B322" s="1"/>
      <c r="Z322" s="1"/>
    </row>
    <row r="323" spans="2:26" x14ac:dyDescent="0.25">
      <c r="B323" s="1"/>
      <c r="Z323" s="1"/>
    </row>
    <row r="324" spans="2:26" x14ac:dyDescent="0.25">
      <c r="B324" s="1"/>
      <c r="Z324" s="1"/>
    </row>
    <row r="325" spans="2:26" x14ac:dyDescent="0.25">
      <c r="B325" s="1"/>
      <c r="Z325" s="1"/>
    </row>
    <row r="326" spans="2:26" x14ac:dyDescent="0.25">
      <c r="B326" s="1"/>
      <c r="Z326" s="1"/>
    </row>
    <row r="327" spans="2:26" x14ac:dyDescent="0.25">
      <c r="B327" s="1"/>
      <c r="Z327" s="1"/>
    </row>
    <row r="328" spans="2:26" x14ac:dyDescent="0.25">
      <c r="B328" s="1"/>
      <c r="Z328" s="1"/>
    </row>
    <row r="329" spans="2:26" x14ac:dyDescent="0.25">
      <c r="B329" s="1"/>
      <c r="Z329" s="1"/>
    </row>
    <row r="330" spans="2:26" x14ac:dyDescent="0.25">
      <c r="B330" s="1"/>
      <c r="Z330" s="1"/>
    </row>
    <row r="331" spans="2:26" x14ac:dyDescent="0.25">
      <c r="B331" s="1"/>
      <c r="Z331" s="1"/>
    </row>
    <row r="332" spans="2:26" x14ac:dyDescent="0.25">
      <c r="B332" s="1"/>
      <c r="Z332" s="1"/>
    </row>
    <row r="333" spans="2:26" x14ac:dyDescent="0.25">
      <c r="B333" s="1"/>
      <c r="Z333" s="1"/>
    </row>
    <row r="334" spans="2:26" x14ac:dyDescent="0.25">
      <c r="B334" s="1"/>
      <c r="Z334" s="1"/>
    </row>
    <row r="335" spans="2:26" x14ac:dyDescent="0.25">
      <c r="B335" s="1"/>
      <c r="Z335" s="1"/>
    </row>
    <row r="336" spans="2:26" x14ac:dyDescent="0.25">
      <c r="B336" s="1"/>
      <c r="Z336" s="1"/>
    </row>
    <row r="337" spans="2:26" x14ac:dyDescent="0.25">
      <c r="B337" s="1"/>
      <c r="Z337" s="1"/>
    </row>
    <row r="338" spans="2:26" x14ac:dyDescent="0.25">
      <c r="B338" s="1"/>
      <c r="Z338" s="1"/>
    </row>
    <row r="339" spans="2:26" x14ac:dyDescent="0.25">
      <c r="B339" s="1"/>
      <c r="Z339" s="1"/>
    </row>
    <row r="340" spans="2:26" x14ac:dyDescent="0.25">
      <c r="B340" s="1"/>
      <c r="Z340" s="1"/>
    </row>
    <row r="341" spans="2:26" x14ac:dyDescent="0.25">
      <c r="B341" s="1"/>
      <c r="Z341" s="1"/>
    </row>
    <row r="342" spans="2:26" x14ac:dyDescent="0.25">
      <c r="B342" s="1"/>
      <c r="Z342" s="1"/>
    </row>
    <row r="343" spans="2:26" x14ac:dyDescent="0.25">
      <c r="B343" s="1"/>
      <c r="Z343" s="1"/>
    </row>
    <row r="344" spans="2:26" x14ac:dyDescent="0.25">
      <c r="B344" s="1"/>
      <c r="Z344" s="1"/>
    </row>
    <row r="345" spans="2:26" x14ac:dyDescent="0.25">
      <c r="B345" s="1"/>
      <c r="Z345" s="1"/>
    </row>
    <row r="346" spans="2:26" x14ac:dyDescent="0.25">
      <c r="B346" s="1"/>
      <c r="Z346" s="1"/>
    </row>
    <row r="347" spans="2:26" x14ac:dyDescent="0.25">
      <c r="B347" s="1"/>
      <c r="Z347" s="1"/>
    </row>
    <row r="348" spans="2:26" x14ac:dyDescent="0.25">
      <c r="B348" s="1"/>
      <c r="Z348" s="1"/>
    </row>
    <row r="349" spans="2:26" x14ac:dyDescent="0.25">
      <c r="B349" s="1"/>
      <c r="Z349" s="1"/>
    </row>
    <row r="350" spans="2:26" x14ac:dyDescent="0.25">
      <c r="B350" s="1"/>
      <c r="Z350" s="1"/>
    </row>
    <row r="351" spans="2:26" x14ac:dyDescent="0.25">
      <c r="B351" s="1"/>
      <c r="Z351" s="1"/>
    </row>
    <row r="352" spans="2:26" x14ac:dyDescent="0.25">
      <c r="B352" s="1"/>
      <c r="Z352" s="1"/>
    </row>
    <row r="353" spans="2:26" x14ac:dyDescent="0.25">
      <c r="B353" s="1"/>
      <c r="Z353" s="1"/>
    </row>
    <row r="354" spans="2:26" x14ac:dyDescent="0.25">
      <c r="B354" s="1"/>
      <c r="Z354" s="1"/>
    </row>
    <row r="355" spans="2:26" x14ac:dyDescent="0.25">
      <c r="B355" s="1"/>
      <c r="Z355" s="1"/>
    </row>
    <row r="356" spans="2:26" x14ac:dyDescent="0.25">
      <c r="B356" s="1"/>
      <c r="Z356" s="1"/>
    </row>
    <row r="357" spans="2:26" x14ac:dyDescent="0.25">
      <c r="B357" s="1"/>
      <c r="Z357" s="1"/>
    </row>
    <row r="358" spans="2:26" x14ac:dyDescent="0.25">
      <c r="B358" s="1"/>
      <c r="Z358" s="1"/>
    </row>
    <row r="359" spans="2:26" x14ac:dyDescent="0.25">
      <c r="B359" s="1"/>
      <c r="Z359" s="1"/>
    </row>
    <row r="360" spans="2:26" x14ac:dyDescent="0.25">
      <c r="B360" s="1"/>
      <c r="Z360" s="1"/>
    </row>
    <row r="361" spans="2:26" x14ac:dyDescent="0.25">
      <c r="B361" s="1"/>
      <c r="Z361" s="1"/>
    </row>
    <row r="362" spans="2:26" x14ac:dyDescent="0.25">
      <c r="B362" s="1"/>
      <c r="Z362" s="1"/>
    </row>
    <row r="363" spans="2:26" x14ac:dyDescent="0.25">
      <c r="B363" s="1"/>
      <c r="Z363" s="1"/>
    </row>
    <row r="364" spans="2:26" x14ac:dyDescent="0.25">
      <c r="B364" s="1"/>
      <c r="Z364" s="1"/>
    </row>
    <row r="365" spans="2:26" x14ac:dyDescent="0.25">
      <c r="B365" s="1"/>
      <c r="Z365" s="1"/>
    </row>
    <row r="366" spans="2:26" x14ac:dyDescent="0.25">
      <c r="B366" s="1"/>
      <c r="Z366" s="1"/>
    </row>
    <row r="367" spans="2:26" x14ac:dyDescent="0.25">
      <c r="B367" s="1"/>
      <c r="Z367" s="1"/>
    </row>
    <row r="368" spans="2:26" x14ac:dyDescent="0.25">
      <c r="B368" s="1"/>
      <c r="Z368" s="1"/>
    </row>
    <row r="369" spans="2:26" x14ac:dyDescent="0.25">
      <c r="B369" s="1"/>
      <c r="Z369" s="1"/>
    </row>
    <row r="370" spans="2:26" x14ac:dyDescent="0.25">
      <c r="B370" s="1"/>
      <c r="Z370" s="1"/>
    </row>
    <row r="371" spans="2:26" x14ac:dyDescent="0.25">
      <c r="B371" s="1"/>
      <c r="Z371" s="1"/>
    </row>
    <row r="372" spans="2:26" x14ac:dyDescent="0.25">
      <c r="B372" s="1"/>
      <c r="Z372" s="1"/>
    </row>
    <row r="373" spans="2:26" x14ac:dyDescent="0.25">
      <c r="B373" s="1"/>
      <c r="Z373" s="1"/>
    </row>
    <row r="374" spans="2:26" x14ac:dyDescent="0.25">
      <c r="B374" s="1"/>
      <c r="Z374" s="1"/>
    </row>
    <row r="375" spans="2:26" x14ac:dyDescent="0.25">
      <c r="B375" s="1"/>
      <c r="Z375" s="1"/>
    </row>
    <row r="376" spans="2:26" x14ac:dyDescent="0.25">
      <c r="B376" s="1"/>
      <c r="Z376" s="1"/>
    </row>
    <row r="377" spans="2:26" x14ac:dyDescent="0.25">
      <c r="B377" s="1"/>
      <c r="Z377" s="1"/>
    </row>
    <row r="378" spans="2:26" x14ac:dyDescent="0.25">
      <c r="B378" s="1"/>
      <c r="Z378" s="1"/>
    </row>
    <row r="379" spans="2:26" x14ac:dyDescent="0.25">
      <c r="B379" s="1"/>
      <c r="Z379" s="1"/>
    </row>
    <row r="380" spans="2:26" x14ac:dyDescent="0.25">
      <c r="B380" s="1"/>
      <c r="Z380" s="1"/>
    </row>
    <row r="381" spans="2:26" x14ac:dyDescent="0.25">
      <c r="B381" s="1"/>
      <c r="Z381" s="1"/>
    </row>
    <row r="382" spans="2:26" x14ac:dyDescent="0.25">
      <c r="B382" s="1"/>
      <c r="Z382" s="1"/>
    </row>
    <row r="383" spans="2:26" x14ac:dyDescent="0.25">
      <c r="B383" s="1"/>
      <c r="Z383" s="1"/>
    </row>
    <row r="384" spans="2:26" x14ac:dyDescent="0.25">
      <c r="B384" s="1"/>
      <c r="Z384" s="1"/>
    </row>
    <row r="385" spans="2:26" x14ac:dyDescent="0.25">
      <c r="B385" s="1"/>
      <c r="Z385" s="1"/>
    </row>
    <row r="386" spans="2:26" x14ac:dyDescent="0.25">
      <c r="B386" s="1"/>
      <c r="Z386" s="1"/>
    </row>
    <row r="387" spans="2:26" x14ac:dyDescent="0.25">
      <c r="B387" s="1"/>
      <c r="Z387" s="1"/>
    </row>
    <row r="388" spans="2:26" x14ac:dyDescent="0.25">
      <c r="B388" s="1"/>
      <c r="Z388" s="1"/>
    </row>
    <row r="389" spans="2:26" x14ac:dyDescent="0.25">
      <c r="B389" s="1"/>
      <c r="Z389" s="1"/>
    </row>
    <row r="390" spans="2:26" x14ac:dyDescent="0.25">
      <c r="B390" s="1"/>
      <c r="Z390" s="1"/>
    </row>
    <row r="391" spans="2:26" x14ac:dyDescent="0.25">
      <c r="B391" s="1"/>
      <c r="Z391" s="1"/>
    </row>
    <row r="392" spans="2:26" x14ac:dyDescent="0.25">
      <c r="B392" s="1"/>
      <c r="Z392" s="1"/>
    </row>
    <row r="393" spans="2:26" x14ac:dyDescent="0.25">
      <c r="B393" s="1"/>
      <c r="Z393" s="1"/>
    </row>
    <row r="394" spans="2:26" x14ac:dyDescent="0.25">
      <c r="B394" s="1"/>
      <c r="Z394" s="1"/>
    </row>
    <row r="395" spans="2:26" x14ac:dyDescent="0.25">
      <c r="B395" s="1"/>
      <c r="Z395" s="1"/>
    </row>
    <row r="396" spans="2:26" x14ac:dyDescent="0.25">
      <c r="B396" s="1"/>
      <c r="Z396" s="1"/>
    </row>
    <row r="397" spans="2:26" x14ac:dyDescent="0.25">
      <c r="B397" s="1"/>
      <c r="Z397" s="1"/>
    </row>
    <row r="398" spans="2:26" x14ac:dyDescent="0.25">
      <c r="B398" s="1"/>
      <c r="Z398" s="1"/>
    </row>
    <row r="399" spans="2:26" x14ac:dyDescent="0.25">
      <c r="B399" s="1"/>
      <c r="Z399" s="1"/>
    </row>
    <row r="400" spans="2:26" x14ac:dyDescent="0.25">
      <c r="B400" s="1"/>
      <c r="Z400" s="1"/>
    </row>
    <row r="401" spans="2:26" x14ac:dyDescent="0.25">
      <c r="B401" s="1"/>
      <c r="Z401" s="1"/>
    </row>
    <row r="402" spans="2:26" x14ac:dyDescent="0.25">
      <c r="B402" s="1"/>
      <c r="Z402" s="1"/>
    </row>
    <row r="403" spans="2:26" x14ac:dyDescent="0.25">
      <c r="B403" s="1"/>
      <c r="Z403" s="1"/>
    </row>
    <row r="404" spans="2:26" x14ac:dyDescent="0.25">
      <c r="B404" s="1"/>
      <c r="Z404" s="1"/>
    </row>
    <row r="405" spans="2:26" x14ac:dyDescent="0.25">
      <c r="B405" s="1"/>
      <c r="Z405" s="1"/>
    </row>
    <row r="406" spans="2:26" x14ac:dyDescent="0.25">
      <c r="B406" s="1"/>
      <c r="Z406" s="1"/>
    </row>
    <row r="407" spans="2:26" x14ac:dyDescent="0.25">
      <c r="B407" s="1"/>
      <c r="Z407" s="1"/>
    </row>
    <row r="408" spans="2:26" x14ac:dyDescent="0.25">
      <c r="B408" s="1"/>
      <c r="Z408" s="1"/>
    </row>
    <row r="409" spans="2:26" x14ac:dyDescent="0.25">
      <c r="B409" s="1"/>
      <c r="Z409" s="1"/>
    </row>
    <row r="410" spans="2:26" x14ac:dyDescent="0.25">
      <c r="B410" s="1"/>
      <c r="Z410" s="1"/>
    </row>
    <row r="411" spans="2:26" x14ac:dyDescent="0.25">
      <c r="B411" s="1"/>
      <c r="Z411" s="1"/>
    </row>
    <row r="412" spans="2:26" x14ac:dyDescent="0.25">
      <c r="B412" s="1"/>
      <c r="Z412" s="1"/>
    </row>
    <row r="413" spans="2:26" x14ac:dyDescent="0.25">
      <c r="B413" s="1"/>
      <c r="Z413" s="1"/>
    </row>
    <row r="414" spans="2:26" x14ac:dyDescent="0.25">
      <c r="B414" s="1"/>
      <c r="Z414" s="1"/>
    </row>
    <row r="415" spans="2:26" x14ac:dyDescent="0.25">
      <c r="B415" s="1"/>
      <c r="Z415" s="1"/>
    </row>
    <row r="416" spans="2:26" x14ac:dyDescent="0.25">
      <c r="B416" s="1"/>
      <c r="Z416" s="1"/>
    </row>
    <row r="417" spans="2:26" x14ac:dyDescent="0.25">
      <c r="B417" s="1"/>
      <c r="Z417" s="1"/>
    </row>
    <row r="418" spans="2:26" x14ac:dyDescent="0.25">
      <c r="B418" s="1"/>
      <c r="Z418" s="1"/>
    </row>
    <row r="419" spans="2:26" x14ac:dyDescent="0.25">
      <c r="B419" s="1"/>
      <c r="Z419" s="1"/>
    </row>
    <row r="420" spans="2:26" x14ac:dyDescent="0.25">
      <c r="B420" s="1"/>
      <c r="Z420" s="1"/>
    </row>
    <row r="421" spans="2:26" x14ac:dyDescent="0.25">
      <c r="B421" s="1"/>
      <c r="Z421" s="1"/>
    </row>
    <row r="422" spans="2:26" x14ac:dyDescent="0.25">
      <c r="B422" s="1"/>
      <c r="Z422" s="1"/>
    </row>
    <row r="423" spans="2:26" x14ac:dyDescent="0.25">
      <c r="B423" s="1"/>
      <c r="Z423" s="1"/>
    </row>
    <row r="424" spans="2:26" x14ac:dyDescent="0.25">
      <c r="B424" s="1"/>
      <c r="Z424" s="1"/>
    </row>
    <row r="425" spans="2:26" x14ac:dyDescent="0.25">
      <c r="B425" s="1"/>
      <c r="Z425" s="1"/>
    </row>
    <row r="426" spans="2:26" x14ac:dyDescent="0.25">
      <c r="B426" s="1"/>
      <c r="Z426" s="1"/>
    </row>
    <row r="427" spans="2:26" x14ac:dyDescent="0.25">
      <c r="B427" s="1"/>
      <c r="Z427" s="1"/>
    </row>
    <row r="428" spans="2:26" x14ac:dyDescent="0.25">
      <c r="B428" s="1"/>
      <c r="Z428" s="1"/>
    </row>
    <row r="429" spans="2:26" x14ac:dyDescent="0.25">
      <c r="B429" s="1"/>
      <c r="Z429" s="1"/>
    </row>
    <row r="430" spans="2:26" x14ac:dyDescent="0.25">
      <c r="B430" s="1"/>
      <c r="Z430" s="1"/>
    </row>
    <row r="431" spans="2:26" x14ac:dyDescent="0.25">
      <c r="B431" s="1"/>
      <c r="Z431" s="1"/>
    </row>
    <row r="432" spans="2:26" x14ac:dyDescent="0.25">
      <c r="B432" s="1"/>
      <c r="Z432" s="1"/>
    </row>
    <row r="433" spans="2:26" x14ac:dyDescent="0.25">
      <c r="B433" s="1"/>
      <c r="Z433" s="1"/>
    </row>
    <row r="434" spans="2:26" x14ac:dyDescent="0.25">
      <c r="B434" s="1"/>
      <c r="Z434" s="1"/>
    </row>
    <row r="435" spans="2:26" x14ac:dyDescent="0.25">
      <c r="B435" s="1"/>
      <c r="Z435" s="1"/>
    </row>
    <row r="436" spans="2:26" x14ac:dyDescent="0.25">
      <c r="B436" s="1"/>
      <c r="Z436" s="1"/>
    </row>
    <row r="437" spans="2:26" x14ac:dyDescent="0.25">
      <c r="B437" s="1"/>
      <c r="Z437" s="1"/>
    </row>
    <row r="438" spans="2:26" x14ac:dyDescent="0.25">
      <c r="B438" s="1"/>
      <c r="Z438" s="1"/>
    </row>
    <row r="439" spans="2:26" x14ac:dyDescent="0.25">
      <c r="B439" s="1"/>
      <c r="Z439" s="1"/>
    </row>
    <row r="440" spans="2:26" x14ac:dyDescent="0.25">
      <c r="B440" s="1"/>
      <c r="Z440" s="1"/>
    </row>
    <row r="441" spans="2:26" x14ac:dyDescent="0.25">
      <c r="B441" s="1"/>
      <c r="Z441" s="1"/>
    </row>
    <row r="442" spans="2:26" x14ac:dyDescent="0.25">
      <c r="B442" s="1"/>
      <c r="Z442" s="1"/>
    </row>
    <row r="443" spans="2:26" x14ac:dyDescent="0.25">
      <c r="B443" s="1"/>
      <c r="Z443" s="1"/>
    </row>
    <row r="444" spans="2:26" x14ac:dyDescent="0.25">
      <c r="B444" s="1"/>
      <c r="Z444" s="1"/>
    </row>
    <row r="445" spans="2:26" x14ac:dyDescent="0.25">
      <c r="B445" s="1"/>
      <c r="Z445" s="1"/>
    </row>
    <row r="446" spans="2:26" x14ac:dyDescent="0.25">
      <c r="B446" s="1"/>
      <c r="Z446" s="1"/>
    </row>
    <row r="447" spans="2:26" x14ac:dyDescent="0.25">
      <c r="B447" s="1"/>
      <c r="Z447" s="1"/>
    </row>
    <row r="448" spans="2:26" x14ac:dyDescent="0.25">
      <c r="B448" s="1"/>
      <c r="Z448" s="1"/>
    </row>
    <row r="449" spans="2:26" x14ac:dyDescent="0.25">
      <c r="B449" s="1"/>
      <c r="Z449" s="1"/>
    </row>
    <row r="450" spans="2:26" x14ac:dyDescent="0.25">
      <c r="B450" s="1"/>
      <c r="Z450" s="1"/>
    </row>
    <row r="451" spans="2:26" x14ac:dyDescent="0.25">
      <c r="B451" s="1"/>
      <c r="Z451" s="1"/>
    </row>
    <row r="452" spans="2:26" x14ac:dyDescent="0.25">
      <c r="B452" s="1"/>
      <c r="Z452" s="1"/>
    </row>
    <row r="453" spans="2:26" x14ac:dyDescent="0.25">
      <c r="B453" s="1"/>
      <c r="Z453" s="1"/>
    </row>
    <row r="454" spans="2:26" x14ac:dyDescent="0.25">
      <c r="B454" s="1"/>
      <c r="Z454" s="1"/>
    </row>
    <row r="455" spans="2:26" x14ac:dyDescent="0.25">
      <c r="B455" s="1"/>
      <c r="Z455" s="1"/>
    </row>
    <row r="456" spans="2:26" x14ac:dyDescent="0.25">
      <c r="B456" s="1"/>
      <c r="Z456" s="1"/>
    </row>
    <row r="457" spans="2:26" x14ac:dyDescent="0.25">
      <c r="B457" s="1"/>
      <c r="Z457" s="1"/>
    </row>
    <row r="458" spans="2:26" x14ac:dyDescent="0.25">
      <c r="B458" s="1"/>
      <c r="Z458" s="1"/>
    </row>
    <row r="459" spans="2:26" x14ac:dyDescent="0.25">
      <c r="B459" s="1"/>
      <c r="Z459" s="1"/>
    </row>
    <row r="460" spans="2:26" x14ac:dyDescent="0.25">
      <c r="B460" s="1"/>
      <c r="Z460" s="1"/>
    </row>
    <row r="461" spans="2:26" x14ac:dyDescent="0.25">
      <c r="B461" s="1"/>
      <c r="Z461" s="1"/>
    </row>
    <row r="462" spans="2:26" x14ac:dyDescent="0.25">
      <c r="B462" s="1"/>
      <c r="Z462" s="1"/>
    </row>
    <row r="463" spans="2:26" x14ac:dyDescent="0.25">
      <c r="B463" s="1"/>
      <c r="Z463" s="1"/>
    </row>
    <row r="464" spans="2:26" x14ac:dyDescent="0.25">
      <c r="B464" s="1"/>
      <c r="Z464" s="1"/>
    </row>
    <row r="465" spans="2:26" x14ac:dyDescent="0.25">
      <c r="B465" s="1"/>
      <c r="Z465" s="1"/>
    </row>
    <row r="466" spans="2:26" x14ac:dyDescent="0.25">
      <c r="B466" s="1"/>
      <c r="Z466" s="1"/>
    </row>
    <row r="467" spans="2:26" x14ac:dyDescent="0.25">
      <c r="B467" s="1"/>
      <c r="Z467" s="1"/>
    </row>
    <row r="468" spans="2:26" x14ac:dyDescent="0.25">
      <c r="B468" s="1"/>
      <c r="Z468" s="1"/>
    </row>
    <row r="469" spans="2:26" x14ac:dyDescent="0.25">
      <c r="B469" s="1"/>
      <c r="Z469" s="1"/>
    </row>
    <row r="470" spans="2:26" x14ac:dyDescent="0.25">
      <c r="B470" s="1"/>
      <c r="Z470" s="1"/>
    </row>
    <row r="471" spans="2:26" x14ac:dyDescent="0.25">
      <c r="B471" s="1"/>
      <c r="Z471" s="1"/>
    </row>
    <row r="472" spans="2:26" x14ac:dyDescent="0.25">
      <c r="B472" s="1"/>
      <c r="Z472" s="1"/>
    </row>
    <row r="473" spans="2:26" x14ac:dyDescent="0.25">
      <c r="B473" s="1"/>
      <c r="Z473" s="1"/>
    </row>
    <row r="474" spans="2:26" x14ac:dyDescent="0.25">
      <c r="B474" s="1"/>
      <c r="Z474" s="1"/>
    </row>
    <row r="475" spans="2:26" x14ac:dyDescent="0.25">
      <c r="B475" s="1"/>
      <c r="Z475" s="1"/>
    </row>
    <row r="476" spans="2:26" x14ac:dyDescent="0.25">
      <c r="B476" s="1"/>
      <c r="Z476" s="1"/>
    </row>
    <row r="477" spans="2:26" x14ac:dyDescent="0.25">
      <c r="B477" s="1"/>
      <c r="Z477" s="1"/>
    </row>
    <row r="478" spans="2:26" x14ac:dyDescent="0.25">
      <c r="B478" s="1"/>
      <c r="Z478" s="1"/>
    </row>
    <row r="479" spans="2:26" x14ac:dyDescent="0.25">
      <c r="B479" s="1"/>
      <c r="Z479" s="1"/>
    </row>
    <row r="480" spans="2:26" x14ac:dyDescent="0.25">
      <c r="B480" s="1"/>
      <c r="Z480" s="1"/>
    </row>
    <row r="481" spans="2:26" x14ac:dyDescent="0.25">
      <c r="B481" s="1"/>
      <c r="Z481" s="1"/>
    </row>
    <row r="482" spans="2:26" x14ac:dyDescent="0.25">
      <c r="B482" s="1"/>
      <c r="Z482" s="1"/>
    </row>
    <row r="483" spans="2:26" x14ac:dyDescent="0.25">
      <c r="B483" s="1"/>
      <c r="Z483" s="1"/>
    </row>
    <row r="484" spans="2:26" x14ac:dyDescent="0.25">
      <c r="B484" s="1"/>
      <c r="Z484" s="1"/>
    </row>
    <row r="485" spans="2:26" x14ac:dyDescent="0.25">
      <c r="B485" s="1"/>
      <c r="Z485" s="1"/>
    </row>
    <row r="486" spans="2:26" x14ac:dyDescent="0.25">
      <c r="B486" s="1"/>
      <c r="Z486" s="1"/>
    </row>
    <row r="487" spans="2:26" x14ac:dyDescent="0.25">
      <c r="B487" s="1"/>
      <c r="Z487" s="1"/>
    </row>
    <row r="488" spans="2:26" x14ac:dyDescent="0.25">
      <c r="B488" s="1"/>
      <c r="Z488" s="1"/>
    </row>
    <row r="489" spans="2:26" x14ac:dyDescent="0.25">
      <c r="B489" s="1"/>
      <c r="Z489" s="1"/>
    </row>
    <row r="490" spans="2:26" x14ac:dyDescent="0.25">
      <c r="B490" s="1"/>
      <c r="Z490" s="1"/>
    </row>
    <row r="491" spans="2:26" x14ac:dyDescent="0.25">
      <c r="B491" s="1"/>
      <c r="Z491" s="1"/>
    </row>
    <row r="492" spans="2:26" x14ac:dyDescent="0.25">
      <c r="B492" s="1"/>
      <c r="Z492" s="1"/>
    </row>
    <row r="493" spans="2:26" x14ac:dyDescent="0.25">
      <c r="B493" s="1"/>
      <c r="Z493" s="1"/>
    </row>
    <row r="494" spans="2:26" x14ac:dyDescent="0.25">
      <c r="B494" s="1"/>
      <c r="Z494" s="1"/>
    </row>
    <row r="495" spans="2:26" x14ac:dyDescent="0.25">
      <c r="B495" s="1"/>
      <c r="Z495" s="1"/>
    </row>
    <row r="496" spans="2:26" x14ac:dyDescent="0.25">
      <c r="B496" s="1"/>
      <c r="Z496" s="1"/>
    </row>
    <row r="497" spans="2:26" x14ac:dyDescent="0.25">
      <c r="B497" s="1"/>
      <c r="Z497" s="1"/>
    </row>
    <row r="498" spans="2:26" x14ac:dyDescent="0.25">
      <c r="B498" s="1"/>
      <c r="Z498" s="1"/>
    </row>
    <row r="499" spans="2:26" x14ac:dyDescent="0.25">
      <c r="B499" s="1"/>
      <c r="Z499" s="1"/>
    </row>
    <row r="500" spans="2:26" x14ac:dyDescent="0.25">
      <c r="B500" s="1"/>
      <c r="Z500" s="1"/>
    </row>
    <row r="501" spans="2:26" x14ac:dyDescent="0.25">
      <c r="B501" s="1"/>
      <c r="Z501" s="1"/>
    </row>
    <row r="502" spans="2:26" x14ac:dyDescent="0.25">
      <c r="B502" s="1"/>
      <c r="Z502" s="1"/>
    </row>
    <row r="503" spans="2:26" x14ac:dyDescent="0.25">
      <c r="B503" s="1"/>
      <c r="Z503" s="1"/>
    </row>
    <row r="504" spans="2:26" x14ac:dyDescent="0.25">
      <c r="B504" s="1"/>
      <c r="Z504" s="1"/>
    </row>
    <row r="505" spans="2:26" x14ac:dyDescent="0.25">
      <c r="B505" s="1"/>
      <c r="Z505" s="1"/>
    </row>
    <row r="506" spans="2:26" x14ac:dyDescent="0.25">
      <c r="B506" s="1"/>
    </row>
    <row r="507" spans="2:26" x14ac:dyDescent="0.25">
      <c r="B507" s="1"/>
    </row>
    <row r="508" spans="2:26" x14ac:dyDescent="0.25">
      <c r="B508" s="1"/>
    </row>
    <row r="509" spans="2:26" x14ac:dyDescent="0.25">
      <c r="B509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"/>
  <sheetViews>
    <sheetView workbookViewId="0">
      <selection activeCell="M1" sqref="M1:O53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0</v>
      </c>
      <c r="H1" t="s">
        <v>1</v>
      </c>
      <c r="I1" t="s">
        <v>2</v>
      </c>
      <c r="J1" t="s">
        <v>3</v>
      </c>
      <c r="K1" t="s">
        <v>4</v>
      </c>
      <c r="N1" t="str">
        <f>A2</f>
        <v>FNCR</v>
      </c>
      <c r="O1" t="str">
        <f>G2</f>
        <v>FGU9</v>
      </c>
    </row>
    <row r="2" spans="1:15" x14ac:dyDescent="0.25">
      <c r="A2" t="s">
        <v>9</v>
      </c>
      <c r="B2" s="1">
        <v>41091</v>
      </c>
      <c r="C2">
        <v>91</v>
      </c>
      <c r="D2">
        <v>5555695171.1300001</v>
      </c>
      <c r="E2">
        <v>153.18206971064399</v>
      </c>
      <c r="G2" t="s">
        <v>17</v>
      </c>
      <c r="H2" s="1">
        <v>41091</v>
      </c>
      <c r="I2">
        <v>127</v>
      </c>
      <c r="J2">
        <v>6599126495.5600004</v>
      </c>
      <c r="K2">
        <v>153.55530532209801</v>
      </c>
      <c r="M2" s="1">
        <f>B2</f>
        <v>41091</v>
      </c>
      <c r="N2">
        <f>E2</f>
        <v>153.18206971064399</v>
      </c>
      <c r="O2">
        <f>K2</f>
        <v>153.55530532209801</v>
      </c>
    </row>
    <row r="3" spans="1:15" x14ac:dyDescent="0.25">
      <c r="A3" t="s">
        <v>9</v>
      </c>
      <c r="B3" s="1">
        <v>41122</v>
      </c>
      <c r="C3">
        <v>156</v>
      </c>
      <c r="D3">
        <v>8754398274.3899994</v>
      </c>
      <c r="E3">
        <v>153.017376207708</v>
      </c>
      <c r="G3" t="s">
        <v>17</v>
      </c>
      <c r="H3" s="1">
        <v>41122</v>
      </c>
      <c r="I3">
        <v>218</v>
      </c>
      <c r="J3">
        <v>8799458195.2600002</v>
      </c>
      <c r="K3">
        <v>152.51266753284801</v>
      </c>
      <c r="M3" s="1">
        <f t="shared" ref="M3:M53" si="0">B3</f>
        <v>41122</v>
      </c>
      <c r="N3">
        <f t="shared" ref="N3:N53" si="1">E3</f>
        <v>153.017376207708</v>
      </c>
      <c r="O3">
        <f t="shared" ref="O3:O53" si="2">K3</f>
        <v>152.51266753284801</v>
      </c>
    </row>
    <row r="4" spans="1:15" x14ac:dyDescent="0.25">
      <c r="A4" t="s">
        <v>9</v>
      </c>
      <c r="B4" s="1">
        <v>41153</v>
      </c>
      <c r="C4">
        <v>210</v>
      </c>
      <c r="D4">
        <v>12053254300.4</v>
      </c>
      <c r="E4">
        <v>152.97002232101701</v>
      </c>
      <c r="G4" t="s">
        <v>17</v>
      </c>
      <c r="H4" s="1">
        <v>41153</v>
      </c>
      <c r="I4">
        <v>315</v>
      </c>
      <c r="J4">
        <v>10777885227.879999</v>
      </c>
      <c r="K4">
        <v>151.49346091689</v>
      </c>
      <c r="M4" s="1">
        <f t="shared" si="0"/>
        <v>41153</v>
      </c>
      <c r="N4">
        <f t="shared" si="1"/>
        <v>152.97002232101701</v>
      </c>
      <c r="O4">
        <f t="shared" si="2"/>
        <v>151.49346091689</v>
      </c>
    </row>
    <row r="5" spans="1:15" x14ac:dyDescent="0.25">
      <c r="A5" t="s">
        <v>9</v>
      </c>
      <c r="B5" s="1">
        <v>41183</v>
      </c>
      <c r="C5">
        <v>281</v>
      </c>
      <c r="D5">
        <v>15145163161.950001</v>
      </c>
      <c r="E5">
        <v>152.894798386026</v>
      </c>
      <c r="G5" t="s">
        <v>17</v>
      </c>
      <c r="H5" s="1">
        <v>41183</v>
      </c>
      <c r="I5">
        <v>415</v>
      </c>
      <c r="J5">
        <v>12488997687</v>
      </c>
      <c r="K5">
        <v>150.93177874339301</v>
      </c>
      <c r="M5" s="1">
        <f t="shared" si="0"/>
        <v>41183</v>
      </c>
      <c r="N5">
        <f t="shared" si="1"/>
        <v>152.894798386026</v>
      </c>
      <c r="O5">
        <f t="shared" si="2"/>
        <v>150.93177874339301</v>
      </c>
    </row>
    <row r="6" spans="1:15" x14ac:dyDescent="0.25">
      <c r="A6" t="s">
        <v>9</v>
      </c>
      <c r="B6" s="1">
        <v>41214</v>
      </c>
      <c r="C6">
        <v>339</v>
      </c>
      <c r="D6">
        <v>17141506906.68</v>
      </c>
      <c r="E6">
        <v>152.493583155312</v>
      </c>
      <c r="G6" t="s">
        <v>17</v>
      </c>
      <c r="H6" s="1">
        <v>41214</v>
      </c>
      <c r="I6">
        <v>509</v>
      </c>
      <c r="J6">
        <v>13991619224.620001</v>
      </c>
      <c r="K6">
        <v>150.24050643897601</v>
      </c>
      <c r="M6" s="1">
        <f t="shared" si="0"/>
        <v>41214</v>
      </c>
      <c r="N6">
        <f t="shared" si="1"/>
        <v>152.493583155312</v>
      </c>
      <c r="O6">
        <f t="shared" si="2"/>
        <v>150.24050643897601</v>
      </c>
    </row>
    <row r="7" spans="1:15" x14ac:dyDescent="0.25">
      <c r="A7" t="s">
        <v>9</v>
      </c>
      <c r="B7" s="1">
        <v>41244</v>
      </c>
      <c r="C7">
        <v>427</v>
      </c>
      <c r="D7">
        <v>20228876583.380001</v>
      </c>
      <c r="E7">
        <v>152.170588482921</v>
      </c>
      <c r="G7" t="s">
        <v>17</v>
      </c>
      <c r="H7" s="1">
        <v>41244</v>
      </c>
      <c r="I7">
        <v>623</v>
      </c>
      <c r="J7">
        <v>15791782055.450001</v>
      </c>
      <c r="K7">
        <v>149.658147714774</v>
      </c>
      <c r="M7" s="1">
        <f t="shared" si="0"/>
        <v>41244</v>
      </c>
      <c r="N7">
        <f t="shared" si="1"/>
        <v>152.170588482921</v>
      </c>
      <c r="O7">
        <f t="shared" si="2"/>
        <v>149.658147714774</v>
      </c>
    </row>
    <row r="8" spans="1:15" x14ac:dyDescent="0.25">
      <c r="A8" t="s">
        <v>9</v>
      </c>
      <c r="B8" s="1">
        <v>41275</v>
      </c>
      <c r="C8">
        <v>493</v>
      </c>
      <c r="D8">
        <v>22634123601.41</v>
      </c>
      <c r="E8">
        <v>151.25458246047</v>
      </c>
      <c r="G8" t="s">
        <v>17</v>
      </c>
      <c r="H8" s="1">
        <v>41275</v>
      </c>
      <c r="I8">
        <v>707</v>
      </c>
      <c r="J8">
        <v>16754712174.48</v>
      </c>
      <c r="K8">
        <v>148.25248846393399</v>
      </c>
      <c r="M8" s="1">
        <f t="shared" si="0"/>
        <v>41275</v>
      </c>
      <c r="N8">
        <f t="shared" si="1"/>
        <v>151.25458246047</v>
      </c>
      <c r="O8">
        <f t="shared" si="2"/>
        <v>148.25248846393399</v>
      </c>
    </row>
    <row r="9" spans="1:15" x14ac:dyDescent="0.25">
      <c r="A9" t="s">
        <v>9</v>
      </c>
      <c r="B9" s="1">
        <v>41306</v>
      </c>
      <c r="C9">
        <v>572</v>
      </c>
      <c r="D9">
        <v>25710780014.439999</v>
      </c>
      <c r="E9">
        <v>150.42992910628499</v>
      </c>
      <c r="G9" t="s">
        <v>17</v>
      </c>
      <c r="H9" s="1">
        <v>41306</v>
      </c>
      <c r="I9">
        <v>803</v>
      </c>
      <c r="J9">
        <v>17947136377.009998</v>
      </c>
      <c r="K9">
        <v>146.954433438487</v>
      </c>
      <c r="M9" s="1">
        <f t="shared" si="0"/>
        <v>41306</v>
      </c>
      <c r="N9">
        <f t="shared" si="1"/>
        <v>150.42992910628499</v>
      </c>
      <c r="O9">
        <f t="shared" si="2"/>
        <v>146.954433438487</v>
      </c>
    </row>
    <row r="10" spans="1:15" x14ac:dyDescent="0.25">
      <c r="A10" t="s">
        <v>9</v>
      </c>
      <c r="B10" s="1">
        <v>41334</v>
      </c>
      <c r="C10">
        <v>639</v>
      </c>
      <c r="D10">
        <v>27919269484.799999</v>
      </c>
      <c r="E10">
        <v>149.36004498669601</v>
      </c>
      <c r="G10" t="s">
        <v>17</v>
      </c>
      <c r="H10" s="1">
        <v>41334</v>
      </c>
      <c r="I10">
        <v>924</v>
      </c>
      <c r="J10">
        <v>19179632548.990002</v>
      </c>
      <c r="K10">
        <v>145.82836892334299</v>
      </c>
      <c r="M10" s="1">
        <f t="shared" si="0"/>
        <v>41334</v>
      </c>
      <c r="N10">
        <f t="shared" si="1"/>
        <v>149.36004498669601</v>
      </c>
      <c r="O10">
        <f t="shared" si="2"/>
        <v>145.82836892334299</v>
      </c>
    </row>
    <row r="11" spans="1:15" x14ac:dyDescent="0.25">
      <c r="A11" t="s">
        <v>9</v>
      </c>
      <c r="B11" s="1">
        <v>41365</v>
      </c>
      <c r="C11">
        <v>704</v>
      </c>
      <c r="D11">
        <v>30041763432.959999</v>
      </c>
      <c r="E11">
        <v>146.64197146202301</v>
      </c>
      <c r="G11" t="s">
        <v>17</v>
      </c>
      <c r="H11" s="1">
        <v>41365</v>
      </c>
      <c r="I11">
        <v>1042</v>
      </c>
      <c r="J11">
        <v>20590650800.080002</v>
      </c>
      <c r="K11">
        <v>143.14548619362299</v>
      </c>
      <c r="M11" s="1">
        <f t="shared" si="0"/>
        <v>41365</v>
      </c>
      <c r="N11">
        <f t="shared" si="1"/>
        <v>146.64197146202301</v>
      </c>
      <c r="O11">
        <f t="shared" si="2"/>
        <v>143.14548619362299</v>
      </c>
    </row>
    <row r="12" spans="1:15" x14ac:dyDescent="0.25">
      <c r="A12" t="s">
        <v>9</v>
      </c>
      <c r="B12" s="1">
        <v>41395</v>
      </c>
      <c r="C12">
        <v>760</v>
      </c>
      <c r="D12">
        <v>32087573394.82</v>
      </c>
      <c r="E12">
        <v>144.124136675572</v>
      </c>
      <c r="G12" t="s">
        <v>17</v>
      </c>
      <c r="H12" s="1">
        <v>41395</v>
      </c>
      <c r="I12">
        <v>1149</v>
      </c>
      <c r="J12">
        <v>21763931987.459999</v>
      </c>
      <c r="K12">
        <v>140.66188458723701</v>
      </c>
      <c r="M12" s="1">
        <f t="shared" si="0"/>
        <v>41395</v>
      </c>
      <c r="N12">
        <f t="shared" si="1"/>
        <v>144.124136675572</v>
      </c>
      <c r="O12">
        <f t="shared" si="2"/>
        <v>140.66188458723701</v>
      </c>
    </row>
    <row r="13" spans="1:15" x14ac:dyDescent="0.25">
      <c r="A13" t="s">
        <v>9</v>
      </c>
      <c r="B13" s="1">
        <v>41426</v>
      </c>
      <c r="C13">
        <v>806</v>
      </c>
      <c r="D13">
        <v>33554081959.810001</v>
      </c>
      <c r="E13">
        <v>141.64053818436</v>
      </c>
      <c r="G13" t="s">
        <v>17</v>
      </c>
      <c r="H13" s="1">
        <v>41426</v>
      </c>
      <c r="I13">
        <v>1253</v>
      </c>
      <c r="J13">
        <v>22743332810.720001</v>
      </c>
      <c r="K13">
        <v>138.29250910925001</v>
      </c>
      <c r="M13" s="1">
        <f t="shared" si="0"/>
        <v>41426</v>
      </c>
      <c r="N13">
        <f t="shared" si="1"/>
        <v>141.64053818436</v>
      </c>
      <c r="O13">
        <f t="shared" si="2"/>
        <v>138.29250910925001</v>
      </c>
    </row>
    <row r="14" spans="1:15" x14ac:dyDescent="0.25">
      <c r="A14" t="s">
        <v>9</v>
      </c>
      <c r="B14" s="1">
        <v>41456</v>
      </c>
      <c r="C14">
        <v>846</v>
      </c>
      <c r="D14">
        <v>34996952153.550003</v>
      </c>
      <c r="E14">
        <v>140.43335805130499</v>
      </c>
      <c r="G14" t="s">
        <v>17</v>
      </c>
      <c r="H14" s="1">
        <v>41456</v>
      </c>
      <c r="I14">
        <v>1350</v>
      </c>
      <c r="J14">
        <v>23549228231.41</v>
      </c>
      <c r="K14">
        <v>137.08275768082899</v>
      </c>
      <c r="M14" s="1">
        <f t="shared" si="0"/>
        <v>41456</v>
      </c>
      <c r="N14">
        <f t="shared" si="1"/>
        <v>140.43335805130499</v>
      </c>
      <c r="O14">
        <f t="shared" si="2"/>
        <v>137.08275768082899</v>
      </c>
    </row>
    <row r="15" spans="1:15" x14ac:dyDescent="0.25">
      <c r="A15" t="s">
        <v>9</v>
      </c>
      <c r="B15" s="1">
        <v>41487</v>
      </c>
      <c r="C15">
        <v>890</v>
      </c>
      <c r="D15">
        <v>36201078184.980003</v>
      </c>
      <c r="E15">
        <v>139.18940646289701</v>
      </c>
      <c r="G15" t="s">
        <v>17</v>
      </c>
      <c r="H15" s="1">
        <v>41487</v>
      </c>
      <c r="I15">
        <v>1432</v>
      </c>
      <c r="J15">
        <v>24174777291.66</v>
      </c>
      <c r="K15">
        <v>135.83433562965399</v>
      </c>
      <c r="M15" s="1">
        <f t="shared" si="0"/>
        <v>41487</v>
      </c>
      <c r="N15">
        <f t="shared" si="1"/>
        <v>139.18940646289701</v>
      </c>
      <c r="O15">
        <f t="shared" si="2"/>
        <v>135.83433562965399</v>
      </c>
    </row>
    <row r="16" spans="1:15" x14ac:dyDescent="0.25">
      <c r="A16" t="s">
        <v>9</v>
      </c>
      <c r="B16" s="1">
        <v>41518</v>
      </c>
      <c r="C16">
        <v>939</v>
      </c>
      <c r="D16">
        <v>37243354893.68</v>
      </c>
      <c r="E16">
        <v>137.98699577692901</v>
      </c>
      <c r="G16" t="s">
        <v>17</v>
      </c>
      <c r="H16" s="1">
        <v>41518</v>
      </c>
      <c r="I16">
        <v>1517</v>
      </c>
      <c r="J16">
        <v>24578473067.509998</v>
      </c>
      <c r="K16">
        <v>134.51993789281801</v>
      </c>
      <c r="M16" s="1">
        <f t="shared" si="0"/>
        <v>41518</v>
      </c>
      <c r="N16">
        <f t="shared" si="1"/>
        <v>137.98699577692901</v>
      </c>
      <c r="O16">
        <f t="shared" si="2"/>
        <v>134.51993789281801</v>
      </c>
    </row>
    <row r="17" spans="1:15" x14ac:dyDescent="0.25">
      <c r="A17" t="s">
        <v>9</v>
      </c>
      <c r="B17" s="1">
        <v>41548</v>
      </c>
      <c r="C17">
        <v>980</v>
      </c>
      <c r="D17">
        <v>37852364380.050003</v>
      </c>
      <c r="E17">
        <v>137.765319363705</v>
      </c>
      <c r="G17" t="s">
        <v>17</v>
      </c>
      <c r="H17" s="1">
        <v>41548</v>
      </c>
      <c r="I17">
        <v>1605</v>
      </c>
      <c r="J17">
        <v>24975426851.080002</v>
      </c>
      <c r="K17">
        <v>134.380628485442</v>
      </c>
      <c r="M17" s="1">
        <f t="shared" si="0"/>
        <v>41548</v>
      </c>
      <c r="N17">
        <f t="shared" si="1"/>
        <v>137.765319363705</v>
      </c>
      <c r="O17">
        <f t="shared" si="2"/>
        <v>134.380628485442</v>
      </c>
    </row>
    <row r="18" spans="1:15" x14ac:dyDescent="0.25">
      <c r="A18" t="s">
        <v>9</v>
      </c>
      <c r="B18" s="1">
        <v>41579</v>
      </c>
      <c r="C18">
        <v>1016</v>
      </c>
      <c r="D18">
        <v>38288256348.959999</v>
      </c>
      <c r="E18">
        <v>137.447359679806</v>
      </c>
      <c r="G18" t="s">
        <v>17</v>
      </c>
      <c r="H18" s="1">
        <v>41579</v>
      </c>
      <c r="I18">
        <v>1688</v>
      </c>
      <c r="J18">
        <v>25218431194.439999</v>
      </c>
      <c r="K18">
        <v>134.149157315704</v>
      </c>
      <c r="M18" s="1">
        <f t="shared" si="0"/>
        <v>41579</v>
      </c>
      <c r="N18">
        <f t="shared" si="1"/>
        <v>137.447359679806</v>
      </c>
      <c r="O18">
        <f t="shared" si="2"/>
        <v>134.149157315704</v>
      </c>
    </row>
    <row r="19" spans="1:15" x14ac:dyDescent="0.25">
      <c r="A19" t="s">
        <v>9</v>
      </c>
      <c r="B19" s="1">
        <v>41609</v>
      </c>
      <c r="C19">
        <v>1053</v>
      </c>
      <c r="D19">
        <v>38615010697.739998</v>
      </c>
      <c r="E19">
        <v>137.161031625394</v>
      </c>
      <c r="G19" t="s">
        <v>17</v>
      </c>
      <c r="H19" s="1">
        <v>41609</v>
      </c>
      <c r="I19">
        <v>1747</v>
      </c>
      <c r="J19">
        <v>25372731243.630001</v>
      </c>
      <c r="K19">
        <v>133.865147861476</v>
      </c>
      <c r="M19" s="1">
        <f t="shared" si="0"/>
        <v>41609</v>
      </c>
      <c r="N19">
        <f t="shared" si="1"/>
        <v>137.161031625394</v>
      </c>
      <c r="O19">
        <f t="shared" si="2"/>
        <v>133.865147861476</v>
      </c>
    </row>
    <row r="20" spans="1:15" x14ac:dyDescent="0.25">
      <c r="A20" t="s">
        <v>9</v>
      </c>
      <c r="B20" s="1">
        <v>41640</v>
      </c>
      <c r="C20">
        <v>1080</v>
      </c>
      <c r="D20">
        <v>39260930004.410004</v>
      </c>
      <c r="E20">
        <v>136.59690878899701</v>
      </c>
      <c r="G20" t="s">
        <v>17</v>
      </c>
      <c r="H20" s="1">
        <v>41640</v>
      </c>
      <c r="I20">
        <v>1805</v>
      </c>
      <c r="J20">
        <v>25476399173.720001</v>
      </c>
      <c r="K20">
        <v>133.361030105916</v>
      </c>
      <c r="M20" s="1">
        <f t="shared" si="0"/>
        <v>41640</v>
      </c>
      <c r="N20">
        <f t="shared" si="1"/>
        <v>136.59690878899701</v>
      </c>
      <c r="O20">
        <f t="shared" si="2"/>
        <v>133.361030105916</v>
      </c>
    </row>
    <row r="21" spans="1:15" x14ac:dyDescent="0.25">
      <c r="A21" t="s">
        <v>9</v>
      </c>
      <c r="B21" s="1">
        <v>41671</v>
      </c>
      <c r="C21">
        <v>1104</v>
      </c>
      <c r="D21">
        <v>39416596215.529999</v>
      </c>
      <c r="E21">
        <v>136.05506282999301</v>
      </c>
      <c r="G21" t="s">
        <v>17</v>
      </c>
      <c r="H21" s="1">
        <v>41671</v>
      </c>
      <c r="I21">
        <v>1854</v>
      </c>
      <c r="J21">
        <v>25558725588.619999</v>
      </c>
      <c r="K21">
        <v>132.84219254160499</v>
      </c>
      <c r="M21" s="1">
        <f t="shared" si="0"/>
        <v>41671</v>
      </c>
      <c r="N21">
        <f t="shared" si="1"/>
        <v>136.05506282999301</v>
      </c>
      <c r="O21">
        <f t="shared" si="2"/>
        <v>132.84219254160499</v>
      </c>
    </row>
    <row r="22" spans="1:15" x14ac:dyDescent="0.25">
      <c r="A22" t="s">
        <v>9</v>
      </c>
      <c r="B22" s="1">
        <v>41699</v>
      </c>
      <c r="C22">
        <v>1126</v>
      </c>
      <c r="D22">
        <v>39507898369.230003</v>
      </c>
      <c r="E22">
        <v>135.50862095993099</v>
      </c>
      <c r="G22" t="s">
        <v>17</v>
      </c>
      <c r="H22" s="1">
        <v>41699</v>
      </c>
      <c r="I22">
        <v>1900</v>
      </c>
      <c r="J22">
        <v>25637606597.049999</v>
      </c>
      <c r="K22">
        <v>132.34420560397999</v>
      </c>
      <c r="M22" s="1">
        <f t="shared" si="0"/>
        <v>41699</v>
      </c>
      <c r="N22">
        <f t="shared" si="1"/>
        <v>135.50862095993099</v>
      </c>
      <c r="O22">
        <f t="shared" si="2"/>
        <v>132.34420560397999</v>
      </c>
    </row>
    <row r="23" spans="1:15" x14ac:dyDescent="0.25">
      <c r="A23" t="s">
        <v>9</v>
      </c>
      <c r="B23" s="1">
        <v>41730</v>
      </c>
      <c r="C23">
        <v>1146</v>
      </c>
      <c r="D23">
        <v>39554921006.989998</v>
      </c>
      <c r="E23">
        <v>133.93264483532801</v>
      </c>
      <c r="G23" t="s">
        <v>17</v>
      </c>
      <c r="H23" s="1">
        <v>41730</v>
      </c>
      <c r="I23">
        <v>1945</v>
      </c>
      <c r="J23">
        <v>25659837687.27</v>
      </c>
      <c r="K23">
        <v>130.81832518122999</v>
      </c>
      <c r="M23" s="1">
        <f t="shared" si="0"/>
        <v>41730</v>
      </c>
      <c r="N23">
        <f t="shared" si="1"/>
        <v>133.93264483532801</v>
      </c>
      <c r="O23">
        <f t="shared" si="2"/>
        <v>130.81832518122999</v>
      </c>
    </row>
    <row r="24" spans="1:15" x14ac:dyDescent="0.25">
      <c r="A24" t="s">
        <v>9</v>
      </c>
      <c r="B24" s="1">
        <v>41760</v>
      </c>
      <c r="C24">
        <v>1161</v>
      </c>
      <c r="D24">
        <v>39534993055.339996</v>
      </c>
      <c r="E24">
        <v>132.39785631118099</v>
      </c>
      <c r="G24" t="s">
        <v>17</v>
      </c>
      <c r="H24" s="1">
        <v>41760</v>
      </c>
      <c r="I24">
        <v>1977</v>
      </c>
      <c r="J24">
        <v>25645418956.459999</v>
      </c>
      <c r="K24">
        <v>129.308087343925</v>
      </c>
      <c r="M24" s="1">
        <f t="shared" si="0"/>
        <v>41760</v>
      </c>
      <c r="N24">
        <f t="shared" si="1"/>
        <v>132.39785631118099</v>
      </c>
      <c r="O24">
        <f t="shared" si="2"/>
        <v>129.308087343925</v>
      </c>
    </row>
    <row r="25" spans="1:15" x14ac:dyDescent="0.25">
      <c r="A25" t="s">
        <v>9</v>
      </c>
      <c r="B25" s="1">
        <v>41791</v>
      </c>
      <c r="C25">
        <v>1174</v>
      </c>
      <c r="D25">
        <v>39463404393.919998</v>
      </c>
      <c r="E25">
        <v>130.870908833394</v>
      </c>
      <c r="G25" t="s">
        <v>17</v>
      </c>
      <c r="H25" s="1">
        <v>41791</v>
      </c>
      <c r="I25">
        <v>2006</v>
      </c>
      <c r="J25">
        <v>25616594460.360001</v>
      </c>
      <c r="K25">
        <v>127.84676187699399</v>
      </c>
      <c r="M25" s="1">
        <f t="shared" si="0"/>
        <v>41791</v>
      </c>
      <c r="N25">
        <f t="shared" si="1"/>
        <v>130.870908833394</v>
      </c>
      <c r="O25">
        <f t="shared" si="2"/>
        <v>127.84676187699399</v>
      </c>
    </row>
    <row r="26" spans="1:15" x14ac:dyDescent="0.25">
      <c r="A26" t="s">
        <v>9</v>
      </c>
      <c r="B26" s="1">
        <v>41821</v>
      </c>
      <c r="C26">
        <v>1188</v>
      </c>
      <c r="D26">
        <v>39388794194.209999</v>
      </c>
      <c r="E26">
        <v>130.00276383661699</v>
      </c>
      <c r="G26" t="s">
        <v>17</v>
      </c>
      <c r="H26" s="1">
        <v>41821</v>
      </c>
      <c r="I26">
        <v>2033</v>
      </c>
      <c r="J26">
        <v>25567285813.18</v>
      </c>
      <c r="K26">
        <v>126.983202449422</v>
      </c>
      <c r="M26" s="1">
        <f t="shared" si="0"/>
        <v>41821</v>
      </c>
      <c r="N26">
        <f t="shared" si="1"/>
        <v>130.00276383661699</v>
      </c>
      <c r="O26">
        <f t="shared" si="2"/>
        <v>126.983202449422</v>
      </c>
    </row>
    <row r="27" spans="1:15" x14ac:dyDescent="0.25">
      <c r="A27" t="s">
        <v>9</v>
      </c>
      <c r="B27" s="1">
        <v>41852</v>
      </c>
      <c r="C27">
        <v>1198</v>
      </c>
      <c r="D27">
        <v>39294654817.349998</v>
      </c>
      <c r="E27">
        <v>129.146376317593</v>
      </c>
      <c r="G27" t="s">
        <v>17</v>
      </c>
      <c r="H27" s="1">
        <v>41852</v>
      </c>
      <c r="I27">
        <v>2058</v>
      </c>
      <c r="J27">
        <v>25497572102.110001</v>
      </c>
      <c r="K27">
        <v>126.19550468757301</v>
      </c>
      <c r="M27" s="1">
        <f t="shared" si="0"/>
        <v>41852</v>
      </c>
      <c r="N27">
        <f t="shared" si="1"/>
        <v>129.146376317593</v>
      </c>
      <c r="O27">
        <f t="shared" si="2"/>
        <v>126.19550468757301</v>
      </c>
    </row>
    <row r="28" spans="1:15" x14ac:dyDescent="0.25">
      <c r="A28" t="s">
        <v>9</v>
      </c>
      <c r="B28" s="1">
        <v>41883</v>
      </c>
      <c r="C28">
        <v>1209</v>
      </c>
      <c r="D28">
        <v>39192835810.529999</v>
      </c>
      <c r="E28">
        <v>128.33094415437799</v>
      </c>
      <c r="G28" t="s">
        <v>17</v>
      </c>
      <c r="H28" s="1">
        <v>41883</v>
      </c>
      <c r="I28">
        <v>2081</v>
      </c>
      <c r="J28">
        <v>25426007923.25</v>
      </c>
      <c r="K28">
        <v>125.322093955383</v>
      </c>
      <c r="M28" s="1">
        <f t="shared" si="0"/>
        <v>41883</v>
      </c>
      <c r="N28">
        <f t="shared" si="1"/>
        <v>128.33094415437799</v>
      </c>
      <c r="O28">
        <f t="shared" si="2"/>
        <v>125.322093955383</v>
      </c>
    </row>
    <row r="29" spans="1:15" x14ac:dyDescent="0.25">
      <c r="A29" t="s">
        <v>9</v>
      </c>
      <c r="B29" s="1">
        <v>41913</v>
      </c>
      <c r="C29">
        <v>1218</v>
      </c>
      <c r="D29">
        <v>39081676749.080002</v>
      </c>
      <c r="E29">
        <v>127.954925717012</v>
      </c>
      <c r="G29" t="s">
        <v>17</v>
      </c>
      <c r="H29" s="1">
        <v>41913</v>
      </c>
      <c r="I29">
        <v>2099</v>
      </c>
      <c r="J29">
        <v>25334386957.700001</v>
      </c>
      <c r="K29">
        <v>124.97980699620901</v>
      </c>
      <c r="M29" s="1">
        <f t="shared" si="0"/>
        <v>41913</v>
      </c>
      <c r="N29">
        <f t="shared" si="1"/>
        <v>127.954925717012</v>
      </c>
      <c r="O29">
        <f t="shared" si="2"/>
        <v>124.97980699620901</v>
      </c>
    </row>
    <row r="30" spans="1:15" x14ac:dyDescent="0.25">
      <c r="A30" t="s">
        <v>9</v>
      </c>
      <c r="B30" s="1">
        <v>41944</v>
      </c>
      <c r="C30">
        <v>1229</v>
      </c>
      <c r="D30">
        <v>38971879224.970001</v>
      </c>
      <c r="E30">
        <v>127.594553296206</v>
      </c>
      <c r="G30" t="s">
        <v>17</v>
      </c>
      <c r="H30" s="1">
        <v>41944</v>
      </c>
      <c r="I30">
        <v>2118</v>
      </c>
      <c r="J30">
        <v>25256586100.18</v>
      </c>
      <c r="K30">
        <v>124.679344538153</v>
      </c>
      <c r="M30" s="1">
        <f t="shared" si="0"/>
        <v>41944</v>
      </c>
      <c r="N30">
        <f t="shared" si="1"/>
        <v>127.594553296206</v>
      </c>
      <c r="O30">
        <f t="shared" si="2"/>
        <v>124.679344538153</v>
      </c>
    </row>
    <row r="31" spans="1:15" x14ac:dyDescent="0.25">
      <c r="A31" t="s">
        <v>9</v>
      </c>
      <c r="B31" s="1">
        <v>41974</v>
      </c>
      <c r="C31">
        <v>1234</v>
      </c>
      <c r="D31">
        <v>38837765170.470001</v>
      </c>
      <c r="E31">
        <v>127.22308525442</v>
      </c>
      <c r="G31" t="s">
        <v>17</v>
      </c>
      <c r="H31" s="1">
        <v>41974</v>
      </c>
      <c r="I31">
        <v>2137</v>
      </c>
      <c r="J31">
        <v>25157857048.23</v>
      </c>
      <c r="K31">
        <v>124.379480485694</v>
      </c>
      <c r="M31" s="1">
        <f t="shared" si="0"/>
        <v>41974</v>
      </c>
      <c r="N31">
        <f t="shared" si="1"/>
        <v>127.22308525442</v>
      </c>
      <c r="O31">
        <f t="shared" si="2"/>
        <v>124.379480485694</v>
      </c>
    </row>
    <row r="32" spans="1:15" x14ac:dyDescent="0.25">
      <c r="A32" t="s">
        <v>9</v>
      </c>
      <c r="B32" s="1">
        <v>42005</v>
      </c>
      <c r="C32">
        <v>1244</v>
      </c>
      <c r="D32">
        <v>38713428394.529999</v>
      </c>
      <c r="E32">
        <v>126.57450171420599</v>
      </c>
      <c r="G32" t="s">
        <v>17</v>
      </c>
      <c r="H32" s="1">
        <v>42005</v>
      </c>
      <c r="I32">
        <v>2158</v>
      </c>
      <c r="J32">
        <v>25084444553.189999</v>
      </c>
      <c r="K32">
        <v>123.75604178675999</v>
      </c>
      <c r="M32" s="1">
        <f t="shared" si="0"/>
        <v>42005</v>
      </c>
      <c r="N32">
        <f t="shared" si="1"/>
        <v>126.57450171420599</v>
      </c>
      <c r="O32">
        <f t="shared" si="2"/>
        <v>123.75604178675999</v>
      </c>
    </row>
    <row r="33" spans="1:15" x14ac:dyDescent="0.25">
      <c r="A33" t="s">
        <v>9</v>
      </c>
      <c r="B33" s="1">
        <v>42036</v>
      </c>
      <c r="C33">
        <v>1251</v>
      </c>
      <c r="D33">
        <v>38563701206.080002</v>
      </c>
      <c r="E33">
        <v>125.90354452470901</v>
      </c>
      <c r="G33" t="s">
        <v>17</v>
      </c>
      <c r="H33" s="1">
        <v>42036</v>
      </c>
      <c r="I33">
        <v>2177</v>
      </c>
      <c r="J33">
        <v>24979796045.34</v>
      </c>
      <c r="K33">
        <v>123.157698769516</v>
      </c>
      <c r="M33" s="1">
        <f t="shared" si="0"/>
        <v>42036</v>
      </c>
      <c r="N33">
        <f t="shared" si="1"/>
        <v>125.90354452470901</v>
      </c>
      <c r="O33">
        <f t="shared" si="2"/>
        <v>123.157698769516</v>
      </c>
    </row>
    <row r="34" spans="1:15" x14ac:dyDescent="0.25">
      <c r="A34" t="s">
        <v>9</v>
      </c>
      <c r="B34" s="1">
        <v>42064</v>
      </c>
      <c r="C34">
        <v>1258</v>
      </c>
      <c r="D34">
        <v>38419602868.800003</v>
      </c>
      <c r="E34">
        <v>125.23783146205901</v>
      </c>
      <c r="G34" t="s">
        <v>17</v>
      </c>
      <c r="H34" s="1">
        <v>42064</v>
      </c>
      <c r="I34">
        <v>2196</v>
      </c>
      <c r="J34">
        <v>24896056870.400002</v>
      </c>
      <c r="K34">
        <v>122.566055597705</v>
      </c>
      <c r="M34" s="1">
        <f t="shared" si="0"/>
        <v>42064</v>
      </c>
      <c r="N34">
        <f t="shared" si="1"/>
        <v>125.23783146205901</v>
      </c>
      <c r="O34">
        <f t="shared" si="2"/>
        <v>122.566055597705</v>
      </c>
    </row>
    <row r="35" spans="1:15" x14ac:dyDescent="0.25">
      <c r="A35" t="s">
        <v>9</v>
      </c>
      <c r="B35" s="1">
        <v>42095</v>
      </c>
      <c r="C35">
        <v>1267</v>
      </c>
      <c r="D35">
        <v>38264484535.919998</v>
      </c>
      <c r="E35">
        <v>123.492308513618</v>
      </c>
      <c r="G35" t="s">
        <v>17</v>
      </c>
      <c r="H35" s="1">
        <v>42095</v>
      </c>
      <c r="I35">
        <v>2218</v>
      </c>
      <c r="J35">
        <v>24790138675.59</v>
      </c>
      <c r="K35">
        <v>120.878702231025</v>
      </c>
      <c r="M35" s="1">
        <f t="shared" si="0"/>
        <v>42095</v>
      </c>
      <c r="N35">
        <f t="shared" si="1"/>
        <v>123.492308513618</v>
      </c>
      <c r="O35">
        <f t="shared" si="2"/>
        <v>120.878702231025</v>
      </c>
    </row>
    <row r="36" spans="1:15" x14ac:dyDescent="0.25">
      <c r="A36" t="s">
        <v>9</v>
      </c>
      <c r="B36" s="1">
        <v>42125</v>
      </c>
      <c r="C36">
        <v>1274</v>
      </c>
      <c r="D36">
        <v>38076849573.309998</v>
      </c>
      <c r="E36">
        <v>121.84214430937099</v>
      </c>
      <c r="G36" t="s">
        <v>17</v>
      </c>
      <c r="H36" s="1">
        <v>42125</v>
      </c>
      <c r="I36">
        <v>2238</v>
      </c>
      <c r="J36">
        <v>24665061611.119999</v>
      </c>
      <c r="K36">
        <v>119.257741719969</v>
      </c>
      <c r="M36" s="1">
        <f t="shared" si="0"/>
        <v>42125</v>
      </c>
      <c r="N36">
        <f t="shared" si="1"/>
        <v>121.84214430937099</v>
      </c>
      <c r="O36">
        <f t="shared" si="2"/>
        <v>119.257741719969</v>
      </c>
    </row>
    <row r="37" spans="1:15" x14ac:dyDescent="0.25">
      <c r="A37" t="s">
        <v>9</v>
      </c>
      <c r="B37" s="1">
        <v>42156</v>
      </c>
      <c r="C37">
        <v>1284</v>
      </c>
      <c r="D37">
        <v>37874463420.110001</v>
      </c>
      <c r="E37">
        <v>120.24159143077701</v>
      </c>
      <c r="G37" t="s">
        <v>17</v>
      </c>
      <c r="H37" s="1">
        <v>42156</v>
      </c>
      <c r="I37">
        <v>2253</v>
      </c>
      <c r="J37">
        <v>24529470414.07</v>
      </c>
      <c r="K37">
        <v>117.68012930363</v>
      </c>
      <c r="M37" s="1">
        <f t="shared" si="0"/>
        <v>42156</v>
      </c>
      <c r="N37">
        <f t="shared" si="1"/>
        <v>120.24159143077701</v>
      </c>
      <c r="O37">
        <f t="shared" si="2"/>
        <v>117.68012930363</v>
      </c>
    </row>
    <row r="38" spans="1:15" x14ac:dyDescent="0.25">
      <c r="A38" t="s">
        <v>9</v>
      </c>
      <c r="B38" s="1">
        <v>42186</v>
      </c>
      <c r="C38">
        <v>1291</v>
      </c>
      <c r="D38">
        <v>37654575557.940002</v>
      </c>
      <c r="E38">
        <v>119.357194493008</v>
      </c>
      <c r="G38" t="s">
        <v>17</v>
      </c>
      <c r="H38" s="1">
        <v>42186</v>
      </c>
      <c r="I38">
        <v>2270</v>
      </c>
      <c r="J38">
        <v>24378497038.580002</v>
      </c>
      <c r="K38">
        <v>116.870125927201</v>
      </c>
      <c r="M38" s="1">
        <f t="shared" si="0"/>
        <v>42186</v>
      </c>
      <c r="N38">
        <f t="shared" si="1"/>
        <v>119.357194493008</v>
      </c>
      <c r="O38">
        <f t="shared" si="2"/>
        <v>116.870125927201</v>
      </c>
    </row>
    <row r="39" spans="1:15" x14ac:dyDescent="0.25">
      <c r="A39" t="s">
        <v>9</v>
      </c>
      <c r="B39" s="1">
        <v>42217</v>
      </c>
      <c r="C39">
        <v>1300</v>
      </c>
      <c r="D39">
        <v>37410876254.669998</v>
      </c>
      <c r="E39">
        <v>118.51049413568199</v>
      </c>
      <c r="G39" t="s">
        <v>17</v>
      </c>
      <c r="H39" s="1">
        <v>42217</v>
      </c>
      <c r="I39">
        <v>2283</v>
      </c>
      <c r="J39">
        <v>24214652965.389999</v>
      </c>
      <c r="K39">
        <v>116.060746020042</v>
      </c>
      <c r="M39" s="1">
        <f t="shared" si="0"/>
        <v>42217</v>
      </c>
      <c r="N39">
        <f t="shared" si="1"/>
        <v>118.51049413568199</v>
      </c>
      <c r="O39">
        <f t="shared" si="2"/>
        <v>116.060746020042</v>
      </c>
    </row>
    <row r="40" spans="1:15" x14ac:dyDescent="0.25">
      <c r="A40" t="s">
        <v>9</v>
      </c>
      <c r="B40" s="1">
        <v>42248</v>
      </c>
      <c r="C40">
        <v>1307</v>
      </c>
      <c r="D40">
        <v>37159487080.809998</v>
      </c>
      <c r="E40">
        <v>117.67173121368199</v>
      </c>
      <c r="G40" t="s">
        <v>17</v>
      </c>
      <c r="H40" s="1">
        <v>42248</v>
      </c>
      <c r="I40">
        <v>2300</v>
      </c>
      <c r="J40">
        <v>24053767752.169998</v>
      </c>
      <c r="K40">
        <v>115.275000579232</v>
      </c>
      <c r="M40" s="1">
        <f t="shared" si="0"/>
        <v>42248</v>
      </c>
      <c r="N40">
        <f t="shared" si="1"/>
        <v>117.67173121368199</v>
      </c>
      <c r="O40">
        <f t="shared" si="2"/>
        <v>115.275000579232</v>
      </c>
    </row>
    <row r="41" spans="1:15" x14ac:dyDescent="0.25">
      <c r="A41" t="s">
        <v>9</v>
      </c>
      <c r="B41" s="1">
        <v>42278</v>
      </c>
      <c r="C41">
        <v>1315</v>
      </c>
      <c r="D41">
        <v>36939526623.260002</v>
      </c>
      <c r="E41">
        <v>117.28458104427899</v>
      </c>
      <c r="G41" t="s">
        <v>17</v>
      </c>
      <c r="H41" s="1">
        <v>42278</v>
      </c>
      <c r="I41">
        <v>2317</v>
      </c>
      <c r="J41">
        <v>23899278644.869999</v>
      </c>
      <c r="K41">
        <v>114.952177692376</v>
      </c>
      <c r="M41" s="1">
        <f t="shared" si="0"/>
        <v>42278</v>
      </c>
      <c r="N41">
        <f t="shared" si="1"/>
        <v>117.28458104427899</v>
      </c>
      <c r="O41">
        <f t="shared" si="2"/>
        <v>114.952177692376</v>
      </c>
    </row>
    <row r="42" spans="1:15" x14ac:dyDescent="0.25">
      <c r="A42" t="s">
        <v>9</v>
      </c>
      <c r="B42" s="1">
        <v>42309</v>
      </c>
      <c r="C42">
        <v>1328</v>
      </c>
      <c r="D42">
        <v>36789617512.57</v>
      </c>
      <c r="E42">
        <v>116.892613010953</v>
      </c>
      <c r="G42" t="s">
        <v>17</v>
      </c>
      <c r="H42" s="1">
        <v>42309</v>
      </c>
      <c r="I42">
        <v>2330</v>
      </c>
      <c r="J42">
        <v>23731834948.119999</v>
      </c>
      <c r="K42">
        <v>114.60478507726</v>
      </c>
      <c r="M42" s="1">
        <f t="shared" si="0"/>
        <v>42309</v>
      </c>
      <c r="N42">
        <f t="shared" si="1"/>
        <v>116.892613010953</v>
      </c>
      <c r="O42">
        <f t="shared" si="2"/>
        <v>114.60478507726</v>
      </c>
    </row>
    <row r="43" spans="1:15" x14ac:dyDescent="0.25">
      <c r="A43" t="s">
        <v>9</v>
      </c>
      <c r="B43" s="1">
        <v>42339</v>
      </c>
      <c r="C43">
        <v>1332</v>
      </c>
      <c r="D43">
        <v>36550588239.07</v>
      </c>
      <c r="E43">
        <v>116.481389673758</v>
      </c>
      <c r="G43" t="s">
        <v>17</v>
      </c>
      <c r="H43" s="1">
        <v>42339</v>
      </c>
      <c r="I43">
        <v>2346</v>
      </c>
      <c r="J43">
        <v>23575272898.580002</v>
      </c>
      <c r="K43">
        <v>114.269669059406</v>
      </c>
      <c r="M43" s="1">
        <f t="shared" si="0"/>
        <v>42339</v>
      </c>
      <c r="N43">
        <f t="shared" si="1"/>
        <v>116.481389673758</v>
      </c>
      <c r="O43">
        <f t="shared" si="2"/>
        <v>114.269669059406</v>
      </c>
    </row>
    <row r="44" spans="1:15" x14ac:dyDescent="0.25">
      <c r="A44" t="s">
        <v>9</v>
      </c>
      <c r="B44" s="1">
        <v>42370</v>
      </c>
      <c r="C44">
        <v>1339</v>
      </c>
      <c r="D44">
        <v>36350171434.389999</v>
      </c>
      <c r="E44">
        <v>115.795878130738</v>
      </c>
      <c r="G44" t="s">
        <v>17</v>
      </c>
      <c r="H44" s="1">
        <v>42370</v>
      </c>
      <c r="I44">
        <v>2356</v>
      </c>
      <c r="J44">
        <v>23422747348.59</v>
      </c>
      <c r="K44">
        <v>113.625062227158</v>
      </c>
      <c r="M44" s="1">
        <f t="shared" si="0"/>
        <v>42370</v>
      </c>
      <c r="N44">
        <f t="shared" si="1"/>
        <v>115.795878130738</v>
      </c>
      <c r="O44">
        <f t="shared" si="2"/>
        <v>113.625062227158</v>
      </c>
    </row>
    <row r="45" spans="1:15" x14ac:dyDescent="0.25">
      <c r="A45" t="s">
        <v>9</v>
      </c>
      <c r="B45" s="1">
        <v>42401</v>
      </c>
      <c r="C45">
        <v>1343</v>
      </c>
      <c r="D45">
        <v>36103641907.169998</v>
      </c>
      <c r="E45">
        <v>115.100354329333</v>
      </c>
      <c r="G45" t="s">
        <v>17</v>
      </c>
      <c r="H45" s="1">
        <v>42401</v>
      </c>
      <c r="I45">
        <v>2368</v>
      </c>
      <c r="J45">
        <v>23264052426.27</v>
      </c>
      <c r="K45">
        <v>112.989856371363</v>
      </c>
      <c r="M45" s="1">
        <f t="shared" si="0"/>
        <v>42401</v>
      </c>
      <c r="N45">
        <f t="shared" si="1"/>
        <v>115.100354329333</v>
      </c>
      <c r="O45">
        <f t="shared" si="2"/>
        <v>112.989856371363</v>
      </c>
    </row>
    <row r="46" spans="1:15" x14ac:dyDescent="0.25">
      <c r="A46" t="s">
        <v>9</v>
      </c>
      <c r="B46" s="1">
        <v>42430</v>
      </c>
      <c r="C46">
        <v>1347</v>
      </c>
      <c r="D46">
        <v>35909399214.110001</v>
      </c>
      <c r="E46">
        <v>114.401294744306</v>
      </c>
      <c r="G46" t="s">
        <v>17</v>
      </c>
      <c r="H46" s="1">
        <v>42430</v>
      </c>
      <c r="I46">
        <v>2380</v>
      </c>
      <c r="J46">
        <v>23130415817.330002</v>
      </c>
      <c r="K46">
        <v>112.326941229341</v>
      </c>
      <c r="M46" s="1">
        <f t="shared" si="0"/>
        <v>42430</v>
      </c>
      <c r="N46">
        <f t="shared" si="1"/>
        <v>114.401294744306</v>
      </c>
      <c r="O46">
        <f t="shared" si="2"/>
        <v>112.326941229341</v>
      </c>
    </row>
    <row r="47" spans="1:15" x14ac:dyDescent="0.25">
      <c r="A47" t="s">
        <v>9</v>
      </c>
      <c r="B47" s="1">
        <v>42461</v>
      </c>
      <c r="C47">
        <v>1356</v>
      </c>
      <c r="D47">
        <v>35708371081.940002</v>
      </c>
      <c r="E47">
        <v>113.01445342587699</v>
      </c>
      <c r="G47" t="s">
        <v>17</v>
      </c>
      <c r="H47" s="1">
        <v>42461</v>
      </c>
      <c r="I47">
        <v>2389</v>
      </c>
      <c r="J47">
        <v>22980966819.959999</v>
      </c>
      <c r="K47">
        <v>110.96825268082399</v>
      </c>
      <c r="M47" s="1">
        <f t="shared" si="0"/>
        <v>42461</v>
      </c>
      <c r="N47">
        <f t="shared" si="1"/>
        <v>113.01445342587699</v>
      </c>
      <c r="O47">
        <f t="shared" si="2"/>
        <v>110.96825268082399</v>
      </c>
    </row>
    <row r="48" spans="1:15" x14ac:dyDescent="0.25">
      <c r="A48" t="s">
        <v>9</v>
      </c>
      <c r="B48" s="1">
        <v>42491</v>
      </c>
      <c r="C48">
        <v>1361</v>
      </c>
      <c r="D48">
        <v>35410457427.75</v>
      </c>
      <c r="E48">
        <v>111.691254737351</v>
      </c>
      <c r="G48" t="s">
        <v>17</v>
      </c>
      <c r="H48" s="1">
        <v>42491</v>
      </c>
      <c r="I48">
        <v>2400</v>
      </c>
      <c r="J48">
        <v>22785497201.860001</v>
      </c>
      <c r="K48">
        <v>109.642920271872</v>
      </c>
      <c r="M48" s="1">
        <f t="shared" si="0"/>
        <v>42491</v>
      </c>
      <c r="N48">
        <f t="shared" si="1"/>
        <v>111.691254737351</v>
      </c>
      <c r="O48">
        <f t="shared" si="2"/>
        <v>109.642920271872</v>
      </c>
    </row>
    <row r="49" spans="1:15" x14ac:dyDescent="0.25">
      <c r="A49" t="s">
        <v>9</v>
      </c>
      <c r="B49" s="1">
        <v>42522</v>
      </c>
      <c r="C49">
        <v>1367</v>
      </c>
      <c r="D49">
        <v>35129109527.150002</v>
      </c>
      <c r="E49">
        <v>110.35269856458</v>
      </c>
      <c r="G49" t="s">
        <v>17</v>
      </c>
      <c r="H49" s="1">
        <v>42522</v>
      </c>
      <c r="I49">
        <v>2409</v>
      </c>
      <c r="J49">
        <v>22590823732.130001</v>
      </c>
      <c r="K49">
        <v>108.360786275062</v>
      </c>
      <c r="M49" s="1">
        <f t="shared" si="0"/>
        <v>42522</v>
      </c>
      <c r="N49">
        <f t="shared" si="1"/>
        <v>110.35269856458</v>
      </c>
      <c r="O49">
        <f t="shared" si="2"/>
        <v>108.360786275062</v>
      </c>
    </row>
    <row r="50" spans="1:15" x14ac:dyDescent="0.25">
      <c r="A50" t="s">
        <v>9</v>
      </c>
      <c r="B50" s="1">
        <v>42552</v>
      </c>
      <c r="C50">
        <v>1374</v>
      </c>
      <c r="D50">
        <v>34806670533.199997</v>
      </c>
      <c r="E50">
        <v>110.246686467698</v>
      </c>
      <c r="G50" t="s">
        <v>17</v>
      </c>
      <c r="H50" s="1">
        <v>42552</v>
      </c>
      <c r="I50">
        <v>2418</v>
      </c>
      <c r="J50">
        <v>22369714888.02</v>
      </c>
      <c r="K50">
        <v>108.239466109258</v>
      </c>
      <c r="M50" s="1">
        <f t="shared" si="0"/>
        <v>42552</v>
      </c>
      <c r="N50">
        <f t="shared" si="1"/>
        <v>110.246686467698</v>
      </c>
      <c r="O50">
        <f t="shared" si="2"/>
        <v>108.239466109258</v>
      </c>
    </row>
    <row r="51" spans="1:15" x14ac:dyDescent="0.25">
      <c r="A51" t="s">
        <v>9</v>
      </c>
      <c r="B51" s="1">
        <v>42583</v>
      </c>
      <c r="C51">
        <v>1380</v>
      </c>
      <c r="D51">
        <v>34436906908.110001</v>
      </c>
      <c r="E51">
        <v>110.171119857918</v>
      </c>
      <c r="G51" t="s">
        <v>17</v>
      </c>
      <c r="H51" s="1">
        <v>42583</v>
      </c>
      <c r="I51">
        <v>2424</v>
      </c>
      <c r="J51">
        <v>22125367840.490002</v>
      </c>
      <c r="K51">
        <v>108.128708730178</v>
      </c>
      <c r="M51" s="1">
        <f t="shared" si="0"/>
        <v>42583</v>
      </c>
      <c r="N51">
        <f t="shared" si="1"/>
        <v>110.171119857918</v>
      </c>
      <c r="O51">
        <f t="shared" si="2"/>
        <v>108.128708730178</v>
      </c>
    </row>
    <row r="52" spans="1:15" x14ac:dyDescent="0.25">
      <c r="A52" t="s">
        <v>9</v>
      </c>
      <c r="B52" s="1">
        <v>42614</v>
      </c>
      <c r="C52">
        <v>1385</v>
      </c>
      <c r="D52">
        <v>34088680556.189999</v>
      </c>
      <c r="E52">
        <v>110.002911112853</v>
      </c>
      <c r="G52" t="s">
        <v>17</v>
      </c>
      <c r="H52" s="1">
        <v>42614</v>
      </c>
      <c r="I52">
        <v>2433</v>
      </c>
      <c r="J52">
        <v>21895878252.380001</v>
      </c>
      <c r="K52">
        <v>108.04797919164901</v>
      </c>
      <c r="M52" s="1">
        <f t="shared" si="0"/>
        <v>42614</v>
      </c>
      <c r="N52">
        <f t="shared" si="1"/>
        <v>110.002911112853</v>
      </c>
      <c r="O52">
        <f t="shared" si="2"/>
        <v>108.04797919164901</v>
      </c>
    </row>
    <row r="53" spans="1:15" x14ac:dyDescent="0.25">
      <c r="A53" t="s">
        <v>9</v>
      </c>
      <c r="B53" s="1">
        <v>42644</v>
      </c>
      <c r="C53">
        <v>1390</v>
      </c>
      <c r="D53">
        <v>33686513650.32</v>
      </c>
      <c r="E53">
        <v>109.91183032421699</v>
      </c>
      <c r="G53" t="s">
        <v>17</v>
      </c>
      <c r="H53" s="1">
        <v>42644</v>
      </c>
      <c r="I53">
        <v>2450</v>
      </c>
      <c r="J53">
        <v>21624654083.630001</v>
      </c>
      <c r="K53">
        <v>107.96581978681201</v>
      </c>
      <c r="M53" s="1">
        <f t="shared" si="0"/>
        <v>42644</v>
      </c>
      <c r="N53">
        <f t="shared" si="1"/>
        <v>109.91183032421699</v>
      </c>
      <c r="O53">
        <f t="shared" si="2"/>
        <v>107.96581978681201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"/>
  <sheetViews>
    <sheetView workbookViewId="0">
      <selection activeCell="M1" sqref="M1:O1048576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20</v>
      </c>
      <c r="G1" t="s">
        <v>0</v>
      </c>
      <c r="H1" t="s">
        <v>1</v>
      </c>
      <c r="I1" t="s">
        <v>2</v>
      </c>
      <c r="J1" t="s">
        <v>3</v>
      </c>
      <c r="K1" t="s">
        <v>20</v>
      </c>
      <c r="N1" t="str">
        <f>A2</f>
        <v>FNCR</v>
      </c>
      <c r="O1" t="str">
        <f>G2</f>
        <v>FGU9</v>
      </c>
    </row>
    <row r="2" spans="1:15" x14ac:dyDescent="0.25">
      <c r="A2" t="s">
        <v>9</v>
      </c>
      <c r="B2" s="1">
        <v>41091</v>
      </c>
      <c r="C2">
        <v>91</v>
      </c>
      <c r="D2">
        <v>5555695171.1300001</v>
      </c>
      <c r="E2">
        <v>219468.05532400499</v>
      </c>
      <c r="G2" t="s">
        <v>17</v>
      </c>
      <c r="H2" s="1">
        <v>41091</v>
      </c>
      <c r="I2">
        <v>127</v>
      </c>
      <c r="J2">
        <v>6599126495.5600004</v>
      </c>
      <c r="K2">
        <v>220721.83932633599</v>
      </c>
      <c r="M2" s="1">
        <f>B2</f>
        <v>41091</v>
      </c>
      <c r="N2">
        <f>E2</f>
        <v>219468.05532400499</v>
      </c>
      <c r="O2">
        <f>K2</f>
        <v>220721.83932633599</v>
      </c>
    </row>
    <row r="3" spans="1:15" x14ac:dyDescent="0.25">
      <c r="A3" t="s">
        <v>9</v>
      </c>
      <c r="B3" s="1">
        <v>41122</v>
      </c>
      <c r="C3">
        <v>156</v>
      </c>
      <c r="D3">
        <v>8754398274.3899994</v>
      </c>
      <c r="E3">
        <v>216101.767224768</v>
      </c>
      <c r="G3" t="s">
        <v>17</v>
      </c>
      <c r="H3" s="1">
        <v>41122</v>
      </c>
      <c r="I3">
        <v>218</v>
      </c>
      <c r="J3">
        <v>8799458195.2600002</v>
      </c>
      <c r="K3">
        <v>218770.300720503</v>
      </c>
      <c r="M3" s="1">
        <f t="shared" ref="M3:M53" si="0">B3</f>
        <v>41122</v>
      </c>
      <c r="N3">
        <f t="shared" ref="N3:N53" si="1">E3</f>
        <v>216101.767224768</v>
      </c>
      <c r="O3">
        <f t="shared" ref="O3:O53" si="2">K3</f>
        <v>218770.300720503</v>
      </c>
    </row>
    <row r="4" spans="1:15" x14ac:dyDescent="0.25">
      <c r="A4" t="s">
        <v>9</v>
      </c>
      <c r="B4" s="1">
        <v>41153</v>
      </c>
      <c r="C4">
        <v>210</v>
      </c>
      <c r="D4">
        <v>12053254300.4</v>
      </c>
      <c r="E4">
        <v>214800.61261931999</v>
      </c>
      <c r="G4" t="s">
        <v>17</v>
      </c>
      <c r="H4" s="1">
        <v>41153</v>
      </c>
      <c r="I4">
        <v>315</v>
      </c>
      <c r="J4">
        <v>10777885227.879999</v>
      </c>
      <c r="K4">
        <v>218004.304938505</v>
      </c>
      <c r="M4" s="1">
        <f t="shared" si="0"/>
        <v>41153</v>
      </c>
      <c r="N4">
        <f t="shared" si="1"/>
        <v>214800.61261931999</v>
      </c>
      <c r="O4">
        <f t="shared" si="2"/>
        <v>218004.304938505</v>
      </c>
    </row>
    <row r="5" spans="1:15" x14ac:dyDescent="0.25">
      <c r="A5" t="s">
        <v>9</v>
      </c>
      <c r="B5" s="1">
        <v>41183</v>
      </c>
      <c r="C5">
        <v>281</v>
      </c>
      <c r="D5">
        <v>15145163161.950001</v>
      </c>
      <c r="E5">
        <v>213479.475082713</v>
      </c>
      <c r="G5" t="s">
        <v>17</v>
      </c>
      <c r="H5" s="1">
        <v>41183</v>
      </c>
      <c r="I5">
        <v>415</v>
      </c>
      <c r="J5">
        <v>12488997687</v>
      </c>
      <c r="K5">
        <v>216677.14185613301</v>
      </c>
      <c r="M5" s="1">
        <f t="shared" si="0"/>
        <v>41183</v>
      </c>
      <c r="N5">
        <f t="shared" si="1"/>
        <v>213479.475082713</v>
      </c>
      <c r="O5">
        <f t="shared" si="2"/>
        <v>216677.14185613301</v>
      </c>
    </row>
    <row r="6" spans="1:15" x14ac:dyDescent="0.25">
      <c r="A6" t="s">
        <v>9</v>
      </c>
      <c r="B6" s="1">
        <v>41214</v>
      </c>
      <c r="C6">
        <v>339</v>
      </c>
      <c r="D6">
        <v>17141506906.68</v>
      </c>
      <c r="E6">
        <v>212263.23738338199</v>
      </c>
      <c r="G6" t="s">
        <v>17</v>
      </c>
      <c r="H6" s="1">
        <v>41214</v>
      </c>
      <c r="I6">
        <v>509</v>
      </c>
      <c r="J6">
        <v>13991619224.620001</v>
      </c>
      <c r="K6">
        <v>216113.52301493901</v>
      </c>
      <c r="M6" s="1">
        <f t="shared" si="0"/>
        <v>41214</v>
      </c>
      <c r="N6">
        <f t="shared" si="1"/>
        <v>212263.23738338199</v>
      </c>
      <c r="O6">
        <f t="shared" si="2"/>
        <v>216113.52301493901</v>
      </c>
    </row>
    <row r="7" spans="1:15" x14ac:dyDescent="0.25">
      <c r="A7" t="s">
        <v>9</v>
      </c>
      <c r="B7" s="1">
        <v>41244</v>
      </c>
      <c r="C7">
        <v>427</v>
      </c>
      <c r="D7">
        <v>20228876583.380001</v>
      </c>
      <c r="E7">
        <v>211298.77527064201</v>
      </c>
      <c r="G7" t="s">
        <v>17</v>
      </c>
      <c r="H7" s="1">
        <v>41244</v>
      </c>
      <c r="I7">
        <v>623</v>
      </c>
      <c r="J7">
        <v>15791782055.450001</v>
      </c>
      <c r="K7">
        <v>214181.987011071</v>
      </c>
      <c r="M7" s="1">
        <f t="shared" si="0"/>
        <v>41244</v>
      </c>
      <c r="N7">
        <f t="shared" si="1"/>
        <v>211298.77527064201</v>
      </c>
      <c r="O7">
        <f t="shared" si="2"/>
        <v>214181.987011071</v>
      </c>
    </row>
    <row r="8" spans="1:15" x14ac:dyDescent="0.25">
      <c r="A8" t="s">
        <v>9</v>
      </c>
      <c r="B8" s="1">
        <v>41275</v>
      </c>
      <c r="C8">
        <v>493</v>
      </c>
      <c r="D8">
        <v>22634123601.41</v>
      </c>
      <c r="E8">
        <v>210279.55338287499</v>
      </c>
      <c r="G8" t="s">
        <v>17</v>
      </c>
      <c r="H8" s="1">
        <v>41275</v>
      </c>
      <c r="I8">
        <v>707</v>
      </c>
      <c r="J8">
        <v>16754712174.48</v>
      </c>
      <c r="K8">
        <v>213499.11094398701</v>
      </c>
      <c r="M8" s="1">
        <f t="shared" si="0"/>
        <v>41275</v>
      </c>
      <c r="N8">
        <f t="shared" si="1"/>
        <v>210279.55338287499</v>
      </c>
      <c r="O8">
        <f t="shared" si="2"/>
        <v>213499.11094398701</v>
      </c>
    </row>
    <row r="9" spans="1:15" x14ac:dyDescent="0.25">
      <c r="A9" t="s">
        <v>9</v>
      </c>
      <c r="B9" s="1">
        <v>41306</v>
      </c>
      <c r="C9">
        <v>572</v>
      </c>
      <c r="D9">
        <v>25710780014.439999</v>
      </c>
      <c r="E9">
        <v>209024.54888249299</v>
      </c>
      <c r="G9" t="s">
        <v>17</v>
      </c>
      <c r="H9" s="1">
        <v>41306</v>
      </c>
      <c r="I9">
        <v>803</v>
      </c>
      <c r="J9">
        <v>17947136377.009998</v>
      </c>
      <c r="K9">
        <v>212467.93598334701</v>
      </c>
      <c r="M9" s="1">
        <f t="shared" si="0"/>
        <v>41306</v>
      </c>
      <c r="N9">
        <f t="shared" si="1"/>
        <v>209024.54888249299</v>
      </c>
      <c r="O9">
        <f t="shared" si="2"/>
        <v>212467.93598334701</v>
      </c>
    </row>
    <row r="10" spans="1:15" x14ac:dyDescent="0.25">
      <c r="A10" t="s">
        <v>9</v>
      </c>
      <c r="B10" s="1">
        <v>41334</v>
      </c>
      <c r="C10">
        <v>639</v>
      </c>
      <c r="D10">
        <v>27919269484.799999</v>
      </c>
      <c r="E10">
        <v>208237.009001417</v>
      </c>
      <c r="G10" t="s">
        <v>17</v>
      </c>
      <c r="H10" s="1">
        <v>41334</v>
      </c>
      <c r="I10">
        <v>924</v>
      </c>
      <c r="J10">
        <v>19179632548.990002</v>
      </c>
      <c r="K10">
        <v>211379.61390647999</v>
      </c>
      <c r="M10" s="1">
        <f t="shared" si="0"/>
        <v>41334</v>
      </c>
      <c r="N10">
        <f t="shared" si="1"/>
        <v>208237.009001417</v>
      </c>
      <c r="O10">
        <f t="shared" si="2"/>
        <v>211379.61390647999</v>
      </c>
    </row>
    <row r="11" spans="1:15" x14ac:dyDescent="0.25">
      <c r="A11" t="s">
        <v>9</v>
      </c>
      <c r="B11" s="1">
        <v>41365</v>
      </c>
      <c r="C11">
        <v>704</v>
      </c>
      <c r="D11">
        <v>30041763432.959999</v>
      </c>
      <c r="E11">
        <v>207239.37222031201</v>
      </c>
      <c r="G11" t="s">
        <v>17</v>
      </c>
      <c r="H11" s="1">
        <v>41365</v>
      </c>
      <c r="I11">
        <v>1042</v>
      </c>
      <c r="J11">
        <v>20590650800.080002</v>
      </c>
      <c r="K11">
        <v>210133.30483906201</v>
      </c>
      <c r="M11" s="1">
        <f t="shared" si="0"/>
        <v>41365</v>
      </c>
      <c r="N11">
        <f t="shared" si="1"/>
        <v>207239.37222031201</v>
      </c>
      <c r="O11">
        <f t="shared" si="2"/>
        <v>210133.30483906201</v>
      </c>
    </row>
    <row r="12" spans="1:15" x14ac:dyDescent="0.25">
      <c r="A12" t="s">
        <v>9</v>
      </c>
      <c r="B12" s="1">
        <v>41395</v>
      </c>
      <c r="C12">
        <v>760</v>
      </c>
      <c r="D12">
        <v>32087573394.82</v>
      </c>
      <c r="E12">
        <v>205980.39361553901</v>
      </c>
      <c r="G12" t="s">
        <v>17</v>
      </c>
      <c r="H12" s="1">
        <v>41395</v>
      </c>
      <c r="I12">
        <v>1149</v>
      </c>
      <c r="J12">
        <v>21763931987.459999</v>
      </c>
      <c r="K12">
        <v>208890.23703537899</v>
      </c>
      <c r="M12" s="1">
        <f t="shared" si="0"/>
        <v>41395</v>
      </c>
      <c r="N12">
        <f t="shared" si="1"/>
        <v>205980.39361553901</v>
      </c>
      <c r="O12">
        <f t="shared" si="2"/>
        <v>208890.23703537899</v>
      </c>
    </row>
    <row r="13" spans="1:15" x14ac:dyDescent="0.25">
      <c r="A13" t="s">
        <v>9</v>
      </c>
      <c r="B13" s="1">
        <v>41426</v>
      </c>
      <c r="C13">
        <v>806</v>
      </c>
      <c r="D13">
        <v>33554081959.810001</v>
      </c>
      <c r="E13">
        <v>204912.949148071</v>
      </c>
      <c r="G13" t="s">
        <v>17</v>
      </c>
      <c r="H13" s="1">
        <v>41426</v>
      </c>
      <c r="I13">
        <v>1253</v>
      </c>
      <c r="J13">
        <v>22743332810.720001</v>
      </c>
      <c r="K13">
        <v>207900.86494427299</v>
      </c>
      <c r="M13" s="1">
        <f t="shared" si="0"/>
        <v>41426</v>
      </c>
      <c r="N13">
        <f t="shared" si="1"/>
        <v>204912.949148071</v>
      </c>
      <c r="O13">
        <f t="shared" si="2"/>
        <v>207900.86494427299</v>
      </c>
    </row>
    <row r="14" spans="1:15" x14ac:dyDescent="0.25">
      <c r="A14" t="s">
        <v>9</v>
      </c>
      <c r="B14" s="1">
        <v>41456</v>
      </c>
      <c r="C14">
        <v>846</v>
      </c>
      <c r="D14">
        <v>34996952153.550003</v>
      </c>
      <c r="E14">
        <v>203862.66108826399</v>
      </c>
      <c r="G14" t="s">
        <v>17</v>
      </c>
      <c r="H14" s="1">
        <v>41456</v>
      </c>
      <c r="I14">
        <v>1350</v>
      </c>
      <c r="J14">
        <v>23549228231.41</v>
      </c>
      <c r="K14">
        <v>206919.31335715301</v>
      </c>
      <c r="M14" s="1">
        <f t="shared" si="0"/>
        <v>41456</v>
      </c>
      <c r="N14">
        <f t="shared" si="1"/>
        <v>203862.66108826399</v>
      </c>
      <c r="O14">
        <f t="shared" si="2"/>
        <v>206919.31335715301</v>
      </c>
    </row>
    <row r="15" spans="1:15" x14ac:dyDescent="0.25">
      <c r="A15" t="s">
        <v>9</v>
      </c>
      <c r="B15" s="1">
        <v>41487</v>
      </c>
      <c r="C15">
        <v>890</v>
      </c>
      <c r="D15">
        <v>36201078184.980003</v>
      </c>
      <c r="E15">
        <v>202935.78664636399</v>
      </c>
      <c r="G15" t="s">
        <v>17</v>
      </c>
      <c r="H15" s="1">
        <v>41487</v>
      </c>
      <c r="I15">
        <v>1432</v>
      </c>
      <c r="J15">
        <v>24174777291.66</v>
      </c>
      <c r="K15">
        <v>205978.93909646099</v>
      </c>
      <c r="M15" s="1">
        <f t="shared" si="0"/>
        <v>41487</v>
      </c>
      <c r="N15">
        <f t="shared" si="1"/>
        <v>202935.78664636399</v>
      </c>
      <c r="O15">
        <f t="shared" si="2"/>
        <v>205978.93909646099</v>
      </c>
    </row>
    <row r="16" spans="1:15" x14ac:dyDescent="0.25">
      <c r="A16" t="s">
        <v>9</v>
      </c>
      <c r="B16" s="1">
        <v>41518</v>
      </c>
      <c r="C16">
        <v>939</v>
      </c>
      <c r="D16">
        <v>37243354893.68</v>
      </c>
      <c r="E16">
        <v>202055.23331903701</v>
      </c>
      <c r="G16" t="s">
        <v>17</v>
      </c>
      <c r="H16" s="1">
        <v>41518</v>
      </c>
      <c r="I16">
        <v>1517</v>
      </c>
      <c r="J16">
        <v>24578473067.509998</v>
      </c>
      <c r="K16">
        <v>205141.731363064</v>
      </c>
      <c r="M16" s="1">
        <f t="shared" si="0"/>
        <v>41518</v>
      </c>
      <c r="N16">
        <f t="shared" si="1"/>
        <v>202055.23331903701</v>
      </c>
      <c r="O16">
        <f t="shared" si="2"/>
        <v>205141.731363064</v>
      </c>
    </row>
    <row r="17" spans="1:15" x14ac:dyDescent="0.25">
      <c r="A17" t="s">
        <v>9</v>
      </c>
      <c r="B17" s="1">
        <v>41548</v>
      </c>
      <c r="C17">
        <v>980</v>
      </c>
      <c r="D17">
        <v>37852364380.050003</v>
      </c>
      <c r="E17">
        <v>201301.51022435201</v>
      </c>
      <c r="G17" t="s">
        <v>17</v>
      </c>
      <c r="H17" s="1">
        <v>41548</v>
      </c>
      <c r="I17">
        <v>1605</v>
      </c>
      <c r="J17">
        <v>24975426851.080002</v>
      </c>
      <c r="K17">
        <v>204291.713805732</v>
      </c>
      <c r="M17" s="1">
        <f t="shared" si="0"/>
        <v>41548</v>
      </c>
      <c r="N17">
        <f t="shared" si="1"/>
        <v>201301.51022435201</v>
      </c>
      <c r="O17">
        <f t="shared" si="2"/>
        <v>204291.713805732</v>
      </c>
    </row>
    <row r="18" spans="1:15" x14ac:dyDescent="0.25">
      <c r="A18" t="s">
        <v>9</v>
      </c>
      <c r="B18" s="1">
        <v>41579</v>
      </c>
      <c r="C18">
        <v>1016</v>
      </c>
      <c r="D18">
        <v>38288256348.959999</v>
      </c>
      <c r="E18">
        <v>200617.61111733501</v>
      </c>
      <c r="G18" t="s">
        <v>17</v>
      </c>
      <c r="H18" s="1">
        <v>41579</v>
      </c>
      <c r="I18">
        <v>1688</v>
      </c>
      <c r="J18">
        <v>25218431194.439999</v>
      </c>
      <c r="K18">
        <v>203672.01170382899</v>
      </c>
      <c r="M18" s="1">
        <f t="shared" si="0"/>
        <v>41579</v>
      </c>
      <c r="N18">
        <f t="shared" si="1"/>
        <v>200617.61111733501</v>
      </c>
      <c r="O18">
        <f t="shared" si="2"/>
        <v>203672.01170382899</v>
      </c>
    </row>
    <row r="19" spans="1:15" x14ac:dyDescent="0.25">
      <c r="A19" t="s">
        <v>9</v>
      </c>
      <c r="B19" s="1">
        <v>41609</v>
      </c>
      <c r="C19">
        <v>1053</v>
      </c>
      <c r="D19">
        <v>38615010697.739998</v>
      </c>
      <c r="E19">
        <v>199947.22979078299</v>
      </c>
      <c r="G19" t="s">
        <v>17</v>
      </c>
      <c r="H19" s="1">
        <v>41609</v>
      </c>
      <c r="I19">
        <v>1747</v>
      </c>
      <c r="J19">
        <v>25372731243.630001</v>
      </c>
      <c r="K19">
        <v>203028.55439944001</v>
      </c>
      <c r="M19" s="1">
        <f t="shared" si="0"/>
        <v>41609</v>
      </c>
      <c r="N19">
        <f t="shared" si="1"/>
        <v>199947.22979078299</v>
      </c>
      <c r="O19">
        <f t="shared" si="2"/>
        <v>203028.55439944001</v>
      </c>
    </row>
    <row r="20" spans="1:15" x14ac:dyDescent="0.25">
      <c r="A20" t="s">
        <v>9</v>
      </c>
      <c r="B20" s="1">
        <v>41640</v>
      </c>
      <c r="C20">
        <v>1080</v>
      </c>
      <c r="D20">
        <v>39260930004.410004</v>
      </c>
      <c r="E20">
        <v>199587.32040642601</v>
      </c>
      <c r="G20" t="s">
        <v>17</v>
      </c>
      <c r="H20" s="1">
        <v>41640</v>
      </c>
      <c r="I20">
        <v>1805</v>
      </c>
      <c r="J20">
        <v>25476399173.720001</v>
      </c>
      <c r="K20">
        <v>202490.59188218799</v>
      </c>
      <c r="M20" s="1">
        <f t="shared" si="0"/>
        <v>41640</v>
      </c>
      <c r="N20">
        <f t="shared" si="1"/>
        <v>199587.32040642601</v>
      </c>
      <c r="O20">
        <f t="shared" si="2"/>
        <v>202490.59188218799</v>
      </c>
    </row>
    <row r="21" spans="1:15" x14ac:dyDescent="0.25">
      <c r="A21" t="s">
        <v>9</v>
      </c>
      <c r="B21" s="1">
        <v>41671</v>
      </c>
      <c r="C21">
        <v>1104</v>
      </c>
      <c r="D21">
        <v>39416596215.529999</v>
      </c>
      <c r="E21">
        <v>199026.11311909001</v>
      </c>
      <c r="G21" t="s">
        <v>17</v>
      </c>
      <c r="H21" s="1">
        <v>41671</v>
      </c>
      <c r="I21">
        <v>1854</v>
      </c>
      <c r="J21">
        <v>25558725588.619999</v>
      </c>
      <c r="K21">
        <v>201972.60892453801</v>
      </c>
      <c r="M21" s="1">
        <f t="shared" si="0"/>
        <v>41671</v>
      </c>
      <c r="N21">
        <f t="shared" si="1"/>
        <v>199026.11311909001</v>
      </c>
      <c r="O21">
        <f t="shared" si="2"/>
        <v>201972.60892453801</v>
      </c>
    </row>
    <row r="22" spans="1:15" x14ac:dyDescent="0.25">
      <c r="A22" t="s">
        <v>9</v>
      </c>
      <c r="B22" s="1">
        <v>41699</v>
      </c>
      <c r="C22">
        <v>1126</v>
      </c>
      <c r="D22">
        <v>39507898369.230003</v>
      </c>
      <c r="E22">
        <v>198506.48679479299</v>
      </c>
      <c r="G22" t="s">
        <v>17</v>
      </c>
      <c r="H22" s="1">
        <v>41699</v>
      </c>
      <c r="I22">
        <v>1900</v>
      </c>
      <c r="J22">
        <v>25637606597.049999</v>
      </c>
      <c r="K22">
        <v>201457.195798915</v>
      </c>
      <c r="M22" s="1">
        <f t="shared" si="0"/>
        <v>41699</v>
      </c>
      <c r="N22">
        <f t="shared" si="1"/>
        <v>198506.48679479299</v>
      </c>
      <c r="O22">
        <f t="shared" si="2"/>
        <v>201457.195798915</v>
      </c>
    </row>
    <row r="23" spans="1:15" x14ac:dyDescent="0.25">
      <c r="A23" t="s">
        <v>9</v>
      </c>
      <c r="B23" s="1">
        <v>41730</v>
      </c>
      <c r="C23">
        <v>1146</v>
      </c>
      <c r="D23">
        <v>39554921006.989998</v>
      </c>
      <c r="E23">
        <v>197995.630152158</v>
      </c>
      <c r="G23" t="s">
        <v>17</v>
      </c>
      <c r="H23" s="1">
        <v>41730</v>
      </c>
      <c r="I23">
        <v>1945</v>
      </c>
      <c r="J23">
        <v>25659837687.27</v>
      </c>
      <c r="K23">
        <v>200983.247602166</v>
      </c>
      <c r="M23" s="1">
        <f t="shared" si="0"/>
        <v>41730</v>
      </c>
      <c r="N23">
        <f t="shared" si="1"/>
        <v>197995.630152158</v>
      </c>
      <c r="O23">
        <f t="shared" si="2"/>
        <v>200983.247602166</v>
      </c>
    </row>
    <row r="24" spans="1:15" x14ac:dyDescent="0.25">
      <c r="A24" t="s">
        <v>9</v>
      </c>
      <c r="B24" s="1">
        <v>41760</v>
      </c>
      <c r="C24">
        <v>1161</v>
      </c>
      <c r="D24">
        <v>39534993055.339996</v>
      </c>
      <c r="E24">
        <v>197524.501294207</v>
      </c>
      <c r="G24" t="s">
        <v>17</v>
      </c>
      <c r="H24" s="1">
        <v>41760</v>
      </c>
      <c r="I24">
        <v>1977</v>
      </c>
      <c r="J24">
        <v>25645418956.459999</v>
      </c>
      <c r="K24">
        <v>200527.330295858</v>
      </c>
      <c r="M24" s="1">
        <f t="shared" si="0"/>
        <v>41760</v>
      </c>
      <c r="N24">
        <f t="shared" si="1"/>
        <v>197524.501294207</v>
      </c>
      <c r="O24">
        <f t="shared" si="2"/>
        <v>200527.330295858</v>
      </c>
    </row>
    <row r="25" spans="1:15" x14ac:dyDescent="0.25">
      <c r="A25" t="s">
        <v>9</v>
      </c>
      <c r="B25" s="1">
        <v>41791</v>
      </c>
      <c r="C25">
        <v>1174</v>
      </c>
      <c r="D25">
        <v>39463404393.919998</v>
      </c>
      <c r="E25">
        <v>197045.65282076699</v>
      </c>
      <c r="G25" t="s">
        <v>17</v>
      </c>
      <c r="H25" s="1">
        <v>41791</v>
      </c>
      <c r="I25">
        <v>2006</v>
      </c>
      <c r="J25">
        <v>25616594460.360001</v>
      </c>
      <c r="K25">
        <v>200057.65530563699</v>
      </c>
      <c r="M25" s="1">
        <f t="shared" si="0"/>
        <v>41791</v>
      </c>
      <c r="N25">
        <f t="shared" si="1"/>
        <v>197045.65282076699</v>
      </c>
      <c r="O25">
        <f t="shared" si="2"/>
        <v>200057.65530563699</v>
      </c>
    </row>
    <row r="26" spans="1:15" x14ac:dyDescent="0.25">
      <c r="A26" t="s">
        <v>9</v>
      </c>
      <c r="B26" s="1">
        <v>41821</v>
      </c>
      <c r="C26">
        <v>1188</v>
      </c>
      <c r="D26">
        <v>39388794194.209999</v>
      </c>
      <c r="E26">
        <v>196580.54975119399</v>
      </c>
      <c r="G26" t="s">
        <v>17</v>
      </c>
      <c r="H26" s="1">
        <v>41821</v>
      </c>
      <c r="I26">
        <v>2033</v>
      </c>
      <c r="J26">
        <v>25567285813.18</v>
      </c>
      <c r="K26">
        <v>199600.31777124901</v>
      </c>
      <c r="M26" s="1">
        <f t="shared" si="0"/>
        <v>41821</v>
      </c>
      <c r="N26">
        <f t="shared" si="1"/>
        <v>196580.54975119399</v>
      </c>
      <c r="O26">
        <f t="shared" si="2"/>
        <v>199600.31777124901</v>
      </c>
    </row>
    <row r="27" spans="1:15" x14ac:dyDescent="0.25">
      <c r="A27" t="s">
        <v>9</v>
      </c>
      <c r="B27" s="1">
        <v>41852</v>
      </c>
      <c r="C27">
        <v>1198</v>
      </c>
      <c r="D27">
        <v>39294654817.349998</v>
      </c>
      <c r="E27">
        <v>196139.497280999</v>
      </c>
      <c r="G27" t="s">
        <v>17</v>
      </c>
      <c r="H27" s="1">
        <v>41852</v>
      </c>
      <c r="I27">
        <v>2058</v>
      </c>
      <c r="J27">
        <v>25497572102.110001</v>
      </c>
      <c r="K27">
        <v>199148.98705416499</v>
      </c>
      <c r="M27" s="1">
        <f t="shared" si="0"/>
        <v>41852</v>
      </c>
      <c r="N27">
        <f t="shared" si="1"/>
        <v>196139.497280999</v>
      </c>
      <c r="O27">
        <f t="shared" si="2"/>
        <v>199148.98705416499</v>
      </c>
    </row>
    <row r="28" spans="1:15" x14ac:dyDescent="0.25">
      <c r="A28" t="s">
        <v>9</v>
      </c>
      <c r="B28" s="1">
        <v>41883</v>
      </c>
      <c r="C28">
        <v>1209</v>
      </c>
      <c r="D28">
        <v>39192835810.529999</v>
      </c>
      <c r="E28">
        <v>195675.71020271999</v>
      </c>
      <c r="G28" t="s">
        <v>17</v>
      </c>
      <c r="H28" s="1">
        <v>41883</v>
      </c>
      <c r="I28">
        <v>2081</v>
      </c>
      <c r="J28">
        <v>25426007923.25</v>
      </c>
      <c r="K28">
        <v>198689.856300196</v>
      </c>
      <c r="M28" s="1">
        <f t="shared" si="0"/>
        <v>41883</v>
      </c>
      <c r="N28">
        <f t="shared" si="1"/>
        <v>195675.71020271999</v>
      </c>
      <c r="O28">
        <f t="shared" si="2"/>
        <v>198689.856300196</v>
      </c>
    </row>
    <row r="29" spans="1:15" x14ac:dyDescent="0.25">
      <c r="A29" t="s">
        <v>9</v>
      </c>
      <c r="B29" s="1">
        <v>41913</v>
      </c>
      <c r="C29">
        <v>1218</v>
      </c>
      <c r="D29">
        <v>39081676749.080002</v>
      </c>
      <c r="E29">
        <v>195229.192886081</v>
      </c>
      <c r="G29" t="s">
        <v>17</v>
      </c>
      <c r="H29" s="1">
        <v>41913</v>
      </c>
      <c r="I29">
        <v>2099</v>
      </c>
      <c r="J29">
        <v>25334386957.700001</v>
      </c>
      <c r="K29">
        <v>198258.902849718</v>
      </c>
      <c r="M29" s="1">
        <f t="shared" si="0"/>
        <v>41913</v>
      </c>
      <c r="N29">
        <f t="shared" si="1"/>
        <v>195229.192886081</v>
      </c>
      <c r="O29">
        <f t="shared" si="2"/>
        <v>198258.902849718</v>
      </c>
    </row>
    <row r="30" spans="1:15" x14ac:dyDescent="0.25">
      <c r="A30" t="s">
        <v>9</v>
      </c>
      <c r="B30" s="1">
        <v>41944</v>
      </c>
      <c r="C30">
        <v>1229</v>
      </c>
      <c r="D30">
        <v>38971879224.970001</v>
      </c>
      <c r="E30">
        <v>194794.672366585</v>
      </c>
      <c r="G30" t="s">
        <v>17</v>
      </c>
      <c r="H30" s="1">
        <v>41944</v>
      </c>
      <c r="I30">
        <v>2118</v>
      </c>
      <c r="J30">
        <v>25256586100.18</v>
      </c>
      <c r="K30">
        <v>197799.30369750899</v>
      </c>
      <c r="M30" s="1">
        <f t="shared" si="0"/>
        <v>41944</v>
      </c>
      <c r="N30">
        <f t="shared" si="1"/>
        <v>194794.672366585</v>
      </c>
      <c r="O30">
        <f t="shared" si="2"/>
        <v>197799.30369750899</v>
      </c>
    </row>
    <row r="31" spans="1:15" x14ac:dyDescent="0.25">
      <c r="A31" t="s">
        <v>9</v>
      </c>
      <c r="B31" s="1">
        <v>41974</v>
      </c>
      <c r="C31">
        <v>1234</v>
      </c>
      <c r="D31">
        <v>38837765170.470001</v>
      </c>
      <c r="E31">
        <v>194353.688717607</v>
      </c>
      <c r="G31" t="s">
        <v>17</v>
      </c>
      <c r="H31" s="1">
        <v>41974</v>
      </c>
      <c r="I31">
        <v>2137</v>
      </c>
      <c r="J31">
        <v>25157857048.23</v>
      </c>
      <c r="K31">
        <v>197359.96525359899</v>
      </c>
      <c r="M31" s="1">
        <f t="shared" si="0"/>
        <v>41974</v>
      </c>
      <c r="N31">
        <f t="shared" si="1"/>
        <v>194353.688717607</v>
      </c>
      <c r="O31">
        <f t="shared" si="2"/>
        <v>197359.96525359899</v>
      </c>
    </row>
    <row r="32" spans="1:15" x14ac:dyDescent="0.25">
      <c r="A32" t="s">
        <v>9</v>
      </c>
      <c r="B32" s="1">
        <v>42005</v>
      </c>
      <c r="C32">
        <v>1244</v>
      </c>
      <c r="D32">
        <v>38713428394.529999</v>
      </c>
      <c r="E32">
        <v>193936.22113957899</v>
      </c>
      <c r="G32" t="s">
        <v>17</v>
      </c>
      <c r="H32" s="1">
        <v>42005</v>
      </c>
      <c r="I32">
        <v>2158</v>
      </c>
      <c r="J32">
        <v>25084444553.189999</v>
      </c>
      <c r="K32">
        <v>196905.075382768</v>
      </c>
      <c r="M32" s="1">
        <f t="shared" si="0"/>
        <v>42005</v>
      </c>
      <c r="N32">
        <f t="shared" si="1"/>
        <v>193936.22113957899</v>
      </c>
      <c r="O32">
        <f t="shared" si="2"/>
        <v>196905.075382768</v>
      </c>
    </row>
    <row r="33" spans="1:15" x14ac:dyDescent="0.25">
      <c r="A33" t="s">
        <v>9</v>
      </c>
      <c r="B33" s="1">
        <v>42036</v>
      </c>
      <c r="C33">
        <v>1251</v>
      </c>
      <c r="D33">
        <v>38563701206.080002</v>
      </c>
      <c r="E33">
        <v>193519.157049286</v>
      </c>
      <c r="G33" t="s">
        <v>17</v>
      </c>
      <c r="H33" s="1">
        <v>42036</v>
      </c>
      <c r="I33">
        <v>2177</v>
      </c>
      <c r="J33">
        <v>24979796045.34</v>
      </c>
      <c r="K33">
        <v>196459.89923392399</v>
      </c>
      <c r="M33" s="1">
        <f t="shared" si="0"/>
        <v>42036</v>
      </c>
      <c r="N33">
        <f t="shared" si="1"/>
        <v>193519.157049286</v>
      </c>
      <c r="O33">
        <f t="shared" si="2"/>
        <v>196459.89923392399</v>
      </c>
    </row>
    <row r="34" spans="1:15" x14ac:dyDescent="0.25">
      <c r="A34" t="s">
        <v>9</v>
      </c>
      <c r="B34" s="1">
        <v>42064</v>
      </c>
      <c r="C34">
        <v>1258</v>
      </c>
      <c r="D34">
        <v>38419602868.800003</v>
      </c>
      <c r="E34">
        <v>193094.821623303</v>
      </c>
      <c r="G34" t="s">
        <v>17</v>
      </c>
      <c r="H34" s="1">
        <v>42064</v>
      </c>
      <c r="I34">
        <v>2196</v>
      </c>
      <c r="J34">
        <v>24896056870.400002</v>
      </c>
      <c r="K34">
        <v>196006.17761451</v>
      </c>
      <c r="M34" s="1">
        <f t="shared" si="0"/>
        <v>42064</v>
      </c>
      <c r="N34">
        <f t="shared" si="1"/>
        <v>193094.821623303</v>
      </c>
      <c r="O34">
        <f t="shared" si="2"/>
        <v>196006.17761451</v>
      </c>
    </row>
    <row r="35" spans="1:15" x14ac:dyDescent="0.25">
      <c r="A35" t="s">
        <v>9</v>
      </c>
      <c r="B35" s="1">
        <v>42095</v>
      </c>
      <c r="C35">
        <v>1267</v>
      </c>
      <c r="D35">
        <v>38264484535.919998</v>
      </c>
      <c r="E35">
        <v>192639.012676896</v>
      </c>
      <c r="G35" t="s">
        <v>17</v>
      </c>
      <c r="H35" s="1">
        <v>42095</v>
      </c>
      <c r="I35">
        <v>2218</v>
      </c>
      <c r="J35">
        <v>24790138675.59</v>
      </c>
      <c r="K35">
        <v>195547.80106585601</v>
      </c>
      <c r="M35" s="1">
        <f t="shared" si="0"/>
        <v>42095</v>
      </c>
      <c r="N35">
        <f t="shared" si="1"/>
        <v>192639.012676896</v>
      </c>
      <c r="O35">
        <f t="shared" si="2"/>
        <v>195547.80106585601</v>
      </c>
    </row>
    <row r="36" spans="1:15" x14ac:dyDescent="0.25">
      <c r="A36" t="s">
        <v>9</v>
      </c>
      <c r="B36" s="1">
        <v>42125</v>
      </c>
      <c r="C36">
        <v>1274</v>
      </c>
      <c r="D36">
        <v>38076849573.309998</v>
      </c>
      <c r="E36">
        <v>192190.29118589801</v>
      </c>
      <c r="G36" t="s">
        <v>17</v>
      </c>
      <c r="H36" s="1">
        <v>42125</v>
      </c>
      <c r="I36">
        <v>2238</v>
      </c>
      <c r="J36">
        <v>24665061611.119999</v>
      </c>
      <c r="K36">
        <v>195088.62907036001</v>
      </c>
      <c r="M36" s="1">
        <f t="shared" si="0"/>
        <v>42125</v>
      </c>
      <c r="N36">
        <f t="shared" si="1"/>
        <v>192190.29118589801</v>
      </c>
      <c r="O36">
        <f t="shared" si="2"/>
        <v>195088.62907036001</v>
      </c>
    </row>
    <row r="37" spans="1:15" x14ac:dyDescent="0.25">
      <c r="A37" t="s">
        <v>9</v>
      </c>
      <c r="B37" s="1">
        <v>42156</v>
      </c>
      <c r="C37">
        <v>1284</v>
      </c>
      <c r="D37">
        <v>37874463420.110001</v>
      </c>
      <c r="E37">
        <v>191723.762886793</v>
      </c>
      <c r="G37" t="s">
        <v>17</v>
      </c>
      <c r="H37" s="1">
        <v>42156</v>
      </c>
      <c r="I37">
        <v>2253</v>
      </c>
      <c r="J37">
        <v>24529470414.07</v>
      </c>
      <c r="K37">
        <v>194601.07456790499</v>
      </c>
      <c r="M37" s="1">
        <f t="shared" si="0"/>
        <v>42156</v>
      </c>
      <c r="N37">
        <f t="shared" si="1"/>
        <v>191723.762886793</v>
      </c>
      <c r="O37">
        <f t="shared" si="2"/>
        <v>194601.07456790499</v>
      </c>
    </row>
    <row r="38" spans="1:15" x14ac:dyDescent="0.25">
      <c r="A38" t="s">
        <v>9</v>
      </c>
      <c r="B38" s="1">
        <v>42186</v>
      </c>
      <c r="C38">
        <v>1291</v>
      </c>
      <c r="D38">
        <v>37654575557.940002</v>
      </c>
      <c r="E38">
        <v>191223.96744176</v>
      </c>
      <c r="G38" t="s">
        <v>17</v>
      </c>
      <c r="H38" s="1">
        <v>42186</v>
      </c>
      <c r="I38">
        <v>2270</v>
      </c>
      <c r="J38">
        <v>24378497038.580002</v>
      </c>
      <c r="K38">
        <v>194131.37763995401</v>
      </c>
      <c r="M38" s="1">
        <f t="shared" si="0"/>
        <v>42186</v>
      </c>
      <c r="N38">
        <f t="shared" si="1"/>
        <v>191223.96744176</v>
      </c>
      <c r="O38">
        <f t="shared" si="2"/>
        <v>194131.37763995401</v>
      </c>
    </row>
    <row r="39" spans="1:15" x14ac:dyDescent="0.25">
      <c r="A39" t="s">
        <v>9</v>
      </c>
      <c r="B39" s="1">
        <v>42217</v>
      </c>
      <c r="C39">
        <v>1300</v>
      </c>
      <c r="D39">
        <v>37410876254.669998</v>
      </c>
      <c r="E39">
        <v>190765.127118148</v>
      </c>
      <c r="G39" t="s">
        <v>17</v>
      </c>
      <c r="H39" s="1">
        <v>42217</v>
      </c>
      <c r="I39">
        <v>2283</v>
      </c>
      <c r="J39">
        <v>24214652965.389999</v>
      </c>
      <c r="K39">
        <v>193645.83280661399</v>
      </c>
      <c r="M39" s="1">
        <f t="shared" si="0"/>
        <v>42217</v>
      </c>
      <c r="N39">
        <f t="shared" si="1"/>
        <v>190765.127118148</v>
      </c>
      <c r="O39">
        <f t="shared" si="2"/>
        <v>193645.83280661399</v>
      </c>
    </row>
    <row r="40" spans="1:15" x14ac:dyDescent="0.25">
      <c r="A40" t="s">
        <v>9</v>
      </c>
      <c r="B40" s="1">
        <v>42248</v>
      </c>
      <c r="C40">
        <v>1307</v>
      </c>
      <c r="D40">
        <v>37159487080.809998</v>
      </c>
      <c r="E40">
        <v>190338.06013975601</v>
      </c>
      <c r="G40" t="s">
        <v>17</v>
      </c>
      <c r="H40" s="1">
        <v>42248</v>
      </c>
      <c r="I40">
        <v>2300</v>
      </c>
      <c r="J40">
        <v>24053767752.169998</v>
      </c>
      <c r="K40">
        <v>193169.84496310199</v>
      </c>
      <c r="M40" s="1">
        <f t="shared" si="0"/>
        <v>42248</v>
      </c>
      <c r="N40">
        <f t="shared" si="1"/>
        <v>190338.06013975601</v>
      </c>
      <c r="O40">
        <f t="shared" si="2"/>
        <v>193169.84496310199</v>
      </c>
    </row>
    <row r="41" spans="1:15" x14ac:dyDescent="0.25">
      <c r="A41" t="s">
        <v>9</v>
      </c>
      <c r="B41" s="1">
        <v>42278</v>
      </c>
      <c r="C41">
        <v>1315</v>
      </c>
      <c r="D41">
        <v>36939526623.260002</v>
      </c>
      <c r="E41">
        <v>189903.26226852601</v>
      </c>
      <c r="G41" t="s">
        <v>17</v>
      </c>
      <c r="H41" s="1">
        <v>42278</v>
      </c>
      <c r="I41">
        <v>2317</v>
      </c>
      <c r="J41">
        <v>23899278644.869999</v>
      </c>
      <c r="K41">
        <v>192726.05739323801</v>
      </c>
      <c r="M41" s="1">
        <f t="shared" si="0"/>
        <v>42278</v>
      </c>
      <c r="N41">
        <f t="shared" si="1"/>
        <v>189903.26226852601</v>
      </c>
      <c r="O41">
        <f t="shared" si="2"/>
        <v>192726.05739323801</v>
      </c>
    </row>
    <row r="42" spans="1:15" x14ac:dyDescent="0.25">
      <c r="A42" t="s">
        <v>9</v>
      </c>
      <c r="B42" s="1">
        <v>42309</v>
      </c>
      <c r="C42">
        <v>1328</v>
      </c>
      <c r="D42">
        <v>36789617512.57</v>
      </c>
      <c r="E42">
        <v>189456.36113857801</v>
      </c>
      <c r="G42" t="s">
        <v>17</v>
      </c>
      <c r="H42" s="1">
        <v>42309</v>
      </c>
      <c r="I42">
        <v>2330</v>
      </c>
      <c r="J42">
        <v>23731834948.119999</v>
      </c>
      <c r="K42">
        <v>192247.13468972</v>
      </c>
      <c r="M42" s="1">
        <f t="shared" si="0"/>
        <v>42309</v>
      </c>
      <c r="N42">
        <f t="shared" si="1"/>
        <v>189456.36113857801</v>
      </c>
      <c r="O42">
        <f t="shared" si="2"/>
        <v>192247.13468972</v>
      </c>
    </row>
    <row r="43" spans="1:15" x14ac:dyDescent="0.25">
      <c r="A43" t="s">
        <v>9</v>
      </c>
      <c r="B43" s="1">
        <v>42339</v>
      </c>
      <c r="C43">
        <v>1332</v>
      </c>
      <c r="D43">
        <v>36550588239.07</v>
      </c>
      <c r="E43">
        <v>189024.62716330201</v>
      </c>
      <c r="G43" t="s">
        <v>17</v>
      </c>
      <c r="H43" s="1">
        <v>42339</v>
      </c>
      <c r="I43">
        <v>2346</v>
      </c>
      <c r="J43">
        <v>23575272898.580002</v>
      </c>
      <c r="K43">
        <v>191795.958223833</v>
      </c>
      <c r="M43" s="1">
        <f t="shared" si="0"/>
        <v>42339</v>
      </c>
      <c r="N43">
        <f t="shared" si="1"/>
        <v>189024.62716330201</v>
      </c>
      <c r="O43">
        <f t="shared" si="2"/>
        <v>191795.958223833</v>
      </c>
    </row>
    <row r="44" spans="1:15" x14ac:dyDescent="0.25">
      <c r="A44" t="s">
        <v>9</v>
      </c>
      <c r="B44" s="1">
        <v>42370</v>
      </c>
      <c r="C44">
        <v>1339</v>
      </c>
      <c r="D44">
        <v>36350171434.389999</v>
      </c>
      <c r="E44">
        <v>188609.11240315301</v>
      </c>
      <c r="G44" t="s">
        <v>17</v>
      </c>
      <c r="H44" s="1">
        <v>42370</v>
      </c>
      <c r="I44">
        <v>2356</v>
      </c>
      <c r="J44">
        <v>23422747348.59</v>
      </c>
      <c r="K44">
        <v>191305.780298895</v>
      </c>
      <c r="M44" s="1">
        <f t="shared" si="0"/>
        <v>42370</v>
      </c>
      <c r="N44">
        <f t="shared" si="1"/>
        <v>188609.11240315301</v>
      </c>
      <c r="O44">
        <f t="shared" si="2"/>
        <v>191305.780298895</v>
      </c>
    </row>
    <row r="45" spans="1:15" x14ac:dyDescent="0.25">
      <c r="A45" t="s">
        <v>9</v>
      </c>
      <c r="B45" s="1">
        <v>42401</v>
      </c>
      <c r="C45">
        <v>1343</v>
      </c>
      <c r="D45">
        <v>36103641907.169998</v>
      </c>
      <c r="E45">
        <v>188194.980124972</v>
      </c>
      <c r="G45" t="s">
        <v>17</v>
      </c>
      <c r="H45" s="1">
        <v>42401</v>
      </c>
      <c r="I45">
        <v>2368</v>
      </c>
      <c r="J45">
        <v>23264052426.27</v>
      </c>
      <c r="K45">
        <v>190849.96002398501</v>
      </c>
      <c r="M45" s="1">
        <f t="shared" si="0"/>
        <v>42401</v>
      </c>
      <c r="N45">
        <f t="shared" si="1"/>
        <v>188194.980124972</v>
      </c>
      <c r="O45">
        <f t="shared" si="2"/>
        <v>190849.96002398501</v>
      </c>
    </row>
    <row r="46" spans="1:15" x14ac:dyDescent="0.25">
      <c r="A46" t="s">
        <v>9</v>
      </c>
      <c r="B46" s="1">
        <v>42430</v>
      </c>
      <c r="C46">
        <v>1347</v>
      </c>
      <c r="D46">
        <v>35909399214.110001</v>
      </c>
      <c r="E46">
        <v>187762.59109926</v>
      </c>
      <c r="G46" t="s">
        <v>17</v>
      </c>
      <c r="H46" s="1">
        <v>42430</v>
      </c>
      <c r="I46">
        <v>2380</v>
      </c>
      <c r="J46">
        <v>23130415817.330002</v>
      </c>
      <c r="K46">
        <v>190368.252964616</v>
      </c>
      <c r="M46" s="1">
        <f t="shared" si="0"/>
        <v>42430</v>
      </c>
      <c r="N46">
        <f t="shared" si="1"/>
        <v>187762.59109926</v>
      </c>
      <c r="O46">
        <f t="shared" si="2"/>
        <v>190368.252964616</v>
      </c>
    </row>
    <row r="47" spans="1:15" x14ac:dyDescent="0.25">
      <c r="A47" t="s">
        <v>9</v>
      </c>
      <c r="B47" s="1">
        <v>42461</v>
      </c>
      <c r="C47">
        <v>1356</v>
      </c>
      <c r="D47">
        <v>35708371081.940002</v>
      </c>
      <c r="E47">
        <v>187285.27343671999</v>
      </c>
      <c r="G47" t="s">
        <v>17</v>
      </c>
      <c r="H47" s="1">
        <v>42461</v>
      </c>
      <c r="I47">
        <v>2389</v>
      </c>
      <c r="J47">
        <v>22980966819.959999</v>
      </c>
      <c r="K47">
        <v>189889.71771917501</v>
      </c>
      <c r="M47" s="1">
        <f t="shared" si="0"/>
        <v>42461</v>
      </c>
      <c r="N47">
        <f t="shared" si="1"/>
        <v>187285.27343671999</v>
      </c>
      <c r="O47">
        <f t="shared" si="2"/>
        <v>189889.71771917501</v>
      </c>
    </row>
    <row r="48" spans="1:15" x14ac:dyDescent="0.25">
      <c r="A48" t="s">
        <v>9</v>
      </c>
      <c r="B48" s="1">
        <v>42491</v>
      </c>
      <c r="C48">
        <v>1361</v>
      </c>
      <c r="D48">
        <v>35410457427.75</v>
      </c>
      <c r="E48">
        <v>186836.25051751101</v>
      </c>
      <c r="G48" t="s">
        <v>17</v>
      </c>
      <c r="H48" s="1">
        <v>42491</v>
      </c>
      <c r="I48">
        <v>2400</v>
      </c>
      <c r="J48">
        <v>22785497201.860001</v>
      </c>
      <c r="K48">
        <v>189394.693017963</v>
      </c>
      <c r="M48" s="1">
        <f t="shared" si="0"/>
        <v>42491</v>
      </c>
      <c r="N48">
        <f t="shared" si="1"/>
        <v>186836.25051751101</v>
      </c>
      <c r="O48">
        <f t="shared" si="2"/>
        <v>189394.693017963</v>
      </c>
    </row>
    <row r="49" spans="1:15" x14ac:dyDescent="0.25">
      <c r="A49" t="s">
        <v>9</v>
      </c>
      <c r="B49" s="1">
        <v>42522</v>
      </c>
      <c r="C49">
        <v>1367</v>
      </c>
      <c r="D49">
        <v>35129109527.150002</v>
      </c>
      <c r="E49">
        <v>186330.30888754499</v>
      </c>
      <c r="G49" t="s">
        <v>17</v>
      </c>
      <c r="H49" s="1">
        <v>42522</v>
      </c>
      <c r="I49">
        <v>2409</v>
      </c>
      <c r="J49">
        <v>22590823732.130001</v>
      </c>
      <c r="K49">
        <v>188882.97962970001</v>
      </c>
      <c r="M49" s="1">
        <f t="shared" si="0"/>
        <v>42522</v>
      </c>
      <c r="N49">
        <f t="shared" si="1"/>
        <v>186330.30888754499</v>
      </c>
      <c r="O49">
        <f t="shared" si="2"/>
        <v>188882.97962970001</v>
      </c>
    </row>
    <row r="50" spans="1:15" x14ac:dyDescent="0.25">
      <c r="A50" t="s">
        <v>9</v>
      </c>
      <c r="B50" s="1">
        <v>42552</v>
      </c>
      <c r="C50">
        <v>1374</v>
      </c>
      <c r="D50">
        <v>34806670533.199997</v>
      </c>
      <c r="E50">
        <v>185826.872288971</v>
      </c>
      <c r="G50" t="s">
        <v>17</v>
      </c>
      <c r="H50" s="1">
        <v>42552</v>
      </c>
      <c r="I50">
        <v>2418</v>
      </c>
      <c r="J50">
        <v>22369714888.02</v>
      </c>
      <c r="K50">
        <v>188367.60405686</v>
      </c>
      <c r="M50" s="1">
        <f t="shared" si="0"/>
        <v>42552</v>
      </c>
      <c r="N50">
        <f t="shared" si="1"/>
        <v>185826.872288971</v>
      </c>
      <c r="O50">
        <f t="shared" si="2"/>
        <v>188367.60405686</v>
      </c>
    </row>
    <row r="51" spans="1:15" x14ac:dyDescent="0.25">
      <c r="A51" t="s">
        <v>9</v>
      </c>
      <c r="B51" s="1">
        <v>42583</v>
      </c>
      <c r="C51">
        <v>1380</v>
      </c>
      <c r="D51">
        <v>34436906908.110001</v>
      </c>
      <c r="E51">
        <v>185339.47673647001</v>
      </c>
      <c r="G51" t="s">
        <v>17</v>
      </c>
      <c r="H51" s="1">
        <v>42583</v>
      </c>
      <c r="I51">
        <v>2424</v>
      </c>
      <c r="J51">
        <v>22125367840.490002</v>
      </c>
      <c r="K51">
        <v>187823.70107013101</v>
      </c>
      <c r="M51" s="1">
        <f t="shared" si="0"/>
        <v>42583</v>
      </c>
      <c r="N51">
        <f t="shared" si="1"/>
        <v>185339.47673647001</v>
      </c>
      <c r="O51">
        <f t="shared" si="2"/>
        <v>187823.70107013101</v>
      </c>
    </row>
    <row r="52" spans="1:15" x14ac:dyDescent="0.25">
      <c r="A52" t="s">
        <v>9</v>
      </c>
      <c r="B52" s="1">
        <v>42614</v>
      </c>
      <c r="C52">
        <v>1385</v>
      </c>
      <c r="D52">
        <v>34088680556.189999</v>
      </c>
      <c r="E52">
        <v>184814.16201080999</v>
      </c>
      <c r="G52" t="s">
        <v>17</v>
      </c>
      <c r="H52" s="1">
        <v>42614</v>
      </c>
      <c r="I52">
        <v>2433</v>
      </c>
      <c r="J52">
        <v>21895878252.380001</v>
      </c>
      <c r="K52">
        <v>187246.94905762901</v>
      </c>
      <c r="M52" s="1">
        <f t="shared" si="0"/>
        <v>42614</v>
      </c>
      <c r="N52">
        <f t="shared" si="1"/>
        <v>184814.16201080999</v>
      </c>
      <c r="O52">
        <f t="shared" si="2"/>
        <v>187246.94905762901</v>
      </c>
    </row>
    <row r="53" spans="1:15" x14ac:dyDescent="0.25">
      <c r="A53" t="s">
        <v>9</v>
      </c>
      <c r="B53" s="1">
        <v>42644</v>
      </c>
      <c r="C53">
        <v>1390</v>
      </c>
      <c r="D53">
        <v>33686513650.32</v>
      </c>
      <c r="E53">
        <v>184309.20845134099</v>
      </c>
      <c r="G53" t="s">
        <v>17</v>
      </c>
      <c r="H53" s="1">
        <v>42644</v>
      </c>
      <c r="I53">
        <v>2450</v>
      </c>
      <c r="J53">
        <v>21624654083.630001</v>
      </c>
      <c r="K53">
        <v>186687.760026081</v>
      </c>
      <c r="M53" s="1">
        <f t="shared" si="0"/>
        <v>42644</v>
      </c>
      <c r="N53">
        <f t="shared" si="1"/>
        <v>184309.20845134099</v>
      </c>
      <c r="O53">
        <f t="shared" si="2"/>
        <v>186687.760026081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"/>
  <sheetViews>
    <sheetView workbookViewId="0">
      <selection activeCell="M1" sqref="M1:O1048576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21</v>
      </c>
      <c r="G1" t="s">
        <v>0</v>
      </c>
      <c r="H1" t="s">
        <v>1</v>
      </c>
      <c r="I1" t="s">
        <v>2</v>
      </c>
      <c r="J1" t="s">
        <v>3</v>
      </c>
      <c r="K1" t="s">
        <v>21</v>
      </c>
      <c r="N1" t="str">
        <f>A2</f>
        <v>FNCR</v>
      </c>
      <c r="O1" t="str">
        <f>G2</f>
        <v>FGU9</v>
      </c>
    </row>
    <row r="2" spans="1:15" x14ac:dyDescent="0.25">
      <c r="A2" t="s">
        <v>9</v>
      </c>
      <c r="B2" s="1">
        <v>41091</v>
      </c>
      <c r="C2">
        <v>91</v>
      </c>
      <c r="D2">
        <v>5555695171.1300001</v>
      </c>
      <c r="E2">
        <v>0.18543958457177501</v>
      </c>
      <c r="G2" t="s">
        <v>17</v>
      </c>
      <c r="H2" s="1">
        <v>41091</v>
      </c>
      <c r="I2">
        <v>127</v>
      </c>
      <c r="J2">
        <v>6599126495.5600004</v>
      </c>
      <c r="K2">
        <v>22.160620180142001</v>
      </c>
      <c r="M2" s="1">
        <f>B2</f>
        <v>41091</v>
      </c>
      <c r="N2">
        <f>E2</f>
        <v>0.18543958457177501</v>
      </c>
      <c r="O2">
        <f>K2</f>
        <v>22.160620180142001</v>
      </c>
    </row>
    <row r="3" spans="1:15" x14ac:dyDescent="0.25">
      <c r="A3" t="s">
        <v>9</v>
      </c>
      <c r="B3" s="1">
        <v>41122</v>
      </c>
      <c r="C3">
        <v>156</v>
      </c>
      <c r="D3">
        <v>8754398274.3899994</v>
      </c>
      <c r="E3">
        <v>0.44533166346478797</v>
      </c>
      <c r="G3" t="s">
        <v>17</v>
      </c>
      <c r="H3" s="1">
        <v>41122</v>
      </c>
      <c r="I3">
        <v>218</v>
      </c>
      <c r="J3">
        <v>8799458195.2600002</v>
      </c>
      <c r="K3">
        <v>18.2136784610849</v>
      </c>
      <c r="M3" s="1">
        <f t="shared" ref="M3:M53" si="0">B3</f>
        <v>41122</v>
      </c>
      <c r="N3">
        <f t="shared" ref="N3:N53" si="1">E3</f>
        <v>0.44533166346478797</v>
      </c>
      <c r="O3">
        <f t="shared" ref="O3:O53" si="2">K3</f>
        <v>18.2136784610849</v>
      </c>
    </row>
    <row r="4" spans="1:15" x14ac:dyDescent="0.25">
      <c r="A4" t="s">
        <v>9</v>
      </c>
      <c r="B4" s="1">
        <v>41153</v>
      </c>
      <c r="C4">
        <v>210</v>
      </c>
      <c r="D4">
        <v>12053254300.4</v>
      </c>
      <c r="E4">
        <v>0.51316328350080498</v>
      </c>
      <c r="G4" t="s">
        <v>17</v>
      </c>
      <c r="H4" s="1">
        <v>41153</v>
      </c>
      <c r="I4">
        <v>315</v>
      </c>
      <c r="J4">
        <v>10777885227.879999</v>
      </c>
      <c r="K4">
        <v>16.378809772493501</v>
      </c>
      <c r="M4" s="1">
        <f t="shared" si="0"/>
        <v>41153</v>
      </c>
      <c r="N4">
        <f t="shared" si="1"/>
        <v>0.51316328350080498</v>
      </c>
      <c r="O4">
        <f t="shared" si="2"/>
        <v>16.378809772493501</v>
      </c>
    </row>
    <row r="5" spans="1:15" x14ac:dyDescent="0.25">
      <c r="A5" t="s">
        <v>9</v>
      </c>
      <c r="B5" s="1">
        <v>41183</v>
      </c>
      <c r="C5">
        <v>281</v>
      </c>
      <c r="D5">
        <v>15145163161.950001</v>
      </c>
      <c r="E5">
        <v>0.87213540171368098</v>
      </c>
      <c r="G5" t="s">
        <v>17</v>
      </c>
      <c r="H5" s="1">
        <v>41183</v>
      </c>
      <c r="I5">
        <v>415</v>
      </c>
      <c r="J5">
        <v>12488997687</v>
      </c>
      <c r="K5">
        <v>15.1230381651747</v>
      </c>
      <c r="M5" s="1">
        <f t="shared" si="0"/>
        <v>41183</v>
      </c>
      <c r="N5">
        <f t="shared" si="1"/>
        <v>0.87213540171368098</v>
      </c>
      <c r="O5">
        <f t="shared" si="2"/>
        <v>15.1230381651747</v>
      </c>
    </row>
    <row r="6" spans="1:15" x14ac:dyDescent="0.25">
      <c r="A6" t="s">
        <v>9</v>
      </c>
      <c r="B6" s="1">
        <v>41214</v>
      </c>
      <c r="C6">
        <v>339</v>
      </c>
      <c r="D6">
        <v>17141506906.68</v>
      </c>
      <c r="E6">
        <v>1.7059019203341399</v>
      </c>
      <c r="G6" t="s">
        <v>17</v>
      </c>
      <c r="H6" s="1">
        <v>41214</v>
      </c>
      <c r="I6">
        <v>509</v>
      </c>
      <c r="J6">
        <v>13991619224.620001</v>
      </c>
      <c r="K6">
        <v>14.613487106689499</v>
      </c>
      <c r="M6" s="1">
        <f t="shared" si="0"/>
        <v>41214</v>
      </c>
      <c r="N6">
        <f t="shared" si="1"/>
        <v>1.7059019203341399</v>
      </c>
      <c r="O6">
        <f t="shared" si="2"/>
        <v>14.613487106689499</v>
      </c>
    </row>
    <row r="7" spans="1:15" x14ac:dyDescent="0.25">
      <c r="A7" t="s">
        <v>9</v>
      </c>
      <c r="B7" s="1">
        <v>41244</v>
      </c>
      <c r="C7">
        <v>427</v>
      </c>
      <c r="D7">
        <v>20228876583.380001</v>
      </c>
      <c r="E7">
        <v>2.4105669005630102</v>
      </c>
      <c r="G7" t="s">
        <v>17</v>
      </c>
      <c r="H7" s="1">
        <v>41244</v>
      </c>
      <c r="I7">
        <v>623</v>
      </c>
      <c r="J7">
        <v>15791782055.450001</v>
      </c>
      <c r="K7">
        <v>14.0869971797836</v>
      </c>
      <c r="M7" s="1">
        <f t="shared" si="0"/>
        <v>41244</v>
      </c>
      <c r="N7">
        <f t="shared" si="1"/>
        <v>2.4105669005630102</v>
      </c>
      <c r="O7">
        <f t="shared" si="2"/>
        <v>14.0869971797836</v>
      </c>
    </row>
    <row r="8" spans="1:15" x14ac:dyDescent="0.25">
      <c r="A8" t="s">
        <v>9</v>
      </c>
      <c r="B8" s="1">
        <v>41275</v>
      </c>
      <c r="C8">
        <v>493</v>
      </c>
      <c r="D8">
        <v>22634123601.41</v>
      </c>
      <c r="E8">
        <v>3.0343639628491701</v>
      </c>
      <c r="G8" t="s">
        <v>17</v>
      </c>
      <c r="H8" s="1">
        <v>41275</v>
      </c>
      <c r="I8">
        <v>707</v>
      </c>
      <c r="J8">
        <v>16754712174.48</v>
      </c>
      <c r="K8">
        <v>13.6607574267533</v>
      </c>
      <c r="M8" s="1">
        <f t="shared" si="0"/>
        <v>41275</v>
      </c>
      <c r="N8">
        <f t="shared" si="1"/>
        <v>3.0343639628491701</v>
      </c>
      <c r="O8">
        <f t="shared" si="2"/>
        <v>13.6607574267533</v>
      </c>
    </row>
    <row r="9" spans="1:15" x14ac:dyDescent="0.25">
      <c r="A9" t="s">
        <v>9</v>
      </c>
      <c r="B9" s="1">
        <v>41306</v>
      </c>
      <c r="C9">
        <v>572</v>
      </c>
      <c r="D9">
        <v>25710780014.439999</v>
      </c>
      <c r="E9">
        <v>3.1422863084063302</v>
      </c>
      <c r="G9" t="s">
        <v>17</v>
      </c>
      <c r="H9" s="1">
        <v>41306</v>
      </c>
      <c r="I9">
        <v>803</v>
      </c>
      <c r="J9">
        <v>17947136377.009998</v>
      </c>
      <c r="K9">
        <v>13.357896071621299</v>
      </c>
      <c r="M9" s="1">
        <f t="shared" si="0"/>
        <v>41306</v>
      </c>
      <c r="N9">
        <f t="shared" si="1"/>
        <v>3.1422863084063302</v>
      </c>
      <c r="O9">
        <f t="shared" si="2"/>
        <v>13.357896071621299</v>
      </c>
    </row>
    <row r="10" spans="1:15" x14ac:dyDescent="0.25">
      <c r="A10" t="s">
        <v>9</v>
      </c>
      <c r="B10" s="1">
        <v>41334</v>
      </c>
      <c r="C10">
        <v>639</v>
      </c>
      <c r="D10">
        <v>27919269484.799999</v>
      </c>
      <c r="E10">
        <v>2.9893646571656598</v>
      </c>
      <c r="G10" t="s">
        <v>17</v>
      </c>
      <c r="H10" s="1">
        <v>41334</v>
      </c>
      <c r="I10">
        <v>924</v>
      </c>
      <c r="J10">
        <v>19179632548.990002</v>
      </c>
      <c r="K10">
        <v>13.0105850324285</v>
      </c>
      <c r="M10" s="1">
        <f t="shared" si="0"/>
        <v>41334</v>
      </c>
      <c r="N10">
        <f t="shared" si="1"/>
        <v>2.9893646571656598</v>
      </c>
      <c r="O10">
        <f t="shared" si="2"/>
        <v>13.0105850324285</v>
      </c>
    </row>
    <row r="11" spans="1:15" x14ac:dyDescent="0.25">
      <c r="A11" t="s">
        <v>9</v>
      </c>
      <c r="B11" s="1">
        <v>41365</v>
      </c>
      <c r="C11">
        <v>704</v>
      </c>
      <c r="D11">
        <v>30041763432.959999</v>
      </c>
      <c r="E11">
        <v>2.8458591927335202</v>
      </c>
      <c r="G11" t="s">
        <v>17</v>
      </c>
      <c r="H11" s="1">
        <v>41365</v>
      </c>
      <c r="I11">
        <v>1042</v>
      </c>
      <c r="J11">
        <v>20590650800.080002</v>
      </c>
      <c r="K11">
        <v>12.528032226767801</v>
      </c>
      <c r="M11" s="1">
        <f t="shared" si="0"/>
        <v>41365</v>
      </c>
      <c r="N11">
        <f t="shared" si="1"/>
        <v>2.8458591927335202</v>
      </c>
      <c r="O11">
        <f t="shared" si="2"/>
        <v>12.528032226767801</v>
      </c>
    </row>
    <row r="12" spans="1:15" x14ac:dyDescent="0.25">
      <c r="A12" t="s">
        <v>9</v>
      </c>
      <c r="B12" s="1">
        <v>41395</v>
      </c>
      <c r="C12">
        <v>760</v>
      </c>
      <c r="D12">
        <v>32087573394.82</v>
      </c>
      <c r="E12">
        <v>2.88308947555258</v>
      </c>
      <c r="G12" t="s">
        <v>17</v>
      </c>
      <c r="H12" s="1">
        <v>41395</v>
      </c>
      <c r="I12">
        <v>1149</v>
      </c>
      <c r="J12">
        <v>21763931987.459999</v>
      </c>
      <c r="K12">
        <v>12.0427054088592</v>
      </c>
      <c r="M12" s="1">
        <f t="shared" si="0"/>
        <v>41395</v>
      </c>
      <c r="N12">
        <f t="shared" si="1"/>
        <v>2.88308947555258</v>
      </c>
      <c r="O12">
        <f t="shared" si="2"/>
        <v>12.0427054088592</v>
      </c>
    </row>
    <row r="13" spans="1:15" x14ac:dyDescent="0.25">
      <c r="A13" t="s">
        <v>9</v>
      </c>
      <c r="B13" s="1">
        <v>41426</v>
      </c>
      <c r="C13">
        <v>806</v>
      </c>
      <c r="D13">
        <v>33554081959.810001</v>
      </c>
      <c r="E13">
        <v>2.8357793334712702</v>
      </c>
      <c r="G13" t="s">
        <v>17</v>
      </c>
      <c r="H13" s="1">
        <v>41426</v>
      </c>
      <c r="I13">
        <v>1253</v>
      </c>
      <c r="J13">
        <v>22743332810.720001</v>
      </c>
      <c r="K13">
        <v>11.7527374132353</v>
      </c>
      <c r="M13" s="1">
        <f t="shared" si="0"/>
        <v>41426</v>
      </c>
      <c r="N13">
        <f t="shared" si="1"/>
        <v>2.8357793334712702</v>
      </c>
      <c r="O13">
        <f t="shared" si="2"/>
        <v>11.7527374132353</v>
      </c>
    </row>
    <row r="14" spans="1:15" x14ac:dyDescent="0.25">
      <c r="A14" t="s">
        <v>9</v>
      </c>
      <c r="B14" s="1">
        <v>41456</v>
      </c>
      <c r="C14">
        <v>846</v>
      </c>
      <c r="D14">
        <v>34996952153.550003</v>
      </c>
      <c r="E14">
        <v>2.707431459915</v>
      </c>
      <c r="G14" t="s">
        <v>17</v>
      </c>
      <c r="H14" s="1">
        <v>41456</v>
      </c>
      <c r="I14">
        <v>1350</v>
      </c>
      <c r="J14">
        <v>23549228231.41</v>
      </c>
      <c r="K14">
        <v>11.487224676237</v>
      </c>
      <c r="M14" s="1">
        <f t="shared" si="0"/>
        <v>41456</v>
      </c>
      <c r="N14">
        <f t="shared" si="1"/>
        <v>2.707431459915</v>
      </c>
      <c r="O14">
        <f t="shared" si="2"/>
        <v>11.487224676237</v>
      </c>
    </row>
    <row r="15" spans="1:15" x14ac:dyDescent="0.25">
      <c r="A15" t="s">
        <v>9</v>
      </c>
      <c r="B15" s="1">
        <v>41487</v>
      </c>
      <c r="C15">
        <v>890</v>
      </c>
      <c r="D15">
        <v>36201078184.980003</v>
      </c>
      <c r="E15">
        <v>2.6007093146985301</v>
      </c>
      <c r="G15" t="s">
        <v>17</v>
      </c>
      <c r="H15" s="1">
        <v>41487</v>
      </c>
      <c r="I15">
        <v>1432</v>
      </c>
      <c r="J15">
        <v>24174777291.66</v>
      </c>
      <c r="K15">
        <v>11.218669316724901</v>
      </c>
      <c r="M15" s="1">
        <f t="shared" si="0"/>
        <v>41487</v>
      </c>
      <c r="N15">
        <f t="shared" si="1"/>
        <v>2.6007093146985301</v>
      </c>
      <c r="O15">
        <f t="shared" si="2"/>
        <v>11.218669316724901</v>
      </c>
    </row>
    <row r="16" spans="1:15" x14ac:dyDescent="0.25">
      <c r="A16" t="s">
        <v>9</v>
      </c>
      <c r="B16" s="1">
        <v>41518</v>
      </c>
      <c r="C16">
        <v>939</v>
      </c>
      <c r="D16">
        <v>37243354893.68</v>
      </c>
      <c r="E16">
        <v>2.5111625599619001</v>
      </c>
      <c r="G16" t="s">
        <v>17</v>
      </c>
      <c r="H16" s="1">
        <v>41518</v>
      </c>
      <c r="I16">
        <v>1517</v>
      </c>
      <c r="J16">
        <v>24578473067.509998</v>
      </c>
      <c r="K16">
        <v>11.003495734325</v>
      </c>
      <c r="M16" s="1">
        <f t="shared" si="0"/>
        <v>41518</v>
      </c>
      <c r="N16">
        <f t="shared" si="1"/>
        <v>2.5111625599619001</v>
      </c>
      <c r="O16">
        <f t="shared" si="2"/>
        <v>11.003495734325</v>
      </c>
    </row>
    <row r="17" spans="1:15" x14ac:dyDescent="0.25">
      <c r="A17" t="s">
        <v>9</v>
      </c>
      <c r="B17" s="1">
        <v>41548</v>
      </c>
      <c r="C17">
        <v>980</v>
      </c>
      <c r="D17">
        <v>37852364380.050003</v>
      </c>
      <c r="E17">
        <v>2.4575694085543698</v>
      </c>
      <c r="G17" t="s">
        <v>17</v>
      </c>
      <c r="H17" s="1">
        <v>41548</v>
      </c>
      <c r="I17">
        <v>1605</v>
      </c>
      <c r="J17">
        <v>24975426851.080002</v>
      </c>
      <c r="K17">
        <v>10.8261217958648</v>
      </c>
      <c r="M17" s="1">
        <f t="shared" si="0"/>
        <v>41548</v>
      </c>
      <c r="N17">
        <f t="shared" si="1"/>
        <v>2.4575694085543698</v>
      </c>
      <c r="O17">
        <f t="shared" si="2"/>
        <v>10.8261217958648</v>
      </c>
    </row>
    <row r="18" spans="1:15" x14ac:dyDescent="0.25">
      <c r="A18" t="s">
        <v>9</v>
      </c>
      <c r="B18" s="1">
        <v>41579</v>
      </c>
      <c r="C18">
        <v>1016</v>
      </c>
      <c r="D18">
        <v>38288256348.959999</v>
      </c>
      <c r="E18">
        <v>2.4165095722312699</v>
      </c>
      <c r="G18" t="s">
        <v>17</v>
      </c>
      <c r="H18" s="1">
        <v>41579</v>
      </c>
      <c r="I18">
        <v>1688</v>
      </c>
      <c r="J18">
        <v>25218431194.439999</v>
      </c>
      <c r="K18">
        <v>10.7537785818126</v>
      </c>
      <c r="M18" s="1">
        <f t="shared" si="0"/>
        <v>41579</v>
      </c>
      <c r="N18">
        <f t="shared" si="1"/>
        <v>2.4165095722312699</v>
      </c>
      <c r="O18">
        <f t="shared" si="2"/>
        <v>10.7537785818126</v>
      </c>
    </row>
    <row r="19" spans="1:15" x14ac:dyDescent="0.25">
      <c r="A19" t="s">
        <v>9</v>
      </c>
      <c r="B19" s="1">
        <v>41609</v>
      </c>
      <c r="C19">
        <v>1053</v>
      </c>
      <c r="D19">
        <v>38615010697.739998</v>
      </c>
      <c r="E19">
        <v>2.3827241098281302</v>
      </c>
      <c r="G19" t="s">
        <v>17</v>
      </c>
      <c r="H19" s="1">
        <v>41609</v>
      </c>
      <c r="I19">
        <v>1747</v>
      </c>
      <c r="J19">
        <v>25372731243.630001</v>
      </c>
      <c r="K19">
        <v>10.710535906985401</v>
      </c>
      <c r="M19" s="1">
        <f t="shared" si="0"/>
        <v>41609</v>
      </c>
      <c r="N19">
        <f t="shared" si="1"/>
        <v>2.3827241098281302</v>
      </c>
      <c r="O19">
        <f t="shared" si="2"/>
        <v>10.710535906985401</v>
      </c>
    </row>
    <row r="20" spans="1:15" x14ac:dyDescent="0.25">
      <c r="A20" t="s">
        <v>9</v>
      </c>
      <c r="B20" s="1">
        <v>41640</v>
      </c>
      <c r="C20">
        <v>1080</v>
      </c>
      <c r="D20">
        <v>39260930004.410004</v>
      </c>
      <c r="E20">
        <v>26.490530006612001</v>
      </c>
      <c r="G20" t="s">
        <v>17</v>
      </c>
      <c r="H20" s="1">
        <v>41640</v>
      </c>
      <c r="I20">
        <v>1805</v>
      </c>
      <c r="J20">
        <v>25476399173.720001</v>
      </c>
      <c r="K20">
        <v>10.6844023552149</v>
      </c>
      <c r="M20" s="1">
        <f t="shared" si="0"/>
        <v>41640</v>
      </c>
      <c r="N20">
        <f t="shared" si="1"/>
        <v>26.490530006612001</v>
      </c>
      <c r="O20">
        <f t="shared" si="2"/>
        <v>10.6844023552149</v>
      </c>
    </row>
    <row r="21" spans="1:15" x14ac:dyDescent="0.25">
      <c r="A21" t="s">
        <v>9</v>
      </c>
      <c r="B21" s="1">
        <v>41671</v>
      </c>
      <c r="C21">
        <v>1104</v>
      </c>
      <c r="D21">
        <v>39416596215.529999</v>
      </c>
      <c r="E21">
        <v>168.47716194035999</v>
      </c>
      <c r="G21" t="s">
        <v>17</v>
      </c>
      <c r="H21" s="1">
        <v>41671</v>
      </c>
      <c r="I21">
        <v>1854</v>
      </c>
      <c r="J21">
        <v>25558725588.619999</v>
      </c>
      <c r="K21">
        <v>10.6451335892407</v>
      </c>
      <c r="M21" s="1">
        <f t="shared" si="0"/>
        <v>41671</v>
      </c>
      <c r="N21">
        <f t="shared" si="1"/>
        <v>168.47716194035999</v>
      </c>
      <c r="O21">
        <f t="shared" si="2"/>
        <v>10.6451335892407</v>
      </c>
    </row>
    <row r="22" spans="1:15" x14ac:dyDescent="0.25">
      <c r="A22" t="s">
        <v>9</v>
      </c>
      <c r="B22" s="1">
        <v>41699</v>
      </c>
      <c r="C22">
        <v>1126</v>
      </c>
      <c r="D22">
        <v>39507898369.230003</v>
      </c>
      <c r="E22">
        <v>167.37866477118001</v>
      </c>
      <c r="G22" t="s">
        <v>17</v>
      </c>
      <c r="H22" s="1">
        <v>41699</v>
      </c>
      <c r="I22">
        <v>1900</v>
      </c>
      <c r="J22">
        <v>25637606597.049999</v>
      </c>
      <c r="K22">
        <v>10.6045415552218</v>
      </c>
      <c r="M22" s="1">
        <f t="shared" si="0"/>
        <v>41699</v>
      </c>
      <c r="N22">
        <f t="shared" si="1"/>
        <v>167.37866477118001</v>
      </c>
      <c r="O22">
        <f t="shared" si="2"/>
        <v>10.6045415552218</v>
      </c>
    </row>
    <row r="23" spans="1:15" x14ac:dyDescent="0.25">
      <c r="A23" t="s">
        <v>9</v>
      </c>
      <c r="B23" s="1">
        <v>41730</v>
      </c>
      <c r="C23">
        <v>1146</v>
      </c>
      <c r="D23">
        <v>39554921006.989998</v>
      </c>
      <c r="E23">
        <v>166.49449043566401</v>
      </c>
      <c r="G23" t="s">
        <v>17</v>
      </c>
      <c r="H23" s="1">
        <v>41730</v>
      </c>
      <c r="I23">
        <v>1945</v>
      </c>
      <c r="J23">
        <v>25659837687.27</v>
      </c>
      <c r="K23">
        <v>10.6100754210928</v>
      </c>
      <c r="M23" s="1">
        <f t="shared" si="0"/>
        <v>41730</v>
      </c>
      <c r="N23">
        <f t="shared" si="1"/>
        <v>166.49449043566401</v>
      </c>
      <c r="O23">
        <f t="shared" si="2"/>
        <v>10.6100754210928</v>
      </c>
    </row>
    <row r="24" spans="1:15" x14ac:dyDescent="0.25">
      <c r="A24" t="s">
        <v>9</v>
      </c>
      <c r="B24" s="1">
        <v>41760</v>
      </c>
      <c r="C24">
        <v>1161</v>
      </c>
      <c r="D24">
        <v>39534993055.339996</v>
      </c>
      <c r="E24">
        <v>165.85106305142801</v>
      </c>
      <c r="G24" t="s">
        <v>17</v>
      </c>
      <c r="H24" s="1">
        <v>41760</v>
      </c>
      <c r="I24">
        <v>1977</v>
      </c>
      <c r="J24">
        <v>25645418956.459999</v>
      </c>
      <c r="K24">
        <v>10.5862407817033</v>
      </c>
      <c r="M24" s="1">
        <f t="shared" si="0"/>
        <v>41760</v>
      </c>
      <c r="N24">
        <f t="shared" si="1"/>
        <v>165.85106305142801</v>
      </c>
      <c r="O24">
        <f t="shared" si="2"/>
        <v>10.5862407817033</v>
      </c>
    </row>
    <row r="25" spans="1:15" x14ac:dyDescent="0.25">
      <c r="A25" t="s">
        <v>9</v>
      </c>
      <c r="B25" s="1">
        <v>41791</v>
      </c>
      <c r="C25">
        <v>1174</v>
      </c>
      <c r="D25">
        <v>39463404393.919998</v>
      </c>
      <c r="E25">
        <v>165.48568543978101</v>
      </c>
      <c r="G25" t="s">
        <v>17</v>
      </c>
      <c r="H25" s="1">
        <v>41791</v>
      </c>
      <c r="I25">
        <v>2006</v>
      </c>
      <c r="J25">
        <v>25616594460.360001</v>
      </c>
      <c r="K25">
        <v>10.579119642659</v>
      </c>
      <c r="M25" s="1">
        <f t="shared" si="0"/>
        <v>41791</v>
      </c>
      <c r="N25">
        <f t="shared" si="1"/>
        <v>165.48568543978101</v>
      </c>
      <c r="O25">
        <f t="shared" si="2"/>
        <v>10.579119642659</v>
      </c>
    </row>
    <row r="26" spans="1:15" x14ac:dyDescent="0.25">
      <c r="A26" t="s">
        <v>9</v>
      </c>
      <c r="B26" s="1">
        <v>41821</v>
      </c>
      <c r="C26">
        <v>1188</v>
      </c>
      <c r="D26">
        <v>39388794194.209999</v>
      </c>
      <c r="E26">
        <v>165.06110600559199</v>
      </c>
      <c r="G26" t="s">
        <v>17</v>
      </c>
      <c r="H26" s="1">
        <v>41821</v>
      </c>
      <c r="I26">
        <v>2033</v>
      </c>
      <c r="J26">
        <v>25567285813.18</v>
      </c>
      <c r="K26">
        <v>10.590972834895499</v>
      </c>
      <c r="M26" s="1">
        <f t="shared" si="0"/>
        <v>41821</v>
      </c>
      <c r="N26">
        <f t="shared" si="1"/>
        <v>165.06110600559199</v>
      </c>
      <c r="O26">
        <f t="shared" si="2"/>
        <v>10.590972834895499</v>
      </c>
    </row>
    <row r="27" spans="1:15" x14ac:dyDescent="0.25">
      <c r="A27" t="s">
        <v>9</v>
      </c>
      <c r="B27" s="1">
        <v>41852</v>
      </c>
      <c r="C27">
        <v>1198</v>
      </c>
      <c r="D27">
        <v>39294654817.349998</v>
      </c>
      <c r="E27">
        <v>164.73312653232401</v>
      </c>
      <c r="G27" t="s">
        <v>17</v>
      </c>
      <c r="H27" s="1">
        <v>41852</v>
      </c>
      <c r="I27">
        <v>2058</v>
      </c>
      <c r="J27">
        <v>25497572102.110001</v>
      </c>
      <c r="K27">
        <v>10.6020986990889</v>
      </c>
      <c r="M27" s="1">
        <f t="shared" si="0"/>
        <v>41852</v>
      </c>
      <c r="N27">
        <f t="shared" si="1"/>
        <v>164.73312653232401</v>
      </c>
      <c r="O27">
        <f t="shared" si="2"/>
        <v>10.6020986990889</v>
      </c>
    </row>
    <row r="28" spans="1:15" x14ac:dyDescent="0.25">
      <c r="A28" t="s">
        <v>9</v>
      </c>
      <c r="B28" s="1">
        <v>41883</v>
      </c>
      <c r="C28">
        <v>1209</v>
      </c>
      <c r="D28">
        <v>39192835810.529999</v>
      </c>
      <c r="E28">
        <v>164.45561817308999</v>
      </c>
      <c r="G28" t="s">
        <v>17</v>
      </c>
      <c r="H28" s="1">
        <v>41883</v>
      </c>
      <c r="I28">
        <v>2081</v>
      </c>
      <c r="J28">
        <v>25426007923.25</v>
      </c>
      <c r="K28">
        <v>10.6360536690917</v>
      </c>
      <c r="M28" s="1">
        <f t="shared" si="0"/>
        <v>41883</v>
      </c>
      <c r="N28">
        <f t="shared" si="1"/>
        <v>164.45561817308999</v>
      </c>
      <c r="O28">
        <f t="shared" si="2"/>
        <v>10.6360536690917</v>
      </c>
    </row>
    <row r="29" spans="1:15" x14ac:dyDescent="0.25">
      <c r="A29" t="s">
        <v>9</v>
      </c>
      <c r="B29" s="1">
        <v>41913</v>
      </c>
      <c r="C29">
        <v>1218</v>
      </c>
      <c r="D29">
        <v>39081676749.080002</v>
      </c>
      <c r="E29">
        <v>164.222978644699</v>
      </c>
      <c r="G29" t="s">
        <v>17</v>
      </c>
      <c r="H29" s="1">
        <v>41913</v>
      </c>
      <c r="I29">
        <v>2099</v>
      </c>
      <c r="J29">
        <v>25334386957.700001</v>
      </c>
      <c r="K29">
        <v>10.6587295842213</v>
      </c>
      <c r="M29" s="1">
        <f t="shared" si="0"/>
        <v>41913</v>
      </c>
      <c r="N29">
        <f t="shared" si="1"/>
        <v>164.222978644699</v>
      </c>
      <c r="O29">
        <f t="shared" si="2"/>
        <v>10.6587295842213</v>
      </c>
    </row>
    <row r="30" spans="1:15" x14ac:dyDescent="0.25">
      <c r="A30" t="s">
        <v>9</v>
      </c>
      <c r="B30" s="1">
        <v>41944</v>
      </c>
      <c r="C30">
        <v>1229</v>
      </c>
      <c r="D30">
        <v>38971879224.970001</v>
      </c>
      <c r="E30">
        <v>164.23122024065901</v>
      </c>
      <c r="G30" t="s">
        <v>17</v>
      </c>
      <c r="H30" s="1">
        <v>41944</v>
      </c>
      <c r="I30">
        <v>2118</v>
      </c>
      <c r="J30">
        <v>25256586100.18</v>
      </c>
      <c r="K30">
        <v>10.6990628140734</v>
      </c>
      <c r="M30" s="1">
        <f t="shared" si="0"/>
        <v>41944</v>
      </c>
      <c r="N30">
        <f t="shared" si="1"/>
        <v>164.23122024065901</v>
      </c>
      <c r="O30">
        <f t="shared" si="2"/>
        <v>10.6990628140734</v>
      </c>
    </row>
    <row r="31" spans="1:15" x14ac:dyDescent="0.25">
      <c r="A31" t="s">
        <v>9</v>
      </c>
      <c r="B31" s="1">
        <v>41974</v>
      </c>
      <c r="C31">
        <v>1234</v>
      </c>
      <c r="D31">
        <v>38837765170.470001</v>
      </c>
      <c r="E31">
        <v>164.27447348582899</v>
      </c>
      <c r="G31" t="s">
        <v>17</v>
      </c>
      <c r="H31" s="1">
        <v>41974</v>
      </c>
      <c r="I31">
        <v>2137</v>
      </c>
      <c r="J31">
        <v>25157857048.23</v>
      </c>
      <c r="K31">
        <v>10.765804394819501</v>
      </c>
      <c r="M31" s="1">
        <f t="shared" si="0"/>
        <v>41974</v>
      </c>
      <c r="N31">
        <f t="shared" si="1"/>
        <v>164.27447348582899</v>
      </c>
      <c r="O31">
        <f t="shared" si="2"/>
        <v>10.765804394819501</v>
      </c>
    </row>
    <row r="32" spans="1:15" x14ac:dyDescent="0.25">
      <c r="A32" t="s">
        <v>9</v>
      </c>
      <c r="B32" s="1">
        <v>42005</v>
      </c>
      <c r="C32">
        <v>1244</v>
      </c>
      <c r="D32">
        <v>38713428394.529999</v>
      </c>
      <c r="E32">
        <v>164.85750988098701</v>
      </c>
      <c r="G32" t="s">
        <v>17</v>
      </c>
      <c r="H32" s="1">
        <v>42005</v>
      </c>
      <c r="I32">
        <v>2158</v>
      </c>
      <c r="J32">
        <v>25084444553.189999</v>
      </c>
      <c r="K32">
        <v>10.9002974630799</v>
      </c>
      <c r="M32" s="1">
        <f t="shared" si="0"/>
        <v>42005</v>
      </c>
      <c r="N32">
        <f t="shared" si="1"/>
        <v>164.85750988098701</v>
      </c>
      <c r="O32">
        <f t="shared" si="2"/>
        <v>10.9002974630799</v>
      </c>
    </row>
    <row r="33" spans="1:15" x14ac:dyDescent="0.25">
      <c r="A33" t="s">
        <v>9</v>
      </c>
      <c r="B33" s="1">
        <v>42036</v>
      </c>
      <c r="C33">
        <v>1251</v>
      </c>
      <c r="D33">
        <v>38563701206.080002</v>
      </c>
      <c r="E33">
        <v>165.99279337644501</v>
      </c>
      <c r="G33" t="s">
        <v>17</v>
      </c>
      <c r="H33" s="1">
        <v>42036</v>
      </c>
      <c r="I33">
        <v>2177</v>
      </c>
      <c r="J33">
        <v>24979796045.34</v>
      </c>
      <c r="K33">
        <v>11.168629515201401</v>
      </c>
      <c r="M33" s="1">
        <f t="shared" si="0"/>
        <v>42036</v>
      </c>
      <c r="N33">
        <f t="shared" si="1"/>
        <v>165.99279337644501</v>
      </c>
      <c r="O33">
        <f t="shared" si="2"/>
        <v>11.168629515201401</v>
      </c>
    </row>
    <row r="34" spans="1:15" x14ac:dyDescent="0.25">
      <c r="A34" t="s">
        <v>9</v>
      </c>
      <c r="B34" s="1">
        <v>42064</v>
      </c>
      <c r="C34">
        <v>1258</v>
      </c>
      <c r="D34">
        <v>38419602868.800003</v>
      </c>
      <c r="E34">
        <v>167.12365929106701</v>
      </c>
      <c r="G34" t="s">
        <v>17</v>
      </c>
      <c r="H34" s="1">
        <v>42064</v>
      </c>
      <c r="I34">
        <v>2196</v>
      </c>
      <c r="J34">
        <v>24896056870.400002</v>
      </c>
      <c r="K34">
        <v>11.4431959674063</v>
      </c>
      <c r="M34" s="1">
        <f t="shared" si="0"/>
        <v>42064</v>
      </c>
      <c r="N34">
        <f t="shared" si="1"/>
        <v>167.12365929106701</v>
      </c>
      <c r="O34">
        <f t="shared" si="2"/>
        <v>11.4431959674063</v>
      </c>
    </row>
    <row r="35" spans="1:15" x14ac:dyDescent="0.25">
      <c r="A35" t="s">
        <v>9</v>
      </c>
      <c r="B35" s="1">
        <v>42095</v>
      </c>
      <c r="C35">
        <v>1267</v>
      </c>
      <c r="D35">
        <v>38264484535.919998</v>
      </c>
      <c r="E35">
        <v>168.12748105505099</v>
      </c>
      <c r="G35" t="s">
        <v>17</v>
      </c>
      <c r="H35" s="1">
        <v>42095</v>
      </c>
      <c r="I35">
        <v>2218</v>
      </c>
      <c r="J35">
        <v>24790138675.59</v>
      </c>
      <c r="K35">
        <v>11.734627978532499</v>
      </c>
      <c r="M35" s="1">
        <f t="shared" si="0"/>
        <v>42095</v>
      </c>
      <c r="N35">
        <f t="shared" si="1"/>
        <v>168.12748105505099</v>
      </c>
      <c r="O35">
        <f t="shared" si="2"/>
        <v>11.734627978532499</v>
      </c>
    </row>
    <row r="36" spans="1:15" x14ac:dyDescent="0.25">
      <c r="A36" t="s">
        <v>9</v>
      </c>
      <c r="B36" s="1">
        <v>42125</v>
      </c>
      <c r="C36">
        <v>1274</v>
      </c>
      <c r="D36">
        <v>38076849573.309998</v>
      </c>
      <c r="E36">
        <v>169.53818955406399</v>
      </c>
      <c r="G36" t="s">
        <v>17</v>
      </c>
      <c r="H36" s="1">
        <v>42125</v>
      </c>
      <c r="I36">
        <v>2238</v>
      </c>
      <c r="J36">
        <v>24665061611.119999</v>
      </c>
      <c r="K36">
        <v>12.163242003414</v>
      </c>
      <c r="M36" s="1">
        <f t="shared" si="0"/>
        <v>42125</v>
      </c>
      <c r="N36">
        <f t="shared" si="1"/>
        <v>169.53818955406399</v>
      </c>
      <c r="O36">
        <f t="shared" si="2"/>
        <v>12.163242003414</v>
      </c>
    </row>
    <row r="37" spans="1:15" x14ac:dyDescent="0.25">
      <c r="A37" t="s">
        <v>9</v>
      </c>
      <c r="B37" s="1">
        <v>42156</v>
      </c>
      <c r="C37">
        <v>1284</v>
      </c>
      <c r="D37">
        <v>37874463420.110001</v>
      </c>
      <c r="E37">
        <v>170.42075126501999</v>
      </c>
      <c r="G37" t="s">
        <v>17</v>
      </c>
      <c r="H37" s="1">
        <v>42156</v>
      </c>
      <c r="I37">
        <v>2253</v>
      </c>
      <c r="J37">
        <v>24529470414.07</v>
      </c>
      <c r="K37">
        <v>12.497913056763</v>
      </c>
      <c r="M37" s="1">
        <f t="shared" si="0"/>
        <v>42156</v>
      </c>
      <c r="N37">
        <f t="shared" si="1"/>
        <v>170.42075126501999</v>
      </c>
      <c r="O37">
        <f t="shared" si="2"/>
        <v>12.497913056763</v>
      </c>
    </row>
    <row r="38" spans="1:15" x14ac:dyDescent="0.25">
      <c r="A38" t="s">
        <v>9</v>
      </c>
      <c r="B38" s="1">
        <v>42186</v>
      </c>
      <c r="C38">
        <v>1291</v>
      </c>
      <c r="D38">
        <v>37654575557.940002</v>
      </c>
      <c r="E38">
        <v>171.05790847164999</v>
      </c>
      <c r="G38" t="s">
        <v>17</v>
      </c>
      <c r="H38" s="1">
        <v>42186</v>
      </c>
      <c r="I38">
        <v>2270</v>
      </c>
      <c r="J38">
        <v>24378497038.580002</v>
      </c>
      <c r="K38">
        <v>12.7066424913356</v>
      </c>
      <c r="M38" s="1">
        <f t="shared" si="0"/>
        <v>42186</v>
      </c>
      <c r="N38">
        <f t="shared" si="1"/>
        <v>171.05790847164999</v>
      </c>
      <c r="O38">
        <f t="shared" si="2"/>
        <v>12.7066424913356</v>
      </c>
    </row>
    <row r="39" spans="1:15" x14ac:dyDescent="0.25">
      <c r="A39" t="s">
        <v>9</v>
      </c>
      <c r="B39" s="1">
        <v>42217</v>
      </c>
      <c r="C39">
        <v>1300</v>
      </c>
      <c r="D39">
        <v>37410876254.669998</v>
      </c>
      <c r="E39">
        <v>171.600196657944</v>
      </c>
      <c r="G39" t="s">
        <v>17</v>
      </c>
      <c r="H39" s="1">
        <v>42217</v>
      </c>
      <c r="I39">
        <v>2283</v>
      </c>
      <c r="J39">
        <v>24214652965.389999</v>
      </c>
      <c r="K39">
        <v>12.8987458830186</v>
      </c>
      <c r="M39" s="1">
        <f t="shared" si="0"/>
        <v>42217</v>
      </c>
      <c r="N39">
        <f t="shared" si="1"/>
        <v>171.600196657944</v>
      </c>
      <c r="O39">
        <f t="shared" si="2"/>
        <v>12.8987458830186</v>
      </c>
    </row>
    <row r="40" spans="1:15" x14ac:dyDescent="0.25">
      <c r="A40" t="s">
        <v>9</v>
      </c>
      <c r="B40" s="1">
        <v>42248</v>
      </c>
      <c r="C40">
        <v>1307</v>
      </c>
      <c r="D40">
        <v>37159487080.809998</v>
      </c>
      <c r="E40">
        <v>172.834891040191</v>
      </c>
      <c r="G40" t="s">
        <v>17</v>
      </c>
      <c r="H40" s="1">
        <v>42248</v>
      </c>
      <c r="I40">
        <v>2300</v>
      </c>
      <c r="J40">
        <v>24053767752.169998</v>
      </c>
      <c r="K40">
        <v>13.3333461824501</v>
      </c>
      <c r="M40" s="1">
        <f t="shared" si="0"/>
        <v>42248</v>
      </c>
      <c r="N40">
        <f t="shared" si="1"/>
        <v>172.834891040191</v>
      </c>
      <c r="O40">
        <f t="shared" si="2"/>
        <v>13.3333461824501</v>
      </c>
    </row>
    <row r="41" spans="1:15" x14ac:dyDescent="0.25">
      <c r="A41" t="s">
        <v>9</v>
      </c>
      <c r="B41" s="1">
        <v>42278</v>
      </c>
      <c r="C41">
        <v>1315</v>
      </c>
      <c r="D41">
        <v>36939526623.260002</v>
      </c>
      <c r="E41">
        <v>174.19398939627399</v>
      </c>
      <c r="G41" t="s">
        <v>17</v>
      </c>
      <c r="H41" s="1">
        <v>42278</v>
      </c>
      <c r="I41">
        <v>2317</v>
      </c>
      <c r="J41">
        <v>23899278644.869999</v>
      </c>
      <c r="K41">
        <v>13.841712235909901</v>
      </c>
      <c r="M41" s="1">
        <f t="shared" si="0"/>
        <v>42278</v>
      </c>
      <c r="N41">
        <f t="shared" si="1"/>
        <v>174.19398939627399</v>
      </c>
      <c r="O41">
        <f t="shared" si="2"/>
        <v>13.841712235909901</v>
      </c>
    </row>
    <row r="42" spans="1:15" x14ac:dyDescent="0.25">
      <c r="A42" t="s">
        <v>9</v>
      </c>
      <c r="B42" s="1">
        <v>42309</v>
      </c>
      <c r="C42">
        <v>1328</v>
      </c>
      <c r="D42">
        <v>36789617512.57</v>
      </c>
      <c r="E42">
        <v>176.456267579056</v>
      </c>
      <c r="G42" t="s">
        <v>17</v>
      </c>
      <c r="H42" s="1">
        <v>42309</v>
      </c>
      <c r="I42">
        <v>2330</v>
      </c>
      <c r="J42">
        <v>23731834948.119999</v>
      </c>
      <c r="K42">
        <v>14.5633694128831</v>
      </c>
      <c r="M42" s="1">
        <f t="shared" si="0"/>
        <v>42309</v>
      </c>
      <c r="N42">
        <f t="shared" si="1"/>
        <v>176.456267579056</v>
      </c>
      <c r="O42">
        <f t="shared" si="2"/>
        <v>14.5633694128831</v>
      </c>
    </row>
    <row r="43" spans="1:15" x14ac:dyDescent="0.25">
      <c r="A43" t="s">
        <v>9</v>
      </c>
      <c r="B43" s="1">
        <v>42339</v>
      </c>
      <c r="C43">
        <v>1332</v>
      </c>
      <c r="D43">
        <v>36550588239.07</v>
      </c>
      <c r="E43">
        <v>177.873340105279</v>
      </c>
      <c r="G43" t="s">
        <v>17</v>
      </c>
      <c r="H43" s="1">
        <v>42339</v>
      </c>
      <c r="I43">
        <v>2346</v>
      </c>
      <c r="J43">
        <v>23575272898.580002</v>
      </c>
      <c r="K43">
        <v>15.027267634079299</v>
      </c>
      <c r="M43" s="1">
        <f t="shared" si="0"/>
        <v>42339</v>
      </c>
      <c r="N43">
        <f t="shared" si="1"/>
        <v>177.873340105279</v>
      </c>
      <c r="O43">
        <f t="shared" si="2"/>
        <v>15.027267634079299</v>
      </c>
    </row>
    <row r="44" spans="1:15" x14ac:dyDescent="0.25">
      <c r="A44" t="s">
        <v>9</v>
      </c>
      <c r="B44" s="1">
        <v>42370</v>
      </c>
      <c r="C44">
        <v>1339</v>
      </c>
      <c r="D44">
        <v>36350171434.389999</v>
      </c>
      <c r="E44">
        <v>179.298770181912</v>
      </c>
      <c r="G44" t="s">
        <v>17</v>
      </c>
      <c r="H44" s="1">
        <v>42370</v>
      </c>
      <c r="I44">
        <v>2356</v>
      </c>
      <c r="J44">
        <v>23422747348.59</v>
      </c>
      <c r="K44">
        <v>15.5544294112937</v>
      </c>
      <c r="M44" s="1">
        <f t="shared" si="0"/>
        <v>42370</v>
      </c>
      <c r="N44">
        <f t="shared" si="1"/>
        <v>179.298770181912</v>
      </c>
      <c r="O44">
        <f t="shared" si="2"/>
        <v>15.5544294112937</v>
      </c>
    </row>
    <row r="45" spans="1:15" x14ac:dyDescent="0.25">
      <c r="A45" t="s">
        <v>9</v>
      </c>
      <c r="B45" s="1">
        <v>42401</v>
      </c>
      <c r="C45">
        <v>1343</v>
      </c>
      <c r="D45">
        <v>36103641907.169998</v>
      </c>
      <c r="E45">
        <v>181.21530798388099</v>
      </c>
      <c r="G45" t="s">
        <v>17</v>
      </c>
      <c r="H45" s="1">
        <v>42401</v>
      </c>
      <c r="I45">
        <v>2368</v>
      </c>
      <c r="J45">
        <v>23264052426.27</v>
      </c>
      <c r="K45">
        <v>16.2718955447111</v>
      </c>
      <c r="M45" s="1">
        <f t="shared" si="0"/>
        <v>42401</v>
      </c>
      <c r="N45">
        <f t="shared" si="1"/>
        <v>181.21530798388099</v>
      </c>
      <c r="O45">
        <f t="shared" si="2"/>
        <v>16.2718955447111</v>
      </c>
    </row>
    <row r="46" spans="1:15" x14ac:dyDescent="0.25">
      <c r="A46" t="s">
        <v>9</v>
      </c>
      <c r="B46" s="1">
        <v>42430</v>
      </c>
      <c r="C46">
        <v>1347</v>
      </c>
      <c r="D46">
        <v>35909399214.110001</v>
      </c>
      <c r="E46">
        <v>184.482631912166</v>
      </c>
      <c r="G46" t="s">
        <v>17</v>
      </c>
      <c r="H46" s="1">
        <v>42430</v>
      </c>
      <c r="I46">
        <v>2380</v>
      </c>
      <c r="J46">
        <v>23130415817.330002</v>
      </c>
      <c r="K46">
        <v>17.657624323877201</v>
      </c>
      <c r="M46" s="1">
        <f t="shared" si="0"/>
        <v>42430</v>
      </c>
      <c r="N46">
        <f t="shared" si="1"/>
        <v>184.482631912166</v>
      </c>
      <c r="O46">
        <f t="shared" si="2"/>
        <v>17.657624323877201</v>
      </c>
    </row>
    <row r="47" spans="1:15" x14ac:dyDescent="0.25">
      <c r="A47" t="s">
        <v>9</v>
      </c>
      <c r="B47" s="1">
        <v>42461</v>
      </c>
      <c r="C47">
        <v>1356</v>
      </c>
      <c r="D47">
        <v>35708371081.940002</v>
      </c>
      <c r="E47">
        <v>188.603964299566</v>
      </c>
      <c r="G47" t="s">
        <v>17</v>
      </c>
      <c r="H47" s="1">
        <v>42461</v>
      </c>
      <c r="I47">
        <v>2389</v>
      </c>
      <c r="J47">
        <v>22980966819.959999</v>
      </c>
      <c r="K47">
        <v>19.8095524805182</v>
      </c>
      <c r="M47" s="1">
        <f t="shared" si="0"/>
        <v>42461</v>
      </c>
      <c r="N47">
        <f t="shared" si="1"/>
        <v>188.603964299566</v>
      </c>
      <c r="O47">
        <f t="shared" si="2"/>
        <v>19.8095524805182</v>
      </c>
    </row>
    <row r="48" spans="1:15" x14ac:dyDescent="0.25">
      <c r="A48" t="s">
        <v>9</v>
      </c>
      <c r="B48" s="1">
        <v>42491</v>
      </c>
      <c r="C48">
        <v>1361</v>
      </c>
      <c r="D48">
        <v>35410457427.75</v>
      </c>
      <c r="E48">
        <v>192.962245236001</v>
      </c>
      <c r="G48" t="s">
        <v>17</v>
      </c>
      <c r="H48" s="1">
        <v>42491</v>
      </c>
      <c r="I48">
        <v>2400</v>
      </c>
      <c r="J48">
        <v>22785497201.860001</v>
      </c>
      <c r="K48">
        <v>22.253275891662302</v>
      </c>
      <c r="M48" s="1">
        <f t="shared" si="0"/>
        <v>42491</v>
      </c>
      <c r="N48">
        <f t="shared" si="1"/>
        <v>192.962245236001</v>
      </c>
      <c r="O48">
        <f t="shared" si="2"/>
        <v>22.253275891662302</v>
      </c>
    </row>
    <row r="49" spans="1:15" x14ac:dyDescent="0.25">
      <c r="A49" t="s">
        <v>9</v>
      </c>
      <c r="B49" s="1">
        <v>42522</v>
      </c>
      <c r="C49">
        <v>1367</v>
      </c>
      <c r="D49">
        <v>35129109527.150002</v>
      </c>
      <c r="E49">
        <v>197.80817770626101</v>
      </c>
      <c r="G49" t="s">
        <v>17</v>
      </c>
      <c r="H49" s="1">
        <v>42522</v>
      </c>
      <c r="I49">
        <v>2409</v>
      </c>
      <c r="J49">
        <v>22590823732.130001</v>
      </c>
      <c r="K49">
        <v>24.961854230278401</v>
      </c>
      <c r="M49" s="1">
        <f t="shared" si="0"/>
        <v>42522</v>
      </c>
      <c r="N49">
        <f t="shared" si="1"/>
        <v>197.80817770626101</v>
      </c>
      <c r="O49">
        <f t="shared" si="2"/>
        <v>24.961854230278401</v>
      </c>
    </row>
    <row r="50" spans="1:15" x14ac:dyDescent="0.25">
      <c r="A50" t="s">
        <v>9</v>
      </c>
      <c r="B50" s="1">
        <v>42552</v>
      </c>
      <c r="C50">
        <v>1374</v>
      </c>
      <c r="D50">
        <v>34806670533.199997</v>
      </c>
      <c r="E50">
        <v>203.14842704501399</v>
      </c>
      <c r="G50" t="s">
        <v>17</v>
      </c>
      <c r="H50" s="1">
        <v>42552</v>
      </c>
      <c r="I50">
        <v>2418</v>
      </c>
      <c r="J50">
        <v>22369714888.02</v>
      </c>
      <c r="K50">
        <v>27.8834436524258</v>
      </c>
      <c r="M50" s="1">
        <f t="shared" si="0"/>
        <v>42552</v>
      </c>
      <c r="N50">
        <f t="shared" si="1"/>
        <v>203.14842704501399</v>
      </c>
      <c r="O50">
        <f t="shared" si="2"/>
        <v>27.8834436524258</v>
      </c>
    </row>
    <row r="51" spans="1:15" x14ac:dyDescent="0.25">
      <c r="A51" t="s">
        <v>9</v>
      </c>
      <c r="B51" s="1">
        <v>42583</v>
      </c>
      <c r="C51">
        <v>1380</v>
      </c>
      <c r="D51">
        <v>34436906908.110001</v>
      </c>
      <c r="E51">
        <v>209.96590275117799</v>
      </c>
      <c r="G51" t="s">
        <v>17</v>
      </c>
      <c r="H51" s="1">
        <v>42583</v>
      </c>
      <c r="I51">
        <v>2424</v>
      </c>
      <c r="J51">
        <v>22125367840.490002</v>
      </c>
      <c r="K51">
        <v>31.587489720957301</v>
      </c>
      <c r="M51" s="1">
        <f t="shared" si="0"/>
        <v>42583</v>
      </c>
      <c r="N51">
        <f t="shared" si="1"/>
        <v>209.96590275117799</v>
      </c>
      <c r="O51">
        <f t="shared" si="2"/>
        <v>31.587489720957301</v>
      </c>
    </row>
    <row r="52" spans="1:15" x14ac:dyDescent="0.25">
      <c r="A52" t="s">
        <v>9</v>
      </c>
      <c r="B52" s="1">
        <v>42614</v>
      </c>
      <c r="C52">
        <v>1385</v>
      </c>
      <c r="D52">
        <v>34088680556.189999</v>
      </c>
      <c r="E52">
        <v>217.797998710847</v>
      </c>
      <c r="G52" t="s">
        <v>17</v>
      </c>
      <c r="H52" s="1">
        <v>42614</v>
      </c>
      <c r="I52">
        <v>2433</v>
      </c>
      <c r="J52">
        <v>21895878252.380001</v>
      </c>
      <c r="K52">
        <v>35.262914280273002</v>
      </c>
      <c r="M52" s="1">
        <f t="shared" si="0"/>
        <v>42614</v>
      </c>
      <c r="N52">
        <f t="shared" si="1"/>
        <v>217.797998710847</v>
      </c>
      <c r="O52">
        <f t="shared" si="2"/>
        <v>35.262914280273002</v>
      </c>
    </row>
    <row r="53" spans="1:15" x14ac:dyDescent="0.25">
      <c r="A53" t="s">
        <v>9</v>
      </c>
      <c r="B53" s="1">
        <v>42644</v>
      </c>
      <c r="C53">
        <v>1390</v>
      </c>
      <c r="D53">
        <v>33686513650.32</v>
      </c>
      <c r="E53">
        <v>225.38985303453899</v>
      </c>
      <c r="G53" t="s">
        <v>17</v>
      </c>
      <c r="H53" s="1">
        <v>42644</v>
      </c>
      <c r="I53">
        <v>2450</v>
      </c>
      <c r="J53">
        <v>21624654083.630001</v>
      </c>
      <c r="K53">
        <v>38.608916468452499</v>
      </c>
      <c r="M53" s="1">
        <f t="shared" si="0"/>
        <v>42644</v>
      </c>
      <c r="N53">
        <f t="shared" si="1"/>
        <v>225.38985303453899</v>
      </c>
      <c r="O53">
        <f t="shared" si="2"/>
        <v>38.608916468452499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74"/>
  <sheetViews>
    <sheetView topLeftCell="H1" workbookViewId="0">
      <selection activeCell="N1" sqref="N1:O1"/>
    </sheetView>
  </sheetViews>
  <sheetFormatPr defaultRowHeight="15" x14ac:dyDescent="0.2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22</v>
      </c>
      <c r="G1" t="s">
        <v>0</v>
      </c>
      <c r="H1" t="s">
        <v>1</v>
      </c>
      <c r="I1" t="s">
        <v>2</v>
      </c>
      <c r="J1" t="s">
        <v>3</v>
      </c>
      <c r="K1" t="s">
        <v>22</v>
      </c>
      <c r="N1" t="str">
        <f>A2</f>
        <v>FNCR</v>
      </c>
      <c r="O1" t="str">
        <f>G2</f>
        <v>FGU9</v>
      </c>
      <c r="AC1" t="s">
        <v>0</v>
      </c>
      <c r="AD1" t="s">
        <v>1</v>
      </c>
      <c r="AE1" t="s">
        <v>2</v>
      </c>
      <c r="AF1" t="s">
        <v>3</v>
      </c>
      <c r="AG1" t="s">
        <v>22</v>
      </c>
      <c r="AI1" t="s">
        <v>0</v>
      </c>
      <c r="AJ1" t="s">
        <v>1</v>
      </c>
      <c r="AK1" t="s">
        <v>2</v>
      </c>
      <c r="AL1" t="s">
        <v>3</v>
      </c>
      <c r="AM1" t="s">
        <v>22</v>
      </c>
      <c r="AP1" t="str">
        <f>AC2</f>
        <v>FNCL</v>
      </c>
      <c r="AQ1" t="str">
        <f>AI2</f>
        <v>FGLMC</v>
      </c>
    </row>
    <row r="2" spans="1:43" x14ac:dyDescent="0.25">
      <c r="A2" t="s">
        <v>9</v>
      </c>
      <c r="B2" s="1">
        <v>41091</v>
      </c>
      <c r="C2">
        <v>91</v>
      </c>
      <c r="D2">
        <v>5555695171.1300001</v>
      </c>
      <c r="E2">
        <v>102.18520745071601</v>
      </c>
      <c r="G2" t="s">
        <v>17</v>
      </c>
      <c r="H2" s="1">
        <v>41091</v>
      </c>
      <c r="I2">
        <v>127</v>
      </c>
      <c r="J2">
        <v>6599126495.5600004</v>
      </c>
      <c r="K2">
        <v>-19.930039277372799</v>
      </c>
      <c r="M2" s="1">
        <f>B2</f>
        <v>41091</v>
      </c>
      <c r="N2">
        <f>E2</f>
        <v>102.18520745071601</v>
      </c>
      <c r="O2">
        <f>K2</f>
        <v>-19.930039277372799</v>
      </c>
      <c r="AC2" t="s">
        <v>5</v>
      </c>
      <c r="AD2" s="1">
        <v>34366</v>
      </c>
      <c r="AE2">
        <v>126636</v>
      </c>
      <c r="AF2">
        <v>278490248452.07001</v>
      </c>
      <c r="AG2">
        <v>107.004301870558</v>
      </c>
      <c r="AI2" t="s">
        <v>14</v>
      </c>
      <c r="AJ2" s="1">
        <v>34366</v>
      </c>
      <c r="AK2">
        <v>47564</v>
      </c>
      <c r="AL2">
        <v>179363030607.07999</v>
      </c>
      <c r="AM2">
        <v>74.190550938495093</v>
      </c>
      <c r="AO2" s="1">
        <f>AD2</f>
        <v>34366</v>
      </c>
      <c r="AP2">
        <f>AG2</f>
        <v>107.004301870558</v>
      </c>
      <c r="AQ2">
        <f>VLOOKUP(AO2,AJ:AM,4,0)</f>
        <v>74.190550938495093</v>
      </c>
    </row>
    <row r="3" spans="1:43" x14ac:dyDescent="0.25">
      <c r="A3" t="s">
        <v>9</v>
      </c>
      <c r="B3" s="1">
        <v>41122</v>
      </c>
      <c r="C3">
        <v>156</v>
      </c>
      <c r="D3">
        <v>8754398274.3899994</v>
      </c>
      <c r="E3">
        <v>109.75619186573699</v>
      </c>
      <c r="G3" t="s">
        <v>17</v>
      </c>
      <c r="H3" s="1">
        <v>41122</v>
      </c>
      <c r="I3">
        <v>218</v>
      </c>
      <c r="J3">
        <v>8799458195.2600002</v>
      </c>
      <c r="K3">
        <v>-11.021213224603001</v>
      </c>
      <c r="M3" s="1">
        <f t="shared" ref="M3:M53" si="0">B3</f>
        <v>41122</v>
      </c>
      <c r="N3">
        <f t="shared" ref="N3:N53" si="1">E3</f>
        <v>109.75619186573699</v>
      </c>
      <c r="O3">
        <f t="shared" ref="O3:O53" si="2">K3</f>
        <v>-11.021213224603001</v>
      </c>
      <c r="AC3" t="s">
        <v>5</v>
      </c>
      <c r="AD3" s="1">
        <v>34394</v>
      </c>
      <c r="AE3">
        <v>128266</v>
      </c>
      <c r="AF3">
        <v>282050828421.97998</v>
      </c>
      <c r="AG3">
        <v>89.666173735997305</v>
      </c>
      <c r="AI3" t="s">
        <v>14</v>
      </c>
      <c r="AJ3" s="1">
        <v>34394</v>
      </c>
      <c r="AK3">
        <v>48770</v>
      </c>
      <c r="AL3">
        <v>182676426202.38</v>
      </c>
      <c r="AM3">
        <v>58.255346217186101</v>
      </c>
      <c r="AO3" s="1">
        <f t="shared" ref="AO3:AO53" si="3">AD3</f>
        <v>34394</v>
      </c>
      <c r="AP3">
        <f t="shared" ref="AP3:AP53" si="4">AG3</f>
        <v>89.666173735997305</v>
      </c>
      <c r="AQ3">
        <f t="shared" ref="AQ3:AQ66" si="5">VLOOKUP(AO3,AJ:AM,4,0)</f>
        <v>58.255346217186101</v>
      </c>
    </row>
    <row r="4" spans="1:43" x14ac:dyDescent="0.25">
      <c r="A4" t="s">
        <v>9</v>
      </c>
      <c r="B4" s="1">
        <v>41153</v>
      </c>
      <c r="C4">
        <v>210</v>
      </c>
      <c r="D4">
        <v>12053254300.4</v>
      </c>
      <c r="E4">
        <v>102.81420604323399</v>
      </c>
      <c r="G4" t="s">
        <v>17</v>
      </c>
      <c r="H4" s="1">
        <v>41153</v>
      </c>
      <c r="I4">
        <v>315</v>
      </c>
      <c r="J4">
        <v>10777885227.879999</v>
      </c>
      <c r="K4">
        <v>-16.399976364915702</v>
      </c>
      <c r="M4" s="1">
        <f t="shared" si="0"/>
        <v>41153</v>
      </c>
      <c r="N4">
        <f t="shared" si="1"/>
        <v>102.81420604323399</v>
      </c>
      <c r="O4">
        <f t="shared" si="2"/>
        <v>-16.399976364915702</v>
      </c>
      <c r="AC4" t="s">
        <v>5</v>
      </c>
      <c r="AD4" s="1">
        <v>34425</v>
      </c>
      <c r="AE4">
        <v>129601</v>
      </c>
      <c r="AF4">
        <v>283874201256.09003</v>
      </c>
      <c r="AG4">
        <v>26.9473193105467</v>
      </c>
      <c r="AI4" t="s">
        <v>14</v>
      </c>
      <c r="AJ4" s="1">
        <v>34425</v>
      </c>
      <c r="AK4">
        <v>50054</v>
      </c>
      <c r="AL4">
        <v>187173844372.01001</v>
      </c>
      <c r="AM4">
        <v>-3.8680416544181702</v>
      </c>
      <c r="AO4" s="1">
        <f t="shared" si="3"/>
        <v>34425</v>
      </c>
      <c r="AP4">
        <f t="shared" si="4"/>
        <v>26.9473193105467</v>
      </c>
      <c r="AQ4">
        <f t="shared" si="5"/>
        <v>-3.8680416544181702</v>
      </c>
    </row>
    <row r="5" spans="1:43" x14ac:dyDescent="0.25">
      <c r="A5" t="s">
        <v>9</v>
      </c>
      <c r="B5" s="1">
        <v>41183</v>
      </c>
      <c r="C5">
        <v>281</v>
      </c>
      <c r="D5">
        <v>15145163161.950001</v>
      </c>
      <c r="E5">
        <v>110.262325318851</v>
      </c>
      <c r="G5" t="s">
        <v>17</v>
      </c>
      <c r="H5" s="1">
        <v>41183</v>
      </c>
      <c r="I5">
        <v>415</v>
      </c>
      <c r="J5">
        <v>12488997687</v>
      </c>
      <c r="K5">
        <v>-8.1383969514013206</v>
      </c>
      <c r="M5" s="1">
        <f t="shared" si="0"/>
        <v>41183</v>
      </c>
      <c r="N5">
        <f t="shared" si="1"/>
        <v>110.262325318851</v>
      </c>
      <c r="O5">
        <f t="shared" si="2"/>
        <v>-8.1383969514013206</v>
      </c>
      <c r="AC5" t="s">
        <v>5</v>
      </c>
      <c r="AD5" s="1">
        <v>34455</v>
      </c>
      <c r="AE5">
        <v>130768</v>
      </c>
      <c r="AF5">
        <v>284752896061.91998</v>
      </c>
      <c r="AG5">
        <v>-43.6818372813403</v>
      </c>
      <c r="AI5" t="s">
        <v>14</v>
      </c>
      <c r="AJ5" s="1">
        <v>34516</v>
      </c>
      <c r="AK5">
        <v>53319</v>
      </c>
      <c r="AL5">
        <v>198257625256.20999</v>
      </c>
      <c r="AM5">
        <v>-80.323549386591793</v>
      </c>
      <c r="AO5" s="1">
        <f t="shared" si="3"/>
        <v>34455</v>
      </c>
      <c r="AP5">
        <f t="shared" si="4"/>
        <v>-43.6818372813403</v>
      </c>
      <c r="AQ5" t="e">
        <f t="shared" si="5"/>
        <v>#N/A</v>
      </c>
    </row>
    <row r="6" spans="1:43" x14ac:dyDescent="0.25">
      <c r="A6" t="s">
        <v>9</v>
      </c>
      <c r="B6" s="1">
        <v>41214</v>
      </c>
      <c r="C6">
        <v>339</v>
      </c>
      <c r="D6">
        <v>17141506906.68</v>
      </c>
      <c r="E6">
        <v>118.29595553129199</v>
      </c>
      <c r="G6" t="s">
        <v>17</v>
      </c>
      <c r="H6" s="1">
        <v>41214</v>
      </c>
      <c r="I6">
        <v>509</v>
      </c>
      <c r="J6">
        <v>13991619224.620001</v>
      </c>
      <c r="K6">
        <v>-0.74680680055229198</v>
      </c>
      <c r="M6" s="1">
        <f t="shared" si="0"/>
        <v>41214</v>
      </c>
      <c r="N6">
        <f t="shared" si="1"/>
        <v>118.29595553129199</v>
      </c>
      <c r="O6">
        <f t="shared" si="2"/>
        <v>-0.74680680055229198</v>
      </c>
      <c r="AC6" t="s">
        <v>5</v>
      </c>
      <c r="AD6" s="1">
        <v>34486</v>
      </c>
      <c r="AE6">
        <v>131996</v>
      </c>
      <c r="AF6">
        <v>287122056681.57001</v>
      </c>
      <c r="AG6">
        <v>-68.446479723280703</v>
      </c>
      <c r="AI6" t="s">
        <v>14</v>
      </c>
      <c r="AJ6" s="1">
        <v>34547</v>
      </c>
      <c r="AK6">
        <v>54110</v>
      </c>
      <c r="AL6">
        <v>200679192483.73001</v>
      </c>
      <c r="AM6">
        <v>-100.238351385502</v>
      </c>
      <c r="AO6" s="1">
        <f t="shared" si="3"/>
        <v>34486</v>
      </c>
      <c r="AP6">
        <f t="shared" si="4"/>
        <v>-68.446479723280703</v>
      </c>
      <c r="AQ6" t="e">
        <f t="shared" si="5"/>
        <v>#N/A</v>
      </c>
    </row>
    <row r="7" spans="1:43" x14ac:dyDescent="0.25">
      <c r="A7" t="s">
        <v>9</v>
      </c>
      <c r="B7" s="1">
        <v>41244</v>
      </c>
      <c r="C7">
        <v>427</v>
      </c>
      <c r="D7">
        <v>20228876583.380001</v>
      </c>
      <c r="E7">
        <v>117.950900043258</v>
      </c>
      <c r="G7" t="s">
        <v>17</v>
      </c>
      <c r="H7" s="1">
        <v>41244</v>
      </c>
      <c r="I7">
        <v>623</v>
      </c>
      <c r="J7">
        <v>15791782055.450001</v>
      </c>
      <c r="K7">
        <v>-0.55656507366025598</v>
      </c>
      <c r="M7" s="1">
        <f t="shared" si="0"/>
        <v>41244</v>
      </c>
      <c r="N7">
        <f t="shared" si="1"/>
        <v>117.950900043258</v>
      </c>
      <c r="O7">
        <f t="shared" si="2"/>
        <v>-0.55656507366025598</v>
      </c>
      <c r="AC7" t="s">
        <v>5</v>
      </c>
      <c r="AD7" s="1">
        <v>34516</v>
      </c>
      <c r="AE7">
        <v>133140</v>
      </c>
      <c r="AF7">
        <v>288919754101.73999</v>
      </c>
      <c r="AG7">
        <v>-52.809468506724201</v>
      </c>
      <c r="AI7" t="s">
        <v>14</v>
      </c>
      <c r="AJ7" s="1">
        <v>34578</v>
      </c>
      <c r="AK7">
        <v>54835</v>
      </c>
      <c r="AL7">
        <v>202941258365.22</v>
      </c>
      <c r="AM7">
        <v>-87.478873162582303</v>
      </c>
      <c r="AO7" s="1">
        <f t="shared" si="3"/>
        <v>34516</v>
      </c>
      <c r="AP7">
        <f t="shared" si="4"/>
        <v>-52.809468506724201</v>
      </c>
      <c r="AQ7">
        <f t="shared" si="5"/>
        <v>-80.323549386591793</v>
      </c>
    </row>
    <row r="8" spans="1:43" x14ac:dyDescent="0.25">
      <c r="A8" t="s">
        <v>9</v>
      </c>
      <c r="B8" s="1">
        <v>41275</v>
      </c>
      <c r="C8">
        <v>493</v>
      </c>
      <c r="D8">
        <v>22634123601.41</v>
      </c>
      <c r="E8">
        <v>116.16432248351001</v>
      </c>
      <c r="G8" t="s">
        <v>17</v>
      </c>
      <c r="H8" s="1">
        <v>41275</v>
      </c>
      <c r="I8">
        <v>707</v>
      </c>
      <c r="J8">
        <v>16754712174.48</v>
      </c>
      <c r="K8">
        <v>-1.8355604341685201</v>
      </c>
      <c r="M8" s="1">
        <f t="shared" si="0"/>
        <v>41275</v>
      </c>
      <c r="N8">
        <f t="shared" si="1"/>
        <v>116.16432248351001</v>
      </c>
      <c r="O8">
        <f t="shared" si="2"/>
        <v>-1.8355604341685201</v>
      </c>
      <c r="AC8" t="s">
        <v>5</v>
      </c>
      <c r="AD8" s="1">
        <v>34547</v>
      </c>
      <c r="AE8">
        <v>134153</v>
      </c>
      <c r="AF8">
        <v>290640645437.90997</v>
      </c>
      <c r="AG8">
        <v>-73.407545790668607</v>
      </c>
      <c r="AI8" t="s">
        <v>14</v>
      </c>
      <c r="AJ8" s="1">
        <v>34608</v>
      </c>
      <c r="AK8">
        <v>55530</v>
      </c>
      <c r="AL8">
        <v>205226671396.57999</v>
      </c>
      <c r="AM8">
        <v>-99.478039134631999</v>
      </c>
      <c r="AO8" s="1">
        <f t="shared" si="3"/>
        <v>34547</v>
      </c>
      <c r="AP8">
        <f t="shared" si="4"/>
        <v>-73.407545790668607</v>
      </c>
      <c r="AQ8">
        <f t="shared" si="5"/>
        <v>-100.238351385502</v>
      </c>
    </row>
    <row r="9" spans="1:43" x14ac:dyDescent="0.25">
      <c r="A9" t="s">
        <v>9</v>
      </c>
      <c r="B9" s="1">
        <v>41306</v>
      </c>
      <c r="C9">
        <v>572</v>
      </c>
      <c r="D9">
        <v>25710780014.439999</v>
      </c>
      <c r="E9">
        <v>80.161897316418703</v>
      </c>
      <c r="G9" t="s">
        <v>17</v>
      </c>
      <c r="H9" s="1">
        <v>41306</v>
      </c>
      <c r="I9">
        <v>803</v>
      </c>
      <c r="J9">
        <v>17947136377.009998</v>
      </c>
      <c r="K9">
        <v>-10.925653353864901</v>
      </c>
      <c r="M9" s="1">
        <f t="shared" si="0"/>
        <v>41306</v>
      </c>
      <c r="N9">
        <f t="shared" si="1"/>
        <v>80.161897316418703</v>
      </c>
      <c r="O9">
        <f t="shared" si="2"/>
        <v>-10.925653353864901</v>
      </c>
      <c r="AC9" t="s">
        <v>5</v>
      </c>
      <c r="AD9" s="1">
        <v>34578</v>
      </c>
      <c r="AE9">
        <v>135077</v>
      </c>
      <c r="AF9">
        <v>292026246657.69</v>
      </c>
      <c r="AG9">
        <v>-61.4902952298782</v>
      </c>
      <c r="AI9" t="s">
        <v>14</v>
      </c>
      <c r="AJ9" s="1">
        <v>34639</v>
      </c>
      <c r="AK9">
        <v>56108</v>
      </c>
      <c r="AL9">
        <v>206975112252.98001</v>
      </c>
      <c r="AM9">
        <v>-127.103067959413</v>
      </c>
      <c r="AO9" s="1">
        <f t="shared" si="3"/>
        <v>34578</v>
      </c>
      <c r="AP9">
        <f t="shared" si="4"/>
        <v>-61.4902952298782</v>
      </c>
      <c r="AQ9">
        <f t="shared" si="5"/>
        <v>-87.478873162582303</v>
      </c>
    </row>
    <row r="10" spans="1:43" x14ac:dyDescent="0.25">
      <c r="A10" t="s">
        <v>9</v>
      </c>
      <c r="B10" s="1">
        <v>41334</v>
      </c>
      <c r="C10">
        <v>639</v>
      </c>
      <c r="D10">
        <v>27919269484.799999</v>
      </c>
      <c r="E10">
        <v>49.967145364602601</v>
      </c>
      <c r="G10" t="s">
        <v>17</v>
      </c>
      <c r="H10" s="1">
        <v>41334</v>
      </c>
      <c r="I10">
        <v>924</v>
      </c>
      <c r="J10">
        <v>19179632548.990002</v>
      </c>
      <c r="K10">
        <v>-27.125932442922998</v>
      </c>
      <c r="M10" s="1">
        <f t="shared" si="0"/>
        <v>41334</v>
      </c>
      <c r="N10">
        <f t="shared" si="1"/>
        <v>49.967145364602601</v>
      </c>
      <c r="O10">
        <f t="shared" si="2"/>
        <v>-27.125932442922998</v>
      </c>
      <c r="AC10" t="s">
        <v>5</v>
      </c>
      <c r="AD10" s="1">
        <v>34608</v>
      </c>
      <c r="AE10">
        <v>135888</v>
      </c>
      <c r="AF10">
        <v>293395992453.21002</v>
      </c>
      <c r="AG10">
        <v>-74.241146648837599</v>
      </c>
      <c r="AI10" t="s">
        <v>14</v>
      </c>
      <c r="AJ10" s="1">
        <v>34669</v>
      </c>
      <c r="AK10">
        <v>56529</v>
      </c>
      <c r="AL10">
        <v>207753709014.57999</v>
      </c>
      <c r="AM10">
        <v>-151.65479833232999</v>
      </c>
      <c r="AO10" s="1">
        <f t="shared" si="3"/>
        <v>34608</v>
      </c>
      <c r="AP10">
        <f t="shared" si="4"/>
        <v>-74.241146648837599</v>
      </c>
      <c r="AQ10">
        <f t="shared" si="5"/>
        <v>-99.478039134631999</v>
      </c>
    </row>
    <row r="11" spans="1:43" x14ac:dyDescent="0.25">
      <c r="A11" t="s">
        <v>9</v>
      </c>
      <c r="B11" s="1">
        <v>41365</v>
      </c>
      <c r="C11">
        <v>704</v>
      </c>
      <c r="D11">
        <v>30041763432.959999</v>
      </c>
      <c r="E11">
        <v>33.747050562857503</v>
      </c>
      <c r="G11" t="s">
        <v>17</v>
      </c>
      <c r="H11" s="1">
        <v>41365</v>
      </c>
      <c r="I11">
        <v>1042</v>
      </c>
      <c r="J11">
        <v>20590650800.080002</v>
      </c>
      <c r="K11">
        <v>-31.6219846906314</v>
      </c>
      <c r="M11" s="1">
        <f t="shared" si="0"/>
        <v>41365</v>
      </c>
      <c r="N11">
        <f t="shared" si="1"/>
        <v>33.747050562857503</v>
      </c>
      <c r="O11">
        <f t="shared" si="2"/>
        <v>-31.6219846906314</v>
      </c>
      <c r="AC11" t="s">
        <v>5</v>
      </c>
      <c r="AD11" s="1">
        <v>34639</v>
      </c>
      <c r="AE11">
        <v>136567</v>
      </c>
      <c r="AF11">
        <v>294791998506.56</v>
      </c>
      <c r="AG11">
        <v>-103.05369276521201</v>
      </c>
      <c r="AI11" t="s">
        <v>14</v>
      </c>
      <c r="AJ11" s="1">
        <v>34700</v>
      </c>
      <c r="AK11">
        <v>56894</v>
      </c>
      <c r="AL11">
        <v>208406182510.07001</v>
      </c>
      <c r="AM11">
        <v>-153.031617833263</v>
      </c>
      <c r="AO11" s="1">
        <f t="shared" si="3"/>
        <v>34639</v>
      </c>
      <c r="AP11">
        <f t="shared" si="4"/>
        <v>-103.05369276521201</v>
      </c>
      <c r="AQ11">
        <f t="shared" si="5"/>
        <v>-127.103067959413</v>
      </c>
    </row>
    <row r="12" spans="1:43" x14ac:dyDescent="0.25">
      <c r="A12" t="s">
        <v>9</v>
      </c>
      <c r="B12" s="1">
        <v>41395</v>
      </c>
      <c r="C12">
        <v>760</v>
      </c>
      <c r="D12">
        <v>32087573394.82</v>
      </c>
      <c r="E12">
        <v>23.527893695227299</v>
      </c>
      <c r="G12" t="s">
        <v>17</v>
      </c>
      <c r="H12" s="1">
        <v>41395</v>
      </c>
      <c r="I12">
        <v>1149</v>
      </c>
      <c r="J12">
        <v>21763931987.459999</v>
      </c>
      <c r="K12">
        <v>-30.797400019947801</v>
      </c>
      <c r="M12" s="1">
        <f t="shared" si="0"/>
        <v>41395</v>
      </c>
      <c r="N12">
        <f t="shared" si="1"/>
        <v>23.527893695227299</v>
      </c>
      <c r="O12">
        <f t="shared" si="2"/>
        <v>-30.797400019947801</v>
      </c>
      <c r="AC12" t="s">
        <v>5</v>
      </c>
      <c r="AD12" s="1">
        <v>34669</v>
      </c>
      <c r="AE12">
        <v>137384</v>
      </c>
      <c r="AF12">
        <v>297022730158.53998</v>
      </c>
      <c r="AG12">
        <v>-127.43149357634999</v>
      </c>
      <c r="AI12" t="s">
        <v>14</v>
      </c>
      <c r="AJ12" s="1">
        <v>34731</v>
      </c>
      <c r="AK12">
        <v>57294</v>
      </c>
      <c r="AL12">
        <v>209359181505.28</v>
      </c>
      <c r="AM12">
        <v>-147.19984376571199</v>
      </c>
      <c r="AO12" s="1">
        <f t="shared" si="3"/>
        <v>34669</v>
      </c>
      <c r="AP12">
        <f t="shared" si="4"/>
        <v>-127.43149357634999</v>
      </c>
      <c r="AQ12">
        <f t="shared" si="5"/>
        <v>-151.65479833232999</v>
      </c>
    </row>
    <row r="13" spans="1:43" x14ac:dyDescent="0.25">
      <c r="A13" t="s">
        <v>9</v>
      </c>
      <c r="B13" s="1">
        <v>41426</v>
      </c>
      <c r="C13">
        <v>806</v>
      </c>
      <c r="D13">
        <v>33554081959.810001</v>
      </c>
      <c r="E13">
        <v>10.678748626472901</v>
      </c>
      <c r="G13" t="s">
        <v>17</v>
      </c>
      <c r="H13" s="1">
        <v>41426</v>
      </c>
      <c r="I13">
        <v>1253</v>
      </c>
      <c r="J13">
        <v>22743332810.720001</v>
      </c>
      <c r="K13">
        <v>-39.051369007373196</v>
      </c>
      <c r="M13" s="1">
        <f t="shared" si="0"/>
        <v>41426</v>
      </c>
      <c r="N13">
        <f t="shared" si="1"/>
        <v>10.678748626472901</v>
      </c>
      <c r="O13">
        <f t="shared" si="2"/>
        <v>-39.051369007373196</v>
      </c>
      <c r="AC13" t="s">
        <v>5</v>
      </c>
      <c r="AD13" s="1">
        <v>34700</v>
      </c>
      <c r="AE13">
        <v>138175</v>
      </c>
      <c r="AF13">
        <v>299534791311.60999</v>
      </c>
      <c r="AG13">
        <v>-128.62333134480701</v>
      </c>
      <c r="AI13" t="s">
        <v>14</v>
      </c>
      <c r="AJ13" s="1">
        <v>34759</v>
      </c>
      <c r="AK13">
        <v>57702</v>
      </c>
      <c r="AL13">
        <v>210444667091.82001</v>
      </c>
      <c r="AM13">
        <v>-115.10239783914599</v>
      </c>
      <c r="AO13" s="1">
        <f t="shared" si="3"/>
        <v>34700</v>
      </c>
      <c r="AP13">
        <f t="shared" si="4"/>
        <v>-128.62333134480701</v>
      </c>
      <c r="AQ13">
        <f t="shared" si="5"/>
        <v>-153.031617833263</v>
      </c>
    </row>
    <row r="14" spans="1:43" x14ac:dyDescent="0.25">
      <c r="A14" t="s">
        <v>9</v>
      </c>
      <c r="B14" s="1">
        <v>41456</v>
      </c>
      <c r="C14">
        <v>846</v>
      </c>
      <c r="D14">
        <v>34996952153.550003</v>
      </c>
      <c r="E14">
        <v>-30.856657284399802</v>
      </c>
      <c r="G14" t="s">
        <v>17</v>
      </c>
      <c r="H14" s="1">
        <v>41456</v>
      </c>
      <c r="I14">
        <v>1350</v>
      </c>
      <c r="J14">
        <v>23549228231.41</v>
      </c>
      <c r="K14">
        <v>-93.540261561519102</v>
      </c>
      <c r="M14" s="1">
        <f t="shared" si="0"/>
        <v>41456</v>
      </c>
      <c r="N14">
        <f t="shared" si="1"/>
        <v>-30.856657284399802</v>
      </c>
      <c r="O14">
        <f t="shared" si="2"/>
        <v>-93.540261561519102</v>
      </c>
      <c r="AC14" t="s">
        <v>5</v>
      </c>
      <c r="AD14" s="1">
        <v>34731</v>
      </c>
      <c r="AE14">
        <v>138749</v>
      </c>
      <c r="AF14">
        <v>300578062603.90997</v>
      </c>
      <c r="AG14">
        <v>-123.409958808941</v>
      </c>
      <c r="AI14" t="s">
        <v>14</v>
      </c>
      <c r="AJ14" s="1">
        <v>34790</v>
      </c>
      <c r="AK14">
        <v>58144</v>
      </c>
      <c r="AL14">
        <v>212078601432.42001</v>
      </c>
      <c r="AM14">
        <v>-75.078795554713395</v>
      </c>
      <c r="AO14" s="1">
        <f t="shared" si="3"/>
        <v>34731</v>
      </c>
      <c r="AP14">
        <f t="shared" si="4"/>
        <v>-123.409958808941</v>
      </c>
      <c r="AQ14">
        <f t="shared" si="5"/>
        <v>-147.19984376571199</v>
      </c>
    </row>
    <row r="15" spans="1:43" x14ac:dyDescent="0.25">
      <c r="A15" t="s">
        <v>9</v>
      </c>
      <c r="B15" s="1">
        <v>41487</v>
      </c>
      <c r="C15">
        <v>890</v>
      </c>
      <c r="D15">
        <v>36201078184.980003</v>
      </c>
      <c r="E15">
        <v>-53.4305364059325</v>
      </c>
      <c r="G15" t="s">
        <v>17</v>
      </c>
      <c r="H15" s="1">
        <v>41487</v>
      </c>
      <c r="I15">
        <v>1432</v>
      </c>
      <c r="J15">
        <v>24174777291.66</v>
      </c>
      <c r="K15">
        <v>-123.903555625278</v>
      </c>
      <c r="M15" s="1">
        <f t="shared" si="0"/>
        <v>41487</v>
      </c>
      <c r="N15">
        <f t="shared" si="1"/>
        <v>-53.4305364059325</v>
      </c>
      <c r="O15">
        <f t="shared" si="2"/>
        <v>-123.903555625278</v>
      </c>
      <c r="AC15" t="s">
        <v>5</v>
      </c>
      <c r="AD15" s="1">
        <v>34759</v>
      </c>
      <c r="AE15">
        <v>139252</v>
      </c>
      <c r="AF15">
        <v>301515518476.67999</v>
      </c>
      <c r="AG15">
        <v>-91.951416225835999</v>
      </c>
      <c r="AI15" t="s">
        <v>14</v>
      </c>
      <c r="AJ15" s="1">
        <v>34820</v>
      </c>
      <c r="AK15">
        <v>58699</v>
      </c>
      <c r="AL15">
        <v>214086172771.07001</v>
      </c>
      <c r="AM15">
        <v>-61.121694982616503</v>
      </c>
      <c r="AO15" s="1">
        <f t="shared" si="3"/>
        <v>34759</v>
      </c>
      <c r="AP15">
        <f t="shared" si="4"/>
        <v>-91.951416225835999</v>
      </c>
      <c r="AQ15">
        <f t="shared" si="5"/>
        <v>-115.10239783914599</v>
      </c>
    </row>
    <row r="16" spans="1:43" x14ac:dyDescent="0.25">
      <c r="A16" t="s">
        <v>9</v>
      </c>
      <c r="B16" s="1">
        <v>41518</v>
      </c>
      <c r="C16">
        <v>939</v>
      </c>
      <c r="D16">
        <v>37243354893.68</v>
      </c>
      <c r="E16">
        <v>-61.010140568097</v>
      </c>
      <c r="G16" t="s">
        <v>17</v>
      </c>
      <c r="H16" s="1">
        <v>41518</v>
      </c>
      <c r="I16">
        <v>1517</v>
      </c>
      <c r="J16">
        <v>24578473067.509998</v>
      </c>
      <c r="K16">
        <v>-133.27322464546299</v>
      </c>
      <c r="M16" s="1">
        <f t="shared" si="0"/>
        <v>41518</v>
      </c>
      <c r="N16">
        <f t="shared" si="1"/>
        <v>-61.010140568097</v>
      </c>
      <c r="O16">
        <f t="shared" si="2"/>
        <v>-133.27322464546299</v>
      </c>
      <c r="AC16" t="s">
        <v>5</v>
      </c>
      <c r="AD16" s="1">
        <v>34790</v>
      </c>
      <c r="AE16">
        <v>139640</v>
      </c>
      <c r="AF16">
        <v>302130802958.65002</v>
      </c>
      <c r="AG16">
        <v>-52.891251646279798</v>
      </c>
      <c r="AI16" t="s">
        <v>14</v>
      </c>
      <c r="AJ16" s="1">
        <v>34851</v>
      </c>
      <c r="AK16">
        <v>59299</v>
      </c>
      <c r="AL16">
        <v>215985123514.95001</v>
      </c>
      <c r="AM16">
        <v>-21.2032630399172</v>
      </c>
      <c r="AO16" s="1">
        <f t="shared" si="3"/>
        <v>34790</v>
      </c>
      <c r="AP16">
        <f t="shared" si="4"/>
        <v>-52.891251646279798</v>
      </c>
      <c r="AQ16">
        <f t="shared" si="5"/>
        <v>-75.078795554713395</v>
      </c>
    </row>
    <row r="17" spans="1:43" x14ac:dyDescent="0.25">
      <c r="A17" t="s">
        <v>9</v>
      </c>
      <c r="B17" s="1">
        <v>41548</v>
      </c>
      <c r="C17">
        <v>980</v>
      </c>
      <c r="D17">
        <v>37852364380.050003</v>
      </c>
      <c r="E17">
        <v>-62.648287022823503</v>
      </c>
      <c r="G17" t="s">
        <v>17</v>
      </c>
      <c r="H17" s="1">
        <v>41548</v>
      </c>
      <c r="I17">
        <v>1605</v>
      </c>
      <c r="J17">
        <v>24975426851.080002</v>
      </c>
      <c r="K17">
        <v>-134.35117425095299</v>
      </c>
      <c r="M17" s="1">
        <f t="shared" si="0"/>
        <v>41548</v>
      </c>
      <c r="N17">
        <f t="shared" si="1"/>
        <v>-62.648287022823503</v>
      </c>
      <c r="O17">
        <f t="shared" si="2"/>
        <v>-134.35117425095299</v>
      </c>
      <c r="AC17" t="s">
        <v>5</v>
      </c>
      <c r="AD17" s="1">
        <v>34820</v>
      </c>
      <c r="AE17">
        <v>140171</v>
      </c>
      <c r="AF17">
        <v>303193167019.19</v>
      </c>
      <c r="AG17">
        <v>-39.319677339747997</v>
      </c>
      <c r="AI17" t="s">
        <v>14</v>
      </c>
      <c r="AJ17" s="1">
        <v>34881</v>
      </c>
      <c r="AK17">
        <v>59982</v>
      </c>
      <c r="AL17">
        <v>218637993872.20999</v>
      </c>
      <c r="AM17">
        <v>19.917486663097801</v>
      </c>
      <c r="AO17" s="1">
        <f t="shared" si="3"/>
        <v>34820</v>
      </c>
      <c r="AP17">
        <f t="shared" si="4"/>
        <v>-39.319677339747997</v>
      </c>
      <c r="AQ17">
        <f t="shared" si="5"/>
        <v>-61.121694982616503</v>
      </c>
    </row>
    <row r="18" spans="1:43" x14ac:dyDescent="0.25">
      <c r="A18" t="s">
        <v>9</v>
      </c>
      <c r="B18" s="1">
        <v>41579</v>
      </c>
      <c r="C18">
        <v>1016</v>
      </c>
      <c r="D18">
        <v>38288256348.959999</v>
      </c>
      <c r="E18">
        <v>-45.487633837764001</v>
      </c>
      <c r="G18" t="s">
        <v>17</v>
      </c>
      <c r="H18" s="1">
        <v>41579</v>
      </c>
      <c r="I18">
        <v>1688</v>
      </c>
      <c r="J18">
        <v>25218431194.439999</v>
      </c>
      <c r="K18">
        <v>-103.647916321084</v>
      </c>
      <c r="M18" s="1">
        <f t="shared" si="0"/>
        <v>41579</v>
      </c>
      <c r="N18">
        <f t="shared" si="1"/>
        <v>-45.487633837764001</v>
      </c>
      <c r="O18">
        <f t="shared" si="2"/>
        <v>-103.647916321084</v>
      </c>
      <c r="AC18" t="s">
        <v>5</v>
      </c>
      <c r="AD18" s="1">
        <v>34851</v>
      </c>
      <c r="AE18">
        <v>140845</v>
      </c>
      <c r="AF18">
        <v>305276200958.66998</v>
      </c>
      <c r="AG18">
        <v>-6.6569488784758903E-5</v>
      </c>
      <c r="AI18" t="s">
        <v>14</v>
      </c>
      <c r="AJ18" s="1">
        <v>34912</v>
      </c>
      <c r="AK18">
        <v>60798</v>
      </c>
      <c r="AL18">
        <v>220537691305.53</v>
      </c>
      <c r="AM18">
        <v>16.997313949463798</v>
      </c>
      <c r="AO18" s="1">
        <f t="shared" si="3"/>
        <v>34851</v>
      </c>
      <c r="AP18">
        <f t="shared" si="4"/>
        <v>-6.6569488784758903E-5</v>
      </c>
      <c r="AQ18">
        <f t="shared" si="5"/>
        <v>-21.2032630399172</v>
      </c>
    </row>
    <row r="19" spans="1:43" x14ac:dyDescent="0.25">
      <c r="A19" t="s">
        <v>9</v>
      </c>
      <c r="B19" s="1">
        <v>41609</v>
      </c>
      <c r="C19">
        <v>1053</v>
      </c>
      <c r="D19">
        <v>38615010697.739998</v>
      </c>
      <c r="E19">
        <v>-49.419829842248298</v>
      </c>
      <c r="G19" t="s">
        <v>17</v>
      </c>
      <c r="H19" s="1">
        <v>41609</v>
      </c>
      <c r="I19">
        <v>1747</v>
      </c>
      <c r="J19">
        <v>25372731243.630001</v>
      </c>
      <c r="K19">
        <v>-109.350502471742</v>
      </c>
      <c r="M19" s="1">
        <f t="shared" si="0"/>
        <v>41609</v>
      </c>
      <c r="N19">
        <f t="shared" si="1"/>
        <v>-49.419829842248298</v>
      </c>
      <c r="O19">
        <f t="shared" si="2"/>
        <v>-109.350502471742</v>
      </c>
      <c r="AC19" t="s">
        <v>5</v>
      </c>
      <c r="AD19" s="1">
        <v>34881</v>
      </c>
      <c r="AE19">
        <v>141735</v>
      </c>
      <c r="AF19">
        <v>308579513635.09003</v>
      </c>
      <c r="AG19">
        <v>40.553582731563097</v>
      </c>
      <c r="AI19" t="s">
        <v>14</v>
      </c>
      <c r="AJ19" s="1">
        <v>34943</v>
      </c>
      <c r="AK19">
        <v>61701</v>
      </c>
      <c r="AL19">
        <v>223537636405.35001</v>
      </c>
      <c r="AM19">
        <v>-8.2961909418398108</v>
      </c>
      <c r="AO19" s="1">
        <f t="shared" si="3"/>
        <v>34881</v>
      </c>
      <c r="AP19">
        <f t="shared" si="4"/>
        <v>40.553582731563097</v>
      </c>
      <c r="AQ19">
        <f t="shared" si="5"/>
        <v>19.917486663097801</v>
      </c>
    </row>
    <row r="20" spans="1:43" x14ac:dyDescent="0.25">
      <c r="A20" t="s">
        <v>9</v>
      </c>
      <c r="B20" s="1">
        <v>41640</v>
      </c>
      <c r="C20">
        <v>1080</v>
      </c>
      <c r="D20">
        <v>39260930004.410004</v>
      </c>
      <c r="E20">
        <v>-60.579598474477301</v>
      </c>
      <c r="G20" t="s">
        <v>17</v>
      </c>
      <c r="H20" s="1">
        <v>41640</v>
      </c>
      <c r="I20">
        <v>1805</v>
      </c>
      <c r="J20">
        <v>25476399173.720001</v>
      </c>
      <c r="K20">
        <v>-127.15555161304199</v>
      </c>
      <c r="M20" s="1">
        <f t="shared" si="0"/>
        <v>41640</v>
      </c>
      <c r="N20">
        <f t="shared" si="1"/>
        <v>-60.579598474477301</v>
      </c>
      <c r="O20">
        <f t="shared" si="2"/>
        <v>-127.15555161304199</v>
      </c>
      <c r="AC20" t="s">
        <v>5</v>
      </c>
      <c r="AD20" s="1">
        <v>34912</v>
      </c>
      <c r="AE20">
        <v>142847</v>
      </c>
      <c r="AF20">
        <v>313306085244.25</v>
      </c>
      <c r="AG20">
        <v>37.048056268321403</v>
      </c>
      <c r="AI20" t="s">
        <v>14</v>
      </c>
      <c r="AJ20" s="1">
        <v>34973</v>
      </c>
      <c r="AK20">
        <v>62672</v>
      </c>
      <c r="AL20">
        <v>229405456728.67999</v>
      </c>
      <c r="AM20">
        <v>14.7477425367051</v>
      </c>
      <c r="AO20" s="1">
        <f t="shared" si="3"/>
        <v>34912</v>
      </c>
      <c r="AP20">
        <f t="shared" si="4"/>
        <v>37.048056268321403</v>
      </c>
      <c r="AQ20">
        <f t="shared" si="5"/>
        <v>16.997313949463798</v>
      </c>
    </row>
    <row r="21" spans="1:43" x14ac:dyDescent="0.25">
      <c r="A21" t="s">
        <v>9</v>
      </c>
      <c r="B21" s="1">
        <v>41671</v>
      </c>
      <c r="C21">
        <v>1104</v>
      </c>
      <c r="D21">
        <v>39416596215.529999</v>
      </c>
      <c r="E21">
        <v>-59.767667717389998</v>
      </c>
      <c r="G21" t="s">
        <v>17</v>
      </c>
      <c r="H21" s="1">
        <v>41671</v>
      </c>
      <c r="I21">
        <v>1854</v>
      </c>
      <c r="J21">
        <v>25558725588.619999</v>
      </c>
      <c r="K21">
        <v>-125.777614891456</v>
      </c>
      <c r="M21" s="1">
        <f t="shared" si="0"/>
        <v>41671</v>
      </c>
      <c r="N21">
        <f t="shared" si="1"/>
        <v>-59.767667717389998</v>
      </c>
      <c r="O21">
        <f t="shared" si="2"/>
        <v>-125.777614891456</v>
      </c>
      <c r="AC21" t="s">
        <v>5</v>
      </c>
      <c r="AD21" s="1">
        <v>34943</v>
      </c>
      <c r="AE21">
        <v>143912</v>
      </c>
      <c r="AF21">
        <v>317855864434.04999</v>
      </c>
      <c r="AG21">
        <v>11.468461852637001</v>
      </c>
      <c r="AI21" t="s">
        <v>14</v>
      </c>
      <c r="AJ21" s="1">
        <v>35004</v>
      </c>
      <c r="AK21">
        <v>63520</v>
      </c>
      <c r="AL21">
        <v>235258720640.07999</v>
      </c>
      <c r="AM21">
        <v>25.702523975573701</v>
      </c>
      <c r="AO21" s="1">
        <f t="shared" si="3"/>
        <v>34943</v>
      </c>
      <c r="AP21">
        <f t="shared" si="4"/>
        <v>11.468461852637001</v>
      </c>
      <c r="AQ21">
        <f t="shared" si="5"/>
        <v>-8.2961909418398108</v>
      </c>
    </row>
    <row r="22" spans="1:43" x14ac:dyDescent="0.25">
      <c r="A22" t="s">
        <v>9</v>
      </c>
      <c r="B22" s="1">
        <v>41699</v>
      </c>
      <c r="C22">
        <v>1126</v>
      </c>
      <c r="D22">
        <v>39507898369.230003</v>
      </c>
      <c r="E22">
        <v>-46.235751189946299</v>
      </c>
      <c r="G22" t="s">
        <v>17</v>
      </c>
      <c r="H22" s="1">
        <v>41699</v>
      </c>
      <c r="I22">
        <v>1900</v>
      </c>
      <c r="J22">
        <v>25637606597.049999</v>
      </c>
      <c r="K22">
        <v>-111.808903048659</v>
      </c>
      <c r="M22" s="1">
        <f t="shared" si="0"/>
        <v>41699</v>
      </c>
      <c r="N22">
        <f t="shared" si="1"/>
        <v>-46.235751189946299</v>
      </c>
      <c r="O22">
        <f t="shared" si="2"/>
        <v>-111.808903048659</v>
      </c>
      <c r="AC22" t="s">
        <v>5</v>
      </c>
      <c r="AD22" s="1">
        <v>34973</v>
      </c>
      <c r="AE22">
        <v>144902</v>
      </c>
      <c r="AF22">
        <v>321938074374.90002</v>
      </c>
      <c r="AG22">
        <v>33.879067380768298</v>
      </c>
      <c r="AI22" t="s">
        <v>14</v>
      </c>
      <c r="AJ22" s="1">
        <v>35034</v>
      </c>
      <c r="AK22">
        <v>64356</v>
      </c>
      <c r="AL22">
        <v>239238384049.14999</v>
      </c>
      <c r="AM22">
        <v>36.602948562794701</v>
      </c>
      <c r="AO22" s="1">
        <f t="shared" si="3"/>
        <v>34973</v>
      </c>
      <c r="AP22">
        <f t="shared" si="4"/>
        <v>33.879067380768298</v>
      </c>
      <c r="AQ22">
        <f t="shared" si="5"/>
        <v>14.7477425367051</v>
      </c>
    </row>
    <row r="23" spans="1:43" x14ac:dyDescent="0.25">
      <c r="A23" t="s">
        <v>9</v>
      </c>
      <c r="B23" s="1">
        <v>41730</v>
      </c>
      <c r="C23">
        <v>1146</v>
      </c>
      <c r="D23">
        <v>39554921006.989998</v>
      </c>
      <c r="E23">
        <v>-48.537303890717503</v>
      </c>
      <c r="G23" t="s">
        <v>17</v>
      </c>
      <c r="H23" s="1">
        <v>41730</v>
      </c>
      <c r="I23">
        <v>1945</v>
      </c>
      <c r="J23">
        <v>25659837687.27</v>
      </c>
      <c r="K23">
        <v>-113.525312667916</v>
      </c>
      <c r="M23" s="1">
        <f t="shared" si="0"/>
        <v>41730</v>
      </c>
      <c r="N23">
        <f t="shared" si="1"/>
        <v>-48.537303890717503</v>
      </c>
      <c r="O23">
        <f t="shared" si="2"/>
        <v>-113.525312667916</v>
      </c>
      <c r="AC23" t="s">
        <v>5</v>
      </c>
      <c r="AD23" s="1">
        <v>35004</v>
      </c>
      <c r="AE23">
        <v>145867</v>
      </c>
      <c r="AF23">
        <v>326586660235.34998</v>
      </c>
      <c r="AG23">
        <v>44.334779457127397</v>
      </c>
      <c r="AI23" t="s">
        <v>14</v>
      </c>
      <c r="AJ23" s="1">
        <v>35065</v>
      </c>
      <c r="AK23">
        <v>65235</v>
      </c>
      <c r="AL23">
        <v>242924225298.66</v>
      </c>
      <c r="AM23">
        <v>57.079058876851299</v>
      </c>
      <c r="AO23" s="1">
        <f t="shared" si="3"/>
        <v>35004</v>
      </c>
      <c r="AP23">
        <f t="shared" si="4"/>
        <v>44.334779457127397</v>
      </c>
      <c r="AQ23">
        <f t="shared" si="5"/>
        <v>25.702523975573701</v>
      </c>
    </row>
    <row r="24" spans="1:43" x14ac:dyDescent="0.25">
      <c r="A24" t="s">
        <v>9</v>
      </c>
      <c r="B24" s="1">
        <v>41760</v>
      </c>
      <c r="C24">
        <v>1161</v>
      </c>
      <c r="D24">
        <v>39534993055.339996</v>
      </c>
      <c r="E24">
        <v>-48.292821831268398</v>
      </c>
      <c r="G24" t="s">
        <v>17</v>
      </c>
      <c r="H24" s="1">
        <v>41760</v>
      </c>
      <c r="I24">
        <v>1977</v>
      </c>
      <c r="J24">
        <v>25645418956.459999</v>
      </c>
      <c r="K24">
        <v>-112.90089689935699</v>
      </c>
      <c r="M24" s="1">
        <f t="shared" si="0"/>
        <v>41760</v>
      </c>
      <c r="N24">
        <f t="shared" si="1"/>
        <v>-48.292821831268398</v>
      </c>
      <c r="O24">
        <f t="shared" si="2"/>
        <v>-112.90089689935699</v>
      </c>
      <c r="AC24" t="s">
        <v>5</v>
      </c>
      <c r="AD24" s="1">
        <v>35034</v>
      </c>
      <c r="AE24">
        <v>146882</v>
      </c>
      <c r="AF24">
        <v>331964887053.32001</v>
      </c>
      <c r="AG24">
        <v>54.334598198494803</v>
      </c>
      <c r="AI24" t="s">
        <v>14</v>
      </c>
      <c r="AJ24" s="1">
        <v>35096</v>
      </c>
      <c r="AK24">
        <v>66160</v>
      </c>
      <c r="AL24">
        <v>247706198611.98999</v>
      </c>
      <c r="AM24">
        <v>70.268500500616796</v>
      </c>
      <c r="AO24" s="1">
        <f t="shared" si="3"/>
        <v>35034</v>
      </c>
      <c r="AP24">
        <f t="shared" si="4"/>
        <v>54.334598198494803</v>
      </c>
      <c r="AQ24">
        <f t="shared" si="5"/>
        <v>36.602948562794701</v>
      </c>
    </row>
    <row r="25" spans="1:43" x14ac:dyDescent="0.25">
      <c r="A25" t="s">
        <v>9</v>
      </c>
      <c r="B25" s="1">
        <v>41791</v>
      </c>
      <c r="C25">
        <v>1174</v>
      </c>
      <c r="D25">
        <v>39463404393.919998</v>
      </c>
      <c r="E25">
        <v>-30.228446606036499</v>
      </c>
      <c r="G25" t="s">
        <v>17</v>
      </c>
      <c r="H25" s="1">
        <v>41791</v>
      </c>
      <c r="I25">
        <v>2006</v>
      </c>
      <c r="J25">
        <v>25616594460.360001</v>
      </c>
      <c r="K25">
        <v>-94.377972923056802</v>
      </c>
      <c r="M25" s="1">
        <f t="shared" si="0"/>
        <v>41791</v>
      </c>
      <c r="N25">
        <f t="shared" si="1"/>
        <v>-30.228446606036499</v>
      </c>
      <c r="O25">
        <f t="shared" si="2"/>
        <v>-94.377972923056802</v>
      </c>
      <c r="AC25" t="s">
        <v>5</v>
      </c>
      <c r="AD25" s="1">
        <v>35065</v>
      </c>
      <c r="AE25">
        <v>147919</v>
      </c>
      <c r="AF25">
        <v>337304062600.06</v>
      </c>
      <c r="AG25">
        <v>73.80587693295</v>
      </c>
      <c r="AI25" t="s">
        <v>14</v>
      </c>
      <c r="AJ25" s="1">
        <v>35125</v>
      </c>
      <c r="AK25">
        <v>67083</v>
      </c>
      <c r="AL25">
        <v>252451222078.59</v>
      </c>
      <c r="AM25">
        <v>57.947992102338901</v>
      </c>
      <c r="AO25" s="1">
        <f t="shared" si="3"/>
        <v>35065</v>
      </c>
      <c r="AP25">
        <f t="shared" si="4"/>
        <v>73.80587693295</v>
      </c>
      <c r="AQ25">
        <f t="shared" si="5"/>
        <v>57.079058876851299</v>
      </c>
    </row>
    <row r="26" spans="1:43" x14ac:dyDescent="0.25">
      <c r="A26" t="s">
        <v>9</v>
      </c>
      <c r="B26" s="1">
        <v>41821</v>
      </c>
      <c r="C26">
        <v>1188</v>
      </c>
      <c r="D26">
        <v>39388794194.209999</v>
      </c>
      <c r="E26">
        <v>-28.451148926212898</v>
      </c>
      <c r="G26" t="s">
        <v>17</v>
      </c>
      <c r="H26" s="1">
        <v>41821</v>
      </c>
      <c r="I26">
        <v>2033</v>
      </c>
      <c r="J26">
        <v>25567285813.18</v>
      </c>
      <c r="K26">
        <v>-92.212105662401001</v>
      </c>
      <c r="M26" s="1">
        <f t="shared" si="0"/>
        <v>41821</v>
      </c>
      <c r="N26">
        <f t="shared" si="1"/>
        <v>-28.451148926212898</v>
      </c>
      <c r="O26">
        <f t="shared" si="2"/>
        <v>-92.212105662401001</v>
      </c>
      <c r="AC26" t="s">
        <v>5</v>
      </c>
      <c r="AD26" s="1">
        <v>35096</v>
      </c>
      <c r="AE26">
        <v>148833</v>
      </c>
      <c r="AF26">
        <v>341672418203.37</v>
      </c>
      <c r="AG26">
        <v>86.695084960684298</v>
      </c>
      <c r="AI26" t="s">
        <v>14</v>
      </c>
      <c r="AJ26" s="1">
        <v>35156</v>
      </c>
      <c r="AK26">
        <v>68019</v>
      </c>
      <c r="AL26">
        <v>258576610453.45001</v>
      </c>
      <c r="AM26">
        <v>1.0816081929532999</v>
      </c>
      <c r="AO26" s="1">
        <f t="shared" si="3"/>
        <v>35096</v>
      </c>
      <c r="AP26">
        <f t="shared" si="4"/>
        <v>86.695084960684298</v>
      </c>
      <c r="AQ26">
        <f t="shared" si="5"/>
        <v>70.268500500616796</v>
      </c>
    </row>
    <row r="27" spans="1:43" x14ac:dyDescent="0.25">
      <c r="A27" t="s">
        <v>9</v>
      </c>
      <c r="B27" s="1">
        <v>41852</v>
      </c>
      <c r="C27">
        <v>1198</v>
      </c>
      <c r="D27">
        <v>39294654817.349998</v>
      </c>
      <c r="E27">
        <v>-26.436356749671798</v>
      </c>
      <c r="G27" t="s">
        <v>17</v>
      </c>
      <c r="H27" s="1">
        <v>41852</v>
      </c>
      <c r="I27">
        <v>2058</v>
      </c>
      <c r="J27">
        <v>25497572102.110001</v>
      </c>
      <c r="K27">
        <v>-89.815647356364394</v>
      </c>
      <c r="M27" s="1">
        <f t="shared" si="0"/>
        <v>41852</v>
      </c>
      <c r="N27">
        <f t="shared" si="1"/>
        <v>-26.436356749671798</v>
      </c>
      <c r="O27">
        <f t="shared" si="2"/>
        <v>-89.815647356364394</v>
      </c>
      <c r="AC27" t="s">
        <v>5</v>
      </c>
      <c r="AD27" s="1">
        <v>35125</v>
      </c>
      <c r="AE27">
        <v>149785</v>
      </c>
      <c r="AF27">
        <v>346545445220.38</v>
      </c>
      <c r="AG27">
        <v>73.372621068121205</v>
      </c>
      <c r="AI27" t="s">
        <v>14</v>
      </c>
      <c r="AJ27" s="1">
        <v>35186</v>
      </c>
      <c r="AK27">
        <v>68897</v>
      </c>
      <c r="AL27">
        <v>263680566665.75</v>
      </c>
      <c r="AM27">
        <v>-26.729540664991902</v>
      </c>
      <c r="AO27" s="1">
        <f t="shared" si="3"/>
        <v>35125</v>
      </c>
      <c r="AP27">
        <f t="shared" si="4"/>
        <v>73.372621068121205</v>
      </c>
      <c r="AQ27">
        <f t="shared" si="5"/>
        <v>57.947992102338901</v>
      </c>
    </row>
    <row r="28" spans="1:43" x14ac:dyDescent="0.25">
      <c r="A28" t="s">
        <v>9</v>
      </c>
      <c r="B28" s="1">
        <v>41883</v>
      </c>
      <c r="C28">
        <v>1209</v>
      </c>
      <c r="D28">
        <v>39192835810.529999</v>
      </c>
      <c r="E28">
        <v>-24.307789616980301</v>
      </c>
      <c r="G28" t="s">
        <v>17</v>
      </c>
      <c r="H28" s="1">
        <v>41883</v>
      </c>
      <c r="I28">
        <v>2081</v>
      </c>
      <c r="J28">
        <v>25426007923.25</v>
      </c>
      <c r="K28">
        <v>-87.250657491581407</v>
      </c>
      <c r="M28" s="1">
        <f t="shared" si="0"/>
        <v>41883</v>
      </c>
      <c r="N28">
        <f t="shared" si="1"/>
        <v>-24.307789616980301</v>
      </c>
      <c r="O28">
        <f t="shared" si="2"/>
        <v>-87.250657491581407</v>
      </c>
      <c r="AC28" t="s">
        <v>5</v>
      </c>
      <c r="AD28" s="1">
        <v>35156</v>
      </c>
      <c r="AE28">
        <v>150727</v>
      </c>
      <c r="AF28">
        <v>350465555808.21997</v>
      </c>
      <c r="AG28">
        <v>16.802985615711499</v>
      </c>
      <c r="AI28" t="s">
        <v>14</v>
      </c>
      <c r="AJ28" s="1">
        <v>35217</v>
      </c>
      <c r="AK28">
        <v>69782</v>
      </c>
      <c r="AL28">
        <v>266531739812.85999</v>
      </c>
      <c r="AM28">
        <v>-41.366815095228297</v>
      </c>
      <c r="AO28" s="1">
        <f t="shared" si="3"/>
        <v>35156</v>
      </c>
      <c r="AP28">
        <f t="shared" si="4"/>
        <v>16.802985615711499</v>
      </c>
      <c r="AQ28">
        <f t="shared" si="5"/>
        <v>1.0816081929532999</v>
      </c>
    </row>
    <row r="29" spans="1:43" x14ac:dyDescent="0.25">
      <c r="A29" t="s">
        <v>9</v>
      </c>
      <c r="B29" s="1">
        <v>41913</v>
      </c>
      <c r="C29">
        <v>1218</v>
      </c>
      <c r="D29">
        <v>39081676749.080002</v>
      </c>
      <c r="E29">
        <v>-27.1807041404975</v>
      </c>
      <c r="G29" t="s">
        <v>17</v>
      </c>
      <c r="H29" s="1">
        <v>41913</v>
      </c>
      <c r="I29">
        <v>2099</v>
      </c>
      <c r="J29">
        <v>25334386957.700001</v>
      </c>
      <c r="K29">
        <v>-89.912210708872095</v>
      </c>
      <c r="M29" s="1">
        <f t="shared" si="0"/>
        <v>41913</v>
      </c>
      <c r="N29">
        <f t="shared" si="1"/>
        <v>-27.1807041404975</v>
      </c>
      <c r="O29">
        <f t="shared" si="2"/>
        <v>-89.912210708872095</v>
      </c>
      <c r="AC29" t="s">
        <v>5</v>
      </c>
      <c r="AD29" s="1">
        <v>35186</v>
      </c>
      <c r="AE29">
        <v>151726</v>
      </c>
      <c r="AF29">
        <v>354683248452.60999</v>
      </c>
      <c r="AG29">
        <v>-11.141251034532401</v>
      </c>
      <c r="AI29" t="s">
        <v>14</v>
      </c>
      <c r="AJ29" s="1">
        <v>35247</v>
      </c>
      <c r="AK29">
        <v>70524</v>
      </c>
      <c r="AL29">
        <v>269946338845.72</v>
      </c>
      <c r="AM29">
        <v>-65.419892389318505</v>
      </c>
      <c r="AO29" s="1">
        <f t="shared" si="3"/>
        <v>35186</v>
      </c>
      <c r="AP29">
        <f t="shared" si="4"/>
        <v>-11.141251034532401</v>
      </c>
      <c r="AQ29">
        <f t="shared" si="5"/>
        <v>-26.729540664991902</v>
      </c>
    </row>
    <row r="30" spans="1:43" x14ac:dyDescent="0.25">
      <c r="A30" t="s">
        <v>9</v>
      </c>
      <c r="B30" s="1">
        <v>41944</v>
      </c>
      <c r="C30">
        <v>1229</v>
      </c>
      <c r="D30">
        <v>38971879224.970001</v>
      </c>
      <c r="E30">
        <v>-14.048690075435999</v>
      </c>
      <c r="G30" t="s">
        <v>17</v>
      </c>
      <c r="H30" s="1">
        <v>41944</v>
      </c>
      <c r="I30">
        <v>2118</v>
      </c>
      <c r="J30">
        <v>25256586100.18</v>
      </c>
      <c r="K30">
        <v>-76.566078925794201</v>
      </c>
      <c r="M30" s="1">
        <f t="shared" si="0"/>
        <v>41944</v>
      </c>
      <c r="N30">
        <f t="shared" si="1"/>
        <v>-14.048690075435999</v>
      </c>
      <c r="O30">
        <f t="shared" si="2"/>
        <v>-76.566078925794201</v>
      </c>
      <c r="AC30" t="s">
        <v>5</v>
      </c>
      <c r="AD30" s="1">
        <v>35217</v>
      </c>
      <c r="AE30">
        <v>152681</v>
      </c>
      <c r="AF30">
        <v>359153508694.62</v>
      </c>
      <c r="AG30">
        <v>-27.025705216154499</v>
      </c>
      <c r="AI30" t="s">
        <v>14</v>
      </c>
      <c r="AJ30" s="1">
        <v>35278</v>
      </c>
      <c r="AK30">
        <v>71320</v>
      </c>
      <c r="AL30">
        <v>275359751202.96997</v>
      </c>
      <c r="AM30">
        <v>-59.163322787928301</v>
      </c>
      <c r="AO30" s="1">
        <f t="shared" si="3"/>
        <v>35217</v>
      </c>
      <c r="AP30">
        <f t="shared" si="4"/>
        <v>-27.025705216154499</v>
      </c>
      <c r="AQ30">
        <f t="shared" si="5"/>
        <v>-41.366815095228297</v>
      </c>
    </row>
    <row r="31" spans="1:43" x14ac:dyDescent="0.25">
      <c r="A31" t="s">
        <v>9</v>
      </c>
      <c r="B31" s="1">
        <v>41974</v>
      </c>
      <c r="C31">
        <v>1234</v>
      </c>
      <c r="D31">
        <v>38837765170.470001</v>
      </c>
      <c r="E31">
        <v>-10.699386254322199</v>
      </c>
      <c r="G31" t="s">
        <v>17</v>
      </c>
      <c r="H31" s="1">
        <v>41974</v>
      </c>
      <c r="I31">
        <v>2137</v>
      </c>
      <c r="J31">
        <v>25157857048.23</v>
      </c>
      <c r="K31">
        <v>-72.977874146437202</v>
      </c>
      <c r="M31" s="1">
        <f t="shared" si="0"/>
        <v>41974</v>
      </c>
      <c r="N31">
        <f t="shared" si="1"/>
        <v>-10.699386254322199</v>
      </c>
      <c r="O31">
        <f t="shared" si="2"/>
        <v>-72.977874146437202</v>
      </c>
      <c r="AC31" t="s">
        <v>5</v>
      </c>
      <c r="AD31" s="1">
        <v>35247</v>
      </c>
      <c r="AE31">
        <v>153592</v>
      </c>
      <c r="AF31">
        <v>364145909105.21997</v>
      </c>
      <c r="AG31">
        <v>-51.6844389360717</v>
      </c>
      <c r="AI31" t="s">
        <v>14</v>
      </c>
      <c r="AJ31" s="1">
        <v>35309</v>
      </c>
      <c r="AK31">
        <v>72068</v>
      </c>
      <c r="AL31">
        <v>279116219901</v>
      </c>
      <c r="AM31">
        <v>-32.855937057378398</v>
      </c>
      <c r="AO31" s="1">
        <f t="shared" si="3"/>
        <v>35247</v>
      </c>
      <c r="AP31">
        <f t="shared" si="4"/>
        <v>-51.6844389360717</v>
      </c>
      <c r="AQ31">
        <f t="shared" si="5"/>
        <v>-65.419892389318505</v>
      </c>
    </row>
    <row r="32" spans="1:43" x14ac:dyDescent="0.25">
      <c r="A32" t="s">
        <v>9</v>
      </c>
      <c r="B32" s="1">
        <v>42005</v>
      </c>
      <c r="C32">
        <v>1244</v>
      </c>
      <c r="D32">
        <v>38713428394.529999</v>
      </c>
      <c r="E32">
        <v>1.61666270073981</v>
      </c>
      <c r="G32" t="s">
        <v>17</v>
      </c>
      <c r="H32" s="1">
        <v>42005</v>
      </c>
      <c r="I32">
        <v>2158</v>
      </c>
      <c r="J32">
        <v>25084444553.189999</v>
      </c>
      <c r="K32">
        <v>-60.198785783990601</v>
      </c>
      <c r="M32" s="1">
        <f t="shared" si="0"/>
        <v>42005</v>
      </c>
      <c r="N32">
        <f t="shared" si="1"/>
        <v>1.61666270073981</v>
      </c>
      <c r="O32">
        <f t="shared" si="2"/>
        <v>-60.198785783990601</v>
      </c>
      <c r="AC32" t="s">
        <v>5</v>
      </c>
      <c r="AD32" s="1">
        <v>35278</v>
      </c>
      <c r="AE32">
        <v>154353</v>
      </c>
      <c r="AF32">
        <v>367843583423.22998</v>
      </c>
      <c r="AG32">
        <v>-45.293594107300201</v>
      </c>
      <c r="AI32" t="s">
        <v>14</v>
      </c>
      <c r="AJ32" s="1">
        <v>35339</v>
      </c>
      <c r="AK32">
        <v>72680</v>
      </c>
      <c r="AL32">
        <v>282696691198.75</v>
      </c>
      <c r="AM32">
        <v>-54.8934445788977</v>
      </c>
      <c r="AO32" s="1">
        <f t="shared" si="3"/>
        <v>35278</v>
      </c>
      <c r="AP32">
        <f t="shared" si="4"/>
        <v>-45.293594107300201</v>
      </c>
      <c r="AQ32">
        <f t="shared" si="5"/>
        <v>-59.163322787928301</v>
      </c>
    </row>
    <row r="33" spans="1:43" x14ac:dyDescent="0.25">
      <c r="A33" t="s">
        <v>9</v>
      </c>
      <c r="B33" s="1">
        <v>42036</v>
      </c>
      <c r="C33">
        <v>1251</v>
      </c>
      <c r="D33">
        <v>38563701206.080002</v>
      </c>
      <c r="E33">
        <v>67.918233499808494</v>
      </c>
      <c r="G33" t="s">
        <v>17</v>
      </c>
      <c r="H33" s="1">
        <v>42036</v>
      </c>
      <c r="I33">
        <v>2177</v>
      </c>
      <c r="J33">
        <v>24979796045.34</v>
      </c>
      <c r="K33">
        <v>5.9604157706016299</v>
      </c>
      <c r="M33" s="1">
        <f t="shared" si="0"/>
        <v>42036</v>
      </c>
      <c r="N33">
        <f t="shared" si="1"/>
        <v>67.918233499808494</v>
      </c>
      <c r="O33">
        <f t="shared" si="2"/>
        <v>5.9604157706016299</v>
      </c>
      <c r="AC33" t="s">
        <v>5</v>
      </c>
      <c r="AD33" s="1">
        <v>35309</v>
      </c>
      <c r="AE33">
        <v>155081</v>
      </c>
      <c r="AF33">
        <v>370513413856.09998</v>
      </c>
      <c r="AG33">
        <v>-19.3083534553754</v>
      </c>
      <c r="AI33" t="s">
        <v>14</v>
      </c>
      <c r="AJ33" s="1">
        <v>35370</v>
      </c>
      <c r="AK33">
        <v>73401</v>
      </c>
      <c r="AL33">
        <v>286599324454.46997</v>
      </c>
      <c r="AM33">
        <v>-21.052065942080102</v>
      </c>
      <c r="AO33" s="1">
        <f t="shared" si="3"/>
        <v>35309</v>
      </c>
      <c r="AP33">
        <f t="shared" si="4"/>
        <v>-19.3083534553754</v>
      </c>
      <c r="AQ33">
        <f t="shared" si="5"/>
        <v>-32.855937057378398</v>
      </c>
    </row>
    <row r="34" spans="1:43" x14ac:dyDescent="0.25">
      <c r="A34" t="s">
        <v>9</v>
      </c>
      <c r="B34" s="1">
        <v>42064</v>
      </c>
      <c r="C34">
        <v>1258</v>
      </c>
      <c r="D34">
        <v>38419602868.800003</v>
      </c>
      <c r="E34">
        <v>63.865349111988699</v>
      </c>
      <c r="G34" t="s">
        <v>17</v>
      </c>
      <c r="H34" s="1">
        <v>42064</v>
      </c>
      <c r="I34">
        <v>2196</v>
      </c>
      <c r="J34">
        <v>24896056870.400002</v>
      </c>
      <c r="K34">
        <v>2.1871529997846499</v>
      </c>
      <c r="M34" s="1">
        <f t="shared" si="0"/>
        <v>42064</v>
      </c>
      <c r="N34">
        <f t="shared" si="1"/>
        <v>63.865349111988699</v>
      </c>
      <c r="O34">
        <f t="shared" si="2"/>
        <v>2.1871529997846499</v>
      </c>
      <c r="AC34" t="s">
        <v>5</v>
      </c>
      <c r="AD34" s="1">
        <v>35339</v>
      </c>
      <c r="AE34">
        <v>155900</v>
      </c>
      <c r="AF34">
        <v>375154945459.59998</v>
      </c>
      <c r="AG34">
        <v>-41.360699931251702</v>
      </c>
      <c r="AI34" t="s">
        <v>14</v>
      </c>
      <c r="AJ34" s="1">
        <v>35400</v>
      </c>
      <c r="AK34">
        <v>74137</v>
      </c>
      <c r="AL34">
        <v>289245055308.17999</v>
      </c>
      <c r="AM34">
        <v>9.6920277960592198</v>
      </c>
      <c r="AO34" s="1">
        <f t="shared" si="3"/>
        <v>35339</v>
      </c>
      <c r="AP34">
        <f t="shared" si="4"/>
        <v>-41.360699931251702</v>
      </c>
      <c r="AQ34">
        <f t="shared" si="5"/>
        <v>-54.8934445788977</v>
      </c>
    </row>
    <row r="35" spans="1:43" x14ac:dyDescent="0.25">
      <c r="A35" t="s">
        <v>9</v>
      </c>
      <c r="B35" s="1">
        <v>42095</v>
      </c>
      <c r="C35">
        <v>1267</v>
      </c>
      <c r="D35">
        <v>38264484535.919998</v>
      </c>
      <c r="E35">
        <v>58.409590278901</v>
      </c>
      <c r="G35" t="s">
        <v>17</v>
      </c>
      <c r="H35" s="1">
        <v>42095</v>
      </c>
      <c r="I35">
        <v>2218</v>
      </c>
      <c r="J35">
        <v>24790138675.59</v>
      </c>
      <c r="K35">
        <v>-2.8118366638899799</v>
      </c>
      <c r="M35" s="1">
        <f t="shared" si="0"/>
        <v>42095</v>
      </c>
      <c r="N35">
        <f t="shared" si="1"/>
        <v>58.409590278901</v>
      </c>
      <c r="O35">
        <f t="shared" si="2"/>
        <v>-2.8118366638899799</v>
      </c>
      <c r="AC35" t="s">
        <v>5</v>
      </c>
      <c r="AD35" s="1">
        <v>35370</v>
      </c>
      <c r="AE35">
        <v>156553</v>
      </c>
      <c r="AF35">
        <v>378164550622.22998</v>
      </c>
      <c r="AG35">
        <v>-7.5854356093352502</v>
      </c>
      <c r="AI35" t="s">
        <v>14</v>
      </c>
      <c r="AJ35" s="1">
        <v>35490</v>
      </c>
      <c r="AK35">
        <v>76146</v>
      </c>
      <c r="AL35">
        <v>305558806072.76001</v>
      </c>
      <c r="AM35">
        <v>4.0447905323333098</v>
      </c>
      <c r="AO35" s="1">
        <f t="shared" si="3"/>
        <v>35370</v>
      </c>
      <c r="AP35">
        <f t="shared" si="4"/>
        <v>-7.5854356093352502</v>
      </c>
      <c r="AQ35">
        <f t="shared" si="5"/>
        <v>-21.052065942080102</v>
      </c>
    </row>
    <row r="36" spans="1:43" x14ac:dyDescent="0.25">
      <c r="A36" t="s">
        <v>9</v>
      </c>
      <c r="B36" s="1">
        <v>42125</v>
      </c>
      <c r="C36">
        <v>1274</v>
      </c>
      <c r="D36">
        <v>38076849573.309998</v>
      </c>
      <c r="E36">
        <v>67.612591644728795</v>
      </c>
      <c r="G36" t="s">
        <v>17</v>
      </c>
      <c r="H36" s="1">
        <v>42125</v>
      </c>
      <c r="I36">
        <v>2238</v>
      </c>
      <c r="J36">
        <v>24665061611.119999</v>
      </c>
      <c r="K36">
        <v>6.8399778964225</v>
      </c>
      <c r="M36" s="1">
        <f t="shared" si="0"/>
        <v>42125</v>
      </c>
      <c r="N36">
        <f t="shared" si="1"/>
        <v>67.612591644728795</v>
      </c>
      <c r="O36">
        <f t="shared" si="2"/>
        <v>6.8399778964225</v>
      </c>
      <c r="AC36" t="s">
        <v>5</v>
      </c>
      <c r="AD36" s="1">
        <v>35400</v>
      </c>
      <c r="AE36">
        <v>157183</v>
      </c>
      <c r="AF36">
        <v>380573155397.19</v>
      </c>
      <c r="AG36">
        <v>23.0542103502566</v>
      </c>
      <c r="AI36" t="s">
        <v>14</v>
      </c>
      <c r="AJ36" s="1">
        <v>35521</v>
      </c>
      <c r="AK36">
        <v>76726</v>
      </c>
      <c r="AL36">
        <v>308203632776.14001</v>
      </c>
      <c r="AM36">
        <v>-22.042560771180302</v>
      </c>
      <c r="AO36" s="1">
        <f t="shared" si="3"/>
        <v>35400</v>
      </c>
      <c r="AP36">
        <f t="shared" si="4"/>
        <v>23.0542103502566</v>
      </c>
      <c r="AQ36">
        <f t="shared" si="5"/>
        <v>9.6920277960592198</v>
      </c>
    </row>
    <row r="37" spans="1:43" x14ac:dyDescent="0.25">
      <c r="A37" t="s">
        <v>9</v>
      </c>
      <c r="B37" s="1">
        <v>42156</v>
      </c>
      <c r="C37">
        <v>1284</v>
      </c>
      <c r="D37">
        <v>37874463420.110001</v>
      </c>
      <c r="E37">
        <v>50.549987638122801</v>
      </c>
      <c r="G37" t="s">
        <v>17</v>
      </c>
      <c r="H37" s="1">
        <v>42156</v>
      </c>
      <c r="I37">
        <v>2253</v>
      </c>
      <c r="J37">
        <v>24529470414.07</v>
      </c>
      <c r="K37">
        <v>-9.6300170607497293</v>
      </c>
      <c r="M37" s="1">
        <f t="shared" si="0"/>
        <v>42156</v>
      </c>
      <c r="N37">
        <f t="shared" si="1"/>
        <v>50.549987638122801</v>
      </c>
      <c r="O37">
        <f t="shared" si="2"/>
        <v>-9.6300170607497293</v>
      </c>
      <c r="AC37" t="s">
        <v>5</v>
      </c>
      <c r="AD37" s="1">
        <v>35431</v>
      </c>
      <c r="AE37">
        <v>157961</v>
      </c>
      <c r="AF37">
        <v>383579286284.32001</v>
      </c>
      <c r="AG37">
        <v>22.796278494596301</v>
      </c>
      <c r="AI37" t="s">
        <v>14</v>
      </c>
      <c r="AJ37" s="1">
        <v>35551</v>
      </c>
      <c r="AK37">
        <v>77198</v>
      </c>
      <c r="AL37">
        <v>310466649017.64001</v>
      </c>
      <c r="AM37">
        <v>-45.856152532617202</v>
      </c>
      <c r="AO37" s="1">
        <f t="shared" si="3"/>
        <v>35431</v>
      </c>
      <c r="AP37">
        <f t="shared" si="4"/>
        <v>22.796278494596301</v>
      </c>
      <c r="AQ37" t="e">
        <f t="shared" si="5"/>
        <v>#N/A</v>
      </c>
    </row>
    <row r="38" spans="1:43" x14ac:dyDescent="0.25">
      <c r="A38" t="s">
        <v>9</v>
      </c>
      <c r="B38" s="1">
        <v>42186</v>
      </c>
      <c r="C38">
        <v>1291</v>
      </c>
      <c r="D38">
        <v>37654575557.940002</v>
      </c>
      <c r="E38">
        <v>35.583148137805303</v>
      </c>
      <c r="G38" t="s">
        <v>17</v>
      </c>
      <c r="H38" s="1">
        <v>42186</v>
      </c>
      <c r="I38">
        <v>2270</v>
      </c>
      <c r="J38">
        <v>24378497038.580002</v>
      </c>
      <c r="K38">
        <v>-24.150102846960898</v>
      </c>
      <c r="M38" s="1">
        <f t="shared" si="0"/>
        <v>42186</v>
      </c>
      <c r="N38">
        <f t="shared" si="1"/>
        <v>35.583148137805303</v>
      </c>
      <c r="O38">
        <f t="shared" si="2"/>
        <v>-24.150102846960898</v>
      </c>
      <c r="AC38" t="s">
        <v>5</v>
      </c>
      <c r="AD38" s="1">
        <v>35462</v>
      </c>
      <c r="AE38">
        <v>158587</v>
      </c>
      <c r="AF38">
        <v>385622880966.02002</v>
      </c>
      <c r="AG38">
        <v>-1.0923566236545901</v>
      </c>
      <c r="AI38" t="s">
        <v>14</v>
      </c>
      <c r="AJ38" s="1">
        <v>35582</v>
      </c>
      <c r="AK38">
        <v>77710</v>
      </c>
      <c r="AL38">
        <v>312256914058.41998</v>
      </c>
      <c r="AM38">
        <v>-24.248140550149699</v>
      </c>
      <c r="AO38" s="1">
        <f t="shared" si="3"/>
        <v>35462</v>
      </c>
      <c r="AP38">
        <f t="shared" si="4"/>
        <v>-1.0923566236545901</v>
      </c>
      <c r="AQ38" t="e">
        <f t="shared" si="5"/>
        <v>#N/A</v>
      </c>
    </row>
    <row r="39" spans="1:43" x14ac:dyDescent="0.25">
      <c r="A39" t="s">
        <v>9</v>
      </c>
      <c r="B39" s="1">
        <v>42217</v>
      </c>
      <c r="C39">
        <v>1300</v>
      </c>
      <c r="D39">
        <v>37410876254.669998</v>
      </c>
      <c r="E39">
        <v>30.357298785614098</v>
      </c>
      <c r="G39" t="s">
        <v>17</v>
      </c>
      <c r="H39" s="1">
        <v>42217</v>
      </c>
      <c r="I39">
        <v>2283</v>
      </c>
      <c r="J39">
        <v>24214652965.389999</v>
      </c>
      <c r="K39">
        <v>-28.8829479268081</v>
      </c>
      <c r="M39" s="1">
        <f t="shared" si="0"/>
        <v>42217</v>
      </c>
      <c r="N39">
        <f t="shared" si="1"/>
        <v>30.357298785614098</v>
      </c>
      <c r="O39">
        <f t="shared" si="2"/>
        <v>-28.8829479268081</v>
      </c>
      <c r="AC39" t="s">
        <v>5</v>
      </c>
      <c r="AD39" s="1">
        <v>35490</v>
      </c>
      <c r="AE39">
        <v>159328</v>
      </c>
      <c r="AF39">
        <v>388944585913.88</v>
      </c>
      <c r="AG39">
        <v>17.7545891340365</v>
      </c>
      <c r="AI39" t="s">
        <v>14</v>
      </c>
      <c r="AJ39" s="1">
        <v>35612</v>
      </c>
      <c r="AK39">
        <v>78238</v>
      </c>
      <c r="AL39">
        <v>315317531887.77002</v>
      </c>
      <c r="AM39">
        <v>0.68787861263028405</v>
      </c>
      <c r="AO39" s="1">
        <f t="shared" si="3"/>
        <v>35490</v>
      </c>
      <c r="AP39">
        <f t="shared" si="4"/>
        <v>17.7545891340365</v>
      </c>
      <c r="AQ39">
        <f t="shared" si="5"/>
        <v>4.0447905323333098</v>
      </c>
    </row>
    <row r="40" spans="1:43" x14ac:dyDescent="0.25">
      <c r="A40" t="s">
        <v>9</v>
      </c>
      <c r="B40" s="1">
        <v>42248</v>
      </c>
      <c r="C40">
        <v>1307</v>
      </c>
      <c r="D40">
        <v>37159487080.809998</v>
      </c>
      <c r="E40">
        <v>44.525723729493798</v>
      </c>
      <c r="G40" t="s">
        <v>17</v>
      </c>
      <c r="H40" s="1">
        <v>42248</v>
      </c>
      <c r="I40">
        <v>2300</v>
      </c>
      <c r="J40">
        <v>24053767752.169998</v>
      </c>
      <c r="K40">
        <v>-13.8030513920832</v>
      </c>
      <c r="M40" s="1">
        <f t="shared" si="0"/>
        <v>42248</v>
      </c>
      <c r="N40">
        <f t="shared" si="1"/>
        <v>44.525723729493798</v>
      </c>
      <c r="O40">
        <f t="shared" si="2"/>
        <v>-13.8030513920832</v>
      </c>
      <c r="AC40" t="s">
        <v>5</v>
      </c>
      <c r="AD40" s="1">
        <v>35521</v>
      </c>
      <c r="AE40">
        <v>160031</v>
      </c>
      <c r="AF40">
        <v>391996345649.14001</v>
      </c>
      <c r="AG40">
        <v>-8.7564069974089804</v>
      </c>
      <c r="AI40" t="s">
        <v>14</v>
      </c>
      <c r="AJ40" s="1">
        <v>35643</v>
      </c>
      <c r="AK40">
        <v>78728</v>
      </c>
      <c r="AL40">
        <v>318968926684.46997</v>
      </c>
      <c r="AM40">
        <v>21.575670795737</v>
      </c>
      <c r="AO40" s="1">
        <f t="shared" si="3"/>
        <v>35521</v>
      </c>
      <c r="AP40">
        <f t="shared" si="4"/>
        <v>-8.7564069974089804</v>
      </c>
      <c r="AQ40">
        <f t="shared" si="5"/>
        <v>-22.042560771180302</v>
      </c>
    </row>
    <row r="41" spans="1:43" x14ac:dyDescent="0.25">
      <c r="A41" t="s">
        <v>9</v>
      </c>
      <c r="B41" s="1">
        <v>42278</v>
      </c>
      <c r="C41">
        <v>1315</v>
      </c>
      <c r="D41">
        <v>36939526623.260002</v>
      </c>
      <c r="E41">
        <v>46.249421229718401</v>
      </c>
      <c r="G41" t="s">
        <v>17</v>
      </c>
      <c r="H41" s="1">
        <v>42278</v>
      </c>
      <c r="I41">
        <v>2317</v>
      </c>
      <c r="J41">
        <v>23899278644.869999</v>
      </c>
      <c r="K41">
        <v>-11.673523851042701</v>
      </c>
      <c r="M41" s="1">
        <f t="shared" si="0"/>
        <v>42278</v>
      </c>
      <c r="N41">
        <f t="shared" si="1"/>
        <v>46.249421229718401</v>
      </c>
      <c r="O41">
        <f t="shared" si="2"/>
        <v>-11.673523851042701</v>
      </c>
      <c r="AC41" t="s">
        <v>5</v>
      </c>
      <c r="AD41" s="1">
        <v>35551</v>
      </c>
      <c r="AE41">
        <v>160667</v>
      </c>
      <c r="AF41">
        <v>394401986179.65997</v>
      </c>
      <c r="AG41">
        <v>-32.772252938616397</v>
      </c>
      <c r="AI41" t="s">
        <v>14</v>
      </c>
      <c r="AJ41" s="1">
        <v>35674</v>
      </c>
      <c r="AK41">
        <v>79279</v>
      </c>
      <c r="AL41">
        <v>322889944513.82001</v>
      </c>
      <c r="AM41">
        <v>18.532608215224101</v>
      </c>
      <c r="AO41" s="1">
        <f t="shared" si="3"/>
        <v>35551</v>
      </c>
      <c r="AP41">
        <f t="shared" si="4"/>
        <v>-32.772252938616397</v>
      </c>
      <c r="AQ41">
        <f t="shared" si="5"/>
        <v>-45.856152532617202</v>
      </c>
    </row>
    <row r="42" spans="1:43" x14ac:dyDescent="0.25">
      <c r="A42" t="s">
        <v>9</v>
      </c>
      <c r="B42" s="1">
        <v>42309</v>
      </c>
      <c r="C42">
        <v>1328</v>
      </c>
      <c r="D42">
        <v>36789617512.57</v>
      </c>
      <c r="E42">
        <v>56.490383795383401</v>
      </c>
      <c r="G42" t="s">
        <v>17</v>
      </c>
      <c r="H42" s="1">
        <v>42309</v>
      </c>
      <c r="I42">
        <v>2330</v>
      </c>
      <c r="J42">
        <v>23731834948.119999</v>
      </c>
      <c r="K42">
        <v>-0.91357517275061695</v>
      </c>
      <c r="M42" s="1">
        <f t="shared" si="0"/>
        <v>42309</v>
      </c>
      <c r="N42">
        <f t="shared" si="1"/>
        <v>56.490383795383401</v>
      </c>
      <c r="O42">
        <f t="shared" si="2"/>
        <v>-0.91357517275061695</v>
      </c>
      <c r="AC42" t="s">
        <v>5</v>
      </c>
      <c r="AD42" s="1">
        <v>35582</v>
      </c>
      <c r="AE42">
        <v>161332</v>
      </c>
      <c r="AF42">
        <v>397650299517.78003</v>
      </c>
      <c r="AG42">
        <v>-11.4676491395222</v>
      </c>
      <c r="AI42" t="s">
        <v>14</v>
      </c>
      <c r="AJ42" s="1">
        <v>35704</v>
      </c>
      <c r="AK42">
        <v>79818</v>
      </c>
      <c r="AL42">
        <v>326223233406.87</v>
      </c>
      <c r="AM42">
        <v>26.788520723141101</v>
      </c>
      <c r="AO42" s="1">
        <f t="shared" si="3"/>
        <v>35582</v>
      </c>
      <c r="AP42">
        <f t="shared" si="4"/>
        <v>-11.4676491395222</v>
      </c>
      <c r="AQ42">
        <f t="shared" si="5"/>
        <v>-24.248140550149699</v>
      </c>
    </row>
    <row r="43" spans="1:43" x14ac:dyDescent="0.25">
      <c r="A43" t="s">
        <v>9</v>
      </c>
      <c r="B43" s="1">
        <v>42339</v>
      </c>
      <c r="C43">
        <v>1332</v>
      </c>
      <c r="D43">
        <v>36550588239.07</v>
      </c>
      <c r="E43">
        <v>39.736103753823599</v>
      </c>
      <c r="G43" t="s">
        <v>17</v>
      </c>
      <c r="H43" s="1">
        <v>42339</v>
      </c>
      <c r="I43">
        <v>2346</v>
      </c>
      <c r="J43">
        <v>23575272898.580002</v>
      </c>
      <c r="K43">
        <v>-17.274150702141402</v>
      </c>
      <c r="M43" s="1">
        <f t="shared" si="0"/>
        <v>42339</v>
      </c>
      <c r="N43">
        <f t="shared" si="1"/>
        <v>39.736103753823599</v>
      </c>
      <c r="O43">
        <f t="shared" si="2"/>
        <v>-17.274150702141402</v>
      </c>
      <c r="AC43" t="s">
        <v>5</v>
      </c>
      <c r="AD43" s="1">
        <v>35612</v>
      </c>
      <c r="AE43">
        <v>161858</v>
      </c>
      <c r="AF43">
        <v>399661358461.85999</v>
      </c>
      <c r="AG43">
        <v>13.126083546266001</v>
      </c>
      <c r="AI43" t="s">
        <v>14</v>
      </c>
      <c r="AJ43" s="1">
        <v>35735</v>
      </c>
      <c r="AK43">
        <v>80470</v>
      </c>
      <c r="AL43">
        <v>331462404329.59998</v>
      </c>
      <c r="AM43">
        <v>39.657573182275598</v>
      </c>
      <c r="AO43" s="1">
        <f t="shared" si="3"/>
        <v>35612</v>
      </c>
      <c r="AP43">
        <f t="shared" si="4"/>
        <v>13.126083546266001</v>
      </c>
      <c r="AQ43">
        <f t="shared" si="5"/>
        <v>0.68787861263028405</v>
      </c>
    </row>
    <row r="44" spans="1:43" x14ac:dyDescent="0.25">
      <c r="A44" t="s">
        <v>9</v>
      </c>
      <c r="B44" s="1">
        <v>42370</v>
      </c>
      <c r="C44">
        <v>1339</v>
      </c>
      <c r="D44">
        <v>36350171434.389999</v>
      </c>
      <c r="E44">
        <v>38.149729553116202</v>
      </c>
      <c r="G44" t="s">
        <v>17</v>
      </c>
      <c r="H44" s="1">
        <v>42370</v>
      </c>
      <c r="I44">
        <v>2356</v>
      </c>
      <c r="J44">
        <v>23422747348.59</v>
      </c>
      <c r="K44">
        <v>-18.3181586768705</v>
      </c>
      <c r="M44" s="1">
        <f t="shared" si="0"/>
        <v>42370</v>
      </c>
      <c r="N44">
        <f t="shared" si="1"/>
        <v>38.149729553116202</v>
      </c>
      <c r="O44">
        <f t="shared" si="2"/>
        <v>-18.3181586768705</v>
      </c>
      <c r="AC44" t="s">
        <v>5</v>
      </c>
      <c r="AD44" s="1">
        <v>35643</v>
      </c>
      <c r="AE44">
        <v>162531</v>
      </c>
      <c r="AF44">
        <v>402473247826.06</v>
      </c>
      <c r="AG44">
        <v>33.939855558452599</v>
      </c>
      <c r="AI44" t="s">
        <v>14</v>
      </c>
      <c r="AJ44" s="1">
        <v>35765</v>
      </c>
      <c r="AK44">
        <v>81105</v>
      </c>
      <c r="AL44">
        <v>335920440468.38</v>
      </c>
      <c r="AM44">
        <v>47.1621720387297</v>
      </c>
      <c r="AO44" s="1">
        <f t="shared" si="3"/>
        <v>35643</v>
      </c>
      <c r="AP44">
        <f t="shared" si="4"/>
        <v>33.939855558452599</v>
      </c>
      <c r="AQ44">
        <f t="shared" si="5"/>
        <v>21.575670795737</v>
      </c>
    </row>
    <row r="45" spans="1:43" x14ac:dyDescent="0.25">
      <c r="A45" t="s">
        <v>9</v>
      </c>
      <c r="B45" s="1">
        <v>42401</v>
      </c>
      <c r="C45">
        <v>1343</v>
      </c>
      <c r="D45">
        <v>36103641907.169998</v>
      </c>
      <c r="E45">
        <v>47.213772760229098</v>
      </c>
      <c r="G45" t="s">
        <v>17</v>
      </c>
      <c r="H45" s="1">
        <v>42401</v>
      </c>
      <c r="I45">
        <v>2368</v>
      </c>
      <c r="J45">
        <v>23264052426.27</v>
      </c>
      <c r="K45">
        <v>-8.6882928588546395</v>
      </c>
      <c r="M45" s="1">
        <f t="shared" si="0"/>
        <v>42401</v>
      </c>
      <c r="N45">
        <f t="shared" si="1"/>
        <v>47.213772760229098</v>
      </c>
      <c r="O45">
        <f t="shared" si="2"/>
        <v>-8.6882928588546395</v>
      </c>
      <c r="AC45" t="s">
        <v>5</v>
      </c>
      <c r="AD45" s="1">
        <v>35674</v>
      </c>
      <c r="AE45">
        <v>163328</v>
      </c>
      <c r="AF45">
        <v>407135000510.78003</v>
      </c>
      <c r="AG45">
        <v>30.636101307887699</v>
      </c>
      <c r="AI45" t="s">
        <v>14</v>
      </c>
      <c r="AJ45" s="1">
        <v>35796</v>
      </c>
      <c r="AK45">
        <v>81826</v>
      </c>
      <c r="AL45">
        <v>341078292801.59998</v>
      </c>
      <c r="AM45">
        <v>55.090828346516098</v>
      </c>
      <c r="AO45" s="1">
        <f t="shared" si="3"/>
        <v>35674</v>
      </c>
      <c r="AP45">
        <f t="shared" si="4"/>
        <v>30.636101307887699</v>
      </c>
      <c r="AQ45">
        <f t="shared" si="5"/>
        <v>18.532608215224101</v>
      </c>
    </row>
    <row r="46" spans="1:43" x14ac:dyDescent="0.25">
      <c r="A46" t="s">
        <v>9</v>
      </c>
      <c r="B46" s="1">
        <v>42430</v>
      </c>
      <c r="C46">
        <v>1347</v>
      </c>
      <c r="D46">
        <v>35909399214.110001</v>
      </c>
      <c r="E46">
        <v>69.642149378612203</v>
      </c>
      <c r="G46" t="s">
        <v>17</v>
      </c>
      <c r="H46" s="1">
        <v>42430</v>
      </c>
      <c r="I46">
        <v>2380</v>
      </c>
      <c r="J46">
        <v>23130415817.330002</v>
      </c>
      <c r="K46">
        <v>14.343071678430601</v>
      </c>
      <c r="M46" s="1">
        <f t="shared" si="0"/>
        <v>42430</v>
      </c>
      <c r="N46">
        <f t="shared" si="1"/>
        <v>69.642149378612203</v>
      </c>
      <c r="O46">
        <f t="shared" si="2"/>
        <v>14.343071678430601</v>
      </c>
      <c r="AC46" t="s">
        <v>5</v>
      </c>
      <c r="AD46" s="1">
        <v>35704</v>
      </c>
      <c r="AE46">
        <v>164171</v>
      </c>
      <c r="AF46">
        <v>410957899203.09998</v>
      </c>
      <c r="AG46">
        <v>38.498422916043097</v>
      </c>
      <c r="AI46" t="s">
        <v>14</v>
      </c>
      <c r="AJ46" s="1">
        <v>35827</v>
      </c>
      <c r="AK46">
        <v>82571</v>
      </c>
      <c r="AL46">
        <v>342377531652.5</v>
      </c>
      <c r="AM46">
        <v>74.8758723271674</v>
      </c>
      <c r="AO46" s="1">
        <f t="shared" si="3"/>
        <v>35704</v>
      </c>
      <c r="AP46">
        <f t="shared" si="4"/>
        <v>38.498422916043097</v>
      </c>
      <c r="AQ46">
        <f t="shared" si="5"/>
        <v>26.788520723141101</v>
      </c>
    </row>
    <row r="47" spans="1:43" x14ac:dyDescent="0.25">
      <c r="A47" t="s">
        <v>9</v>
      </c>
      <c r="B47" s="1">
        <v>42461</v>
      </c>
      <c r="C47">
        <v>1356</v>
      </c>
      <c r="D47">
        <v>35708371081.940002</v>
      </c>
      <c r="E47">
        <v>73.429968083709497</v>
      </c>
      <c r="G47" t="s">
        <v>17</v>
      </c>
      <c r="H47" s="1">
        <v>42461</v>
      </c>
      <c r="I47">
        <v>2389</v>
      </c>
      <c r="J47">
        <v>22980966819.959999</v>
      </c>
      <c r="K47">
        <v>20.792079567024</v>
      </c>
      <c r="M47" s="1">
        <f t="shared" si="0"/>
        <v>42461</v>
      </c>
      <c r="N47">
        <f t="shared" si="1"/>
        <v>73.429968083709497</v>
      </c>
      <c r="O47">
        <f t="shared" si="2"/>
        <v>20.792079567024</v>
      </c>
      <c r="AC47" t="s">
        <v>5</v>
      </c>
      <c r="AD47" s="1">
        <v>35735</v>
      </c>
      <c r="AE47">
        <v>164998</v>
      </c>
      <c r="AF47">
        <v>415578143387.42999</v>
      </c>
      <c r="AG47">
        <v>51.070317031515799</v>
      </c>
      <c r="AI47" t="s">
        <v>14</v>
      </c>
      <c r="AJ47" s="1">
        <v>35855</v>
      </c>
      <c r="AK47">
        <v>83367</v>
      </c>
      <c r="AL47">
        <v>347235598262.58002</v>
      </c>
      <c r="AM47">
        <v>72.168546715575104</v>
      </c>
      <c r="AO47" s="1">
        <f t="shared" si="3"/>
        <v>35735</v>
      </c>
      <c r="AP47">
        <f t="shared" si="4"/>
        <v>51.070317031515799</v>
      </c>
      <c r="AQ47">
        <f t="shared" si="5"/>
        <v>39.657573182275598</v>
      </c>
    </row>
    <row r="48" spans="1:43" x14ac:dyDescent="0.25">
      <c r="A48" t="s">
        <v>9</v>
      </c>
      <c r="B48" s="1">
        <v>42491</v>
      </c>
      <c r="C48">
        <v>1361</v>
      </c>
      <c r="D48">
        <v>35410457427.75</v>
      </c>
      <c r="E48">
        <v>75.663766159691505</v>
      </c>
      <c r="G48" t="s">
        <v>17</v>
      </c>
      <c r="H48" s="1">
        <v>42491</v>
      </c>
      <c r="I48">
        <v>2400</v>
      </c>
      <c r="J48">
        <v>22785497201.860001</v>
      </c>
      <c r="K48">
        <v>24.088467243565599</v>
      </c>
      <c r="M48" s="1">
        <f t="shared" si="0"/>
        <v>42491</v>
      </c>
      <c r="N48">
        <f t="shared" si="1"/>
        <v>75.663766159691505</v>
      </c>
      <c r="O48">
        <f t="shared" si="2"/>
        <v>24.088467243565599</v>
      </c>
      <c r="AC48" t="s">
        <v>5</v>
      </c>
      <c r="AD48" s="1">
        <v>35765</v>
      </c>
      <c r="AE48">
        <v>165889</v>
      </c>
      <c r="AF48">
        <v>420442181020.82001</v>
      </c>
      <c r="AG48">
        <v>58.876528582067799</v>
      </c>
      <c r="AI48" t="s">
        <v>14</v>
      </c>
      <c r="AJ48" s="1">
        <v>35886</v>
      </c>
      <c r="AK48">
        <v>84285</v>
      </c>
      <c r="AL48">
        <v>356844623340.15997</v>
      </c>
      <c r="AM48">
        <v>61.794533051010198</v>
      </c>
      <c r="AO48" s="1">
        <f t="shared" si="3"/>
        <v>35765</v>
      </c>
      <c r="AP48">
        <f t="shared" si="4"/>
        <v>58.876528582067799</v>
      </c>
      <c r="AQ48">
        <f t="shared" si="5"/>
        <v>47.1621720387297</v>
      </c>
    </row>
    <row r="49" spans="1:43" x14ac:dyDescent="0.25">
      <c r="A49" t="s">
        <v>9</v>
      </c>
      <c r="B49" s="1">
        <v>42522</v>
      </c>
      <c r="C49">
        <v>1367</v>
      </c>
      <c r="D49">
        <v>35129109527.150002</v>
      </c>
      <c r="E49">
        <v>76.136309264592697</v>
      </c>
      <c r="G49" t="s">
        <v>17</v>
      </c>
      <c r="H49" s="1">
        <v>42522</v>
      </c>
      <c r="I49">
        <v>2409</v>
      </c>
      <c r="J49">
        <v>22590823732.130001</v>
      </c>
      <c r="K49">
        <v>25.677170241488898</v>
      </c>
      <c r="M49" s="1">
        <f t="shared" si="0"/>
        <v>42522</v>
      </c>
      <c r="N49">
        <f t="shared" si="1"/>
        <v>76.136309264592697</v>
      </c>
      <c r="O49">
        <f t="shared" si="2"/>
        <v>25.677170241488898</v>
      </c>
      <c r="AC49" t="s">
        <v>5</v>
      </c>
      <c r="AD49" s="1">
        <v>35796</v>
      </c>
      <c r="AE49">
        <v>166964</v>
      </c>
      <c r="AF49">
        <v>425507008058.42999</v>
      </c>
      <c r="AG49">
        <v>66.657506878557399</v>
      </c>
      <c r="AI49" t="s">
        <v>14</v>
      </c>
      <c r="AJ49" s="1">
        <v>35916</v>
      </c>
      <c r="AK49">
        <v>85347</v>
      </c>
      <c r="AL49">
        <v>363989269831.03998</v>
      </c>
      <c r="AM49">
        <v>57.682478861658602</v>
      </c>
      <c r="AO49" s="1">
        <f t="shared" si="3"/>
        <v>35796</v>
      </c>
      <c r="AP49">
        <f t="shared" si="4"/>
        <v>66.657506878557399</v>
      </c>
      <c r="AQ49">
        <f t="shared" si="5"/>
        <v>55.090828346516098</v>
      </c>
    </row>
    <row r="50" spans="1:43" x14ac:dyDescent="0.25">
      <c r="A50" t="s">
        <v>9</v>
      </c>
      <c r="B50" s="1">
        <v>42552</v>
      </c>
      <c r="C50">
        <v>1374</v>
      </c>
      <c r="D50">
        <v>34806670533.199997</v>
      </c>
      <c r="E50">
        <v>79.931174754019807</v>
      </c>
      <c r="G50" t="s">
        <v>17</v>
      </c>
      <c r="H50" s="1">
        <v>42552</v>
      </c>
      <c r="I50">
        <v>2418</v>
      </c>
      <c r="J50">
        <v>22369714888.02</v>
      </c>
      <c r="K50">
        <v>29.719788325865199</v>
      </c>
      <c r="M50" s="1">
        <f t="shared" si="0"/>
        <v>42552</v>
      </c>
      <c r="N50">
        <f t="shared" si="1"/>
        <v>79.931174754019807</v>
      </c>
      <c r="O50">
        <f t="shared" si="2"/>
        <v>29.719788325865199</v>
      </c>
      <c r="AC50" t="s">
        <v>5</v>
      </c>
      <c r="AD50" s="1">
        <v>35827</v>
      </c>
      <c r="AE50">
        <v>167888</v>
      </c>
      <c r="AF50">
        <v>430133364045.90002</v>
      </c>
      <c r="AG50">
        <v>85.567260082508497</v>
      </c>
      <c r="AI50" t="s">
        <v>14</v>
      </c>
      <c r="AJ50" s="1">
        <v>35947</v>
      </c>
      <c r="AK50">
        <v>86333</v>
      </c>
      <c r="AL50">
        <v>369967952529.34998</v>
      </c>
      <c r="AM50">
        <v>56.6714405743149</v>
      </c>
      <c r="AO50" s="1">
        <f t="shared" si="3"/>
        <v>35827</v>
      </c>
      <c r="AP50">
        <f t="shared" si="4"/>
        <v>85.567260082508497</v>
      </c>
      <c r="AQ50">
        <f t="shared" si="5"/>
        <v>74.8758723271674</v>
      </c>
    </row>
    <row r="51" spans="1:43" x14ac:dyDescent="0.25">
      <c r="A51" t="s">
        <v>9</v>
      </c>
      <c r="B51" s="1">
        <v>42583</v>
      </c>
      <c r="C51">
        <v>1380</v>
      </c>
      <c r="D51">
        <v>34436906908.110001</v>
      </c>
      <c r="E51">
        <v>93.110320307715199</v>
      </c>
      <c r="G51" t="s">
        <v>17</v>
      </c>
      <c r="H51" s="1">
        <v>42583</v>
      </c>
      <c r="I51">
        <v>2424</v>
      </c>
      <c r="J51">
        <v>22125367840.490002</v>
      </c>
      <c r="K51">
        <v>43.111191443805303</v>
      </c>
      <c r="M51" s="1">
        <f t="shared" si="0"/>
        <v>42583</v>
      </c>
      <c r="N51">
        <f t="shared" si="1"/>
        <v>93.110320307715199</v>
      </c>
      <c r="O51">
        <f t="shared" si="2"/>
        <v>43.111191443805303</v>
      </c>
      <c r="AC51" t="s">
        <v>5</v>
      </c>
      <c r="AD51" s="1">
        <v>35855</v>
      </c>
      <c r="AE51">
        <v>169006</v>
      </c>
      <c r="AF51">
        <v>436014643807.73999</v>
      </c>
      <c r="AG51">
        <v>82.632942018235894</v>
      </c>
      <c r="AI51" t="s">
        <v>14</v>
      </c>
      <c r="AJ51" s="1">
        <v>35977</v>
      </c>
      <c r="AK51">
        <v>87205</v>
      </c>
      <c r="AL51">
        <v>377339687889.40997</v>
      </c>
      <c r="AM51">
        <v>67.479083646938605</v>
      </c>
      <c r="AO51" s="1">
        <f t="shared" si="3"/>
        <v>35855</v>
      </c>
      <c r="AP51">
        <f t="shared" si="4"/>
        <v>82.632942018235894</v>
      </c>
      <c r="AQ51">
        <f t="shared" si="5"/>
        <v>72.168546715575104</v>
      </c>
    </row>
    <row r="52" spans="1:43" x14ac:dyDescent="0.25">
      <c r="A52" t="s">
        <v>9</v>
      </c>
      <c r="B52" s="1">
        <v>42614</v>
      </c>
      <c r="C52">
        <v>1385</v>
      </c>
      <c r="D52">
        <v>34088680556.189999</v>
      </c>
      <c r="E52">
        <v>92.5096736947837</v>
      </c>
      <c r="G52" t="s">
        <v>17</v>
      </c>
      <c r="H52" s="1">
        <v>42614</v>
      </c>
      <c r="I52">
        <v>2433</v>
      </c>
      <c r="J52">
        <v>21895878252.380001</v>
      </c>
      <c r="K52">
        <v>42.708743490564302</v>
      </c>
      <c r="M52" s="1">
        <f t="shared" si="0"/>
        <v>42614</v>
      </c>
      <c r="N52">
        <f t="shared" si="1"/>
        <v>92.5096736947837</v>
      </c>
      <c r="O52">
        <f t="shared" si="2"/>
        <v>42.708743490564302</v>
      </c>
      <c r="AC52" t="s">
        <v>5</v>
      </c>
      <c r="AD52" s="1">
        <v>35886</v>
      </c>
      <c r="AE52">
        <v>170201</v>
      </c>
      <c r="AF52">
        <v>440572182741.69</v>
      </c>
      <c r="AG52">
        <v>72.817026826289293</v>
      </c>
      <c r="AI52" t="s">
        <v>14</v>
      </c>
      <c r="AJ52" s="1">
        <v>36008</v>
      </c>
      <c r="AK52">
        <v>88347</v>
      </c>
      <c r="AL52">
        <v>386367453157.35999</v>
      </c>
      <c r="AM52">
        <v>67.031911930997495</v>
      </c>
      <c r="AO52" s="1">
        <f t="shared" si="3"/>
        <v>35886</v>
      </c>
      <c r="AP52">
        <f t="shared" si="4"/>
        <v>72.817026826289293</v>
      </c>
      <c r="AQ52">
        <f t="shared" si="5"/>
        <v>61.794533051010198</v>
      </c>
    </row>
    <row r="53" spans="1:43" x14ac:dyDescent="0.25">
      <c r="A53" t="s">
        <v>9</v>
      </c>
      <c r="B53" s="1">
        <v>42644</v>
      </c>
      <c r="C53">
        <v>1390</v>
      </c>
      <c r="D53">
        <v>33686513650.32</v>
      </c>
      <c r="E53">
        <v>89.544626553047706</v>
      </c>
      <c r="G53" t="s">
        <v>17</v>
      </c>
      <c r="H53" s="1">
        <v>42644</v>
      </c>
      <c r="I53">
        <v>2450</v>
      </c>
      <c r="J53">
        <v>21624654083.630001</v>
      </c>
      <c r="K53">
        <v>39.9818081709995</v>
      </c>
      <c r="M53" s="1">
        <f t="shared" si="0"/>
        <v>42644</v>
      </c>
      <c r="N53">
        <f t="shared" si="1"/>
        <v>89.544626553047706</v>
      </c>
      <c r="O53">
        <f t="shared" si="2"/>
        <v>39.9818081709995</v>
      </c>
      <c r="AC53" t="s">
        <v>5</v>
      </c>
      <c r="AD53" s="1">
        <v>35916</v>
      </c>
      <c r="AE53">
        <v>171456</v>
      </c>
      <c r="AF53">
        <v>447378001346.06</v>
      </c>
      <c r="AG53">
        <v>68.407854482665897</v>
      </c>
      <c r="AI53" t="s">
        <v>14</v>
      </c>
      <c r="AJ53" s="1">
        <v>36039</v>
      </c>
      <c r="AK53">
        <v>89353</v>
      </c>
      <c r="AL53">
        <v>391655603963.95001</v>
      </c>
      <c r="AM53">
        <v>67.180750829162207</v>
      </c>
      <c r="AO53" s="1">
        <f t="shared" si="3"/>
        <v>35916</v>
      </c>
      <c r="AP53">
        <f t="shared" si="4"/>
        <v>68.407854482665897</v>
      </c>
      <c r="AQ53">
        <f t="shared" si="5"/>
        <v>57.682478861658602</v>
      </c>
    </row>
    <row r="54" spans="1:43" x14ac:dyDescent="0.25">
      <c r="AC54" t="s">
        <v>5</v>
      </c>
      <c r="AD54" s="1">
        <v>35947</v>
      </c>
      <c r="AE54">
        <v>172582</v>
      </c>
      <c r="AF54">
        <v>454600787180.84998</v>
      </c>
      <c r="AG54">
        <v>67.287488554702406</v>
      </c>
      <c r="AI54" t="s">
        <v>14</v>
      </c>
      <c r="AJ54" s="1">
        <v>36069</v>
      </c>
      <c r="AK54">
        <v>90394</v>
      </c>
      <c r="AL54">
        <v>395905188008.88</v>
      </c>
      <c r="AM54">
        <v>87.940545078564497</v>
      </c>
      <c r="AO54" s="1">
        <f t="shared" ref="AO54:AO117" si="6">AD54</f>
        <v>35947</v>
      </c>
      <c r="AP54">
        <f t="shared" ref="AP54:AP117" si="7">AG54</f>
        <v>67.287488554702406</v>
      </c>
      <c r="AQ54">
        <f t="shared" si="5"/>
        <v>56.6714405743149</v>
      </c>
    </row>
    <row r="55" spans="1:43" x14ac:dyDescent="0.25">
      <c r="AC55" t="s">
        <v>5</v>
      </c>
      <c r="AD55" s="1">
        <v>35977</v>
      </c>
      <c r="AE55">
        <v>173773</v>
      </c>
      <c r="AF55">
        <v>463337515393.27002</v>
      </c>
      <c r="AG55">
        <v>78.052081286934296</v>
      </c>
      <c r="AI55" t="s">
        <v>14</v>
      </c>
      <c r="AJ55" s="1">
        <v>36100</v>
      </c>
      <c r="AK55">
        <v>91404</v>
      </c>
      <c r="AL55">
        <v>405477226088.94</v>
      </c>
      <c r="AM55">
        <v>86.514426564881404</v>
      </c>
      <c r="AO55" s="1">
        <f t="shared" si="6"/>
        <v>35977</v>
      </c>
      <c r="AP55">
        <f t="shared" si="7"/>
        <v>78.052081286934296</v>
      </c>
      <c r="AQ55">
        <f t="shared" si="5"/>
        <v>67.479083646938605</v>
      </c>
    </row>
    <row r="56" spans="1:43" x14ac:dyDescent="0.25">
      <c r="AC56" t="s">
        <v>5</v>
      </c>
      <c r="AD56" s="1">
        <v>36008</v>
      </c>
      <c r="AE56">
        <v>174901</v>
      </c>
      <c r="AF56">
        <v>473963930458.06</v>
      </c>
      <c r="AG56">
        <v>77.1986545492163</v>
      </c>
      <c r="AI56" t="s">
        <v>14</v>
      </c>
      <c r="AJ56" s="1">
        <v>36130</v>
      </c>
      <c r="AK56">
        <v>92421</v>
      </c>
      <c r="AL56">
        <v>415987868538.75</v>
      </c>
      <c r="AM56">
        <v>66.757531895323595</v>
      </c>
      <c r="AO56" s="1">
        <f t="shared" si="6"/>
        <v>36008</v>
      </c>
      <c r="AP56">
        <f t="shared" si="7"/>
        <v>77.1986545492163</v>
      </c>
      <c r="AQ56">
        <f t="shared" si="5"/>
        <v>67.031911930997495</v>
      </c>
    </row>
    <row r="57" spans="1:43" x14ac:dyDescent="0.25">
      <c r="AC57" t="s">
        <v>5</v>
      </c>
      <c r="AD57" s="1">
        <v>36039</v>
      </c>
      <c r="AE57">
        <v>175971</v>
      </c>
      <c r="AF57">
        <v>482637195788</v>
      </c>
      <c r="AG57">
        <v>76.508839188661398</v>
      </c>
      <c r="AI57" t="s">
        <v>14</v>
      </c>
      <c r="AJ57" s="1">
        <v>36161</v>
      </c>
      <c r="AK57">
        <v>93582</v>
      </c>
      <c r="AL57">
        <v>423029711253.54999</v>
      </c>
      <c r="AM57">
        <v>73.8816225359827</v>
      </c>
      <c r="AO57" s="1">
        <f t="shared" si="6"/>
        <v>36039</v>
      </c>
      <c r="AP57">
        <f t="shared" si="7"/>
        <v>76.508839188661398</v>
      </c>
      <c r="AQ57">
        <f t="shared" si="5"/>
        <v>67.180750829162207</v>
      </c>
    </row>
    <row r="58" spans="1:43" x14ac:dyDescent="0.25">
      <c r="AC58" t="s">
        <v>5</v>
      </c>
      <c r="AD58" s="1">
        <v>36069</v>
      </c>
      <c r="AE58">
        <v>177221</v>
      </c>
      <c r="AF58">
        <v>492759677673.42999</v>
      </c>
      <c r="AG58">
        <v>96.367778560263503</v>
      </c>
      <c r="AI58" t="s">
        <v>14</v>
      </c>
      <c r="AJ58" s="1">
        <v>36192</v>
      </c>
      <c r="AK58">
        <v>94621</v>
      </c>
      <c r="AL58">
        <v>428789332116.60999</v>
      </c>
      <c r="AM58">
        <v>66.070612848773195</v>
      </c>
      <c r="AO58" s="1">
        <f t="shared" si="6"/>
        <v>36069</v>
      </c>
      <c r="AP58">
        <f t="shared" si="7"/>
        <v>96.367778560263503</v>
      </c>
      <c r="AQ58">
        <f t="shared" si="5"/>
        <v>87.940545078564497</v>
      </c>
    </row>
    <row r="59" spans="1:43" x14ac:dyDescent="0.25">
      <c r="AC59" t="s">
        <v>5</v>
      </c>
      <c r="AD59" s="1">
        <v>36100</v>
      </c>
      <c r="AE59">
        <v>178640</v>
      </c>
      <c r="AF59">
        <v>502211629634.06</v>
      </c>
      <c r="AG59">
        <v>95.115236713534998</v>
      </c>
      <c r="AI59" t="s">
        <v>14</v>
      </c>
      <c r="AJ59" s="1">
        <v>36220</v>
      </c>
      <c r="AK59">
        <v>95673</v>
      </c>
      <c r="AL59">
        <v>435071002275.32001</v>
      </c>
      <c r="AM59">
        <v>58.357249426792798</v>
      </c>
      <c r="AO59" s="1">
        <f t="shared" si="6"/>
        <v>36100</v>
      </c>
      <c r="AP59">
        <f t="shared" si="7"/>
        <v>95.115236713534998</v>
      </c>
      <c r="AQ59">
        <f t="shared" si="5"/>
        <v>86.514426564881404</v>
      </c>
    </row>
    <row r="60" spans="1:43" x14ac:dyDescent="0.25">
      <c r="AC60" t="s">
        <v>5</v>
      </c>
      <c r="AD60" s="1">
        <v>36130</v>
      </c>
      <c r="AE60">
        <v>179937</v>
      </c>
      <c r="AF60">
        <v>508860817728.65997</v>
      </c>
      <c r="AG60">
        <v>76.187274100327201</v>
      </c>
      <c r="AI60" t="s">
        <v>14</v>
      </c>
      <c r="AJ60" s="1">
        <v>36251</v>
      </c>
      <c r="AK60">
        <v>96985</v>
      </c>
      <c r="AL60">
        <v>445844508849.51001</v>
      </c>
      <c r="AM60">
        <v>34.516627893565399</v>
      </c>
      <c r="AO60" s="1">
        <f t="shared" si="6"/>
        <v>36130</v>
      </c>
      <c r="AP60">
        <f t="shared" si="7"/>
        <v>76.187274100327201</v>
      </c>
      <c r="AQ60">
        <f t="shared" si="5"/>
        <v>66.757531895323595</v>
      </c>
    </row>
    <row r="61" spans="1:43" x14ac:dyDescent="0.25">
      <c r="AC61" t="s">
        <v>5</v>
      </c>
      <c r="AD61" s="1">
        <v>36161</v>
      </c>
      <c r="AE61">
        <v>181535</v>
      </c>
      <c r="AF61">
        <v>519181595242.40002</v>
      </c>
      <c r="AG61">
        <v>82.680810509134005</v>
      </c>
      <c r="AI61" t="s">
        <v>14</v>
      </c>
      <c r="AJ61" s="1">
        <v>36281</v>
      </c>
      <c r="AK61">
        <v>98319</v>
      </c>
      <c r="AL61">
        <v>454861367864.41998</v>
      </c>
      <c r="AM61">
        <v>42.047585787429398</v>
      </c>
      <c r="AO61" s="1">
        <f t="shared" si="6"/>
        <v>36161</v>
      </c>
      <c r="AP61">
        <f t="shared" si="7"/>
        <v>82.680810509134005</v>
      </c>
      <c r="AQ61">
        <f t="shared" si="5"/>
        <v>73.8816225359827</v>
      </c>
    </row>
    <row r="62" spans="1:43" x14ac:dyDescent="0.25">
      <c r="AC62" t="s">
        <v>5</v>
      </c>
      <c r="AD62" s="1">
        <v>36192</v>
      </c>
      <c r="AE62">
        <v>183021</v>
      </c>
      <c r="AF62">
        <v>529266546073.46997</v>
      </c>
      <c r="AG62">
        <v>73.510970326436805</v>
      </c>
      <c r="AI62" t="s">
        <v>14</v>
      </c>
      <c r="AJ62" s="1">
        <v>36312</v>
      </c>
      <c r="AK62">
        <v>99372</v>
      </c>
      <c r="AL62">
        <v>462596813374.56</v>
      </c>
      <c r="AM62">
        <v>16.340547782046102</v>
      </c>
      <c r="AO62" s="1">
        <f t="shared" si="6"/>
        <v>36192</v>
      </c>
      <c r="AP62">
        <f t="shared" si="7"/>
        <v>73.510970326436805</v>
      </c>
      <c r="AQ62">
        <f t="shared" si="5"/>
        <v>66.070612848773195</v>
      </c>
    </row>
    <row r="63" spans="1:43" x14ac:dyDescent="0.25">
      <c r="AC63" t="s">
        <v>5</v>
      </c>
      <c r="AD63" s="1">
        <v>36220</v>
      </c>
      <c r="AE63">
        <v>184355</v>
      </c>
      <c r="AF63">
        <v>540755542094.21002</v>
      </c>
      <c r="AG63">
        <v>65.242813389163402</v>
      </c>
      <c r="AI63" t="s">
        <v>14</v>
      </c>
      <c r="AJ63" s="1">
        <v>36342</v>
      </c>
      <c r="AK63">
        <v>100290</v>
      </c>
      <c r="AL63">
        <v>469015767726</v>
      </c>
      <c r="AM63">
        <v>-25.806713892398001</v>
      </c>
      <c r="AO63" s="1">
        <f t="shared" si="6"/>
        <v>36220</v>
      </c>
      <c r="AP63">
        <f t="shared" si="7"/>
        <v>65.242813389163402</v>
      </c>
      <c r="AQ63">
        <f t="shared" si="5"/>
        <v>58.357249426792798</v>
      </c>
    </row>
    <row r="64" spans="1:43" x14ac:dyDescent="0.25">
      <c r="AC64" t="s">
        <v>5</v>
      </c>
      <c r="AD64" s="1">
        <v>36251</v>
      </c>
      <c r="AE64">
        <v>185605</v>
      </c>
      <c r="AF64">
        <v>549750472653.34998</v>
      </c>
      <c r="AG64">
        <v>41.360073241853499</v>
      </c>
      <c r="AI64" t="s">
        <v>14</v>
      </c>
      <c r="AJ64" s="1">
        <v>36373</v>
      </c>
      <c r="AK64">
        <v>101048</v>
      </c>
      <c r="AL64">
        <v>474446604497.37</v>
      </c>
      <c r="AM64">
        <v>-35.033014203386301</v>
      </c>
      <c r="AO64" s="1">
        <f t="shared" si="6"/>
        <v>36251</v>
      </c>
      <c r="AP64">
        <f t="shared" si="7"/>
        <v>41.360073241853499</v>
      </c>
      <c r="AQ64">
        <f t="shared" si="5"/>
        <v>34.516627893565399</v>
      </c>
    </row>
    <row r="65" spans="29:43" x14ac:dyDescent="0.25">
      <c r="AC65" t="s">
        <v>5</v>
      </c>
      <c r="AD65" s="1">
        <v>36281</v>
      </c>
      <c r="AE65">
        <v>186717</v>
      </c>
      <c r="AF65">
        <v>556506175459.81006</v>
      </c>
      <c r="AG65">
        <v>48.9292073249878</v>
      </c>
      <c r="AI65" t="s">
        <v>14</v>
      </c>
      <c r="AJ65" s="1">
        <v>36404</v>
      </c>
      <c r="AK65">
        <v>101791</v>
      </c>
      <c r="AL65">
        <v>478953183452.09003</v>
      </c>
      <c r="AM65">
        <v>-66.0907231555869</v>
      </c>
      <c r="AO65" s="1">
        <f t="shared" si="6"/>
        <v>36281</v>
      </c>
      <c r="AP65">
        <f t="shared" si="7"/>
        <v>48.9292073249878</v>
      </c>
      <c r="AQ65">
        <f t="shared" si="5"/>
        <v>42.047585787429398</v>
      </c>
    </row>
    <row r="66" spans="29:43" x14ac:dyDescent="0.25">
      <c r="AC66" t="s">
        <v>5</v>
      </c>
      <c r="AD66" s="1">
        <v>36312</v>
      </c>
      <c r="AE66">
        <v>187662</v>
      </c>
      <c r="AF66">
        <v>563458838273</v>
      </c>
      <c r="AG66">
        <v>23.331125317247299</v>
      </c>
      <c r="AI66" t="s">
        <v>14</v>
      </c>
      <c r="AJ66" s="1">
        <v>36434</v>
      </c>
      <c r="AK66">
        <v>102667</v>
      </c>
      <c r="AL66">
        <v>483684933728.44</v>
      </c>
      <c r="AM66">
        <v>-50.5958290639187</v>
      </c>
      <c r="AO66" s="1">
        <f t="shared" si="6"/>
        <v>36312</v>
      </c>
      <c r="AP66">
        <f t="shared" si="7"/>
        <v>23.331125317247299</v>
      </c>
      <c r="AQ66">
        <f t="shared" si="5"/>
        <v>16.340547782046102</v>
      </c>
    </row>
    <row r="67" spans="29:43" x14ac:dyDescent="0.25">
      <c r="AC67" t="s">
        <v>5</v>
      </c>
      <c r="AD67" s="1">
        <v>36342</v>
      </c>
      <c r="AE67">
        <v>188811</v>
      </c>
      <c r="AF67">
        <v>572204607933.89001</v>
      </c>
      <c r="AG67">
        <v>-18.9689005985798</v>
      </c>
      <c r="AI67" t="s">
        <v>14</v>
      </c>
      <c r="AJ67" s="1">
        <v>36465</v>
      </c>
      <c r="AK67">
        <v>103263</v>
      </c>
      <c r="AL67">
        <v>486113274951.03003</v>
      </c>
      <c r="AM67">
        <v>-59.5077047941231</v>
      </c>
      <c r="AO67" s="1">
        <f t="shared" si="6"/>
        <v>36342</v>
      </c>
      <c r="AP67">
        <f t="shared" si="7"/>
        <v>-18.9689005985798</v>
      </c>
      <c r="AQ67">
        <f t="shared" ref="AQ67:AQ130" si="8">VLOOKUP(AO67,AJ:AM,4,0)</f>
        <v>-25.806713892398001</v>
      </c>
    </row>
    <row r="68" spans="29:43" x14ac:dyDescent="0.25">
      <c r="AC68" t="s">
        <v>5</v>
      </c>
      <c r="AD68" s="1">
        <v>36373</v>
      </c>
      <c r="AE68">
        <v>189841</v>
      </c>
      <c r="AF68">
        <v>579291469300.42004</v>
      </c>
      <c r="AG68">
        <v>-28.3572401050615</v>
      </c>
      <c r="AI68" t="s">
        <v>14</v>
      </c>
      <c r="AJ68" s="1">
        <v>36495</v>
      </c>
      <c r="AK68">
        <v>103797</v>
      </c>
      <c r="AL68">
        <v>488977501585.98999</v>
      </c>
      <c r="AM68">
        <v>-43.525514314365097</v>
      </c>
      <c r="AO68" s="1">
        <f t="shared" si="6"/>
        <v>36373</v>
      </c>
      <c r="AP68">
        <f t="shared" si="7"/>
        <v>-28.3572401050615</v>
      </c>
      <c r="AQ68">
        <f t="shared" si="8"/>
        <v>-35.033014203386301</v>
      </c>
    </row>
    <row r="69" spans="29:43" x14ac:dyDescent="0.25">
      <c r="AC69" t="s">
        <v>5</v>
      </c>
      <c r="AD69" s="1">
        <v>36404</v>
      </c>
      <c r="AE69">
        <v>190764</v>
      </c>
      <c r="AF69">
        <v>587347551657.76001</v>
      </c>
      <c r="AG69">
        <v>-59.5293149738377</v>
      </c>
      <c r="AI69" t="s">
        <v>14</v>
      </c>
      <c r="AJ69" s="1">
        <v>36526</v>
      </c>
      <c r="AK69">
        <v>104272</v>
      </c>
      <c r="AL69">
        <v>490954239429.84998</v>
      </c>
      <c r="AM69">
        <v>-60.153374761858302</v>
      </c>
      <c r="AO69" s="1">
        <f t="shared" si="6"/>
        <v>36404</v>
      </c>
      <c r="AP69">
        <f t="shared" si="7"/>
        <v>-59.5293149738377</v>
      </c>
      <c r="AQ69">
        <f t="shared" si="8"/>
        <v>-66.0907231555869</v>
      </c>
    </row>
    <row r="70" spans="29:43" x14ac:dyDescent="0.25">
      <c r="AC70" t="s">
        <v>5</v>
      </c>
      <c r="AD70" s="1">
        <v>36434</v>
      </c>
      <c r="AE70">
        <v>191769</v>
      </c>
      <c r="AF70">
        <v>595358056585.48999</v>
      </c>
      <c r="AG70">
        <v>-44.124421279093603</v>
      </c>
      <c r="AI70" t="s">
        <v>14</v>
      </c>
      <c r="AJ70" s="1">
        <v>36557</v>
      </c>
      <c r="AK70">
        <v>105024</v>
      </c>
      <c r="AL70">
        <v>496915801152.44</v>
      </c>
      <c r="AM70">
        <v>-88.975781398589803</v>
      </c>
      <c r="AO70" s="1">
        <f t="shared" si="6"/>
        <v>36434</v>
      </c>
      <c r="AP70">
        <f t="shared" si="7"/>
        <v>-44.124421279093603</v>
      </c>
      <c r="AQ70">
        <f t="shared" si="8"/>
        <v>-50.5958290639187</v>
      </c>
    </row>
    <row r="71" spans="29:43" x14ac:dyDescent="0.25">
      <c r="AC71" t="s">
        <v>5</v>
      </c>
      <c r="AD71" s="1">
        <v>36465</v>
      </c>
      <c r="AE71">
        <v>192676</v>
      </c>
      <c r="AF71">
        <v>603335784202.89001</v>
      </c>
      <c r="AG71">
        <v>-53.143057957591601</v>
      </c>
      <c r="AI71" t="s">
        <v>14</v>
      </c>
      <c r="AJ71" s="1">
        <v>36586</v>
      </c>
      <c r="AK71">
        <v>105571</v>
      </c>
      <c r="AL71">
        <v>498826947779.83002</v>
      </c>
      <c r="AM71">
        <v>-98.961726973257896</v>
      </c>
      <c r="AO71" s="1">
        <f t="shared" si="6"/>
        <v>36465</v>
      </c>
      <c r="AP71">
        <f t="shared" si="7"/>
        <v>-53.143057957591601</v>
      </c>
      <c r="AQ71">
        <f t="shared" si="8"/>
        <v>-59.5077047941231</v>
      </c>
    </row>
    <row r="72" spans="29:43" x14ac:dyDescent="0.25">
      <c r="AC72" t="s">
        <v>5</v>
      </c>
      <c r="AD72" s="1">
        <v>36495</v>
      </c>
      <c r="AE72">
        <v>193594</v>
      </c>
      <c r="AF72">
        <v>608661813729.64001</v>
      </c>
      <c r="AG72">
        <v>-37.2361189661165</v>
      </c>
      <c r="AI72" t="s">
        <v>14</v>
      </c>
      <c r="AJ72" s="1">
        <v>36617</v>
      </c>
      <c r="AK72">
        <v>106181</v>
      </c>
      <c r="AL72">
        <v>501711977650.15002</v>
      </c>
      <c r="AM72">
        <v>-89.548337702934802</v>
      </c>
      <c r="AO72" s="1">
        <f t="shared" si="6"/>
        <v>36495</v>
      </c>
      <c r="AP72">
        <f t="shared" si="7"/>
        <v>-37.2361189661165</v>
      </c>
      <c r="AQ72">
        <f t="shared" si="8"/>
        <v>-43.525514314365097</v>
      </c>
    </row>
    <row r="73" spans="29:43" x14ac:dyDescent="0.25">
      <c r="AC73" t="s">
        <v>5</v>
      </c>
      <c r="AD73" s="1">
        <v>36526</v>
      </c>
      <c r="AE73">
        <v>194574</v>
      </c>
      <c r="AF73">
        <v>614730545023.56995</v>
      </c>
      <c r="AG73">
        <v>-53.873778986298603</v>
      </c>
      <c r="AI73" t="s">
        <v>14</v>
      </c>
      <c r="AJ73" s="1">
        <v>36647</v>
      </c>
      <c r="AK73">
        <v>106663</v>
      </c>
      <c r="AL73">
        <v>503601588836.79999</v>
      </c>
      <c r="AM73">
        <v>-79.429363134696004</v>
      </c>
      <c r="AO73" s="1">
        <f t="shared" si="6"/>
        <v>36526</v>
      </c>
      <c r="AP73">
        <f t="shared" si="7"/>
        <v>-53.873778986298603</v>
      </c>
      <c r="AQ73">
        <f t="shared" si="8"/>
        <v>-60.153374761858302</v>
      </c>
    </row>
    <row r="74" spans="29:43" x14ac:dyDescent="0.25">
      <c r="AC74" t="s">
        <v>5</v>
      </c>
      <c r="AD74" s="1">
        <v>36557</v>
      </c>
      <c r="AE74">
        <v>195521</v>
      </c>
      <c r="AF74">
        <v>620175920606.63</v>
      </c>
      <c r="AG74">
        <v>-82.952778508934799</v>
      </c>
      <c r="AI74" t="s">
        <v>14</v>
      </c>
      <c r="AJ74" s="1">
        <v>36678</v>
      </c>
      <c r="AK74">
        <v>107411</v>
      </c>
      <c r="AL74">
        <v>509012244894.96002</v>
      </c>
      <c r="AM74">
        <v>-114.958232048474</v>
      </c>
      <c r="AO74" s="1">
        <f t="shared" si="6"/>
        <v>36557</v>
      </c>
      <c r="AP74">
        <f t="shared" si="7"/>
        <v>-82.952778508934799</v>
      </c>
      <c r="AQ74">
        <f t="shared" si="8"/>
        <v>-88.975781398589803</v>
      </c>
    </row>
    <row r="75" spans="29:43" x14ac:dyDescent="0.25">
      <c r="AC75" t="s">
        <v>5</v>
      </c>
      <c r="AD75" s="1">
        <v>36586</v>
      </c>
      <c r="AE75">
        <v>196302</v>
      </c>
      <c r="AF75">
        <v>625373224000.52002</v>
      </c>
      <c r="AG75">
        <v>-92.897411238325006</v>
      </c>
      <c r="AI75" t="s">
        <v>14</v>
      </c>
      <c r="AJ75" s="1">
        <v>36708</v>
      </c>
      <c r="AK75">
        <v>108179</v>
      </c>
      <c r="AL75">
        <v>513375798865.76001</v>
      </c>
      <c r="AM75">
        <v>-89.121812175975805</v>
      </c>
      <c r="AO75" s="1">
        <f t="shared" si="6"/>
        <v>36586</v>
      </c>
      <c r="AP75">
        <f t="shared" si="7"/>
        <v>-92.897411238325006</v>
      </c>
      <c r="AQ75">
        <f t="shared" si="8"/>
        <v>-98.961726973257896</v>
      </c>
    </row>
    <row r="76" spans="29:43" x14ac:dyDescent="0.25">
      <c r="AC76" t="s">
        <v>5</v>
      </c>
      <c r="AD76" s="1">
        <v>36617</v>
      </c>
      <c r="AE76">
        <v>197211</v>
      </c>
      <c r="AF76">
        <v>628789317108.88</v>
      </c>
      <c r="AG76">
        <v>-83.454705223019204</v>
      </c>
      <c r="AI76" t="s">
        <v>14</v>
      </c>
      <c r="AJ76" s="1">
        <v>36739</v>
      </c>
      <c r="AK76">
        <v>108954</v>
      </c>
      <c r="AL76">
        <v>516317525107.78998</v>
      </c>
      <c r="AM76">
        <v>-72.966637617078405</v>
      </c>
      <c r="AO76" s="1">
        <f t="shared" si="6"/>
        <v>36617</v>
      </c>
      <c r="AP76">
        <f t="shared" si="7"/>
        <v>-83.454705223019204</v>
      </c>
      <c r="AQ76">
        <f t="shared" si="8"/>
        <v>-89.548337702934802</v>
      </c>
    </row>
    <row r="77" spans="29:43" x14ac:dyDescent="0.25">
      <c r="AC77" t="s">
        <v>5</v>
      </c>
      <c r="AD77" s="1">
        <v>36647</v>
      </c>
      <c r="AE77">
        <v>198200</v>
      </c>
      <c r="AF77">
        <v>633466085432.80005</v>
      </c>
      <c r="AG77">
        <v>-73.084006370113102</v>
      </c>
      <c r="AI77" t="s">
        <v>14</v>
      </c>
      <c r="AJ77" s="1">
        <v>36770</v>
      </c>
      <c r="AK77">
        <v>109821</v>
      </c>
      <c r="AL77">
        <v>523779386580.96997</v>
      </c>
      <c r="AM77">
        <v>-58.746311639148701</v>
      </c>
      <c r="AO77" s="1">
        <f t="shared" si="6"/>
        <v>36647</v>
      </c>
      <c r="AP77">
        <f t="shared" si="7"/>
        <v>-73.084006370113102</v>
      </c>
      <c r="AQ77">
        <f t="shared" si="8"/>
        <v>-79.429363134696004</v>
      </c>
    </row>
    <row r="78" spans="29:43" x14ac:dyDescent="0.25">
      <c r="AC78" t="s">
        <v>5</v>
      </c>
      <c r="AD78" s="1">
        <v>36678</v>
      </c>
      <c r="AE78">
        <v>199277</v>
      </c>
      <c r="AF78">
        <v>638637756539.06006</v>
      </c>
      <c r="AG78">
        <v>-108.472789971952</v>
      </c>
      <c r="AI78" t="s">
        <v>14</v>
      </c>
      <c r="AJ78" s="1">
        <v>36800</v>
      </c>
      <c r="AK78">
        <v>110829</v>
      </c>
      <c r="AL78">
        <v>531358236787.52002</v>
      </c>
      <c r="AM78">
        <v>-46.443179222903801</v>
      </c>
      <c r="AO78" s="1">
        <f t="shared" si="6"/>
        <v>36678</v>
      </c>
      <c r="AP78">
        <f t="shared" si="7"/>
        <v>-108.472789971952</v>
      </c>
      <c r="AQ78">
        <f t="shared" si="8"/>
        <v>-114.958232048474</v>
      </c>
    </row>
    <row r="79" spans="29:43" x14ac:dyDescent="0.25">
      <c r="AC79" t="s">
        <v>5</v>
      </c>
      <c r="AD79" s="1">
        <v>36708</v>
      </c>
      <c r="AE79">
        <v>200318</v>
      </c>
      <c r="AF79">
        <v>644319934151.05005</v>
      </c>
      <c r="AG79">
        <v>-82.664749662034296</v>
      </c>
      <c r="AI79" t="s">
        <v>14</v>
      </c>
      <c r="AJ79" s="1">
        <v>36831</v>
      </c>
      <c r="AK79">
        <v>111769</v>
      </c>
      <c r="AL79">
        <v>538792043173.23999</v>
      </c>
      <c r="AM79">
        <v>-33.759448641736398</v>
      </c>
      <c r="AO79" s="1">
        <f t="shared" si="6"/>
        <v>36708</v>
      </c>
      <c r="AP79">
        <f t="shared" si="7"/>
        <v>-82.664749662034296</v>
      </c>
      <c r="AQ79">
        <f t="shared" si="8"/>
        <v>-89.121812175975805</v>
      </c>
    </row>
    <row r="80" spans="29:43" x14ac:dyDescent="0.25">
      <c r="AC80" t="s">
        <v>5</v>
      </c>
      <c r="AD80" s="1">
        <v>36739</v>
      </c>
      <c r="AE80">
        <v>201523</v>
      </c>
      <c r="AF80">
        <v>650241592057.52002</v>
      </c>
      <c r="AG80">
        <v>-66.347220924402194</v>
      </c>
      <c r="AI80" t="s">
        <v>14</v>
      </c>
      <c r="AJ80" s="1">
        <v>36861</v>
      </c>
      <c r="AK80">
        <v>112641</v>
      </c>
      <c r="AL80">
        <v>546830986491.85999</v>
      </c>
      <c r="AM80">
        <v>-23.858669046557502</v>
      </c>
      <c r="AO80" s="1">
        <f t="shared" si="6"/>
        <v>36739</v>
      </c>
      <c r="AP80">
        <f t="shared" si="7"/>
        <v>-66.347220924402194</v>
      </c>
      <c r="AQ80">
        <f t="shared" si="8"/>
        <v>-72.966637617078405</v>
      </c>
    </row>
    <row r="81" spans="29:43" x14ac:dyDescent="0.25">
      <c r="AC81" t="s">
        <v>5</v>
      </c>
      <c r="AD81" s="1">
        <v>36770</v>
      </c>
      <c r="AE81">
        <v>202877</v>
      </c>
      <c r="AF81">
        <v>659140528287.64001</v>
      </c>
      <c r="AG81">
        <v>-52.457953992271896</v>
      </c>
      <c r="AI81" t="s">
        <v>14</v>
      </c>
      <c r="AJ81" s="1">
        <v>36892</v>
      </c>
      <c r="AK81">
        <v>113546</v>
      </c>
      <c r="AL81">
        <v>556063952014.84998</v>
      </c>
      <c r="AM81">
        <v>16.5512259856044</v>
      </c>
      <c r="AO81" s="1">
        <f t="shared" si="6"/>
        <v>36770</v>
      </c>
      <c r="AP81">
        <f t="shared" si="7"/>
        <v>-52.457953992271896</v>
      </c>
      <c r="AQ81">
        <f t="shared" si="8"/>
        <v>-58.746311639148701</v>
      </c>
    </row>
    <row r="82" spans="29:43" x14ac:dyDescent="0.25">
      <c r="AC82" t="s">
        <v>5</v>
      </c>
      <c r="AD82" s="1">
        <v>36800</v>
      </c>
      <c r="AE82">
        <v>204126</v>
      </c>
      <c r="AF82">
        <v>667771708329.09998</v>
      </c>
      <c r="AG82">
        <v>-40.074442567633902</v>
      </c>
      <c r="AI82" t="s">
        <v>14</v>
      </c>
      <c r="AJ82" s="1">
        <v>36923</v>
      </c>
      <c r="AK82">
        <v>114380</v>
      </c>
      <c r="AL82">
        <v>562843528396.04004</v>
      </c>
      <c r="AM82">
        <v>47.796270235165899</v>
      </c>
      <c r="AO82" s="1">
        <f t="shared" si="6"/>
        <v>36800</v>
      </c>
      <c r="AP82">
        <f t="shared" si="7"/>
        <v>-40.074442567633902</v>
      </c>
      <c r="AQ82">
        <f t="shared" si="8"/>
        <v>-46.443179222903801</v>
      </c>
    </row>
    <row r="83" spans="29:43" x14ac:dyDescent="0.25">
      <c r="AC83" t="s">
        <v>5</v>
      </c>
      <c r="AD83" s="1">
        <v>36831</v>
      </c>
      <c r="AE83">
        <v>205336</v>
      </c>
      <c r="AF83">
        <v>678145982258.65002</v>
      </c>
      <c r="AG83">
        <v>-28.648666314323499</v>
      </c>
      <c r="AI83" t="s">
        <v>14</v>
      </c>
      <c r="AJ83" s="1">
        <v>36951</v>
      </c>
      <c r="AK83">
        <v>115148</v>
      </c>
      <c r="AL83">
        <v>569910496468.92004</v>
      </c>
      <c r="AM83">
        <v>45.277071368739598</v>
      </c>
      <c r="AO83" s="1">
        <f t="shared" si="6"/>
        <v>36831</v>
      </c>
      <c r="AP83">
        <f t="shared" si="7"/>
        <v>-28.648666314323499</v>
      </c>
      <c r="AQ83">
        <f t="shared" si="8"/>
        <v>-33.759448641736398</v>
      </c>
    </row>
    <row r="84" spans="29:43" x14ac:dyDescent="0.25">
      <c r="AC84" t="s">
        <v>5</v>
      </c>
      <c r="AD84" s="1">
        <v>36861</v>
      </c>
      <c r="AE84">
        <v>206553</v>
      </c>
      <c r="AF84">
        <v>688667464062.68005</v>
      </c>
      <c r="AG84">
        <v>-18.325738972700002</v>
      </c>
      <c r="AI84" t="s">
        <v>14</v>
      </c>
      <c r="AJ84" s="1">
        <v>36982</v>
      </c>
      <c r="AK84">
        <v>116093</v>
      </c>
      <c r="AL84">
        <v>575566943003.72998</v>
      </c>
      <c r="AM84">
        <v>54.7794144968815</v>
      </c>
      <c r="AO84" s="1">
        <f t="shared" si="6"/>
        <v>36861</v>
      </c>
      <c r="AP84">
        <f t="shared" si="7"/>
        <v>-18.325738972700002</v>
      </c>
      <c r="AQ84">
        <f t="shared" si="8"/>
        <v>-23.858669046557502</v>
      </c>
    </row>
    <row r="85" spans="29:43" x14ac:dyDescent="0.25">
      <c r="AC85" t="s">
        <v>5</v>
      </c>
      <c r="AD85" s="1">
        <v>36892</v>
      </c>
      <c r="AE85">
        <v>207893</v>
      </c>
      <c r="AF85">
        <v>700106336980.84998</v>
      </c>
      <c r="AG85">
        <v>21.949506101924801</v>
      </c>
      <c r="AI85" t="s">
        <v>14</v>
      </c>
      <c r="AJ85" s="1">
        <v>37012</v>
      </c>
      <c r="AK85">
        <v>117276</v>
      </c>
      <c r="AL85">
        <v>583139651340.71997</v>
      </c>
      <c r="AM85">
        <v>41.047063795535898</v>
      </c>
      <c r="AO85" s="1">
        <f t="shared" si="6"/>
        <v>36892</v>
      </c>
      <c r="AP85">
        <f t="shared" si="7"/>
        <v>21.949506101924801</v>
      </c>
      <c r="AQ85">
        <f t="shared" si="8"/>
        <v>16.5512259856044</v>
      </c>
    </row>
    <row r="86" spans="29:43" x14ac:dyDescent="0.25">
      <c r="AC86" t="s">
        <v>5</v>
      </c>
      <c r="AD86" s="1">
        <v>36923</v>
      </c>
      <c r="AE86">
        <v>209121</v>
      </c>
      <c r="AF86">
        <v>711936410692.26001</v>
      </c>
      <c r="AG86">
        <v>53.057438350524997</v>
      </c>
      <c r="AI86" t="s">
        <v>14</v>
      </c>
      <c r="AJ86" s="1">
        <v>37043</v>
      </c>
      <c r="AK86">
        <v>118503</v>
      </c>
      <c r="AL86">
        <v>593305418081.90002</v>
      </c>
      <c r="AM86">
        <v>28.9188934623275</v>
      </c>
      <c r="AO86" s="1">
        <f t="shared" si="6"/>
        <v>36923</v>
      </c>
      <c r="AP86">
        <f t="shared" si="7"/>
        <v>53.057438350524997</v>
      </c>
      <c r="AQ86">
        <f t="shared" si="8"/>
        <v>47.796270235165899</v>
      </c>
    </row>
    <row r="87" spans="29:43" x14ac:dyDescent="0.25">
      <c r="AC87" t="s">
        <v>5</v>
      </c>
      <c r="AD87" s="1">
        <v>36951</v>
      </c>
      <c r="AE87">
        <v>210670</v>
      </c>
      <c r="AF87">
        <v>724159427993.80005</v>
      </c>
      <c r="AG87">
        <v>50.009926091840597</v>
      </c>
      <c r="AI87" t="s">
        <v>14</v>
      </c>
      <c r="AJ87" s="1">
        <v>37073</v>
      </c>
      <c r="AK87">
        <v>119870</v>
      </c>
      <c r="AL87">
        <v>606806060779.91003</v>
      </c>
      <c r="AM87">
        <v>27.556720853083299</v>
      </c>
      <c r="AO87" s="1">
        <f t="shared" si="6"/>
        <v>36951</v>
      </c>
      <c r="AP87">
        <f t="shared" si="7"/>
        <v>50.009926091840597</v>
      </c>
      <c r="AQ87">
        <f t="shared" si="8"/>
        <v>45.277071368739598</v>
      </c>
    </row>
    <row r="88" spans="29:43" x14ac:dyDescent="0.25">
      <c r="AC88" t="s">
        <v>5</v>
      </c>
      <c r="AD88" s="1">
        <v>36982</v>
      </c>
      <c r="AE88">
        <v>212403</v>
      </c>
      <c r="AF88">
        <v>737131621054.80005</v>
      </c>
      <c r="AG88">
        <v>58.9645174272475</v>
      </c>
      <c r="AI88" t="s">
        <v>14</v>
      </c>
      <c r="AJ88" s="1">
        <v>37104</v>
      </c>
      <c r="AK88">
        <v>121166</v>
      </c>
      <c r="AL88">
        <v>618791756702.58997</v>
      </c>
      <c r="AM88">
        <v>28.358759391345298</v>
      </c>
      <c r="AO88" s="1">
        <f t="shared" si="6"/>
        <v>36982</v>
      </c>
      <c r="AP88">
        <f t="shared" si="7"/>
        <v>58.9645174272475</v>
      </c>
      <c r="AQ88">
        <f t="shared" si="8"/>
        <v>54.7794144968815</v>
      </c>
    </row>
    <row r="89" spans="29:43" x14ac:dyDescent="0.25">
      <c r="AC89" t="s">
        <v>5</v>
      </c>
      <c r="AD89" s="1">
        <v>37012</v>
      </c>
      <c r="AE89">
        <v>214231</v>
      </c>
      <c r="AF89">
        <v>752556214855.22998</v>
      </c>
      <c r="AG89">
        <v>44.171180394260503</v>
      </c>
      <c r="AI89" t="s">
        <v>14</v>
      </c>
      <c r="AJ89" s="1">
        <v>37135</v>
      </c>
      <c r="AK89">
        <v>122179</v>
      </c>
      <c r="AL89">
        <v>628840911305.92004</v>
      </c>
      <c r="AM89">
        <v>44.905698671691802</v>
      </c>
      <c r="AO89" s="1">
        <f t="shared" si="6"/>
        <v>37012</v>
      </c>
      <c r="AP89">
        <f t="shared" si="7"/>
        <v>44.171180394260503</v>
      </c>
      <c r="AQ89">
        <f t="shared" si="8"/>
        <v>41.047063795535898</v>
      </c>
    </row>
    <row r="90" spans="29:43" x14ac:dyDescent="0.25">
      <c r="AC90" t="s">
        <v>5</v>
      </c>
      <c r="AD90" s="1">
        <v>37043</v>
      </c>
      <c r="AE90">
        <v>216060</v>
      </c>
      <c r="AF90">
        <v>768634381863</v>
      </c>
      <c r="AG90">
        <v>31.746409650996799</v>
      </c>
      <c r="AI90" t="s">
        <v>14</v>
      </c>
      <c r="AJ90" s="1">
        <v>37165</v>
      </c>
      <c r="AK90">
        <v>123141</v>
      </c>
      <c r="AL90">
        <v>638519275459.80005</v>
      </c>
      <c r="AM90">
        <v>56.336247896176097</v>
      </c>
      <c r="AO90" s="1">
        <f t="shared" si="6"/>
        <v>37043</v>
      </c>
      <c r="AP90">
        <f t="shared" si="7"/>
        <v>31.746409650996799</v>
      </c>
      <c r="AQ90">
        <f t="shared" si="8"/>
        <v>28.9188934623275</v>
      </c>
    </row>
    <row r="91" spans="29:43" x14ac:dyDescent="0.25">
      <c r="AC91" t="s">
        <v>5</v>
      </c>
      <c r="AD91" s="1">
        <v>37073</v>
      </c>
      <c r="AE91">
        <v>217775</v>
      </c>
      <c r="AF91">
        <v>783899597190.81006</v>
      </c>
      <c r="AG91">
        <v>30.7296745383975</v>
      </c>
      <c r="AI91" t="s">
        <v>14</v>
      </c>
      <c r="AJ91" s="1">
        <v>37196</v>
      </c>
      <c r="AK91">
        <v>124004</v>
      </c>
      <c r="AL91">
        <v>646306647396.65002</v>
      </c>
      <c r="AM91">
        <v>75.7350022377627</v>
      </c>
      <c r="AO91" s="1">
        <f t="shared" si="6"/>
        <v>37073</v>
      </c>
      <c r="AP91">
        <f t="shared" si="7"/>
        <v>30.7296745383975</v>
      </c>
      <c r="AQ91">
        <f t="shared" si="8"/>
        <v>27.556720853083299</v>
      </c>
    </row>
    <row r="92" spans="29:43" x14ac:dyDescent="0.25">
      <c r="AC92" t="s">
        <v>5</v>
      </c>
      <c r="AD92" s="1">
        <v>37104</v>
      </c>
      <c r="AE92">
        <v>219337</v>
      </c>
      <c r="AF92">
        <v>800219895172</v>
      </c>
      <c r="AG92">
        <v>31.836994475887099</v>
      </c>
      <c r="AI92" t="s">
        <v>14</v>
      </c>
      <c r="AJ92" s="1">
        <v>37226</v>
      </c>
      <c r="AK92">
        <v>124910</v>
      </c>
      <c r="AL92">
        <v>652582097254.40002</v>
      </c>
      <c r="AM92">
        <v>70.190030274291999</v>
      </c>
      <c r="AO92" s="1">
        <f t="shared" si="6"/>
        <v>37104</v>
      </c>
      <c r="AP92">
        <f t="shared" si="7"/>
        <v>31.836994475887099</v>
      </c>
      <c r="AQ92">
        <f t="shared" si="8"/>
        <v>28.358759391345298</v>
      </c>
    </row>
    <row r="93" spans="29:43" x14ac:dyDescent="0.25">
      <c r="AC93" t="s">
        <v>5</v>
      </c>
      <c r="AD93" s="1">
        <v>37135</v>
      </c>
      <c r="AE93">
        <v>220863</v>
      </c>
      <c r="AF93">
        <v>816276961683.10999</v>
      </c>
      <c r="AG93">
        <v>48.097795195125798</v>
      </c>
      <c r="AI93" t="s">
        <v>14</v>
      </c>
      <c r="AJ93" s="1">
        <v>37257</v>
      </c>
      <c r="AK93">
        <v>125965</v>
      </c>
      <c r="AL93">
        <v>656486331011.75</v>
      </c>
      <c r="AM93">
        <v>26.927941603463101</v>
      </c>
      <c r="AO93" s="1">
        <f t="shared" si="6"/>
        <v>37135</v>
      </c>
      <c r="AP93">
        <f t="shared" si="7"/>
        <v>48.097795195125798</v>
      </c>
      <c r="AQ93">
        <f t="shared" si="8"/>
        <v>44.905698671691802</v>
      </c>
    </row>
    <row r="94" spans="29:43" x14ac:dyDescent="0.25">
      <c r="AC94" t="s">
        <v>5</v>
      </c>
      <c r="AD94" s="1">
        <v>37165</v>
      </c>
      <c r="AE94">
        <v>222193</v>
      </c>
      <c r="AF94">
        <v>829340407712.87</v>
      </c>
      <c r="AG94">
        <v>59.4208095978072</v>
      </c>
      <c r="AI94" t="s">
        <v>14</v>
      </c>
      <c r="AJ94" s="1">
        <v>37288</v>
      </c>
      <c r="AK94">
        <v>126547</v>
      </c>
      <c r="AL94">
        <v>656253601310.68994</v>
      </c>
      <c r="AM94">
        <v>29.607112975442199</v>
      </c>
      <c r="AO94" s="1">
        <f t="shared" si="6"/>
        <v>37165</v>
      </c>
      <c r="AP94">
        <f t="shared" si="7"/>
        <v>59.4208095978072</v>
      </c>
      <c r="AQ94">
        <f t="shared" si="8"/>
        <v>56.336247896176097</v>
      </c>
    </row>
    <row r="95" spans="29:43" x14ac:dyDescent="0.25">
      <c r="AC95" t="s">
        <v>5</v>
      </c>
      <c r="AD95" s="1">
        <v>37196</v>
      </c>
      <c r="AE95">
        <v>223572</v>
      </c>
      <c r="AF95">
        <v>841081375122.14001</v>
      </c>
      <c r="AG95">
        <v>78.807691077217996</v>
      </c>
      <c r="AI95" t="s">
        <v>14</v>
      </c>
      <c r="AJ95" s="1">
        <v>37316</v>
      </c>
      <c r="AK95">
        <v>127084</v>
      </c>
      <c r="AL95">
        <v>662578022060.97998</v>
      </c>
      <c r="AM95">
        <v>43.961304692736597</v>
      </c>
      <c r="AO95" s="1">
        <f t="shared" si="6"/>
        <v>37196</v>
      </c>
      <c r="AP95">
        <f t="shared" si="7"/>
        <v>78.807691077217996</v>
      </c>
      <c r="AQ95">
        <f t="shared" si="8"/>
        <v>75.7350022377627</v>
      </c>
    </row>
    <row r="96" spans="29:43" x14ac:dyDescent="0.25">
      <c r="AC96" t="s">
        <v>5</v>
      </c>
      <c r="AD96" s="1">
        <v>37226</v>
      </c>
      <c r="AE96">
        <v>225055</v>
      </c>
      <c r="AF96">
        <v>853354387292.38</v>
      </c>
      <c r="AG96">
        <v>72.738623234469699</v>
      </c>
      <c r="AI96" t="s">
        <v>14</v>
      </c>
      <c r="AJ96" s="1">
        <v>37347</v>
      </c>
      <c r="AK96">
        <v>127647</v>
      </c>
      <c r="AL96">
        <v>667880223893.80005</v>
      </c>
      <c r="AM96">
        <v>18.689622700493199</v>
      </c>
      <c r="AO96" s="1">
        <f t="shared" si="6"/>
        <v>37226</v>
      </c>
      <c r="AP96">
        <f t="shared" si="7"/>
        <v>72.738623234469699</v>
      </c>
      <c r="AQ96">
        <f t="shared" si="8"/>
        <v>70.190030274291999</v>
      </c>
    </row>
    <row r="97" spans="29:43" x14ac:dyDescent="0.25">
      <c r="AC97" t="s">
        <v>5</v>
      </c>
      <c r="AD97" s="1">
        <v>37257</v>
      </c>
      <c r="AE97">
        <v>226605</v>
      </c>
      <c r="AF97">
        <v>865009341307.27002</v>
      </c>
      <c r="AG97">
        <v>29.170432714432099</v>
      </c>
      <c r="AI97" t="s">
        <v>14</v>
      </c>
      <c r="AJ97" s="1">
        <v>37377</v>
      </c>
      <c r="AK97">
        <v>128359</v>
      </c>
      <c r="AL97">
        <v>674907718124.70996</v>
      </c>
      <c r="AM97">
        <v>24.021385655237701</v>
      </c>
      <c r="AO97" s="1">
        <f t="shared" si="6"/>
        <v>37257</v>
      </c>
      <c r="AP97">
        <f t="shared" si="7"/>
        <v>29.170432714432099</v>
      </c>
      <c r="AQ97">
        <f t="shared" si="8"/>
        <v>26.927941603463101</v>
      </c>
    </row>
    <row r="98" spans="29:43" x14ac:dyDescent="0.25">
      <c r="AC98" t="s">
        <v>5</v>
      </c>
      <c r="AD98" s="1">
        <v>37288</v>
      </c>
      <c r="AE98">
        <v>227719</v>
      </c>
      <c r="AF98">
        <v>868002653952.68994</v>
      </c>
      <c r="AG98">
        <v>31.772016970977099</v>
      </c>
      <c r="AI98" t="s">
        <v>14</v>
      </c>
      <c r="AJ98" s="1">
        <v>37408</v>
      </c>
      <c r="AK98">
        <v>128856</v>
      </c>
      <c r="AL98">
        <v>678129810095.63</v>
      </c>
      <c r="AM98">
        <v>40.713155040885702</v>
      </c>
      <c r="AO98" s="1">
        <f t="shared" si="6"/>
        <v>37288</v>
      </c>
      <c r="AP98">
        <f t="shared" si="7"/>
        <v>31.772016970977099</v>
      </c>
      <c r="AQ98">
        <f t="shared" si="8"/>
        <v>29.607112975442199</v>
      </c>
    </row>
    <row r="99" spans="29:43" x14ac:dyDescent="0.25">
      <c r="AC99" t="s">
        <v>5</v>
      </c>
      <c r="AD99" s="1">
        <v>37316</v>
      </c>
      <c r="AE99">
        <v>228962</v>
      </c>
      <c r="AF99">
        <v>879696484692.43994</v>
      </c>
      <c r="AG99">
        <v>46.291950384986599</v>
      </c>
      <c r="AI99" t="s">
        <v>14</v>
      </c>
      <c r="AJ99" s="1">
        <v>37438</v>
      </c>
      <c r="AK99">
        <v>129396</v>
      </c>
      <c r="AL99">
        <v>683017451835.34998</v>
      </c>
      <c r="AM99">
        <v>58.0950695973413</v>
      </c>
      <c r="AO99" s="1">
        <f t="shared" si="6"/>
        <v>37316</v>
      </c>
      <c r="AP99">
        <f t="shared" si="7"/>
        <v>46.291950384986599</v>
      </c>
      <c r="AQ99">
        <f t="shared" si="8"/>
        <v>43.961304692736597</v>
      </c>
    </row>
    <row r="100" spans="29:43" x14ac:dyDescent="0.25">
      <c r="AC100" t="s">
        <v>5</v>
      </c>
      <c r="AD100" s="1">
        <v>37347</v>
      </c>
      <c r="AE100">
        <v>229290</v>
      </c>
      <c r="AF100">
        <v>891137066963.31006</v>
      </c>
      <c r="AG100">
        <v>21.183776010230801</v>
      </c>
      <c r="AI100" t="s">
        <v>14</v>
      </c>
      <c r="AJ100" s="1">
        <v>37469</v>
      </c>
      <c r="AK100">
        <v>129977</v>
      </c>
      <c r="AL100">
        <v>688067618515.57996</v>
      </c>
      <c r="AM100">
        <v>74.579191936174098</v>
      </c>
      <c r="AO100" s="1">
        <f t="shared" si="6"/>
        <v>37347</v>
      </c>
      <c r="AP100">
        <f t="shared" si="7"/>
        <v>21.183776010230801</v>
      </c>
      <c r="AQ100">
        <f t="shared" si="8"/>
        <v>18.689622700493199</v>
      </c>
    </row>
    <row r="101" spans="29:43" x14ac:dyDescent="0.25">
      <c r="AC101" t="s">
        <v>5</v>
      </c>
      <c r="AD101" s="1">
        <v>37377</v>
      </c>
      <c r="AE101">
        <v>230242</v>
      </c>
      <c r="AF101">
        <v>898079497234.46997</v>
      </c>
      <c r="AG101">
        <v>26.942833798993799</v>
      </c>
      <c r="AI101" t="s">
        <v>14</v>
      </c>
      <c r="AJ101" s="1">
        <v>37500</v>
      </c>
      <c r="AK101">
        <v>130648</v>
      </c>
      <c r="AL101">
        <v>691159460575.51001</v>
      </c>
      <c r="AM101">
        <v>90.150900499985497</v>
      </c>
      <c r="AO101" s="1">
        <f t="shared" si="6"/>
        <v>37377</v>
      </c>
      <c r="AP101">
        <f t="shared" si="7"/>
        <v>26.942833798993799</v>
      </c>
      <c r="AQ101">
        <f t="shared" si="8"/>
        <v>24.021385655237701</v>
      </c>
    </row>
    <row r="102" spans="29:43" x14ac:dyDescent="0.25">
      <c r="AC102" t="s">
        <v>5</v>
      </c>
      <c r="AD102" s="1">
        <v>37408</v>
      </c>
      <c r="AE102">
        <v>231200</v>
      </c>
      <c r="AF102">
        <v>906196770233.09998</v>
      </c>
      <c r="AG102">
        <v>43.635798356288397</v>
      </c>
      <c r="AI102" t="s">
        <v>14</v>
      </c>
      <c r="AJ102" s="1">
        <v>37530</v>
      </c>
      <c r="AK102">
        <v>131306</v>
      </c>
      <c r="AL102">
        <v>688876296638.54004</v>
      </c>
      <c r="AM102">
        <v>107.545329192813</v>
      </c>
      <c r="AO102" s="1">
        <f t="shared" si="6"/>
        <v>37408</v>
      </c>
      <c r="AP102">
        <f t="shared" si="7"/>
        <v>43.635798356288397</v>
      </c>
      <c r="AQ102">
        <f t="shared" si="8"/>
        <v>40.713155040885702</v>
      </c>
    </row>
    <row r="103" spans="29:43" x14ac:dyDescent="0.25">
      <c r="AC103" t="s">
        <v>5</v>
      </c>
      <c r="AD103" s="1">
        <v>37438</v>
      </c>
      <c r="AE103">
        <v>232155</v>
      </c>
      <c r="AF103">
        <v>915306614991.16003</v>
      </c>
      <c r="AG103">
        <v>61.088728101106199</v>
      </c>
      <c r="AI103" t="s">
        <v>14</v>
      </c>
      <c r="AJ103" s="1">
        <v>37561</v>
      </c>
      <c r="AK103">
        <v>131940</v>
      </c>
      <c r="AL103">
        <v>689249009215.40002</v>
      </c>
      <c r="AM103">
        <v>103.133436443188</v>
      </c>
      <c r="AO103" s="1">
        <f t="shared" si="6"/>
        <v>37438</v>
      </c>
      <c r="AP103">
        <f t="shared" si="7"/>
        <v>61.088728101106199</v>
      </c>
      <c r="AQ103">
        <f t="shared" si="8"/>
        <v>58.0950695973413</v>
      </c>
    </row>
    <row r="104" spans="29:43" x14ac:dyDescent="0.25">
      <c r="AC104" t="s">
        <v>5</v>
      </c>
      <c r="AD104" s="1">
        <v>37469</v>
      </c>
      <c r="AE104">
        <v>232988</v>
      </c>
      <c r="AF104">
        <v>924210879564.21997</v>
      </c>
      <c r="AG104">
        <v>77.690997330277099</v>
      </c>
      <c r="AI104" t="s">
        <v>14</v>
      </c>
      <c r="AJ104" s="1">
        <v>37591</v>
      </c>
      <c r="AK104">
        <v>132490</v>
      </c>
      <c r="AL104">
        <v>678094236394.04004</v>
      </c>
      <c r="AM104">
        <v>103.890237150167</v>
      </c>
      <c r="AO104" s="1">
        <f t="shared" si="6"/>
        <v>37469</v>
      </c>
      <c r="AP104">
        <f t="shared" si="7"/>
        <v>77.690997330277099</v>
      </c>
      <c r="AQ104">
        <f t="shared" si="8"/>
        <v>74.579191936174098</v>
      </c>
    </row>
    <row r="105" spans="29:43" x14ac:dyDescent="0.25">
      <c r="AC105" t="s">
        <v>5</v>
      </c>
      <c r="AD105" s="1">
        <v>37500</v>
      </c>
      <c r="AE105">
        <v>234029</v>
      </c>
      <c r="AF105">
        <v>933451662668.81006</v>
      </c>
      <c r="AG105">
        <v>93.218586266056207</v>
      </c>
      <c r="AI105" t="s">
        <v>14</v>
      </c>
      <c r="AJ105" s="1">
        <v>37622</v>
      </c>
      <c r="AK105">
        <v>133138</v>
      </c>
      <c r="AL105">
        <v>672789187584.20996</v>
      </c>
      <c r="AM105">
        <v>100.27250723974601</v>
      </c>
      <c r="AO105" s="1">
        <f t="shared" si="6"/>
        <v>37500</v>
      </c>
      <c r="AP105">
        <f t="shared" si="7"/>
        <v>93.218586266056207</v>
      </c>
      <c r="AQ105">
        <f t="shared" si="8"/>
        <v>90.150900499985497</v>
      </c>
    </row>
    <row r="106" spans="29:43" x14ac:dyDescent="0.25">
      <c r="AC106" t="s">
        <v>5</v>
      </c>
      <c r="AD106" s="1">
        <v>37530</v>
      </c>
      <c r="AE106">
        <v>235250</v>
      </c>
      <c r="AF106">
        <v>939163115315.12</v>
      </c>
      <c r="AG106">
        <v>110.273623188941</v>
      </c>
      <c r="AI106" t="s">
        <v>14</v>
      </c>
      <c r="AJ106" s="1">
        <v>37653</v>
      </c>
      <c r="AK106">
        <v>133396</v>
      </c>
      <c r="AL106">
        <v>656320845922.16003</v>
      </c>
      <c r="AM106">
        <v>108.815113400649</v>
      </c>
      <c r="AO106" s="1">
        <f t="shared" si="6"/>
        <v>37530</v>
      </c>
      <c r="AP106">
        <f t="shared" si="7"/>
        <v>110.273623188941</v>
      </c>
      <c r="AQ106">
        <f t="shared" si="8"/>
        <v>107.545329192813</v>
      </c>
    </row>
    <row r="107" spans="29:43" x14ac:dyDescent="0.25">
      <c r="AC107" t="s">
        <v>5</v>
      </c>
      <c r="AD107" s="1">
        <v>37561</v>
      </c>
      <c r="AE107">
        <v>236280</v>
      </c>
      <c r="AF107">
        <v>950835871010.5</v>
      </c>
      <c r="AG107">
        <v>105.316903858286</v>
      </c>
      <c r="AI107" t="s">
        <v>14</v>
      </c>
      <c r="AJ107" s="1">
        <v>37681</v>
      </c>
      <c r="AK107">
        <v>133498</v>
      </c>
      <c r="AL107">
        <v>640695606869.09998</v>
      </c>
      <c r="AM107">
        <v>111.745955720119</v>
      </c>
      <c r="AO107" s="1">
        <f t="shared" si="6"/>
        <v>37561</v>
      </c>
      <c r="AP107">
        <f t="shared" si="7"/>
        <v>105.316903858286</v>
      </c>
      <c r="AQ107">
        <f t="shared" si="8"/>
        <v>103.133436443188</v>
      </c>
    </row>
    <row r="108" spans="29:43" x14ac:dyDescent="0.25">
      <c r="AC108" t="s">
        <v>5</v>
      </c>
      <c r="AD108" s="1">
        <v>37591</v>
      </c>
      <c r="AE108">
        <v>237080</v>
      </c>
      <c r="AF108">
        <v>948704633830.25</v>
      </c>
      <c r="AG108">
        <v>105.48623747525799</v>
      </c>
      <c r="AI108" t="s">
        <v>14</v>
      </c>
      <c r="AJ108" s="1">
        <v>37712</v>
      </c>
      <c r="AK108">
        <v>133630</v>
      </c>
      <c r="AL108">
        <v>636170845578.67004</v>
      </c>
      <c r="AM108">
        <v>116.997696539396</v>
      </c>
      <c r="AO108" s="1">
        <f t="shared" si="6"/>
        <v>37591</v>
      </c>
      <c r="AP108">
        <f t="shared" si="7"/>
        <v>105.48623747525799</v>
      </c>
      <c r="AQ108">
        <f t="shared" si="8"/>
        <v>103.890237150167</v>
      </c>
    </row>
    <row r="109" spans="29:43" x14ac:dyDescent="0.25">
      <c r="AC109" t="s">
        <v>5</v>
      </c>
      <c r="AD109" s="1">
        <v>37622</v>
      </c>
      <c r="AE109">
        <v>238095</v>
      </c>
      <c r="AF109">
        <v>952529753121.88</v>
      </c>
      <c r="AG109">
        <v>101.81856544518401</v>
      </c>
      <c r="AI109" t="s">
        <v>14</v>
      </c>
      <c r="AJ109" s="1">
        <v>37742</v>
      </c>
      <c r="AK109">
        <v>133613</v>
      </c>
      <c r="AL109">
        <v>622258033060.27002</v>
      </c>
      <c r="AM109">
        <v>105.8147914963</v>
      </c>
      <c r="AO109" s="1">
        <f t="shared" si="6"/>
        <v>37622</v>
      </c>
      <c r="AP109">
        <f t="shared" si="7"/>
        <v>101.81856544518401</v>
      </c>
      <c r="AQ109">
        <f t="shared" si="8"/>
        <v>100.27250723974601</v>
      </c>
    </row>
    <row r="110" spans="29:43" x14ac:dyDescent="0.25">
      <c r="AC110" t="s">
        <v>5</v>
      </c>
      <c r="AD110" s="1">
        <v>37653</v>
      </c>
      <c r="AE110">
        <v>238988</v>
      </c>
      <c r="AF110">
        <v>962426850688.71997</v>
      </c>
      <c r="AG110">
        <v>107.77748937055</v>
      </c>
      <c r="AI110" t="s">
        <v>14</v>
      </c>
      <c r="AJ110" s="1">
        <v>37773</v>
      </c>
      <c r="AK110">
        <v>133466</v>
      </c>
      <c r="AL110">
        <v>605902541798.10999</v>
      </c>
      <c r="AM110">
        <v>132.50916432429599</v>
      </c>
      <c r="AO110" s="1">
        <f t="shared" si="6"/>
        <v>37653</v>
      </c>
      <c r="AP110">
        <f t="shared" si="7"/>
        <v>107.77748937055</v>
      </c>
      <c r="AQ110">
        <f t="shared" si="8"/>
        <v>108.815113400649</v>
      </c>
    </row>
    <row r="111" spans="29:43" x14ac:dyDescent="0.25">
      <c r="AC111" t="s">
        <v>5</v>
      </c>
      <c r="AD111" s="1">
        <v>37681</v>
      </c>
      <c r="AE111">
        <v>239791</v>
      </c>
      <c r="AF111">
        <v>971889246408.43994</v>
      </c>
      <c r="AG111">
        <v>108.316514510231</v>
      </c>
      <c r="AI111" t="s">
        <v>14</v>
      </c>
      <c r="AJ111" s="1">
        <v>37803</v>
      </c>
      <c r="AK111">
        <v>133315</v>
      </c>
      <c r="AL111">
        <v>593660262525.88</v>
      </c>
      <c r="AM111">
        <v>154.472035043408</v>
      </c>
      <c r="AO111" s="1">
        <f t="shared" si="6"/>
        <v>37681</v>
      </c>
      <c r="AP111">
        <f t="shared" si="7"/>
        <v>108.316514510231</v>
      </c>
      <c r="AQ111">
        <f t="shared" si="8"/>
        <v>111.745955720119</v>
      </c>
    </row>
    <row r="112" spans="29:43" x14ac:dyDescent="0.25">
      <c r="AC112" t="s">
        <v>5</v>
      </c>
      <c r="AD112" s="1">
        <v>37712</v>
      </c>
      <c r="AE112">
        <v>240505</v>
      </c>
      <c r="AF112">
        <v>981397635555.85999</v>
      </c>
      <c r="AG112">
        <v>112.999313934764</v>
      </c>
      <c r="AI112" t="s">
        <v>14</v>
      </c>
      <c r="AJ112" s="1">
        <v>37834</v>
      </c>
      <c r="AK112">
        <v>133241</v>
      </c>
      <c r="AL112">
        <v>585591811850.32996</v>
      </c>
      <c r="AM112">
        <v>98.166530538078405</v>
      </c>
      <c r="AO112" s="1">
        <f t="shared" si="6"/>
        <v>37712</v>
      </c>
      <c r="AP112">
        <f t="shared" si="7"/>
        <v>112.999313934764</v>
      </c>
      <c r="AQ112">
        <f t="shared" si="8"/>
        <v>116.997696539396</v>
      </c>
    </row>
    <row r="113" spans="29:43" x14ac:dyDescent="0.25">
      <c r="AC113" t="s">
        <v>5</v>
      </c>
      <c r="AD113" s="1">
        <v>37742</v>
      </c>
      <c r="AE113">
        <v>241199</v>
      </c>
      <c r="AF113">
        <v>998455877100.01001</v>
      </c>
      <c r="AG113">
        <v>99.198776449602903</v>
      </c>
      <c r="AI113" t="s">
        <v>14</v>
      </c>
      <c r="AJ113" s="1">
        <v>37865</v>
      </c>
      <c r="AK113">
        <v>133058</v>
      </c>
      <c r="AL113">
        <v>578183747971.03003</v>
      </c>
      <c r="AM113">
        <v>25.741510583856002</v>
      </c>
      <c r="AO113" s="1">
        <f t="shared" si="6"/>
        <v>37742</v>
      </c>
      <c r="AP113">
        <f t="shared" si="7"/>
        <v>99.198776449602903</v>
      </c>
      <c r="AQ113">
        <f t="shared" si="8"/>
        <v>105.8147914963</v>
      </c>
    </row>
    <row r="114" spans="29:43" x14ac:dyDescent="0.25">
      <c r="AC114" t="s">
        <v>5</v>
      </c>
      <c r="AD114" s="1">
        <v>37773</v>
      </c>
      <c r="AE114">
        <v>241528</v>
      </c>
      <c r="AF114">
        <v>1000338175794.87</v>
      </c>
      <c r="AG114">
        <v>124.781551671805</v>
      </c>
      <c r="AI114" t="s">
        <v>14</v>
      </c>
      <c r="AJ114" s="1">
        <v>37895</v>
      </c>
      <c r="AK114">
        <v>132608</v>
      </c>
      <c r="AL114">
        <v>572845474136.19995</v>
      </c>
      <c r="AM114">
        <v>35.974035861419601</v>
      </c>
      <c r="AO114" s="1">
        <f t="shared" si="6"/>
        <v>37773</v>
      </c>
      <c r="AP114">
        <f t="shared" si="7"/>
        <v>124.781551671805</v>
      </c>
      <c r="AQ114">
        <f t="shared" si="8"/>
        <v>132.50916432429599</v>
      </c>
    </row>
    <row r="115" spans="29:43" x14ac:dyDescent="0.25">
      <c r="AC115" t="s">
        <v>5</v>
      </c>
      <c r="AD115" s="1">
        <v>37803</v>
      </c>
      <c r="AE115">
        <v>242127</v>
      </c>
      <c r="AF115">
        <v>1015393774840.89</v>
      </c>
      <c r="AG115">
        <v>145.07139029234</v>
      </c>
      <c r="AI115" t="s">
        <v>14</v>
      </c>
      <c r="AJ115" s="1">
        <v>37926</v>
      </c>
      <c r="AK115">
        <v>132103</v>
      </c>
      <c r="AL115">
        <v>579941535512.03003</v>
      </c>
      <c r="AM115">
        <v>48.2659639827124</v>
      </c>
      <c r="AO115" s="1">
        <f t="shared" si="6"/>
        <v>37803</v>
      </c>
      <c r="AP115">
        <f t="shared" si="7"/>
        <v>145.07139029234</v>
      </c>
      <c r="AQ115">
        <f t="shared" si="8"/>
        <v>154.472035043408</v>
      </c>
    </row>
    <row r="116" spans="29:43" x14ac:dyDescent="0.25">
      <c r="AC116" t="s">
        <v>5</v>
      </c>
      <c r="AD116" s="1">
        <v>37834</v>
      </c>
      <c r="AE116">
        <v>242806</v>
      </c>
      <c r="AF116">
        <v>1022403673721.74</v>
      </c>
      <c r="AG116">
        <v>87.779214053216705</v>
      </c>
      <c r="AI116" t="s">
        <v>14</v>
      </c>
      <c r="AJ116" s="1">
        <v>37956</v>
      </c>
      <c r="AK116">
        <v>131762</v>
      </c>
      <c r="AL116">
        <v>581878790128.79004</v>
      </c>
      <c r="AM116">
        <v>46.3799056167312</v>
      </c>
      <c r="AO116" s="1">
        <f t="shared" si="6"/>
        <v>37834</v>
      </c>
      <c r="AP116">
        <f t="shared" si="7"/>
        <v>87.779214053216705</v>
      </c>
      <c r="AQ116">
        <f t="shared" si="8"/>
        <v>98.166530538078405</v>
      </c>
    </row>
    <row r="117" spans="29:43" x14ac:dyDescent="0.25">
      <c r="AC117" t="s">
        <v>5</v>
      </c>
      <c r="AD117" s="1">
        <v>37865</v>
      </c>
      <c r="AE117">
        <v>243055</v>
      </c>
      <c r="AF117">
        <v>1011345079983.45</v>
      </c>
      <c r="AG117">
        <v>17.740485407981598</v>
      </c>
      <c r="AI117" t="s">
        <v>14</v>
      </c>
      <c r="AJ117" s="1">
        <v>37987</v>
      </c>
      <c r="AK117">
        <v>131673</v>
      </c>
      <c r="AL117">
        <v>587417750639.32996</v>
      </c>
      <c r="AM117">
        <v>47.983428653724097</v>
      </c>
      <c r="AO117" s="1">
        <f t="shared" si="6"/>
        <v>37865</v>
      </c>
      <c r="AP117">
        <f t="shared" si="7"/>
        <v>17.740485407981598</v>
      </c>
      <c r="AQ117">
        <f t="shared" si="8"/>
        <v>25.741510583856002</v>
      </c>
    </row>
    <row r="118" spans="29:43" x14ac:dyDescent="0.25">
      <c r="AC118" t="s">
        <v>5</v>
      </c>
      <c r="AD118" s="1">
        <v>37895</v>
      </c>
      <c r="AE118">
        <v>243087</v>
      </c>
      <c r="AF118">
        <v>1018746952300.48</v>
      </c>
      <c r="AG118">
        <v>28.024755913663999</v>
      </c>
      <c r="AI118" t="s">
        <v>14</v>
      </c>
      <c r="AJ118" s="1">
        <v>38018</v>
      </c>
      <c r="AK118">
        <v>131593</v>
      </c>
      <c r="AL118">
        <v>590489964527.37</v>
      </c>
      <c r="AM118">
        <v>62.907451892085902</v>
      </c>
      <c r="AO118" s="1">
        <f t="shared" ref="AO118:AO181" si="9">AD118</f>
        <v>37895</v>
      </c>
      <c r="AP118">
        <f t="shared" ref="AP118:AP181" si="10">AG118</f>
        <v>28.024755913663999</v>
      </c>
      <c r="AQ118">
        <f t="shared" si="8"/>
        <v>35.974035861419601</v>
      </c>
    </row>
    <row r="119" spans="29:43" x14ac:dyDescent="0.25">
      <c r="AC119" t="s">
        <v>5</v>
      </c>
      <c r="AD119" s="1">
        <v>37926</v>
      </c>
      <c r="AE119">
        <v>242823</v>
      </c>
      <c r="AF119">
        <v>1022881900552.3199</v>
      </c>
      <c r="AG119">
        <v>42.348912705826798</v>
      </c>
      <c r="AI119" t="s">
        <v>14</v>
      </c>
      <c r="AJ119" s="1">
        <v>38047</v>
      </c>
      <c r="AK119">
        <v>131656</v>
      </c>
      <c r="AL119">
        <v>593859136986.82996</v>
      </c>
      <c r="AM119">
        <v>68.826870595556699</v>
      </c>
      <c r="AO119" s="1">
        <f t="shared" si="9"/>
        <v>37926</v>
      </c>
      <c r="AP119">
        <f t="shared" si="10"/>
        <v>42.348912705826798</v>
      </c>
      <c r="AQ119">
        <f t="shared" si="8"/>
        <v>48.2659639827124</v>
      </c>
    </row>
    <row r="120" spans="29:43" x14ac:dyDescent="0.25">
      <c r="AC120" t="s">
        <v>5</v>
      </c>
      <c r="AD120" s="1">
        <v>37956</v>
      </c>
      <c r="AE120">
        <v>242568</v>
      </c>
      <c r="AF120">
        <v>1029221486063.8</v>
      </c>
      <c r="AG120">
        <v>40.676446026727099</v>
      </c>
      <c r="AI120" t="s">
        <v>14</v>
      </c>
      <c r="AJ120" s="1">
        <v>38078</v>
      </c>
      <c r="AK120">
        <v>131878</v>
      </c>
      <c r="AL120">
        <v>596475616648.46997</v>
      </c>
      <c r="AM120">
        <v>84.244284181382994</v>
      </c>
      <c r="AO120" s="1">
        <f t="shared" si="9"/>
        <v>37956</v>
      </c>
      <c r="AP120">
        <f t="shared" si="10"/>
        <v>40.676446026727099</v>
      </c>
      <c r="AQ120">
        <f t="shared" si="8"/>
        <v>46.3799056167312</v>
      </c>
    </row>
    <row r="121" spans="29:43" x14ac:dyDescent="0.25">
      <c r="AC121" t="s">
        <v>5</v>
      </c>
      <c r="AD121" s="1">
        <v>37987</v>
      </c>
      <c r="AE121">
        <v>242944</v>
      </c>
      <c r="AF121">
        <v>1041578015793.9</v>
      </c>
      <c r="AG121">
        <v>42.833346705498897</v>
      </c>
      <c r="AI121" t="s">
        <v>14</v>
      </c>
      <c r="AJ121" s="1">
        <v>38108</v>
      </c>
      <c r="AK121">
        <v>132083</v>
      </c>
      <c r="AL121">
        <v>597337065898.32996</v>
      </c>
      <c r="AM121">
        <v>36.317871584146303</v>
      </c>
      <c r="AO121" s="1">
        <f t="shared" si="9"/>
        <v>37987</v>
      </c>
      <c r="AP121">
        <f t="shared" si="10"/>
        <v>42.833346705498897</v>
      </c>
      <c r="AQ121">
        <f t="shared" si="8"/>
        <v>47.983428653724097</v>
      </c>
    </row>
    <row r="122" spans="29:43" x14ac:dyDescent="0.25">
      <c r="AC122" t="s">
        <v>5</v>
      </c>
      <c r="AD122" s="1">
        <v>38018</v>
      </c>
      <c r="AE122">
        <v>242958</v>
      </c>
      <c r="AF122">
        <v>1046154494968.26</v>
      </c>
      <c r="AG122">
        <v>58.338416014648999</v>
      </c>
      <c r="AI122" t="s">
        <v>14</v>
      </c>
      <c r="AJ122" s="1">
        <v>38139</v>
      </c>
      <c r="AK122">
        <v>132099</v>
      </c>
      <c r="AL122">
        <v>596273346302.71997</v>
      </c>
      <c r="AM122">
        <v>-3.0237459765794399</v>
      </c>
      <c r="AO122" s="1">
        <f t="shared" si="9"/>
        <v>38018</v>
      </c>
      <c r="AP122">
        <f t="shared" si="10"/>
        <v>58.338416014648999</v>
      </c>
      <c r="AQ122">
        <f t="shared" si="8"/>
        <v>62.907451892085902</v>
      </c>
    </row>
    <row r="123" spans="29:43" x14ac:dyDescent="0.25">
      <c r="AC123" t="s">
        <v>5</v>
      </c>
      <c r="AD123" s="1">
        <v>38047</v>
      </c>
      <c r="AE123">
        <v>243244</v>
      </c>
      <c r="AF123">
        <v>1054228745365.45</v>
      </c>
      <c r="AG123">
        <v>64.678193814750202</v>
      </c>
      <c r="AI123" t="s">
        <v>14</v>
      </c>
      <c r="AJ123" s="1">
        <v>38169</v>
      </c>
      <c r="AK123">
        <v>131952</v>
      </c>
      <c r="AL123">
        <v>601439464147.39001</v>
      </c>
      <c r="AM123">
        <v>-4.2854142195648697</v>
      </c>
      <c r="AO123" s="1">
        <f t="shared" si="9"/>
        <v>38047</v>
      </c>
      <c r="AP123">
        <f t="shared" si="10"/>
        <v>64.678193814750202</v>
      </c>
      <c r="AQ123">
        <f t="shared" si="8"/>
        <v>68.826870595556699</v>
      </c>
    </row>
    <row r="124" spans="29:43" x14ac:dyDescent="0.25">
      <c r="AC124" t="s">
        <v>5</v>
      </c>
      <c r="AD124" s="1">
        <v>38078</v>
      </c>
      <c r="AE124">
        <v>243458</v>
      </c>
      <c r="AF124">
        <v>1054419241918.8</v>
      </c>
      <c r="AG124">
        <v>80.691245138409002</v>
      </c>
      <c r="AI124" t="s">
        <v>14</v>
      </c>
      <c r="AJ124" s="1">
        <v>38200</v>
      </c>
      <c r="AK124">
        <v>131955</v>
      </c>
      <c r="AL124">
        <v>605197029837.21997</v>
      </c>
      <c r="AM124">
        <v>20.606956818366999</v>
      </c>
      <c r="AO124" s="1">
        <f t="shared" si="9"/>
        <v>38078</v>
      </c>
      <c r="AP124">
        <f t="shared" si="10"/>
        <v>80.691245138409002</v>
      </c>
      <c r="AQ124">
        <f t="shared" si="8"/>
        <v>84.244284181382994</v>
      </c>
    </row>
    <row r="125" spans="29:43" x14ac:dyDescent="0.25">
      <c r="AC125" t="s">
        <v>5</v>
      </c>
      <c r="AD125" s="1">
        <v>38108</v>
      </c>
      <c r="AE125">
        <v>243458</v>
      </c>
      <c r="AF125">
        <v>1053489210318.27</v>
      </c>
      <c r="AG125">
        <v>33.457983850094401</v>
      </c>
      <c r="AI125" t="s">
        <v>14</v>
      </c>
      <c r="AJ125" s="1">
        <v>38231</v>
      </c>
      <c r="AK125">
        <v>132161</v>
      </c>
      <c r="AL125">
        <v>608460652302.93994</v>
      </c>
      <c r="AM125">
        <v>33.248350968076899</v>
      </c>
      <c r="AO125" s="1">
        <f t="shared" si="9"/>
        <v>38108</v>
      </c>
      <c r="AP125">
        <f t="shared" si="10"/>
        <v>33.457983850094401</v>
      </c>
      <c r="AQ125">
        <f t="shared" si="8"/>
        <v>36.317871584146303</v>
      </c>
    </row>
    <row r="126" spans="29:43" x14ac:dyDescent="0.25">
      <c r="AC126" t="s">
        <v>5</v>
      </c>
      <c r="AD126" s="1">
        <v>38139</v>
      </c>
      <c r="AE126">
        <v>243206</v>
      </c>
      <c r="AF126">
        <v>1042475819587.54</v>
      </c>
      <c r="AG126">
        <v>-4.8323553612571599</v>
      </c>
      <c r="AI126" t="s">
        <v>14</v>
      </c>
      <c r="AJ126" s="1">
        <v>38261</v>
      </c>
      <c r="AK126">
        <v>132303</v>
      </c>
      <c r="AL126">
        <v>611155921112.51001</v>
      </c>
      <c r="AM126">
        <v>42.407206081832499</v>
      </c>
      <c r="AO126" s="1">
        <f t="shared" si="9"/>
        <v>38139</v>
      </c>
      <c r="AP126">
        <f t="shared" si="10"/>
        <v>-4.8323553612571599</v>
      </c>
      <c r="AQ126">
        <f t="shared" si="8"/>
        <v>-3.0237459765794399</v>
      </c>
    </row>
    <row r="127" spans="29:43" x14ac:dyDescent="0.25">
      <c r="AC127" t="s">
        <v>5</v>
      </c>
      <c r="AD127" s="1">
        <v>38169</v>
      </c>
      <c r="AE127">
        <v>243206</v>
      </c>
      <c r="AF127">
        <v>1043034371136.61</v>
      </c>
      <c r="AG127">
        <v>-5.16329348774235</v>
      </c>
      <c r="AI127" t="s">
        <v>14</v>
      </c>
      <c r="AJ127" s="1">
        <v>38292</v>
      </c>
      <c r="AK127">
        <v>132433</v>
      </c>
      <c r="AL127">
        <v>614809241512.60999</v>
      </c>
      <c r="AM127">
        <v>46.891888280245503</v>
      </c>
      <c r="AO127" s="1">
        <f t="shared" si="9"/>
        <v>38169</v>
      </c>
      <c r="AP127">
        <f t="shared" si="10"/>
        <v>-5.16329348774235</v>
      </c>
      <c r="AQ127">
        <f t="shared" si="8"/>
        <v>-4.2854142195648697</v>
      </c>
    </row>
    <row r="128" spans="29:43" x14ac:dyDescent="0.25">
      <c r="AC128" t="s">
        <v>5</v>
      </c>
      <c r="AD128" s="1">
        <v>38200</v>
      </c>
      <c r="AE128">
        <v>243079</v>
      </c>
      <c r="AF128">
        <v>1042526892174.13</v>
      </c>
      <c r="AG128">
        <v>20.427226056087001</v>
      </c>
      <c r="AI128" t="s">
        <v>14</v>
      </c>
      <c r="AJ128" s="1">
        <v>38322</v>
      </c>
      <c r="AK128">
        <v>132687</v>
      </c>
      <c r="AL128">
        <v>617441892380.83997</v>
      </c>
      <c r="AM128">
        <v>45.702711353575801</v>
      </c>
      <c r="AO128" s="1">
        <f t="shared" si="9"/>
        <v>38200</v>
      </c>
      <c r="AP128">
        <f t="shared" si="10"/>
        <v>20.427226056087001</v>
      </c>
      <c r="AQ128">
        <f t="shared" si="8"/>
        <v>20.606956818366999</v>
      </c>
    </row>
    <row r="129" spans="29:43" x14ac:dyDescent="0.25">
      <c r="AC129" t="s">
        <v>5</v>
      </c>
      <c r="AD129" s="1">
        <v>38231</v>
      </c>
      <c r="AE129">
        <v>243049</v>
      </c>
      <c r="AF129">
        <v>1043715265049.05</v>
      </c>
      <c r="AG129">
        <v>33.575478972206199</v>
      </c>
      <c r="AI129" t="s">
        <v>14</v>
      </c>
      <c r="AJ129" s="1">
        <v>38353</v>
      </c>
      <c r="AK129">
        <v>133092</v>
      </c>
      <c r="AL129">
        <v>623960122239.18994</v>
      </c>
      <c r="AM129">
        <v>42.301713851065401</v>
      </c>
      <c r="AO129" s="1">
        <f t="shared" si="9"/>
        <v>38231</v>
      </c>
      <c r="AP129">
        <f t="shared" si="10"/>
        <v>33.575478972206199</v>
      </c>
      <c r="AQ129">
        <f t="shared" si="8"/>
        <v>33.248350968076899</v>
      </c>
    </row>
    <row r="130" spans="29:43" x14ac:dyDescent="0.25">
      <c r="AC130" t="s">
        <v>5</v>
      </c>
      <c r="AD130" s="1">
        <v>38261</v>
      </c>
      <c r="AE130">
        <v>243211</v>
      </c>
      <c r="AF130">
        <v>1047052334367.59</v>
      </c>
      <c r="AG130">
        <v>42.829502294250503</v>
      </c>
      <c r="AI130" t="s">
        <v>14</v>
      </c>
      <c r="AJ130" s="1">
        <v>38384</v>
      </c>
      <c r="AK130">
        <v>133292</v>
      </c>
      <c r="AL130">
        <v>627455382401.26001</v>
      </c>
      <c r="AM130">
        <v>44.4859084197738</v>
      </c>
      <c r="AO130" s="1">
        <f t="shared" si="9"/>
        <v>38261</v>
      </c>
      <c r="AP130">
        <f t="shared" si="10"/>
        <v>42.829502294250503</v>
      </c>
      <c r="AQ130">
        <f t="shared" si="8"/>
        <v>42.407206081832499</v>
      </c>
    </row>
    <row r="131" spans="29:43" x14ac:dyDescent="0.25">
      <c r="AC131" t="s">
        <v>5</v>
      </c>
      <c r="AD131" s="1">
        <v>38292</v>
      </c>
      <c r="AE131">
        <v>243358</v>
      </c>
      <c r="AF131">
        <v>1046559366288.4301</v>
      </c>
      <c r="AG131">
        <v>47.694875750665197</v>
      </c>
      <c r="AI131" t="s">
        <v>14</v>
      </c>
      <c r="AJ131" s="1">
        <v>38412</v>
      </c>
      <c r="AK131">
        <v>133606</v>
      </c>
      <c r="AL131">
        <v>630345840465.95996</v>
      </c>
      <c r="AM131">
        <v>50.211464451944103</v>
      </c>
      <c r="AO131" s="1">
        <f t="shared" si="9"/>
        <v>38292</v>
      </c>
      <c r="AP131">
        <f t="shared" si="10"/>
        <v>47.694875750665197</v>
      </c>
      <c r="AQ131">
        <f t="shared" ref="AQ131:AQ194" si="11">VLOOKUP(AO131,AJ:AM,4,0)</f>
        <v>46.891888280245503</v>
      </c>
    </row>
    <row r="132" spans="29:43" x14ac:dyDescent="0.25">
      <c r="AC132" t="s">
        <v>5</v>
      </c>
      <c r="AD132" s="1">
        <v>38322</v>
      </c>
      <c r="AE132">
        <v>243520</v>
      </c>
      <c r="AF132">
        <v>1046116620723.4399</v>
      </c>
      <c r="AG132">
        <v>46.896452411306498</v>
      </c>
      <c r="AI132" t="s">
        <v>14</v>
      </c>
      <c r="AJ132" s="1">
        <v>38443</v>
      </c>
      <c r="AK132">
        <v>133977</v>
      </c>
      <c r="AL132">
        <v>636404653411.88</v>
      </c>
      <c r="AM132">
        <v>20.738085561694501</v>
      </c>
      <c r="AO132" s="1">
        <f t="shared" si="9"/>
        <v>38322</v>
      </c>
      <c r="AP132">
        <f t="shared" si="10"/>
        <v>46.896452411306498</v>
      </c>
      <c r="AQ132">
        <f t="shared" si="11"/>
        <v>45.702711353575801</v>
      </c>
    </row>
    <row r="133" spans="29:43" x14ac:dyDescent="0.25">
      <c r="AC133" t="s">
        <v>5</v>
      </c>
      <c r="AD133" s="1">
        <v>38353</v>
      </c>
      <c r="AE133">
        <v>243723</v>
      </c>
      <c r="AF133">
        <v>1045661950289.12</v>
      </c>
      <c r="AG133">
        <v>44.0425330757202</v>
      </c>
      <c r="AI133" t="s">
        <v>14</v>
      </c>
      <c r="AJ133" s="1">
        <v>38473</v>
      </c>
      <c r="AK133">
        <v>134400</v>
      </c>
      <c r="AL133">
        <v>643943974637.40002</v>
      </c>
      <c r="AM133">
        <v>28.187192962208201</v>
      </c>
      <c r="AO133" s="1">
        <f t="shared" si="9"/>
        <v>38353</v>
      </c>
      <c r="AP133">
        <f t="shared" si="10"/>
        <v>44.0425330757202</v>
      </c>
      <c r="AQ133">
        <f t="shared" si="11"/>
        <v>42.301713851065401</v>
      </c>
    </row>
    <row r="134" spans="29:43" x14ac:dyDescent="0.25">
      <c r="AC134" t="s">
        <v>5</v>
      </c>
      <c r="AD134" s="1">
        <v>38384</v>
      </c>
      <c r="AE134">
        <v>243770</v>
      </c>
      <c r="AF134">
        <v>1045305106228.61</v>
      </c>
      <c r="AG134">
        <v>46.5747117741655</v>
      </c>
      <c r="AI134" t="s">
        <v>14</v>
      </c>
      <c r="AJ134" s="1">
        <v>38504</v>
      </c>
      <c r="AK134">
        <v>134739</v>
      </c>
      <c r="AL134">
        <v>653230277414.80005</v>
      </c>
      <c r="AM134">
        <v>41.557957371356103</v>
      </c>
      <c r="AO134" s="1">
        <f t="shared" si="9"/>
        <v>38384</v>
      </c>
      <c r="AP134">
        <f t="shared" si="10"/>
        <v>46.5747117741655</v>
      </c>
      <c r="AQ134">
        <f t="shared" si="11"/>
        <v>44.4859084197738</v>
      </c>
    </row>
    <row r="135" spans="29:43" x14ac:dyDescent="0.25">
      <c r="AC135" t="s">
        <v>5</v>
      </c>
      <c r="AD135" s="1">
        <v>38412</v>
      </c>
      <c r="AE135">
        <v>243919</v>
      </c>
      <c r="AF135">
        <v>1047019150198.85</v>
      </c>
      <c r="AG135">
        <v>52.360339959984202</v>
      </c>
      <c r="AI135" t="s">
        <v>14</v>
      </c>
      <c r="AJ135" s="1">
        <v>38534</v>
      </c>
      <c r="AK135">
        <v>135194</v>
      </c>
      <c r="AL135">
        <v>662672623504.70996</v>
      </c>
      <c r="AM135">
        <v>55.183544164119198</v>
      </c>
      <c r="AO135" s="1">
        <f t="shared" si="9"/>
        <v>38412</v>
      </c>
      <c r="AP135">
        <f t="shared" si="10"/>
        <v>52.360339959984202</v>
      </c>
      <c r="AQ135">
        <f t="shared" si="11"/>
        <v>50.211464451944103</v>
      </c>
    </row>
    <row r="136" spans="29:43" x14ac:dyDescent="0.25">
      <c r="AC136" t="s">
        <v>5</v>
      </c>
      <c r="AD136" s="1">
        <v>38443</v>
      </c>
      <c r="AE136">
        <v>244114</v>
      </c>
      <c r="AF136">
        <v>1048394573900.75</v>
      </c>
      <c r="AG136">
        <v>23.462840931371201</v>
      </c>
      <c r="AI136" t="s">
        <v>14</v>
      </c>
      <c r="AJ136" s="1">
        <v>38565</v>
      </c>
      <c r="AK136">
        <v>135445</v>
      </c>
      <c r="AL136">
        <v>669529147077.09998</v>
      </c>
      <c r="AM136">
        <v>44.192222279180498</v>
      </c>
      <c r="AO136" s="1">
        <f t="shared" si="9"/>
        <v>38443</v>
      </c>
      <c r="AP136">
        <f t="shared" si="10"/>
        <v>23.462840931371201</v>
      </c>
      <c r="AQ136">
        <f t="shared" si="11"/>
        <v>20.738085561694501</v>
      </c>
    </row>
    <row r="137" spans="29:43" x14ac:dyDescent="0.25">
      <c r="AC137" t="s">
        <v>5</v>
      </c>
      <c r="AD137" s="1">
        <v>38473</v>
      </c>
      <c r="AE137">
        <v>244026</v>
      </c>
      <c r="AF137">
        <v>1046716620858.74</v>
      </c>
      <c r="AG137">
        <v>31.209660133052999</v>
      </c>
      <c r="AI137" t="s">
        <v>14</v>
      </c>
      <c r="AJ137" s="1">
        <v>38596</v>
      </c>
      <c r="AK137">
        <v>135930</v>
      </c>
      <c r="AL137">
        <v>681084316958.28003</v>
      </c>
      <c r="AM137">
        <v>31.890451276673399</v>
      </c>
      <c r="AO137" s="1">
        <f t="shared" si="9"/>
        <v>38473</v>
      </c>
      <c r="AP137">
        <f t="shared" si="10"/>
        <v>31.209660133052999</v>
      </c>
      <c r="AQ137">
        <f t="shared" si="11"/>
        <v>28.187192962208201</v>
      </c>
    </row>
    <row r="138" spans="29:43" x14ac:dyDescent="0.25">
      <c r="AC138" t="s">
        <v>5</v>
      </c>
      <c r="AD138" s="1">
        <v>38504</v>
      </c>
      <c r="AE138">
        <v>244112</v>
      </c>
      <c r="AF138">
        <v>1051148406451.9301</v>
      </c>
      <c r="AG138">
        <v>44.7852379399122</v>
      </c>
      <c r="AI138" t="s">
        <v>14</v>
      </c>
      <c r="AJ138" s="1">
        <v>38626</v>
      </c>
      <c r="AK138">
        <v>136354</v>
      </c>
      <c r="AL138">
        <v>696083136095.84998</v>
      </c>
      <c r="AM138">
        <v>29.948023134710301</v>
      </c>
      <c r="AO138" s="1">
        <f t="shared" si="9"/>
        <v>38504</v>
      </c>
      <c r="AP138">
        <f t="shared" si="10"/>
        <v>44.7852379399122</v>
      </c>
      <c r="AQ138">
        <f t="shared" si="11"/>
        <v>41.557957371356103</v>
      </c>
    </row>
    <row r="139" spans="29:43" x14ac:dyDescent="0.25">
      <c r="AC139" t="s">
        <v>5</v>
      </c>
      <c r="AD139" s="1">
        <v>38534</v>
      </c>
      <c r="AE139">
        <v>244290</v>
      </c>
      <c r="AF139">
        <v>1055396152979.1</v>
      </c>
      <c r="AG139">
        <v>58.3124898712638</v>
      </c>
      <c r="AI139" t="s">
        <v>14</v>
      </c>
      <c r="AJ139" s="1">
        <v>38657</v>
      </c>
      <c r="AK139">
        <v>136807</v>
      </c>
      <c r="AL139">
        <v>709909508509.60999</v>
      </c>
      <c r="AM139">
        <v>2.4967656869655799</v>
      </c>
      <c r="AO139" s="1">
        <f t="shared" si="9"/>
        <v>38534</v>
      </c>
      <c r="AP139">
        <f t="shared" si="10"/>
        <v>58.3124898712638</v>
      </c>
      <c r="AQ139">
        <f t="shared" si="11"/>
        <v>55.183544164119198</v>
      </c>
    </row>
    <row r="140" spans="29:43" x14ac:dyDescent="0.25">
      <c r="AC140" t="s">
        <v>5</v>
      </c>
      <c r="AD140" s="1">
        <v>38565</v>
      </c>
      <c r="AE140">
        <v>244376</v>
      </c>
      <c r="AF140">
        <v>1062568967389.26</v>
      </c>
      <c r="AG140">
        <v>47.502575799656903</v>
      </c>
      <c r="AI140" t="s">
        <v>14</v>
      </c>
      <c r="AJ140" s="1">
        <v>38687</v>
      </c>
      <c r="AK140">
        <v>137306</v>
      </c>
      <c r="AL140">
        <v>723313661090.52002</v>
      </c>
      <c r="AM140">
        <v>-23.899047262388301</v>
      </c>
      <c r="AO140" s="1">
        <f t="shared" si="9"/>
        <v>38565</v>
      </c>
      <c r="AP140">
        <f t="shared" si="10"/>
        <v>47.502575799656903</v>
      </c>
      <c r="AQ140">
        <f t="shared" si="11"/>
        <v>44.192222279180498</v>
      </c>
    </row>
    <row r="141" spans="29:43" x14ac:dyDescent="0.25">
      <c r="AC141" t="s">
        <v>5</v>
      </c>
      <c r="AD141" s="1">
        <v>38596</v>
      </c>
      <c r="AE141">
        <v>244769</v>
      </c>
      <c r="AF141">
        <v>1071676798504.13</v>
      </c>
      <c r="AG141">
        <v>35.725109863059203</v>
      </c>
      <c r="AI141" t="s">
        <v>14</v>
      </c>
      <c r="AJ141" s="1">
        <v>38718</v>
      </c>
      <c r="AK141">
        <v>137944</v>
      </c>
      <c r="AL141">
        <v>737066180148.85999</v>
      </c>
      <c r="AM141">
        <v>-21.1299948391779</v>
      </c>
      <c r="AO141" s="1">
        <f t="shared" si="9"/>
        <v>38596</v>
      </c>
      <c r="AP141">
        <f t="shared" si="10"/>
        <v>35.725109863059203</v>
      </c>
      <c r="AQ141">
        <f t="shared" si="11"/>
        <v>31.890451276673399</v>
      </c>
    </row>
    <row r="142" spans="29:43" x14ac:dyDescent="0.25">
      <c r="AC142" t="s">
        <v>5</v>
      </c>
      <c r="AD142" s="1">
        <v>38626</v>
      </c>
      <c r="AE142">
        <v>245103</v>
      </c>
      <c r="AF142">
        <v>1083168990542.87</v>
      </c>
      <c r="AG142">
        <v>34.377702539052201</v>
      </c>
      <c r="AI142" t="s">
        <v>14</v>
      </c>
      <c r="AJ142" s="1">
        <v>38749</v>
      </c>
      <c r="AK142">
        <v>138515</v>
      </c>
      <c r="AL142">
        <v>750813136411.38</v>
      </c>
      <c r="AM142">
        <v>-8.8840085696682891</v>
      </c>
      <c r="AO142" s="1">
        <f t="shared" si="9"/>
        <v>38626</v>
      </c>
      <c r="AP142">
        <f t="shared" si="10"/>
        <v>34.377702539052201</v>
      </c>
      <c r="AQ142">
        <f t="shared" si="11"/>
        <v>29.948023134710301</v>
      </c>
    </row>
    <row r="143" spans="29:43" x14ac:dyDescent="0.25">
      <c r="AC143" t="s">
        <v>5</v>
      </c>
      <c r="AD143" s="1">
        <v>38657</v>
      </c>
      <c r="AE143">
        <v>245417</v>
      </c>
      <c r="AF143">
        <v>1092258150495.95</v>
      </c>
      <c r="AG143">
        <v>7.2138287307613798</v>
      </c>
      <c r="AI143" t="s">
        <v>14</v>
      </c>
      <c r="AJ143" s="1">
        <v>38777</v>
      </c>
      <c r="AK143">
        <v>139200</v>
      </c>
      <c r="AL143">
        <v>762936156844.35999</v>
      </c>
      <c r="AM143">
        <v>-19.813350471056602</v>
      </c>
      <c r="AO143" s="1">
        <f t="shared" si="9"/>
        <v>38657</v>
      </c>
      <c r="AP143">
        <f t="shared" si="10"/>
        <v>7.2138287307613798</v>
      </c>
      <c r="AQ143">
        <f t="shared" si="11"/>
        <v>2.4967656869655799</v>
      </c>
    </row>
    <row r="144" spans="29:43" x14ac:dyDescent="0.25">
      <c r="AC144" t="s">
        <v>5</v>
      </c>
      <c r="AD144" s="1">
        <v>38687</v>
      </c>
      <c r="AE144">
        <v>245734</v>
      </c>
      <c r="AF144">
        <v>1101714404588.9399</v>
      </c>
      <c r="AG144">
        <v>-18.909752971901501</v>
      </c>
      <c r="AI144" t="s">
        <v>14</v>
      </c>
      <c r="AJ144" s="1">
        <v>38808</v>
      </c>
      <c r="AK144">
        <v>139672</v>
      </c>
      <c r="AL144">
        <v>773774501099.78003</v>
      </c>
      <c r="AM144">
        <v>-27.587301840150101</v>
      </c>
      <c r="AO144" s="1">
        <f t="shared" si="9"/>
        <v>38687</v>
      </c>
      <c r="AP144">
        <f t="shared" si="10"/>
        <v>-18.909752971901501</v>
      </c>
      <c r="AQ144">
        <f t="shared" si="11"/>
        <v>-23.899047262388301</v>
      </c>
    </row>
    <row r="145" spans="29:43" x14ac:dyDescent="0.25">
      <c r="AC145" t="s">
        <v>5</v>
      </c>
      <c r="AD145" s="1">
        <v>38718</v>
      </c>
      <c r="AE145">
        <v>246265</v>
      </c>
      <c r="AF145">
        <v>1111269349920.8401</v>
      </c>
      <c r="AG145">
        <v>-15.3691628903211</v>
      </c>
      <c r="AI145" t="s">
        <v>14</v>
      </c>
      <c r="AJ145" s="1">
        <v>38838</v>
      </c>
      <c r="AK145">
        <v>140122</v>
      </c>
      <c r="AL145">
        <v>784425698830.51001</v>
      </c>
      <c r="AM145">
        <v>-43.000937056380799</v>
      </c>
      <c r="AO145" s="1">
        <f t="shared" si="9"/>
        <v>38718</v>
      </c>
      <c r="AP145">
        <f t="shared" si="10"/>
        <v>-15.3691628903211</v>
      </c>
      <c r="AQ145">
        <f t="shared" si="11"/>
        <v>-21.1299948391779</v>
      </c>
    </row>
    <row r="146" spans="29:43" x14ac:dyDescent="0.25">
      <c r="AC146" t="s">
        <v>5</v>
      </c>
      <c r="AD146" s="1">
        <v>38749</v>
      </c>
      <c r="AE146">
        <v>246636</v>
      </c>
      <c r="AF146">
        <v>1122419326727.3401</v>
      </c>
      <c r="AG146">
        <v>-1.5610378205591899</v>
      </c>
      <c r="AI146" t="s">
        <v>14</v>
      </c>
      <c r="AJ146" s="1">
        <v>38869</v>
      </c>
      <c r="AK146">
        <v>140435</v>
      </c>
      <c r="AL146">
        <v>793859723461.93005</v>
      </c>
      <c r="AM146">
        <v>-49.340488666735197</v>
      </c>
      <c r="AO146" s="1">
        <f t="shared" si="9"/>
        <v>38749</v>
      </c>
      <c r="AP146">
        <f t="shared" si="10"/>
        <v>-1.5610378205591899</v>
      </c>
      <c r="AQ146">
        <f t="shared" si="11"/>
        <v>-8.8840085696682891</v>
      </c>
    </row>
    <row r="147" spans="29:43" x14ac:dyDescent="0.25">
      <c r="AC147" t="s">
        <v>5</v>
      </c>
      <c r="AD147" s="1">
        <v>38777</v>
      </c>
      <c r="AE147">
        <v>247214</v>
      </c>
      <c r="AF147">
        <v>1132529092295.1799</v>
      </c>
      <c r="AG147">
        <v>-12.6426451735126</v>
      </c>
      <c r="AI147" t="s">
        <v>14</v>
      </c>
      <c r="AJ147" s="1">
        <v>38899</v>
      </c>
      <c r="AK147">
        <v>140872</v>
      </c>
      <c r="AL147">
        <v>804148796324.16003</v>
      </c>
      <c r="AM147">
        <v>-54.897492601201201</v>
      </c>
      <c r="AO147" s="1">
        <f t="shared" si="9"/>
        <v>38777</v>
      </c>
      <c r="AP147">
        <f t="shared" si="10"/>
        <v>-12.6426451735126</v>
      </c>
      <c r="AQ147">
        <f t="shared" si="11"/>
        <v>-19.813350471056602</v>
      </c>
    </row>
    <row r="148" spans="29:43" x14ac:dyDescent="0.25">
      <c r="AC148" t="s">
        <v>5</v>
      </c>
      <c r="AD148" s="1">
        <v>38808</v>
      </c>
      <c r="AE148">
        <v>247639</v>
      </c>
      <c r="AF148">
        <v>1142036164423.6499</v>
      </c>
      <c r="AG148">
        <v>-20.660803509633801</v>
      </c>
      <c r="AI148" t="s">
        <v>14</v>
      </c>
      <c r="AJ148" s="1">
        <v>38930</v>
      </c>
      <c r="AK148">
        <v>141261</v>
      </c>
      <c r="AL148">
        <v>815623297124.84998</v>
      </c>
      <c r="AM148">
        <v>-59.367142606628498</v>
      </c>
      <c r="AO148" s="1">
        <f t="shared" si="9"/>
        <v>38808</v>
      </c>
      <c r="AP148">
        <f t="shared" si="10"/>
        <v>-20.660803509633801</v>
      </c>
      <c r="AQ148">
        <f t="shared" si="11"/>
        <v>-27.587301840150101</v>
      </c>
    </row>
    <row r="149" spans="29:43" x14ac:dyDescent="0.25">
      <c r="AC149" t="s">
        <v>5</v>
      </c>
      <c r="AD149" s="1">
        <v>38838</v>
      </c>
      <c r="AE149">
        <v>248030</v>
      </c>
      <c r="AF149">
        <v>1155261788794.02</v>
      </c>
      <c r="AG149">
        <v>-37.991844897268898</v>
      </c>
      <c r="AI149" t="s">
        <v>14</v>
      </c>
      <c r="AJ149" s="1">
        <v>38961</v>
      </c>
      <c r="AK149">
        <v>141782</v>
      </c>
      <c r="AL149">
        <v>829173302149.54004</v>
      </c>
      <c r="AM149">
        <v>-36.252716489437098</v>
      </c>
      <c r="AO149" s="1">
        <f t="shared" si="9"/>
        <v>38838</v>
      </c>
      <c r="AP149">
        <f t="shared" si="10"/>
        <v>-37.991844897268898</v>
      </c>
      <c r="AQ149">
        <f t="shared" si="11"/>
        <v>-43.000937056380799</v>
      </c>
    </row>
    <row r="150" spans="29:43" x14ac:dyDescent="0.25">
      <c r="AC150" t="s">
        <v>5</v>
      </c>
      <c r="AD150" s="1">
        <v>38869</v>
      </c>
      <c r="AE150">
        <v>248548</v>
      </c>
      <c r="AF150">
        <v>1168142806797.22</v>
      </c>
      <c r="AG150">
        <v>-45.368147682594198</v>
      </c>
      <c r="AI150" t="s">
        <v>14</v>
      </c>
      <c r="AJ150" s="1">
        <v>38991</v>
      </c>
      <c r="AK150">
        <v>142240</v>
      </c>
      <c r="AL150">
        <v>841370417123.65002</v>
      </c>
      <c r="AM150">
        <v>-25.3936089502097</v>
      </c>
      <c r="AO150" s="1">
        <f t="shared" si="9"/>
        <v>38869</v>
      </c>
      <c r="AP150">
        <f t="shared" si="10"/>
        <v>-45.368147682594198</v>
      </c>
      <c r="AQ150">
        <f t="shared" si="11"/>
        <v>-49.340488666735197</v>
      </c>
    </row>
    <row r="151" spans="29:43" x14ac:dyDescent="0.25">
      <c r="AC151" t="s">
        <v>5</v>
      </c>
      <c r="AD151" s="1">
        <v>38899</v>
      </c>
      <c r="AE151">
        <v>248874</v>
      </c>
      <c r="AF151">
        <v>1181825510252.74</v>
      </c>
      <c r="AG151">
        <v>-52.365910472843801</v>
      </c>
      <c r="AI151" t="s">
        <v>14</v>
      </c>
      <c r="AJ151" s="1">
        <v>39022</v>
      </c>
      <c r="AK151">
        <v>142710</v>
      </c>
      <c r="AL151">
        <v>852239587713.02002</v>
      </c>
      <c r="AM151">
        <v>-19.5211031403147</v>
      </c>
      <c r="AO151" s="1">
        <f t="shared" si="9"/>
        <v>38899</v>
      </c>
      <c r="AP151">
        <f t="shared" si="10"/>
        <v>-52.365910472843801</v>
      </c>
      <c r="AQ151">
        <f t="shared" si="11"/>
        <v>-54.897492601201201</v>
      </c>
    </row>
    <row r="152" spans="29:43" x14ac:dyDescent="0.25">
      <c r="AC152" t="s">
        <v>5</v>
      </c>
      <c r="AD152" s="1">
        <v>38930</v>
      </c>
      <c r="AE152">
        <v>249248</v>
      </c>
      <c r="AF152">
        <v>1192430186515.3201</v>
      </c>
      <c r="AG152">
        <v>-58.493456710870802</v>
      </c>
      <c r="AI152" t="s">
        <v>14</v>
      </c>
      <c r="AJ152" s="1">
        <v>39052</v>
      </c>
      <c r="AK152">
        <v>143157</v>
      </c>
      <c r="AL152">
        <v>860737627696.97998</v>
      </c>
      <c r="AM152">
        <v>-8.8399684135061296</v>
      </c>
      <c r="AO152" s="1">
        <f t="shared" si="9"/>
        <v>38930</v>
      </c>
      <c r="AP152">
        <f t="shared" si="10"/>
        <v>-58.493456710870802</v>
      </c>
      <c r="AQ152">
        <f t="shared" si="11"/>
        <v>-59.367142606628498</v>
      </c>
    </row>
    <row r="153" spans="29:43" x14ac:dyDescent="0.25">
      <c r="AC153" t="s">
        <v>5</v>
      </c>
      <c r="AD153" s="1">
        <v>38961</v>
      </c>
      <c r="AE153">
        <v>249885</v>
      </c>
      <c r="AF153">
        <v>1206782284664.1699</v>
      </c>
      <c r="AG153">
        <v>-30.5078163484505</v>
      </c>
      <c r="AI153" t="s">
        <v>14</v>
      </c>
      <c r="AJ153" s="1">
        <v>39083</v>
      </c>
      <c r="AK153">
        <v>143792</v>
      </c>
      <c r="AL153">
        <v>875234917686.55005</v>
      </c>
      <c r="AM153">
        <v>2.92963331972833</v>
      </c>
      <c r="AO153" s="1">
        <f t="shared" si="9"/>
        <v>38961</v>
      </c>
      <c r="AP153">
        <f t="shared" si="10"/>
        <v>-30.5078163484505</v>
      </c>
      <c r="AQ153">
        <f t="shared" si="11"/>
        <v>-36.252716489437098</v>
      </c>
    </row>
    <row r="154" spans="29:43" x14ac:dyDescent="0.25">
      <c r="AC154" t="s">
        <v>5</v>
      </c>
      <c r="AD154" s="1">
        <v>38991</v>
      </c>
      <c r="AE154">
        <v>250428</v>
      </c>
      <c r="AF154">
        <v>1220415637263.49</v>
      </c>
      <c r="AG154">
        <v>-19.4480391630089</v>
      </c>
      <c r="AI154" t="s">
        <v>14</v>
      </c>
      <c r="AJ154" s="1">
        <v>39114</v>
      </c>
      <c r="AK154">
        <v>144232</v>
      </c>
      <c r="AL154">
        <v>886289398566.56006</v>
      </c>
      <c r="AM154">
        <v>-6.7797218986924799</v>
      </c>
      <c r="AO154" s="1">
        <f t="shared" si="9"/>
        <v>38991</v>
      </c>
      <c r="AP154">
        <f t="shared" si="10"/>
        <v>-19.4480391630089</v>
      </c>
      <c r="AQ154">
        <f t="shared" si="11"/>
        <v>-25.3936089502097</v>
      </c>
    </row>
    <row r="155" spans="29:43" x14ac:dyDescent="0.25">
      <c r="AC155" t="s">
        <v>5</v>
      </c>
      <c r="AD155" s="1">
        <v>39022</v>
      </c>
      <c r="AE155">
        <v>250977</v>
      </c>
      <c r="AF155">
        <v>1240435866291.8799</v>
      </c>
      <c r="AG155">
        <v>-13.3508454466039</v>
      </c>
      <c r="AI155" t="s">
        <v>14</v>
      </c>
      <c r="AJ155" s="1">
        <v>39142</v>
      </c>
      <c r="AK155">
        <v>144924</v>
      </c>
      <c r="AL155">
        <v>902939742411.02002</v>
      </c>
      <c r="AM155">
        <v>-6.8365428464228799</v>
      </c>
      <c r="AO155" s="1">
        <f t="shared" si="9"/>
        <v>39022</v>
      </c>
      <c r="AP155">
        <f t="shared" si="10"/>
        <v>-13.3508454466039</v>
      </c>
      <c r="AQ155">
        <f t="shared" si="11"/>
        <v>-19.5211031403147</v>
      </c>
    </row>
    <row r="156" spans="29:43" x14ac:dyDescent="0.25">
      <c r="AC156" t="s">
        <v>5</v>
      </c>
      <c r="AD156" s="1">
        <v>39052</v>
      </c>
      <c r="AE156">
        <v>251536</v>
      </c>
      <c r="AF156">
        <v>1253159977244.54</v>
      </c>
      <c r="AG156">
        <v>-2.51788005739798</v>
      </c>
      <c r="AI156" t="s">
        <v>14</v>
      </c>
      <c r="AJ156" s="1">
        <v>39173</v>
      </c>
      <c r="AK156">
        <v>145734</v>
      </c>
      <c r="AL156">
        <v>918275700682.27002</v>
      </c>
      <c r="AM156">
        <v>2.1066875080734402</v>
      </c>
      <c r="AO156" s="1">
        <f t="shared" si="9"/>
        <v>39052</v>
      </c>
      <c r="AP156">
        <f t="shared" si="10"/>
        <v>-2.51788005739798</v>
      </c>
      <c r="AQ156">
        <f t="shared" si="11"/>
        <v>-8.8399684135061296</v>
      </c>
    </row>
    <row r="157" spans="29:43" x14ac:dyDescent="0.25">
      <c r="AC157" t="s">
        <v>5</v>
      </c>
      <c r="AD157" s="1">
        <v>39083</v>
      </c>
      <c r="AE157">
        <v>252197</v>
      </c>
      <c r="AF157">
        <v>1267753834052.5601</v>
      </c>
      <c r="AG157">
        <v>9.8854266743942407</v>
      </c>
      <c r="AI157" t="s">
        <v>14</v>
      </c>
      <c r="AJ157" s="1">
        <v>39203</v>
      </c>
      <c r="AK157">
        <v>146420</v>
      </c>
      <c r="AL157">
        <v>931301394201.87</v>
      </c>
      <c r="AM157">
        <v>-1.3422682862462201</v>
      </c>
      <c r="AO157" s="1">
        <f t="shared" si="9"/>
        <v>39083</v>
      </c>
      <c r="AP157">
        <f t="shared" si="10"/>
        <v>9.8854266743942407</v>
      </c>
      <c r="AQ157">
        <f t="shared" si="11"/>
        <v>2.92963331972833</v>
      </c>
    </row>
    <row r="158" spans="29:43" x14ac:dyDescent="0.25">
      <c r="AC158" t="s">
        <v>5</v>
      </c>
      <c r="AD158" s="1">
        <v>39114</v>
      </c>
      <c r="AE158">
        <v>252755</v>
      </c>
      <c r="AF158">
        <v>1281899182108.53</v>
      </c>
      <c r="AG158">
        <v>-2.5607821558292498E-2</v>
      </c>
      <c r="AI158" t="s">
        <v>14</v>
      </c>
      <c r="AJ158" s="1">
        <v>39234</v>
      </c>
      <c r="AK158">
        <v>147268</v>
      </c>
      <c r="AL158">
        <v>945955296949.02002</v>
      </c>
      <c r="AM158">
        <v>-9.8657706770181104</v>
      </c>
      <c r="AO158" s="1">
        <f t="shared" si="9"/>
        <v>39114</v>
      </c>
      <c r="AP158">
        <f t="shared" si="10"/>
        <v>-2.5607821558292498E-2</v>
      </c>
      <c r="AQ158">
        <f t="shared" si="11"/>
        <v>-6.7797218986924799</v>
      </c>
    </row>
    <row r="159" spans="29:43" x14ac:dyDescent="0.25">
      <c r="AC159" t="s">
        <v>5</v>
      </c>
      <c r="AD159" s="1">
        <v>39142</v>
      </c>
      <c r="AE159">
        <v>253418</v>
      </c>
      <c r="AF159">
        <v>1297151286163.0601</v>
      </c>
      <c r="AG159">
        <v>-0.301802687291649</v>
      </c>
      <c r="AI159" t="s">
        <v>14</v>
      </c>
      <c r="AJ159" s="1">
        <v>39264</v>
      </c>
      <c r="AK159">
        <v>147991</v>
      </c>
      <c r="AL159">
        <v>959167890179.53003</v>
      </c>
      <c r="AM159">
        <v>-48.278196453150599</v>
      </c>
      <c r="AO159" s="1">
        <f t="shared" si="9"/>
        <v>39142</v>
      </c>
      <c r="AP159">
        <f t="shared" si="10"/>
        <v>-0.301802687291649</v>
      </c>
      <c r="AQ159">
        <f t="shared" si="11"/>
        <v>-6.8365428464228799</v>
      </c>
    </row>
    <row r="160" spans="29:43" x14ac:dyDescent="0.25">
      <c r="AC160" t="s">
        <v>5</v>
      </c>
      <c r="AD160" s="1">
        <v>39173</v>
      </c>
      <c r="AE160">
        <v>254121</v>
      </c>
      <c r="AF160">
        <v>1313547803162.76</v>
      </c>
      <c r="AG160">
        <v>8.8787762470100997</v>
      </c>
      <c r="AI160" t="s">
        <v>14</v>
      </c>
      <c r="AJ160" s="1">
        <v>39295</v>
      </c>
      <c r="AK160">
        <v>148654</v>
      </c>
      <c r="AL160">
        <v>970630930715.02002</v>
      </c>
      <c r="AM160">
        <v>-51.001912286642501</v>
      </c>
      <c r="AO160" s="1">
        <f t="shared" si="9"/>
        <v>39173</v>
      </c>
      <c r="AP160">
        <f t="shared" si="10"/>
        <v>8.8787762470100997</v>
      </c>
      <c r="AQ160">
        <f t="shared" si="11"/>
        <v>2.1066875080734402</v>
      </c>
    </row>
    <row r="161" spans="29:43" x14ac:dyDescent="0.25">
      <c r="AC161" t="s">
        <v>5</v>
      </c>
      <c r="AD161" s="1">
        <v>39203</v>
      </c>
      <c r="AE161">
        <v>254866</v>
      </c>
      <c r="AF161">
        <v>1329046516438.8999</v>
      </c>
      <c r="AG161">
        <v>5.6431534766859901</v>
      </c>
      <c r="AI161" t="s">
        <v>14</v>
      </c>
      <c r="AJ161" s="1">
        <v>39326</v>
      </c>
      <c r="AK161">
        <v>149639</v>
      </c>
      <c r="AL161">
        <v>986147711440.53003</v>
      </c>
      <c r="AM161">
        <v>-37.811163275774099</v>
      </c>
      <c r="AO161" s="1">
        <f t="shared" si="9"/>
        <v>39203</v>
      </c>
      <c r="AP161">
        <f t="shared" si="10"/>
        <v>5.6431534766859901</v>
      </c>
      <c r="AQ161">
        <f t="shared" si="11"/>
        <v>-1.3422682862462201</v>
      </c>
    </row>
    <row r="162" spans="29:43" x14ac:dyDescent="0.25">
      <c r="AC162" t="s">
        <v>5</v>
      </c>
      <c r="AD162" s="1">
        <v>39234</v>
      </c>
      <c r="AE162">
        <v>255714</v>
      </c>
      <c r="AF162">
        <v>1351361414625.3799</v>
      </c>
      <c r="AG162">
        <v>-1.95102871968612</v>
      </c>
      <c r="AI162" t="s">
        <v>14</v>
      </c>
      <c r="AJ162" s="1">
        <v>39356</v>
      </c>
      <c r="AK162">
        <v>150721</v>
      </c>
      <c r="AL162">
        <v>1004291168943.65</v>
      </c>
      <c r="AM162">
        <v>-21.285109939873401</v>
      </c>
      <c r="AO162" s="1">
        <f t="shared" si="9"/>
        <v>39234</v>
      </c>
      <c r="AP162">
        <f t="shared" si="10"/>
        <v>-1.95102871968612</v>
      </c>
      <c r="AQ162">
        <f t="shared" si="11"/>
        <v>-9.8657706770181104</v>
      </c>
    </row>
    <row r="163" spans="29:43" x14ac:dyDescent="0.25">
      <c r="AC163" t="s">
        <v>5</v>
      </c>
      <c r="AD163" s="1">
        <v>39264</v>
      </c>
      <c r="AE163">
        <v>256516</v>
      </c>
      <c r="AF163">
        <v>1373358197427.46</v>
      </c>
      <c r="AG163">
        <v>-41.108812126538098</v>
      </c>
      <c r="AI163" t="s">
        <v>14</v>
      </c>
      <c r="AJ163" s="1">
        <v>39387</v>
      </c>
      <c r="AK163">
        <v>151639</v>
      </c>
      <c r="AL163">
        <v>1018333619421.8199</v>
      </c>
      <c r="AM163">
        <v>-16.7137414546979</v>
      </c>
      <c r="AO163" s="1">
        <f t="shared" si="9"/>
        <v>39264</v>
      </c>
      <c r="AP163">
        <f t="shared" si="10"/>
        <v>-41.108812126538098</v>
      </c>
      <c r="AQ163">
        <f t="shared" si="11"/>
        <v>-48.278196453150599</v>
      </c>
    </row>
    <row r="164" spans="29:43" x14ac:dyDescent="0.25">
      <c r="AC164" t="s">
        <v>5</v>
      </c>
      <c r="AD164" s="1">
        <v>39295</v>
      </c>
      <c r="AE164">
        <v>257355</v>
      </c>
      <c r="AF164">
        <v>1398518091938.25</v>
      </c>
      <c r="AG164">
        <v>-43.908737723131601</v>
      </c>
      <c r="AI164" t="s">
        <v>14</v>
      </c>
      <c r="AJ164" s="1">
        <v>39417</v>
      </c>
      <c r="AK164">
        <v>152735</v>
      </c>
      <c r="AL164">
        <v>1036838440902.78</v>
      </c>
      <c r="AM164">
        <v>-0.78329668429376997</v>
      </c>
      <c r="AO164" s="1">
        <f t="shared" si="9"/>
        <v>39295</v>
      </c>
      <c r="AP164">
        <f t="shared" si="10"/>
        <v>-43.908737723131601</v>
      </c>
      <c r="AQ164">
        <f t="shared" si="11"/>
        <v>-51.001912286642501</v>
      </c>
    </row>
    <row r="165" spans="29:43" x14ac:dyDescent="0.25">
      <c r="AC165" t="s">
        <v>5</v>
      </c>
      <c r="AD165" s="1">
        <v>39326</v>
      </c>
      <c r="AE165">
        <v>258242</v>
      </c>
      <c r="AF165">
        <v>1423075259258.24</v>
      </c>
      <c r="AG165">
        <v>-30.8152824815622</v>
      </c>
      <c r="AI165" t="s">
        <v>14</v>
      </c>
      <c r="AJ165" s="1">
        <v>39448</v>
      </c>
      <c r="AK165">
        <v>153907</v>
      </c>
      <c r="AL165">
        <v>1052366455361.34</v>
      </c>
      <c r="AM165">
        <v>9.6748977466355406</v>
      </c>
      <c r="AO165" s="1">
        <f t="shared" si="9"/>
        <v>39326</v>
      </c>
      <c r="AP165">
        <f t="shared" si="10"/>
        <v>-30.8152824815622</v>
      </c>
      <c r="AQ165">
        <f t="shared" si="11"/>
        <v>-37.811163275774099</v>
      </c>
    </row>
    <row r="166" spans="29:43" x14ac:dyDescent="0.25">
      <c r="AC166" t="s">
        <v>5</v>
      </c>
      <c r="AD166" s="1">
        <v>39356</v>
      </c>
      <c r="AE166">
        <v>259130</v>
      </c>
      <c r="AF166">
        <v>1448620805507.53</v>
      </c>
      <c r="AG166">
        <v>-13.6096758316032</v>
      </c>
      <c r="AI166" t="s">
        <v>14</v>
      </c>
      <c r="AJ166" s="1">
        <v>39479</v>
      </c>
      <c r="AK166">
        <v>155038</v>
      </c>
      <c r="AL166">
        <v>1067631591501.37</v>
      </c>
      <c r="AM166">
        <v>41.908992397759299</v>
      </c>
      <c r="AO166" s="1">
        <f t="shared" si="9"/>
        <v>39356</v>
      </c>
      <c r="AP166">
        <f t="shared" si="10"/>
        <v>-13.6096758316032</v>
      </c>
      <c r="AQ166">
        <f t="shared" si="11"/>
        <v>-21.285109939873401</v>
      </c>
    </row>
    <row r="167" spans="29:43" x14ac:dyDescent="0.25">
      <c r="AC167" t="s">
        <v>5</v>
      </c>
      <c r="AD167" s="1">
        <v>39387</v>
      </c>
      <c r="AE167">
        <v>259997</v>
      </c>
      <c r="AF167">
        <v>1473008966168.4399</v>
      </c>
      <c r="AG167">
        <v>-9.1708001426864403</v>
      </c>
      <c r="AI167" t="s">
        <v>14</v>
      </c>
      <c r="AJ167" s="1">
        <v>39508</v>
      </c>
      <c r="AK167">
        <v>156626</v>
      </c>
      <c r="AL167">
        <v>1090932032300.9399</v>
      </c>
      <c r="AM167">
        <v>19.546986210154898</v>
      </c>
      <c r="AO167" s="1">
        <f t="shared" si="9"/>
        <v>39387</v>
      </c>
      <c r="AP167">
        <f t="shared" si="10"/>
        <v>-9.1708001426864403</v>
      </c>
      <c r="AQ167">
        <f t="shared" si="11"/>
        <v>-16.7137414546979</v>
      </c>
    </row>
    <row r="168" spans="29:43" x14ac:dyDescent="0.25">
      <c r="AC168" t="s">
        <v>5</v>
      </c>
      <c r="AD168" s="1">
        <v>39417</v>
      </c>
      <c r="AE168">
        <v>260697</v>
      </c>
      <c r="AF168">
        <v>1503089126091.8101</v>
      </c>
      <c r="AG168">
        <v>6.7800189595281601</v>
      </c>
      <c r="AI168" t="s">
        <v>14</v>
      </c>
      <c r="AJ168" s="1">
        <v>39539</v>
      </c>
      <c r="AK168">
        <v>157658</v>
      </c>
      <c r="AL168">
        <v>1107233950410.77</v>
      </c>
      <c r="AM168">
        <v>13.168364206344201</v>
      </c>
      <c r="AO168" s="1">
        <f t="shared" si="9"/>
        <v>39417</v>
      </c>
      <c r="AP168">
        <f t="shared" si="10"/>
        <v>6.7800189595281601</v>
      </c>
      <c r="AQ168">
        <f t="shared" si="11"/>
        <v>-0.78329668429376997</v>
      </c>
    </row>
    <row r="169" spans="29:43" x14ac:dyDescent="0.25">
      <c r="AC169" t="s">
        <v>5</v>
      </c>
      <c r="AD169" s="1">
        <v>39448</v>
      </c>
      <c r="AE169">
        <v>261695</v>
      </c>
      <c r="AF169">
        <v>1536876729700.0601</v>
      </c>
      <c r="AG169">
        <v>16.469176489744498</v>
      </c>
      <c r="AI169" t="s">
        <v>14</v>
      </c>
      <c r="AJ169" s="1">
        <v>39569</v>
      </c>
      <c r="AK169">
        <v>158547</v>
      </c>
      <c r="AL169">
        <v>1121120060633.95</v>
      </c>
      <c r="AM169">
        <v>15.7701465899822</v>
      </c>
      <c r="AO169" s="1">
        <f t="shared" si="9"/>
        <v>39448</v>
      </c>
      <c r="AP169">
        <f t="shared" si="10"/>
        <v>16.469176489744498</v>
      </c>
      <c r="AQ169">
        <f t="shared" si="11"/>
        <v>9.6748977466355406</v>
      </c>
    </row>
    <row r="170" spans="29:43" x14ac:dyDescent="0.25">
      <c r="AC170" t="s">
        <v>5</v>
      </c>
      <c r="AD170" s="1">
        <v>39479</v>
      </c>
      <c r="AE170">
        <v>262505</v>
      </c>
      <c r="AF170">
        <v>1561574734904.05</v>
      </c>
      <c r="AG170">
        <v>49.522146283733797</v>
      </c>
      <c r="AI170" t="s">
        <v>14</v>
      </c>
      <c r="AJ170" s="1">
        <v>39600</v>
      </c>
      <c r="AK170">
        <v>159524</v>
      </c>
      <c r="AL170">
        <v>1139760532494.3999</v>
      </c>
      <c r="AM170">
        <v>3.77467521402188</v>
      </c>
      <c r="AO170" s="1">
        <f t="shared" si="9"/>
        <v>39479</v>
      </c>
      <c r="AP170">
        <f t="shared" si="10"/>
        <v>49.522146283733797</v>
      </c>
      <c r="AQ170">
        <f t="shared" si="11"/>
        <v>41.908992397759299</v>
      </c>
    </row>
    <row r="171" spans="29:43" x14ac:dyDescent="0.25">
      <c r="AC171" t="s">
        <v>5</v>
      </c>
      <c r="AD171" s="1">
        <v>39508</v>
      </c>
      <c r="AE171">
        <v>264223</v>
      </c>
      <c r="AF171">
        <v>1598687945829.1299</v>
      </c>
      <c r="AG171">
        <v>25.9417285851633</v>
      </c>
      <c r="AI171" t="s">
        <v>14</v>
      </c>
      <c r="AJ171" s="1">
        <v>39630</v>
      </c>
      <c r="AK171">
        <v>160395</v>
      </c>
      <c r="AL171">
        <v>1155479201809.6499</v>
      </c>
      <c r="AM171">
        <v>-29.391847488816801</v>
      </c>
      <c r="AO171" s="1">
        <f t="shared" si="9"/>
        <v>39508</v>
      </c>
      <c r="AP171">
        <f t="shared" si="10"/>
        <v>25.9417285851633</v>
      </c>
      <c r="AQ171">
        <f t="shared" si="11"/>
        <v>19.546986210154898</v>
      </c>
    </row>
    <row r="172" spans="29:43" x14ac:dyDescent="0.25">
      <c r="AC172" t="s">
        <v>5</v>
      </c>
      <c r="AD172" s="1">
        <v>39539</v>
      </c>
      <c r="AE172">
        <v>264813</v>
      </c>
      <c r="AF172">
        <v>1611864597529.54</v>
      </c>
      <c r="AG172">
        <v>18.859866053175899</v>
      </c>
      <c r="AI172" t="s">
        <v>14</v>
      </c>
      <c r="AJ172" s="1">
        <v>39661</v>
      </c>
      <c r="AK172">
        <v>160920</v>
      </c>
      <c r="AL172">
        <v>1162237411975.8501</v>
      </c>
      <c r="AM172">
        <v>-39.869122073639801</v>
      </c>
      <c r="AO172" s="1">
        <f t="shared" si="9"/>
        <v>39539</v>
      </c>
      <c r="AP172">
        <f t="shared" si="10"/>
        <v>18.859866053175899</v>
      </c>
      <c r="AQ172">
        <f t="shared" si="11"/>
        <v>13.168364206344201</v>
      </c>
    </row>
    <row r="173" spans="29:43" x14ac:dyDescent="0.25">
      <c r="AC173" t="s">
        <v>5</v>
      </c>
      <c r="AD173" s="1">
        <v>39569</v>
      </c>
      <c r="AE173">
        <v>265488</v>
      </c>
      <c r="AF173">
        <v>1627058464695.98</v>
      </c>
      <c r="AG173">
        <v>20.9748913642511</v>
      </c>
      <c r="AI173" t="s">
        <v>14</v>
      </c>
      <c r="AJ173" s="1">
        <v>39692</v>
      </c>
      <c r="AK173">
        <v>161444</v>
      </c>
      <c r="AL173">
        <v>1169648700447.6899</v>
      </c>
      <c r="AM173">
        <v>-46.1668710577216</v>
      </c>
      <c r="AO173" s="1">
        <f t="shared" si="9"/>
        <v>39569</v>
      </c>
      <c r="AP173">
        <f t="shared" si="10"/>
        <v>20.9748913642511</v>
      </c>
      <c r="AQ173">
        <f t="shared" si="11"/>
        <v>15.7701465899822</v>
      </c>
    </row>
    <row r="174" spans="29:43" x14ac:dyDescent="0.25">
      <c r="AC174" t="s">
        <v>5</v>
      </c>
      <c r="AD174" s="1">
        <v>39600</v>
      </c>
      <c r="AE174">
        <v>266516</v>
      </c>
      <c r="AF174">
        <v>1649023403524.3301</v>
      </c>
      <c r="AG174">
        <v>8.9971538436956209</v>
      </c>
      <c r="AI174" t="s">
        <v>14</v>
      </c>
      <c r="AJ174" s="1">
        <v>39722</v>
      </c>
      <c r="AK174">
        <v>161942</v>
      </c>
      <c r="AL174">
        <v>1177642747130.49</v>
      </c>
      <c r="AM174">
        <v>-3.83725797677852</v>
      </c>
      <c r="AO174" s="1">
        <f t="shared" si="9"/>
        <v>39600</v>
      </c>
      <c r="AP174">
        <f t="shared" si="10"/>
        <v>8.9971538436956209</v>
      </c>
      <c r="AQ174">
        <f t="shared" si="11"/>
        <v>3.77467521402188</v>
      </c>
    </row>
    <row r="175" spans="29:43" x14ac:dyDescent="0.25">
      <c r="AC175" t="s">
        <v>5</v>
      </c>
      <c r="AD175" s="1">
        <v>39630</v>
      </c>
      <c r="AE175">
        <v>267221</v>
      </c>
      <c r="AF175">
        <v>1672012270673.77</v>
      </c>
      <c r="AG175">
        <v>-25.351412383548599</v>
      </c>
      <c r="AI175" t="s">
        <v>14</v>
      </c>
      <c r="AJ175" s="1">
        <v>39753</v>
      </c>
      <c r="AK175">
        <v>162223</v>
      </c>
      <c r="AL175">
        <v>1179818682767.8101</v>
      </c>
      <c r="AM175">
        <v>-19.5330574505697</v>
      </c>
      <c r="AO175" s="1">
        <f t="shared" si="9"/>
        <v>39630</v>
      </c>
      <c r="AP175">
        <f t="shared" si="10"/>
        <v>-25.351412383548599</v>
      </c>
      <c r="AQ175">
        <f t="shared" si="11"/>
        <v>-29.391847488816801</v>
      </c>
    </row>
    <row r="176" spans="29:43" x14ac:dyDescent="0.25">
      <c r="AC176" t="s">
        <v>5</v>
      </c>
      <c r="AD176" s="1">
        <v>39661</v>
      </c>
      <c r="AE176">
        <v>267777</v>
      </c>
      <c r="AF176">
        <v>1682374180043.9399</v>
      </c>
      <c r="AG176">
        <v>-36.583466323404203</v>
      </c>
      <c r="AI176" t="s">
        <v>14</v>
      </c>
      <c r="AJ176" s="1">
        <v>39783</v>
      </c>
      <c r="AK176">
        <v>162431</v>
      </c>
      <c r="AL176">
        <v>1183521139367</v>
      </c>
      <c r="AM176">
        <v>-10.9254675856699</v>
      </c>
      <c r="AO176" s="1">
        <f t="shared" si="9"/>
        <v>39661</v>
      </c>
      <c r="AP176">
        <f t="shared" si="10"/>
        <v>-36.583466323404203</v>
      </c>
      <c r="AQ176">
        <f t="shared" si="11"/>
        <v>-39.869122073639801</v>
      </c>
    </row>
    <row r="177" spans="29:43" x14ac:dyDescent="0.25">
      <c r="AC177" t="s">
        <v>5</v>
      </c>
      <c r="AD177" s="1">
        <v>39692</v>
      </c>
      <c r="AE177">
        <v>268301</v>
      </c>
      <c r="AF177">
        <v>1690709203256.04</v>
      </c>
      <c r="AG177">
        <v>-44.189504815238202</v>
      </c>
      <c r="AI177" t="s">
        <v>14</v>
      </c>
      <c r="AJ177" s="1">
        <v>39814</v>
      </c>
      <c r="AK177">
        <v>162775</v>
      </c>
      <c r="AL177">
        <v>1188990414254.24</v>
      </c>
      <c r="AM177">
        <v>67.895910492923406</v>
      </c>
      <c r="AO177" s="1">
        <f t="shared" si="9"/>
        <v>39692</v>
      </c>
      <c r="AP177">
        <f t="shared" si="10"/>
        <v>-44.189504815238202</v>
      </c>
      <c r="AQ177">
        <f t="shared" si="11"/>
        <v>-46.1668710577216</v>
      </c>
    </row>
    <row r="178" spans="29:43" x14ac:dyDescent="0.25">
      <c r="AC178" t="s">
        <v>5</v>
      </c>
      <c r="AD178" s="1">
        <v>39722</v>
      </c>
      <c r="AE178">
        <v>269084</v>
      </c>
      <c r="AF178">
        <v>1706507798745.03</v>
      </c>
      <c r="AG178">
        <v>-1.4229310298529001</v>
      </c>
      <c r="AI178" t="s">
        <v>14</v>
      </c>
      <c r="AJ178" s="1">
        <v>39845</v>
      </c>
      <c r="AK178">
        <v>162938</v>
      </c>
      <c r="AL178">
        <v>1191848545477.6299</v>
      </c>
      <c r="AM178">
        <v>91.713241412252799</v>
      </c>
      <c r="AO178" s="1">
        <f t="shared" si="9"/>
        <v>39722</v>
      </c>
      <c r="AP178">
        <f t="shared" si="10"/>
        <v>-1.4229310298529001</v>
      </c>
      <c r="AQ178">
        <f t="shared" si="11"/>
        <v>-3.83725797677852</v>
      </c>
    </row>
    <row r="179" spans="29:43" x14ac:dyDescent="0.25">
      <c r="AC179" t="s">
        <v>5</v>
      </c>
      <c r="AD179" s="1">
        <v>39753</v>
      </c>
      <c r="AE179">
        <v>269586</v>
      </c>
      <c r="AF179">
        <v>1715320900515.99</v>
      </c>
      <c r="AG179">
        <v>-17.8839099140325</v>
      </c>
      <c r="AI179" t="s">
        <v>14</v>
      </c>
      <c r="AJ179" s="1">
        <v>39873</v>
      </c>
      <c r="AK179">
        <v>163109</v>
      </c>
      <c r="AL179">
        <v>1197686583453.0601</v>
      </c>
      <c r="AM179">
        <v>79.810360434745206</v>
      </c>
      <c r="AO179" s="1">
        <f t="shared" si="9"/>
        <v>39753</v>
      </c>
      <c r="AP179">
        <f t="shared" si="10"/>
        <v>-17.8839099140325</v>
      </c>
      <c r="AQ179">
        <f t="shared" si="11"/>
        <v>-19.5330574505697</v>
      </c>
    </row>
    <row r="180" spans="29:43" x14ac:dyDescent="0.25">
      <c r="AC180" t="s">
        <v>5</v>
      </c>
      <c r="AD180" s="1">
        <v>39783</v>
      </c>
      <c r="AE180">
        <v>269880</v>
      </c>
      <c r="AF180">
        <v>1722159821907.24</v>
      </c>
      <c r="AG180">
        <v>-10.5459375693623</v>
      </c>
      <c r="AI180" t="s">
        <v>14</v>
      </c>
      <c r="AJ180" s="1">
        <v>39904</v>
      </c>
      <c r="AK180">
        <v>163376</v>
      </c>
      <c r="AL180">
        <v>1214626480567.3601</v>
      </c>
      <c r="AM180">
        <v>89.547599286425793</v>
      </c>
      <c r="AO180" s="1">
        <f t="shared" si="9"/>
        <v>39783</v>
      </c>
      <c r="AP180">
        <f t="shared" si="10"/>
        <v>-10.5459375693623</v>
      </c>
      <c r="AQ180">
        <f t="shared" si="11"/>
        <v>-10.9254675856699</v>
      </c>
    </row>
    <row r="181" spans="29:43" x14ac:dyDescent="0.25">
      <c r="AC181" t="s">
        <v>5</v>
      </c>
      <c r="AD181" s="1">
        <v>39814</v>
      </c>
      <c r="AE181">
        <v>270476</v>
      </c>
      <c r="AF181">
        <v>1743795423653.5901</v>
      </c>
      <c r="AG181">
        <v>68.438480116893899</v>
      </c>
      <c r="AI181" t="s">
        <v>14</v>
      </c>
      <c r="AJ181" s="1">
        <v>39934</v>
      </c>
      <c r="AK181">
        <v>163443</v>
      </c>
      <c r="AL181">
        <v>1227123431334.01</v>
      </c>
      <c r="AM181">
        <v>104.921137562997</v>
      </c>
      <c r="AO181" s="1">
        <f t="shared" si="9"/>
        <v>39814</v>
      </c>
      <c r="AP181">
        <f t="shared" si="10"/>
        <v>68.438480116893899</v>
      </c>
      <c r="AQ181">
        <f t="shared" si="11"/>
        <v>67.895910492923406</v>
      </c>
    </row>
    <row r="182" spans="29:43" x14ac:dyDescent="0.25">
      <c r="AC182" t="s">
        <v>5</v>
      </c>
      <c r="AD182" s="1">
        <v>39845</v>
      </c>
      <c r="AE182">
        <v>270820</v>
      </c>
      <c r="AF182">
        <v>1747958716979.52</v>
      </c>
      <c r="AG182">
        <v>92.356685355323506</v>
      </c>
      <c r="AI182" t="s">
        <v>14</v>
      </c>
      <c r="AJ182" s="1">
        <v>39965</v>
      </c>
      <c r="AK182">
        <v>163569</v>
      </c>
      <c r="AL182">
        <v>1234260438018.73</v>
      </c>
      <c r="AM182">
        <v>114.298211881829</v>
      </c>
      <c r="AO182" s="1">
        <f t="shared" ref="AO182:AO245" si="12">AD182</f>
        <v>39845</v>
      </c>
      <c r="AP182">
        <f t="shared" ref="AP182:AP245" si="13">AG182</f>
        <v>92.356685355323506</v>
      </c>
      <c r="AQ182">
        <f t="shared" si="11"/>
        <v>91.713241412252799</v>
      </c>
    </row>
    <row r="183" spans="29:43" x14ac:dyDescent="0.25">
      <c r="AC183" t="s">
        <v>5</v>
      </c>
      <c r="AD183" s="1">
        <v>39873</v>
      </c>
      <c r="AE183">
        <v>271227</v>
      </c>
      <c r="AF183">
        <v>1754532172587.8201</v>
      </c>
      <c r="AG183">
        <v>79.549582505468607</v>
      </c>
      <c r="AI183" t="s">
        <v>14</v>
      </c>
      <c r="AJ183" s="1">
        <v>39995</v>
      </c>
      <c r="AK183">
        <v>163728</v>
      </c>
      <c r="AL183">
        <v>1252730272086.4099</v>
      </c>
      <c r="AM183">
        <v>55.221841883447397</v>
      </c>
      <c r="AO183" s="1">
        <f t="shared" si="12"/>
        <v>39873</v>
      </c>
      <c r="AP183">
        <f t="shared" si="13"/>
        <v>79.549582505468607</v>
      </c>
      <c r="AQ183">
        <f t="shared" si="11"/>
        <v>79.810360434745206</v>
      </c>
    </row>
    <row r="184" spans="29:43" x14ac:dyDescent="0.25">
      <c r="AC184" t="s">
        <v>5</v>
      </c>
      <c r="AD184" s="1">
        <v>39904</v>
      </c>
      <c r="AE184">
        <v>271839</v>
      </c>
      <c r="AF184">
        <v>1783832899325.1899</v>
      </c>
      <c r="AG184">
        <v>89.095416232845906</v>
      </c>
      <c r="AI184" t="s">
        <v>14</v>
      </c>
      <c r="AJ184" s="1">
        <v>40026</v>
      </c>
      <c r="AK184">
        <v>163836</v>
      </c>
      <c r="AL184">
        <v>1257643264164.9099</v>
      </c>
      <c r="AM184">
        <v>70.678841533889099</v>
      </c>
      <c r="AO184" s="1">
        <f t="shared" si="12"/>
        <v>39904</v>
      </c>
      <c r="AP184">
        <f t="shared" si="13"/>
        <v>89.095416232845906</v>
      </c>
      <c r="AQ184">
        <f t="shared" si="11"/>
        <v>89.547599286425793</v>
      </c>
    </row>
    <row r="185" spans="29:43" x14ac:dyDescent="0.25">
      <c r="AC185" t="s">
        <v>5</v>
      </c>
      <c r="AD185" s="1">
        <v>39934</v>
      </c>
      <c r="AE185">
        <v>272056</v>
      </c>
      <c r="AF185">
        <v>1788604982272.3999</v>
      </c>
      <c r="AG185">
        <v>106.193059623876</v>
      </c>
      <c r="AI185" t="s">
        <v>14</v>
      </c>
      <c r="AJ185" s="1">
        <v>40057</v>
      </c>
      <c r="AK185">
        <v>163936</v>
      </c>
      <c r="AL185">
        <v>1270454083140.21</v>
      </c>
      <c r="AM185">
        <v>71.297485245688407</v>
      </c>
      <c r="AO185" s="1">
        <f t="shared" si="12"/>
        <v>39934</v>
      </c>
      <c r="AP185">
        <f t="shared" si="13"/>
        <v>106.193059623876</v>
      </c>
      <c r="AQ185">
        <f t="shared" si="11"/>
        <v>104.921137562997</v>
      </c>
    </row>
    <row r="186" spans="29:43" x14ac:dyDescent="0.25">
      <c r="AC186" t="s">
        <v>5</v>
      </c>
      <c r="AD186" s="1">
        <v>39965</v>
      </c>
      <c r="AE186">
        <v>272638</v>
      </c>
      <c r="AF186">
        <v>1851247613799.7</v>
      </c>
      <c r="AG186">
        <v>118.43222711235499</v>
      </c>
      <c r="AI186" t="s">
        <v>14</v>
      </c>
      <c r="AJ186" s="1">
        <v>40087</v>
      </c>
      <c r="AK186">
        <v>164180</v>
      </c>
      <c r="AL186">
        <v>1279191968274.55</v>
      </c>
      <c r="AM186">
        <v>84.6022459268099</v>
      </c>
      <c r="AO186" s="1">
        <f t="shared" si="12"/>
        <v>39965</v>
      </c>
      <c r="AP186">
        <f t="shared" si="13"/>
        <v>118.43222711235499</v>
      </c>
      <c r="AQ186">
        <f t="shared" si="11"/>
        <v>114.298211881829</v>
      </c>
    </row>
    <row r="187" spans="29:43" x14ac:dyDescent="0.25">
      <c r="AC187" t="s">
        <v>5</v>
      </c>
      <c r="AD187" s="1">
        <v>39995</v>
      </c>
      <c r="AE187">
        <v>273233</v>
      </c>
      <c r="AF187">
        <v>1892906083080.45</v>
      </c>
      <c r="AG187">
        <v>57.1029047519595</v>
      </c>
      <c r="AI187" t="s">
        <v>14</v>
      </c>
      <c r="AJ187" s="1">
        <v>40118</v>
      </c>
      <c r="AK187">
        <v>164194</v>
      </c>
      <c r="AL187">
        <v>1284380337007.78</v>
      </c>
      <c r="AM187">
        <v>90.384794573327994</v>
      </c>
      <c r="AO187" s="1">
        <f t="shared" si="12"/>
        <v>39995</v>
      </c>
      <c r="AP187">
        <f t="shared" si="13"/>
        <v>57.1029047519595</v>
      </c>
      <c r="AQ187">
        <f t="shared" si="11"/>
        <v>55.221841883447397</v>
      </c>
    </row>
    <row r="188" spans="29:43" x14ac:dyDescent="0.25">
      <c r="AC188" t="s">
        <v>5</v>
      </c>
      <c r="AD188" s="1">
        <v>40026</v>
      </c>
      <c r="AE188">
        <v>273609</v>
      </c>
      <c r="AF188">
        <v>1911210202909.05</v>
      </c>
      <c r="AG188">
        <v>73.061756088552798</v>
      </c>
      <c r="AI188" t="s">
        <v>14</v>
      </c>
      <c r="AJ188" s="1">
        <v>40148</v>
      </c>
      <c r="AK188">
        <v>164264</v>
      </c>
      <c r="AL188">
        <v>1288288962785.8999</v>
      </c>
      <c r="AM188">
        <v>96.351911461783303</v>
      </c>
      <c r="AO188" s="1">
        <f t="shared" si="12"/>
        <v>40026</v>
      </c>
      <c r="AP188">
        <f t="shared" si="13"/>
        <v>73.061756088552798</v>
      </c>
      <c r="AQ188">
        <f t="shared" si="11"/>
        <v>70.678841533889099</v>
      </c>
    </row>
    <row r="189" spans="29:43" x14ac:dyDescent="0.25">
      <c r="AC189" t="s">
        <v>5</v>
      </c>
      <c r="AD189" s="1">
        <v>40057</v>
      </c>
      <c r="AE189">
        <v>273811</v>
      </c>
      <c r="AF189">
        <v>1922329055650.49</v>
      </c>
      <c r="AG189">
        <v>74.022914052515205</v>
      </c>
      <c r="AI189" t="s">
        <v>14</v>
      </c>
      <c r="AJ189" s="1">
        <v>40179</v>
      </c>
      <c r="AK189">
        <v>164394</v>
      </c>
      <c r="AL189">
        <v>1297203353258.1899</v>
      </c>
      <c r="AM189">
        <v>88.285932297448795</v>
      </c>
      <c r="AO189" s="1">
        <f t="shared" si="12"/>
        <v>40057</v>
      </c>
      <c r="AP189">
        <f t="shared" si="13"/>
        <v>74.022914052515205</v>
      </c>
      <c r="AQ189">
        <f t="shared" si="11"/>
        <v>71.297485245688407</v>
      </c>
    </row>
    <row r="190" spans="29:43" x14ac:dyDescent="0.25">
      <c r="AC190" t="s">
        <v>5</v>
      </c>
      <c r="AD190" s="1">
        <v>40087</v>
      </c>
      <c r="AE190">
        <v>274246</v>
      </c>
      <c r="AF190">
        <v>1936230379188.45</v>
      </c>
      <c r="AG190">
        <v>87.804622447942705</v>
      </c>
      <c r="AI190" t="s">
        <v>14</v>
      </c>
      <c r="AJ190" s="1">
        <v>40210</v>
      </c>
      <c r="AK190">
        <v>164392</v>
      </c>
      <c r="AL190">
        <v>1297037709626.45</v>
      </c>
      <c r="AM190">
        <v>77.073914647772398</v>
      </c>
      <c r="AO190" s="1">
        <f t="shared" si="12"/>
        <v>40087</v>
      </c>
      <c r="AP190">
        <f t="shared" si="13"/>
        <v>87.804622447942705</v>
      </c>
      <c r="AQ190">
        <f t="shared" si="11"/>
        <v>84.6022459268099</v>
      </c>
    </row>
    <row r="191" spans="29:43" x14ac:dyDescent="0.25">
      <c r="AC191" t="s">
        <v>5</v>
      </c>
      <c r="AD191" s="1">
        <v>40118</v>
      </c>
      <c r="AE191">
        <v>274530</v>
      </c>
      <c r="AF191">
        <v>1935224752959.1399</v>
      </c>
      <c r="AG191">
        <v>93.739510466858206</v>
      </c>
      <c r="AI191" t="s">
        <v>14</v>
      </c>
      <c r="AJ191" s="1">
        <v>40238</v>
      </c>
      <c r="AK191">
        <v>164479</v>
      </c>
      <c r="AL191">
        <v>1301137589406.99</v>
      </c>
      <c r="AM191">
        <v>78.476705023080896</v>
      </c>
      <c r="AO191" s="1">
        <f t="shared" si="12"/>
        <v>40118</v>
      </c>
      <c r="AP191">
        <f t="shared" si="13"/>
        <v>93.739510466858206</v>
      </c>
      <c r="AQ191">
        <f t="shared" si="11"/>
        <v>90.384794573327994</v>
      </c>
    </row>
    <row r="192" spans="29:43" x14ac:dyDescent="0.25">
      <c r="AC192" t="s">
        <v>5</v>
      </c>
      <c r="AD192" s="1">
        <v>40148</v>
      </c>
      <c r="AE192">
        <v>274807</v>
      </c>
      <c r="AF192">
        <v>1931516393378.1001</v>
      </c>
      <c r="AG192">
        <v>100.139588843593</v>
      </c>
      <c r="AI192" t="s">
        <v>14</v>
      </c>
      <c r="AJ192" s="1">
        <v>40269</v>
      </c>
      <c r="AK192">
        <v>163886</v>
      </c>
      <c r="AL192">
        <v>1262938911927.99</v>
      </c>
      <c r="AM192">
        <v>74.644213959322002</v>
      </c>
      <c r="AO192" s="1">
        <f t="shared" si="12"/>
        <v>40148</v>
      </c>
      <c r="AP192">
        <f t="shared" si="13"/>
        <v>100.139588843593</v>
      </c>
      <c r="AQ192">
        <f t="shared" si="11"/>
        <v>96.351911461783303</v>
      </c>
    </row>
    <row r="193" spans="29:43" x14ac:dyDescent="0.25">
      <c r="AC193" t="s">
        <v>5</v>
      </c>
      <c r="AD193" s="1">
        <v>40179</v>
      </c>
      <c r="AE193">
        <v>275195</v>
      </c>
      <c r="AF193">
        <v>1935480749969.53</v>
      </c>
      <c r="AG193">
        <v>92.837250472657402</v>
      </c>
      <c r="AI193" t="s">
        <v>14</v>
      </c>
      <c r="AJ193" s="1">
        <v>40299</v>
      </c>
      <c r="AK193">
        <v>163874</v>
      </c>
      <c r="AL193">
        <v>1257357437789.02</v>
      </c>
      <c r="AM193">
        <v>63.043837267343498</v>
      </c>
      <c r="AO193" s="1">
        <f t="shared" si="12"/>
        <v>40179</v>
      </c>
      <c r="AP193">
        <f t="shared" si="13"/>
        <v>92.837250472657402</v>
      </c>
      <c r="AQ193">
        <f t="shared" si="11"/>
        <v>88.285932297448795</v>
      </c>
    </row>
    <row r="194" spans="29:43" x14ac:dyDescent="0.25">
      <c r="AC194" t="s">
        <v>5</v>
      </c>
      <c r="AD194" s="1">
        <v>40210</v>
      </c>
      <c r="AE194">
        <v>275240</v>
      </c>
      <c r="AF194">
        <v>1926355203139.8799</v>
      </c>
      <c r="AG194">
        <v>81.729845456263405</v>
      </c>
      <c r="AI194" t="s">
        <v>14</v>
      </c>
      <c r="AJ194" s="1">
        <v>40330</v>
      </c>
      <c r="AK194">
        <v>163779</v>
      </c>
      <c r="AL194">
        <v>1253270914369.1101</v>
      </c>
      <c r="AM194">
        <v>82.008854019557504</v>
      </c>
      <c r="AO194" s="1">
        <f t="shared" si="12"/>
        <v>40210</v>
      </c>
      <c r="AP194">
        <f t="shared" si="13"/>
        <v>81.729845456263405</v>
      </c>
      <c r="AQ194">
        <f t="shared" si="11"/>
        <v>77.073914647772398</v>
      </c>
    </row>
    <row r="195" spans="29:43" x14ac:dyDescent="0.25">
      <c r="AC195" t="s">
        <v>5</v>
      </c>
      <c r="AD195" s="1">
        <v>40238</v>
      </c>
      <c r="AE195">
        <v>275437</v>
      </c>
      <c r="AF195">
        <v>1923031361638.27</v>
      </c>
      <c r="AG195">
        <v>83.360336219913705</v>
      </c>
      <c r="AI195" t="s">
        <v>14</v>
      </c>
      <c r="AJ195" s="1">
        <v>40360</v>
      </c>
      <c r="AK195">
        <v>163766</v>
      </c>
      <c r="AL195">
        <v>1254208414913.27</v>
      </c>
      <c r="AM195">
        <v>97.794103776106098</v>
      </c>
      <c r="AO195" s="1">
        <f t="shared" si="12"/>
        <v>40238</v>
      </c>
      <c r="AP195">
        <f t="shared" si="13"/>
        <v>83.360336219913705</v>
      </c>
      <c r="AQ195">
        <f t="shared" ref="AQ195:AQ258" si="14">VLOOKUP(AO195,AJ:AM,4,0)</f>
        <v>78.476705023080896</v>
      </c>
    </row>
    <row r="196" spans="29:43" x14ac:dyDescent="0.25">
      <c r="AC196" t="s">
        <v>5</v>
      </c>
      <c r="AD196" s="1">
        <v>40269</v>
      </c>
      <c r="AE196">
        <v>275562</v>
      </c>
      <c r="AF196">
        <v>1915973684687.22</v>
      </c>
      <c r="AG196">
        <v>82.500789881534899</v>
      </c>
      <c r="AI196" t="s">
        <v>14</v>
      </c>
      <c r="AJ196" s="1">
        <v>40391</v>
      </c>
      <c r="AK196">
        <v>163753</v>
      </c>
      <c r="AL196">
        <v>1251134507397.9399</v>
      </c>
      <c r="AM196">
        <v>110.642902515701</v>
      </c>
      <c r="AO196" s="1">
        <f t="shared" si="12"/>
        <v>40269</v>
      </c>
      <c r="AP196">
        <f t="shared" si="13"/>
        <v>82.500789881534899</v>
      </c>
      <c r="AQ196">
        <f t="shared" si="14"/>
        <v>74.644213959322002</v>
      </c>
    </row>
    <row r="197" spans="29:43" x14ac:dyDescent="0.25">
      <c r="AC197" t="s">
        <v>5</v>
      </c>
      <c r="AD197" s="1">
        <v>40299</v>
      </c>
      <c r="AE197">
        <v>274490</v>
      </c>
      <c r="AF197">
        <v>1886014655841.54</v>
      </c>
      <c r="AG197">
        <v>68.667319808032303</v>
      </c>
      <c r="AI197" t="s">
        <v>14</v>
      </c>
      <c r="AJ197" s="1">
        <v>40422</v>
      </c>
      <c r="AK197">
        <v>163755</v>
      </c>
      <c r="AL197">
        <v>1244762156873.8799</v>
      </c>
      <c r="AM197">
        <v>121.881345339966</v>
      </c>
      <c r="AO197" s="1">
        <f t="shared" si="12"/>
        <v>40299</v>
      </c>
      <c r="AP197">
        <f t="shared" si="13"/>
        <v>68.667319808032303</v>
      </c>
      <c r="AQ197">
        <f t="shared" si="14"/>
        <v>63.043837267343498</v>
      </c>
    </row>
    <row r="198" spans="29:43" x14ac:dyDescent="0.25">
      <c r="AC198" t="s">
        <v>5</v>
      </c>
      <c r="AD198" s="1">
        <v>40330</v>
      </c>
      <c r="AE198">
        <v>274482</v>
      </c>
      <c r="AF198">
        <v>1851844202005.27</v>
      </c>
      <c r="AG198">
        <v>86.626904391837797</v>
      </c>
      <c r="AI198" t="s">
        <v>14</v>
      </c>
      <c r="AJ198" s="1">
        <v>40452</v>
      </c>
      <c r="AK198">
        <v>163816</v>
      </c>
      <c r="AL198">
        <v>1235982569471.3701</v>
      </c>
      <c r="AM198">
        <v>126.85606553855</v>
      </c>
      <c r="AO198" s="1">
        <f t="shared" si="12"/>
        <v>40330</v>
      </c>
      <c r="AP198">
        <f t="shared" si="13"/>
        <v>86.626904391837797</v>
      </c>
      <c r="AQ198">
        <f t="shared" si="14"/>
        <v>82.008854019557504</v>
      </c>
    </row>
    <row r="199" spans="29:43" x14ac:dyDescent="0.25">
      <c r="AC199" t="s">
        <v>5</v>
      </c>
      <c r="AD199" s="1">
        <v>40360</v>
      </c>
      <c r="AE199">
        <v>274694</v>
      </c>
      <c r="AF199">
        <v>1823788108779.51</v>
      </c>
      <c r="AG199">
        <v>102.455562375347</v>
      </c>
      <c r="AI199" t="s">
        <v>14</v>
      </c>
      <c r="AJ199" s="1">
        <v>40483</v>
      </c>
      <c r="AK199">
        <v>163859</v>
      </c>
      <c r="AL199">
        <v>1222216237246.51</v>
      </c>
      <c r="AM199">
        <v>132.90894564867199</v>
      </c>
      <c r="AO199" s="1">
        <f t="shared" si="12"/>
        <v>40360</v>
      </c>
      <c r="AP199">
        <f t="shared" si="13"/>
        <v>102.455562375347</v>
      </c>
      <c r="AQ199">
        <f t="shared" si="14"/>
        <v>97.794103776106098</v>
      </c>
    </row>
    <row r="200" spans="29:43" x14ac:dyDescent="0.25">
      <c r="AC200" t="s">
        <v>5</v>
      </c>
      <c r="AD200" s="1">
        <v>40391</v>
      </c>
      <c r="AE200">
        <v>274934</v>
      </c>
      <c r="AF200">
        <v>1816002763653.8401</v>
      </c>
      <c r="AG200">
        <v>116.014261931497</v>
      </c>
      <c r="AI200" t="s">
        <v>14</v>
      </c>
      <c r="AJ200" s="1">
        <v>40513</v>
      </c>
      <c r="AK200">
        <v>164017</v>
      </c>
      <c r="AL200">
        <v>1208603766164.51</v>
      </c>
      <c r="AM200">
        <v>121.652827733066</v>
      </c>
      <c r="AO200" s="1">
        <f t="shared" si="12"/>
        <v>40391</v>
      </c>
      <c r="AP200">
        <f t="shared" si="13"/>
        <v>116.014261931497</v>
      </c>
      <c r="AQ200">
        <f t="shared" si="14"/>
        <v>110.642902515701</v>
      </c>
    </row>
    <row r="201" spans="29:43" x14ac:dyDescent="0.25">
      <c r="AC201" t="s">
        <v>5</v>
      </c>
      <c r="AD201" s="1">
        <v>40422</v>
      </c>
      <c r="AE201">
        <v>275265</v>
      </c>
      <c r="AF201">
        <v>1809160523507.3899</v>
      </c>
      <c r="AG201">
        <v>127.463803879355</v>
      </c>
      <c r="AI201" t="s">
        <v>14</v>
      </c>
      <c r="AJ201" s="1">
        <v>40544</v>
      </c>
      <c r="AK201">
        <v>164228</v>
      </c>
      <c r="AL201">
        <v>1194423645357.02</v>
      </c>
      <c r="AM201">
        <v>78.594905559970002</v>
      </c>
      <c r="AO201" s="1">
        <f t="shared" si="12"/>
        <v>40422</v>
      </c>
      <c r="AP201">
        <f t="shared" si="13"/>
        <v>127.463803879355</v>
      </c>
      <c r="AQ201">
        <f t="shared" si="14"/>
        <v>121.881345339966</v>
      </c>
    </row>
    <row r="202" spans="29:43" x14ac:dyDescent="0.25">
      <c r="AC202" t="s">
        <v>5</v>
      </c>
      <c r="AD202" s="1">
        <v>40452</v>
      </c>
      <c r="AE202">
        <v>275759</v>
      </c>
      <c r="AF202">
        <v>1806620806982.2</v>
      </c>
      <c r="AG202">
        <v>132.46717128784201</v>
      </c>
      <c r="AI202" t="s">
        <v>14</v>
      </c>
      <c r="AJ202" s="1">
        <v>40575</v>
      </c>
      <c r="AK202">
        <v>164247</v>
      </c>
      <c r="AL202">
        <v>1182814575891.2</v>
      </c>
      <c r="AM202">
        <v>69.8363013535986</v>
      </c>
      <c r="AO202" s="1">
        <f t="shared" si="12"/>
        <v>40452</v>
      </c>
      <c r="AP202">
        <f t="shared" si="13"/>
        <v>132.46717128784201</v>
      </c>
      <c r="AQ202">
        <f t="shared" si="14"/>
        <v>126.85606553855</v>
      </c>
    </row>
    <row r="203" spans="29:43" x14ac:dyDescent="0.25">
      <c r="AC203" t="s">
        <v>5</v>
      </c>
      <c r="AD203" s="1">
        <v>40483</v>
      </c>
      <c r="AE203">
        <v>276421</v>
      </c>
      <c r="AF203">
        <v>1800298888880.73</v>
      </c>
      <c r="AG203">
        <v>139.569280722396</v>
      </c>
      <c r="AI203" t="s">
        <v>14</v>
      </c>
      <c r="AJ203" s="1">
        <v>40603</v>
      </c>
      <c r="AK203">
        <v>164474</v>
      </c>
      <c r="AL203">
        <v>1179826829308.1899</v>
      </c>
      <c r="AM203">
        <v>48.6111948679156</v>
      </c>
      <c r="AO203" s="1">
        <f t="shared" si="12"/>
        <v>40483</v>
      </c>
      <c r="AP203">
        <f t="shared" si="13"/>
        <v>139.569280722396</v>
      </c>
      <c r="AQ203">
        <f t="shared" si="14"/>
        <v>132.90894564867199</v>
      </c>
    </row>
    <row r="204" spans="29:43" x14ac:dyDescent="0.25">
      <c r="AC204" t="s">
        <v>5</v>
      </c>
      <c r="AD204" s="1">
        <v>40513</v>
      </c>
      <c r="AE204">
        <v>277266</v>
      </c>
      <c r="AF204">
        <v>1792464139799.6499</v>
      </c>
      <c r="AG204">
        <v>128.43051176518199</v>
      </c>
      <c r="AI204" t="s">
        <v>14</v>
      </c>
      <c r="AJ204" s="1">
        <v>40634</v>
      </c>
      <c r="AK204">
        <v>164558</v>
      </c>
      <c r="AL204">
        <v>1171068568311.46</v>
      </c>
      <c r="AM204">
        <v>59.265790326853597</v>
      </c>
      <c r="AO204" s="1">
        <f t="shared" si="12"/>
        <v>40513</v>
      </c>
      <c r="AP204">
        <f t="shared" si="13"/>
        <v>128.43051176518199</v>
      </c>
      <c r="AQ204">
        <f t="shared" si="14"/>
        <v>121.652827733066</v>
      </c>
    </row>
    <row r="205" spans="29:43" x14ac:dyDescent="0.25">
      <c r="AC205" t="s">
        <v>5</v>
      </c>
      <c r="AD205" s="1">
        <v>40544</v>
      </c>
      <c r="AE205">
        <v>278078</v>
      </c>
      <c r="AF205">
        <v>1786702401571.8401</v>
      </c>
      <c r="AG205">
        <v>85.513314772173302</v>
      </c>
      <c r="AI205" t="s">
        <v>14</v>
      </c>
      <c r="AJ205" s="1">
        <v>40664</v>
      </c>
      <c r="AK205">
        <v>164675</v>
      </c>
      <c r="AL205">
        <v>1165480717909.74</v>
      </c>
      <c r="AM205">
        <v>57.314188146366</v>
      </c>
      <c r="AO205" s="1">
        <f t="shared" si="12"/>
        <v>40544</v>
      </c>
      <c r="AP205">
        <f t="shared" si="13"/>
        <v>85.513314772173302</v>
      </c>
      <c r="AQ205">
        <f t="shared" si="14"/>
        <v>78.594905559970002</v>
      </c>
    </row>
    <row r="206" spans="29:43" x14ac:dyDescent="0.25">
      <c r="AC206" t="s">
        <v>5</v>
      </c>
      <c r="AD206" s="1">
        <v>40575</v>
      </c>
      <c r="AE206">
        <v>278395</v>
      </c>
      <c r="AF206">
        <v>1774777092612.05</v>
      </c>
      <c r="AG206">
        <v>77.433495511223995</v>
      </c>
      <c r="AI206" t="s">
        <v>14</v>
      </c>
      <c r="AJ206" s="1">
        <v>40695</v>
      </c>
      <c r="AK206">
        <v>164807</v>
      </c>
      <c r="AL206">
        <v>1160574203603.98</v>
      </c>
      <c r="AM206">
        <v>76.539685223652697</v>
      </c>
      <c r="AO206" s="1">
        <f t="shared" si="12"/>
        <v>40575</v>
      </c>
      <c r="AP206">
        <f t="shared" si="13"/>
        <v>77.433495511223995</v>
      </c>
      <c r="AQ206">
        <f t="shared" si="14"/>
        <v>69.8363013535986</v>
      </c>
    </row>
    <row r="207" spans="29:43" x14ac:dyDescent="0.25">
      <c r="AC207" t="s">
        <v>5</v>
      </c>
      <c r="AD207" s="1">
        <v>40603</v>
      </c>
      <c r="AE207">
        <v>278900</v>
      </c>
      <c r="AF207">
        <v>1768365158153.76</v>
      </c>
      <c r="AG207">
        <v>56.897493878173798</v>
      </c>
      <c r="AI207" t="s">
        <v>14</v>
      </c>
      <c r="AJ207" s="1">
        <v>40725</v>
      </c>
      <c r="AK207">
        <v>164963</v>
      </c>
      <c r="AL207">
        <v>1157445015074.0801</v>
      </c>
      <c r="AM207">
        <v>88.513556532566199</v>
      </c>
      <c r="AO207" s="1">
        <f t="shared" si="12"/>
        <v>40603</v>
      </c>
      <c r="AP207">
        <f t="shared" si="13"/>
        <v>56.897493878173798</v>
      </c>
      <c r="AQ207">
        <f t="shared" si="14"/>
        <v>48.6111948679156</v>
      </c>
    </row>
    <row r="208" spans="29:43" x14ac:dyDescent="0.25">
      <c r="AC208" t="s">
        <v>5</v>
      </c>
      <c r="AD208" s="1">
        <v>40634</v>
      </c>
      <c r="AE208">
        <v>279791</v>
      </c>
      <c r="AF208">
        <v>1771693715295.3601</v>
      </c>
      <c r="AG208">
        <v>67.106879119825095</v>
      </c>
      <c r="AI208" t="s">
        <v>14</v>
      </c>
      <c r="AJ208" s="1">
        <v>40756</v>
      </c>
      <c r="AK208">
        <v>165116</v>
      </c>
      <c r="AL208">
        <v>1150165536380.5701</v>
      </c>
      <c r="AM208">
        <v>83.650282791261105</v>
      </c>
      <c r="AO208" s="1">
        <f t="shared" si="12"/>
        <v>40634</v>
      </c>
      <c r="AP208">
        <f t="shared" si="13"/>
        <v>67.106879119825095</v>
      </c>
      <c r="AQ208">
        <f t="shared" si="14"/>
        <v>59.265790326853597</v>
      </c>
    </row>
    <row r="209" spans="29:43" x14ac:dyDescent="0.25">
      <c r="AC209" t="s">
        <v>5</v>
      </c>
      <c r="AD209" s="1">
        <v>40664</v>
      </c>
      <c r="AE209">
        <v>280244</v>
      </c>
      <c r="AF209">
        <v>1762890974623.96</v>
      </c>
      <c r="AG209">
        <v>66.091990285967498</v>
      </c>
      <c r="AI209" t="s">
        <v>14</v>
      </c>
      <c r="AJ209" s="1">
        <v>40787</v>
      </c>
      <c r="AK209">
        <v>165297</v>
      </c>
      <c r="AL209">
        <v>1145704754479.45</v>
      </c>
      <c r="AM209">
        <v>111.27441199041</v>
      </c>
      <c r="AO209" s="1">
        <f t="shared" si="12"/>
        <v>40664</v>
      </c>
      <c r="AP209">
        <f t="shared" si="13"/>
        <v>66.091990285967498</v>
      </c>
      <c r="AQ209">
        <f t="shared" si="14"/>
        <v>57.314188146366</v>
      </c>
    </row>
    <row r="210" spans="29:43" x14ac:dyDescent="0.25">
      <c r="AC210" t="s">
        <v>5</v>
      </c>
      <c r="AD210" s="1">
        <v>40695</v>
      </c>
      <c r="AE210">
        <v>280629</v>
      </c>
      <c r="AF210">
        <v>1756163628422.04</v>
      </c>
      <c r="AG210">
        <v>84.936813281624197</v>
      </c>
      <c r="AI210" t="s">
        <v>14</v>
      </c>
      <c r="AJ210" s="1">
        <v>40817</v>
      </c>
      <c r="AK210">
        <v>165496</v>
      </c>
      <c r="AL210">
        <v>1139539896703.1399</v>
      </c>
      <c r="AM210">
        <v>128.07326030070101</v>
      </c>
      <c r="AO210" s="1">
        <f t="shared" si="12"/>
        <v>40695</v>
      </c>
      <c r="AP210">
        <f t="shared" si="13"/>
        <v>84.936813281624197</v>
      </c>
      <c r="AQ210">
        <f t="shared" si="14"/>
        <v>76.539685223652697</v>
      </c>
    </row>
    <row r="211" spans="29:43" x14ac:dyDescent="0.25">
      <c r="AC211" t="s">
        <v>5</v>
      </c>
      <c r="AD211" s="1">
        <v>40725</v>
      </c>
      <c r="AE211">
        <v>281075</v>
      </c>
      <c r="AF211">
        <v>1752854091034.3601</v>
      </c>
      <c r="AG211">
        <v>96.742012840512601</v>
      </c>
      <c r="AI211" t="s">
        <v>14</v>
      </c>
      <c r="AJ211" s="1">
        <v>40848</v>
      </c>
      <c r="AK211">
        <v>165673</v>
      </c>
      <c r="AL211">
        <v>1128758317047.3601</v>
      </c>
      <c r="AM211">
        <v>124.57406891117699</v>
      </c>
      <c r="AO211" s="1">
        <f t="shared" si="12"/>
        <v>40725</v>
      </c>
      <c r="AP211">
        <f t="shared" si="13"/>
        <v>96.742012840512601</v>
      </c>
      <c r="AQ211">
        <f t="shared" si="14"/>
        <v>88.513556532566199</v>
      </c>
    </row>
    <row r="212" spans="29:43" x14ac:dyDescent="0.25">
      <c r="AC212" t="s">
        <v>5</v>
      </c>
      <c r="AD212" s="1">
        <v>40756</v>
      </c>
      <c r="AE212">
        <v>281434</v>
      </c>
      <c r="AF212">
        <v>1742063298538.3899</v>
      </c>
      <c r="AG212">
        <v>91.794533063904893</v>
      </c>
      <c r="AI212" t="s">
        <v>14</v>
      </c>
      <c r="AJ212" s="1">
        <v>40878</v>
      </c>
      <c r="AK212">
        <v>165738</v>
      </c>
      <c r="AL212">
        <v>1112728336442.3301</v>
      </c>
      <c r="AM212">
        <v>132.33813515201001</v>
      </c>
      <c r="AO212" s="1">
        <f t="shared" si="12"/>
        <v>40756</v>
      </c>
      <c r="AP212">
        <f t="shared" si="13"/>
        <v>91.794533063904893</v>
      </c>
      <c r="AQ212">
        <f t="shared" si="14"/>
        <v>83.650282791261105</v>
      </c>
    </row>
    <row r="213" spans="29:43" x14ac:dyDescent="0.25">
      <c r="AC213" t="s">
        <v>5</v>
      </c>
      <c r="AD213" s="1">
        <v>40787</v>
      </c>
      <c r="AE213">
        <v>281942</v>
      </c>
      <c r="AF213">
        <v>1736000312551.3601</v>
      </c>
      <c r="AG213">
        <v>119.383403573066</v>
      </c>
      <c r="AI213" t="s">
        <v>14</v>
      </c>
      <c r="AJ213" s="1">
        <v>40909</v>
      </c>
      <c r="AK213">
        <v>165766</v>
      </c>
      <c r="AL213">
        <v>1093080187579.58</v>
      </c>
      <c r="AM213">
        <v>135.13648293242201</v>
      </c>
      <c r="AO213" s="1">
        <f t="shared" si="12"/>
        <v>40787</v>
      </c>
      <c r="AP213">
        <f t="shared" si="13"/>
        <v>119.383403573066</v>
      </c>
      <c r="AQ213">
        <f t="shared" si="14"/>
        <v>111.27441199041</v>
      </c>
    </row>
    <row r="214" spans="29:43" x14ac:dyDescent="0.25">
      <c r="AC214" t="s">
        <v>5</v>
      </c>
      <c r="AD214" s="1">
        <v>40817</v>
      </c>
      <c r="AE214">
        <v>282590</v>
      </c>
      <c r="AF214">
        <v>1730062143723.8999</v>
      </c>
      <c r="AG214">
        <v>136.41989913749001</v>
      </c>
      <c r="AI214" t="s">
        <v>14</v>
      </c>
      <c r="AJ214" s="1">
        <v>40940</v>
      </c>
      <c r="AK214">
        <v>165773</v>
      </c>
      <c r="AL214">
        <v>1081410722063.79</v>
      </c>
      <c r="AM214">
        <v>135.60374954376201</v>
      </c>
      <c r="AO214" s="1">
        <f t="shared" si="12"/>
        <v>40817</v>
      </c>
      <c r="AP214">
        <f t="shared" si="13"/>
        <v>136.41989913749001</v>
      </c>
      <c r="AQ214">
        <f t="shared" si="14"/>
        <v>128.07326030070101</v>
      </c>
    </row>
    <row r="215" spans="29:43" x14ac:dyDescent="0.25">
      <c r="AC215" t="s">
        <v>5</v>
      </c>
      <c r="AD215" s="1">
        <v>40848</v>
      </c>
      <c r="AE215">
        <v>283012</v>
      </c>
      <c r="AF215">
        <v>1716111353814.28</v>
      </c>
      <c r="AG215">
        <v>133.185600354907</v>
      </c>
      <c r="AI215" t="s">
        <v>14</v>
      </c>
      <c r="AJ215" s="1">
        <v>40969</v>
      </c>
      <c r="AK215">
        <v>165846</v>
      </c>
      <c r="AL215">
        <v>1078176456162.38</v>
      </c>
      <c r="AM215">
        <v>134.563601832046</v>
      </c>
      <c r="AO215" s="1">
        <f t="shared" si="12"/>
        <v>40848</v>
      </c>
      <c r="AP215">
        <f t="shared" si="13"/>
        <v>133.185600354907</v>
      </c>
      <c r="AQ215">
        <f t="shared" si="14"/>
        <v>124.57406891117699</v>
      </c>
    </row>
    <row r="216" spans="29:43" x14ac:dyDescent="0.25">
      <c r="AC216" t="s">
        <v>5</v>
      </c>
      <c r="AD216" s="1">
        <v>40878</v>
      </c>
      <c r="AE216">
        <v>283516</v>
      </c>
      <c r="AF216">
        <v>1704192012667.5601</v>
      </c>
      <c r="AG216">
        <v>140.75071970654599</v>
      </c>
      <c r="AI216" t="s">
        <v>14</v>
      </c>
      <c r="AJ216" s="1">
        <v>41000</v>
      </c>
      <c r="AK216">
        <v>166147</v>
      </c>
      <c r="AL216">
        <v>1067086710288.16</v>
      </c>
      <c r="AM216">
        <v>127.000801908672</v>
      </c>
      <c r="AO216" s="1">
        <f t="shared" si="12"/>
        <v>40878</v>
      </c>
      <c r="AP216">
        <f t="shared" si="13"/>
        <v>140.75071970654599</v>
      </c>
      <c r="AQ216">
        <f t="shared" si="14"/>
        <v>132.33813515201001</v>
      </c>
    </row>
    <row r="217" spans="29:43" x14ac:dyDescent="0.25">
      <c r="AC217" t="s">
        <v>5</v>
      </c>
      <c r="AD217" s="1">
        <v>40909</v>
      </c>
      <c r="AE217">
        <v>284179</v>
      </c>
      <c r="AF217">
        <v>1704718198742.55</v>
      </c>
      <c r="AG217">
        <v>141.789365658164</v>
      </c>
      <c r="AI217" t="s">
        <v>14</v>
      </c>
      <c r="AJ217" s="1">
        <v>41030</v>
      </c>
      <c r="AK217">
        <v>166315</v>
      </c>
      <c r="AL217">
        <v>1052985823369.1899</v>
      </c>
      <c r="AM217">
        <v>132.53333731379601</v>
      </c>
      <c r="AO217" s="1">
        <f t="shared" si="12"/>
        <v>40909</v>
      </c>
      <c r="AP217">
        <f t="shared" si="13"/>
        <v>141.789365658164</v>
      </c>
      <c r="AQ217">
        <f t="shared" si="14"/>
        <v>135.13648293242201</v>
      </c>
    </row>
    <row r="218" spans="29:43" x14ac:dyDescent="0.25">
      <c r="AC218" t="s">
        <v>5</v>
      </c>
      <c r="AD218" s="1">
        <v>40940</v>
      </c>
      <c r="AE218">
        <v>284757</v>
      </c>
      <c r="AF218">
        <v>1695810438281.72</v>
      </c>
      <c r="AG218">
        <v>141.976550696179</v>
      </c>
      <c r="AI218" t="s">
        <v>14</v>
      </c>
      <c r="AJ218" s="1">
        <v>41061</v>
      </c>
      <c r="AK218">
        <v>166481</v>
      </c>
      <c r="AL218">
        <v>1037553728529.5699</v>
      </c>
      <c r="AM218">
        <v>142.30375053609399</v>
      </c>
      <c r="AO218" s="1">
        <f t="shared" si="12"/>
        <v>40940</v>
      </c>
      <c r="AP218">
        <f t="shared" si="13"/>
        <v>141.976550696179</v>
      </c>
      <c r="AQ218">
        <f t="shared" si="14"/>
        <v>135.60374954376201</v>
      </c>
    </row>
    <row r="219" spans="29:43" x14ac:dyDescent="0.25">
      <c r="AC219" t="s">
        <v>5</v>
      </c>
      <c r="AD219" s="1">
        <v>40969</v>
      </c>
      <c r="AE219">
        <v>285377</v>
      </c>
      <c r="AF219">
        <v>1691373410963.1499</v>
      </c>
      <c r="AG219">
        <v>140.689675805782</v>
      </c>
      <c r="AI219" t="s">
        <v>14</v>
      </c>
      <c r="AJ219" s="1">
        <v>41091</v>
      </c>
      <c r="AK219">
        <v>166552</v>
      </c>
      <c r="AL219">
        <v>1030696048023.48</v>
      </c>
      <c r="AM219">
        <v>155.719913951655</v>
      </c>
      <c r="AO219" s="1">
        <f t="shared" si="12"/>
        <v>40969</v>
      </c>
      <c r="AP219">
        <f t="shared" si="13"/>
        <v>140.689675805782</v>
      </c>
      <c r="AQ219">
        <f t="shared" si="14"/>
        <v>134.563601832046</v>
      </c>
    </row>
    <row r="220" spans="29:43" x14ac:dyDescent="0.25">
      <c r="AC220" t="s">
        <v>5</v>
      </c>
      <c r="AD220" s="1">
        <v>41000</v>
      </c>
      <c r="AE220">
        <v>286478</v>
      </c>
      <c r="AF220">
        <v>1700883766281.3999</v>
      </c>
      <c r="AG220">
        <v>130.71128092165799</v>
      </c>
      <c r="AI220" t="s">
        <v>14</v>
      </c>
      <c r="AJ220" s="1">
        <v>41122</v>
      </c>
      <c r="AK220">
        <v>166715</v>
      </c>
      <c r="AL220">
        <v>1017753718361.05</v>
      </c>
      <c r="AM220">
        <v>165.41720019127399</v>
      </c>
      <c r="AO220" s="1">
        <f t="shared" si="12"/>
        <v>41000</v>
      </c>
      <c r="AP220">
        <f t="shared" si="13"/>
        <v>130.71128092165799</v>
      </c>
      <c r="AQ220">
        <f t="shared" si="14"/>
        <v>127.000801908672</v>
      </c>
    </row>
    <row r="221" spans="29:43" x14ac:dyDescent="0.25">
      <c r="AC221" t="s">
        <v>5</v>
      </c>
      <c r="AD221" s="1">
        <v>41030</v>
      </c>
      <c r="AE221">
        <v>286960</v>
      </c>
      <c r="AF221">
        <v>1686240153711.4299</v>
      </c>
      <c r="AG221">
        <v>136.03416292280099</v>
      </c>
      <c r="AI221" t="s">
        <v>14</v>
      </c>
      <c r="AJ221" s="1">
        <v>41153</v>
      </c>
      <c r="AK221">
        <v>166950</v>
      </c>
      <c r="AL221">
        <v>1009008459381.01</v>
      </c>
      <c r="AM221">
        <v>159.199225251532</v>
      </c>
      <c r="AO221" s="1">
        <f t="shared" si="12"/>
        <v>41030</v>
      </c>
      <c r="AP221">
        <f t="shared" si="13"/>
        <v>136.03416292280099</v>
      </c>
      <c r="AQ221">
        <f t="shared" si="14"/>
        <v>132.53333731379601</v>
      </c>
    </row>
    <row r="222" spans="29:43" x14ac:dyDescent="0.25">
      <c r="AC222" t="s">
        <v>5</v>
      </c>
      <c r="AD222" s="1">
        <v>41061</v>
      </c>
      <c r="AE222">
        <v>287883</v>
      </c>
      <c r="AF222">
        <v>1687594503417.6201</v>
      </c>
      <c r="AG222">
        <v>143.85661930496499</v>
      </c>
      <c r="AI222" t="s">
        <v>14</v>
      </c>
      <c r="AJ222" s="1">
        <v>41183</v>
      </c>
      <c r="AK222">
        <v>167134</v>
      </c>
      <c r="AL222">
        <v>993395215390.30005</v>
      </c>
      <c r="AM222">
        <v>166.76668655364</v>
      </c>
      <c r="AO222" s="1">
        <f t="shared" si="12"/>
        <v>41061</v>
      </c>
      <c r="AP222">
        <f t="shared" si="13"/>
        <v>143.85661930496499</v>
      </c>
      <c r="AQ222">
        <f t="shared" si="14"/>
        <v>142.30375053609399</v>
      </c>
    </row>
    <row r="223" spans="29:43" x14ac:dyDescent="0.25">
      <c r="AC223" t="s">
        <v>5</v>
      </c>
      <c r="AD223" s="1">
        <v>41091</v>
      </c>
      <c r="AE223">
        <v>288800</v>
      </c>
      <c r="AF223">
        <v>1678034216160.9199</v>
      </c>
      <c r="AG223">
        <v>157.349229655767</v>
      </c>
      <c r="AI223" t="s">
        <v>14</v>
      </c>
      <c r="AJ223" s="1">
        <v>41214</v>
      </c>
      <c r="AK223">
        <v>167513</v>
      </c>
      <c r="AL223">
        <v>988480773477.10999</v>
      </c>
      <c r="AM223">
        <v>172.24418434676801</v>
      </c>
      <c r="AO223" s="1">
        <f t="shared" si="12"/>
        <v>41091</v>
      </c>
      <c r="AP223">
        <f t="shared" si="13"/>
        <v>157.349229655767</v>
      </c>
      <c r="AQ223">
        <f t="shared" si="14"/>
        <v>155.719913951655</v>
      </c>
    </row>
    <row r="224" spans="29:43" x14ac:dyDescent="0.25">
      <c r="AC224" t="s">
        <v>5</v>
      </c>
      <c r="AD224" s="1">
        <v>41122</v>
      </c>
      <c r="AE224">
        <v>289667</v>
      </c>
      <c r="AF224">
        <v>1673253636966.7</v>
      </c>
      <c r="AG224">
        <v>165.95826004259899</v>
      </c>
      <c r="AI224" t="s">
        <v>14</v>
      </c>
      <c r="AJ224" s="1">
        <v>41244</v>
      </c>
      <c r="AK224">
        <v>168029</v>
      </c>
      <c r="AL224">
        <v>987833006284.93005</v>
      </c>
      <c r="AM224">
        <v>169.618560758402</v>
      </c>
      <c r="AO224" s="1">
        <f t="shared" si="12"/>
        <v>41122</v>
      </c>
      <c r="AP224">
        <f t="shared" si="13"/>
        <v>165.95826004259899</v>
      </c>
      <c r="AQ224">
        <f t="shared" si="14"/>
        <v>165.41720019127399</v>
      </c>
    </row>
    <row r="225" spans="29:43" x14ac:dyDescent="0.25">
      <c r="AC225" t="s">
        <v>5</v>
      </c>
      <c r="AD225" s="1">
        <v>41153</v>
      </c>
      <c r="AE225">
        <v>290751</v>
      </c>
      <c r="AF225">
        <v>1668901981848.5</v>
      </c>
      <c r="AG225">
        <v>159.152125479273</v>
      </c>
      <c r="AI225" t="s">
        <v>14</v>
      </c>
      <c r="AJ225" s="1">
        <v>41275</v>
      </c>
      <c r="AK225">
        <v>167997</v>
      </c>
      <c r="AL225">
        <v>972565007892.05005</v>
      </c>
      <c r="AM225">
        <v>167.41080740075699</v>
      </c>
      <c r="AO225" s="1">
        <f t="shared" si="12"/>
        <v>41153</v>
      </c>
      <c r="AP225">
        <f t="shared" si="13"/>
        <v>159.152125479273</v>
      </c>
      <c r="AQ225">
        <f t="shared" si="14"/>
        <v>159.199225251532</v>
      </c>
    </row>
    <row r="226" spans="29:43" x14ac:dyDescent="0.25">
      <c r="AC226" t="s">
        <v>5</v>
      </c>
      <c r="AD226" s="1">
        <v>41183</v>
      </c>
      <c r="AE226">
        <v>292008</v>
      </c>
      <c r="AF226">
        <v>1663516641773.1899</v>
      </c>
      <c r="AG226">
        <v>165.76835864342399</v>
      </c>
      <c r="AI226" t="s">
        <v>14</v>
      </c>
      <c r="AJ226" s="1">
        <v>41306</v>
      </c>
      <c r="AK226">
        <v>168243</v>
      </c>
      <c r="AL226">
        <v>964648010655.91003</v>
      </c>
      <c r="AM226">
        <v>156.421750161918</v>
      </c>
      <c r="AO226" s="1">
        <f t="shared" si="12"/>
        <v>41183</v>
      </c>
      <c r="AP226">
        <f t="shared" si="13"/>
        <v>165.76835864342399</v>
      </c>
      <c r="AQ226">
        <f t="shared" si="14"/>
        <v>166.76668655364</v>
      </c>
    </row>
    <row r="227" spans="29:43" x14ac:dyDescent="0.25">
      <c r="AC227" t="s">
        <v>5</v>
      </c>
      <c r="AD227" s="1">
        <v>41214</v>
      </c>
      <c r="AE227">
        <v>292794</v>
      </c>
      <c r="AF227">
        <v>1648405277502.1699</v>
      </c>
      <c r="AG227">
        <v>172.72001780429201</v>
      </c>
      <c r="AI227" t="s">
        <v>14</v>
      </c>
      <c r="AJ227" s="1">
        <v>41334</v>
      </c>
      <c r="AK227">
        <v>168444</v>
      </c>
      <c r="AL227">
        <v>958178399344.89001</v>
      </c>
      <c r="AM227">
        <v>137.777618842132</v>
      </c>
      <c r="AO227" s="1">
        <f t="shared" si="12"/>
        <v>41214</v>
      </c>
      <c r="AP227">
        <f t="shared" si="13"/>
        <v>172.72001780429201</v>
      </c>
      <c r="AQ227">
        <f t="shared" si="14"/>
        <v>172.24418434676801</v>
      </c>
    </row>
    <row r="228" spans="29:43" x14ac:dyDescent="0.25">
      <c r="AC228" t="s">
        <v>5</v>
      </c>
      <c r="AD228" s="1">
        <v>41244</v>
      </c>
      <c r="AE228">
        <v>294272</v>
      </c>
      <c r="AF228">
        <v>1656955004649.22</v>
      </c>
      <c r="AG228">
        <v>169.754837358662</v>
      </c>
      <c r="AI228" t="s">
        <v>14</v>
      </c>
      <c r="AJ228" s="1">
        <v>41365</v>
      </c>
      <c r="AK228">
        <v>168554</v>
      </c>
      <c r="AL228">
        <v>958767138252.81006</v>
      </c>
      <c r="AM228">
        <v>131.34881430950199</v>
      </c>
      <c r="AO228" s="1">
        <f t="shared" si="12"/>
        <v>41244</v>
      </c>
      <c r="AP228">
        <f t="shared" si="13"/>
        <v>169.754837358662</v>
      </c>
      <c r="AQ228">
        <f t="shared" si="14"/>
        <v>169.618560758402</v>
      </c>
    </row>
    <row r="229" spans="29:43" x14ac:dyDescent="0.25">
      <c r="AC229" t="s">
        <v>5</v>
      </c>
      <c r="AD229" s="1">
        <v>41275</v>
      </c>
      <c r="AE229">
        <v>294972</v>
      </c>
      <c r="AF229">
        <v>1645019670084.6001</v>
      </c>
      <c r="AG229">
        <v>166.49434957511201</v>
      </c>
      <c r="AI229" t="s">
        <v>14</v>
      </c>
      <c r="AJ229" s="1">
        <v>41395</v>
      </c>
      <c r="AK229">
        <v>168497</v>
      </c>
      <c r="AL229">
        <v>956989567273.20996</v>
      </c>
      <c r="AM229">
        <v>139.327097963433</v>
      </c>
      <c r="AO229" s="1">
        <f t="shared" si="12"/>
        <v>41275</v>
      </c>
      <c r="AP229">
        <f t="shared" si="13"/>
        <v>166.49434957511201</v>
      </c>
      <c r="AQ229">
        <f t="shared" si="14"/>
        <v>167.41080740075699</v>
      </c>
    </row>
    <row r="230" spans="29:43" x14ac:dyDescent="0.25">
      <c r="AC230" t="s">
        <v>5</v>
      </c>
      <c r="AD230" s="1">
        <v>41306</v>
      </c>
      <c r="AE230">
        <v>295747</v>
      </c>
      <c r="AF230">
        <v>1641408813705.6101</v>
      </c>
      <c r="AG230">
        <v>152.21032353811199</v>
      </c>
      <c r="AI230" t="s">
        <v>14</v>
      </c>
      <c r="AJ230" s="1">
        <v>41426</v>
      </c>
      <c r="AK230">
        <v>168650</v>
      </c>
      <c r="AL230">
        <v>951379532622</v>
      </c>
      <c r="AM230">
        <v>128.73917790199999</v>
      </c>
      <c r="AO230" s="1">
        <f t="shared" si="12"/>
        <v>41306</v>
      </c>
      <c r="AP230">
        <f t="shared" si="13"/>
        <v>152.21032353811199</v>
      </c>
      <c r="AQ230">
        <f t="shared" si="14"/>
        <v>156.421750161918</v>
      </c>
    </row>
    <row r="231" spans="29:43" x14ac:dyDescent="0.25">
      <c r="AC231" t="s">
        <v>5</v>
      </c>
      <c r="AD231" s="1">
        <v>41334</v>
      </c>
      <c r="AE231">
        <v>296480</v>
      </c>
      <c r="AF231">
        <v>1639099306167.1299</v>
      </c>
      <c r="AG231">
        <v>131.243923180764</v>
      </c>
      <c r="AI231" t="s">
        <v>14</v>
      </c>
      <c r="AJ231" s="1">
        <v>41456</v>
      </c>
      <c r="AK231">
        <v>168793</v>
      </c>
      <c r="AL231">
        <v>951112315863.43994</v>
      </c>
      <c r="AM231">
        <v>70.210738996596206</v>
      </c>
      <c r="AO231" s="1">
        <f t="shared" si="12"/>
        <v>41334</v>
      </c>
      <c r="AP231">
        <f t="shared" si="13"/>
        <v>131.243923180764</v>
      </c>
      <c r="AQ231">
        <f t="shared" si="14"/>
        <v>137.777618842132</v>
      </c>
    </row>
    <row r="232" spans="29:43" x14ac:dyDescent="0.25">
      <c r="AC232" t="s">
        <v>5</v>
      </c>
      <c r="AD232" s="1">
        <v>41365</v>
      </c>
      <c r="AE232">
        <v>296774</v>
      </c>
      <c r="AF232">
        <v>1632928605681.1299</v>
      </c>
      <c r="AG232">
        <v>123.93878476524399</v>
      </c>
      <c r="AI232" t="s">
        <v>14</v>
      </c>
      <c r="AJ232" s="1">
        <v>41487</v>
      </c>
      <c r="AK232">
        <v>168702</v>
      </c>
      <c r="AL232">
        <v>948978277212.25</v>
      </c>
      <c r="AM232">
        <v>36.424364846665803</v>
      </c>
      <c r="AO232" s="1">
        <f t="shared" si="12"/>
        <v>41365</v>
      </c>
      <c r="AP232">
        <f t="shared" si="13"/>
        <v>123.93878476524399</v>
      </c>
      <c r="AQ232">
        <f t="shared" si="14"/>
        <v>131.34881430950199</v>
      </c>
    </row>
    <row r="233" spans="29:43" x14ac:dyDescent="0.25">
      <c r="AC233" t="s">
        <v>5</v>
      </c>
      <c r="AD233" s="1">
        <v>41395</v>
      </c>
      <c r="AE233">
        <v>297206</v>
      </c>
      <c r="AF233">
        <v>1630926522634.1799</v>
      </c>
      <c r="AG233">
        <v>129.315743161684</v>
      </c>
      <c r="AI233" t="s">
        <v>14</v>
      </c>
      <c r="AJ233" s="1">
        <v>41518</v>
      </c>
      <c r="AK233">
        <v>168665</v>
      </c>
      <c r="AL233">
        <v>948811579876.78003</v>
      </c>
      <c r="AM233">
        <v>23.794123874656499</v>
      </c>
      <c r="AO233" s="1">
        <f t="shared" si="12"/>
        <v>41395</v>
      </c>
      <c r="AP233">
        <f t="shared" si="13"/>
        <v>129.315743161684</v>
      </c>
      <c r="AQ233">
        <f t="shared" si="14"/>
        <v>139.327097963433</v>
      </c>
    </row>
    <row r="234" spans="29:43" x14ac:dyDescent="0.25">
      <c r="AC234" t="s">
        <v>5</v>
      </c>
      <c r="AD234" s="1">
        <v>41426</v>
      </c>
      <c r="AE234">
        <v>297478</v>
      </c>
      <c r="AF234">
        <v>1634172612883.0801</v>
      </c>
      <c r="AG234">
        <v>116.526915044661</v>
      </c>
      <c r="AI234" t="s">
        <v>14</v>
      </c>
      <c r="AJ234" s="1">
        <v>41548</v>
      </c>
      <c r="AK234">
        <v>168535</v>
      </c>
      <c r="AL234">
        <v>946698650327.43005</v>
      </c>
      <c r="AM234">
        <v>19.4586916661499</v>
      </c>
      <c r="AO234" s="1">
        <f t="shared" si="12"/>
        <v>41426</v>
      </c>
      <c r="AP234">
        <f t="shared" si="13"/>
        <v>116.526915044661</v>
      </c>
      <c r="AQ234">
        <f t="shared" si="14"/>
        <v>128.73917790199999</v>
      </c>
    </row>
    <row r="235" spans="29:43" x14ac:dyDescent="0.25">
      <c r="AC235" t="s">
        <v>5</v>
      </c>
      <c r="AD235" s="1">
        <v>41456</v>
      </c>
      <c r="AE235">
        <v>297713</v>
      </c>
      <c r="AF235">
        <v>1630715136837.8301</v>
      </c>
      <c r="AG235">
        <v>64.935825733373306</v>
      </c>
      <c r="AI235" t="s">
        <v>14</v>
      </c>
      <c r="AJ235" s="1">
        <v>41579</v>
      </c>
      <c r="AK235">
        <v>168454</v>
      </c>
      <c r="AL235">
        <v>945526028023.66003</v>
      </c>
      <c r="AM235">
        <v>47.513115801038403</v>
      </c>
      <c r="AO235" s="1">
        <f t="shared" si="12"/>
        <v>41456</v>
      </c>
      <c r="AP235">
        <f t="shared" si="13"/>
        <v>64.935825733373306</v>
      </c>
      <c r="AQ235">
        <f t="shared" si="14"/>
        <v>70.210738996596206</v>
      </c>
    </row>
    <row r="236" spans="29:43" x14ac:dyDescent="0.25">
      <c r="AC236" t="s">
        <v>5</v>
      </c>
      <c r="AD236" s="1">
        <v>41487</v>
      </c>
      <c r="AE236">
        <v>297745</v>
      </c>
      <c r="AF236">
        <v>1635352864892.78</v>
      </c>
      <c r="AG236">
        <v>35.8027509715401</v>
      </c>
      <c r="AI236" t="s">
        <v>14</v>
      </c>
      <c r="AJ236" s="1">
        <v>41609</v>
      </c>
      <c r="AK236">
        <v>168526</v>
      </c>
      <c r="AL236">
        <v>947567336728.01001</v>
      </c>
      <c r="AM236">
        <v>37.299689914851399</v>
      </c>
      <c r="AO236" s="1">
        <f t="shared" si="12"/>
        <v>41487</v>
      </c>
      <c r="AP236">
        <f t="shared" si="13"/>
        <v>35.8027509715401</v>
      </c>
      <c r="AQ236">
        <f t="shared" si="14"/>
        <v>36.424364846665803</v>
      </c>
    </row>
    <row r="237" spans="29:43" x14ac:dyDescent="0.25">
      <c r="AC237" t="s">
        <v>5</v>
      </c>
      <c r="AD237" s="1">
        <v>41518</v>
      </c>
      <c r="AE237">
        <v>297935</v>
      </c>
      <c r="AF237">
        <v>1638979706834.8101</v>
      </c>
      <c r="AG237">
        <v>25.522517380460101</v>
      </c>
      <c r="AI237" t="s">
        <v>14</v>
      </c>
      <c r="AJ237" s="1">
        <v>41640</v>
      </c>
      <c r="AK237">
        <v>168522</v>
      </c>
      <c r="AL237">
        <v>950558420406.93994</v>
      </c>
      <c r="AM237">
        <v>17.702370064556899</v>
      </c>
      <c r="AO237" s="1">
        <f t="shared" si="12"/>
        <v>41518</v>
      </c>
      <c r="AP237">
        <f t="shared" si="13"/>
        <v>25.522517380460101</v>
      </c>
      <c r="AQ237">
        <f t="shared" si="14"/>
        <v>23.794123874656499</v>
      </c>
    </row>
    <row r="238" spans="29:43" x14ac:dyDescent="0.25">
      <c r="AC238" t="s">
        <v>5</v>
      </c>
      <c r="AD238" s="1">
        <v>41548</v>
      </c>
      <c r="AE238">
        <v>298051</v>
      </c>
      <c r="AF238">
        <v>1644012668533.9099</v>
      </c>
      <c r="AG238">
        <v>22.331441546548199</v>
      </c>
      <c r="AI238" t="s">
        <v>14</v>
      </c>
      <c r="AJ238" s="1">
        <v>41671</v>
      </c>
      <c r="AK238">
        <v>168389</v>
      </c>
      <c r="AL238">
        <v>951961756683.73999</v>
      </c>
      <c r="AM238">
        <v>17.258585733965901</v>
      </c>
      <c r="AO238" s="1">
        <f t="shared" si="12"/>
        <v>41548</v>
      </c>
      <c r="AP238">
        <f t="shared" si="13"/>
        <v>22.331441546548199</v>
      </c>
      <c r="AQ238">
        <f t="shared" si="14"/>
        <v>19.4586916661499</v>
      </c>
    </row>
    <row r="239" spans="29:43" x14ac:dyDescent="0.25">
      <c r="AC239" t="s">
        <v>5</v>
      </c>
      <c r="AD239" s="1">
        <v>41579</v>
      </c>
      <c r="AE239">
        <v>298245</v>
      </c>
      <c r="AF239">
        <v>1652973739227.2</v>
      </c>
      <c r="AG239">
        <v>43.947064354922801</v>
      </c>
      <c r="AI239" t="s">
        <v>14</v>
      </c>
      <c r="AJ239" s="1">
        <v>41699</v>
      </c>
      <c r="AK239">
        <v>168241</v>
      </c>
      <c r="AL239">
        <v>954383832976.22998</v>
      </c>
      <c r="AM239">
        <v>29.767544997349301</v>
      </c>
      <c r="AO239" s="1">
        <f t="shared" si="12"/>
        <v>41579</v>
      </c>
      <c r="AP239">
        <f t="shared" si="13"/>
        <v>43.947064354922801</v>
      </c>
      <c r="AQ239">
        <f t="shared" si="14"/>
        <v>47.513115801038403</v>
      </c>
    </row>
    <row r="240" spans="29:43" x14ac:dyDescent="0.25">
      <c r="AC240" t="s">
        <v>5</v>
      </c>
      <c r="AD240" s="1">
        <v>41609</v>
      </c>
      <c r="AE240">
        <v>298380</v>
      </c>
      <c r="AF240">
        <v>1657289777281.8</v>
      </c>
      <c r="AG240">
        <v>36.860738688742799</v>
      </c>
      <c r="AI240" t="s">
        <v>14</v>
      </c>
      <c r="AJ240" s="1">
        <v>41730</v>
      </c>
      <c r="AK240">
        <v>168138</v>
      </c>
      <c r="AL240">
        <v>954656179373.09998</v>
      </c>
      <c r="AM240">
        <v>28.1922901864069</v>
      </c>
      <c r="AO240" s="1">
        <f t="shared" si="12"/>
        <v>41609</v>
      </c>
      <c r="AP240">
        <f t="shared" si="13"/>
        <v>36.860738688742799</v>
      </c>
      <c r="AQ240">
        <f t="shared" si="14"/>
        <v>37.299689914851399</v>
      </c>
    </row>
    <row r="241" spans="29:43" x14ac:dyDescent="0.25">
      <c r="AC241" t="s">
        <v>5</v>
      </c>
      <c r="AD241" s="1">
        <v>41640</v>
      </c>
      <c r="AE241">
        <v>298565</v>
      </c>
      <c r="AF241">
        <v>1661238948532.75</v>
      </c>
      <c r="AG241">
        <v>22.3093907652406</v>
      </c>
      <c r="AI241" t="s">
        <v>14</v>
      </c>
      <c r="AJ241" s="1">
        <v>41760</v>
      </c>
      <c r="AK241">
        <v>168113</v>
      </c>
      <c r="AL241">
        <v>956139225086.04004</v>
      </c>
      <c r="AM241">
        <v>29.086680584380002</v>
      </c>
      <c r="AO241" s="1">
        <f t="shared" si="12"/>
        <v>41640</v>
      </c>
      <c r="AP241">
        <f t="shared" si="13"/>
        <v>22.3093907652406</v>
      </c>
      <c r="AQ241">
        <f t="shared" si="14"/>
        <v>17.702370064556899</v>
      </c>
    </row>
    <row r="242" spans="29:43" x14ac:dyDescent="0.25">
      <c r="AC242" t="s">
        <v>5</v>
      </c>
      <c r="AD242" s="1">
        <v>41671</v>
      </c>
      <c r="AE242">
        <v>298522</v>
      </c>
      <c r="AF242">
        <v>1659593431085.3999</v>
      </c>
      <c r="AG242">
        <v>22.407482182418502</v>
      </c>
      <c r="AI242" t="s">
        <v>14</v>
      </c>
      <c r="AJ242" s="1">
        <v>41791</v>
      </c>
      <c r="AK242">
        <v>168001</v>
      </c>
      <c r="AL242">
        <v>957828328319.79004</v>
      </c>
      <c r="AM242">
        <v>47.402990883723902</v>
      </c>
      <c r="AO242" s="1">
        <f t="shared" si="12"/>
        <v>41671</v>
      </c>
      <c r="AP242">
        <f t="shared" si="13"/>
        <v>22.407482182418502</v>
      </c>
      <c r="AQ242">
        <f t="shared" si="14"/>
        <v>17.258585733965901</v>
      </c>
    </row>
    <row r="243" spans="29:43" x14ac:dyDescent="0.25">
      <c r="AC243" t="s">
        <v>5</v>
      </c>
      <c r="AD243" s="1">
        <v>41699</v>
      </c>
      <c r="AE243">
        <v>298590</v>
      </c>
      <c r="AF243">
        <v>1661124798886</v>
      </c>
      <c r="AG243">
        <v>35.3089386004836</v>
      </c>
      <c r="AI243" t="s">
        <v>14</v>
      </c>
      <c r="AJ243" s="1">
        <v>41821</v>
      </c>
      <c r="AK243">
        <v>167932</v>
      </c>
      <c r="AL243">
        <v>961134113453.43994</v>
      </c>
      <c r="AM243">
        <v>48.571567214942597</v>
      </c>
      <c r="AO243" s="1">
        <f t="shared" si="12"/>
        <v>41699</v>
      </c>
      <c r="AP243">
        <f t="shared" si="13"/>
        <v>35.3089386004836</v>
      </c>
      <c r="AQ243">
        <f t="shared" si="14"/>
        <v>29.767544997349301</v>
      </c>
    </row>
    <row r="244" spans="29:43" x14ac:dyDescent="0.25">
      <c r="AC244" t="s">
        <v>5</v>
      </c>
      <c r="AD244" s="1">
        <v>41730</v>
      </c>
      <c r="AE244">
        <v>298754</v>
      </c>
      <c r="AF244">
        <v>1661638057181.03</v>
      </c>
      <c r="AG244">
        <v>33.365675230179399</v>
      </c>
      <c r="AI244" t="s">
        <v>14</v>
      </c>
      <c r="AJ244" s="1">
        <v>41852</v>
      </c>
      <c r="AK244">
        <v>167848</v>
      </c>
      <c r="AL244">
        <v>963933164722.85999</v>
      </c>
      <c r="AM244">
        <v>49.863675836796297</v>
      </c>
      <c r="AO244" s="1">
        <f t="shared" si="12"/>
        <v>41730</v>
      </c>
      <c r="AP244">
        <f t="shared" si="13"/>
        <v>33.365675230179399</v>
      </c>
      <c r="AQ244">
        <f t="shared" si="14"/>
        <v>28.1922901864069</v>
      </c>
    </row>
    <row r="245" spans="29:43" x14ac:dyDescent="0.25">
      <c r="AC245" t="s">
        <v>5</v>
      </c>
      <c r="AD245" s="1">
        <v>41760</v>
      </c>
      <c r="AE245">
        <v>298806</v>
      </c>
      <c r="AF245">
        <v>1662332949157.3501</v>
      </c>
      <c r="AG245">
        <v>33.5949477054928</v>
      </c>
      <c r="AI245" t="s">
        <v>14</v>
      </c>
      <c r="AJ245" s="1">
        <v>41883</v>
      </c>
      <c r="AK245">
        <v>167817</v>
      </c>
      <c r="AL245">
        <v>971985480145.08997</v>
      </c>
      <c r="AM245">
        <v>50.931776685808899</v>
      </c>
      <c r="AO245" s="1">
        <f t="shared" si="12"/>
        <v>41760</v>
      </c>
      <c r="AP245">
        <f t="shared" si="13"/>
        <v>33.5949477054928</v>
      </c>
      <c r="AQ245">
        <f t="shared" si="14"/>
        <v>29.086680584380002</v>
      </c>
    </row>
    <row r="246" spans="29:43" x14ac:dyDescent="0.25">
      <c r="AC246" t="s">
        <v>5</v>
      </c>
      <c r="AD246" s="1">
        <v>41791</v>
      </c>
      <c r="AE246">
        <v>298894</v>
      </c>
      <c r="AF246">
        <v>1662352977660.22</v>
      </c>
      <c r="AG246">
        <v>51.558854523094197</v>
      </c>
      <c r="AI246" t="s">
        <v>14</v>
      </c>
      <c r="AJ246" s="1">
        <v>41913</v>
      </c>
      <c r="AK246">
        <v>167776</v>
      </c>
      <c r="AL246">
        <v>977830257289.84998</v>
      </c>
      <c r="AM246">
        <v>46.713468309624901</v>
      </c>
      <c r="AO246" s="1">
        <f t="shared" ref="AO246:AO274" si="15">AD246</f>
        <v>41791</v>
      </c>
      <c r="AP246">
        <f t="shared" ref="AP246:AP274" si="16">AG246</f>
        <v>51.558854523094197</v>
      </c>
      <c r="AQ246">
        <f t="shared" si="14"/>
        <v>47.402990883723902</v>
      </c>
    </row>
    <row r="247" spans="29:43" x14ac:dyDescent="0.25">
      <c r="AC247" t="s">
        <v>5</v>
      </c>
      <c r="AD247" s="1">
        <v>41821</v>
      </c>
      <c r="AE247">
        <v>299170</v>
      </c>
      <c r="AF247">
        <v>1664665897034.6699</v>
      </c>
      <c r="AG247">
        <v>52.862684388610198</v>
      </c>
      <c r="AI247" t="s">
        <v>14</v>
      </c>
      <c r="AJ247" s="1">
        <v>41944</v>
      </c>
      <c r="AK247">
        <v>167725</v>
      </c>
      <c r="AL247">
        <v>984220465218.06006</v>
      </c>
      <c r="AM247">
        <v>58.434240309495301</v>
      </c>
      <c r="AO247" s="1">
        <f t="shared" si="15"/>
        <v>41821</v>
      </c>
      <c r="AP247">
        <f t="shared" si="16"/>
        <v>52.862684388610198</v>
      </c>
      <c r="AQ247">
        <f t="shared" si="14"/>
        <v>48.571567214942597</v>
      </c>
    </row>
    <row r="248" spans="29:43" x14ac:dyDescent="0.25">
      <c r="AC248" t="s">
        <v>5</v>
      </c>
      <c r="AD248" s="1">
        <v>41852</v>
      </c>
      <c r="AE248">
        <v>299545</v>
      </c>
      <c r="AF248">
        <v>1668539955684.26</v>
      </c>
      <c r="AG248">
        <v>54.201387044409898</v>
      </c>
      <c r="AI248" t="s">
        <v>14</v>
      </c>
      <c r="AJ248" s="1">
        <v>41974</v>
      </c>
      <c r="AK248">
        <v>167748</v>
      </c>
      <c r="AL248">
        <v>988907164368.56995</v>
      </c>
      <c r="AM248">
        <v>60.419319778435302</v>
      </c>
      <c r="AO248" s="1">
        <f t="shared" si="15"/>
        <v>41852</v>
      </c>
      <c r="AP248">
        <f t="shared" si="16"/>
        <v>54.201387044409898</v>
      </c>
      <c r="AQ248">
        <f t="shared" si="14"/>
        <v>49.863675836796297</v>
      </c>
    </row>
    <row r="249" spans="29:43" x14ac:dyDescent="0.25">
      <c r="AC249" t="s">
        <v>5</v>
      </c>
      <c r="AD249" s="1">
        <v>41883</v>
      </c>
      <c r="AE249">
        <v>299871</v>
      </c>
      <c r="AF249">
        <v>1670343938037</v>
      </c>
      <c r="AG249">
        <v>55.635072248970801</v>
      </c>
      <c r="AI249" t="s">
        <v>14</v>
      </c>
      <c r="AJ249" s="1">
        <v>42005</v>
      </c>
      <c r="AK249">
        <v>167726</v>
      </c>
      <c r="AL249">
        <v>991733333950.96997</v>
      </c>
      <c r="AM249">
        <v>74.370223356523894</v>
      </c>
      <c r="AO249" s="1">
        <f t="shared" si="15"/>
        <v>41883</v>
      </c>
      <c r="AP249">
        <f t="shared" si="16"/>
        <v>55.635072248970801</v>
      </c>
      <c r="AQ249">
        <f t="shared" si="14"/>
        <v>50.931776685808899</v>
      </c>
    </row>
    <row r="250" spans="29:43" x14ac:dyDescent="0.25">
      <c r="AC250" t="s">
        <v>5</v>
      </c>
      <c r="AD250" s="1">
        <v>41913</v>
      </c>
      <c r="AE250">
        <v>300262</v>
      </c>
      <c r="AF250">
        <v>1676850309557.6299</v>
      </c>
      <c r="AG250">
        <v>51.908927037816902</v>
      </c>
      <c r="AI250" t="s">
        <v>14</v>
      </c>
      <c r="AJ250" s="1">
        <v>42036</v>
      </c>
      <c r="AK250">
        <v>167645</v>
      </c>
      <c r="AL250">
        <v>993598228853.71997</v>
      </c>
      <c r="AM250">
        <v>92.703908554810894</v>
      </c>
      <c r="AO250" s="1">
        <f t="shared" si="15"/>
        <v>41913</v>
      </c>
      <c r="AP250">
        <f t="shared" si="16"/>
        <v>51.908927037816902</v>
      </c>
      <c r="AQ250">
        <f t="shared" si="14"/>
        <v>46.713468309624901</v>
      </c>
    </row>
    <row r="251" spans="29:43" x14ac:dyDescent="0.25">
      <c r="AC251" t="s">
        <v>5</v>
      </c>
      <c r="AD251" s="1">
        <v>41944</v>
      </c>
      <c r="AE251">
        <v>300784</v>
      </c>
      <c r="AF251">
        <v>1684277646790.8601</v>
      </c>
      <c r="AG251">
        <v>64.252090489885205</v>
      </c>
      <c r="AI251" t="s">
        <v>14</v>
      </c>
      <c r="AJ251" s="1">
        <v>42064</v>
      </c>
      <c r="AK251">
        <v>167745</v>
      </c>
      <c r="AL251">
        <v>1002901485619.77</v>
      </c>
      <c r="AM251">
        <v>87.406445615381998</v>
      </c>
      <c r="AO251" s="1">
        <f t="shared" si="15"/>
        <v>41944</v>
      </c>
      <c r="AP251">
        <f t="shared" si="16"/>
        <v>64.252090489885205</v>
      </c>
      <c r="AQ251">
        <f t="shared" si="14"/>
        <v>58.434240309495301</v>
      </c>
    </row>
    <row r="252" spans="29:43" x14ac:dyDescent="0.25">
      <c r="AC252" t="s">
        <v>5</v>
      </c>
      <c r="AD252" s="1">
        <v>41974</v>
      </c>
      <c r="AE252">
        <v>301174</v>
      </c>
      <c r="AF252">
        <v>1685362593546.73</v>
      </c>
      <c r="AG252">
        <v>66.952570455714195</v>
      </c>
      <c r="AI252" t="s">
        <v>14</v>
      </c>
      <c r="AJ252" s="1">
        <v>42095</v>
      </c>
      <c r="AK252">
        <v>167791</v>
      </c>
      <c r="AL252">
        <v>1003389102237.77</v>
      </c>
      <c r="AM252">
        <v>81.907524576338005</v>
      </c>
      <c r="AO252" s="1">
        <f t="shared" si="15"/>
        <v>41974</v>
      </c>
      <c r="AP252">
        <f t="shared" si="16"/>
        <v>66.952570455714195</v>
      </c>
      <c r="AQ252">
        <f t="shared" si="14"/>
        <v>60.419319778435302</v>
      </c>
    </row>
    <row r="253" spans="29:43" x14ac:dyDescent="0.25">
      <c r="AC253" t="s">
        <v>5</v>
      </c>
      <c r="AD253" s="1">
        <v>42005</v>
      </c>
      <c r="AE253">
        <v>301744</v>
      </c>
      <c r="AF253">
        <v>1694662663304.0601</v>
      </c>
      <c r="AG253">
        <v>79.569028739691504</v>
      </c>
      <c r="AI253" t="s">
        <v>14</v>
      </c>
      <c r="AJ253" s="1">
        <v>42125</v>
      </c>
      <c r="AK253">
        <v>167754</v>
      </c>
      <c r="AL253">
        <v>1005967140686.14</v>
      </c>
      <c r="AM253">
        <v>90.069990479865695</v>
      </c>
      <c r="AO253" s="1">
        <f t="shared" si="15"/>
        <v>42005</v>
      </c>
      <c r="AP253">
        <f t="shared" si="16"/>
        <v>79.569028739691504</v>
      </c>
      <c r="AQ253">
        <f t="shared" si="14"/>
        <v>74.370223356523894</v>
      </c>
    </row>
    <row r="254" spans="29:43" x14ac:dyDescent="0.25">
      <c r="AC254" t="s">
        <v>5</v>
      </c>
      <c r="AD254" s="1">
        <v>42036</v>
      </c>
      <c r="AE254">
        <v>302124</v>
      </c>
      <c r="AF254">
        <v>1697793974754.6899</v>
      </c>
      <c r="AG254">
        <v>96.999897544475999</v>
      </c>
      <c r="AI254" t="s">
        <v>14</v>
      </c>
      <c r="AJ254" s="1">
        <v>42156</v>
      </c>
      <c r="AK254">
        <v>167761</v>
      </c>
      <c r="AL254">
        <v>1011353959842.98</v>
      </c>
      <c r="AM254">
        <v>72.092324265742604</v>
      </c>
      <c r="AO254" s="1">
        <f t="shared" si="15"/>
        <v>42036</v>
      </c>
      <c r="AP254">
        <f t="shared" si="16"/>
        <v>96.999897544475999</v>
      </c>
      <c r="AQ254">
        <f t="shared" si="14"/>
        <v>92.703908554810894</v>
      </c>
    </row>
    <row r="255" spans="29:43" x14ac:dyDescent="0.25">
      <c r="AC255" t="s">
        <v>5</v>
      </c>
      <c r="AD255" s="1">
        <v>42064</v>
      </c>
      <c r="AE255">
        <v>302604</v>
      </c>
      <c r="AF255">
        <v>1701526727197.6599</v>
      </c>
      <c r="AG255">
        <v>92.116163627307202</v>
      </c>
      <c r="AI255" t="s">
        <v>14</v>
      </c>
      <c r="AJ255" s="1">
        <v>42186</v>
      </c>
      <c r="AK255">
        <v>167798</v>
      </c>
      <c r="AL255">
        <v>1019562376098.83</v>
      </c>
      <c r="AM255">
        <v>55.563045453099903</v>
      </c>
      <c r="AO255" s="1">
        <f t="shared" si="15"/>
        <v>42064</v>
      </c>
      <c r="AP255">
        <f t="shared" si="16"/>
        <v>92.116163627307202</v>
      </c>
      <c r="AQ255">
        <f t="shared" si="14"/>
        <v>87.406445615381998</v>
      </c>
    </row>
    <row r="256" spans="29:43" x14ac:dyDescent="0.25">
      <c r="AC256" t="s">
        <v>5</v>
      </c>
      <c r="AD256" s="1">
        <v>42095</v>
      </c>
      <c r="AE256">
        <v>303067</v>
      </c>
      <c r="AF256">
        <v>1705063723228.8799</v>
      </c>
      <c r="AG256">
        <v>85.637642888257005</v>
      </c>
      <c r="AI256" t="s">
        <v>14</v>
      </c>
      <c r="AJ256" s="1">
        <v>42217</v>
      </c>
      <c r="AK256">
        <v>167714</v>
      </c>
      <c r="AL256">
        <v>1026217511319.16</v>
      </c>
      <c r="AM256">
        <v>48.992204686896201</v>
      </c>
      <c r="AO256" s="1">
        <f t="shared" si="15"/>
        <v>42095</v>
      </c>
      <c r="AP256">
        <f t="shared" si="16"/>
        <v>85.637642888257005</v>
      </c>
      <c r="AQ256">
        <f t="shared" si="14"/>
        <v>81.907524576338005</v>
      </c>
    </row>
    <row r="257" spans="29:43" x14ac:dyDescent="0.25">
      <c r="AC257" t="s">
        <v>5</v>
      </c>
      <c r="AD257" s="1">
        <v>42125</v>
      </c>
      <c r="AE257">
        <v>303626</v>
      </c>
      <c r="AF257">
        <v>1705465041251.01</v>
      </c>
      <c r="AG257">
        <v>93.536905404976295</v>
      </c>
      <c r="AI257" t="s">
        <v>14</v>
      </c>
      <c r="AJ257" s="1">
        <v>42248</v>
      </c>
      <c r="AK257">
        <v>167792</v>
      </c>
      <c r="AL257">
        <v>1030442115796.87</v>
      </c>
      <c r="AM257">
        <v>62.5355081479399</v>
      </c>
      <c r="AO257" s="1">
        <f t="shared" si="15"/>
        <v>42125</v>
      </c>
      <c r="AP257">
        <f t="shared" si="16"/>
        <v>93.536905404976295</v>
      </c>
      <c r="AQ257">
        <f t="shared" si="14"/>
        <v>90.069990479865695</v>
      </c>
    </row>
    <row r="258" spans="29:43" x14ac:dyDescent="0.25">
      <c r="AC258" t="s">
        <v>5</v>
      </c>
      <c r="AD258" s="1">
        <v>42156</v>
      </c>
      <c r="AE258">
        <v>304069</v>
      </c>
      <c r="AF258">
        <v>1707243648596.95</v>
      </c>
      <c r="AG258">
        <v>75.358275491827499</v>
      </c>
      <c r="AI258" t="s">
        <v>14</v>
      </c>
      <c r="AJ258" s="1">
        <v>42278</v>
      </c>
      <c r="AK258">
        <v>167839</v>
      </c>
      <c r="AL258">
        <v>1038047281338.8101</v>
      </c>
      <c r="AM258">
        <v>63.100953769028798</v>
      </c>
      <c r="AO258" s="1">
        <f t="shared" si="15"/>
        <v>42156</v>
      </c>
      <c r="AP258">
        <f t="shared" si="16"/>
        <v>75.358275491827499</v>
      </c>
      <c r="AQ258">
        <f t="shared" si="14"/>
        <v>72.092324265742604</v>
      </c>
    </row>
    <row r="259" spans="29:43" x14ac:dyDescent="0.25">
      <c r="AC259" t="s">
        <v>5</v>
      </c>
      <c r="AD259" s="1">
        <v>42186</v>
      </c>
      <c r="AE259">
        <v>304526</v>
      </c>
      <c r="AF259">
        <v>1710074547945.3301</v>
      </c>
      <c r="AG259">
        <v>59.100584690939698</v>
      </c>
      <c r="AI259" t="s">
        <v>14</v>
      </c>
      <c r="AJ259" s="1">
        <v>42309</v>
      </c>
      <c r="AK259">
        <v>167892</v>
      </c>
      <c r="AL259">
        <v>1044720986839.0699</v>
      </c>
      <c r="AM259">
        <v>72.340251314488398</v>
      </c>
      <c r="AO259" s="1">
        <f t="shared" si="15"/>
        <v>42186</v>
      </c>
      <c r="AP259">
        <f t="shared" si="16"/>
        <v>59.100584690939698</v>
      </c>
      <c r="AQ259">
        <f t="shared" ref="AQ259:AQ274" si="17">VLOOKUP(AO259,AJ:AM,4,0)</f>
        <v>55.563045453099903</v>
      </c>
    </row>
    <row r="260" spans="29:43" x14ac:dyDescent="0.25">
      <c r="AC260" t="s">
        <v>5</v>
      </c>
      <c r="AD260" s="1">
        <v>42217</v>
      </c>
      <c r="AE260">
        <v>304957</v>
      </c>
      <c r="AF260">
        <v>1715173017738.5601</v>
      </c>
      <c r="AG260">
        <v>52.616630188574703</v>
      </c>
      <c r="AI260" t="s">
        <v>14</v>
      </c>
      <c r="AJ260" s="1">
        <v>42339</v>
      </c>
      <c r="AK260">
        <v>167821</v>
      </c>
      <c r="AL260">
        <v>1048282599235.3199</v>
      </c>
      <c r="AM260">
        <v>54.629846774720498</v>
      </c>
      <c r="AO260" s="1">
        <f t="shared" si="15"/>
        <v>42217</v>
      </c>
      <c r="AP260">
        <f t="shared" si="16"/>
        <v>52.616630188574703</v>
      </c>
      <c r="AQ260">
        <f t="shared" si="17"/>
        <v>48.992204686896201</v>
      </c>
    </row>
    <row r="261" spans="29:43" x14ac:dyDescent="0.25">
      <c r="AC261" t="s">
        <v>5</v>
      </c>
      <c r="AD261" s="1">
        <v>42248</v>
      </c>
      <c r="AE261">
        <v>305492</v>
      </c>
      <c r="AF261">
        <v>1718096723563.3201</v>
      </c>
      <c r="AG261">
        <v>65.777652958306604</v>
      </c>
      <c r="AI261" t="s">
        <v>14</v>
      </c>
      <c r="AJ261" s="1">
        <v>42370</v>
      </c>
      <c r="AK261">
        <v>167786</v>
      </c>
      <c r="AL261">
        <v>1053135408462.49</v>
      </c>
      <c r="AM261">
        <v>52.355958394322997</v>
      </c>
      <c r="AO261" s="1">
        <f t="shared" si="15"/>
        <v>42248</v>
      </c>
      <c r="AP261">
        <f t="shared" si="16"/>
        <v>65.777652958306604</v>
      </c>
      <c r="AQ261">
        <f t="shared" si="17"/>
        <v>62.5355081479399</v>
      </c>
    </row>
    <row r="262" spans="29:43" x14ac:dyDescent="0.25">
      <c r="AC262" t="s">
        <v>5</v>
      </c>
      <c r="AD262" s="1">
        <v>42278</v>
      </c>
      <c r="AE262">
        <v>306021</v>
      </c>
      <c r="AF262">
        <v>1729227687203.3701</v>
      </c>
      <c r="AG262">
        <v>66.515402876318205</v>
      </c>
      <c r="AI262" t="s">
        <v>14</v>
      </c>
      <c r="AJ262" s="1">
        <v>42401</v>
      </c>
      <c r="AK262">
        <v>167674</v>
      </c>
      <c r="AL262">
        <v>1056501759559.97</v>
      </c>
      <c r="AM262">
        <v>60.707782407489397</v>
      </c>
      <c r="AO262" s="1">
        <f t="shared" si="15"/>
        <v>42278</v>
      </c>
      <c r="AP262">
        <f t="shared" si="16"/>
        <v>66.515402876318205</v>
      </c>
      <c r="AQ262">
        <f t="shared" si="17"/>
        <v>63.100953769028798</v>
      </c>
    </row>
    <row r="263" spans="29:43" x14ac:dyDescent="0.25">
      <c r="AC263" t="s">
        <v>5</v>
      </c>
      <c r="AD263" s="1">
        <v>42309</v>
      </c>
      <c r="AE263">
        <v>306476</v>
      </c>
      <c r="AF263">
        <v>1737379808198.2</v>
      </c>
      <c r="AG263">
        <v>75.981897235463606</v>
      </c>
      <c r="AI263" t="s">
        <v>14</v>
      </c>
      <c r="AJ263" s="1">
        <v>42430</v>
      </c>
      <c r="AK263">
        <v>167654</v>
      </c>
      <c r="AL263">
        <v>1061253383982.33</v>
      </c>
      <c r="AM263">
        <v>82.609201602511405</v>
      </c>
      <c r="AO263" s="1">
        <f t="shared" si="15"/>
        <v>42309</v>
      </c>
      <c r="AP263">
        <f t="shared" si="16"/>
        <v>75.981897235463606</v>
      </c>
      <c r="AQ263">
        <f t="shared" si="17"/>
        <v>72.340251314488398</v>
      </c>
    </row>
    <row r="264" spans="29:43" x14ac:dyDescent="0.25">
      <c r="AC264" t="s">
        <v>5</v>
      </c>
      <c r="AD264" s="1">
        <v>42339</v>
      </c>
      <c r="AE264">
        <v>306761</v>
      </c>
      <c r="AF264">
        <v>1734507571227.5901</v>
      </c>
      <c r="AG264">
        <v>58.576279606793399</v>
      </c>
      <c r="AI264" t="s">
        <v>14</v>
      </c>
      <c r="AJ264" s="1">
        <v>42461</v>
      </c>
      <c r="AK264">
        <v>167751</v>
      </c>
      <c r="AL264">
        <v>1067579655967.17</v>
      </c>
      <c r="AM264">
        <v>87.143394522260706</v>
      </c>
      <c r="AO264" s="1">
        <f t="shared" si="15"/>
        <v>42339</v>
      </c>
      <c r="AP264">
        <f t="shared" si="16"/>
        <v>58.576279606793399</v>
      </c>
      <c r="AQ264">
        <f t="shared" si="17"/>
        <v>54.629846774720498</v>
      </c>
    </row>
    <row r="265" spans="29:43" x14ac:dyDescent="0.25">
      <c r="AC265" t="s">
        <v>5</v>
      </c>
      <c r="AD265" s="1">
        <v>42370</v>
      </c>
      <c r="AE265">
        <v>307158</v>
      </c>
      <c r="AF265">
        <v>1742660147829.8999</v>
      </c>
      <c r="AG265">
        <v>56.105032609249399</v>
      </c>
      <c r="AI265" t="s">
        <v>14</v>
      </c>
      <c r="AJ265" s="1">
        <v>42491</v>
      </c>
      <c r="AK265">
        <v>167864</v>
      </c>
      <c r="AL265">
        <v>1070487060722.62</v>
      </c>
      <c r="AM265">
        <v>88.883543747065403</v>
      </c>
      <c r="AO265" s="1">
        <f t="shared" si="15"/>
        <v>42370</v>
      </c>
      <c r="AP265">
        <f t="shared" si="16"/>
        <v>56.105032609249399</v>
      </c>
      <c r="AQ265">
        <f t="shared" si="17"/>
        <v>52.355958394322997</v>
      </c>
    </row>
    <row r="266" spans="29:43" x14ac:dyDescent="0.25">
      <c r="AC266" t="s">
        <v>5</v>
      </c>
      <c r="AD266" s="1">
        <v>42401</v>
      </c>
      <c r="AE266">
        <v>307309</v>
      </c>
      <c r="AF266">
        <v>1746557623903.75</v>
      </c>
      <c r="AG266">
        <v>64.341620728591494</v>
      </c>
      <c r="AI266" t="s">
        <v>14</v>
      </c>
      <c r="AJ266" s="1">
        <v>42522</v>
      </c>
      <c r="AK266">
        <v>167910</v>
      </c>
      <c r="AL266">
        <v>1077001935757.76</v>
      </c>
      <c r="AM266">
        <v>88.607690536873605</v>
      </c>
      <c r="AO266" s="1">
        <f t="shared" si="15"/>
        <v>42401</v>
      </c>
      <c r="AP266">
        <f t="shared" si="16"/>
        <v>64.341620728591494</v>
      </c>
      <c r="AQ266">
        <f t="shared" si="17"/>
        <v>60.707782407489397</v>
      </c>
    </row>
    <row r="267" spans="29:43" x14ac:dyDescent="0.25">
      <c r="AC267" t="s">
        <v>5</v>
      </c>
      <c r="AD267" s="1">
        <v>42430</v>
      </c>
      <c r="AE267">
        <v>307672</v>
      </c>
      <c r="AF267">
        <v>1749230451883.8101</v>
      </c>
      <c r="AG267">
        <v>86.146041515618094</v>
      </c>
      <c r="AI267" t="s">
        <v>14</v>
      </c>
      <c r="AJ267" s="1">
        <v>42552</v>
      </c>
      <c r="AK267">
        <v>167921</v>
      </c>
      <c r="AL267">
        <v>1083261344979.64</v>
      </c>
      <c r="AM267">
        <v>91.053762729829799</v>
      </c>
      <c r="AO267" s="1">
        <f t="shared" si="15"/>
        <v>42430</v>
      </c>
      <c r="AP267">
        <f t="shared" si="16"/>
        <v>86.146041515618094</v>
      </c>
      <c r="AQ267">
        <f t="shared" si="17"/>
        <v>82.609201602511405</v>
      </c>
    </row>
    <row r="268" spans="29:43" x14ac:dyDescent="0.25">
      <c r="AC268" t="s">
        <v>5</v>
      </c>
      <c r="AD268" s="1">
        <v>42461</v>
      </c>
      <c r="AE268">
        <v>308177</v>
      </c>
      <c r="AF268">
        <v>1758381892008.99</v>
      </c>
      <c r="AG268">
        <v>89.593486663325905</v>
      </c>
      <c r="AI268" t="s">
        <v>14</v>
      </c>
      <c r="AJ268" s="1">
        <v>42583</v>
      </c>
      <c r="AK268">
        <v>168004</v>
      </c>
      <c r="AL268">
        <v>1092091052362.51</v>
      </c>
      <c r="AM268">
        <v>102.584292093388</v>
      </c>
      <c r="AO268" s="1">
        <f t="shared" si="15"/>
        <v>42461</v>
      </c>
      <c r="AP268">
        <f t="shared" si="16"/>
        <v>89.593486663325905</v>
      </c>
      <c r="AQ268">
        <f t="shared" si="17"/>
        <v>87.143394522260706</v>
      </c>
    </row>
    <row r="269" spans="29:43" x14ac:dyDescent="0.25">
      <c r="AC269" t="s">
        <v>5</v>
      </c>
      <c r="AD269" s="1">
        <v>42491</v>
      </c>
      <c r="AE269">
        <v>308550</v>
      </c>
      <c r="AF269">
        <v>1762538348889.95</v>
      </c>
      <c r="AG269">
        <v>90.6284307579852</v>
      </c>
      <c r="AI269" t="s">
        <v>14</v>
      </c>
      <c r="AJ269" s="1">
        <v>42614</v>
      </c>
      <c r="AK269">
        <v>168203</v>
      </c>
      <c r="AL269">
        <v>1104025679684.96</v>
      </c>
      <c r="AM269">
        <v>100.228286131236</v>
      </c>
      <c r="AO269" s="1">
        <f t="shared" si="15"/>
        <v>42491</v>
      </c>
      <c r="AP269">
        <f t="shared" si="16"/>
        <v>90.6284307579852</v>
      </c>
      <c r="AQ269">
        <f t="shared" si="17"/>
        <v>88.883543747065403</v>
      </c>
    </row>
    <row r="270" spans="29:43" x14ac:dyDescent="0.25">
      <c r="AC270" t="s">
        <v>5</v>
      </c>
      <c r="AD270" s="1">
        <v>42522</v>
      </c>
      <c r="AE270">
        <v>308957</v>
      </c>
      <c r="AF270">
        <v>1767039306438.99</v>
      </c>
      <c r="AG270">
        <v>89.950885551149398</v>
      </c>
      <c r="AI270" t="s">
        <v>14</v>
      </c>
      <c r="AJ270" s="1">
        <v>42644</v>
      </c>
      <c r="AK270">
        <v>168323</v>
      </c>
      <c r="AL270">
        <v>1112361826284.4299</v>
      </c>
      <c r="AM270">
        <v>95.302262889827603</v>
      </c>
      <c r="AO270" s="1">
        <f t="shared" si="15"/>
        <v>42522</v>
      </c>
      <c r="AP270">
        <f t="shared" si="16"/>
        <v>89.950885551149398</v>
      </c>
      <c r="AQ270">
        <f t="shared" si="17"/>
        <v>88.607690536873605</v>
      </c>
    </row>
    <row r="271" spans="29:43" x14ac:dyDescent="0.25">
      <c r="AC271" t="s">
        <v>5</v>
      </c>
      <c r="AD271" s="1">
        <v>42552</v>
      </c>
      <c r="AE271">
        <v>309633</v>
      </c>
      <c r="AF271">
        <v>1773173538779.0801</v>
      </c>
      <c r="AG271">
        <v>92.511872464855003</v>
      </c>
      <c r="AO271" s="1">
        <f t="shared" si="15"/>
        <v>42552</v>
      </c>
      <c r="AP271">
        <f t="shared" si="16"/>
        <v>92.511872464855003</v>
      </c>
      <c r="AQ271">
        <f t="shared" si="17"/>
        <v>91.053762729829799</v>
      </c>
    </row>
    <row r="272" spans="29:43" x14ac:dyDescent="0.25">
      <c r="AC272" t="s">
        <v>5</v>
      </c>
      <c r="AD272" s="1">
        <v>42583</v>
      </c>
      <c r="AE272">
        <v>310027</v>
      </c>
      <c r="AF272">
        <v>1776650798767.21</v>
      </c>
      <c r="AG272">
        <v>104.40161787212099</v>
      </c>
      <c r="AO272" s="1">
        <f t="shared" si="15"/>
        <v>42583</v>
      </c>
      <c r="AP272">
        <f t="shared" si="16"/>
        <v>104.40161787212099</v>
      </c>
      <c r="AQ272">
        <f t="shared" si="17"/>
        <v>102.584292093388</v>
      </c>
    </row>
    <row r="273" spans="29:43" x14ac:dyDescent="0.25">
      <c r="AC273" t="s">
        <v>5</v>
      </c>
      <c r="AD273" s="1">
        <v>42614</v>
      </c>
      <c r="AE273">
        <v>310733</v>
      </c>
      <c r="AF273">
        <v>1788184749657.6001</v>
      </c>
      <c r="AG273">
        <v>102.191473221584</v>
      </c>
      <c r="AO273" s="1">
        <f t="shared" si="15"/>
        <v>42614</v>
      </c>
      <c r="AP273">
        <f t="shared" si="16"/>
        <v>102.191473221584</v>
      </c>
      <c r="AQ273">
        <f t="shared" si="17"/>
        <v>100.228286131236</v>
      </c>
    </row>
    <row r="274" spans="29:43" x14ac:dyDescent="0.25">
      <c r="AC274" t="s">
        <v>5</v>
      </c>
      <c r="AD274" s="1">
        <v>42644</v>
      </c>
      <c r="AE274">
        <v>311376</v>
      </c>
      <c r="AF274">
        <v>1794130472303.8501</v>
      </c>
      <c r="AG274">
        <v>97.368357988010203</v>
      </c>
      <c r="AO274" s="1">
        <f t="shared" si="15"/>
        <v>42644</v>
      </c>
      <c r="AP274">
        <f t="shared" si="16"/>
        <v>97.368357988010203</v>
      </c>
      <c r="AQ274">
        <f t="shared" si="17"/>
        <v>95.302262889827603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4"/>
  <sheetViews>
    <sheetView workbookViewId="0">
      <selection activeCell="H67" sqref="H67"/>
    </sheetView>
  </sheetViews>
  <sheetFormatPr defaultRowHeight="15" x14ac:dyDescent="0.25"/>
  <sheetData>
    <row r="1" spans="1:38" x14ac:dyDescent="0.25">
      <c r="E1" t="s">
        <v>9</v>
      </c>
      <c r="F1" t="s">
        <v>17</v>
      </c>
      <c r="V1" t="s">
        <v>9</v>
      </c>
      <c r="W1" t="s">
        <v>17</v>
      </c>
      <c r="Z1" s="6"/>
      <c r="AD1" t="s">
        <v>9</v>
      </c>
      <c r="AE1" t="s">
        <v>17</v>
      </c>
      <c r="AK1" t="s">
        <v>9</v>
      </c>
      <c r="AL1" t="s">
        <v>17</v>
      </c>
    </row>
    <row r="2" spans="1:38" x14ac:dyDescent="0.25">
      <c r="A2" t="s">
        <v>0</v>
      </c>
      <c r="C2" t="s">
        <v>2</v>
      </c>
      <c r="D2" t="s">
        <v>3</v>
      </c>
      <c r="E2" t="s">
        <v>23</v>
      </c>
      <c r="F2" t="s">
        <v>23</v>
      </c>
      <c r="R2" t="s">
        <v>0</v>
      </c>
      <c r="T2" t="s">
        <v>2</v>
      </c>
      <c r="U2" t="s">
        <v>3</v>
      </c>
      <c r="V2" t="s">
        <v>24</v>
      </c>
      <c r="W2" t="s">
        <v>24</v>
      </c>
      <c r="Z2" t="s">
        <v>0</v>
      </c>
      <c r="AB2" t="s">
        <v>2</v>
      </c>
      <c r="AC2" t="s">
        <v>3</v>
      </c>
      <c r="AD2" t="s">
        <v>25</v>
      </c>
      <c r="AE2" t="s">
        <v>25</v>
      </c>
      <c r="AG2" t="s">
        <v>0</v>
      </c>
      <c r="AI2" t="s">
        <v>2</v>
      </c>
      <c r="AJ2" t="s">
        <v>3</v>
      </c>
      <c r="AK2" t="s">
        <v>26</v>
      </c>
      <c r="AL2" t="s">
        <v>26</v>
      </c>
    </row>
    <row r="3" spans="1:38" x14ac:dyDescent="0.25">
      <c r="A3" t="s">
        <v>9</v>
      </c>
      <c r="B3" s="1">
        <v>41091</v>
      </c>
      <c r="C3">
        <v>91</v>
      </c>
      <c r="D3">
        <v>5555695171.1300001</v>
      </c>
      <c r="E3">
        <v>150.43054803178001</v>
      </c>
      <c r="F3">
        <v>16.211245947588999</v>
      </c>
      <c r="R3" t="s">
        <v>9</v>
      </c>
      <c r="S3" s="1">
        <v>41091</v>
      </c>
      <c r="T3">
        <v>91</v>
      </c>
      <c r="U3">
        <v>5555695171.1300001</v>
      </c>
      <c r="V3">
        <v>447.370678977419</v>
      </c>
      <c r="W3">
        <v>442.34826829216098</v>
      </c>
      <c r="Z3" t="s">
        <v>9</v>
      </c>
      <c r="AA3" s="1">
        <v>41091</v>
      </c>
      <c r="AB3">
        <v>91</v>
      </c>
      <c r="AC3">
        <v>5555695171.1300001</v>
      </c>
      <c r="AD3">
        <v>150.43054803178001</v>
      </c>
      <c r="AE3">
        <v>150.75464299526399</v>
      </c>
      <c r="AG3" t="s">
        <v>9</v>
      </c>
      <c r="AH3" s="1">
        <v>41091</v>
      </c>
      <c r="AI3">
        <v>91</v>
      </c>
      <c r="AJ3">
        <v>5555695171.1300001</v>
      </c>
      <c r="AK3">
        <v>139.58330000000001</v>
      </c>
      <c r="AL3">
        <v>139.585280358576</v>
      </c>
    </row>
    <row r="4" spans="1:38" x14ac:dyDescent="0.25">
      <c r="A4" t="s">
        <v>9</v>
      </c>
      <c r="B4" s="1">
        <v>41122</v>
      </c>
      <c r="C4">
        <v>156</v>
      </c>
      <c r="D4">
        <v>8754398274.3899994</v>
      </c>
      <c r="E4">
        <v>150.41716300805601</v>
      </c>
      <c r="F4">
        <v>16.6212070634529</v>
      </c>
      <c r="R4" t="s">
        <v>9</v>
      </c>
      <c r="S4" s="1">
        <v>41122</v>
      </c>
      <c r="T4">
        <v>156</v>
      </c>
      <c r="U4">
        <v>8754398274.3899994</v>
      </c>
      <c r="V4">
        <v>449.15112621911601</v>
      </c>
      <c r="W4">
        <v>444.863105971793</v>
      </c>
      <c r="Z4" t="s">
        <v>9</v>
      </c>
      <c r="AA4" s="1">
        <v>41122</v>
      </c>
      <c r="AB4">
        <v>156</v>
      </c>
      <c r="AC4">
        <v>8754398274.3899994</v>
      </c>
      <c r="AD4">
        <v>150.41716300805601</v>
      </c>
      <c r="AE4">
        <v>150.82000563131501</v>
      </c>
      <c r="AG4" t="s">
        <v>9</v>
      </c>
      <c r="AH4" s="1">
        <v>41122</v>
      </c>
      <c r="AI4">
        <v>156</v>
      </c>
      <c r="AJ4">
        <v>8754398274.3899994</v>
      </c>
      <c r="AK4">
        <v>139.58330000000001</v>
      </c>
      <c r="AL4">
        <v>139.58766086956101</v>
      </c>
    </row>
    <row r="5" spans="1:38" x14ac:dyDescent="0.25">
      <c r="A5" t="s">
        <v>9</v>
      </c>
      <c r="B5" s="1">
        <v>41153</v>
      </c>
      <c r="C5">
        <v>210</v>
      </c>
      <c r="D5">
        <v>12053254300.4</v>
      </c>
      <c r="E5">
        <v>150.412456607726</v>
      </c>
      <c r="F5">
        <v>17.292571385287701</v>
      </c>
      <c r="R5" t="s">
        <v>9</v>
      </c>
      <c r="S5" s="1">
        <v>41153</v>
      </c>
      <c r="T5">
        <v>210</v>
      </c>
      <c r="U5">
        <v>12053254300.4</v>
      </c>
      <c r="V5">
        <v>451.44272519622399</v>
      </c>
      <c r="W5">
        <v>446.99700310892098</v>
      </c>
      <c r="Z5" t="s">
        <v>9</v>
      </c>
      <c r="AA5" s="1">
        <v>41153</v>
      </c>
      <c r="AB5">
        <v>210</v>
      </c>
      <c r="AC5">
        <v>12053254300.4</v>
      </c>
      <c r="AD5">
        <v>150.41175646452299</v>
      </c>
      <c r="AE5">
        <v>150.83221115608501</v>
      </c>
      <c r="AG5" t="s">
        <v>9</v>
      </c>
      <c r="AH5" s="1">
        <v>41153</v>
      </c>
      <c r="AI5">
        <v>210</v>
      </c>
      <c r="AJ5">
        <v>12053254300.4</v>
      </c>
      <c r="AK5">
        <v>139.58330000000001</v>
      </c>
      <c r="AL5">
        <v>139.58624692276001</v>
      </c>
    </row>
    <row r="6" spans="1:38" x14ac:dyDescent="0.25">
      <c r="A6" t="s">
        <v>9</v>
      </c>
      <c r="B6" s="1">
        <v>41183</v>
      </c>
      <c r="C6">
        <v>281</v>
      </c>
      <c r="D6">
        <v>15145163161.950001</v>
      </c>
      <c r="E6">
        <v>150.41911137968501</v>
      </c>
      <c r="F6">
        <v>17.709482314897201</v>
      </c>
      <c r="R6" t="s">
        <v>9</v>
      </c>
      <c r="S6" s="1">
        <v>41183</v>
      </c>
      <c r="T6">
        <v>281</v>
      </c>
      <c r="U6">
        <v>15145163161.950001</v>
      </c>
      <c r="V6">
        <v>453.09954186548202</v>
      </c>
      <c r="W6">
        <v>448.60280254634398</v>
      </c>
      <c r="Z6" t="s">
        <v>9</v>
      </c>
      <c r="AA6" s="1">
        <v>41183</v>
      </c>
      <c r="AB6">
        <v>281</v>
      </c>
      <c r="AC6">
        <v>15145163161.950001</v>
      </c>
      <c r="AD6">
        <v>150.41855485356501</v>
      </c>
      <c r="AE6">
        <v>150.82282996484</v>
      </c>
      <c r="AG6" t="s">
        <v>9</v>
      </c>
      <c r="AH6" s="1">
        <v>41183</v>
      </c>
      <c r="AI6">
        <v>281</v>
      </c>
      <c r="AJ6">
        <v>15145163161.950001</v>
      </c>
      <c r="AK6">
        <v>139.58330000000001</v>
      </c>
      <c r="AL6">
        <v>139.585361326418</v>
      </c>
    </row>
    <row r="7" spans="1:38" x14ac:dyDescent="0.25">
      <c r="A7" t="s">
        <v>9</v>
      </c>
      <c r="B7" s="1">
        <v>41214</v>
      </c>
      <c r="C7">
        <v>339</v>
      </c>
      <c r="D7">
        <v>17141506906.68</v>
      </c>
      <c r="E7">
        <v>150.423613360421</v>
      </c>
      <c r="F7">
        <v>17.7839989007506</v>
      </c>
      <c r="R7" t="s">
        <v>9</v>
      </c>
      <c r="S7" s="1">
        <v>41214</v>
      </c>
      <c r="T7">
        <v>339</v>
      </c>
      <c r="U7">
        <v>17141506906.68</v>
      </c>
      <c r="V7">
        <v>454.47393843604698</v>
      </c>
      <c r="W7">
        <v>449.89267969266399</v>
      </c>
      <c r="Z7" t="s">
        <v>9</v>
      </c>
      <c r="AA7" s="1">
        <v>41214</v>
      </c>
      <c r="AB7">
        <v>339</v>
      </c>
      <c r="AC7">
        <v>17141506906.68</v>
      </c>
      <c r="AD7">
        <v>150.42312225412499</v>
      </c>
      <c r="AE7">
        <v>150.820070396228</v>
      </c>
      <c r="AG7" t="s">
        <v>9</v>
      </c>
      <c r="AH7" s="1">
        <v>41214</v>
      </c>
      <c r="AI7">
        <v>339</v>
      </c>
      <c r="AJ7">
        <v>17141506906.68</v>
      </c>
      <c r="AK7">
        <v>139.58330000000001</v>
      </c>
      <c r="AL7">
        <v>139.58594933910501</v>
      </c>
    </row>
    <row r="8" spans="1:38" x14ac:dyDescent="0.25">
      <c r="A8" t="s">
        <v>9</v>
      </c>
      <c r="B8" s="1">
        <v>41244</v>
      </c>
      <c r="C8">
        <v>427</v>
      </c>
      <c r="D8">
        <v>20228876583.380001</v>
      </c>
      <c r="E8">
        <v>150.42371630751899</v>
      </c>
      <c r="F8">
        <v>18.1072520657106</v>
      </c>
      <c r="R8" t="s">
        <v>9</v>
      </c>
      <c r="S8" s="1">
        <v>41244</v>
      </c>
      <c r="T8">
        <v>427</v>
      </c>
      <c r="U8">
        <v>20228876583.380001</v>
      </c>
      <c r="V8">
        <v>455.52226272076803</v>
      </c>
      <c r="W8">
        <v>451.85772024017501</v>
      </c>
      <c r="Z8" t="s">
        <v>9</v>
      </c>
      <c r="AA8" s="1">
        <v>41244</v>
      </c>
      <c r="AB8">
        <v>427</v>
      </c>
      <c r="AC8">
        <v>20228876583.380001</v>
      </c>
      <c r="AD8">
        <v>150.42330067028001</v>
      </c>
      <c r="AE8">
        <v>150.82064986613599</v>
      </c>
      <c r="AG8" t="s">
        <v>9</v>
      </c>
      <c r="AH8" s="1">
        <v>41244</v>
      </c>
      <c r="AI8">
        <v>427</v>
      </c>
      <c r="AJ8">
        <v>20228876583.380001</v>
      </c>
      <c r="AK8">
        <v>139.58330000000001</v>
      </c>
      <c r="AL8">
        <v>139.58526447950501</v>
      </c>
    </row>
    <row r="9" spans="1:38" x14ac:dyDescent="0.25">
      <c r="A9" t="s">
        <v>9</v>
      </c>
      <c r="B9" s="1">
        <v>41275</v>
      </c>
      <c r="C9">
        <v>493</v>
      </c>
      <c r="D9">
        <v>22634123601.41</v>
      </c>
      <c r="E9">
        <v>150.430050229974</v>
      </c>
      <c r="F9">
        <v>18.300898344530399</v>
      </c>
      <c r="R9" t="s">
        <v>9</v>
      </c>
      <c r="S9" s="1">
        <v>41275</v>
      </c>
      <c r="T9">
        <v>493</v>
      </c>
      <c r="U9">
        <v>22634123601.41</v>
      </c>
      <c r="V9">
        <v>457.35348717033401</v>
      </c>
      <c r="W9">
        <v>452.29046942674</v>
      </c>
      <c r="Z9" t="s">
        <v>9</v>
      </c>
      <c r="AA9" s="1">
        <v>41275</v>
      </c>
      <c r="AB9">
        <v>493</v>
      </c>
      <c r="AC9">
        <v>22634123601.41</v>
      </c>
      <c r="AD9">
        <v>150.429679216344</v>
      </c>
      <c r="AE9">
        <v>150.81059937059899</v>
      </c>
      <c r="AG9" t="s">
        <v>9</v>
      </c>
      <c r="AH9" s="1">
        <v>41275</v>
      </c>
      <c r="AI9">
        <v>493</v>
      </c>
      <c r="AJ9">
        <v>22634123601.41</v>
      </c>
      <c r="AK9">
        <v>139.58330000000001</v>
      </c>
      <c r="AL9">
        <v>139.58493540854801</v>
      </c>
    </row>
    <row r="10" spans="1:38" x14ac:dyDescent="0.25">
      <c r="A10" t="s">
        <v>9</v>
      </c>
      <c r="B10" s="1">
        <v>41306</v>
      </c>
      <c r="C10">
        <v>572</v>
      </c>
      <c r="D10">
        <v>25710780014.439999</v>
      </c>
      <c r="E10">
        <v>136.27440333355401</v>
      </c>
      <c r="F10">
        <v>18.475812539351502</v>
      </c>
      <c r="R10" t="s">
        <v>9</v>
      </c>
      <c r="S10" s="1">
        <v>41306</v>
      </c>
      <c r="T10">
        <v>572</v>
      </c>
      <c r="U10">
        <v>25710780014.439999</v>
      </c>
      <c r="V10">
        <v>453.08302852818002</v>
      </c>
      <c r="W10">
        <v>453.08301518194799</v>
      </c>
      <c r="Z10" t="s">
        <v>9</v>
      </c>
      <c r="AA10" s="1">
        <v>41306</v>
      </c>
      <c r="AB10">
        <v>572</v>
      </c>
      <c r="AC10">
        <v>25710780014.439999</v>
      </c>
      <c r="AD10">
        <v>151.99072674823199</v>
      </c>
      <c r="AE10">
        <v>150.80380973515</v>
      </c>
      <c r="AG10" t="s">
        <v>9</v>
      </c>
      <c r="AH10" s="1">
        <v>41306</v>
      </c>
      <c r="AI10">
        <v>572</v>
      </c>
      <c r="AJ10">
        <v>25710780014.439999</v>
      </c>
      <c r="AK10">
        <v>140.629743319825</v>
      </c>
      <c r="AL10">
        <v>139.58455019256101</v>
      </c>
    </row>
    <row r="11" spans="1:38" x14ac:dyDescent="0.25">
      <c r="A11" t="s">
        <v>9</v>
      </c>
      <c r="B11" s="1">
        <v>41334</v>
      </c>
      <c r="C11">
        <v>639</v>
      </c>
      <c r="D11">
        <v>27919269484.799999</v>
      </c>
      <c r="E11">
        <v>127.41947965973699</v>
      </c>
      <c r="F11">
        <v>18.639984555751699</v>
      </c>
      <c r="R11" t="s">
        <v>9</v>
      </c>
      <c r="S11" s="1">
        <v>41334</v>
      </c>
      <c r="T11">
        <v>639</v>
      </c>
      <c r="U11">
        <v>27919269484.799999</v>
      </c>
      <c r="V11">
        <v>450.94808900539101</v>
      </c>
      <c r="W11">
        <v>454.62328640067</v>
      </c>
      <c r="Z11" t="s">
        <v>9</v>
      </c>
      <c r="AA11" s="1">
        <v>41334</v>
      </c>
      <c r="AB11">
        <v>639</v>
      </c>
      <c r="AC11">
        <v>27919269484.799999</v>
      </c>
      <c r="AD11">
        <v>153.10487165365501</v>
      </c>
      <c r="AE11">
        <v>150.80430796978101</v>
      </c>
      <c r="AG11" t="s">
        <v>9</v>
      </c>
      <c r="AH11" s="1">
        <v>41334</v>
      </c>
      <c r="AI11">
        <v>639</v>
      </c>
      <c r="AJ11">
        <v>27919269484.799999</v>
      </c>
      <c r="AK11">
        <v>141.294019395921</v>
      </c>
      <c r="AL11">
        <v>139.584128891539</v>
      </c>
    </row>
    <row r="12" spans="1:38" x14ac:dyDescent="0.25">
      <c r="A12" t="s">
        <v>9</v>
      </c>
      <c r="B12" s="1">
        <v>41365</v>
      </c>
      <c r="C12">
        <v>704</v>
      </c>
      <c r="D12">
        <v>30041763432.959999</v>
      </c>
      <c r="E12">
        <v>120.230719702286</v>
      </c>
      <c r="F12">
        <v>19.008750065294301</v>
      </c>
      <c r="R12" t="s">
        <v>9</v>
      </c>
      <c r="S12" s="1">
        <v>41365</v>
      </c>
      <c r="T12">
        <v>704</v>
      </c>
      <c r="U12">
        <v>30041763432.959999</v>
      </c>
      <c r="V12">
        <v>450.34805127957497</v>
      </c>
      <c r="W12">
        <v>455.88788328261802</v>
      </c>
      <c r="Z12" t="s">
        <v>9</v>
      </c>
      <c r="AA12" s="1">
        <v>41365</v>
      </c>
      <c r="AB12">
        <v>704</v>
      </c>
      <c r="AC12">
        <v>30041763432.959999</v>
      </c>
      <c r="AD12">
        <v>154.32502841495199</v>
      </c>
      <c r="AE12">
        <v>150.787143680084</v>
      </c>
      <c r="AG12" t="s">
        <v>9</v>
      </c>
      <c r="AH12" s="1">
        <v>41365</v>
      </c>
      <c r="AI12">
        <v>704</v>
      </c>
      <c r="AJ12">
        <v>30041763432.959999</v>
      </c>
      <c r="AK12">
        <v>141.85330390802901</v>
      </c>
      <c r="AL12">
        <v>139.58369349074701</v>
      </c>
    </row>
    <row r="13" spans="1:38" x14ac:dyDescent="0.25">
      <c r="A13" t="s">
        <v>9</v>
      </c>
      <c r="B13" s="1">
        <v>41395</v>
      </c>
      <c r="C13">
        <v>760</v>
      </c>
      <c r="D13">
        <v>32087573394.82</v>
      </c>
      <c r="E13">
        <v>114.076456512238</v>
      </c>
      <c r="F13">
        <v>19.295506005037701</v>
      </c>
      <c r="R13" t="s">
        <v>9</v>
      </c>
      <c r="S13" s="1">
        <v>41395</v>
      </c>
      <c r="T13">
        <v>760</v>
      </c>
      <c r="U13">
        <v>32087573394.82</v>
      </c>
      <c r="V13">
        <v>451.23791127998697</v>
      </c>
      <c r="W13">
        <v>457.30027039716902</v>
      </c>
      <c r="Z13" t="s">
        <v>9</v>
      </c>
      <c r="AA13" s="1">
        <v>41395</v>
      </c>
      <c r="AB13">
        <v>760</v>
      </c>
      <c r="AC13">
        <v>32087573394.82</v>
      </c>
      <c r="AD13">
        <v>156.33536371199901</v>
      </c>
      <c r="AE13">
        <v>151.784662411</v>
      </c>
      <c r="AG13" t="s">
        <v>9</v>
      </c>
      <c r="AH13" s="1">
        <v>41395</v>
      </c>
      <c r="AI13">
        <v>760</v>
      </c>
      <c r="AJ13">
        <v>32087573394.82</v>
      </c>
      <c r="AK13">
        <v>149.372904880562</v>
      </c>
      <c r="AL13">
        <v>149.582616548597</v>
      </c>
    </row>
    <row r="14" spans="1:38" x14ac:dyDescent="0.25">
      <c r="A14" t="s">
        <v>9</v>
      </c>
      <c r="B14" s="1">
        <v>41426</v>
      </c>
      <c r="C14">
        <v>806</v>
      </c>
      <c r="D14">
        <v>33554081959.810001</v>
      </c>
      <c r="E14">
        <v>110.02571715590101</v>
      </c>
      <c r="F14">
        <v>19.5331189514194</v>
      </c>
      <c r="R14" t="s">
        <v>9</v>
      </c>
      <c r="S14" s="1">
        <v>41426</v>
      </c>
      <c r="T14">
        <v>806</v>
      </c>
      <c r="U14">
        <v>33554081959.810001</v>
      </c>
      <c r="V14">
        <v>452.236002837667</v>
      </c>
      <c r="W14">
        <v>458.24919102060699</v>
      </c>
      <c r="Z14" t="s">
        <v>9</v>
      </c>
      <c r="AA14" s="1">
        <v>41426</v>
      </c>
      <c r="AB14">
        <v>806</v>
      </c>
      <c r="AC14">
        <v>33554081959.810001</v>
      </c>
      <c r="AD14">
        <v>157.38818290976701</v>
      </c>
      <c r="AE14">
        <v>151.78424848596001</v>
      </c>
      <c r="AG14" t="s">
        <v>9</v>
      </c>
      <c r="AH14" s="1">
        <v>41426</v>
      </c>
      <c r="AI14">
        <v>806</v>
      </c>
      <c r="AJ14">
        <v>33554081959.810001</v>
      </c>
      <c r="AK14">
        <v>149.37445934599</v>
      </c>
      <c r="AL14">
        <v>149.58277316557499</v>
      </c>
    </row>
    <row r="15" spans="1:38" x14ac:dyDescent="0.25">
      <c r="A15" t="s">
        <v>9</v>
      </c>
      <c r="B15" s="1">
        <v>41456</v>
      </c>
      <c r="C15">
        <v>846</v>
      </c>
      <c r="D15">
        <v>34996952153.550003</v>
      </c>
      <c r="E15">
        <v>106.387823379013</v>
      </c>
      <c r="F15">
        <v>19.770712529427801</v>
      </c>
      <c r="R15" t="s">
        <v>9</v>
      </c>
      <c r="S15" s="1">
        <v>41456</v>
      </c>
      <c r="T15">
        <v>846</v>
      </c>
      <c r="U15">
        <v>34996952153.550003</v>
      </c>
      <c r="V15">
        <v>453.59929784059199</v>
      </c>
      <c r="W15">
        <v>459.21882567334802</v>
      </c>
      <c r="Z15" t="s">
        <v>9</v>
      </c>
      <c r="AA15" s="1">
        <v>41456</v>
      </c>
      <c r="AB15">
        <v>846</v>
      </c>
      <c r="AC15">
        <v>34996952153.550003</v>
      </c>
      <c r="AD15">
        <v>158.472728680047</v>
      </c>
      <c r="AE15">
        <v>151.774181388372</v>
      </c>
      <c r="AG15" t="s">
        <v>9</v>
      </c>
      <c r="AH15" s="1">
        <v>41456</v>
      </c>
      <c r="AI15">
        <v>846</v>
      </c>
      <c r="AJ15">
        <v>34996952153.550003</v>
      </c>
      <c r="AK15">
        <v>149.38042121626299</v>
      </c>
      <c r="AL15">
        <v>149.582837881546</v>
      </c>
    </row>
    <row r="16" spans="1:38" x14ac:dyDescent="0.25">
      <c r="A16" t="s">
        <v>9</v>
      </c>
      <c r="B16" s="1">
        <v>41487</v>
      </c>
      <c r="C16">
        <v>890</v>
      </c>
      <c r="D16">
        <v>36201078184.980003</v>
      </c>
      <c r="E16">
        <v>103.43550899455499</v>
      </c>
      <c r="F16">
        <v>19.982710771743498</v>
      </c>
      <c r="R16" t="s">
        <v>9</v>
      </c>
      <c r="S16" s="1">
        <v>41487</v>
      </c>
      <c r="T16">
        <v>890</v>
      </c>
      <c r="U16">
        <v>36201078184.980003</v>
      </c>
      <c r="V16">
        <v>455.10972951642702</v>
      </c>
      <c r="W16">
        <v>459.70436803202898</v>
      </c>
      <c r="Z16" t="s">
        <v>9</v>
      </c>
      <c r="AA16" s="1">
        <v>41487</v>
      </c>
      <c r="AB16">
        <v>890</v>
      </c>
      <c r="AC16">
        <v>36201078184.980003</v>
      </c>
      <c r="AD16">
        <v>179.06700296016399</v>
      </c>
      <c r="AE16">
        <v>183.70192900618599</v>
      </c>
      <c r="AG16" t="s">
        <v>9</v>
      </c>
      <c r="AH16" s="1">
        <v>41487</v>
      </c>
      <c r="AI16">
        <v>890</v>
      </c>
      <c r="AJ16">
        <v>36201078184.980003</v>
      </c>
      <c r="AK16">
        <v>149.385548307948</v>
      </c>
      <c r="AL16">
        <v>149.58003626108101</v>
      </c>
    </row>
    <row r="17" spans="1:38" x14ac:dyDescent="0.25">
      <c r="A17" t="s">
        <v>9</v>
      </c>
      <c r="B17" s="1">
        <v>41518</v>
      </c>
      <c r="C17">
        <v>939</v>
      </c>
      <c r="D17">
        <v>37243354893.68</v>
      </c>
      <c r="E17">
        <v>101.041165576192</v>
      </c>
      <c r="F17">
        <v>20.0631897513654</v>
      </c>
      <c r="R17" t="s">
        <v>9</v>
      </c>
      <c r="S17" s="1">
        <v>41518</v>
      </c>
      <c r="T17">
        <v>939</v>
      </c>
      <c r="U17">
        <v>37243354893.68</v>
      </c>
      <c r="V17">
        <v>456.64941692162802</v>
      </c>
      <c r="W17">
        <v>459.80893232070798</v>
      </c>
      <c r="Z17" t="s">
        <v>9</v>
      </c>
      <c r="AA17" s="1">
        <v>41518</v>
      </c>
      <c r="AB17">
        <v>939</v>
      </c>
      <c r="AC17">
        <v>37243354893.68</v>
      </c>
      <c r="AD17">
        <v>179.200672165025</v>
      </c>
      <c r="AE17">
        <v>183.58690263464999</v>
      </c>
      <c r="AG17" t="s">
        <v>9</v>
      </c>
      <c r="AH17" s="1">
        <v>41518</v>
      </c>
      <c r="AI17">
        <v>939</v>
      </c>
      <c r="AJ17">
        <v>37243354893.68</v>
      </c>
      <c r="AK17">
        <v>149.39164187530599</v>
      </c>
      <c r="AL17">
        <v>149.576005063743</v>
      </c>
    </row>
    <row r="18" spans="1:38" x14ac:dyDescent="0.25">
      <c r="A18" t="s">
        <v>9</v>
      </c>
      <c r="B18" s="1">
        <v>41548</v>
      </c>
      <c r="C18">
        <v>980</v>
      </c>
      <c r="D18">
        <v>37852364380.050003</v>
      </c>
      <c r="E18">
        <v>99.572396712646096</v>
      </c>
      <c r="F18">
        <v>20.163176764058399</v>
      </c>
      <c r="R18" t="s">
        <v>9</v>
      </c>
      <c r="S18" s="1">
        <v>41548</v>
      </c>
      <c r="T18">
        <v>980</v>
      </c>
      <c r="U18">
        <v>37852364380.050003</v>
      </c>
      <c r="V18">
        <v>457.49610324737898</v>
      </c>
      <c r="W18">
        <v>460.26447322517902</v>
      </c>
      <c r="Z18" t="s">
        <v>9</v>
      </c>
      <c r="AA18" s="1">
        <v>41548</v>
      </c>
      <c r="AB18">
        <v>980</v>
      </c>
      <c r="AC18">
        <v>37852364380.050003</v>
      </c>
      <c r="AD18">
        <v>179.28674457897199</v>
      </c>
      <c r="AE18">
        <v>183.53244038714701</v>
      </c>
      <c r="AG18" t="s">
        <v>9</v>
      </c>
      <c r="AH18" s="1">
        <v>41548</v>
      </c>
      <c r="AI18">
        <v>980</v>
      </c>
      <c r="AJ18">
        <v>37852364380.050003</v>
      </c>
      <c r="AK18">
        <v>149.39507146223801</v>
      </c>
      <c r="AL18">
        <v>149.574696908498</v>
      </c>
    </row>
    <row r="19" spans="1:38" x14ac:dyDescent="0.25">
      <c r="A19" t="s">
        <v>9</v>
      </c>
      <c r="B19" s="1">
        <v>41579</v>
      </c>
      <c r="C19">
        <v>1016</v>
      </c>
      <c r="D19">
        <v>38288256348.959999</v>
      </c>
      <c r="E19">
        <v>98.512719661327907</v>
      </c>
      <c r="F19">
        <v>20.2467927083839</v>
      </c>
      <c r="R19" t="s">
        <v>9</v>
      </c>
      <c r="S19" s="1">
        <v>41579</v>
      </c>
      <c r="T19">
        <v>1016</v>
      </c>
      <c r="U19">
        <v>38288256348.959999</v>
      </c>
      <c r="V19">
        <v>458.11344886415799</v>
      </c>
      <c r="W19">
        <v>460.25706271483602</v>
      </c>
      <c r="Z19" t="s">
        <v>9</v>
      </c>
      <c r="AA19" s="1">
        <v>41579</v>
      </c>
      <c r="AB19">
        <v>1016</v>
      </c>
      <c r="AC19">
        <v>38288256348.959999</v>
      </c>
      <c r="AD19">
        <v>179.35150629108799</v>
      </c>
      <c r="AE19">
        <v>183.45312090156301</v>
      </c>
      <c r="AG19" t="s">
        <v>9</v>
      </c>
      <c r="AH19" s="1">
        <v>41579</v>
      </c>
      <c r="AI19">
        <v>1016</v>
      </c>
      <c r="AJ19">
        <v>38288256348.959999</v>
      </c>
      <c r="AK19">
        <v>149.39803514231301</v>
      </c>
      <c r="AL19">
        <v>149.57220569231501</v>
      </c>
    </row>
    <row r="20" spans="1:38" x14ac:dyDescent="0.25">
      <c r="A20" t="s">
        <v>9</v>
      </c>
      <c r="B20" s="1">
        <v>41609</v>
      </c>
      <c r="C20">
        <v>1053</v>
      </c>
      <c r="D20">
        <v>38615010697.739998</v>
      </c>
      <c r="E20">
        <v>97.628315580612906</v>
      </c>
      <c r="F20">
        <v>20.312903557692501</v>
      </c>
      <c r="R20" t="s">
        <v>9</v>
      </c>
      <c r="S20" s="1">
        <v>41609</v>
      </c>
      <c r="T20">
        <v>1053</v>
      </c>
      <c r="U20">
        <v>38615010697.739998</v>
      </c>
      <c r="V20">
        <v>458.66886527678503</v>
      </c>
      <c r="W20">
        <v>460.355197958026</v>
      </c>
      <c r="Z20" t="s">
        <v>9</v>
      </c>
      <c r="AA20" s="1">
        <v>41609</v>
      </c>
      <c r="AB20">
        <v>1053</v>
      </c>
      <c r="AC20">
        <v>38615010697.739998</v>
      </c>
      <c r="AD20">
        <v>179.402126017467</v>
      </c>
      <c r="AE20">
        <v>183.36928555062201</v>
      </c>
      <c r="AG20" t="s">
        <v>9</v>
      </c>
      <c r="AH20" s="1">
        <v>41609</v>
      </c>
      <c r="AI20">
        <v>1053</v>
      </c>
      <c r="AJ20">
        <v>38615010697.739998</v>
      </c>
      <c r="AK20">
        <v>149.400163059942</v>
      </c>
      <c r="AL20">
        <v>149.56974386426299</v>
      </c>
    </row>
    <row r="21" spans="1:38" x14ac:dyDescent="0.25">
      <c r="A21" t="s">
        <v>9</v>
      </c>
      <c r="B21" s="1">
        <v>41640</v>
      </c>
      <c r="C21">
        <v>1080</v>
      </c>
      <c r="D21">
        <v>39260930004.410004</v>
      </c>
      <c r="E21">
        <v>96.291239456446206</v>
      </c>
      <c r="F21">
        <v>20.400610230803899</v>
      </c>
      <c r="R21" t="s">
        <v>9</v>
      </c>
      <c r="S21" s="1">
        <v>41640</v>
      </c>
      <c r="T21">
        <v>1080</v>
      </c>
      <c r="U21">
        <v>39260930004.410004</v>
      </c>
      <c r="V21">
        <v>458.23157236898999</v>
      </c>
      <c r="W21">
        <v>460.031976834207</v>
      </c>
      <c r="Z21" t="s">
        <v>9</v>
      </c>
      <c r="AA21" s="1">
        <v>41640</v>
      </c>
      <c r="AB21">
        <v>1080</v>
      </c>
      <c r="AC21">
        <v>39260930004.410004</v>
      </c>
      <c r="AD21">
        <v>179.198048935456</v>
      </c>
      <c r="AE21">
        <v>183.234289122673</v>
      </c>
      <c r="AG21" t="s">
        <v>9</v>
      </c>
      <c r="AH21" s="1">
        <v>41640</v>
      </c>
      <c r="AI21">
        <v>1080</v>
      </c>
      <c r="AJ21">
        <v>39260930004.410004</v>
      </c>
      <c r="AK21">
        <v>149.39170684723101</v>
      </c>
      <c r="AL21">
        <v>149.564927426602</v>
      </c>
    </row>
    <row r="22" spans="1:38" x14ac:dyDescent="0.25">
      <c r="A22" t="s">
        <v>9</v>
      </c>
      <c r="B22" s="1">
        <v>41671</v>
      </c>
      <c r="C22">
        <v>1104</v>
      </c>
      <c r="D22">
        <v>39416596215.529999</v>
      </c>
      <c r="E22">
        <v>95.726011273758203</v>
      </c>
      <c r="F22">
        <v>20.458260109518498</v>
      </c>
      <c r="R22" t="s">
        <v>9</v>
      </c>
      <c r="S22" s="1">
        <v>41671</v>
      </c>
      <c r="T22">
        <v>1104</v>
      </c>
      <c r="U22">
        <v>39416596215.529999</v>
      </c>
      <c r="V22">
        <v>458.25442245699702</v>
      </c>
      <c r="W22">
        <v>459.70215983295998</v>
      </c>
      <c r="Z22" t="s">
        <v>9</v>
      </c>
      <c r="AA22" s="1">
        <v>41671</v>
      </c>
      <c r="AB22">
        <v>1104</v>
      </c>
      <c r="AC22">
        <v>39416596215.529999</v>
      </c>
      <c r="AD22">
        <v>179.09632991865701</v>
      </c>
      <c r="AE22">
        <v>183.050939907795</v>
      </c>
      <c r="AG22" t="s">
        <v>9</v>
      </c>
      <c r="AH22" s="1">
        <v>41671</v>
      </c>
      <c r="AI22">
        <v>1104</v>
      </c>
      <c r="AJ22">
        <v>39416596215.529999</v>
      </c>
      <c r="AK22">
        <v>149.385768779019</v>
      </c>
      <c r="AL22">
        <v>149.55906657122901</v>
      </c>
    </row>
    <row r="23" spans="1:38" x14ac:dyDescent="0.25">
      <c r="A23" t="s">
        <v>9</v>
      </c>
      <c r="B23" s="1">
        <v>41699</v>
      </c>
      <c r="C23">
        <v>1126</v>
      </c>
      <c r="D23">
        <v>39507898369.230003</v>
      </c>
      <c r="E23">
        <v>95.253547925021607</v>
      </c>
      <c r="F23">
        <v>20.5073641535528</v>
      </c>
      <c r="R23" t="s">
        <v>9</v>
      </c>
      <c r="S23" s="1">
        <v>41699</v>
      </c>
      <c r="T23">
        <v>1126</v>
      </c>
      <c r="U23">
        <v>39507898369.230003</v>
      </c>
      <c r="V23">
        <v>458.293225302179</v>
      </c>
      <c r="W23">
        <v>459.10984658216</v>
      </c>
      <c r="Z23" t="s">
        <v>9</v>
      </c>
      <c r="AA23" s="1">
        <v>41699</v>
      </c>
      <c r="AB23">
        <v>1126</v>
      </c>
      <c r="AC23">
        <v>39507898369.230003</v>
      </c>
      <c r="AD23">
        <v>178.978145620719</v>
      </c>
      <c r="AE23">
        <v>182.81744440625801</v>
      </c>
      <c r="AG23" t="s">
        <v>9</v>
      </c>
      <c r="AH23" s="1">
        <v>41699</v>
      </c>
      <c r="AI23">
        <v>1126</v>
      </c>
      <c r="AJ23">
        <v>39507898369.230003</v>
      </c>
      <c r="AK23">
        <v>149.38058915072801</v>
      </c>
      <c r="AL23">
        <v>149.55126739130401</v>
      </c>
    </row>
    <row r="24" spans="1:38" x14ac:dyDescent="0.25">
      <c r="A24" t="s">
        <v>9</v>
      </c>
      <c r="B24" s="1">
        <v>41730</v>
      </c>
      <c r="C24">
        <v>1146</v>
      </c>
      <c r="D24">
        <v>39554921006.989998</v>
      </c>
      <c r="E24">
        <v>94.886865480907801</v>
      </c>
      <c r="F24">
        <v>20.5439498672105</v>
      </c>
      <c r="R24" t="s">
        <v>9</v>
      </c>
      <c r="S24" s="1">
        <v>41730</v>
      </c>
      <c r="T24">
        <v>1146</v>
      </c>
      <c r="U24">
        <v>39554921006.989998</v>
      </c>
      <c r="V24">
        <v>459.13834178110102</v>
      </c>
      <c r="W24">
        <v>457.77047351319197</v>
      </c>
      <c r="Z24" t="s">
        <v>9</v>
      </c>
      <c r="AA24" s="1">
        <v>41730</v>
      </c>
      <c r="AB24">
        <v>1146</v>
      </c>
      <c r="AC24">
        <v>39554921006.989998</v>
      </c>
      <c r="AD24">
        <v>178.84661311311601</v>
      </c>
      <c r="AE24">
        <v>182.35604606676699</v>
      </c>
      <c r="AG24" t="s">
        <v>9</v>
      </c>
      <c r="AH24" s="1">
        <v>41730</v>
      </c>
      <c r="AI24">
        <v>1146</v>
      </c>
      <c r="AJ24">
        <v>39554921006.989998</v>
      </c>
      <c r="AK24">
        <v>149.37496000690001</v>
      </c>
      <c r="AL24">
        <v>149.536083408895</v>
      </c>
    </row>
    <row r="25" spans="1:38" x14ac:dyDescent="0.25">
      <c r="A25" t="s">
        <v>9</v>
      </c>
      <c r="B25" s="1">
        <v>41760</v>
      </c>
      <c r="C25">
        <v>1161</v>
      </c>
      <c r="D25">
        <v>39534993055.339996</v>
      </c>
      <c r="E25">
        <v>94.611885720544194</v>
      </c>
      <c r="F25">
        <v>20.568086804934801</v>
      </c>
      <c r="R25" t="s">
        <v>9</v>
      </c>
      <c r="S25" s="1">
        <v>41760</v>
      </c>
      <c r="T25">
        <v>1161</v>
      </c>
      <c r="U25">
        <v>39534993055.339996</v>
      </c>
      <c r="V25">
        <v>459.01132327697201</v>
      </c>
      <c r="W25">
        <v>456.295143753606</v>
      </c>
      <c r="Z25" t="s">
        <v>9</v>
      </c>
      <c r="AA25" s="1">
        <v>41760</v>
      </c>
      <c r="AB25">
        <v>1161</v>
      </c>
      <c r="AC25">
        <v>39534993055.339996</v>
      </c>
      <c r="AD25">
        <v>181.744407522552</v>
      </c>
      <c r="AE25">
        <v>183.68334025342901</v>
      </c>
      <c r="AG25" t="s">
        <v>9</v>
      </c>
      <c r="AH25" s="1">
        <v>41760</v>
      </c>
      <c r="AI25">
        <v>1161</v>
      </c>
      <c r="AJ25">
        <v>39534993055.339996</v>
      </c>
      <c r="AK25">
        <v>149.37025220898801</v>
      </c>
      <c r="AL25">
        <v>149.51197650350201</v>
      </c>
    </row>
    <row r="26" spans="1:38" x14ac:dyDescent="0.25">
      <c r="A26" t="s">
        <v>9</v>
      </c>
      <c r="B26" s="1">
        <v>41791</v>
      </c>
      <c r="C26">
        <v>1174</v>
      </c>
      <c r="D26">
        <v>39463404393.919998</v>
      </c>
      <c r="E26">
        <v>94.401690387984502</v>
      </c>
      <c r="F26">
        <v>20.603781065286501</v>
      </c>
      <c r="R26" t="s">
        <v>9</v>
      </c>
      <c r="S26" s="1">
        <v>41791</v>
      </c>
      <c r="T26">
        <v>1174</v>
      </c>
      <c r="U26">
        <v>39463404393.919998</v>
      </c>
      <c r="V26">
        <v>458.80616876149003</v>
      </c>
      <c r="W26">
        <v>454.467549038497</v>
      </c>
      <c r="Z26" t="s">
        <v>9</v>
      </c>
      <c r="AA26" s="1">
        <v>41791</v>
      </c>
      <c r="AB26">
        <v>1174</v>
      </c>
      <c r="AC26">
        <v>39463404393.919998</v>
      </c>
      <c r="AD26">
        <v>181.62614065708399</v>
      </c>
      <c r="AE26">
        <v>182.99730550246801</v>
      </c>
      <c r="AG26" t="s">
        <v>9</v>
      </c>
      <c r="AH26" s="1">
        <v>41791</v>
      </c>
      <c r="AI26">
        <v>1174</v>
      </c>
      <c r="AJ26">
        <v>39463404393.919998</v>
      </c>
      <c r="AK26">
        <v>149.364406441342</v>
      </c>
      <c r="AL26">
        <v>149.481640697915</v>
      </c>
    </row>
    <row r="27" spans="1:38" x14ac:dyDescent="0.25">
      <c r="A27" t="s">
        <v>9</v>
      </c>
      <c r="B27" s="1">
        <v>41821</v>
      </c>
      <c r="C27">
        <v>1188</v>
      </c>
      <c r="D27">
        <v>39388794194.209999</v>
      </c>
      <c r="E27">
        <v>94.157547727783296</v>
      </c>
      <c r="F27">
        <v>20.612737562417099</v>
      </c>
      <c r="R27" t="s">
        <v>9</v>
      </c>
      <c r="S27" s="1">
        <v>41821</v>
      </c>
      <c r="T27">
        <v>1188</v>
      </c>
      <c r="U27">
        <v>39388794194.209999</v>
      </c>
      <c r="V27">
        <v>458.59796041594001</v>
      </c>
      <c r="W27">
        <v>452.91790761516501</v>
      </c>
      <c r="Z27" t="s">
        <v>9</v>
      </c>
      <c r="AA27" s="1">
        <v>41821</v>
      </c>
      <c r="AB27">
        <v>1188</v>
      </c>
      <c r="AC27">
        <v>39388794194.209999</v>
      </c>
      <c r="AD27">
        <v>181.50047169670799</v>
      </c>
      <c r="AE27">
        <v>182.392526878182</v>
      </c>
      <c r="AG27" t="s">
        <v>9</v>
      </c>
      <c r="AH27" s="1">
        <v>41821</v>
      </c>
      <c r="AI27">
        <v>1188</v>
      </c>
      <c r="AJ27">
        <v>39388794194.209999</v>
      </c>
      <c r="AK27">
        <v>149.35774295248399</v>
      </c>
      <c r="AL27">
        <v>149.45584604873901</v>
      </c>
    </row>
    <row r="28" spans="1:38" x14ac:dyDescent="0.25">
      <c r="A28" t="s">
        <v>9</v>
      </c>
      <c r="B28" s="1">
        <v>41852</v>
      </c>
      <c r="C28">
        <v>1198</v>
      </c>
      <c r="D28">
        <v>39294654817.349998</v>
      </c>
      <c r="E28">
        <v>93.937498308730298</v>
      </c>
      <c r="F28">
        <v>20.634611162168898</v>
      </c>
      <c r="R28" t="s">
        <v>9</v>
      </c>
      <c r="S28" s="1">
        <v>41852</v>
      </c>
      <c r="T28">
        <v>1198</v>
      </c>
      <c r="U28">
        <v>39294654817.349998</v>
      </c>
      <c r="V28">
        <v>458.41738808452902</v>
      </c>
      <c r="W28">
        <v>451.20993449100803</v>
      </c>
      <c r="Z28" t="s">
        <v>9</v>
      </c>
      <c r="AA28" s="1">
        <v>41852</v>
      </c>
      <c r="AB28">
        <v>1198</v>
      </c>
      <c r="AC28">
        <v>39294654817.349998</v>
      </c>
      <c r="AD28">
        <v>181.39070820016499</v>
      </c>
      <c r="AE28">
        <v>181.69971990447399</v>
      </c>
      <c r="AG28" t="s">
        <v>9</v>
      </c>
      <c r="AH28" s="1">
        <v>41852</v>
      </c>
      <c r="AI28">
        <v>1198</v>
      </c>
      <c r="AJ28">
        <v>39294654817.349998</v>
      </c>
      <c r="AK28">
        <v>149.35184028</v>
      </c>
      <c r="AL28">
        <v>149.42501157943599</v>
      </c>
    </row>
    <row r="29" spans="1:38" x14ac:dyDescent="0.25">
      <c r="A29" t="s">
        <v>9</v>
      </c>
      <c r="B29" s="1">
        <v>41883</v>
      </c>
      <c r="C29">
        <v>1209</v>
      </c>
      <c r="D29">
        <v>39192835810.529999</v>
      </c>
      <c r="E29">
        <v>93.724891244088596</v>
      </c>
      <c r="F29">
        <v>20.662285239863898</v>
      </c>
      <c r="R29" t="s">
        <v>9</v>
      </c>
      <c r="S29" s="1">
        <v>41883</v>
      </c>
      <c r="T29">
        <v>1209</v>
      </c>
      <c r="U29">
        <v>39192835810.529999</v>
      </c>
      <c r="V29">
        <v>458.15263375525501</v>
      </c>
      <c r="W29">
        <v>449.529190066654</v>
      </c>
      <c r="Z29" t="s">
        <v>9</v>
      </c>
      <c r="AA29" s="1">
        <v>41883</v>
      </c>
      <c r="AB29">
        <v>1209</v>
      </c>
      <c r="AC29">
        <v>39192835810.529999</v>
      </c>
      <c r="AD29">
        <v>181.26364505453699</v>
      </c>
      <c r="AE29">
        <v>180.99410650924199</v>
      </c>
      <c r="AG29" t="s">
        <v>9</v>
      </c>
      <c r="AH29" s="1">
        <v>41883</v>
      </c>
      <c r="AI29">
        <v>1209</v>
      </c>
      <c r="AJ29">
        <v>39192835810.529999</v>
      </c>
      <c r="AK29">
        <v>149.34672614556899</v>
      </c>
      <c r="AL29">
        <v>149.39432184745499</v>
      </c>
    </row>
    <row r="30" spans="1:38" x14ac:dyDescent="0.25">
      <c r="A30" t="s">
        <v>9</v>
      </c>
      <c r="B30" s="1">
        <v>41913</v>
      </c>
      <c r="C30">
        <v>1218</v>
      </c>
      <c r="D30">
        <v>39081676749.080002</v>
      </c>
      <c r="E30">
        <v>93.545082538042706</v>
      </c>
      <c r="F30">
        <v>20.673232917586098</v>
      </c>
      <c r="R30" t="s">
        <v>9</v>
      </c>
      <c r="S30" s="1">
        <v>41913</v>
      </c>
      <c r="T30">
        <v>1218</v>
      </c>
      <c r="U30">
        <v>39081676749.080002</v>
      </c>
      <c r="V30">
        <v>457.946767106153</v>
      </c>
      <c r="W30">
        <v>448.813275090307</v>
      </c>
      <c r="Z30" t="s">
        <v>9</v>
      </c>
      <c r="AA30" s="1">
        <v>41913</v>
      </c>
      <c r="AB30">
        <v>1218</v>
      </c>
      <c r="AC30">
        <v>39081676749.080002</v>
      </c>
      <c r="AD30">
        <v>181.16115880032399</v>
      </c>
      <c r="AE30">
        <v>180.689650211958</v>
      </c>
      <c r="AG30" t="s">
        <v>9</v>
      </c>
      <c r="AH30" s="1">
        <v>41913</v>
      </c>
      <c r="AI30">
        <v>1218</v>
      </c>
      <c r="AJ30">
        <v>39081676749.080002</v>
      </c>
      <c r="AK30">
        <v>149.34132705548501</v>
      </c>
      <c r="AL30">
        <v>149.381611948917</v>
      </c>
    </row>
    <row r="31" spans="1:38" x14ac:dyDescent="0.25">
      <c r="A31" t="s">
        <v>9</v>
      </c>
      <c r="B31" s="1">
        <v>41944</v>
      </c>
      <c r="C31">
        <v>1229</v>
      </c>
      <c r="D31">
        <v>38971879224.970001</v>
      </c>
      <c r="E31">
        <v>93.364872026060993</v>
      </c>
      <c r="F31">
        <v>20.6950433941558</v>
      </c>
      <c r="R31" t="s">
        <v>9</v>
      </c>
      <c r="S31" s="1">
        <v>41944</v>
      </c>
      <c r="T31">
        <v>1229</v>
      </c>
      <c r="U31">
        <v>38971879224.970001</v>
      </c>
      <c r="V31">
        <v>457.63192916695402</v>
      </c>
      <c r="W31">
        <v>448.07073489317202</v>
      </c>
      <c r="Z31" t="s">
        <v>9</v>
      </c>
      <c r="AA31" s="1">
        <v>41944</v>
      </c>
      <c r="AB31">
        <v>1229</v>
      </c>
      <c r="AC31">
        <v>38971879224.970001</v>
      </c>
      <c r="AD31">
        <v>181.021043855155</v>
      </c>
      <c r="AE31">
        <v>180.38438160600001</v>
      </c>
      <c r="AG31" t="s">
        <v>9</v>
      </c>
      <c r="AH31" s="1">
        <v>41944</v>
      </c>
      <c r="AI31">
        <v>1229</v>
      </c>
      <c r="AJ31">
        <v>38971879224.970001</v>
      </c>
      <c r="AK31">
        <v>149.33471361687899</v>
      </c>
      <c r="AL31">
        <v>149.367951286368</v>
      </c>
    </row>
    <row r="32" spans="1:38" x14ac:dyDescent="0.25">
      <c r="A32" t="s">
        <v>9</v>
      </c>
      <c r="B32" s="1">
        <v>41974</v>
      </c>
      <c r="C32">
        <v>1234</v>
      </c>
      <c r="D32">
        <v>38837765170.470001</v>
      </c>
      <c r="E32">
        <v>93.205743874845794</v>
      </c>
      <c r="F32">
        <v>20.698807128182601</v>
      </c>
      <c r="R32" t="s">
        <v>9</v>
      </c>
      <c r="S32" s="1">
        <v>41974</v>
      </c>
      <c r="T32">
        <v>1234</v>
      </c>
      <c r="U32">
        <v>38837765170.470001</v>
      </c>
      <c r="V32">
        <v>457.30442507992001</v>
      </c>
      <c r="W32">
        <v>447.15704045904801</v>
      </c>
      <c r="Z32" t="s">
        <v>9</v>
      </c>
      <c r="AA32" s="1">
        <v>41974</v>
      </c>
      <c r="AB32">
        <v>1234</v>
      </c>
      <c r="AC32">
        <v>38837765170.470001</v>
      </c>
      <c r="AD32">
        <v>180.88600104379699</v>
      </c>
      <c r="AE32">
        <v>180.007055789726</v>
      </c>
      <c r="AG32" t="s">
        <v>9</v>
      </c>
      <c r="AH32" s="1">
        <v>41974</v>
      </c>
      <c r="AI32">
        <v>1234</v>
      </c>
      <c r="AJ32">
        <v>38837765170.470001</v>
      </c>
      <c r="AK32">
        <v>149.32790390289699</v>
      </c>
      <c r="AL32">
        <v>149.352154217936</v>
      </c>
    </row>
    <row r="33" spans="1:38" x14ac:dyDescent="0.25">
      <c r="A33" t="s">
        <v>9</v>
      </c>
      <c r="B33" s="1">
        <v>42005</v>
      </c>
      <c r="C33">
        <v>1244</v>
      </c>
      <c r="D33">
        <v>38713428394.529999</v>
      </c>
      <c r="E33">
        <v>93.073736903673193</v>
      </c>
      <c r="F33">
        <v>20.710158216373699</v>
      </c>
      <c r="R33" t="s">
        <v>9</v>
      </c>
      <c r="S33" s="1">
        <v>42005</v>
      </c>
      <c r="T33">
        <v>1244</v>
      </c>
      <c r="U33">
        <v>38713428394.529999</v>
      </c>
      <c r="V33">
        <v>453.78948909475599</v>
      </c>
      <c r="W33">
        <v>442.20593934547998</v>
      </c>
      <c r="Z33" t="s">
        <v>9</v>
      </c>
      <c r="AA33" s="1">
        <v>42005</v>
      </c>
      <c r="AB33">
        <v>1244</v>
      </c>
      <c r="AC33">
        <v>38713428394.529999</v>
      </c>
      <c r="AD33">
        <v>180.732877067255</v>
      </c>
      <c r="AE33">
        <v>179.231536847005</v>
      </c>
      <c r="AG33" t="s">
        <v>9</v>
      </c>
      <c r="AH33" s="1">
        <v>42005</v>
      </c>
      <c r="AI33">
        <v>1244</v>
      </c>
      <c r="AJ33">
        <v>38713428394.529999</v>
      </c>
      <c r="AK33">
        <v>149.32102631247901</v>
      </c>
      <c r="AL33">
        <v>149.32030433355399</v>
      </c>
    </row>
    <row r="34" spans="1:38" x14ac:dyDescent="0.25">
      <c r="A34" t="s">
        <v>9</v>
      </c>
      <c r="B34" s="1">
        <v>42036</v>
      </c>
      <c r="C34">
        <v>1251</v>
      </c>
      <c r="D34">
        <v>38563701206.080002</v>
      </c>
      <c r="E34">
        <v>92.945278731208205</v>
      </c>
      <c r="F34">
        <v>20.740307464431599</v>
      </c>
      <c r="R34" t="s">
        <v>9</v>
      </c>
      <c r="S34" s="1">
        <v>42036</v>
      </c>
      <c r="T34">
        <v>1251</v>
      </c>
      <c r="U34">
        <v>38563701206.080002</v>
      </c>
      <c r="V34">
        <v>453.40406442258899</v>
      </c>
      <c r="W34">
        <v>439.54569363204303</v>
      </c>
      <c r="Z34" t="s">
        <v>9</v>
      </c>
      <c r="AA34" s="1">
        <v>42036</v>
      </c>
      <c r="AB34">
        <v>1251</v>
      </c>
      <c r="AC34">
        <v>38563701206.080002</v>
      </c>
      <c r="AD34">
        <v>180.59598944380201</v>
      </c>
      <c r="AE34">
        <v>178.313505575514</v>
      </c>
      <c r="AG34" t="s">
        <v>9</v>
      </c>
      <c r="AH34" s="1">
        <v>42036</v>
      </c>
      <c r="AI34">
        <v>1251</v>
      </c>
      <c r="AJ34">
        <v>38563701206.080002</v>
      </c>
      <c r="AK34">
        <v>99.315606929305403</v>
      </c>
      <c r="AL34">
        <v>99.282973297981599</v>
      </c>
    </row>
    <row r="35" spans="1:38" x14ac:dyDescent="0.25">
      <c r="A35" t="s">
        <v>9</v>
      </c>
      <c r="B35" s="1">
        <v>42064</v>
      </c>
      <c r="C35">
        <v>1258</v>
      </c>
      <c r="D35">
        <v>38419602868.800003</v>
      </c>
      <c r="E35">
        <v>92.823171384705304</v>
      </c>
      <c r="F35">
        <v>20.754378141650701</v>
      </c>
      <c r="R35" t="s">
        <v>9</v>
      </c>
      <c r="S35" s="1">
        <v>42064</v>
      </c>
      <c r="T35">
        <v>1258</v>
      </c>
      <c r="U35">
        <v>38419602868.800003</v>
      </c>
      <c r="V35">
        <v>453.05441292758002</v>
      </c>
      <c r="W35">
        <v>436.85419671559902</v>
      </c>
      <c r="Z35" t="s">
        <v>9</v>
      </c>
      <c r="AA35" s="1">
        <v>42064</v>
      </c>
      <c r="AB35">
        <v>1258</v>
      </c>
      <c r="AC35">
        <v>38419602868.800003</v>
      </c>
      <c r="AD35">
        <v>180.449141129879</v>
      </c>
      <c r="AE35">
        <v>177.35861772055799</v>
      </c>
      <c r="AG35" t="s">
        <v>9</v>
      </c>
      <c r="AH35" s="1">
        <v>42064</v>
      </c>
      <c r="AI35">
        <v>1258</v>
      </c>
      <c r="AJ35">
        <v>38419602868.800003</v>
      </c>
      <c r="AK35">
        <v>99.308926600212502</v>
      </c>
      <c r="AL35">
        <v>99.243227079274106</v>
      </c>
    </row>
    <row r="36" spans="1:38" x14ac:dyDescent="0.25">
      <c r="A36" t="s">
        <v>9</v>
      </c>
      <c r="B36" s="1">
        <v>42095</v>
      </c>
      <c r="C36">
        <v>1267</v>
      </c>
      <c r="D36">
        <v>38264484535.919998</v>
      </c>
      <c r="E36">
        <v>92.676641300329095</v>
      </c>
      <c r="F36">
        <v>20.768420396768601</v>
      </c>
      <c r="R36" t="s">
        <v>9</v>
      </c>
      <c r="S36" s="1">
        <v>42095</v>
      </c>
      <c r="T36">
        <v>1267</v>
      </c>
      <c r="U36">
        <v>38264484535.919998</v>
      </c>
      <c r="V36">
        <v>452.67444097450698</v>
      </c>
      <c r="W36">
        <v>431.824793086189</v>
      </c>
      <c r="Z36" t="s">
        <v>9</v>
      </c>
      <c r="AA36" s="1">
        <v>42095</v>
      </c>
      <c r="AB36">
        <v>1267</v>
      </c>
      <c r="AC36">
        <v>38264484535.919998</v>
      </c>
      <c r="AD36">
        <v>180.29642565734099</v>
      </c>
      <c r="AE36">
        <v>175.58932220006699</v>
      </c>
      <c r="AG36" t="s">
        <v>9</v>
      </c>
      <c r="AH36" s="1">
        <v>42095</v>
      </c>
      <c r="AI36">
        <v>1267</v>
      </c>
      <c r="AJ36">
        <v>38264484535.919998</v>
      </c>
      <c r="AK36">
        <v>99.301750370864497</v>
      </c>
      <c r="AL36">
        <v>99.1694425258422</v>
      </c>
    </row>
    <row r="37" spans="1:38" x14ac:dyDescent="0.25">
      <c r="A37" t="s">
        <v>9</v>
      </c>
      <c r="B37" s="1">
        <v>42125</v>
      </c>
      <c r="C37">
        <v>1274</v>
      </c>
      <c r="D37">
        <v>38076849573.309998</v>
      </c>
      <c r="E37">
        <v>92.535874872544696</v>
      </c>
      <c r="F37">
        <v>20.7753388187556</v>
      </c>
      <c r="R37" t="s">
        <v>9</v>
      </c>
      <c r="S37" s="1">
        <v>42125</v>
      </c>
      <c r="T37">
        <v>1274</v>
      </c>
      <c r="U37">
        <v>38076849573.309998</v>
      </c>
      <c r="V37">
        <v>452.228062203391</v>
      </c>
      <c r="W37">
        <v>426.11733019235498</v>
      </c>
      <c r="Z37" t="s">
        <v>9</v>
      </c>
      <c r="AA37" s="1">
        <v>42125</v>
      </c>
      <c r="AB37">
        <v>1274</v>
      </c>
      <c r="AC37">
        <v>38076849573.309998</v>
      </c>
      <c r="AD37">
        <v>180.126775658779</v>
      </c>
      <c r="AE37">
        <v>173.64394443311301</v>
      </c>
      <c r="AG37" t="s">
        <v>9</v>
      </c>
      <c r="AH37" s="1">
        <v>42125</v>
      </c>
      <c r="AI37">
        <v>1274</v>
      </c>
      <c r="AJ37">
        <v>38076849573.309998</v>
      </c>
      <c r="AK37">
        <v>99.293617206807198</v>
      </c>
      <c r="AL37">
        <v>99.087494278541399</v>
      </c>
    </row>
    <row r="38" spans="1:38" x14ac:dyDescent="0.25">
      <c r="A38" t="s">
        <v>9</v>
      </c>
      <c r="B38" s="1">
        <v>42156</v>
      </c>
      <c r="C38">
        <v>1284</v>
      </c>
      <c r="D38">
        <v>37874463420.110001</v>
      </c>
      <c r="E38">
        <v>92.375491804984094</v>
      </c>
      <c r="F38">
        <v>20.776852876410299</v>
      </c>
      <c r="R38" t="s">
        <v>9</v>
      </c>
      <c r="S38" s="1">
        <v>42156</v>
      </c>
      <c r="T38">
        <v>1284</v>
      </c>
      <c r="U38">
        <v>37874463420.110001</v>
      </c>
      <c r="V38">
        <v>451.29214829102199</v>
      </c>
      <c r="W38">
        <v>419.576829809804</v>
      </c>
      <c r="Z38" t="s">
        <v>9</v>
      </c>
      <c r="AA38" s="1">
        <v>42156</v>
      </c>
      <c r="AB38">
        <v>1284</v>
      </c>
      <c r="AC38">
        <v>37874463420.110001</v>
      </c>
      <c r="AD38">
        <v>179.858989461091</v>
      </c>
      <c r="AE38">
        <v>171.31624864876301</v>
      </c>
      <c r="AG38" t="s">
        <v>9</v>
      </c>
      <c r="AH38" s="1">
        <v>42156</v>
      </c>
      <c r="AI38">
        <v>1284</v>
      </c>
      <c r="AJ38">
        <v>37874463420.110001</v>
      </c>
      <c r="AK38">
        <v>99.2862968186449</v>
      </c>
      <c r="AL38">
        <v>98.987963333160195</v>
      </c>
    </row>
    <row r="39" spans="1:38" x14ac:dyDescent="0.25">
      <c r="A39" t="s">
        <v>9</v>
      </c>
      <c r="B39" s="1">
        <v>42186</v>
      </c>
      <c r="C39">
        <v>1291</v>
      </c>
      <c r="D39">
        <v>37654575557.940002</v>
      </c>
      <c r="E39">
        <v>92.233343121744596</v>
      </c>
      <c r="F39">
        <v>20.795007862706001</v>
      </c>
      <c r="R39" t="s">
        <v>9</v>
      </c>
      <c r="S39" s="1">
        <v>42186</v>
      </c>
      <c r="T39">
        <v>1291</v>
      </c>
      <c r="U39">
        <v>37654575557.940002</v>
      </c>
      <c r="V39">
        <v>450.91716106159498</v>
      </c>
      <c r="W39">
        <v>415.16472337697599</v>
      </c>
      <c r="Z39" t="s">
        <v>9</v>
      </c>
      <c r="AA39" s="1">
        <v>42186</v>
      </c>
      <c r="AB39">
        <v>1291</v>
      </c>
      <c r="AC39">
        <v>37654575557.940002</v>
      </c>
      <c r="AD39">
        <v>179.71031588036101</v>
      </c>
      <c r="AE39">
        <v>169.66635076368499</v>
      </c>
      <c r="AG39" t="s">
        <v>9</v>
      </c>
      <c r="AH39" s="1">
        <v>42186</v>
      </c>
      <c r="AI39">
        <v>1291</v>
      </c>
      <c r="AJ39">
        <v>37654575557.940002</v>
      </c>
      <c r="AK39">
        <v>99.279780229019494</v>
      </c>
      <c r="AL39">
        <v>98.921219489698402</v>
      </c>
    </row>
    <row r="40" spans="1:38" x14ac:dyDescent="0.25">
      <c r="A40" t="s">
        <v>9</v>
      </c>
      <c r="B40" s="1">
        <v>42217</v>
      </c>
      <c r="C40">
        <v>1300</v>
      </c>
      <c r="D40">
        <v>37410876254.669998</v>
      </c>
      <c r="E40">
        <v>92.084538556821499</v>
      </c>
      <c r="F40">
        <v>20.8030589814446</v>
      </c>
      <c r="R40" t="s">
        <v>9</v>
      </c>
      <c r="S40" s="1">
        <v>42217</v>
      </c>
      <c r="T40">
        <v>1300</v>
      </c>
      <c r="U40">
        <v>37410876254.669998</v>
      </c>
      <c r="V40">
        <v>450.355817307189</v>
      </c>
      <c r="W40">
        <v>410.81384118913297</v>
      </c>
      <c r="Z40" t="s">
        <v>9</v>
      </c>
      <c r="AA40" s="1">
        <v>42217</v>
      </c>
      <c r="AB40">
        <v>1300</v>
      </c>
      <c r="AC40">
        <v>37410876254.669998</v>
      </c>
      <c r="AD40">
        <v>179.44432278242101</v>
      </c>
      <c r="AE40">
        <v>167.97138441162099</v>
      </c>
      <c r="AG40" t="s">
        <v>9</v>
      </c>
      <c r="AH40" s="1">
        <v>42217</v>
      </c>
      <c r="AI40">
        <v>1300</v>
      </c>
      <c r="AJ40">
        <v>37410876254.669998</v>
      </c>
      <c r="AK40">
        <v>99.263371318093107</v>
      </c>
      <c r="AL40">
        <v>98.850236371376994</v>
      </c>
    </row>
    <row r="41" spans="1:38" x14ac:dyDescent="0.25">
      <c r="A41" t="s">
        <v>9</v>
      </c>
      <c r="B41" s="1">
        <v>42248</v>
      </c>
      <c r="C41">
        <v>1307</v>
      </c>
      <c r="D41">
        <v>37159487080.809998</v>
      </c>
      <c r="E41">
        <v>91.957370757568597</v>
      </c>
      <c r="F41">
        <v>20.804427679201599</v>
      </c>
      <c r="R41" t="s">
        <v>9</v>
      </c>
      <c r="S41" s="1">
        <v>42248</v>
      </c>
      <c r="T41">
        <v>1307</v>
      </c>
      <c r="U41">
        <v>37159487080.809998</v>
      </c>
      <c r="V41">
        <v>409.31371500913002</v>
      </c>
      <c r="W41">
        <v>367.789353674376</v>
      </c>
      <c r="Z41" t="s">
        <v>9</v>
      </c>
      <c r="AA41" s="1">
        <v>42248</v>
      </c>
      <c r="AB41">
        <v>1307</v>
      </c>
      <c r="AC41">
        <v>37159487080.809998</v>
      </c>
      <c r="AD41">
        <v>179.296651228119</v>
      </c>
      <c r="AE41">
        <v>166.16526958684801</v>
      </c>
      <c r="AG41" t="s">
        <v>9</v>
      </c>
      <c r="AH41" s="1">
        <v>42248</v>
      </c>
      <c r="AI41">
        <v>1307</v>
      </c>
      <c r="AJ41">
        <v>37159487080.809998</v>
      </c>
      <c r="AK41">
        <v>99.256005267534206</v>
      </c>
      <c r="AL41">
        <v>98.773395610038193</v>
      </c>
    </row>
    <row r="42" spans="1:38" x14ac:dyDescent="0.25">
      <c r="A42" t="s">
        <v>9</v>
      </c>
      <c r="B42" s="1">
        <v>42278</v>
      </c>
      <c r="C42">
        <v>1315</v>
      </c>
      <c r="D42">
        <v>36939526623.260002</v>
      </c>
      <c r="E42">
        <v>91.820731058036301</v>
      </c>
      <c r="F42">
        <v>20.833557995937301</v>
      </c>
      <c r="R42" t="s">
        <v>9</v>
      </c>
      <c r="S42" s="1">
        <v>42278</v>
      </c>
      <c r="T42">
        <v>1315</v>
      </c>
      <c r="U42">
        <v>36939526623.260002</v>
      </c>
      <c r="V42">
        <v>408.93001062280899</v>
      </c>
      <c r="W42">
        <v>365.32907586472999</v>
      </c>
      <c r="Z42" t="s">
        <v>9</v>
      </c>
      <c r="AA42" s="1">
        <v>42278</v>
      </c>
      <c r="AB42">
        <v>1315</v>
      </c>
      <c r="AC42">
        <v>36939526623.260002</v>
      </c>
      <c r="AD42">
        <v>179.13219697273601</v>
      </c>
      <c r="AE42">
        <v>165.06962845281299</v>
      </c>
      <c r="AG42" t="s">
        <v>9</v>
      </c>
      <c r="AH42" s="1">
        <v>42278</v>
      </c>
      <c r="AI42">
        <v>1315</v>
      </c>
      <c r="AJ42">
        <v>36939526623.260002</v>
      </c>
      <c r="AK42">
        <v>99.248310167479104</v>
      </c>
      <c r="AL42">
        <v>98.725670848473101</v>
      </c>
    </row>
    <row r="43" spans="1:38" x14ac:dyDescent="0.25">
      <c r="A43" t="s">
        <v>9</v>
      </c>
      <c r="B43" s="1">
        <v>42309</v>
      </c>
      <c r="C43">
        <v>1328</v>
      </c>
      <c r="D43">
        <v>36789617512.57</v>
      </c>
      <c r="E43">
        <v>91.544324027910804</v>
      </c>
      <c r="F43">
        <v>20.840485469710099</v>
      </c>
      <c r="R43" t="s">
        <v>9</v>
      </c>
      <c r="S43" s="1">
        <v>42309</v>
      </c>
      <c r="T43">
        <v>1328</v>
      </c>
      <c r="U43">
        <v>36789617512.57</v>
      </c>
      <c r="V43">
        <v>408.44222558361099</v>
      </c>
      <c r="W43">
        <v>362.87038538120999</v>
      </c>
      <c r="Z43" t="s">
        <v>9</v>
      </c>
      <c r="AA43" s="1">
        <v>42309</v>
      </c>
      <c r="AB43">
        <v>1328</v>
      </c>
      <c r="AC43">
        <v>36789617512.57</v>
      </c>
      <c r="AD43">
        <v>178.91814416280499</v>
      </c>
      <c r="AE43">
        <v>163.94159548073</v>
      </c>
      <c r="AG43" t="s">
        <v>9</v>
      </c>
      <c r="AH43" s="1">
        <v>42309</v>
      </c>
      <c r="AI43">
        <v>1328</v>
      </c>
      <c r="AJ43">
        <v>36789617512.57</v>
      </c>
      <c r="AK43">
        <v>99.238933756275003</v>
      </c>
      <c r="AL43">
        <v>98.679267195234303</v>
      </c>
    </row>
    <row r="44" spans="1:38" x14ac:dyDescent="0.25">
      <c r="A44" t="s">
        <v>9</v>
      </c>
      <c r="B44" s="1">
        <v>42339</v>
      </c>
      <c r="C44">
        <v>1332</v>
      </c>
      <c r="D44">
        <v>36550588239.07</v>
      </c>
      <c r="E44">
        <v>91.424387143255899</v>
      </c>
      <c r="F44">
        <v>20.848089860090798</v>
      </c>
      <c r="R44" t="s">
        <v>9</v>
      </c>
      <c r="S44" s="1">
        <v>42339</v>
      </c>
      <c r="T44">
        <v>1332</v>
      </c>
      <c r="U44">
        <v>36550588239.07</v>
      </c>
      <c r="V44">
        <v>408.028538565595</v>
      </c>
      <c r="W44">
        <v>360.497339834294</v>
      </c>
      <c r="Z44" t="s">
        <v>9</v>
      </c>
      <c r="AA44" s="1">
        <v>42339</v>
      </c>
      <c r="AB44">
        <v>1332</v>
      </c>
      <c r="AC44">
        <v>36550588239.07</v>
      </c>
      <c r="AD44">
        <v>178.737715387284</v>
      </c>
      <c r="AE44">
        <v>162.85966003080301</v>
      </c>
      <c r="AG44" t="s">
        <v>9</v>
      </c>
      <c r="AH44" s="1">
        <v>42339</v>
      </c>
      <c r="AI44">
        <v>1332</v>
      </c>
      <c r="AJ44">
        <v>36550588239.07</v>
      </c>
      <c r="AK44">
        <v>99.230917706084696</v>
      </c>
      <c r="AL44">
        <v>98.633702992207503</v>
      </c>
    </row>
    <row r="45" spans="1:38" x14ac:dyDescent="0.25">
      <c r="A45" t="s">
        <v>9</v>
      </c>
      <c r="B45" s="1">
        <v>42370</v>
      </c>
      <c r="C45">
        <v>1339</v>
      </c>
      <c r="D45">
        <v>36350171434.389999</v>
      </c>
      <c r="E45">
        <v>91.313008838551994</v>
      </c>
      <c r="F45">
        <v>20.856696023504998</v>
      </c>
      <c r="R45" t="s">
        <v>9</v>
      </c>
      <c r="S45" s="1">
        <v>42370</v>
      </c>
      <c r="T45">
        <v>1339</v>
      </c>
      <c r="U45">
        <v>36350171434.389999</v>
      </c>
      <c r="V45">
        <v>407.42264598463299</v>
      </c>
      <c r="W45">
        <v>356.68882253932998</v>
      </c>
      <c r="Z45" t="s">
        <v>9</v>
      </c>
      <c r="AA45" s="1">
        <v>42370</v>
      </c>
      <c r="AB45">
        <v>1339</v>
      </c>
      <c r="AC45">
        <v>36350171434.389999</v>
      </c>
      <c r="AD45">
        <v>178.50939519378099</v>
      </c>
      <c r="AE45">
        <v>161.09181285539401</v>
      </c>
      <c r="AG45" t="s">
        <v>9</v>
      </c>
      <c r="AH45" s="1">
        <v>42370</v>
      </c>
      <c r="AI45">
        <v>1339</v>
      </c>
      <c r="AJ45">
        <v>36350171434.389999</v>
      </c>
      <c r="AK45">
        <v>99.222907544366805</v>
      </c>
      <c r="AL45">
        <v>98.560925128802197</v>
      </c>
    </row>
    <row r="46" spans="1:38" x14ac:dyDescent="0.25">
      <c r="A46" t="s">
        <v>9</v>
      </c>
      <c r="B46" s="1">
        <v>42401</v>
      </c>
      <c r="C46">
        <v>1343</v>
      </c>
      <c r="D46">
        <v>36103641907.169998</v>
      </c>
      <c r="E46">
        <v>91.189599987228803</v>
      </c>
      <c r="F46">
        <v>20.8700949344442</v>
      </c>
      <c r="R46" t="s">
        <v>9</v>
      </c>
      <c r="S46" s="1">
        <v>42401</v>
      </c>
      <c r="T46">
        <v>1343</v>
      </c>
      <c r="U46">
        <v>36103641907.169998</v>
      </c>
      <c r="V46">
        <v>406.88616440898102</v>
      </c>
      <c r="W46">
        <v>352.70609091540399</v>
      </c>
      <c r="Z46" t="s">
        <v>9</v>
      </c>
      <c r="AA46" s="1">
        <v>42401</v>
      </c>
      <c r="AB46">
        <v>1343</v>
      </c>
      <c r="AC46">
        <v>36103641907.169998</v>
      </c>
      <c r="AD46">
        <v>178.28085765479199</v>
      </c>
      <c r="AE46">
        <v>159.27653359080901</v>
      </c>
      <c r="AG46" t="s">
        <v>9</v>
      </c>
      <c r="AH46" s="1">
        <v>42401</v>
      </c>
      <c r="AI46">
        <v>1343</v>
      </c>
      <c r="AJ46">
        <v>36103641907.169998</v>
      </c>
      <c r="AK46">
        <v>99.211514990779193</v>
      </c>
      <c r="AL46">
        <v>98.489272413504295</v>
      </c>
    </row>
    <row r="47" spans="1:38" x14ac:dyDescent="0.25">
      <c r="A47" t="s">
        <v>9</v>
      </c>
      <c r="B47" s="1">
        <v>42430</v>
      </c>
      <c r="C47">
        <v>1347</v>
      </c>
      <c r="D47">
        <v>35909399214.110001</v>
      </c>
      <c r="E47">
        <v>91.080040099410098</v>
      </c>
      <c r="F47">
        <v>20.883740757264999</v>
      </c>
      <c r="R47" t="s">
        <v>9</v>
      </c>
      <c r="S47" s="1">
        <v>42430</v>
      </c>
      <c r="T47">
        <v>1347</v>
      </c>
      <c r="U47">
        <v>35909399214.110001</v>
      </c>
      <c r="V47">
        <v>406.08758820644101</v>
      </c>
      <c r="W47">
        <v>348.93856150875098</v>
      </c>
      <c r="Z47" t="s">
        <v>9</v>
      </c>
      <c r="AA47" s="1">
        <v>42430</v>
      </c>
      <c r="AB47">
        <v>1347</v>
      </c>
      <c r="AC47">
        <v>35909399214.110001</v>
      </c>
      <c r="AD47">
        <v>177.99286487711899</v>
      </c>
      <c r="AE47">
        <v>157.38853984962401</v>
      </c>
      <c r="AG47" t="s">
        <v>9</v>
      </c>
      <c r="AH47" s="1">
        <v>42430</v>
      </c>
      <c r="AI47">
        <v>1347</v>
      </c>
      <c r="AJ47">
        <v>35909399214.110001</v>
      </c>
      <c r="AK47">
        <v>99.201479763593198</v>
      </c>
      <c r="AL47">
        <v>98.416293807360006</v>
      </c>
    </row>
    <row r="48" spans="1:38" x14ac:dyDescent="0.25">
      <c r="A48" t="s">
        <v>9</v>
      </c>
      <c r="B48" s="1">
        <v>42461</v>
      </c>
      <c r="C48">
        <v>1356</v>
      </c>
      <c r="D48">
        <v>35708371081.940002</v>
      </c>
      <c r="E48">
        <v>90.955069421012098</v>
      </c>
      <c r="F48">
        <v>20.8861513386822</v>
      </c>
      <c r="R48" t="s">
        <v>9</v>
      </c>
      <c r="S48" s="1">
        <v>42461</v>
      </c>
      <c r="T48">
        <v>1356</v>
      </c>
      <c r="U48">
        <v>35708371081.940002</v>
      </c>
      <c r="V48">
        <v>403.92430852824299</v>
      </c>
      <c r="W48">
        <v>342.29612898361398</v>
      </c>
      <c r="Z48" t="s">
        <v>9</v>
      </c>
      <c r="AA48" s="1">
        <v>42461</v>
      </c>
      <c r="AB48">
        <v>1356</v>
      </c>
      <c r="AC48">
        <v>35708371081.940002</v>
      </c>
      <c r="AD48">
        <v>217.74450560199099</v>
      </c>
      <c r="AE48">
        <v>183.20648292047801</v>
      </c>
      <c r="AG48" t="s">
        <v>9</v>
      </c>
      <c r="AH48" s="1">
        <v>42461</v>
      </c>
      <c r="AI48">
        <v>1356</v>
      </c>
      <c r="AJ48">
        <v>35708371081.940002</v>
      </c>
      <c r="AK48">
        <v>99.188445044370894</v>
      </c>
      <c r="AL48">
        <v>98.286685228774104</v>
      </c>
    </row>
    <row r="49" spans="1:38" x14ac:dyDescent="0.25">
      <c r="A49" t="s">
        <v>9</v>
      </c>
      <c r="B49" s="1">
        <v>42491</v>
      </c>
      <c r="C49">
        <v>1361</v>
      </c>
      <c r="D49">
        <v>35410457427.75</v>
      </c>
      <c r="E49">
        <v>90.819305174066002</v>
      </c>
      <c r="F49">
        <v>20.8877363134688</v>
      </c>
      <c r="R49" t="s">
        <v>9</v>
      </c>
      <c r="S49" s="1">
        <v>42491</v>
      </c>
      <c r="T49">
        <v>1361</v>
      </c>
      <c r="U49">
        <v>35410457427.75</v>
      </c>
      <c r="V49">
        <v>400.780841664408</v>
      </c>
      <c r="W49">
        <v>336.00213798349199</v>
      </c>
      <c r="Z49" t="s">
        <v>9</v>
      </c>
      <c r="AA49" s="1">
        <v>42491</v>
      </c>
      <c r="AB49">
        <v>1361</v>
      </c>
      <c r="AC49">
        <v>35410457427.75</v>
      </c>
      <c r="AD49">
        <v>216.03338033872299</v>
      </c>
      <c r="AE49">
        <v>178.61951903766399</v>
      </c>
      <c r="AG49" t="s">
        <v>9</v>
      </c>
      <c r="AH49" s="1">
        <v>42491</v>
      </c>
      <c r="AI49">
        <v>1361</v>
      </c>
      <c r="AJ49">
        <v>35410457427.75</v>
      </c>
      <c r="AK49">
        <v>99.152965912097798</v>
      </c>
      <c r="AL49">
        <v>98.161568758865997</v>
      </c>
    </row>
    <row r="50" spans="1:38" x14ac:dyDescent="0.25">
      <c r="A50" t="s">
        <v>9</v>
      </c>
      <c r="B50" s="1">
        <v>42522</v>
      </c>
      <c r="C50">
        <v>1367</v>
      </c>
      <c r="D50">
        <v>35129109527.150002</v>
      </c>
      <c r="E50">
        <v>90.682055483652505</v>
      </c>
      <c r="F50">
        <v>20.887995906263502</v>
      </c>
      <c r="R50" t="s">
        <v>9</v>
      </c>
      <c r="S50" s="1">
        <v>42522</v>
      </c>
      <c r="T50">
        <v>1367</v>
      </c>
      <c r="U50">
        <v>35129109527.150002</v>
      </c>
      <c r="V50">
        <v>398.72016142411599</v>
      </c>
      <c r="W50">
        <v>329.82669695218101</v>
      </c>
      <c r="Z50" t="s">
        <v>9</v>
      </c>
      <c r="AA50" s="1">
        <v>42522</v>
      </c>
      <c r="AB50">
        <v>1367</v>
      </c>
      <c r="AC50">
        <v>35129109527.150002</v>
      </c>
      <c r="AD50">
        <v>214.85420001401499</v>
      </c>
      <c r="AE50">
        <v>174.04929328450399</v>
      </c>
      <c r="AG50" t="s">
        <v>9</v>
      </c>
      <c r="AH50" s="1">
        <v>42522</v>
      </c>
      <c r="AI50">
        <v>1367</v>
      </c>
      <c r="AJ50">
        <v>35129109527.150002</v>
      </c>
      <c r="AK50">
        <v>99.123036748199098</v>
      </c>
      <c r="AL50">
        <v>98.038754742956797</v>
      </c>
    </row>
    <row r="51" spans="1:38" x14ac:dyDescent="0.25">
      <c r="A51" t="s">
        <v>9</v>
      </c>
      <c r="B51" s="1">
        <v>42552</v>
      </c>
      <c r="C51">
        <v>1374</v>
      </c>
      <c r="D51">
        <v>34806670533.199997</v>
      </c>
      <c r="E51">
        <v>90.4978872082729</v>
      </c>
      <c r="F51">
        <v>20.8886571380223</v>
      </c>
      <c r="R51" t="s">
        <v>9</v>
      </c>
      <c r="S51" s="1">
        <v>42552</v>
      </c>
      <c r="T51">
        <v>1374</v>
      </c>
      <c r="U51">
        <v>34806670533.199997</v>
      </c>
      <c r="V51">
        <v>398.61198743992702</v>
      </c>
      <c r="W51">
        <v>329.24018471981202</v>
      </c>
      <c r="Z51" t="s">
        <v>9</v>
      </c>
      <c r="AA51" s="1">
        <v>42552</v>
      </c>
      <c r="AB51">
        <v>1374</v>
      </c>
      <c r="AC51">
        <v>34806670533.199997</v>
      </c>
      <c r="AD51">
        <v>214.71268027654801</v>
      </c>
      <c r="AE51">
        <v>173.534570090947</v>
      </c>
      <c r="AG51" t="s">
        <v>9</v>
      </c>
      <c r="AH51" s="1">
        <v>42552</v>
      </c>
      <c r="AI51">
        <v>1374</v>
      </c>
      <c r="AJ51">
        <v>34806670533.199997</v>
      </c>
      <c r="AK51">
        <v>99.105850989237098</v>
      </c>
      <c r="AL51">
        <v>98.025293965480401</v>
      </c>
    </row>
    <row r="52" spans="1:38" x14ac:dyDescent="0.25">
      <c r="A52" t="s">
        <v>9</v>
      </c>
      <c r="B52" s="1">
        <v>42583</v>
      </c>
      <c r="C52">
        <v>1380</v>
      </c>
      <c r="D52">
        <v>34436906908.110001</v>
      </c>
      <c r="E52">
        <v>90.331056706203697</v>
      </c>
      <c r="F52">
        <v>20.893796901784</v>
      </c>
      <c r="R52" t="s">
        <v>9</v>
      </c>
      <c r="S52" s="1">
        <v>42583</v>
      </c>
      <c r="T52">
        <v>1380</v>
      </c>
      <c r="U52">
        <v>34436906908.110001</v>
      </c>
      <c r="V52">
        <v>397.002894062434</v>
      </c>
      <c r="W52">
        <v>328.686899641624</v>
      </c>
      <c r="Z52" t="s">
        <v>9</v>
      </c>
      <c r="AA52" s="1">
        <v>42583</v>
      </c>
      <c r="AB52">
        <v>1380</v>
      </c>
      <c r="AC52">
        <v>34436906908.110001</v>
      </c>
      <c r="AD52">
        <v>213.780569350728</v>
      </c>
      <c r="AE52">
        <v>173.032727402658</v>
      </c>
      <c r="AG52" t="s">
        <v>9</v>
      </c>
      <c r="AH52" s="1">
        <v>42583</v>
      </c>
      <c r="AI52">
        <v>1380</v>
      </c>
      <c r="AJ52">
        <v>34436906908.110001</v>
      </c>
      <c r="AK52">
        <v>99.095591757513802</v>
      </c>
      <c r="AL52">
        <v>98.011163772505299</v>
      </c>
    </row>
    <row r="53" spans="1:38" x14ac:dyDescent="0.25">
      <c r="A53" t="s">
        <v>9</v>
      </c>
      <c r="B53" s="1">
        <v>42614</v>
      </c>
      <c r="C53">
        <v>1385</v>
      </c>
      <c r="D53">
        <v>34088680556.189999</v>
      </c>
      <c r="E53">
        <v>90.165118363302994</v>
      </c>
      <c r="F53">
        <v>20.894478707314999</v>
      </c>
      <c r="R53" t="s">
        <v>9</v>
      </c>
      <c r="S53" s="1">
        <v>42614</v>
      </c>
      <c r="T53">
        <v>1385</v>
      </c>
      <c r="U53">
        <v>34088680556.189999</v>
      </c>
      <c r="V53">
        <v>395.660459187019</v>
      </c>
      <c r="W53">
        <v>328.24669654202398</v>
      </c>
      <c r="Z53" t="s">
        <v>9</v>
      </c>
      <c r="AA53" s="1">
        <v>42614</v>
      </c>
      <c r="AB53">
        <v>1385</v>
      </c>
      <c r="AC53">
        <v>34088680556.189999</v>
      </c>
      <c r="AD53">
        <v>212.97124694288701</v>
      </c>
      <c r="AE53">
        <v>172.60179875376201</v>
      </c>
      <c r="AG53" t="s">
        <v>9</v>
      </c>
      <c r="AH53" s="1">
        <v>42614</v>
      </c>
      <c r="AI53">
        <v>1385</v>
      </c>
      <c r="AJ53">
        <v>34088680556.189999</v>
      </c>
      <c r="AK53">
        <v>99.082406728865806</v>
      </c>
      <c r="AL53">
        <v>97.998791922515196</v>
      </c>
    </row>
    <row r="54" spans="1:38" x14ac:dyDescent="0.25">
      <c r="A54" t="s">
        <v>9</v>
      </c>
      <c r="B54" s="1">
        <v>42644</v>
      </c>
      <c r="C54">
        <v>1390</v>
      </c>
      <c r="D54">
        <v>33686513650.32</v>
      </c>
      <c r="E54">
        <v>89.950676727645003</v>
      </c>
      <c r="F54">
        <v>20.903680938983399</v>
      </c>
      <c r="R54" t="s">
        <v>9</v>
      </c>
      <c r="S54" s="1">
        <v>42644</v>
      </c>
      <c r="T54">
        <v>1390</v>
      </c>
      <c r="U54">
        <v>33686513650.32</v>
      </c>
      <c r="V54">
        <v>395.67932818994399</v>
      </c>
      <c r="W54">
        <v>328.05723727161802</v>
      </c>
      <c r="Z54" t="s">
        <v>9</v>
      </c>
      <c r="AA54" s="1">
        <v>42644</v>
      </c>
      <c r="AB54">
        <v>1390</v>
      </c>
      <c r="AC54">
        <v>33686513650.32</v>
      </c>
      <c r="AD54">
        <v>212.898306380072</v>
      </c>
      <c r="AE54">
        <v>172.280657433367</v>
      </c>
      <c r="AG54" t="s">
        <v>9</v>
      </c>
      <c r="AH54" s="1">
        <v>42644</v>
      </c>
      <c r="AI54">
        <v>1390</v>
      </c>
      <c r="AJ54">
        <v>33686513650.32</v>
      </c>
      <c r="AK54">
        <v>99.069986253935696</v>
      </c>
      <c r="AL54">
        <v>97.990854626479404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3"/>
  <sheetViews>
    <sheetView workbookViewId="0">
      <selection activeCell="N11" sqref="N11"/>
    </sheetView>
  </sheetViews>
  <sheetFormatPr defaultRowHeight="15" x14ac:dyDescent="0.25"/>
  <cols>
    <col min="2" max="2" width="14.28515625" style="7" bestFit="1" customWidth="1"/>
  </cols>
  <sheetData>
    <row r="1" spans="2:3" x14ac:dyDescent="0.25">
      <c r="B1" s="7">
        <v>64670803</v>
      </c>
      <c r="C1" s="8">
        <f>B1/$B$1</f>
        <v>1</v>
      </c>
    </row>
    <row r="2" spans="2:3" x14ac:dyDescent="0.25">
      <c r="B2" s="7">
        <v>63220037</v>
      </c>
      <c r="C2" s="8">
        <f t="shared" ref="C2:C3" si="0">B2/$B$1</f>
        <v>0.97756690913517807</v>
      </c>
    </row>
    <row r="3" spans="2:3" x14ac:dyDescent="0.25">
      <c r="B3" s="7">
        <v>63095196</v>
      </c>
      <c r="C3" s="8">
        <f t="shared" si="0"/>
        <v>0.97563650168376603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tpo</vt:lpstr>
      <vt:lpstr>pct refi</vt:lpstr>
      <vt:lpstr>cltv</vt:lpstr>
      <vt:lpstr>loanSize</vt:lpstr>
      <vt:lpstr>burnout</vt:lpstr>
      <vt:lpstr>incentive</vt:lpstr>
      <vt:lpstr>incentive_detail</vt:lpstr>
      <vt:lpstr>Sheet10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2016-10-28T14:54:05Z</dcterms:created>
  <dcterms:modified xsi:type="dcterms:W3CDTF">2016-11-01T17:22:57Z</dcterms:modified>
</cp:coreProperties>
</file>