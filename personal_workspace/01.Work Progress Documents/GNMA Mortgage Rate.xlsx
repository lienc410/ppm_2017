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33555" windowHeight="19725"/>
  </bookViews>
  <sheets>
    <sheet name="Sheet5" sheetId="5" r:id="rId1"/>
    <sheet name="daily" sheetId="6" r:id="rId2"/>
    <sheet name="3m" sheetId="7" r:id="rId3"/>
  </sheets>
  <externalReferences>
    <externalReference r:id="rId4"/>
  </externalReferences>
  <calcPr calcId="145621"/>
  <pivotCaches>
    <pivotCache cacheId="14" r:id="rId5"/>
  </pivotCaches>
</workbook>
</file>

<file path=xl/calcChain.xml><?xml version="1.0" encoding="utf-8"?>
<calcChain xmlns="http://schemas.openxmlformats.org/spreadsheetml/2006/main">
  <c r="W25" i="6" l="1"/>
  <c r="X25" i="6"/>
  <c r="V25" i="6"/>
  <c r="V3" i="6"/>
  <c r="W3" i="6"/>
  <c r="X3" i="6"/>
  <c r="V4" i="6"/>
  <c r="W4" i="6"/>
  <c r="X4" i="6"/>
  <c r="V5" i="6"/>
  <c r="W5" i="6"/>
  <c r="X5" i="6"/>
  <c r="V6" i="6"/>
  <c r="W6" i="6"/>
  <c r="X6" i="6"/>
  <c r="V7" i="6"/>
  <c r="W7" i="6"/>
  <c r="X7" i="6"/>
  <c r="V8" i="6"/>
  <c r="W8" i="6"/>
  <c r="X8" i="6"/>
  <c r="V9" i="6"/>
  <c r="W9" i="6"/>
  <c r="X9" i="6"/>
  <c r="V10" i="6"/>
  <c r="W10" i="6"/>
  <c r="X10" i="6"/>
  <c r="V11" i="6"/>
  <c r="W11" i="6"/>
  <c r="X11" i="6"/>
  <c r="V12" i="6"/>
  <c r="W12" i="6"/>
  <c r="X12" i="6"/>
  <c r="V13" i="6"/>
  <c r="W13" i="6"/>
  <c r="X13" i="6"/>
  <c r="V14" i="6"/>
  <c r="W14" i="6"/>
  <c r="X14" i="6"/>
  <c r="V15" i="6"/>
  <c r="W15" i="6"/>
  <c r="X15" i="6"/>
  <c r="V16" i="6"/>
  <c r="W16" i="6"/>
  <c r="X16" i="6"/>
  <c r="V17" i="6"/>
  <c r="W17" i="6"/>
  <c r="X17" i="6"/>
  <c r="V18" i="6"/>
  <c r="W18" i="6"/>
  <c r="X18" i="6"/>
  <c r="V19" i="6"/>
  <c r="W19" i="6"/>
  <c r="X19" i="6"/>
  <c r="V20" i="6"/>
  <c r="W20" i="6"/>
  <c r="X20" i="6"/>
  <c r="V21" i="6"/>
  <c r="W21" i="6"/>
  <c r="X21" i="6"/>
  <c r="V22" i="6"/>
  <c r="W22" i="6"/>
  <c r="X22" i="6"/>
  <c r="V23" i="6"/>
  <c r="W23" i="6"/>
  <c r="X23" i="6"/>
  <c r="V24" i="6"/>
  <c r="W24" i="6"/>
  <c r="X24" i="6"/>
  <c r="W2" i="6"/>
  <c r="X2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R1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" i="6"/>
  <c r="M3" i="6"/>
  <c r="N3" i="6" s="1"/>
  <c r="M4" i="6"/>
  <c r="N4" i="6" s="1"/>
  <c r="M5" i="6"/>
  <c r="N5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" i="6"/>
  <c r="N2" i="6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2" i="6"/>
  <c r="N26" i="6" l="1"/>
</calcChain>
</file>

<file path=xl/sharedStrings.xml><?xml version="1.0" encoding="utf-8"?>
<sst xmlns="http://schemas.openxmlformats.org/spreadsheetml/2006/main" count="55" uniqueCount="31">
  <si>
    <t>originationDate</t>
  </si>
  <si>
    <t>FNCLWAC</t>
  </si>
  <si>
    <t>FNCLAmount</t>
  </si>
  <si>
    <t>FGLMCWAC</t>
  </si>
  <si>
    <t>FGLMCAmount</t>
  </si>
  <si>
    <t>GNMAWAC</t>
  </si>
  <si>
    <t>GNMAAmount</t>
  </si>
  <si>
    <t>cov_WAC</t>
  </si>
  <si>
    <t>gnma_WAC</t>
  </si>
  <si>
    <t>Spread</t>
  </si>
  <si>
    <t>asOf</t>
  </si>
  <si>
    <t>MA_WAC_Spread</t>
  </si>
  <si>
    <t>asOf_lag1</t>
  </si>
  <si>
    <t>asOf_lag2</t>
  </si>
  <si>
    <t>MtgRate</t>
  </si>
  <si>
    <t>AsOfDate</t>
  </si>
  <si>
    <t>SeriesNumValue</t>
  </si>
  <si>
    <t>Asof</t>
  </si>
  <si>
    <t>Row Labels</t>
  </si>
  <si>
    <t>(blank)</t>
  </si>
  <si>
    <t>Grand Total</t>
  </si>
  <si>
    <t>Average of SeriesNumValue</t>
  </si>
  <si>
    <t>Wells FHA Rate</t>
  </si>
  <si>
    <t>Derived Rate</t>
  </si>
  <si>
    <t>Wells FHA Rate - Raw</t>
  </si>
  <si>
    <t>Derived Rate_6m</t>
  </si>
  <si>
    <t>Derived Rate_1m</t>
  </si>
  <si>
    <t>Derived Rate_3m</t>
  </si>
  <si>
    <t>6m</t>
  </si>
  <si>
    <t>3m</t>
  </si>
  <si>
    <t>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</si>
</sst>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FNCLWAC</c:v>
                </c:pt>
              </c:strCache>
            </c:strRef>
          </c:tx>
          <c:marker>
            <c:symbol val="none"/>
          </c:marker>
          <c:cat>
            <c:numRef>
              <c:f>Sheet5!$A$2:$A$327</c:f>
              <c:numCache>
                <c:formatCode>m/d/yyyy</c:formatCode>
                <c:ptCount val="326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  <c:pt idx="72">
                  <c:v>35309</c:v>
                </c:pt>
                <c:pt idx="73">
                  <c:v>35339</c:v>
                </c:pt>
                <c:pt idx="74">
                  <c:v>35370</c:v>
                </c:pt>
                <c:pt idx="75">
                  <c:v>35400</c:v>
                </c:pt>
                <c:pt idx="76">
                  <c:v>35431</c:v>
                </c:pt>
                <c:pt idx="77">
                  <c:v>35462</c:v>
                </c:pt>
                <c:pt idx="78">
                  <c:v>35490</c:v>
                </c:pt>
                <c:pt idx="79">
                  <c:v>35521</c:v>
                </c:pt>
                <c:pt idx="80">
                  <c:v>35551</c:v>
                </c:pt>
                <c:pt idx="81">
                  <c:v>35582</c:v>
                </c:pt>
                <c:pt idx="82">
                  <c:v>35612</c:v>
                </c:pt>
                <c:pt idx="83">
                  <c:v>35643</c:v>
                </c:pt>
                <c:pt idx="84">
                  <c:v>35674</c:v>
                </c:pt>
                <c:pt idx="85">
                  <c:v>35704</c:v>
                </c:pt>
                <c:pt idx="86">
                  <c:v>35735</c:v>
                </c:pt>
                <c:pt idx="87">
                  <c:v>35765</c:v>
                </c:pt>
                <c:pt idx="88">
                  <c:v>35796</c:v>
                </c:pt>
                <c:pt idx="89">
                  <c:v>35827</c:v>
                </c:pt>
                <c:pt idx="90">
                  <c:v>35855</c:v>
                </c:pt>
                <c:pt idx="91">
                  <c:v>35886</c:v>
                </c:pt>
                <c:pt idx="92">
                  <c:v>35916</c:v>
                </c:pt>
                <c:pt idx="93">
                  <c:v>35947</c:v>
                </c:pt>
                <c:pt idx="94">
                  <c:v>35977</c:v>
                </c:pt>
                <c:pt idx="95">
                  <c:v>36008</c:v>
                </c:pt>
                <c:pt idx="96">
                  <c:v>36039</c:v>
                </c:pt>
                <c:pt idx="97">
                  <c:v>36069</c:v>
                </c:pt>
                <c:pt idx="98">
                  <c:v>36100</c:v>
                </c:pt>
                <c:pt idx="99">
                  <c:v>36130</c:v>
                </c:pt>
                <c:pt idx="100">
                  <c:v>36161</c:v>
                </c:pt>
                <c:pt idx="101">
                  <c:v>36192</c:v>
                </c:pt>
                <c:pt idx="102">
                  <c:v>36220</c:v>
                </c:pt>
                <c:pt idx="103">
                  <c:v>36251</c:v>
                </c:pt>
                <c:pt idx="104">
                  <c:v>36281</c:v>
                </c:pt>
                <c:pt idx="105">
                  <c:v>36312</c:v>
                </c:pt>
                <c:pt idx="106">
                  <c:v>36342</c:v>
                </c:pt>
                <c:pt idx="107">
                  <c:v>36373</c:v>
                </c:pt>
                <c:pt idx="108">
                  <c:v>36404</c:v>
                </c:pt>
                <c:pt idx="109">
                  <c:v>36434</c:v>
                </c:pt>
                <c:pt idx="110">
                  <c:v>36465</c:v>
                </c:pt>
                <c:pt idx="111">
                  <c:v>36495</c:v>
                </c:pt>
                <c:pt idx="112">
                  <c:v>36526</c:v>
                </c:pt>
                <c:pt idx="113">
                  <c:v>36557</c:v>
                </c:pt>
                <c:pt idx="114">
                  <c:v>36586</c:v>
                </c:pt>
                <c:pt idx="115">
                  <c:v>36617</c:v>
                </c:pt>
                <c:pt idx="116">
                  <c:v>36647</c:v>
                </c:pt>
                <c:pt idx="117">
                  <c:v>36678</c:v>
                </c:pt>
                <c:pt idx="118">
                  <c:v>36708</c:v>
                </c:pt>
                <c:pt idx="119">
                  <c:v>36739</c:v>
                </c:pt>
                <c:pt idx="120">
                  <c:v>36770</c:v>
                </c:pt>
                <c:pt idx="121">
                  <c:v>36800</c:v>
                </c:pt>
                <c:pt idx="122">
                  <c:v>36831</c:v>
                </c:pt>
                <c:pt idx="123">
                  <c:v>36861</c:v>
                </c:pt>
                <c:pt idx="124">
                  <c:v>36892</c:v>
                </c:pt>
                <c:pt idx="125">
                  <c:v>36923</c:v>
                </c:pt>
                <c:pt idx="126">
                  <c:v>36951</c:v>
                </c:pt>
                <c:pt idx="127">
                  <c:v>36982</c:v>
                </c:pt>
                <c:pt idx="128">
                  <c:v>37012</c:v>
                </c:pt>
                <c:pt idx="129">
                  <c:v>37043</c:v>
                </c:pt>
                <c:pt idx="130">
                  <c:v>37073</c:v>
                </c:pt>
                <c:pt idx="131">
                  <c:v>37104</c:v>
                </c:pt>
                <c:pt idx="132">
                  <c:v>37135</c:v>
                </c:pt>
                <c:pt idx="133">
                  <c:v>37165</c:v>
                </c:pt>
                <c:pt idx="134">
                  <c:v>37196</c:v>
                </c:pt>
                <c:pt idx="135">
                  <c:v>37226</c:v>
                </c:pt>
                <c:pt idx="136">
                  <c:v>37257</c:v>
                </c:pt>
                <c:pt idx="137">
                  <c:v>37288</c:v>
                </c:pt>
                <c:pt idx="138">
                  <c:v>37316</c:v>
                </c:pt>
                <c:pt idx="139">
                  <c:v>37347</c:v>
                </c:pt>
                <c:pt idx="140">
                  <c:v>37377</c:v>
                </c:pt>
                <c:pt idx="141">
                  <c:v>37408</c:v>
                </c:pt>
                <c:pt idx="142">
                  <c:v>37438</c:v>
                </c:pt>
                <c:pt idx="143">
                  <c:v>37469</c:v>
                </c:pt>
                <c:pt idx="144">
                  <c:v>37500</c:v>
                </c:pt>
                <c:pt idx="145">
                  <c:v>37530</c:v>
                </c:pt>
                <c:pt idx="146">
                  <c:v>37561</c:v>
                </c:pt>
                <c:pt idx="147">
                  <c:v>37591</c:v>
                </c:pt>
                <c:pt idx="148">
                  <c:v>37622</c:v>
                </c:pt>
                <c:pt idx="149">
                  <c:v>37653</c:v>
                </c:pt>
                <c:pt idx="150">
                  <c:v>37681</c:v>
                </c:pt>
                <c:pt idx="151">
                  <c:v>37712</c:v>
                </c:pt>
                <c:pt idx="152">
                  <c:v>37742</c:v>
                </c:pt>
                <c:pt idx="153">
                  <c:v>37773</c:v>
                </c:pt>
                <c:pt idx="154">
                  <c:v>37803</c:v>
                </c:pt>
                <c:pt idx="155">
                  <c:v>37834</c:v>
                </c:pt>
                <c:pt idx="156">
                  <c:v>37865</c:v>
                </c:pt>
                <c:pt idx="157">
                  <c:v>37895</c:v>
                </c:pt>
                <c:pt idx="158">
                  <c:v>37926</c:v>
                </c:pt>
                <c:pt idx="159">
                  <c:v>37956</c:v>
                </c:pt>
                <c:pt idx="160">
                  <c:v>37987</c:v>
                </c:pt>
                <c:pt idx="161">
                  <c:v>38018</c:v>
                </c:pt>
                <c:pt idx="162">
                  <c:v>38047</c:v>
                </c:pt>
                <c:pt idx="163">
                  <c:v>38078</c:v>
                </c:pt>
                <c:pt idx="164">
                  <c:v>38108</c:v>
                </c:pt>
                <c:pt idx="165">
                  <c:v>38139</c:v>
                </c:pt>
                <c:pt idx="166">
                  <c:v>38169</c:v>
                </c:pt>
                <c:pt idx="167">
                  <c:v>38200</c:v>
                </c:pt>
                <c:pt idx="168">
                  <c:v>38231</c:v>
                </c:pt>
                <c:pt idx="169">
                  <c:v>38261</c:v>
                </c:pt>
                <c:pt idx="170">
                  <c:v>38292</c:v>
                </c:pt>
                <c:pt idx="171">
                  <c:v>38322</c:v>
                </c:pt>
                <c:pt idx="172">
                  <c:v>38353</c:v>
                </c:pt>
                <c:pt idx="173">
                  <c:v>38384</c:v>
                </c:pt>
                <c:pt idx="174">
                  <c:v>38412</c:v>
                </c:pt>
                <c:pt idx="175">
                  <c:v>38443</c:v>
                </c:pt>
                <c:pt idx="176">
                  <c:v>38473</c:v>
                </c:pt>
                <c:pt idx="177">
                  <c:v>38504</c:v>
                </c:pt>
                <c:pt idx="178">
                  <c:v>38534</c:v>
                </c:pt>
                <c:pt idx="179">
                  <c:v>38565</c:v>
                </c:pt>
                <c:pt idx="180">
                  <c:v>38596</c:v>
                </c:pt>
                <c:pt idx="181">
                  <c:v>38626</c:v>
                </c:pt>
                <c:pt idx="182">
                  <c:v>38657</c:v>
                </c:pt>
                <c:pt idx="183">
                  <c:v>38687</c:v>
                </c:pt>
                <c:pt idx="184">
                  <c:v>38718</c:v>
                </c:pt>
                <c:pt idx="185">
                  <c:v>38749</c:v>
                </c:pt>
                <c:pt idx="186">
                  <c:v>38777</c:v>
                </c:pt>
                <c:pt idx="187">
                  <c:v>38808</c:v>
                </c:pt>
                <c:pt idx="188">
                  <c:v>38838</c:v>
                </c:pt>
                <c:pt idx="189">
                  <c:v>38869</c:v>
                </c:pt>
                <c:pt idx="190">
                  <c:v>38899</c:v>
                </c:pt>
                <c:pt idx="191">
                  <c:v>38930</c:v>
                </c:pt>
                <c:pt idx="192">
                  <c:v>38961</c:v>
                </c:pt>
                <c:pt idx="193">
                  <c:v>38991</c:v>
                </c:pt>
                <c:pt idx="194">
                  <c:v>39022</c:v>
                </c:pt>
                <c:pt idx="195">
                  <c:v>39052</c:v>
                </c:pt>
                <c:pt idx="196">
                  <c:v>39083</c:v>
                </c:pt>
                <c:pt idx="197">
                  <c:v>39114</c:v>
                </c:pt>
                <c:pt idx="198">
                  <c:v>39142</c:v>
                </c:pt>
                <c:pt idx="199">
                  <c:v>39173</c:v>
                </c:pt>
                <c:pt idx="200">
                  <c:v>39203</c:v>
                </c:pt>
                <c:pt idx="201">
                  <c:v>39234</c:v>
                </c:pt>
                <c:pt idx="202">
                  <c:v>39264</c:v>
                </c:pt>
                <c:pt idx="203">
                  <c:v>39295</c:v>
                </c:pt>
                <c:pt idx="204">
                  <c:v>39326</c:v>
                </c:pt>
                <c:pt idx="205">
                  <c:v>39356</c:v>
                </c:pt>
                <c:pt idx="206">
                  <c:v>39387</c:v>
                </c:pt>
                <c:pt idx="207">
                  <c:v>39417</c:v>
                </c:pt>
                <c:pt idx="208">
                  <c:v>39448</c:v>
                </c:pt>
                <c:pt idx="209">
                  <c:v>39479</c:v>
                </c:pt>
                <c:pt idx="210">
                  <c:v>39508</c:v>
                </c:pt>
                <c:pt idx="211">
                  <c:v>39539</c:v>
                </c:pt>
                <c:pt idx="212">
                  <c:v>39569</c:v>
                </c:pt>
                <c:pt idx="213">
                  <c:v>39600</c:v>
                </c:pt>
                <c:pt idx="214">
                  <c:v>39630</c:v>
                </c:pt>
                <c:pt idx="215">
                  <c:v>39661</c:v>
                </c:pt>
                <c:pt idx="216">
                  <c:v>39692</c:v>
                </c:pt>
                <c:pt idx="217">
                  <c:v>39722</c:v>
                </c:pt>
                <c:pt idx="218">
                  <c:v>39753</c:v>
                </c:pt>
                <c:pt idx="219">
                  <c:v>39783</c:v>
                </c:pt>
                <c:pt idx="220">
                  <c:v>39814</c:v>
                </c:pt>
                <c:pt idx="221">
                  <c:v>39845</c:v>
                </c:pt>
                <c:pt idx="222">
                  <c:v>39873</c:v>
                </c:pt>
                <c:pt idx="223">
                  <c:v>39904</c:v>
                </c:pt>
                <c:pt idx="224">
                  <c:v>39934</c:v>
                </c:pt>
                <c:pt idx="225">
                  <c:v>39965</c:v>
                </c:pt>
                <c:pt idx="226">
                  <c:v>39995</c:v>
                </c:pt>
                <c:pt idx="227">
                  <c:v>40026</c:v>
                </c:pt>
                <c:pt idx="228">
                  <c:v>40057</c:v>
                </c:pt>
                <c:pt idx="229">
                  <c:v>40087</c:v>
                </c:pt>
                <c:pt idx="230">
                  <c:v>40118</c:v>
                </c:pt>
                <c:pt idx="231">
                  <c:v>40148</c:v>
                </c:pt>
                <c:pt idx="232">
                  <c:v>40179</c:v>
                </c:pt>
                <c:pt idx="233">
                  <c:v>40210</c:v>
                </c:pt>
                <c:pt idx="234">
                  <c:v>40238</c:v>
                </c:pt>
                <c:pt idx="235">
                  <c:v>40269</c:v>
                </c:pt>
                <c:pt idx="236">
                  <c:v>40299</c:v>
                </c:pt>
                <c:pt idx="237">
                  <c:v>40330</c:v>
                </c:pt>
                <c:pt idx="238">
                  <c:v>40360</c:v>
                </c:pt>
                <c:pt idx="239">
                  <c:v>40391</c:v>
                </c:pt>
                <c:pt idx="240">
                  <c:v>40422</c:v>
                </c:pt>
                <c:pt idx="241">
                  <c:v>40452</c:v>
                </c:pt>
                <c:pt idx="242">
                  <c:v>40483</c:v>
                </c:pt>
                <c:pt idx="243">
                  <c:v>40513</c:v>
                </c:pt>
                <c:pt idx="244">
                  <c:v>40544</c:v>
                </c:pt>
                <c:pt idx="245">
                  <c:v>40575</c:v>
                </c:pt>
                <c:pt idx="246">
                  <c:v>40603</c:v>
                </c:pt>
                <c:pt idx="247">
                  <c:v>40634</c:v>
                </c:pt>
                <c:pt idx="248">
                  <c:v>40664</c:v>
                </c:pt>
                <c:pt idx="249">
                  <c:v>40695</c:v>
                </c:pt>
                <c:pt idx="250">
                  <c:v>40725</c:v>
                </c:pt>
                <c:pt idx="251">
                  <c:v>40756</c:v>
                </c:pt>
                <c:pt idx="252">
                  <c:v>40787</c:v>
                </c:pt>
                <c:pt idx="253">
                  <c:v>40817</c:v>
                </c:pt>
                <c:pt idx="254">
                  <c:v>40848</c:v>
                </c:pt>
                <c:pt idx="255">
                  <c:v>40878</c:v>
                </c:pt>
                <c:pt idx="256">
                  <c:v>40909</c:v>
                </c:pt>
                <c:pt idx="257">
                  <c:v>40940</c:v>
                </c:pt>
                <c:pt idx="258">
                  <c:v>40969</c:v>
                </c:pt>
                <c:pt idx="259">
                  <c:v>41000</c:v>
                </c:pt>
                <c:pt idx="260">
                  <c:v>41030</c:v>
                </c:pt>
                <c:pt idx="261">
                  <c:v>41061</c:v>
                </c:pt>
                <c:pt idx="262">
                  <c:v>41091</c:v>
                </c:pt>
                <c:pt idx="263">
                  <c:v>41122</c:v>
                </c:pt>
                <c:pt idx="264">
                  <c:v>41153</c:v>
                </c:pt>
                <c:pt idx="265">
                  <c:v>41183</c:v>
                </c:pt>
                <c:pt idx="266">
                  <c:v>41214</c:v>
                </c:pt>
                <c:pt idx="267">
                  <c:v>41244</c:v>
                </c:pt>
                <c:pt idx="268">
                  <c:v>41275</c:v>
                </c:pt>
                <c:pt idx="269">
                  <c:v>41306</c:v>
                </c:pt>
                <c:pt idx="270">
                  <c:v>41334</c:v>
                </c:pt>
                <c:pt idx="271">
                  <c:v>41365</c:v>
                </c:pt>
                <c:pt idx="272">
                  <c:v>41395</c:v>
                </c:pt>
                <c:pt idx="273">
                  <c:v>41426</c:v>
                </c:pt>
                <c:pt idx="274">
                  <c:v>41456</c:v>
                </c:pt>
                <c:pt idx="275">
                  <c:v>41487</c:v>
                </c:pt>
                <c:pt idx="276">
                  <c:v>41518</c:v>
                </c:pt>
                <c:pt idx="277">
                  <c:v>41548</c:v>
                </c:pt>
                <c:pt idx="278">
                  <c:v>41579</c:v>
                </c:pt>
                <c:pt idx="279">
                  <c:v>41609</c:v>
                </c:pt>
                <c:pt idx="280">
                  <c:v>41640</c:v>
                </c:pt>
                <c:pt idx="281">
                  <c:v>41671</c:v>
                </c:pt>
                <c:pt idx="282">
                  <c:v>41699</c:v>
                </c:pt>
                <c:pt idx="283">
                  <c:v>41730</c:v>
                </c:pt>
                <c:pt idx="284">
                  <c:v>41760</c:v>
                </c:pt>
                <c:pt idx="285">
                  <c:v>41791</c:v>
                </c:pt>
                <c:pt idx="286">
                  <c:v>41821</c:v>
                </c:pt>
                <c:pt idx="287">
                  <c:v>41852</c:v>
                </c:pt>
                <c:pt idx="288">
                  <c:v>41883</c:v>
                </c:pt>
                <c:pt idx="289">
                  <c:v>41913</c:v>
                </c:pt>
                <c:pt idx="290">
                  <c:v>41944</c:v>
                </c:pt>
                <c:pt idx="291">
                  <c:v>41974</c:v>
                </c:pt>
                <c:pt idx="292">
                  <c:v>42005</c:v>
                </c:pt>
                <c:pt idx="293">
                  <c:v>42036</c:v>
                </c:pt>
                <c:pt idx="294">
                  <c:v>42064</c:v>
                </c:pt>
                <c:pt idx="295">
                  <c:v>42095</c:v>
                </c:pt>
                <c:pt idx="296">
                  <c:v>42125</c:v>
                </c:pt>
                <c:pt idx="297">
                  <c:v>42156</c:v>
                </c:pt>
                <c:pt idx="298">
                  <c:v>42186</c:v>
                </c:pt>
                <c:pt idx="299">
                  <c:v>42217</c:v>
                </c:pt>
                <c:pt idx="300">
                  <c:v>42248</c:v>
                </c:pt>
                <c:pt idx="301">
                  <c:v>42278</c:v>
                </c:pt>
                <c:pt idx="302">
                  <c:v>42309</c:v>
                </c:pt>
                <c:pt idx="303">
                  <c:v>42339</c:v>
                </c:pt>
                <c:pt idx="304">
                  <c:v>42370</c:v>
                </c:pt>
                <c:pt idx="305">
                  <c:v>42401</c:v>
                </c:pt>
                <c:pt idx="306">
                  <c:v>42430</c:v>
                </c:pt>
                <c:pt idx="307">
                  <c:v>42461</c:v>
                </c:pt>
                <c:pt idx="308">
                  <c:v>42491</c:v>
                </c:pt>
                <c:pt idx="309">
                  <c:v>42522</c:v>
                </c:pt>
                <c:pt idx="310">
                  <c:v>42552</c:v>
                </c:pt>
                <c:pt idx="311">
                  <c:v>42583</c:v>
                </c:pt>
                <c:pt idx="312">
                  <c:v>42614</c:v>
                </c:pt>
                <c:pt idx="313">
                  <c:v>42644</c:v>
                </c:pt>
                <c:pt idx="314">
                  <c:v>42675</c:v>
                </c:pt>
                <c:pt idx="315">
                  <c:v>42705</c:v>
                </c:pt>
                <c:pt idx="316">
                  <c:v>42736</c:v>
                </c:pt>
                <c:pt idx="317">
                  <c:v>42767</c:v>
                </c:pt>
              </c:numCache>
            </c:numRef>
          </c:cat>
          <c:val>
            <c:numRef>
              <c:f>Sheet5!$B$2:$B$327</c:f>
              <c:numCache>
                <c:formatCode>General</c:formatCode>
                <c:ptCount val="326"/>
                <c:pt idx="0">
                  <c:v>10.0834068150935</c:v>
                </c:pt>
                <c:pt idx="1">
                  <c:v>9.9899464128890099</c:v>
                </c:pt>
                <c:pt idx="2">
                  <c:v>10.0597539053933</c:v>
                </c:pt>
                <c:pt idx="3">
                  <c:v>10.115816704034399</c:v>
                </c:pt>
                <c:pt idx="4">
                  <c:v>10.038490086051</c:v>
                </c:pt>
                <c:pt idx="5">
                  <c:v>9.8152849192874303</c:v>
                </c:pt>
                <c:pt idx="6">
                  <c:v>9.7398246786439806</c:v>
                </c:pt>
                <c:pt idx="7">
                  <c:v>9.5482285102189408</c:v>
                </c:pt>
                <c:pt idx="8">
                  <c:v>9.44208706315945</c:v>
                </c:pt>
                <c:pt idx="9">
                  <c:v>9.4924349590956805</c:v>
                </c:pt>
                <c:pt idx="10">
                  <c:v>9.5090133070886704</c:v>
                </c:pt>
                <c:pt idx="11">
                  <c:v>9.5572982250278304</c:v>
                </c:pt>
                <c:pt idx="12">
                  <c:v>9.5608364278941202</c:v>
                </c:pt>
                <c:pt idx="13">
                  <c:v>9.3947719362917006</c:v>
                </c:pt>
                <c:pt idx="14">
                  <c:v>9.2517605185556597</c:v>
                </c:pt>
                <c:pt idx="15">
                  <c:v>8.9482004432100695</c:v>
                </c:pt>
                <c:pt idx="16">
                  <c:v>8.8378405036700691</c:v>
                </c:pt>
                <c:pt idx="17">
                  <c:v>8.6854109100272598</c:v>
                </c:pt>
                <c:pt idx="18">
                  <c:v>8.4996608698554308</c:v>
                </c:pt>
                <c:pt idx="19">
                  <c:v>8.5775218881702102</c:v>
                </c:pt>
                <c:pt idx="20">
                  <c:v>8.7502212310297995</c:v>
                </c:pt>
                <c:pt idx="21">
                  <c:v>8.8261403194305394</c:v>
                </c:pt>
                <c:pt idx="22">
                  <c:v>8.7952297753513609</c:v>
                </c:pt>
                <c:pt idx="23">
                  <c:v>8.6559700528522399</c:v>
                </c:pt>
                <c:pt idx="24">
                  <c:v>8.3866061423600797</c:v>
                </c:pt>
                <c:pt idx="25">
                  <c:v>8.1790219977225807</c:v>
                </c:pt>
                <c:pt idx="26">
                  <c:v>8.0656677732671902</c:v>
                </c:pt>
                <c:pt idx="27">
                  <c:v>8.0667525707922607</c:v>
                </c:pt>
                <c:pt idx="28">
                  <c:v>8.1965143808576109</c:v>
                </c:pt>
                <c:pt idx="29">
                  <c:v>8.3150777835801701</c:v>
                </c:pt>
                <c:pt idx="30">
                  <c:v>8.2567883162723295</c:v>
                </c:pt>
                <c:pt idx="31">
                  <c:v>8.0145455492607507</c:v>
                </c:pt>
                <c:pt idx="32">
                  <c:v>7.7524703837214997</c:v>
                </c:pt>
                <c:pt idx="33">
                  <c:v>7.6297950896321796</c:v>
                </c:pt>
                <c:pt idx="34">
                  <c:v>7.5989909103730602</c:v>
                </c:pt>
                <c:pt idx="35">
                  <c:v>7.5631900052540697</c:v>
                </c:pt>
                <c:pt idx="36">
                  <c:v>7.5188360434166297</c:v>
                </c:pt>
                <c:pt idx="37">
                  <c:v>7.3526003833669202</c:v>
                </c:pt>
                <c:pt idx="38">
                  <c:v>7.2101261765193501</c:v>
                </c:pt>
                <c:pt idx="39">
                  <c:v>7.10570792984148</c:v>
                </c:pt>
                <c:pt idx="40">
                  <c:v>7.1009374601040296</c:v>
                </c:pt>
                <c:pt idx="41">
                  <c:v>7.2474170047768496</c:v>
                </c:pt>
                <c:pt idx="42">
                  <c:v>7.3130102280824802</c:v>
                </c:pt>
                <c:pt idx="43">
                  <c:v>7.2476178442108301</c:v>
                </c:pt>
                <c:pt idx="44">
                  <c:v>7.44476408865801</c:v>
                </c:pt>
                <c:pt idx="45">
                  <c:v>7.90381539757142</c:v>
                </c:pt>
                <c:pt idx="46">
                  <c:v>8.3482779295975806</c:v>
                </c:pt>
                <c:pt idx="47">
                  <c:v>8.6157521217652597</c:v>
                </c:pt>
                <c:pt idx="48">
                  <c:v>8.6499902229241705</c:v>
                </c:pt>
                <c:pt idx="49">
                  <c:v>8.7090976405957008</c:v>
                </c:pt>
                <c:pt idx="50">
                  <c:v>8.8003921217265795</c:v>
                </c:pt>
                <c:pt idx="51">
                  <c:v>8.9156133014275003</c:v>
                </c:pt>
                <c:pt idx="52">
                  <c:v>9.1937761274594401</c:v>
                </c:pt>
                <c:pt idx="53">
                  <c:v>9.3200403225699997</c:v>
                </c:pt>
                <c:pt idx="54">
                  <c:v>9.4377234467438704</c:v>
                </c:pt>
                <c:pt idx="55">
                  <c:v>9.2701120787959397</c:v>
                </c:pt>
                <c:pt idx="56">
                  <c:v>8.9898275491335404</c:v>
                </c:pt>
                <c:pt idx="57">
                  <c:v>8.7442616793265806</c:v>
                </c:pt>
                <c:pt idx="58">
                  <c:v>8.4003100688386603</c:v>
                </c:pt>
                <c:pt idx="59">
                  <c:v>8.0369997252700802</c:v>
                </c:pt>
                <c:pt idx="60">
                  <c:v>7.8735186610658996</c:v>
                </c:pt>
                <c:pt idx="61">
                  <c:v>7.9873787531675404</c:v>
                </c:pt>
                <c:pt idx="62">
                  <c:v>7.9718035136767202</c:v>
                </c:pt>
                <c:pt idx="63">
                  <c:v>7.8485944299147201</c:v>
                </c:pt>
                <c:pt idx="64">
                  <c:v>7.7466195428709002</c:v>
                </c:pt>
                <c:pt idx="65">
                  <c:v>7.5925275168346902</c:v>
                </c:pt>
                <c:pt idx="66">
                  <c:v>7.4695242962534598</c:v>
                </c:pt>
                <c:pt idx="67">
                  <c:v>7.4183355431981601</c:v>
                </c:pt>
                <c:pt idx="68">
                  <c:v>7.6292469959847402</c:v>
                </c:pt>
                <c:pt idx="69">
                  <c:v>8.0147037609413694</c:v>
                </c:pt>
                <c:pt idx="70">
                  <c:v>8.2392008667442997</c:v>
                </c:pt>
                <c:pt idx="71">
                  <c:v>8.3793054629479702</c:v>
                </c:pt>
                <c:pt idx="72">
                  <c:v>8.4494181208652304</c:v>
                </c:pt>
                <c:pt idx="73">
                  <c:v>8.30874826236861</c:v>
                </c:pt>
                <c:pt idx="74">
                  <c:v>8.3569894251536603</c:v>
                </c:pt>
                <c:pt idx="75">
                  <c:v>8.2534000139821799</c:v>
                </c:pt>
                <c:pt idx="76">
                  <c:v>8.0419139353281501</c:v>
                </c:pt>
                <c:pt idx="77">
                  <c:v>7.9242598089145497</c:v>
                </c:pt>
                <c:pt idx="78">
                  <c:v>7.9634821344829403</c:v>
                </c:pt>
                <c:pt idx="79">
                  <c:v>7.9715256202644902</c:v>
                </c:pt>
                <c:pt idx="80">
                  <c:v>8.0117717407932307</c:v>
                </c:pt>
                <c:pt idx="81">
                  <c:v>8.1711674885369305</c:v>
                </c:pt>
                <c:pt idx="82">
                  <c:v>8.1985948364210799</c:v>
                </c:pt>
                <c:pt idx="83">
                  <c:v>8.0684264604660392</c:v>
                </c:pt>
                <c:pt idx="84">
                  <c:v>7.8658416603418004</c:v>
                </c:pt>
                <c:pt idx="85">
                  <c:v>7.7209573392641104</c:v>
                </c:pt>
                <c:pt idx="86">
                  <c:v>7.7069944018699301</c:v>
                </c:pt>
                <c:pt idx="87">
                  <c:v>7.5928988983332601</c:v>
                </c:pt>
                <c:pt idx="88">
                  <c:v>7.5180441357860603</c:v>
                </c:pt>
                <c:pt idx="89">
                  <c:v>7.4398662264843898</c:v>
                </c:pt>
                <c:pt idx="90">
                  <c:v>7.24000020617137</c:v>
                </c:pt>
                <c:pt idx="91">
                  <c:v>7.1526119345566199</c:v>
                </c:pt>
                <c:pt idx="92">
                  <c:v>7.1891353209259803</c:v>
                </c:pt>
                <c:pt idx="93">
                  <c:v>7.23169506531422</c:v>
                </c:pt>
                <c:pt idx="94">
                  <c:v>7.21930210439512</c:v>
                </c:pt>
                <c:pt idx="95">
                  <c:v>7.20331316608977</c:v>
                </c:pt>
                <c:pt idx="96">
                  <c:v>7.1262042331278002</c:v>
                </c:pt>
                <c:pt idx="97">
                  <c:v>7.0912152414377401</c:v>
                </c:pt>
                <c:pt idx="98">
                  <c:v>6.9552222317423196</c:v>
                </c:pt>
                <c:pt idx="99">
                  <c:v>6.74093888855211</c:v>
                </c:pt>
                <c:pt idx="100">
                  <c:v>6.7984335241860903</c:v>
                </c:pt>
                <c:pt idx="101">
                  <c:v>6.8339672092245802</c:v>
                </c:pt>
                <c:pt idx="102">
                  <c:v>6.8380841485503998</c:v>
                </c:pt>
                <c:pt idx="103">
                  <c:v>6.8551077775561904</c:v>
                </c:pt>
                <c:pt idx="104">
                  <c:v>6.9899680403730802</c:v>
                </c:pt>
                <c:pt idx="105">
                  <c:v>7.0495122827295402</c:v>
                </c:pt>
                <c:pt idx="106">
                  <c:v>7.0860706894001204</c:v>
                </c:pt>
                <c:pt idx="107">
                  <c:v>7.3969386812314601</c:v>
                </c:pt>
                <c:pt idx="108">
                  <c:v>7.6541433254462596</c:v>
                </c:pt>
                <c:pt idx="109">
                  <c:v>7.8420133362536699</c:v>
                </c:pt>
                <c:pt idx="110">
                  <c:v>7.95047395428554</c:v>
                </c:pt>
                <c:pt idx="111">
                  <c:v>7.9545453025906099</c:v>
                </c:pt>
                <c:pt idx="112">
                  <c:v>7.9158409387437896</c:v>
                </c:pt>
                <c:pt idx="113">
                  <c:v>7.9585753055326203</c:v>
                </c:pt>
                <c:pt idx="114">
                  <c:v>8.1909645854672899</c:v>
                </c:pt>
                <c:pt idx="115">
                  <c:v>8.4133732067646996</c:v>
                </c:pt>
                <c:pt idx="116">
                  <c:v>8.4285247716108902</c:v>
                </c:pt>
                <c:pt idx="117">
                  <c:v>8.3317544471085192</c:v>
                </c:pt>
                <c:pt idx="118">
                  <c:v>8.43321367442209</c:v>
                </c:pt>
                <c:pt idx="119">
                  <c:v>8.46123221995264</c:v>
                </c:pt>
                <c:pt idx="120">
                  <c:v>8.2339682582834595</c:v>
                </c:pt>
                <c:pt idx="121">
                  <c:v>8.1171790133402197</c:v>
                </c:pt>
                <c:pt idx="122">
                  <c:v>8.0273867862859394</c:v>
                </c:pt>
                <c:pt idx="123">
                  <c:v>7.9237477021462999</c:v>
                </c:pt>
                <c:pt idx="124">
                  <c:v>7.7177785061220296</c:v>
                </c:pt>
                <c:pt idx="125">
                  <c:v>7.3137529143122899</c:v>
                </c:pt>
                <c:pt idx="126">
                  <c:v>7.1257975695652203</c:v>
                </c:pt>
                <c:pt idx="127">
                  <c:v>7.0989211877928904</c:v>
                </c:pt>
                <c:pt idx="128">
                  <c:v>7.0801149078394596</c:v>
                </c:pt>
                <c:pt idx="129">
                  <c:v>7.19097228327617</c:v>
                </c:pt>
                <c:pt idx="130">
                  <c:v>7.27199990176842</c:v>
                </c:pt>
                <c:pt idx="131">
                  <c:v>7.26691060995537</c:v>
                </c:pt>
                <c:pt idx="132">
                  <c:v>7.1631419903727096</c:v>
                </c:pt>
                <c:pt idx="133">
                  <c:v>7.0244571237875197</c:v>
                </c:pt>
                <c:pt idx="134">
                  <c:v>6.8063361658273402</c:v>
                </c:pt>
                <c:pt idx="135">
                  <c:v>6.6382378979642702</c:v>
                </c:pt>
                <c:pt idx="136">
                  <c:v>6.8100202161056096</c:v>
                </c:pt>
                <c:pt idx="137">
                  <c:v>7.0546734061415703</c:v>
                </c:pt>
                <c:pt idx="138">
                  <c:v>6.9997634242688802</c:v>
                </c:pt>
                <c:pt idx="139">
                  <c:v>6.9908951054338697</c:v>
                </c:pt>
                <c:pt idx="140">
                  <c:v>7.14178217977424</c:v>
                </c:pt>
                <c:pt idx="141">
                  <c:v>7.0288295518730601</c:v>
                </c:pt>
                <c:pt idx="142">
                  <c:v>6.9477613201841004</c:v>
                </c:pt>
                <c:pt idx="143">
                  <c:v>6.7433519229057701</c:v>
                </c:pt>
                <c:pt idx="144">
                  <c:v>6.5384472690120399</c:v>
                </c:pt>
                <c:pt idx="145">
                  <c:v>6.3787636709346902</c:v>
                </c:pt>
                <c:pt idx="146">
                  <c:v>6.2289830527272798</c:v>
                </c:pt>
                <c:pt idx="147">
                  <c:v>6.1607471041822404</c:v>
                </c:pt>
                <c:pt idx="148">
                  <c:v>6.1356398690815599</c:v>
                </c:pt>
                <c:pt idx="149">
                  <c:v>6.0773878189503696</c:v>
                </c:pt>
                <c:pt idx="150">
                  <c:v>6.0164536449951402</c:v>
                </c:pt>
                <c:pt idx="151">
                  <c:v>5.9059921818110102</c:v>
                </c:pt>
                <c:pt idx="152">
                  <c:v>5.86955208343241</c:v>
                </c:pt>
                <c:pt idx="153">
                  <c:v>5.78448510533328</c:v>
                </c:pt>
                <c:pt idx="154">
                  <c:v>5.52112873146526</c:v>
                </c:pt>
                <c:pt idx="155">
                  <c:v>5.4167964522614103</c:v>
                </c:pt>
                <c:pt idx="156">
                  <c:v>5.7310019916120298</c:v>
                </c:pt>
                <c:pt idx="157">
                  <c:v>6.0813253029757499</c:v>
                </c:pt>
                <c:pt idx="158">
                  <c:v>6.0525603559509698</c:v>
                </c:pt>
                <c:pt idx="159">
                  <c:v>6.0862894869828104</c:v>
                </c:pt>
                <c:pt idx="160">
                  <c:v>6.03694379001361</c:v>
                </c:pt>
                <c:pt idx="161">
                  <c:v>5.9494801480975603</c:v>
                </c:pt>
                <c:pt idx="162">
                  <c:v>5.8128701663962801</c:v>
                </c:pt>
                <c:pt idx="163">
                  <c:v>5.6972070864413498</c:v>
                </c:pt>
                <c:pt idx="164">
                  <c:v>5.61913934222716</c:v>
                </c:pt>
                <c:pt idx="165">
                  <c:v>6.0090026931918104</c:v>
                </c:pt>
                <c:pt idx="166">
                  <c:v>6.3679969160126202</c:v>
                </c:pt>
                <c:pt idx="167">
                  <c:v>6.3346560550329603</c:v>
                </c:pt>
                <c:pt idx="168">
                  <c:v>6.1625679930044903</c:v>
                </c:pt>
                <c:pt idx="169">
                  <c:v>6.0040367269236699</c:v>
                </c:pt>
                <c:pt idx="170">
                  <c:v>5.9092358092043096</c:v>
                </c:pt>
                <c:pt idx="171">
                  <c:v>5.87943179832354</c:v>
                </c:pt>
                <c:pt idx="172">
                  <c:v>5.8683010937335398</c:v>
                </c:pt>
                <c:pt idx="173">
                  <c:v>5.8627693140796202</c:v>
                </c:pt>
                <c:pt idx="174">
                  <c:v>5.76453995884689</c:v>
                </c:pt>
                <c:pt idx="175">
                  <c:v>5.8168497299221098</c:v>
                </c:pt>
                <c:pt idx="176">
                  <c:v>6.0345916664441503</c:v>
                </c:pt>
                <c:pt idx="177">
                  <c:v>5.9772653576477204</c:v>
                </c:pt>
                <c:pt idx="178">
                  <c:v>5.8119327436745198</c:v>
                </c:pt>
                <c:pt idx="179">
                  <c:v>5.7529235112230399</c:v>
                </c:pt>
                <c:pt idx="180">
                  <c:v>5.8972955780378999</c:v>
                </c:pt>
                <c:pt idx="181">
                  <c:v>5.9080425395053302</c:v>
                </c:pt>
                <c:pt idx="182">
                  <c:v>6.0012612834882697</c:v>
                </c:pt>
                <c:pt idx="183">
                  <c:v>6.2629944327150602</c:v>
                </c:pt>
                <c:pt idx="184">
                  <c:v>6.4574561540409503</c:v>
                </c:pt>
                <c:pt idx="185">
                  <c:v>6.3751803505767803</c:v>
                </c:pt>
                <c:pt idx="186">
                  <c:v>6.3342645733194498</c:v>
                </c:pt>
                <c:pt idx="187">
                  <c:v>6.4000565424497502</c:v>
                </c:pt>
                <c:pt idx="188">
                  <c:v>6.5173608684617603</c:v>
                </c:pt>
                <c:pt idx="189">
                  <c:v>6.6617842567131396</c:v>
                </c:pt>
                <c:pt idx="190">
                  <c:v>6.7562916098433901</c:v>
                </c:pt>
                <c:pt idx="191">
                  <c:v>6.8468479112284397</c:v>
                </c:pt>
                <c:pt idx="192">
                  <c:v>6.7668553874708897</c:v>
                </c:pt>
                <c:pt idx="193">
                  <c:v>6.5981031467105904</c:v>
                </c:pt>
                <c:pt idx="194">
                  <c:v>6.4811476641166799</c:v>
                </c:pt>
                <c:pt idx="195">
                  <c:v>6.4258328544268597</c:v>
                </c:pt>
                <c:pt idx="196">
                  <c:v>6.2325411547604697</c:v>
                </c:pt>
                <c:pt idx="197">
                  <c:v>6.2665800420847804</c:v>
                </c:pt>
                <c:pt idx="198">
                  <c:v>6.38450149499708</c:v>
                </c:pt>
                <c:pt idx="199">
                  <c:v>6.3000828653293102</c:v>
                </c:pt>
                <c:pt idx="200">
                  <c:v>6.3141449776039096</c:v>
                </c:pt>
                <c:pt idx="201">
                  <c:v>6.3724067128420296</c:v>
                </c:pt>
                <c:pt idx="202">
                  <c:v>6.5795781744648396</c:v>
                </c:pt>
                <c:pt idx="203">
                  <c:v>6.8302333659824104</c:v>
                </c:pt>
                <c:pt idx="204">
                  <c:v>6.81949774271905</c:v>
                </c:pt>
                <c:pt idx="205">
                  <c:v>6.6834193282172301</c:v>
                </c:pt>
                <c:pt idx="206">
                  <c:v>6.5776332383368503</c:v>
                </c:pt>
                <c:pt idx="207">
                  <c:v>6.4893325647035303</c:v>
                </c:pt>
                <c:pt idx="208">
                  <c:v>6.3125368425047101</c:v>
                </c:pt>
                <c:pt idx="209">
                  <c:v>6.0967549051265904</c:v>
                </c:pt>
                <c:pt idx="210">
                  <c:v>5.8139083245578203</c:v>
                </c:pt>
                <c:pt idx="211">
                  <c:v>6.0232332212357003</c:v>
                </c:pt>
                <c:pt idx="212">
                  <c:v>5.9773004860191303</c:v>
                </c:pt>
                <c:pt idx="213">
                  <c:v>6.0360501347032001</c:v>
                </c:pt>
                <c:pt idx="214">
                  <c:v>6.2088970104819898</c:v>
                </c:pt>
                <c:pt idx="215">
                  <c:v>6.46049744707393</c:v>
                </c:pt>
                <c:pt idx="216">
                  <c:v>6.5669987275458199</c:v>
                </c:pt>
                <c:pt idx="217">
                  <c:v>6.2860384107427203</c:v>
                </c:pt>
                <c:pt idx="218">
                  <c:v>6.0426629736606898</c:v>
                </c:pt>
                <c:pt idx="219">
                  <c:v>6.1102293233511302</c:v>
                </c:pt>
                <c:pt idx="220">
                  <c:v>5.5012644353404196</c:v>
                </c:pt>
                <c:pt idx="221">
                  <c:v>4.9734013375863197</c:v>
                </c:pt>
                <c:pt idx="222">
                  <c:v>4.93009877686114</c:v>
                </c:pt>
                <c:pt idx="223">
                  <c:v>4.9392387582399104</c:v>
                </c:pt>
                <c:pt idx="224">
                  <c:v>4.8205708289525599</c:v>
                </c:pt>
                <c:pt idx="225">
                  <c:v>4.7833203460990603</c:v>
                </c:pt>
                <c:pt idx="226">
                  <c:v>4.9118711846280103</c:v>
                </c:pt>
                <c:pt idx="227">
                  <c:v>4.9985863032067197</c:v>
                </c:pt>
                <c:pt idx="228">
                  <c:v>5.1491278059694903</c:v>
                </c:pt>
                <c:pt idx="229">
                  <c:v>5.1767894537607901</c:v>
                </c:pt>
                <c:pt idx="230">
                  <c:v>5.0702684073172204</c:v>
                </c:pt>
                <c:pt idx="231">
                  <c:v>5.06936594267329</c:v>
                </c:pt>
                <c:pt idx="232">
                  <c:v>5.0004412611957099</c:v>
                </c:pt>
                <c:pt idx="233">
                  <c:v>5.0587945141363804</c:v>
                </c:pt>
                <c:pt idx="234">
                  <c:v>5.1757846036009703</c:v>
                </c:pt>
                <c:pt idx="235">
                  <c:v>5.1088048036872902</c:v>
                </c:pt>
                <c:pt idx="236">
                  <c:v>5.1295550340588196</c:v>
                </c:pt>
                <c:pt idx="237">
                  <c:v>5.1755102946264797</c:v>
                </c:pt>
                <c:pt idx="238">
                  <c:v>5.0125308299015803</c:v>
                </c:pt>
                <c:pt idx="239">
                  <c:v>4.8363268271330604</c:v>
                </c:pt>
                <c:pt idx="240">
                  <c:v>4.6589853188040804</c:v>
                </c:pt>
                <c:pt idx="241">
                  <c:v>4.5606879391985302</c:v>
                </c:pt>
                <c:pt idx="242">
                  <c:v>4.5168645652520798</c:v>
                </c:pt>
                <c:pt idx="243">
                  <c:v>4.4135051341117597</c:v>
                </c:pt>
                <c:pt idx="244">
                  <c:v>4.4993628766749598</c:v>
                </c:pt>
                <c:pt idx="245">
                  <c:v>4.7769503784640497</c:v>
                </c:pt>
                <c:pt idx="246">
                  <c:v>4.9323543919209998</c:v>
                </c:pt>
                <c:pt idx="247">
                  <c:v>5.0870296880992001</c:v>
                </c:pt>
                <c:pt idx="248">
                  <c:v>5.0784531769526504</c:v>
                </c:pt>
                <c:pt idx="249">
                  <c:v>5.0451286302375697</c:v>
                </c:pt>
                <c:pt idx="250">
                  <c:v>4.8761875660669798</c:v>
                </c:pt>
                <c:pt idx="251">
                  <c:v>4.7689187862261502</c:v>
                </c:pt>
                <c:pt idx="252">
                  <c:v>4.6930925605762397</c:v>
                </c:pt>
                <c:pt idx="253">
                  <c:v>4.44169383942761</c:v>
                </c:pt>
                <c:pt idx="254">
                  <c:v>4.2685787769918004</c:v>
                </c:pt>
                <c:pt idx="255">
                  <c:v>4.2444469590021603</c:v>
                </c:pt>
                <c:pt idx="256">
                  <c:v>4.2394306195370897</c:v>
                </c:pt>
                <c:pt idx="257">
                  <c:v>4.1770890821889202</c:v>
                </c:pt>
                <c:pt idx="258">
                  <c:v>4.10646511183743</c:v>
                </c:pt>
                <c:pt idx="259">
                  <c:v>4.0982895912047903</c:v>
                </c:pt>
                <c:pt idx="260">
                  <c:v>4.1927418503885798</c:v>
                </c:pt>
                <c:pt idx="261">
                  <c:v>4.1241441151077201</c:v>
                </c:pt>
                <c:pt idx="262">
                  <c:v>3.9717457170544899</c:v>
                </c:pt>
                <c:pt idx="263">
                  <c:v>3.8841842381452998</c:v>
                </c:pt>
                <c:pt idx="264">
                  <c:v>3.7857122224476298</c:v>
                </c:pt>
                <c:pt idx="265">
                  <c:v>3.75674012982899</c:v>
                </c:pt>
                <c:pt idx="266">
                  <c:v>3.6738408694616198</c:v>
                </c:pt>
                <c:pt idx="267">
                  <c:v>3.6109275944461601</c:v>
                </c:pt>
                <c:pt idx="268">
                  <c:v>3.5814952975597798</c:v>
                </c:pt>
                <c:pt idx="269">
                  <c:v>3.6214581760580198</c:v>
                </c:pt>
                <c:pt idx="270">
                  <c:v>3.71186787596955</c:v>
                </c:pt>
                <c:pt idx="271">
                  <c:v>3.7708874988035901</c:v>
                </c:pt>
                <c:pt idx="272">
                  <c:v>3.7922624810625698</c:v>
                </c:pt>
                <c:pt idx="273">
                  <c:v>3.7426107832906901</c:v>
                </c:pt>
                <c:pt idx="274">
                  <c:v>3.9135900144303499</c:v>
                </c:pt>
                <c:pt idx="275">
                  <c:v>4.3070807202582797</c:v>
                </c:pt>
                <c:pt idx="276">
                  <c:v>4.6156972364838902</c:v>
                </c:pt>
                <c:pt idx="277">
                  <c:v>4.7187839145297001</c:v>
                </c:pt>
                <c:pt idx="278">
                  <c:v>4.6753390990926098</c:v>
                </c:pt>
                <c:pt idx="279">
                  <c:v>4.5551789718309701</c:v>
                </c:pt>
                <c:pt idx="280">
                  <c:v>4.6005047943189803</c:v>
                </c:pt>
                <c:pt idx="281">
                  <c:v>4.7393713830059196</c:v>
                </c:pt>
                <c:pt idx="282">
                  <c:v>4.7050466724548903</c:v>
                </c:pt>
                <c:pt idx="283">
                  <c:v>4.6283514747392598</c:v>
                </c:pt>
                <c:pt idx="284">
                  <c:v>4.6611533522994497</c:v>
                </c:pt>
                <c:pt idx="285">
                  <c:v>4.6032207988720897</c:v>
                </c:pt>
                <c:pt idx="286">
                  <c:v>4.4693207602237903</c:v>
                </c:pt>
                <c:pt idx="287">
                  <c:v>4.4600534914437597</c:v>
                </c:pt>
                <c:pt idx="288">
                  <c:v>4.4478651185622002</c:v>
                </c:pt>
                <c:pt idx="289">
                  <c:v>4.4489633399153297</c:v>
                </c:pt>
                <c:pt idx="290">
                  <c:v>4.4257852901161998</c:v>
                </c:pt>
                <c:pt idx="291">
                  <c:v>4.3110709162777496</c:v>
                </c:pt>
                <c:pt idx="292">
                  <c:v>4.28509366014561</c:v>
                </c:pt>
                <c:pt idx="293">
                  <c:v>4.1431160344874902</c:v>
                </c:pt>
                <c:pt idx="294">
                  <c:v>3.9848906268391202</c:v>
                </c:pt>
                <c:pt idx="295">
                  <c:v>4.0155646576576602</c:v>
                </c:pt>
                <c:pt idx="296">
                  <c:v>4.05542762769507</c:v>
                </c:pt>
                <c:pt idx="297">
                  <c:v>4.0131944931949901</c:v>
                </c:pt>
                <c:pt idx="298">
                  <c:v>4.1406085045957202</c:v>
                </c:pt>
                <c:pt idx="299">
                  <c:v>4.2896438383088897</c:v>
                </c:pt>
                <c:pt idx="300">
                  <c:v>4.2987296481790098</c:v>
                </c:pt>
                <c:pt idx="301">
                  <c:v>4.2401567590892304</c:v>
                </c:pt>
                <c:pt idx="302">
                  <c:v>4.1866641471771597</c:v>
                </c:pt>
                <c:pt idx="303">
                  <c:v>4.1530116901523702</c:v>
                </c:pt>
                <c:pt idx="304">
                  <c:v>4.2015041186555404</c:v>
                </c:pt>
                <c:pt idx="305">
                  <c:v>4.2544376843676304</c:v>
                </c:pt>
                <c:pt idx="306">
                  <c:v>4.1548469197554097</c:v>
                </c:pt>
                <c:pt idx="307">
                  <c:v>3.9680454553643498</c:v>
                </c:pt>
                <c:pt idx="308">
                  <c:v>4.0131505814452799</c:v>
                </c:pt>
                <c:pt idx="309">
                  <c:v>3.9502448725529899</c:v>
                </c:pt>
                <c:pt idx="310">
                  <c:v>3.9044547290812099</c:v>
                </c:pt>
                <c:pt idx="311">
                  <c:v>3.8091411030615401</c:v>
                </c:pt>
                <c:pt idx="312">
                  <c:v>3.7076985106625502</c:v>
                </c:pt>
                <c:pt idx="313">
                  <c:v>3.6911117089480698</c:v>
                </c:pt>
                <c:pt idx="314">
                  <c:v>3.7211804819464001</c:v>
                </c:pt>
                <c:pt idx="315">
                  <c:v>3.7553639648622101</c:v>
                </c:pt>
                <c:pt idx="316">
                  <c:v>4.0785315313573403</c:v>
                </c:pt>
                <c:pt idx="317">
                  <c:v>4.4798343204599798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FGLMCWAC</c:v>
                </c:pt>
              </c:strCache>
            </c:strRef>
          </c:tx>
          <c:marker>
            <c:symbol val="none"/>
          </c:marker>
          <c:cat>
            <c:numRef>
              <c:f>Sheet5!$A$2:$A$327</c:f>
              <c:numCache>
                <c:formatCode>m/d/yyyy</c:formatCode>
                <c:ptCount val="326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  <c:pt idx="72">
                  <c:v>35309</c:v>
                </c:pt>
                <c:pt idx="73">
                  <c:v>35339</c:v>
                </c:pt>
                <c:pt idx="74">
                  <c:v>35370</c:v>
                </c:pt>
                <c:pt idx="75">
                  <c:v>35400</c:v>
                </c:pt>
                <c:pt idx="76">
                  <c:v>35431</c:v>
                </c:pt>
                <c:pt idx="77">
                  <c:v>35462</c:v>
                </c:pt>
                <c:pt idx="78">
                  <c:v>35490</c:v>
                </c:pt>
                <c:pt idx="79">
                  <c:v>35521</c:v>
                </c:pt>
                <c:pt idx="80">
                  <c:v>35551</c:v>
                </c:pt>
                <c:pt idx="81">
                  <c:v>35582</c:v>
                </c:pt>
                <c:pt idx="82">
                  <c:v>35612</c:v>
                </c:pt>
                <c:pt idx="83">
                  <c:v>35643</c:v>
                </c:pt>
                <c:pt idx="84">
                  <c:v>35674</c:v>
                </c:pt>
                <c:pt idx="85">
                  <c:v>35704</c:v>
                </c:pt>
                <c:pt idx="86">
                  <c:v>35735</c:v>
                </c:pt>
                <c:pt idx="87">
                  <c:v>35765</c:v>
                </c:pt>
                <c:pt idx="88">
                  <c:v>35796</c:v>
                </c:pt>
                <c:pt idx="89">
                  <c:v>35827</c:v>
                </c:pt>
                <c:pt idx="90">
                  <c:v>35855</c:v>
                </c:pt>
                <c:pt idx="91">
                  <c:v>35886</c:v>
                </c:pt>
                <c:pt idx="92">
                  <c:v>35916</c:v>
                </c:pt>
                <c:pt idx="93">
                  <c:v>35947</c:v>
                </c:pt>
                <c:pt idx="94">
                  <c:v>35977</c:v>
                </c:pt>
                <c:pt idx="95">
                  <c:v>36008</c:v>
                </c:pt>
                <c:pt idx="96">
                  <c:v>36039</c:v>
                </c:pt>
                <c:pt idx="97">
                  <c:v>36069</c:v>
                </c:pt>
                <c:pt idx="98">
                  <c:v>36100</c:v>
                </c:pt>
                <c:pt idx="99">
                  <c:v>36130</c:v>
                </c:pt>
                <c:pt idx="100">
                  <c:v>36161</c:v>
                </c:pt>
                <c:pt idx="101">
                  <c:v>36192</c:v>
                </c:pt>
                <c:pt idx="102">
                  <c:v>36220</c:v>
                </c:pt>
                <c:pt idx="103">
                  <c:v>36251</c:v>
                </c:pt>
                <c:pt idx="104">
                  <c:v>36281</c:v>
                </c:pt>
                <c:pt idx="105">
                  <c:v>36312</c:v>
                </c:pt>
                <c:pt idx="106">
                  <c:v>36342</c:v>
                </c:pt>
                <c:pt idx="107">
                  <c:v>36373</c:v>
                </c:pt>
                <c:pt idx="108">
                  <c:v>36404</c:v>
                </c:pt>
                <c:pt idx="109">
                  <c:v>36434</c:v>
                </c:pt>
                <c:pt idx="110">
                  <c:v>36465</c:v>
                </c:pt>
                <c:pt idx="111">
                  <c:v>36495</c:v>
                </c:pt>
                <c:pt idx="112">
                  <c:v>36526</c:v>
                </c:pt>
                <c:pt idx="113">
                  <c:v>36557</c:v>
                </c:pt>
                <c:pt idx="114">
                  <c:v>36586</c:v>
                </c:pt>
                <c:pt idx="115">
                  <c:v>36617</c:v>
                </c:pt>
                <c:pt idx="116">
                  <c:v>36647</c:v>
                </c:pt>
                <c:pt idx="117">
                  <c:v>36678</c:v>
                </c:pt>
                <c:pt idx="118">
                  <c:v>36708</c:v>
                </c:pt>
                <c:pt idx="119">
                  <c:v>36739</c:v>
                </c:pt>
                <c:pt idx="120">
                  <c:v>36770</c:v>
                </c:pt>
                <c:pt idx="121">
                  <c:v>36800</c:v>
                </c:pt>
                <c:pt idx="122">
                  <c:v>36831</c:v>
                </c:pt>
                <c:pt idx="123">
                  <c:v>36861</c:v>
                </c:pt>
                <c:pt idx="124">
                  <c:v>36892</c:v>
                </c:pt>
                <c:pt idx="125">
                  <c:v>36923</c:v>
                </c:pt>
                <c:pt idx="126">
                  <c:v>36951</c:v>
                </c:pt>
                <c:pt idx="127">
                  <c:v>36982</c:v>
                </c:pt>
                <c:pt idx="128">
                  <c:v>37012</c:v>
                </c:pt>
                <c:pt idx="129">
                  <c:v>37043</c:v>
                </c:pt>
                <c:pt idx="130">
                  <c:v>37073</c:v>
                </c:pt>
                <c:pt idx="131">
                  <c:v>37104</c:v>
                </c:pt>
                <c:pt idx="132">
                  <c:v>37135</c:v>
                </c:pt>
                <c:pt idx="133">
                  <c:v>37165</c:v>
                </c:pt>
                <c:pt idx="134">
                  <c:v>37196</c:v>
                </c:pt>
                <c:pt idx="135">
                  <c:v>37226</c:v>
                </c:pt>
                <c:pt idx="136">
                  <c:v>37257</c:v>
                </c:pt>
                <c:pt idx="137">
                  <c:v>37288</c:v>
                </c:pt>
                <c:pt idx="138">
                  <c:v>37316</c:v>
                </c:pt>
                <c:pt idx="139">
                  <c:v>37347</c:v>
                </c:pt>
                <c:pt idx="140">
                  <c:v>37377</c:v>
                </c:pt>
                <c:pt idx="141">
                  <c:v>37408</c:v>
                </c:pt>
                <c:pt idx="142">
                  <c:v>37438</c:v>
                </c:pt>
                <c:pt idx="143">
                  <c:v>37469</c:v>
                </c:pt>
                <c:pt idx="144">
                  <c:v>37500</c:v>
                </c:pt>
                <c:pt idx="145">
                  <c:v>37530</c:v>
                </c:pt>
                <c:pt idx="146">
                  <c:v>37561</c:v>
                </c:pt>
                <c:pt idx="147">
                  <c:v>37591</c:v>
                </c:pt>
                <c:pt idx="148">
                  <c:v>37622</c:v>
                </c:pt>
                <c:pt idx="149">
                  <c:v>37653</c:v>
                </c:pt>
                <c:pt idx="150">
                  <c:v>37681</c:v>
                </c:pt>
                <c:pt idx="151">
                  <c:v>37712</c:v>
                </c:pt>
                <c:pt idx="152">
                  <c:v>37742</c:v>
                </c:pt>
                <c:pt idx="153">
                  <c:v>37773</c:v>
                </c:pt>
                <c:pt idx="154">
                  <c:v>37803</c:v>
                </c:pt>
                <c:pt idx="155">
                  <c:v>37834</c:v>
                </c:pt>
                <c:pt idx="156">
                  <c:v>37865</c:v>
                </c:pt>
                <c:pt idx="157">
                  <c:v>37895</c:v>
                </c:pt>
                <c:pt idx="158">
                  <c:v>37926</c:v>
                </c:pt>
                <c:pt idx="159">
                  <c:v>37956</c:v>
                </c:pt>
                <c:pt idx="160">
                  <c:v>37987</c:v>
                </c:pt>
                <c:pt idx="161">
                  <c:v>38018</c:v>
                </c:pt>
                <c:pt idx="162">
                  <c:v>38047</c:v>
                </c:pt>
                <c:pt idx="163">
                  <c:v>38078</c:v>
                </c:pt>
                <c:pt idx="164">
                  <c:v>38108</c:v>
                </c:pt>
                <c:pt idx="165">
                  <c:v>38139</c:v>
                </c:pt>
                <c:pt idx="166">
                  <c:v>38169</c:v>
                </c:pt>
                <c:pt idx="167">
                  <c:v>38200</c:v>
                </c:pt>
                <c:pt idx="168">
                  <c:v>38231</c:v>
                </c:pt>
                <c:pt idx="169">
                  <c:v>38261</c:v>
                </c:pt>
                <c:pt idx="170">
                  <c:v>38292</c:v>
                </c:pt>
                <c:pt idx="171">
                  <c:v>38322</c:v>
                </c:pt>
                <c:pt idx="172">
                  <c:v>38353</c:v>
                </c:pt>
                <c:pt idx="173">
                  <c:v>38384</c:v>
                </c:pt>
                <c:pt idx="174">
                  <c:v>38412</c:v>
                </c:pt>
                <c:pt idx="175">
                  <c:v>38443</c:v>
                </c:pt>
                <c:pt idx="176">
                  <c:v>38473</c:v>
                </c:pt>
                <c:pt idx="177">
                  <c:v>38504</c:v>
                </c:pt>
                <c:pt idx="178">
                  <c:v>38534</c:v>
                </c:pt>
                <c:pt idx="179">
                  <c:v>38565</c:v>
                </c:pt>
                <c:pt idx="180">
                  <c:v>38596</c:v>
                </c:pt>
                <c:pt idx="181">
                  <c:v>38626</c:v>
                </c:pt>
                <c:pt idx="182">
                  <c:v>38657</c:v>
                </c:pt>
                <c:pt idx="183">
                  <c:v>38687</c:v>
                </c:pt>
                <c:pt idx="184">
                  <c:v>38718</c:v>
                </c:pt>
                <c:pt idx="185">
                  <c:v>38749</c:v>
                </c:pt>
                <c:pt idx="186">
                  <c:v>38777</c:v>
                </c:pt>
                <c:pt idx="187">
                  <c:v>38808</c:v>
                </c:pt>
                <c:pt idx="188">
                  <c:v>38838</c:v>
                </c:pt>
                <c:pt idx="189">
                  <c:v>38869</c:v>
                </c:pt>
                <c:pt idx="190">
                  <c:v>38899</c:v>
                </c:pt>
                <c:pt idx="191">
                  <c:v>38930</c:v>
                </c:pt>
                <c:pt idx="192">
                  <c:v>38961</c:v>
                </c:pt>
                <c:pt idx="193">
                  <c:v>38991</c:v>
                </c:pt>
                <c:pt idx="194">
                  <c:v>39022</c:v>
                </c:pt>
                <c:pt idx="195">
                  <c:v>39052</c:v>
                </c:pt>
                <c:pt idx="196">
                  <c:v>39083</c:v>
                </c:pt>
                <c:pt idx="197">
                  <c:v>39114</c:v>
                </c:pt>
                <c:pt idx="198">
                  <c:v>39142</c:v>
                </c:pt>
                <c:pt idx="199">
                  <c:v>39173</c:v>
                </c:pt>
                <c:pt idx="200">
                  <c:v>39203</c:v>
                </c:pt>
                <c:pt idx="201">
                  <c:v>39234</c:v>
                </c:pt>
                <c:pt idx="202">
                  <c:v>39264</c:v>
                </c:pt>
                <c:pt idx="203">
                  <c:v>39295</c:v>
                </c:pt>
                <c:pt idx="204">
                  <c:v>39326</c:v>
                </c:pt>
                <c:pt idx="205">
                  <c:v>39356</c:v>
                </c:pt>
                <c:pt idx="206">
                  <c:v>39387</c:v>
                </c:pt>
                <c:pt idx="207">
                  <c:v>39417</c:v>
                </c:pt>
                <c:pt idx="208">
                  <c:v>39448</c:v>
                </c:pt>
                <c:pt idx="209">
                  <c:v>39479</c:v>
                </c:pt>
                <c:pt idx="210">
                  <c:v>39508</c:v>
                </c:pt>
                <c:pt idx="211">
                  <c:v>39539</c:v>
                </c:pt>
                <c:pt idx="212">
                  <c:v>39569</c:v>
                </c:pt>
                <c:pt idx="213">
                  <c:v>39600</c:v>
                </c:pt>
                <c:pt idx="214">
                  <c:v>39630</c:v>
                </c:pt>
                <c:pt idx="215">
                  <c:v>39661</c:v>
                </c:pt>
                <c:pt idx="216">
                  <c:v>39692</c:v>
                </c:pt>
                <c:pt idx="217">
                  <c:v>39722</c:v>
                </c:pt>
                <c:pt idx="218">
                  <c:v>39753</c:v>
                </c:pt>
                <c:pt idx="219">
                  <c:v>39783</c:v>
                </c:pt>
                <c:pt idx="220">
                  <c:v>39814</c:v>
                </c:pt>
                <c:pt idx="221">
                  <c:v>39845</c:v>
                </c:pt>
                <c:pt idx="222">
                  <c:v>39873</c:v>
                </c:pt>
                <c:pt idx="223">
                  <c:v>39904</c:v>
                </c:pt>
                <c:pt idx="224">
                  <c:v>39934</c:v>
                </c:pt>
                <c:pt idx="225">
                  <c:v>39965</c:v>
                </c:pt>
                <c:pt idx="226">
                  <c:v>39995</c:v>
                </c:pt>
                <c:pt idx="227">
                  <c:v>40026</c:v>
                </c:pt>
                <c:pt idx="228">
                  <c:v>40057</c:v>
                </c:pt>
                <c:pt idx="229">
                  <c:v>40087</c:v>
                </c:pt>
                <c:pt idx="230">
                  <c:v>40118</c:v>
                </c:pt>
                <c:pt idx="231">
                  <c:v>40148</c:v>
                </c:pt>
                <c:pt idx="232">
                  <c:v>40179</c:v>
                </c:pt>
                <c:pt idx="233">
                  <c:v>40210</c:v>
                </c:pt>
                <c:pt idx="234">
                  <c:v>40238</c:v>
                </c:pt>
                <c:pt idx="235">
                  <c:v>40269</c:v>
                </c:pt>
                <c:pt idx="236">
                  <c:v>40299</c:v>
                </c:pt>
                <c:pt idx="237">
                  <c:v>40330</c:v>
                </c:pt>
                <c:pt idx="238">
                  <c:v>40360</c:v>
                </c:pt>
                <c:pt idx="239">
                  <c:v>40391</c:v>
                </c:pt>
                <c:pt idx="240">
                  <c:v>40422</c:v>
                </c:pt>
                <c:pt idx="241">
                  <c:v>40452</c:v>
                </c:pt>
                <c:pt idx="242">
                  <c:v>40483</c:v>
                </c:pt>
                <c:pt idx="243">
                  <c:v>40513</c:v>
                </c:pt>
                <c:pt idx="244">
                  <c:v>40544</c:v>
                </c:pt>
                <c:pt idx="245">
                  <c:v>40575</c:v>
                </c:pt>
                <c:pt idx="246">
                  <c:v>40603</c:v>
                </c:pt>
                <c:pt idx="247">
                  <c:v>40634</c:v>
                </c:pt>
                <c:pt idx="248">
                  <c:v>40664</c:v>
                </c:pt>
                <c:pt idx="249">
                  <c:v>40695</c:v>
                </c:pt>
                <c:pt idx="250">
                  <c:v>40725</c:v>
                </c:pt>
                <c:pt idx="251">
                  <c:v>40756</c:v>
                </c:pt>
                <c:pt idx="252">
                  <c:v>40787</c:v>
                </c:pt>
                <c:pt idx="253">
                  <c:v>40817</c:v>
                </c:pt>
                <c:pt idx="254">
                  <c:v>40848</c:v>
                </c:pt>
                <c:pt idx="255">
                  <c:v>40878</c:v>
                </c:pt>
                <c:pt idx="256">
                  <c:v>40909</c:v>
                </c:pt>
                <c:pt idx="257">
                  <c:v>40940</c:v>
                </c:pt>
                <c:pt idx="258">
                  <c:v>40969</c:v>
                </c:pt>
                <c:pt idx="259">
                  <c:v>41000</c:v>
                </c:pt>
                <c:pt idx="260">
                  <c:v>41030</c:v>
                </c:pt>
                <c:pt idx="261">
                  <c:v>41061</c:v>
                </c:pt>
                <c:pt idx="262">
                  <c:v>41091</c:v>
                </c:pt>
                <c:pt idx="263">
                  <c:v>41122</c:v>
                </c:pt>
                <c:pt idx="264">
                  <c:v>41153</c:v>
                </c:pt>
                <c:pt idx="265">
                  <c:v>41183</c:v>
                </c:pt>
                <c:pt idx="266">
                  <c:v>41214</c:v>
                </c:pt>
                <c:pt idx="267">
                  <c:v>41244</c:v>
                </c:pt>
                <c:pt idx="268">
                  <c:v>41275</c:v>
                </c:pt>
                <c:pt idx="269">
                  <c:v>41306</c:v>
                </c:pt>
                <c:pt idx="270">
                  <c:v>41334</c:v>
                </c:pt>
                <c:pt idx="271">
                  <c:v>41365</c:v>
                </c:pt>
                <c:pt idx="272">
                  <c:v>41395</c:v>
                </c:pt>
                <c:pt idx="273">
                  <c:v>41426</c:v>
                </c:pt>
                <c:pt idx="274">
                  <c:v>41456</c:v>
                </c:pt>
                <c:pt idx="275">
                  <c:v>41487</c:v>
                </c:pt>
                <c:pt idx="276">
                  <c:v>41518</c:v>
                </c:pt>
                <c:pt idx="277">
                  <c:v>41548</c:v>
                </c:pt>
                <c:pt idx="278">
                  <c:v>41579</c:v>
                </c:pt>
                <c:pt idx="279">
                  <c:v>41609</c:v>
                </c:pt>
                <c:pt idx="280">
                  <c:v>41640</c:v>
                </c:pt>
                <c:pt idx="281">
                  <c:v>41671</c:v>
                </c:pt>
                <c:pt idx="282">
                  <c:v>41699</c:v>
                </c:pt>
                <c:pt idx="283">
                  <c:v>41730</c:v>
                </c:pt>
                <c:pt idx="284">
                  <c:v>41760</c:v>
                </c:pt>
                <c:pt idx="285">
                  <c:v>41791</c:v>
                </c:pt>
                <c:pt idx="286">
                  <c:v>41821</c:v>
                </c:pt>
                <c:pt idx="287">
                  <c:v>41852</c:v>
                </c:pt>
                <c:pt idx="288">
                  <c:v>41883</c:v>
                </c:pt>
                <c:pt idx="289">
                  <c:v>41913</c:v>
                </c:pt>
                <c:pt idx="290">
                  <c:v>41944</c:v>
                </c:pt>
                <c:pt idx="291">
                  <c:v>41974</c:v>
                </c:pt>
                <c:pt idx="292">
                  <c:v>42005</c:v>
                </c:pt>
                <c:pt idx="293">
                  <c:v>42036</c:v>
                </c:pt>
                <c:pt idx="294">
                  <c:v>42064</c:v>
                </c:pt>
                <c:pt idx="295">
                  <c:v>42095</c:v>
                </c:pt>
                <c:pt idx="296">
                  <c:v>42125</c:v>
                </c:pt>
                <c:pt idx="297">
                  <c:v>42156</c:v>
                </c:pt>
                <c:pt idx="298">
                  <c:v>42186</c:v>
                </c:pt>
                <c:pt idx="299">
                  <c:v>42217</c:v>
                </c:pt>
                <c:pt idx="300">
                  <c:v>42248</c:v>
                </c:pt>
                <c:pt idx="301">
                  <c:v>42278</c:v>
                </c:pt>
                <c:pt idx="302">
                  <c:v>42309</c:v>
                </c:pt>
                <c:pt idx="303">
                  <c:v>42339</c:v>
                </c:pt>
                <c:pt idx="304">
                  <c:v>42370</c:v>
                </c:pt>
                <c:pt idx="305">
                  <c:v>42401</c:v>
                </c:pt>
                <c:pt idx="306">
                  <c:v>42430</c:v>
                </c:pt>
                <c:pt idx="307">
                  <c:v>42461</c:v>
                </c:pt>
                <c:pt idx="308">
                  <c:v>42491</c:v>
                </c:pt>
                <c:pt idx="309">
                  <c:v>42522</c:v>
                </c:pt>
                <c:pt idx="310">
                  <c:v>42552</c:v>
                </c:pt>
                <c:pt idx="311">
                  <c:v>42583</c:v>
                </c:pt>
                <c:pt idx="312">
                  <c:v>42614</c:v>
                </c:pt>
                <c:pt idx="313">
                  <c:v>42644</c:v>
                </c:pt>
                <c:pt idx="314">
                  <c:v>42675</c:v>
                </c:pt>
                <c:pt idx="315">
                  <c:v>42705</c:v>
                </c:pt>
                <c:pt idx="316">
                  <c:v>42736</c:v>
                </c:pt>
                <c:pt idx="317">
                  <c:v>42767</c:v>
                </c:pt>
              </c:numCache>
            </c:numRef>
          </c:cat>
          <c:val>
            <c:numRef>
              <c:f>Sheet5!$D$2:$D$327</c:f>
              <c:numCache>
                <c:formatCode>General</c:formatCode>
                <c:ptCount val="326"/>
                <c:pt idx="0">
                  <c:v>10.182193447762</c:v>
                </c:pt>
                <c:pt idx="1">
                  <c:v>10.1952630183737</c:v>
                </c:pt>
                <c:pt idx="2">
                  <c:v>10.2845272981703</c:v>
                </c:pt>
                <c:pt idx="3">
                  <c:v>10.1637639719257</c:v>
                </c:pt>
                <c:pt idx="4">
                  <c:v>9.9271591496312706</c:v>
                </c:pt>
                <c:pt idx="5">
                  <c:v>9.7472437165728607</c:v>
                </c:pt>
                <c:pt idx="6">
                  <c:v>9.8173007072345708</c:v>
                </c:pt>
                <c:pt idx="7">
                  <c:v>9.5304477441443698</c:v>
                </c:pt>
                <c:pt idx="8">
                  <c:v>9.5843669112060805</c:v>
                </c:pt>
                <c:pt idx="9">
                  <c:v>9.5552898090734395</c:v>
                </c:pt>
                <c:pt idx="10">
                  <c:v>9.5763411568678798</c:v>
                </c:pt>
                <c:pt idx="11">
                  <c:v>9.6032472863202702</c:v>
                </c:pt>
                <c:pt idx="12">
                  <c:v>9.5119315886988893</c:v>
                </c:pt>
                <c:pt idx="13">
                  <c:v>9.1729819781655895</c:v>
                </c:pt>
                <c:pt idx="14">
                  <c:v>8.9391272343068398</c:v>
                </c:pt>
                <c:pt idx="15">
                  <c:v>8.7620403553839594</c:v>
                </c:pt>
                <c:pt idx="16">
                  <c:v>8.6892571437360395</c:v>
                </c:pt>
                <c:pt idx="17">
                  <c:v>8.3926522712781502</c:v>
                </c:pt>
                <c:pt idx="18">
                  <c:v>8.6038613302916005</c:v>
                </c:pt>
                <c:pt idx="19">
                  <c:v>8.8196945286471191</c:v>
                </c:pt>
                <c:pt idx="20">
                  <c:v>8.8523865962274595</c:v>
                </c:pt>
                <c:pt idx="21">
                  <c:v>8.7944736048922394</c:v>
                </c:pt>
                <c:pt idx="22">
                  <c:v>8.6801876736514103</c:v>
                </c:pt>
                <c:pt idx="23">
                  <c:v>8.3640231638241307</c:v>
                </c:pt>
                <c:pt idx="24">
                  <c:v>8.1400685994739792</c:v>
                </c:pt>
                <c:pt idx="25">
                  <c:v>8.0613285120479805</c:v>
                </c:pt>
                <c:pt idx="26">
                  <c:v>8.1034377831680402</c:v>
                </c:pt>
                <c:pt idx="27">
                  <c:v>8.2350694271808607</c:v>
                </c:pt>
                <c:pt idx="28">
                  <c:v>8.5089274492679294</c:v>
                </c:pt>
                <c:pt idx="29">
                  <c:v>8.1963280815849</c:v>
                </c:pt>
                <c:pt idx="30">
                  <c:v>7.9332186916507403</c:v>
                </c:pt>
                <c:pt idx="31">
                  <c:v>7.7019897620938904</c:v>
                </c:pt>
                <c:pt idx="32">
                  <c:v>7.6379752252310897</c:v>
                </c:pt>
                <c:pt idx="33">
                  <c:v>7.5722584487832902</c:v>
                </c:pt>
                <c:pt idx="34">
                  <c:v>7.5975703747532801</c:v>
                </c:pt>
                <c:pt idx="35">
                  <c:v>7.49369874047194</c:v>
                </c:pt>
                <c:pt idx="36">
                  <c:v>7.3147497604610399</c:v>
                </c:pt>
                <c:pt idx="37">
                  <c:v>7.18192285591077</c:v>
                </c:pt>
                <c:pt idx="38">
                  <c:v>7.0100304669329203</c:v>
                </c:pt>
                <c:pt idx="39">
                  <c:v>7.07546840139696</c:v>
                </c:pt>
                <c:pt idx="40">
                  <c:v>7.2056494340503496</c:v>
                </c:pt>
                <c:pt idx="41">
                  <c:v>7.3246648320087404</c:v>
                </c:pt>
                <c:pt idx="42">
                  <c:v>7.3131400244913003</c:v>
                </c:pt>
                <c:pt idx="43">
                  <c:v>7.5236412110673099</c:v>
                </c:pt>
                <c:pt idx="44">
                  <c:v>7.9759956694030301</c:v>
                </c:pt>
                <c:pt idx="45">
                  <c:v>8.3603184862830702</c:v>
                </c:pt>
                <c:pt idx="46">
                  <c:v>8.56730254745686</c:v>
                </c:pt>
                <c:pt idx="47">
                  <c:v>8.5997914242061899</c:v>
                </c:pt>
                <c:pt idx="48">
                  <c:v>8.6773788982788904</c:v>
                </c:pt>
                <c:pt idx="49">
                  <c:v>8.6770633086260194</c:v>
                </c:pt>
                <c:pt idx="50">
                  <c:v>8.8576636154165893</c:v>
                </c:pt>
                <c:pt idx="51">
                  <c:v>9.0747122323600102</c:v>
                </c:pt>
                <c:pt idx="52">
                  <c:v>9.2630526686891006</c:v>
                </c:pt>
                <c:pt idx="53">
                  <c:v>9.3341872903964607</c:v>
                </c:pt>
                <c:pt idx="54">
                  <c:v>9.2431197175939097</c:v>
                </c:pt>
                <c:pt idx="55">
                  <c:v>9.0282553325598904</c:v>
                </c:pt>
                <c:pt idx="56">
                  <c:v>8.6933264155078795</c:v>
                </c:pt>
                <c:pt idx="57">
                  <c:v>8.4639691839799802</c:v>
                </c:pt>
                <c:pt idx="58">
                  <c:v>8.0327254271260706</c:v>
                </c:pt>
                <c:pt idx="59">
                  <c:v>7.8077118818364601</c:v>
                </c:pt>
                <c:pt idx="60">
                  <c:v>7.9286280302693202</c:v>
                </c:pt>
                <c:pt idx="61">
                  <c:v>7.8928645688164902</c:v>
                </c:pt>
                <c:pt idx="62">
                  <c:v>7.82927566920812</c:v>
                </c:pt>
                <c:pt idx="63">
                  <c:v>7.7001821174729903</c:v>
                </c:pt>
                <c:pt idx="64">
                  <c:v>7.5577888275722502</c:v>
                </c:pt>
                <c:pt idx="65">
                  <c:v>7.3713112487329102</c:v>
                </c:pt>
                <c:pt idx="66">
                  <c:v>7.2915719141118398</c:v>
                </c:pt>
                <c:pt idx="67">
                  <c:v>7.5194007523956996</c:v>
                </c:pt>
                <c:pt idx="68">
                  <c:v>7.9741633469715802</c:v>
                </c:pt>
                <c:pt idx="69">
                  <c:v>8.1761247738863592</c:v>
                </c:pt>
                <c:pt idx="70">
                  <c:v>8.3847662429921392</c:v>
                </c:pt>
                <c:pt idx="71">
                  <c:v>8.4612591044875298</c:v>
                </c:pt>
                <c:pt idx="72">
                  <c:v>8.3208434404012905</c:v>
                </c:pt>
                <c:pt idx="73">
                  <c:v>8.3395001874573893</c:v>
                </c:pt>
                <c:pt idx="74">
                  <c:v>8.1926794229475597</c:v>
                </c:pt>
                <c:pt idx="75">
                  <c:v>7.8974863132655999</c:v>
                </c:pt>
                <c:pt idx="76">
                  <c:v>7.8750213730851302</c:v>
                </c:pt>
                <c:pt idx="77">
                  <c:v>7.9028283137051103</c:v>
                </c:pt>
                <c:pt idx="78">
                  <c:v>7.9912806891172803</c:v>
                </c:pt>
                <c:pt idx="79">
                  <c:v>8.0073511327105305</c:v>
                </c:pt>
                <c:pt idx="80">
                  <c:v>8.1802805487190895</c:v>
                </c:pt>
                <c:pt idx="81">
                  <c:v>8.2223943420569796</c:v>
                </c:pt>
                <c:pt idx="82">
                  <c:v>8.0581218725226602</c:v>
                </c:pt>
                <c:pt idx="83">
                  <c:v>7.8279746053260899</c:v>
                </c:pt>
                <c:pt idx="84">
                  <c:v>7.6369605879464002</c:v>
                </c:pt>
                <c:pt idx="85">
                  <c:v>7.7218580684033098</c:v>
                </c:pt>
                <c:pt idx="86">
                  <c:v>7.5604539955784498</c:v>
                </c:pt>
                <c:pt idx="87">
                  <c:v>7.4964711564834596</c:v>
                </c:pt>
                <c:pt idx="88">
                  <c:v>7.3420593675402603</c:v>
                </c:pt>
                <c:pt idx="89">
                  <c:v>7.2365544083226698</c:v>
                </c:pt>
                <c:pt idx="90">
                  <c:v>7.16225021478611</c:v>
                </c:pt>
                <c:pt idx="91">
                  <c:v>7.1420408552994203</c:v>
                </c:pt>
                <c:pt idx="92">
                  <c:v>7.1109127298375201</c:v>
                </c:pt>
                <c:pt idx="93">
                  <c:v>7.1689746128057799</c:v>
                </c:pt>
                <c:pt idx="94">
                  <c:v>7.1022847169124201</c:v>
                </c:pt>
                <c:pt idx="95">
                  <c:v>7.0865473174088898</c:v>
                </c:pt>
                <c:pt idx="96">
                  <c:v>7.0322821667167403</c:v>
                </c:pt>
                <c:pt idx="97">
                  <c:v>6.9169530253128997</c:v>
                </c:pt>
                <c:pt idx="98">
                  <c:v>6.77415662643521</c:v>
                </c:pt>
                <c:pt idx="99">
                  <c:v>6.7982166180219101</c:v>
                </c:pt>
                <c:pt idx="100">
                  <c:v>6.83511976926202</c:v>
                </c:pt>
                <c:pt idx="101">
                  <c:v>6.8510796212279796</c:v>
                </c:pt>
                <c:pt idx="102">
                  <c:v>6.89620143190582</c:v>
                </c:pt>
                <c:pt idx="103">
                  <c:v>7.0214717740290098</c:v>
                </c:pt>
                <c:pt idx="104">
                  <c:v>7.0416664461745198</c:v>
                </c:pt>
                <c:pt idx="105">
                  <c:v>7.0748830521183903</c:v>
                </c:pt>
                <c:pt idx="106">
                  <c:v>7.4282463444808604</c:v>
                </c:pt>
                <c:pt idx="107">
                  <c:v>7.6952971194639996</c:v>
                </c:pt>
                <c:pt idx="108">
                  <c:v>7.8260358294599497</c:v>
                </c:pt>
                <c:pt idx="109">
                  <c:v>8.0060922636832306</c:v>
                </c:pt>
                <c:pt idx="110">
                  <c:v>8.0398869145486493</c:v>
                </c:pt>
                <c:pt idx="111">
                  <c:v>7.9008457778163903</c:v>
                </c:pt>
                <c:pt idx="112">
                  <c:v>7.9774810031346002</c:v>
                </c:pt>
                <c:pt idx="113">
                  <c:v>8.1666415133129693</c:v>
                </c:pt>
                <c:pt idx="114">
                  <c:v>8.3685975331485896</c:v>
                </c:pt>
                <c:pt idx="115">
                  <c:v>8.4468556771983394</c:v>
                </c:pt>
                <c:pt idx="116">
                  <c:v>8.3230530330134105</c:v>
                </c:pt>
                <c:pt idx="117">
                  <c:v>8.4698631417398804</c:v>
                </c:pt>
                <c:pt idx="118">
                  <c:v>8.5266989770070705</c:v>
                </c:pt>
                <c:pt idx="119">
                  <c:v>8.3890303708625993</c:v>
                </c:pt>
                <c:pt idx="120">
                  <c:v>8.2646887417466992</c:v>
                </c:pt>
                <c:pt idx="121">
                  <c:v>8.0987170893023599</c:v>
                </c:pt>
                <c:pt idx="122">
                  <c:v>8.0492446958340196</c:v>
                </c:pt>
                <c:pt idx="123">
                  <c:v>7.9453644486587498</c:v>
                </c:pt>
                <c:pt idx="124">
                  <c:v>7.6427172594371404</c:v>
                </c:pt>
                <c:pt idx="125">
                  <c:v>7.2554729751058202</c:v>
                </c:pt>
                <c:pt idx="126">
                  <c:v>7.0804644875971299</c:v>
                </c:pt>
                <c:pt idx="127">
                  <c:v>7.0971163955069798</c:v>
                </c:pt>
                <c:pt idx="128">
                  <c:v>7.0571743638343296</c:v>
                </c:pt>
                <c:pt idx="129">
                  <c:v>7.1642296488939996</c:v>
                </c:pt>
                <c:pt idx="130">
                  <c:v>7.2385623277899596</c:v>
                </c:pt>
                <c:pt idx="131">
                  <c:v>7.2346503814613401</c:v>
                </c:pt>
                <c:pt idx="132">
                  <c:v>7.1297842307663597</c:v>
                </c:pt>
                <c:pt idx="133">
                  <c:v>6.9101769827726303</c:v>
                </c:pt>
                <c:pt idx="134">
                  <c:v>6.7319402926883098</c:v>
                </c:pt>
                <c:pt idx="135">
                  <c:v>6.6485906240833703</c:v>
                </c:pt>
                <c:pt idx="136">
                  <c:v>6.7507409327812002</c:v>
                </c:pt>
                <c:pt idx="137">
                  <c:v>6.8980684890117203</c:v>
                </c:pt>
                <c:pt idx="138">
                  <c:v>6.9101771364052</c:v>
                </c:pt>
                <c:pt idx="139">
                  <c:v>6.9107928939733503</c:v>
                </c:pt>
                <c:pt idx="140">
                  <c:v>6.9944249925362803</c:v>
                </c:pt>
                <c:pt idx="141">
                  <c:v>6.9164676165034198</c:v>
                </c:pt>
                <c:pt idx="142">
                  <c:v>6.8075961619413299</c:v>
                </c:pt>
                <c:pt idx="143">
                  <c:v>6.6317461273005902</c:v>
                </c:pt>
                <c:pt idx="144">
                  <c:v>6.4352411384244803</c:v>
                </c:pt>
                <c:pt idx="145">
                  <c:v>6.29462330723777</c:v>
                </c:pt>
                <c:pt idx="146">
                  <c:v>6.1523151865641097</c:v>
                </c:pt>
                <c:pt idx="147">
                  <c:v>6.1083114933069202</c:v>
                </c:pt>
                <c:pt idx="148">
                  <c:v>6.0540317155014698</c:v>
                </c:pt>
                <c:pt idx="149">
                  <c:v>6.0002409949093396</c:v>
                </c:pt>
                <c:pt idx="150">
                  <c:v>5.9168421398596003</c:v>
                </c:pt>
                <c:pt idx="151">
                  <c:v>5.8655877238000098</c:v>
                </c:pt>
                <c:pt idx="152">
                  <c:v>5.7800931154214998</c:v>
                </c:pt>
                <c:pt idx="153">
                  <c:v>5.7828071864952797</c:v>
                </c:pt>
                <c:pt idx="154">
                  <c:v>5.4876490985087303</c:v>
                </c:pt>
                <c:pt idx="155">
                  <c:v>5.3871347600136401</c:v>
                </c:pt>
                <c:pt idx="156">
                  <c:v>5.6396320384237804</c:v>
                </c:pt>
                <c:pt idx="157">
                  <c:v>6.0567953602287901</c:v>
                </c:pt>
                <c:pt idx="158">
                  <c:v>5.9968320926630598</c:v>
                </c:pt>
                <c:pt idx="159">
                  <c:v>5.9964848157239201</c:v>
                </c:pt>
                <c:pt idx="160">
                  <c:v>5.9384622960028599</c:v>
                </c:pt>
                <c:pt idx="161">
                  <c:v>5.8714236031200597</c:v>
                </c:pt>
                <c:pt idx="162">
                  <c:v>5.7484326564654697</c:v>
                </c:pt>
                <c:pt idx="163">
                  <c:v>5.6547655619699597</c:v>
                </c:pt>
                <c:pt idx="164">
                  <c:v>5.5857437881968099</c:v>
                </c:pt>
                <c:pt idx="165">
                  <c:v>5.9291058977923701</c:v>
                </c:pt>
                <c:pt idx="166">
                  <c:v>6.2607413306886102</c:v>
                </c:pt>
                <c:pt idx="167">
                  <c:v>6.1864578304378002</c:v>
                </c:pt>
                <c:pt idx="168">
                  <c:v>6.0382015412611496</c:v>
                </c:pt>
                <c:pt idx="169">
                  <c:v>5.8746509444086703</c:v>
                </c:pt>
                <c:pt idx="170">
                  <c:v>5.7754606216797901</c:v>
                </c:pt>
                <c:pt idx="171">
                  <c:v>5.74388764822399</c:v>
                </c:pt>
                <c:pt idx="172">
                  <c:v>5.7781451053876198</c:v>
                </c:pt>
                <c:pt idx="173">
                  <c:v>5.8000667720308003</c:v>
                </c:pt>
                <c:pt idx="174">
                  <c:v>5.70740938732055</c:v>
                </c:pt>
                <c:pt idx="175">
                  <c:v>5.7481031408165801</c:v>
                </c:pt>
                <c:pt idx="176">
                  <c:v>5.9427388294206303</c:v>
                </c:pt>
                <c:pt idx="177">
                  <c:v>5.8632274320305902</c:v>
                </c:pt>
                <c:pt idx="178">
                  <c:v>5.7158203169170596</c:v>
                </c:pt>
                <c:pt idx="179">
                  <c:v>5.6210515586604801</c:v>
                </c:pt>
                <c:pt idx="180">
                  <c:v>5.7731020683616903</c:v>
                </c:pt>
                <c:pt idx="181">
                  <c:v>5.8333106370891903</c:v>
                </c:pt>
                <c:pt idx="182">
                  <c:v>5.9218854066580802</c:v>
                </c:pt>
                <c:pt idx="183">
                  <c:v>6.17294074889982</c:v>
                </c:pt>
                <c:pt idx="184">
                  <c:v>6.30352508082622</c:v>
                </c:pt>
                <c:pt idx="185">
                  <c:v>6.2474497927688697</c:v>
                </c:pt>
                <c:pt idx="186">
                  <c:v>6.2150495453553001</c:v>
                </c:pt>
                <c:pt idx="187">
                  <c:v>6.31949551440312</c:v>
                </c:pt>
                <c:pt idx="188">
                  <c:v>6.4333964024465002</c:v>
                </c:pt>
                <c:pt idx="189">
                  <c:v>6.5689571395865602</c:v>
                </c:pt>
                <c:pt idx="190">
                  <c:v>6.6324333698596298</c:v>
                </c:pt>
                <c:pt idx="191">
                  <c:v>6.7607901432445203</c:v>
                </c:pt>
                <c:pt idx="192">
                  <c:v>6.6631398825355204</c:v>
                </c:pt>
                <c:pt idx="193">
                  <c:v>6.4994427427920698</c:v>
                </c:pt>
                <c:pt idx="194">
                  <c:v>6.3700022247780899</c:v>
                </c:pt>
                <c:pt idx="195">
                  <c:v>6.3224945988802803</c:v>
                </c:pt>
                <c:pt idx="196">
                  <c:v>6.1587984929539701</c:v>
                </c:pt>
                <c:pt idx="197">
                  <c:v>6.1958953691198202</c:v>
                </c:pt>
                <c:pt idx="198">
                  <c:v>6.2674648208525703</c:v>
                </c:pt>
                <c:pt idx="199">
                  <c:v>6.2303045831946298</c:v>
                </c:pt>
                <c:pt idx="200">
                  <c:v>6.2068069912130497</c:v>
                </c:pt>
                <c:pt idx="201">
                  <c:v>6.2888274380753204</c:v>
                </c:pt>
                <c:pt idx="202">
                  <c:v>6.5385320863891003</c:v>
                </c:pt>
                <c:pt idx="203">
                  <c:v>6.7573883017638297</c:v>
                </c:pt>
                <c:pt idx="204">
                  <c:v>6.7615511170043598</c:v>
                </c:pt>
                <c:pt idx="205">
                  <c:v>6.6281301270942699</c:v>
                </c:pt>
                <c:pt idx="206">
                  <c:v>6.5772403912610198</c:v>
                </c:pt>
                <c:pt idx="207">
                  <c:v>6.4277181138116903</c:v>
                </c:pt>
                <c:pt idx="208">
                  <c:v>6.2300481738734304</c:v>
                </c:pt>
                <c:pt idx="209">
                  <c:v>6.0175968213903799</c:v>
                </c:pt>
                <c:pt idx="210">
                  <c:v>5.8016392820155502</c:v>
                </c:pt>
                <c:pt idx="211">
                  <c:v>6.02510555958869</c:v>
                </c:pt>
                <c:pt idx="212">
                  <c:v>5.9470182862947301</c:v>
                </c:pt>
                <c:pt idx="213">
                  <c:v>6.01000273123769</c:v>
                </c:pt>
                <c:pt idx="214">
                  <c:v>6.21657903925587</c:v>
                </c:pt>
                <c:pt idx="215">
                  <c:v>6.4375917733231498</c:v>
                </c:pt>
                <c:pt idx="216">
                  <c:v>6.53650927811342</c:v>
                </c:pt>
                <c:pt idx="217">
                  <c:v>6.2320774578263203</c:v>
                </c:pt>
                <c:pt idx="218">
                  <c:v>6.0512027610616599</c:v>
                </c:pt>
                <c:pt idx="219">
                  <c:v>6.12674042747184</c:v>
                </c:pt>
                <c:pt idx="220">
                  <c:v>5.5037061417988697</c:v>
                </c:pt>
                <c:pt idx="221">
                  <c:v>5.0542951058836598</c:v>
                </c:pt>
                <c:pt idx="222">
                  <c:v>4.8763028769692696</c:v>
                </c:pt>
                <c:pt idx="223">
                  <c:v>4.9708505184387697</c:v>
                </c:pt>
                <c:pt idx="224">
                  <c:v>4.86898730938334</c:v>
                </c:pt>
                <c:pt idx="225">
                  <c:v>4.8452611847510703</c:v>
                </c:pt>
                <c:pt idx="226">
                  <c:v>4.9231097132947097</c:v>
                </c:pt>
                <c:pt idx="227">
                  <c:v>5.1448094144014798</c:v>
                </c:pt>
                <c:pt idx="228">
                  <c:v>5.2554424767102201</c:v>
                </c:pt>
                <c:pt idx="229">
                  <c:v>5.2954393211501296</c:v>
                </c:pt>
                <c:pt idx="230">
                  <c:v>5.0814270018246601</c:v>
                </c:pt>
                <c:pt idx="231">
                  <c:v>5.0702708538369299</c:v>
                </c:pt>
                <c:pt idx="232">
                  <c:v>5.0291281275635296</c:v>
                </c:pt>
                <c:pt idx="233">
                  <c:v>5.0640033921383099</c:v>
                </c:pt>
                <c:pt idx="234">
                  <c:v>5.14394559344111</c:v>
                </c:pt>
                <c:pt idx="235">
                  <c:v>5.1588311275392904</c:v>
                </c:pt>
                <c:pt idx="236">
                  <c:v>5.1286187344711802</c:v>
                </c:pt>
                <c:pt idx="237">
                  <c:v>5.2327081288618302</c:v>
                </c:pt>
                <c:pt idx="238">
                  <c:v>5.01210735640983</c:v>
                </c:pt>
                <c:pt idx="239">
                  <c:v>4.9233746366320004</c:v>
                </c:pt>
                <c:pt idx="240">
                  <c:v>4.7104146570896104</c:v>
                </c:pt>
                <c:pt idx="241">
                  <c:v>4.5957828955630502</c:v>
                </c:pt>
                <c:pt idx="242">
                  <c:v>4.5178110150696202</c:v>
                </c:pt>
                <c:pt idx="243">
                  <c:v>4.4408216243034104</c:v>
                </c:pt>
                <c:pt idx="244">
                  <c:v>4.47312075457386</c:v>
                </c:pt>
                <c:pt idx="245">
                  <c:v>4.8251205146610703</c:v>
                </c:pt>
                <c:pt idx="246">
                  <c:v>4.9187951933266802</c:v>
                </c:pt>
                <c:pt idx="247">
                  <c:v>5.0554043307060299</c:v>
                </c:pt>
                <c:pt idx="248">
                  <c:v>5.0107829268378099</c:v>
                </c:pt>
                <c:pt idx="249">
                  <c:v>4.9842791945236797</c:v>
                </c:pt>
                <c:pt idx="250">
                  <c:v>4.7984382538460597</c:v>
                </c:pt>
                <c:pt idx="251">
                  <c:v>4.7378937267613903</c:v>
                </c:pt>
                <c:pt idx="252">
                  <c:v>4.6223446116310498</c:v>
                </c:pt>
                <c:pt idx="253">
                  <c:v>4.3189510984103601</c:v>
                </c:pt>
                <c:pt idx="254">
                  <c:v>4.2581304189797002</c:v>
                </c:pt>
                <c:pt idx="255">
                  <c:v>4.28252696280284</c:v>
                </c:pt>
                <c:pt idx="256">
                  <c:v>4.1223123881784502</c:v>
                </c:pt>
                <c:pt idx="257">
                  <c:v>4.1704495560920796</c:v>
                </c:pt>
                <c:pt idx="258">
                  <c:v>4.0695444730474604</c:v>
                </c:pt>
                <c:pt idx="259">
                  <c:v>4.0801368057931802</c:v>
                </c:pt>
                <c:pt idx="260">
                  <c:v>4.1452391638346802</c:v>
                </c:pt>
                <c:pt idx="261">
                  <c:v>4.0530275346663798</c:v>
                </c:pt>
                <c:pt idx="262">
                  <c:v>3.9640054144325401</c:v>
                </c:pt>
                <c:pt idx="263">
                  <c:v>3.8801747879005402</c:v>
                </c:pt>
                <c:pt idx="264">
                  <c:v>3.7947930902749598</c:v>
                </c:pt>
                <c:pt idx="265">
                  <c:v>3.73873787897179</c:v>
                </c:pt>
                <c:pt idx="266">
                  <c:v>3.7548056853724101</c:v>
                </c:pt>
                <c:pt idx="267">
                  <c:v>3.62871973006781</c:v>
                </c:pt>
                <c:pt idx="268">
                  <c:v>3.6342812090049201</c:v>
                </c:pt>
                <c:pt idx="269">
                  <c:v>3.6159817730056498</c:v>
                </c:pt>
                <c:pt idx="270">
                  <c:v>3.6663328277369298</c:v>
                </c:pt>
                <c:pt idx="271">
                  <c:v>3.8235719744890702</c:v>
                </c:pt>
                <c:pt idx="272">
                  <c:v>3.8304597940282701</c:v>
                </c:pt>
                <c:pt idx="273">
                  <c:v>3.7370293369952901</c:v>
                </c:pt>
                <c:pt idx="274">
                  <c:v>3.8419699528814202</c:v>
                </c:pt>
                <c:pt idx="275">
                  <c:v>4.2235981136111098</c:v>
                </c:pt>
                <c:pt idx="276">
                  <c:v>4.5440793640261399</c:v>
                </c:pt>
                <c:pt idx="277">
                  <c:v>4.6454480941796703</c:v>
                </c:pt>
                <c:pt idx="278">
                  <c:v>4.6558570696614803</c:v>
                </c:pt>
                <c:pt idx="279">
                  <c:v>4.4732781638083399</c:v>
                </c:pt>
                <c:pt idx="280">
                  <c:v>4.5336378604731298</c:v>
                </c:pt>
                <c:pt idx="281">
                  <c:v>4.6912482559042097</c:v>
                </c:pt>
                <c:pt idx="282">
                  <c:v>4.6710253793280101</c:v>
                </c:pt>
                <c:pt idx="283">
                  <c:v>4.5671003761456497</c:v>
                </c:pt>
                <c:pt idx="284">
                  <c:v>4.6490391871536696</c:v>
                </c:pt>
                <c:pt idx="285">
                  <c:v>4.5422820595087003</c:v>
                </c:pt>
                <c:pt idx="286">
                  <c:v>4.4397162960376999</c:v>
                </c:pt>
                <c:pt idx="287">
                  <c:v>4.3693488555297799</c:v>
                </c:pt>
                <c:pt idx="288">
                  <c:v>4.4056933080364296</c:v>
                </c:pt>
                <c:pt idx="289">
                  <c:v>4.37666094786508</c:v>
                </c:pt>
                <c:pt idx="290">
                  <c:v>4.3862736323024798</c:v>
                </c:pt>
                <c:pt idx="291">
                  <c:v>4.2785067067910099</c:v>
                </c:pt>
                <c:pt idx="292">
                  <c:v>4.2125946332127198</c:v>
                </c:pt>
                <c:pt idx="293">
                  <c:v>4.0957857656020096</c:v>
                </c:pt>
                <c:pt idx="294">
                  <c:v>3.88931402713684</c:v>
                </c:pt>
                <c:pt idx="295">
                  <c:v>3.93507802928948</c:v>
                </c:pt>
                <c:pt idx="296">
                  <c:v>4.0415479603671196</c:v>
                </c:pt>
                <c:pt idx="297">
                  <c:v>3.98213793498816</c:v>
                </c:pt>
                <c:pt idx="298">
                  <c:v>4.1140629382096696</c:v>
                </c:pt>
                <c:pt idx="299">
                  <c:v>4.2448763200569797</c:v>
                </c:pt>
                <c:pt idx="300">
                  <c:v>4.3157966541882899</c:v>
                </c:pt>
                <c:pt idx="301">
                  <c:v>4.2424085122422799</c:v>
                </c:pt>
                <c:pt idx="302">
                  <c:v>4.1762881897673898</c:v>
                </c:pt>
                <c:pt idx="303">
                  <c:v>4.0760322969442102</c:v>
                </c:pt>
                <c:pt idx="304">
                  <c:v>4.25441775490631</c:v>
                </c:pt>
                <c:pt idx="305">
                  <c:v>4.2105924701349</c:v>
                </c:pt>
                <c:pt idx="306">
                  <c:v>4.1685780303512603</c:v>
                </c:pt>
                <c:pt idx="307">
                  <c:v>4.0055023787836204</c:v>
                </c:pt>
                <c:pt idx="308">
                  <c:v>3.9758587523820901</c:v>
                </c:pt>
                <c:pt idx="309">
                  <c:v>3.9102166679899</c:v>
                </c:pt>
                <c:pt idx="310">
                  <c:v>3.9338222954071398</c:v>
                </c:pt>
                <c:pt idx="311">
                  <c:v>3.82924913262528</c:v>
                </c:pt>
                <c:pt idx="312">
                  <c:v>3.7341671723726799</c:v>
                </c:pt>
                <c:pt idx="313">
                  <c:v>3.7575688207972902</c:v>
                </c:pt>
                <c:pt idx="314">
                  <c:v>3.7490336784036198</c:v>
                </c:pt>
                <c:pt idx="315">
                  <c:v>3.7561808923381199</c:v>
                </c:pt>
                <c:pt idx="316">
                  <c:v>4.0889058244146002</c:v>
                </c:pt>
                <c:pt idx="317">
                  <c:v>4.36285520247388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Sheet5!$F$1</c:f>
              <c:strCache>
                <c:ptCount val="1"/>
                <c:pt idx="0">
                  <c:v>GNMAWAC</c:v>
                </c:pt>
              </c:strCache>
            </c:strRef>
          </c:tx>
          <c:marker>
            <c:symbol val="none"/>
          </c:marker>
          <c:cat>
            <c:numRef>
              <c:f>Sheet5!$A$2:$A$327</c:f>
              <c:numCache>
                <c:formatCode>m/d/yyyy</c:formatCode>
                <c:ptCount val="326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  <c:pt idx="72">
                  <c:v>35309</c:v>
                </c:pt>
                <c:pt idx="73">
                  <c:v>35339</c:v>
                </c:pt>
                <c:pt idx="74">
                  <c:v>35370</c:v>
                </c:pt>
                <c:pt idx="75">
                  <c:v>35400</c:v>
                </c:pt>
                <c:pt idx="76">
                  <c:v>35431</c:v>
                </c:pt>
                <c:pt idx="77">
                  <c:v>35462</c:v>
                </c:pt>
                <c:pt idx="78">
                  <c:v>35490</c:v>
                </c:pt>
                <c:pt idx="79">
                  <c:v>35521</c:v>
                </c:pt>
                <c:pt idx="80">
                  <c:v>35551</c:v>
                </c:pt>
                <c:pt idx="81">
                  <c:v>35582</c:v>
                </c:pt>
                <c:pt idx="82">
                  <c:v>35612</c:v>
                </c:pt>
                <c:pt idx="83">
                  <c:v>35643</c:v>
                </c:pt>
                <c:pt idx="84">
                  <c:v>35674</c:v>
                </c:pt>
                <c:pt idx="85">
                  <c:v>35704</c:v>
                </c:pt>
                <c:pt idx="86">
                  <c:v>35735</c:v>
                </c:pt>
                <c:pt idx="87">
                  <c:v>35765</c:v>
                </c:pt>
                <c:pt idx="88">
                  <c:v>35796</c:v>
                </c:pt>
                <c:pt idx="89">
                  <c:v>35827</c:v>
                </c:pt>
                <c:pt idx="90">
                  <c:v>35855</c:v>
                </c:pt>
                <c:pt idx="91">
                  <c:v>35886</c:v>
                </c:pt>
                <c:pt idx="92">
                  <c:v>35916</c:v>
                </c:pt>
                <c:pt idx="93">
                  <c:v>35947</c:v>
                </c:pt>
                <c:pt idx="94">
                  <c:v>35977</c:v>
                </c:pt>
                <c:pt idx="95">
                  <c:v>36008</c:v>
                </c:pt>
                <c:pt idx="96">
                  <c:v>36039</c:v>
                </c:pt>
                <c:pt idx="97">
                  <c:v>36069</c:v>
                </c:pt>
                <c:pt idx="98">
                  <c:v>36100</c:v>
                </c:pt>
                <c:pt idx="99">
                  <c:v>36130</c:v>
                </c:pt>
                <c:pt idx="100">
                  <c:v>36161</c:v>
                </c:pt>
                <c:pt idx="101">
                  <c:v>36192</c:v>
                </c:pt>
                <c:pt idx="102">
                  <c:v>36220</c:v>
                </c:pt>
                <c:pt idx="103">
                  <c:v>36251</c:v>
                </c:pt>
                <c:pt idx="104">
                  <c:v>36281</c:v>
                </c:pt>
                <c:pt idx="105">
                  <c:v>36312</c:v>
                </c:pt>
                <c:pt idx="106">
                  <c:v>36342</c:v>
                </c:pt>
                <c:pt idx="107">
                  <c:v>36373</c:v>
                </c:pt>
                <c:pt idx="108">
                  <c:v>36404</c:v>
                </c:pt>
                <c:pt idx="109">
                  <c:v>36434</c:v>
                </c:pt>
                <c:pt idx="110">
                  <c:v>36465</c:v>
                </c:pt>
                <c:pt idx="111">
                  <c:v>36495</c:v>
                </c:pt>
                <c:pt idx="112">
                  <c:v>36526</c:v>
                </c:pt>
                <c:pt idx="113">
                  <c:v>36557</c:v>
                </c:pt>
                <c:pt idx="114">
                  <c:v>36586</c:v>
                </c:pt>
                <c:pt idx="115">
                  <c:v>36617</c:v>
                </c:pt>
                <c:pt idx="116">
                  <c:v>36647</c:v>
                </c:pt>
                <c:pt idx="117">
                  <c:v>36678</c:v>
                </c:pt>
                <c:pt idx="118">
                  <c:v>36708</c:v>
                </c:pt>
                <c:pt idx="119">
                  <c:v>36739</c:v>
                </c:pt>
                <c:pt idx="120">
                  <c:v>36770</c:v>
                </c:pt>
                <c:pt idx="121">
                  <c:v>36800</c:v>
                </c:pt>
                <c:pt idx="122">
                  <c:v>36831</c:v>
                </c:pt>
                <c:pt idx="123">
                  <c:v>36861</c:v>
                </c:pt>
                <c:pt idx="124">
                  <c:v>36892</c:v>
                </c:pt>
                <c:pt idx="125">
                  <c:v>36923</c:v>
                </c:pt>
                <c:pt idx="126">
                  <c:v>36951</c:v>
                </c:pt>
                <c:pt idx="127">
                  <c:v>36982</c:v>
                </c:pt>
                <c:pt idx="128">
                  <c:v>37012</c:v>
                </c:pt>
                <c:pt idx="129">
                  <c:v>37043</c:v>
                </c:pt>
                <c:pt idx="130">
                  <c:v>37073</c:v>
                </c:pt>
                <c:pt idx="131">
                  <c:v>37104</c:v>
                </c:pt>
                <c:pt idx="132">
                  <c:v>37135</c:v>
                </c:pt>
                <c:pt idx="133">
                  <c:v>37165</c:v>
                </c:pt>
                <c:pt idx="134">
                  <c:v>37196</c:v>
                </c:pt>
                <c:pt idx="135">
                  <c:v>37226</c:v>
                </c:pt>
                <c:pt idx="136">
                  <c:v>37257</c:v>
                </c:pt>
                <c:pt idx="137">
                  <c:v>37288</c:v>
                </c:pt>
                <c:pt idx="138">
                  <c:v>37316</c:v>
                </c:pt>
                <c:pt idx="139">
                  <c:v>37347</c:v>
                </c:pt>
                <c:pt idx="140">
                  <c:v>37377</c:v>
                </c:pt>
                <c:pt idx="141">
                  <c:v>37408</c:v>
                </c:pt>
                <c:pt idx="142">
                  <c:v>37438</c:v>
                </c:pt>
                <c:pt idx="143">
                  <c:v>37469</c:v>
                </c:pt>
                <c:pt idx="144">
                  <c:v>37500</c:v>
                </c:pt>
                <c:pt idx="145">
                  <c:v>37530</c:v>
                </c:pt>
                <c:pt idx="146">
                  <c:v>37561</c:v>
                </c:pt>
                <c:pt idx="147">
                  <c:v>37591</c:v>
                </c:pt>
                <c:pt idx="148">
                  <c:v>37622</c:v>
                </c:pt>
                <c:pt idx="149">
                  <c:v>37653</c:v>
                </c:pt>
                <c:pt idx="150">
                  <c:v>37681</c:v>
                </c:pt>
                <c:pt idx="151">
                  <c:v>37712</c:v>
                </c:pt>
                <c:pt idx="152">
                  <c:v>37742</c:v>
                </c:pt>
                <c:pt idx="153">
                  <c:v>37773</c:v>
                </c:pt>
                <c:pt idx="154">
                  <c:v>37803</c:v>
                </c:pt>
                <c:pt idx="155">
                  <c:v>37834</c:v>
                </c:pt>
                <c:pt idx="156">
                  <c:v>37865</c:v>
                </c:pt>
                <c:pt idx="157">
                  <c:v>37895</c:v>
                </c:pt>
                <c:pt idx="158">
                  <c:v>37926</c:v>
                </c:pt>
                <c:pt idx="159">
                  <c:v>37956</c:v>
                </c:pt>
                <c:pt idx="160">
                  <c:v>37987</c:v>
                </c:pt>
                <c:pt idx="161">
                  <c:v>38018</c:v>
                </c:pt>
                <c:pt idx="162">
                  <c:v>38047</c:v>
                </c:pt>
                <c:pt idx="163">
                  <c:v>38078</c:v>
                </c:pt>
                <c:pt idx="164">
                  <c:v>38108</c:v>
                </c:pt>
                <c:pt idx="165">
                  <c:v>38139</c:v>
                </c:pt>
                <c:pt idx="166">
                  <c:v>38169</c:v>
                </c:pt>
                <c:pt idx="167">
                  <c:v>38200</c:v>
                </c:pt>
                <c:pt idx="168">
                  <c:v>38231</c:v>
                </c:pt>
                <c:pt idx="169">
                  <c:v>38261</c:v>
                </c:pt>
                <c:pt idx="170">
                  <c:v>38292</c:v>
                </c:pt>
                <c:pt idx="171">
                  <c:v>38322</c:v>
                </c:pt>
                <c:pt idx="172">
                  <c:v>38353</c:v>
                </c:pt>
                <c:pt idx="173">
                  <c:v>38384</c:v>
                </c:pt>
                <c:pt idx="174">
                  <c:v>38412</c:v>
                </c:pt>
                <c:pt idx="175">
                  <c:v>38443</c:v>
                </c:pt>
                <c:pt idx="176">
                  <c:v>38473</c:v>
                </c:pt>
                <c:pt idx="177">
                  <c:v>38504</c:v>
                </c:pt>
                <c:pt idx="178">
                  <c:v>38534</c:v>
                </c:pt>
                <c:pt idx="179">
                  <c:v>38565</c:v>
                </c:pt>
                <c:pt idx="180">
                  <c:v>38596</c:v>
                </c:pt>
                <c:pt idx="181">
                  <c:v>38626</c:v>
                </c:pt>
                <c:pt idx="182">
                  <c:v>38657</c:v>
                </c:pt>
                <c:pt idx="183">
                  <c:v>38687</c:v>
                </c:pt>
                <c:pt idx="184">
                  <c:v>38718</c:v>
                </c:pt>
                <c:pt idx="185">
                  <c:v>38749</c:v>
                </c:pt>
                <c:pt idx="186">
                  <c:v>38777</c:v>
                </c:pt>
                <c:pt idx="187">
                  <c:v>38808</c:v>
                </c:pt>
                <c:pt idx="188">
                  <c:v>38838</c:v>
                </c:pt>
                <c:pt idx="189">
                  <c:v>38869</c:v>
                </c:pt>
                <c:pt idx="190">
                  <c:v>38899</c:v>
                </c:pt>
                <c:pt idx="191">
                  <c:v>38930</c:v>
                </c:pt>
                <c:pt idx="192">
                  <c:v>38961</c:v>
                </c:pt>
                <c:pt idx="193">
                  <c:v>38991</c:v>
                </c:pt>
                <c:pt idx="194">
                  <c:v>39022</c:v>
                </c:pt>
                <c:pt idx="195">
                  <c:v>39052</c:v>
                </c:pt>
                <c:pt idx="196">
                  <c:v>39083</c:v>
                </c:pt>
                <c:pt idx="197">
                  <c:v>39114</c:v>
                </c:pt>
                <c:pt idx="198">
                  <c:v>39142</c:v>
                </c:pt>
                <c:pt idx="199">
                  <c:v>39173</c:v>
                </c:pt>
                <c:pt idx="200">
                  <c:v>39203</c:v>
                </c:pt>
                <c:pt idx="201">
                  <c:v>39234</c:v>
                </c:pt>
                <c:pt idx="202">
                  <c:v>39264</c:v>
                </c:pt>
                <c:pt idx="203">
                  <c:v>39295</c:v>
                </c:pt>
                <c:pt idx="204">
                  <c:v>39326</c:v>
                </c:pt>
                <c:pt idx="205">
                  <c:v>39356</c:v>
                </c:pt>
                <c:pt idx="206">
                  <c:v>39387</c:v>
                </c:pt>
                <c:pt idx="207">
                  <c:v>39417</c:v>
                </c:pt>
                <c:pt idx="208">
                  <c:v>39448</c:v>
                </c:pt>
                <c:pt idx="209">
                  <c:v>39479</c:v>
                </c:pt>
                <c:pt idx="210">
                  <c:v>39508</c:v>
                </c:pt>
                <c:pt idx="211">
                  <c:v>39539</c:v>
                </c:pt>
                <c:pt idx="212">
                  <c:v>39569</c:v>
                </c:pt>
                <c:pt idx="213">
                  <c:v>39600</c:v>
                </c:pt>
                <c:pt idx="214">
                  <c:v>39630</c:v>
                </c:pt>
                <c:pt idx="215">
                  <c:v>39661</c:v>
                </c:pt>
                <c:pt idx="216">
                  <c:v>39692</c:v>
                </c:pt>
                <c:pt idx="217">
                  <c:v>39722</c:v>
                </c:pt>
                <c:pt idx="218">
                  <c:v>39753</c:v>
                </c:pt>
                <c:pt idx="219">
                  <c:v>39783</c:v>
                </c:pt>
                <c:pt idx="220">
                  <c:v>39814</c:v>
                </c:pt>
                <c:pt idx="221">
                  <c:v>39845</c:v>
                </c:pt>
                <c:pt idx="222">
                  <c:v>39873</c:v>
                </c:pt>
                <c:pt idx="223">
                  <c:v>39904</c:v>
                </c:pt>
                <c:pt idx="224">
                  <c:v>39934</c:v>
                </c:pt>
                <c:pt idx="225">
                  <c:v>39965</c:v>
                </c:pt>
                <c:pt idx="226">
                  <c:v>39995</c:v>
                </c:pt>
                <c:pt idx="227">
                  <c:v>40026</c:v>
                </c:pt>
                <c:pt idx="228">
                  <c:v>40057</c:v>
                </c:pt>
                <c:pt idx="229">
                  <c:v>40087</c:v>
                </c:pt>
                <c:pt idx="230">
                  <c:v>40118</c:v>
                </c:pt>
                <c:pt idx="231">
                  <c:v>40148</c:v>
                </c:pt>
                <c:pt idx="232">
                  <c:v>40179</c:v>
                </c:pt>
                <c:pt idx="233">
                  <c:v>40210</c:v>
                </c:pt>
                <c:pt idx="234">
                  <c:v>40238</c:v>
                </c:pt>
                <c:pt idx="235">
                  <c:v>40269</c:v>
                </c:pt>
                <c:pt idx="236">
                  <c:v>40299</c:v>
                </c:pt>
                <c:pt idx="237">
                  <c:v>40330</c:v>
                </c:pt>
                <c:pt idx="238">
                  <c:v>40360</c:v>
                </c:pt>
                <c:pt idx="239">
                  <c:v>40391</c:v>
                </c:pt>
                <c:pt idx="240">
                  <c:v>40422</c:v>
                </c:pt>
                <c:pt idx="241">
                  <c:v>40452</c:v>
                </c:pt>
                <c:pt idx="242">
                  <c:v>40483</c:v>
                </c:pt>
                <c:pt idx="243">
                  <c:v>40513</c:v>
                </c:pt>
                <c:pt idx="244">
                  <c:v>40544</c:v>
                </c:pt>
                <c:pt idx="245">
                  <c:v>40575</c:v>
                </c:pt>
                <c:pt idx="246">
                  <c:v>40603</c:v>
                </c:pt>
                <c:pt idx="247">
                  <c:v>40634</c:v>
                </c:pt>
                <c:pt idx="248">
                  <c:v>40664</c:v>
                </c:pt>
                <c:pt idx="249">
                  <c:v>40695</c:v>
                </c:pt>
                <c:pt idx="250">
                  <c:v>40725</c:v>
                </c:pt>
                <c:pt idx="251">
                  <c:v>40756</c:v>
                </c:pt>
                <c:pt idx="252">
                  <c:v>40787</c:v>
                </c:pt>
                <c:pt idx="253">
                  <c:v>40817</c:v>
                </c:pt>
                <c:pt idx="254">
                  <c:v>40848</c:v>
                </c:pt>
                <c:pt idx="255">
                  <c:v>40878</c:v>
                </c:pt>
                <c:pt idx="256">
                  <c:v>40909</c:v>
                </c:pt>
                <c:pt idx="257">
                  <c:v>40940</c:v>
                </c:pt>
                <c:pt idx="258">
                  <c:v>40969</c:v>
                </c:pt>
                <c:pt idx="259">
                  <c:v>41000</c:v>
                </c:pt>
                <c:pt idx="260">
                  <c:v>41030</c:v>
                </c:pt>
                <c:pt idx="261">
                  <c:v>41061</c:v>
                </c:pt>
                <c:pt idx="262">
                  <c:v>41091</c:v>
                </c:pt>
                <c:pt idx="263">
                  <c:v>41122</c:v>
                </c:pt>
                <c:pt idx="264">
                  <c:v>41153</c:v>
                </c:pt>
                <c:pt idx="265">
                  <c:v>41183</c:v>
                </c:pt>
                <c:pt idx="266">
                  <c:v>41214</c:v>
                </c:pt>
                <c:pt idx="267">
                  <c:v>41244</c:v>
                </c:pt>
                <c:pt idx="268">
                  <c:v>41275</c:v>
                </c:pt>
                <c:pt idx="269">
                  <c:v>41306</c:v>
                </c:pt>
                <c:pt idx="270">
                  <c:v>41334</c:v>
                </c:pt>
                <c:pt idx="271">
                  <c:v>41365</c:v>
                </c:pt>
                <c:pt idx="272">
                  <c:v>41395</c:v>
                </c:pt>
                <c:pt idx="273">
                  <c:v>41426</c:v>
                </c:pt>
                <c:pt idx="274">
                  <c:v>41456</c:v>
                </c:pt>
                <c:pt idx="275">
                  <c:v>41487</c:v>
                </c:pt>
                <c:pt idx="276">
                  <c:v>41518</c:v>
                </c:pt>
                <c:pt idx="277">
                  <c:v>41548</c:v>
                </c:pt>
                <c:pt idx="278">
                  <c:v>41579</c:v>
                </c:pt>
                <c:pt idx="279">
                  <c:v>41609</c:v>
                </c:pt>
                <c:pt idx="280">
                  <c:v>41640</c:v>
                </c:pt>
                <c:pt idx="281">
                  <c:v>41671</c:v>
                </c:pt>
                <c:pt idx="282">
                  <c:v>41699</c:v>
                </c:pt>
                <c:pt idx="283">
                  <c:v>41730</c:v>
                </c:pt>
                <c:pt idx="284">
                  <c:v>41760</c:v>
                </c:pt>
                <c:pt idx="285">
                  <c:v>41791</c:v>
                </c:pt>
                <c:pt idx="286">
                  <c:v>41821</c:v>
                </c:pt>
                <c:pt idx="287">
                  <c:v>41852</c:v>
                </c:pt>
                <c:pt idx="288">
                  <c:v>41883</c:v>
                </c:pt>
                <c:pt idx="289">
                  <c:v>41913</c:v>
                </c:pt>
                <c:pt idx="290">
                  <c:v>41944</c:v>
                </c:pt>
                <c:pt idx="291">
                  <c:v>41974</c:v>
                </c:pt>
                <c:pt idx="292">
                  <c:v>42005</c:v>
                </c:pt>
                <c:pt idx="293">
                  <c:v>42036</c:v>
                </c:pt>
                <c:pt idx="294">
                  <c:v>42064</c:v>
                </c:pt>
                <c:pt idx="295">
                  <c:v>42095</c:v>
                </c:pt>
                <c:pt idx="296">
                  <c:v>42125</c:v>
                </c:pt>
                <c:pt idx="297">
                  <c:v>42156</c:v>
                </c:pt>
                <c:pt idx="298">
                  <c:v>42186</c:v>
                </c:pt>
                <c:pt idx="299">
                  <c:v>42217</c:v>
                </c:pt>
                <c:pt idx="300">
                  <c:v>42248</c:v>
                </c:pt>
                <c:pt idx="301">
                  <c:v>42278</c:v>
                </c:pt>
                <c:pt idx="302">
                  <c:v>42309</c:v>
                </c:pt>
                <c:pt idx="303">
                  <c:v>42339</c:v>
                </c:pt>
                <c:pt idx="304">
                  <c:v>42370</c:v>
                </c:pt>
                <c:pt idx="305">
                  <c:v>42401</c:v>
                </c:pt>
                <c:pt idx="306">
                  <c:v>42430</c:v>
                </c:pt>
                <c:pt idx="307">
                  <c:v>42461</c:v>
                </c:pt>
                <c:pt idx="308">
                  <c:v>42491</c:v>
                </c:pt>
                <c:pt idx="309">
                  <c:v>42522</c:v>
                </c:pt>
                <c:pt idx="310">
                  <c:v>42552</c:v>
                </c:pt>
                <c:pt idx="311">
                  <c:v>42583</c:v>
                </c:pt>
                <c:pt idx="312">
                  <c:v>42614</c:v>
                </c:pt>
                <c:pt idx="313">
                  <c:v>42644</c:v>
                </c:pt>
                <c:pt idx="314">
                  <c:v>42675</c:v>
                </c:pt>
                <c:pt idx="315">
                  <c:v>42705</c:v>
                </c:pt>
                <c:pt idx="316">
                  <c:v>42736</c:v>
                </c:pt>
                <c:pt idx="317">
                  <c:v>42767</c:v>
                </c:pt>
              </c:numCache>
            </c:numRef>
          </c:cat>
          <c:val>
            <c:numRef>
              <c:f>Sheet5!$F$2:$F$327</c:f>
              <c:numCache>
                <c:formatCode>General</c:formatCode>
                <c:ptCount val="326"/>
                <c:pt idx="0">
                  <c:v>10.0329334804472</c:v>
                </c:pt>
                <c:pt idx="1">
                  <c:v>10.0594350050833</c:v>
                </c:pt>
                <c:pt idx="2">
                  <c:v>10.1280547853505</c:v>
                </c:pt>
                <c:pt idx="3">
                  <c:v>10.064427674804501</c:v>
                </c:pt>
                <c:pt idx="4">
                  <c:v>9.8209199094713497</c:v>
                </c:pt>
                <c:pt idx="5">
                  <c:v>9.6376996467221794</c:v>
                </c:pt>
                <c:pt idx="6">
                  <c:v>9.4754069048542</c:v>
                </c:pt>
                <c:pt idx="7">
                  <c:v>9.3466159270139304</c:v>
                </c:pt>
                <c:pt idx="8">
                  <c:v>9.3374646238875503</c:v>
                </c:pt>
                <c:pt idx="9">
                  <c:v>9.3387959608780502</c:v>
                </c:pt>
                <c:pt idx="10">
                  <c:v>9.4425311698004695</c:v>
                </c:pt>
                <c:pt idx="11">
                  <c:v>9.4492594908561394</c:v>
                </c:pt>
                <c:pt idx="12">
                  <c:v>9.4365851484591392</c:v>
                </c:pt>
                <c:pt idx="13">
                  <c:v>9.1811023984636808</c:v>
                </c:pt>
                <c:pt idx="14">
                  <c:v>8.8908350985714097</c:v>
                </c:pt>
                <c:pt idx="15">
                  <c:v>8.7071994161469508</c:v>
                </c:pt>
                <c:pt idx="16">
                  <c:v>8.5654918306617809</c:v>
                </c:pt>
                <c:pt idx="17">
                  <c:v>8.3878129152788201</c:v>
                </c:pt>
                <c:pt idx="18">
                  <c:v>8.3909016619369403</c:v>
                </c:pt>
                <c:pt idx="19">
                  <c:v>8.5517700994726198</c:v>
                </c:pt>
                <c:pt idx="20">
                  <c:v>8.6727187269048702</c:v>
                </c:pt>
                <c:pt idx="21">
                  <c:v>8.7243814823915304</c:v>
                </c:pt>
                <c:pt idx="22">
                  <c:v>8.6543092616687698</c:v>
                </c:pt>
                <c:pt idx="23">
                  <c:v>8.4607068204538596</c:v>
                </c:pt>
                <c:pt idx="24">
                  <c:v>8.2199031379956793</c:v>
                </c:pt>
                <c:pt idx="25">
                  <c:v>8.0783801604321095</c:v>
                </c:pt>
                <c:pt idx="26">
                  <c:v>8.0134238958936503</c:v>
                </c:pt>
                <c:pt idx="27">
                  <c:v>8.1763542697776703</c:v>
                </c:pt>
                <c:pt idx="28">
                  <c:v>8.31477936489539</c:v>
                </c:pt>
                <c:pt idx="29">
                  <c:v>8.3380498908677403</c:v>
                </c:pt>
                <c:pt idx="30">
                  <c:v>8.1939404318187599</c:v>
                </c:pt>
                <c:pt idx="31">
                  <c:v>7.9443823314745297</c:v>
                </c:pt>
                <c:pt idx="32">
                  <c:v>7.7981187254120004</c:v>
                </c:pt>
                <c:pt idx="33">
                  <c:v>7.7789544646602904</c:v>
                </c:pt>
                <c:pt idx="34">
                  <c:v>7.7634160335708602</c:v>
                </c:pt>
                <c:pt idx="35">
                  <c:v>7.7176922985390499</c:v>
                </c:pt>
                <c:pt idx="36">
                  <c:v>7.59017655309367</c:v>
                </c:pt>
                <c:pt idx="37">
                  <c:v>7.4181398190183101</c:v>
                </c:pt>
                <c:pt idx="38">
                  <c:v>7.2821435801008301</c:v>
                </c:pt>
                <c:pt idx="39">
                  <c:v>7.2829061817109899</c:v>
                </c:pt>
                <c:pt idx="40">
                  <c:v>7.4099772340141099</c:v>
                </c:pt>
                <c:pt idx="41">
                  <c:v>7.5255301147193299</c:v>
                </c:pt>
                <c:pt idx="42">
                  <c:v>7.5280291246267899</c:v>
                </c:pt>
                <c:pt idx="43">
                  <c:v>7.6533970802593396</c:v>
                </c:pt>
                <c:pt idx="44">
                  <c:v>8.02556855591809</c:v>
                </c:pt>
                <c:pt idx="45">
                  <c:v>8.4943001206095001</c:v>
                </c:pt>
                <c:pt idx="46">
                  <c:v>8.7217335698262293</c:v>
                </c:pt>
                <c:pt idx="47">
                  <c:v>8.7532823475344692</c:v>
                </c:pt>
                <c:pt idx="48">
                  <c:v>8.8383460965895804</c:v>
                </c:pt>
                <c:pt idx="49">
                  <c:v>8.8808815410810897</c:v>
                </c:pt>
                <c:pt idx="50">
                  <c:v>9.0439997787709405</c:v>
                </c:pt>
                <c:pt idx="51">
                  <c:v>9.23283366039756</c:v>
                </c:pt>
                <c:pt idx="52">
                  <c:v>9.3906695372497193</c:v>
                </c:pt>
                <c:pt idx="53">
                  <c:v>9.4403507474715802</c:v>
                </c:pt>
                <c:pt idx="54">
                  <c:v>9.3464561007365692</c:v>
                </c:pt>
                <c:pt idx="55">
                  <c:v>9.1929470573679897</c:v>
                </c:pt>
                <c:pt idx="56">
                  <c:v>8.8660274214887007</c:v>
                </c:pt>
                <c:pt idx="57">
                  <c:v>8.5854084539170703</c:v>
                </c:pt>
                <c:pt idx="58">
                  <c:v>8.2154481961580093</c:v>
                </c:pt>
                <c:pt idx="59">
                  <c:v>7.9922571145285799</c:v>
                </c:pt>
                <c:pt idx="60">
                  <c:v>8.0495015755642907</c:v>
                </c:pt>
                <c:pt idx="61">
                  <c:v>8.1136416113871093</c:v>
                </c:pt>
                <c:pt idx="62">
                  <c:v>8.0099663828515002</c:v>
                </c:pt>
                <c:pt idx="63">
                  <c:v>7.8635664042884397</c:v>
                </c:pt>
                <c:pt idx="64">
                  <c:v>7.6827989507972996</c:v>
                </c:pt>
                <c:pt idx="65">
                  <c:v>7.5590209451383199</c:v>
                </c:pt>
                <c:pt idx="66">
                  <c:v>7.4175626037164202</c:v>
                </c:pt>
                <c:pt idx="67">
                  <c:v>7.6641077363151302</c:v>
                </c:pt>
                <c:pt idx="68">
                  <c:v>8.0566865892362003</c:v>
                </c:pt>
                <c:pt idx="69">
                  <c:v>8.3144178732654996</c:v>
                </c:pt>
                <c:pt idx="70">
                  <c:v>8.4724577524078892</c:v>
                </c:pt>
                <c:pt idx="71">
                  <c:v>8.5655578844229598</c:v>
                </c:pt>
                <c:pt idx="72">
                  <c:v>8.5146926635879794</c:v>
                </c:pt>
                <c:pt idx="73">
                  <c:v>8.4896336219489292</c:v>
                </c:pt>
                <c:pt idx="74">
                  <c:v>8.4645581107897794</c:v>
                </c:pt>
                <c:pt idx="75">
                  <c:v>8.2421295280461102</c:v>
                </c:pt>
                <c:pt idx="76">
                  <c:v>8.0753977816131197</c:v>
                </c:pt>
                <c:pt idx="77">
                  <c:v>8.12473125823694</c:v>
                </c:pt>
                <c:pt idx="78">
                  <c:v>8.13873945763868</c:v>
                </c:pt>
                <c:pt idx="79">
                  <c:v>8.1721168468532603</c:v>
                </c:pt>
                <c:pt idx="80">
                  <c:v>8.3451885412445606</c:v>
                </c:pt>
                <c:pt idx="81">
                  <c:v>8.3948491144212003</c:v>
                </c:pt>
                <c:pt idx="82">
                  <c:v>8.2768674584201403</c:v>
                </c:pt>
                <c:pt idx="83">
                  <c:v>8.0719154069753198</c:v>
                </c:pt>
                <c:pt idx="84">
                  <c:v>7.9000193136185999</c:v>
                </c:pt>
                <c:pt idx="85">
                  <c:v>7.8753546112960402</c:v>
                </c:pt>
                <c:pt idx="86">
                  <c:v>7.7777270561991099</c:v>
                </c:pt>
                <c:pt idx="87">
                  <c:v>7.6994512725656996</c:v>
                </c:pt>
                <c:pt idx="88">
                  <c:v>7.6056699944796602</c:v>
                </c:pt>
                <c:pt idx="89">
                  <c:v>7.4511667591416897</c:v>
                </c:pt>
                <c:pt idx="90">
                  <c:v>7.3390671705820401</c:v>
                </c:pt>
                <c:pt idx="91">
                  <c:v>7.3592158937653798</c:v>
                </c:pt>
                <c:pt idx="92">
                  <c:v>7.3619265937657703</c:v>
                </c:pt>
                <c:pt idx="93">
                  <c:v>7.3857588482879404</c:v>
                </c:pt>
                <c:pt idx="94">
                  <c:v>7.3705407601787503</c:v>
                </c:pt>
                <c:pt idx="95">
                  <c:v>7.3214354788225</c:v>
                </c:pt>
                <c:pt idx="96">
                  <c:v>7.25343509424511</c:v>
                </c:pt>
                <c:pt idx="97">
                  <c:v>7.1395826983306598</c:v>
                </c:pt>
                <c:pt idx="98">
                  <c:v>6.90236092263196</c:v>
                </c:pt>
                <c:pt idx="99">
                  <c:v>6.8992471614794297</c:v>
                </c:pt>
                <c:pt idx="100">
                  <c:v>6.9553584161383402</c:v>
                </c:pt>
                <c:pt idx="101">
                  <c:v>6.9742593527068699</c:v>
                </c:pt>
                <c:pt idx="102">
                  <c:v>7.0385884696023497</c:v>
                </c:pt>
                <c:pt idx="103">
                  <c:v>7.1607201190392802</c:v>
                </c:pt>
                <c:pt idx="104">
                  <c:v>7.2288317962976301</c:v>
                </c:pt>
                <c:pt idx="105">
                  <c:v>7.32947390312588</c:v>
                </c:pt>
                <c:pt idx="106">
                  <c:v>7.6319612002456401</c:v>
                </c:pt>
                <c:pt idx="107">
                  <c:v>7.9234923720264998</c:v>
                </c:pt>
                <c:pt idx="108">
                  <c:v>8.1401077441243395</c:v>
                </c:pt>
                <c:pt idx="109">
                  <c:v>8.2394733316732705</c:v>
                </c:pt>
                <c:pt idx="110">
                  <c:v>8.2383067894661792</c:v>
                </c:pt>
                <c:pt idx="111">
                  <c:v>8.22843117493899</c:v>
                </c:pt>
                <c:pt idx="112">
                  <c:v>8.2792100005257794</c:v>
                </c:pt>
                <c:pt idx="113">
                  <c:v>8.4704761460936808</c:v>
                </c:pt>
                <c:pt idx="114">
                  <c:v>8.6138012399378105</c:v>
                </c:pt>
                <c:pt idx="115">
                  <c:v>8.5932394861196997</c:v>
                </c:pt>
                <c:pt idx="116">
                  <c:v>8.5599904513236105</c:v>
                </c:pt>
                <c:pt idx="117">
                  <c:v>8.5553283787649992</c:v>
                </c:pt>
                <c:pt idx="118">
                  <c:v>8.6214134357863994</c:v>
                </c:pt>
                <c:pt idx="119">
                  <c:v>8.4753630953369701</c:v>
                </c:pt>
                <c:pt idx="120">
                  <c:v>8.3980075735585693</c:v>
                </c:pt>
                <c:pt idx="121">
                  <c:v>8.3179505723638592</c:v>
                </c:pt>
                <c:pt idx="122">
                  <c:v>8.2429961693199107</c:v>
                </c:pt>
                <c:pt idx="123">
                  <c:v>8.1462753982133496</c:v>
                </c:pt>
                <c:pt idx="124">
                  <c:v>7.9443922333281103</c:v>
                </c:pt>
                <c:pt idx="125">
                  <c:v>7.4912761220638</c:v>
                </c:pt>
                <c:pt idx="126">
                  <c:v>7.2429741134403303</c:v>
                </c:pt>
                <c:pt idx="127">
                  <c:v>7.2484561835768204</c:v>
                </c:pt>
                <c:pt idx="128">
                  <c:v>7.25097710194217</c:v>
                </c:pt>
                <c:pt idx="129">
                  <c:v>7.3091441231855097</c:v>
                </c:pt>
                <c:pt idx="130">
                  <c:v>7.3586706304040099</c:v>
                </c:pt>
                <c:pt idx="131">
                  <c:v>7.3371404156695004</c:v>
                </c:pt>
                <c:pt idx="132">
                  <c:v>7.2442427762612196</c:v>
                </c:pt>
                <c:pt idx="133">
                  <c:v>7.0706664998298496</c:v>
                </c:pt>
                <c:pt idx="134">
                  <c:v>6.8958505887617001</c:v>
                </c:pt>
                <c:pt idx="135">
                  <c:v>6.7817553328217901</c:v>
                </c:pt>
                <c:pt idx="136">
                  <c:v>6.8673794736556699</c:v>
                </c:pt>
                <c:pt idx="137">
                  <c:v>7.1147546941391697</c:v>
                </c:pt>
                <c:pt idx="138">
                  <c:v>7.0581382499514902</c:v>
                </c:pt>
                <c:pt idx="139">
                  <c:v>7.1351549277071404</c:v>
                </c:pt>
                <c:pt idx="140">
                  <c:v>7.1994199282590499</c:v>
                </c:pt>
                <c:pt idx="141">
                  <c:v>7.1419319294977104</c:v>
                </c:pt>
                <c:pt idx="142">
                  <c:v>7.1113796173385397</c:v>
                </c:pt>
                <c:pt idx="143">
                  <c:v>6.9401886323345998</c:v>
                </c:pt>
                <c:pt idx="144">
                  <c:v>6.6404637861556797</c:v>
                </c:pt>
                <c:pt idx="145">
                  <c:v>6.4595136880956296</c:v>
                </c:pt>
                <c:pt idx="146">
                  <c:v>6.2981300308263197</c:v>
                </c:pt>
                <c:pt idx="147">
                  <c:v>6.2610392743437702</c:v>
                </c:pt>
                <c:pt idx="148">
                  <c:v>6.1957888564731798</c:v>
                </c:pt>
                <c:pt idx="149">
                  <c:v>6.1525061863357102</c:v>
                </c:pt>
                <c:pt idx="150">
                  <c:v>6.1204576508512103</c:v>
                </c:pt>
                <c:pt idx="151">
                  <c:v>5.9743081805432503</c:v>
                </c:pt>
                <c:pt idx="152">
                  <c:v>5.9459609218861598</c:v>
                </c:pt>
                <c:pt idx="153">
                  <c:v>5.8391137177159402</c:v>
                </c:pt>
                <c:pt idx="154">
                  <c:v>5.5201899337796396</c:v>
                </c:pt>
                <c:pt idx="155">
                  <c:v>5.5336697813772702</c:v>
                </c:pt>
                <c:pt idx="156">
                  <c:v>5.8501686054547797</c:v>
                </c:pt>
                <c:pt idx="157">
                  <c:v>6.2124849476470496</c:v>
                </c:pt>
                <c:pt idx="158">
                  <c:v>6.1782964098072499</c:v>
                </c:pt>
                <c:pt idx="159">
                  <c:v>6.1251373300383101</c:v>
                </c:pt>
                <c:pt idx="160">
                  <c:v>6.0973776275302498</c:v>
                </c:pt>
                <c:pt idx="161">
                  <c:v>5.9974799277938304</c:v>
                </c:pt>
                <c:pt idx="162">
                  <c:v>5.89340927136465</c:v>
                </c:pt>
                <c:pt idx="163">
                  <c:v>5.7890021734722401</c:v>
                </c:pt>
                <c:pt idx="164">
                  <c:v>5.8402425612165301</c:v>
                </c:pt>
                <c:pt idx="165">
                  <c:v>6.1209464522091803</c:v>
                </c:pt>
                <c:pt idx="166">
                  <c:v>6.4088851901344004</c:v>
                </c:pt>
                <c:pt idx="167">
                  <c:v>6.3781256207928898</c:v>
                </c:pt>
                <c:pt idx="168">
                  <c:v>6.2198518258399602</c:v>
                </c:pt>
                <c:pt idx="169">
                  <c:v>6.0801958535058898</c:v>
                </c:pt>
                <c:pt idx="170">
                  <c:v>5.95196192738051</c:v>
                </c:pt>
                <c:pt idx="171">
                  <c:v>5.9365778976751402</c:v>
                </c:pt>
                <c:pt idx="172">
                  <c:v>5.9008552096425504</c:v>
                </c:pt>
                <c:pt idx="173">
                  <c:v>5.8955147285371901</c:v>
                </c:pt>
                <c:pt idx="174">
                  <c:v>5.7933823839289502</c:v>
                </c:pt>
                <c:pt idx="175">
                  <c:v>5.8252285169281004</c:v>
                </c:pt>
                <c:pt idx="176">
                  <c:v>5.9766517249116804</c:v>
                </c:pt>
                <c:pt idx="177">
                  <c:v>5.9196025039644304</c:v>
                </c:pt>
                <c:pt idx="178">
                  <c:v>5.7799999943408604</c:v>
                </c:pt>
                <c:pt idx="179">
                  <c:v>5.7442695703549802</c:v>
                </c:pt>
                <c:pt idx="180">
                  <c:v>5.8404006537848199</c:v>
                </c:pt>
                <c:pt idx="181">
                  <c:v>5.8792413467449203</c:v>
                </c:pt>
                <c:pt idx="182">
                  <c:v>5.9670927851230697</c:v>
                </c:pt>
                <c:pt idx="183">
                  <c:v>6.1934227895173803</c:v>
                </c:pt>
                <c:pt idx="184">
                  <c:v>6.2199440503702803</c:v>
                </c:pt>
                <c:pt idx="185">
                  <c:v>6.1598519498046604</c:v>
                </c:pt>
                <c:pt idx="186">
                  <c:v>6.1243932849708402</c:v>
                </c:pt>
                <c:pt idx="187">
                  <c:v>6.2259669540509197</c:v>
                </c:pt>
                <c:pt idx="188">
                  <c:v>6.38536297171225</c:v>
                </c:pt>
                <c:pt idx="189">
                  <c:v>6.5451414436710103</c:v>
                </c:pt>
                <c:pt idx="190">
                  <c:v>6.6595362769291704</c:v>
                </c:pt>
                <c:pt idx="191">
                  <c:v>6.7665069131437301</c:v>
                </c:pt>
                <c:pt idx="192">
                  <c:v>6.70594150655044</c:v>
                </c:pt>
                <c:pt idx="193">
                  <c:v>6.5437723771014698</c:v>
                </c:pt>
                <c:pt idx="194">
                  <c:v>6.4495992326896996</c:v>
                </c:pt>
                <c:pt idx="195">
                  <c:v>6.3913730860348599</c:v>
                </c:pt>
                <c:pt idx="196">
                  <c:v>6.3096942873611201</c:v>
                </c:pt>
                <c:pt idx="197">
                  <c:v>6.3021281485684604</c:v>
                </c:pt>
                <c:pt idx="198">
                  <c:v>6.3559428866507899</c:v>
                </c:pt>
                <c:pt idx="199">
                  <c:v>6.3413111125940302</c:v>
                </c:pt>
                <c:pt idx="200">
                  <c:v>6.3355023101061496</c:v>
                </c:pt>
                <c:pt idx="201">
                  <c:v>6.3835299788385296</c:v>
                </c:pt>
                <c:pt idx="202">
                  <c:v>6.6113626680089004</c:v>
                </c:pt>
                <c:pt idx="203">
                  <c:v>6.7534267509645298</c:v>
                </c:pt>
                <c:pt idx="204">
                  <c:v>6.7706281396433701</c:v>
                </c:pt>
                <c:pt idx="205">
                  <c:v>6.63833568432094</c:v>
                </c:pt>
                <c:pt idx="206">
                  <c:v>6.58374818645283</c:v>
                </c:pt>
                <c:pt idx="207">
                  <c:v>6.4803028359322603</c:v>
                </c:pt>
                <c:pt idx="208">
                  <c:v>6.2881119983895202</c:v>
                </c:pt>
                <c:pt idx="209">
                  <c:v>6.1186336780147599</c:v>
                </c:pt>
                <c:pt idx="210">
                  <c:v>5.9173044595928701</c:v>
                </c:pt>
                <c:pt idx="211">
                  <c:v>6.0531440494997204</c:v>
                </c:pt>
                <c:pt idx="212">
                  <c:v>5.9664552720871598</c:v>
                </c:pt>
                <c:pt idx="213">
                  <c:v>6.0912277533695596</c:v>
                </c:pt>
                <c:pt idx="214">
                  <c:v>6.2680470093000702</c:v>
                </c:pt>
                <c:pt idx="215">
                  <c:v>6.4755999196895599</c:v>
                </c:pt>
                <c:pt idx="216">
                  <c:v>6.5425803301907699</c:v>
                </c:pt>
                <c:pt idx="217">
                  <c:v>6.3685990488897604</c:v>
                </c:pt>
                <c:pt idx="218">
                  <c:v>6.1748644016730196</c:v>
                </c:pt>
                <c:pt idx="219">
                  <c:v>6.2546658454494697</c:v>
                </c:pt>
                <c:pt idx="220">
                  <c:v>5.7508942797440303</c:v>
                </c:pt>
                <c:pt idx="221">
                  <c:v>5.25628992432069</c:v>
                </c:pt>
                <c:pt idx="222">
                  <c:v>5.1872272111559203</c:v>
                </c:pt>
                <c:pt idx="223">
                  <c:v>5.19661254099874</c:v>
                </c:pt>
                <c:pt idx="224">
                  <c:v>5.1201972349628599</c:v>
                </c:pt>
                <c:pt idx="225">
                  <c:v>4.9975701069269904</c:v>
                </c:pt>
                <c:pt idx="226">
                  <c:v>5.0331368759382604</c:v>
                </c:pt>
                <c:pt idx="227">
                  <c:v>5.4122820182813403</c:v>
                </c:pt>
                <c:pt idx="228">
                  <c:v>5.3746140640319497</c:v>
                </c:pt>
                <c:pt idx="229">
                  <c:v>5.3116389791902403</c:v>
                </c:pt>
                <c:pt idx="230">
                  <c:v>5.1825437396679703</c:v>
                </c:pt>
                <c:pt idx="231">
                  <c:v>5.1456049913645803</c:v>
                </c:pt>
                <c:pt idx="232">
                  <c:v>5.1199700849927003</c:v>
                </c:pt>
                <c:pt idx="233">
                  <c:v>5.1398586870124703</c:v>
                </c:pt>
                <c:pt idx="234">
                  <c:v>5.1321242842144796</c:v>
                </c:pt>
                <c:pt idx="235">
                  <c:v>5.1882392710373297</c:v>
                </c:pt>
                <c:pt idx="236">
                  <c:v>5.0888956941328498</c:v>
                </c:pt>
                <c:pt idx="237">
                  <c:v>5.2012836938468503</c:v>
                </c:pt>
                <c:pt idx="238">
                  <c:v>4.9706313913769602</c:v>
                </c:pt>
                <c:pt idx="239">
                  <c:v>4.8128143122589</c:v>
                </c:pt>
                <c:pt idx="240">
                  <c:v>4.6391165015058702</c:v>
                </c:pt>
                <c:pt idx="241">
                  <c:v>4.5414265551772202</c:v>
                </c:pt>
                <c:pt idx="242">
                  <c:v>4.47106025830566</c:v>
                </c:pt>
                <c:pt idx="243">
                  <c:v>4.40470209136131</c:v>
                </c:pt>
                <c:pt idx="244">
                  <c:v>4.4237441054012301</c:v>
                </c:pt>
                <c:pt idx="245">
                  <c:v>4.6951521583592202</c:v>
                </c:pt>
                <c:pt idx="246">
                  <c:v>4.7336396852904397</c:v>
                </c:pt>
                <c:pt idx="247">
                  <c:v>4.9260615540339003</c:v>
                </c:pt>
                <c:pt idx="248">
                  <c:v>4.8357766551057004</c:v>
                </c:pt>
                <c:pt idx="249">
                  <c:v>4.8384779639162101</c:v>
                </c:pt>
                <c:pt idx="250">
                  <c:v>4.6316676361441003</c:v>
                </c:pt>
                <c:pt idx="251">
                  <c:v>4.4593340373787997</c:v>
                </c:pt>
                <c:pt idx="252">
                  <c:v>4.3435901524873</c:v>
                </c:pt>
                <c:pt idx="253">
                  <c:v>4.1806790157654001</c:v>
                </c:pt>
                <c:pt idx="254">
                  <c:v>4.0814517872704297</c:v>
                </c:pt>
                <c:pt idx="255">
                  <c:v>4.0560314280140997</c:v>
                </c:pt>
                <c:pt idx="256">
                  <c:v>4.0337038519576902</c:v>
                </c:pt>
                <c:pt idx="257">
                  <c:v>3.9875107285518601</c:v>
                </c:pt>
                <c:pt idx="258">
                  <c:v>3.8726089861504001</c:v>
                </c:pt>
                <c:pt idx="259">
                  <c:v>4.11027391994058</c:v>
                </c:pt>
                <c:pt idx="260">
                  <c:v>3.9190852289053502</c:v>
                </c:pt>
                <c:pt idx="261">
                  <c:v>3.9010255733901298</c:v>
                </c:pt>
                <c:pt idx="262">
                  <c:v>3.80038625127112</c:v>
                </c:pt>
                <c:pt idx="263">
                  <c:v>3.7384805298299999</c:v>
                </c:pt>
                <c:pt idx="264">
                  <c:v>3.5669696306579102</c:v>
                </c:pt>
                <c:pt idx="265">
                  <c:v>3.6772823702449702</c:v>
                </c:pt>
                <c:pt idx="266">
                  <c:v>3.5905844338525701</c:v>
                </c:pt>
                <c:pt idx="267">
                  <c:v>3.4444371647029501</c:v>
                </c:pt>
                <c:pt idx="268">
                  <c:v>3.37231178037135</c:v>
                </c:pt>
                <c:pt idx="269">
                  <c:v>3.43686272548798</c:v>
                </c:pt>
                <c:pt idx="270">
                  <c:v>3.4169763329399299</c:v>
                </c:pt>
                <c:pt idx="271">
                  <c:v>3.6961250563893802</c:v>
                </c:pt>
                <c:pt idx="272">
                  <c:v>3.5922298772252099</c:v>
                </c:pt>
                <c:pt idx="273">
                  <c:v>3.4429250294443099</c:v>
                </c:pt>
                <c:pt idx="274">
                  <c:v>3.61453354603097</c:v>
                </c:pt>
                <c:pt idx="275">
                  <c:v>4.01914343254467</c:v>
                </c:pt>
                <c:pt idx="276">
                  <c:v>4.2334579092939402</c:v>
                </c:pt>
                <c:pt idx="277">
                  <c:v>4.2744734056716096</c:v>
                </c:pt>
                <c:pt idx="278">
                  <c:v>4.1739145555250898</c:v>
                </c:pt>
                <c:pt idx="279">
                  <c:v>4.1562444316535503</c:v>
                </c:pt>
                <c:pt idx="280">
                  <c:v>4.2222875047346697</c:v>
                </c:pt>
                <c:pt idx="281">
                  <c:v>4.2572589647894299</c:v>
                </c:pt>
                <c:pt idx="282">
                  <c:v>4.2133994094223803</c:v>
                </c:pt>
                <c:pt idx="283">
                  <c:v>4.3452771159086598</c:v>
                </c:pt>
                <c:pt idx="284">
                  <c:v>4.2157614137886297</c:v>
                </c:pt>
                <c:pt idx="285">
                  <c:v>4.1457992944981097</c:v>
                </c:pt>
                <c:pt idx="286">
                  <c:v>4.1033025268300598</c:v>
                </c:pt>
                <c:pt idx="287">
                  <c:v>4.0850068468409901</c:v>
                </c:pt>
                <c:pt idx="288">
                  <c:v>4.0830800374301299</c:v>
                </c:pt>
                <c:pt idx="289">
                  <c:v>4.08813479162857</c:v>
                </c:pt>
                <c:pt idx="290">
                  <c:v>3.8579942967630498</c:v>
                </c:pt>
                <c:pt idx="291">
                  <c:v>3.9295052315177599</c:v>
                </c:pt>
                <c:pt idx="292">
                  <c:v>3.7818592079475</c:v>
                </c:pt>
                <c:pt idx="293">
                  <c:v>3.9062206494715701</c:v>
                </c:pt>
                <c:pt idx="294">
                  <c:v>3.73316913669245</c:v>
                </c:pt>
                <c:pt idx="295">
                  <c:v>3.6827713575035599</c:v>
                </c:pt>
                <c:pt idx="296">
                  <c:v>3.91581070579333</c:v>
                </c:pt>
                <c:pt idx="297">
                  <c:v>3.6650289749619298</c:v>
                </c:pt>
                <c:pt idx="298">
                  <c:v>3.9242726586108398</c:v>
                </c:pt>
                <c:pt idx="299">
                  <c:v>4.0501614741017402</c:v>
                </c:pt>
                <c:pt idx="300">
                  <c:v>3.9892127723420598</c:v>
                </c:pt>
                <c:pt idx="301">
                  <c:v>3.8727240132799201</c:v>
                </c:pt>
                <c:pt idx="302">
                  <c:v>3.8292010022760898</c:v>
                </c:pt>
                <c:pt idx="303">
                  <c:v>3.8132887377062201</c:v>
                </c:pt>
                <c:pt idx="304">
                  <c:v>3.8354079771009202</c:v>
                </c:pt>
                <c:pt idx="305">
                  <c:v>3.8042216579111199</c:v>
                </c:pt>
                <c:pt idx="306">
                  <c:v>3.9061348497278998</c:v>
                </c:pt>
                <c:pt idx="307">
                  <c:v>3.6897006007756401</c:v>
                </c:pt>
                <c:pt idx="308">
                  <c:v>3.6620521308154901</c:v>
                </c:pt>
                <c:pt idx="309">
                  <c:v>3.64919414920195</c:v>
                </c:pt>
                <c:pt idx="310">
                  <c:v>3.61440587360253</c:v>
                </c:pt>
                <c:pt idx="311">
                  <c:v>3.5831343135493201</c:v>
                </c:pt>
                <c:pt idx="312">
                  <c:v>3.4914415668770702</c:v>
                </c:pt>
                <c:pt idx="313">
                  <c:v>3.4477173206475902</c:v>
                </c:pt>
                <c:pt idx="314">
                  <c:v>3.4886539638427698</c:v>
                </c:pt>
                <c:pt idx="315">
                  <c:v>3.5208908942667101</c:v>
                </c:pt>
                <c:pt idx="316">
                  <c:v>3.6668269414690098</c:v>
                </c:pt>
                <c:pt idx="317">
                  <c:v>4.3078984675894096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52800"/>
        <c:axId val="71854336"/>
      </c:lineChart>
      <c:dateAx>
        <c:axId val="71852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1854336"/>
        <c:crosses val="autoZero"/>
        <c:auto val="1"/>
        <c:lblOffset val="100"/>
        <c:baseTimeUnit val="months"/>
      </c:dateAx>
      <c:valAx>
        <c:axId val="7185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1852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Sheet5!$J$1</c:f>
              <c:strCache>
                <c:ptCount val="1"/>
                <c:pt idx="0">
                  <c:v>Spread</c:v>
                </c:pt>
              </c:strCache>
            </c:strRef>
          </c:tx>
          <c:marker>
            <c:symbol val="none"/>
          </c:marker>
          <c:cat>
            <c:numRef>
              <c:f>Sheet5!$A$2:$A$327</c:f>
              <c:numCache>
                <c:formatCode>m/d/yyyy</c:formatCode>
                <c:ptCount val="326"/>
                <c:pt idx="0">
                  <c:v>33117</c:v>
                </c:pt>
                <c:pt idx="1">
                  <c:v>33147</c:v>
                </c:pt>
                <c:pt idx="2">
                  <c:v>33178</c:v>
                </c:pt>
                <c:pt idx="3">
                  <c:v>33208</c:v>
                </c:pt>
                <c:pt idx="4">
                  <c:v>33239</c:v>
                </c:pt>
                <c:pt idx="5">
                  <c:v>33270</c:v>
                </c:pt>
                <c:pt idx="6">
                  <c:v>33298</c:v>
                </c:pt>
                <c:pt idx="7">
                  <c:v>33329</c:v>
                </c:pt>
                <c:pt idx="8">
                  <c:v>33359</c:v>
                </c:pt>
                <c:pt idx="9">
                  <c:v>33390</c:v>
                </c:pt>
                <c:pt idx="10">
                  <c:v>33420</c:v>
                </c:pt>
                <c:pt idx="11">
                  <c:v>33451</c:v>
                </c:pt>
                <c:pt idx="12">
                  <c:v>33482</c:v>
                </c:pt>
                <c:pt idx="13">
                  <c:v>33512</c:v>
                </c:pt>
                <c:pt idx="14">
                  <c:v>33543</c:v>
                </c:pt>
                <c:pt idx="15">
                  <c:v>33573</c:v>
                </c:pt>
                <c:pt idx="16">
                  <c:v>33604</c:v>
                </c:pt>
                <c:pt idx="17">
                  <c:v>33635</c:v>
                </c:pt>
                <c:pt idx="18">
                  <c:v>33664</c:v>
                </c:pt>
                <c:pt idx="19">
                  <c:v>33695</c:v>
                </c:pt>
                <c:pt idx="20">
                  <c:v>33725</c:v>
                </c:pt>
                <c:pt idx="21">
                  <c:v>33756</c:v>
                </c:pt>
                <c:pt idx="22">
                  <c:v>33786</c:v>
                </c:pt>
                <c:pt idx="23">
                  <c:v>33817</c:v>
                </c:pt>
                <c:pt idx="24">
                  <c:v>33848</c:v>
                </c:pt>
                <c:pt idx="25">
                  <c:v>33878</c:v>
                </c:pt>
                <c:pt idx="26">
                  <c:v>33909</c:v>
                </c:pt>
                <c:pt idx="27">
                  <c:v>33939</c:v>
                </c:pt>
                <c:pt idx="28">
                  <c:v>33970</c:v>
                </c:pt>
                <c:pt idx="29">
                  <c:v>34001</c:v>
                </c:pt>
                <c:pt idx="30">
                  <c:v>34029</c:v>
                </c:pt>
                <c:pt idx="31">
                  <c:v>34060</c:v>
                </c:pt>
                <c:pt idx="32">
                  <c:v>34090</c:v>
                </c:pt>
                <c:pt idx="33">
                  <c:v>34121</c:v>
                </c:pt>
                <c:pt idx="34">
                  <c:v>34151</c:v>
                </c:pt>
                <c:pt idx="35">
                  <c:v>34182</c:v>
                </c:pt>
                <c:pt idx="36">
                  <c:v>34213</c:v>
                </c:pt>
                <c:pt idx="37">
                  <c:v>34243</c:v>
                </c:pt>
                <c:pt idx="38">
                  <c:v>34274</c:v>
                </c:pt>
                <c:pt idx="39">
                  <c:v>34304</c:v>
                </c:pt>
                <c:pt idx="40">
                  <c:v>34335</c:v>
                </c:pt>
                <c:pt idx="41">
                  <c:v>34366</c:v>
                </c:pt>
                <c:pt idx="42">
                  <c:v>34394</c:v>
                </c:pt>
                <c:pt idx="43">
                  <c:v>34425</c:v>
                </c:pt>
                <c:pt idx="44">
                  <c:v>34455</c:v>
                </c:pt>
                <c:pt idx="45">
                  <c:v>34486</c:v>
                </c:pt>
                <c:pt idx="46">
                  <c:v>34516</c:v>
                </c:pt>
                <c:pt idx="47">
                  <c:v>34547</c:v>
                </c:pt>
                <c:pt idx="48">
                  <c:v>34578</c:v>
                </c:pt>
                <c:pt idx="49">
                  <c:v>34608</c:v>
                </c:pt>
                <c:pt idx="50">
                  <c:v>34639</c:v>
                </c:pt>
                <c:pt idx="51">
                  <c:v>34669</c:v>
                </c:pt>
                <c:pt idx="52">
                  <c:v>34700</c:v>
                </c:pt>
                <c:pt idx="53">
                  <c:v>34731</c:v>
                </c:pt>
                <c:pt idx="54">
                  <c:v>34759</c:v>
                </c:pt>
                <c:pt idx="55">
                  <c:v>34790</c:v>
                </c:pt>
                <c:pt idx="56">
                  <c:v>34820</c:v>
                </c:pt>
                <c:pt idx="57">
                  <c:v>34851</c:v>
                </c:pt>
                <c:pt idx="58">
                  <c:v>34881</c:v>
                </c:pt>
                <c:pt idx="59">
                  <c:v>34912</c:v>
                </c:pt>
                <c:pt idx="60">
                  <c:v>34943</c:v>
                </c:pt>
                <c:pt idx="61">
                  <c:v>34973</c:v>
                </c:pt>
                <c:pt idx="62">
                  <c:v>35004</c:v>
                </c:pt>
                <c:pt idx="63">
                  <c:v>35034</c:v>
                </c:pt>
                <c:pt idx="64">
                  <c:v>35065</c:v>
                </c:pt>
                <c:pt idx="65">
                  <c:v>35096</c:v>
                </c:pt>
                <c:pt idx="66">
                  <c:v>35125</c:v>
                </c:pt>
                <c:pt idx="67">
                  <c:v>35156</c:v>
                </c:pt>
                <c:pt idx="68">
                  <c:v>35186</c:v>
                </c:pt>
                <c:pt idx="69">
                  <c:v>35217</c:v>
                </c:pt>
                <c:pt idx="70">
                  <c:v>35247</c:v>
                </c:pt>
                <c:pt idx="71">
                  <c:v>35278</c:v>
                </c:pt>
                <c:pt idx="72">
                  <c:v>35309</c:v>
                </c:pt>
                <c:pt idx="73">
                  <c:v>35339</c:v>
                </c:pt>
                <c:pt idx="74">
                  <c:v>35370</c:v>
                </c:pt>
                <c:pt idx="75">
                  <c:v>35400</c:v>
                </c:pt>
                <c:pt idx="76">
                  <c:v>35431</c:v>
                </c:pt>
                <c:pt idx="77">
                  <c:v>35462</c:v>
                </c:pt>
                <c:pt idx="78">
                  <c:v>35490</c:v>
                </c:pt>
                <c:pt idx="79">
                  <c:v>35521</c:v>
                </c:pt>
                <c:pt idx="80">
                  <c:v>35551</c:v>
                </c:pt>
                <c:pt idx="81">
                  <c:v>35582</c:v>
                </c:pt>
                <c:pt idx="82">
                  <c:v>35612</c:v>
                </c:pt>
                <c:pt idx="83">
                  <c:v>35643</c:v>
                </c:pt>
                <c:pt idx="84">
                  <c:v>35674</c:v>
                </c:pt>
                <c:pt idx="85">
                  <c:v>35704</c:v>
                </c:pt>
                <c:pt idx="86">
                  <c:v>35735</c:v>
                </c:pt>
                <c:pt idx="87">
                  <c:v>35765</c:v>
                </c:pt>
                <c:pt idx="88">
                  <c:v>35796</c:v>
                </c:pt>
                <c:pt idx="89">
                  <c:v>35827</c:v>
                </c:pt>
                <c:pt idx="90">
                  <c:v>35855</c:v>
                </c:pt>
                <c:pt idx="91">
                  <c:v>35886</c:v>
                </c:pt>
                <c:pt idx="92">
                  <c:v>35916</c:v>
                </c:pt>
                <c:pt idx="93">
                  <c:v>35947</c:v>
                </c:pt>
                <c:pt idx="94">
                  <c:v>35977</c:v>
                </c:pt>
                <c:pt idx="95">
                  <c:v>36008</c:v>
                </c:pt>
                <c:pt idx="96">
                  <c:v>36039</c:v>
                </c:pt>
                <c:pt idx="97">
                  <c:v>36069</c:v>
                </c:pt>
                <c:pt idx="98">
                  <c:v>36100</c:v>
                </c:pt>
                <c:pt idx="99">
                  <c:v>36130</c:v>
                </c:pt>
                <c:pt idx="100">
                  <c:v>36161</c:v>
                </c:pt>
                <c:pt idx="101">
                  <c:v>36192</c:v>
                </c:pt>
                <c:pt idx="102">
                  <c:v>36220</c:v>
                </c:pt>
                <c:pt idx="103">
                  <c:v>36251</c:v>
                </c:pt>
                <c:pt idx="104">
                  <c:v>36281</c:v>
                </c:pt>
                <c:pt idx="105">
                  <c:v>36312</c:v>
                </c:pt>
                <c:pt idx="106">
                  <c:v>36342</c:v>
                </c:pt>
                <c:pt idx="107">
                  <c:v>36373</c:v>
                </c:pt>
                <c:pt idx="108">
                  <c:v>36404</c:v>
                </c:pt>
                <c:pt idx="109">
                  <c:v>36434</c:v>
                </c:pt>
                <c:pt idx="110">
                  <c:v>36465</c:v>
                </c:pt>
                <c:pt idx="111">
                  <c:v>36495</c:v>
                </c:pt>
                <c:pt idx="112">
                  <c:v>36526</c:v>
                </c:pt>
                <c:pt idx="113">
                  <c:v>36557</c:v>
                </c:pt>
                <c:pt idx="114">
                  <c:v>36586</c:v>
                </c:pt>
                <c:pt idx="115">
                  <c:v>36617</c:v>
                </c:pt>
                <c:pt idx="116">
                  <c:v>36647</c:v>
                </c:pt>
                <c:pt idx="117">
                  <c:v>36678</c:v>
                </c:pt>
                <c:pt idx="118">
                  <c:v>36708</c:v>
                </c:pt>
                <c:pt idx="119">
                  <c:v>36739</c:v>
                </c:pt>
                <c:pt idx="120">
                  <c:v>36770</c:v>
                </c:pt>
                <c:pt idx="121">
                  <c:v>36800</c:v>
                </c:pt>
                <c:pt idx="122">
                  <c:v>36831</c:v>
                </c:pt>
                <c:pt idx="123">
                  <c:v>36861</c:v>
                </c:pt>
                <c:pt idx="124">
                  <c:v>36892</c:v>
                </c:pt>
                <c:pt idx="125">
                  <c:v>36923</c:v>
                </c:pt>
                <c:pt idx="126">
                  <c:v>36951</c:v>
                </c:pt>
                <c:pt idx="127">
                  <c:v>36982</c:v>
                </c:pt>
                <c:pt idx="128">
                  <c:v>37012</c:v>
                </c:pt>
                <c:pt idx="129">
                  <c:v>37043</c:v>
                </c:pt>
                <c:pt idx="130">
                  <c:v>37073</c:v>
                </c:pt>
                <c:pt idx="131">
                  <c:v>37104</c:v>
                </c:pt>
                <c:pt idx="132">
                  <c:v>37135</c:v>
                </c:pt>
                <c:pt idx="133">
                  <c:v>37165</c:v>
                </c:pt>
                <c:pt idx="134">
                  <c:v>37196</c:v>
                </c:pt>
                <c:pt idx="135">
                  <c:v>37226</c:v>
                </c:pt>
                <c:pt idx="136">
                  <c:v>37257</c:v>
                </c:pt>
                <c:pt idx="137">
                  <c:v>37288</c:v>
                </c:pt>
                <c:pt idx="138">
                  <c:v>37316</c:v>
                </c:pt>
                <c:pt idx="139">
                  <c:v>37347</c:v>
                </c:pt>
                <c:pt idx="140">
                  <c:v>37377</c:v>
                </c:pt>
                <c:pt idx="141">
                  <c:v>37408</c:v>
                </c:pt>
                <c:pt idx="142">
                  <c:v>37438</c:v>
                </c:pt>
                <c:pt idx="143">
                  <c:v>37469</c:v>
                </c:pt>
                <c:pt idx="144">
                  <c:v>37500</c:v>
                </c:pt>
                <c:pt idx="145">
                  <c:v>37530</c:v>
                </c:pt>
                <c:pt idx="146">
                  <c:v>37561</c:v>
                </c:pt>
                <c:pt idx="147">
                  <c:v>37591</c:v>
                </c:pt>
                <c:pt idx="148">
                  <c:v>37622</c:v>
                </c:pt>
                <c:pt idx="149">
                  <c:v>37653</c:v>
                </c:pt>
                <c:pt idx="150">
                  <c:v>37681</c:v>
                </c:pt>
                <c:pt idx="151">
                  <c:v>37712</c:v>
                </c:pt>
                <c:pt idx="152">
                  <c:v>37742</c:v>
                </c:pt>
                <c:pt idx="153">
                  <c:v>37773</c:v>
                </c:pt>
                <c:pt idx="154">
                  <c:v>37803</c:v>
                </c:pt>
                <c:pt idx="155">
                  <c:v>37834</c:v>
                </c:pt>
                <c:pt idx="156">
                  <c:v>37865</c:v>
                </c:pt>
                <c:pt idx="157">
                  <c:v>37895</c:v>
                </c:pt>
                <c:pt idx="158">
                  <c:v>37926</c:v>
                </c:pt>
                <c:pt idx="159">
                  <c:v>37956</c:v>
                </c:pt>
                <c:pt idx="160">
                  <c:v>37987</c:v>
                </c:pt>
                <c:pt idx="161">
                  <c:v>38018</c:v>
                </c:pt>
                <c:pt idx="162">
                  <c:v>38047</c:v>
                </c:pt>
                <c:pt idx="163">
                  <c:v>38078</c:v>
                </c:pt>
                <c:pt idx="164">
                  <c:v>38108</c:v>
                </c:pt>
                <c:pt idx="165">
                  <c:v>38139</c:v>
                </c:pt>
                <c:pt idx="166">
                  <c:v>38169</c:v>
                </c:pt>
                <c:pt idx="167">
                  <c:v>38200</c:v>
                </c:pt>
                <c:pt idx="168">
                  <c:v>38231</c:v>
                </c:pt>
                <c:pt idx="169">
                  <c:v>38261</c:v>
                </c:pt>
                <c:pt idx="170">
                  <c:v>38292</c:v>
                </c:pt>
                <c:pt idx="171">
                  <c:v>38322</c:v>
                </c:pt>
                <c:pt idx="172">
                  <c:v>38353</c:v>
                </c:pt>
                <c:pt idx="173">
                  <c:v>38384</c:v>
                </c:pt>
                <c:pt idx="174">
                  <c:v>38412</c:v>
                </c:pt>
                <c:pt idx="175">
                  <c:v>38443</c:v>
                </c:pt>
                <c:pt idx="176">
                  <c:v>38473</c:v>
                </c:pt>
                <c:pt idx="177">
                  <c:v>38504</c:v>
                </c:pt>
                <c:pt idx="178">
                  <c:v>38534</c:v>
                </c:pt>
                <c:pt idx="179">
                  <c:v>38565</c:v>
                </c:pt>
                <c:pt idx="180">
                  <c:v>38596</c:v>
                </c:pt>
                <c:pt idx="181">
                  <c:v>38626</c:v>
                </c:pt>
                <c:pt idx="182">
                  <c:v>38657</c:v>
                </c:pt>
                <c:pt idx="183">
                  <c:v>38687</c:v>
                </c:pt>
                <c:pt idx="184">
                  <c:v>38718</c:v>
                </c:pt>
                <c:pt idx="185">
                  <c:v>38749</c:v>
                </c:pt>
                <c:pt idx="186">
                  <c:v>38777</c:v>
                </c:pt>
                <c:pt idx="187">
                  <c:v>38808</c:v>
                </c:pt>
                <c:pt idx="188">
                  <c:v>38838</c:v>
                </c:pt>
                <c:pt idx="189">
                  <c:v>38869</c:v>
                </c:pt>
                <c:pt idx="190">
                  <c:v>38899</c:v>
                </c:pt>
                <c:pt idx="191">
                  <c:v>38930</c:v>
                </c:pt>
                <c:pt idx="192">
                  <c:v>38961</c:v>
                </c:pt>
                <c:pt idx="193">
                  <c:v>38991</c:v>
                </c:pt>
                <c:pt idx="194">
                  <c:v>39022</c:v>
                </c:pt>
                <c:pt idx="195">
                  <c:v>39052</c:v>
                </c:pt>
                <c:pt idx="196">
                  <c:v>39083</c:v>
                </c:pt>
                <c:pt idx="197">
                  <c:v>39114</c:v>
                </c:pt>
                <c:pt idx="198">
                  <c:v>39142</c:v>
                </c:pt>
                <c:pt idx="199">
                  <c:v>39173</c:v>
                </c:pt>
                <c:pt idx="200">
                  <c:v>39203</c:v>
                </c:pt>
                <c:pt idx="201">
                  <c:v>39234</c:v>
                </c:pt>
                <c:pt idx="202">
                  <c:v>39264</c:v>
                </c:pt>
                <c:pt idx="203">
                  <c:v>39295</c:v>
                </c:pt>
                <c:pt idx="204">
                  <c:v>39326</c:v>
                </c:pt>
                <c:pt idx="205">
                  <c:v>39356</c:v>
                </c:pt>
                <c:pt idx="206">
                  <c:v>39387</c:v>
                </c:pt>
                <c:pt idx="207">
                  <c:v>39417</c:v>
                </c:pt>
                <c:pt idx="208">
                  <c:v>39448</c:v>
                </c:pt>
                <c:pt idx="209">
                  <c:v>39479</c:v>
                </c:pt>
                <c:pt idx="210">
                  <c:v>39508</c:v>
                </c:pt>
                <c:pt idx="211">
                  <c:v>39539</c:v>
                </c:pt>
                <c:pt idx="212">
                  <c:v>39569</c:v>
                </c:pt>
                <c:pt idx="213">
                  <c:v>39600</c:v>
                </c:pt>
                <c:pt idx="214">
                  <c:v>39630</c:v>
                </c:pt>
                <c:pt idx="215">
                  <c:v>39661</c:v>
                </c:pt>
                <c:pt idx="216">
                  <c:v>39692</c:v>
                </c:pt>
                <c:pt idx="217">
                  <c:v>39722</c:v>
                </c:pt>
                <c:pt idx="218">
                  <c:v>39753</c:v>
                </c:pt>
                <c:pt idx="219">
                  <c:v>39783</c:v>
                </c:pt>
                <c:pt idx="220">
                  <c:v>39814</c:v>
                </c:pt>
                <c:pt idx="221">
                  <c:v>39845</c:v>
                </c:pt>
                <c:pt idx="222">
                  <c:v>39873</c:v>
                </c:pt>
                <c:pt idx="223">
                  <c:v>39904</c:v>
                </c:pt>
                <c:pt idx="224">
                  <c:v>39934</c:v>
                </c:pt>
                <c:pt idx="225">
                  <c:v>39965</c:v>
                </c:pt>
                <c:pt idx="226">
                  <c:v>39995</c:v>
                </c:pt>
                <c:pt idx="227">
                  <c:v>40026</c:v>
                </c:pt>
                <c:pt idx="228">
                  <c:v>40057</c:v>
                </c:pt>
                <c:pt idx="229">
                  <c:v>40087</c:v>
                </c:pt>
                <c:pt idx="230">
                  <c:v>40118</c:v>
                </c:pt>
                <c:pt idx="231">
                  <c:v>40148</c:v>
                </c:pt>
                <c:pt idx="232">
                  <c:v>40179</c:v>
                </c:pt>
                <c:pt idx="233">
                  <c:v>40210</c:v>
                </c:pt>
                <c:pt idx="234">
                  <c:v>40238</c:v>
                </c:pt>
                <c:pt idx="235">
                  <c:v>40269</c:v>
                </c:pt>
                <c:pt idx="236">
                  <c:v>40299</c:v>
                </c:pt>
                <c:pt idx="237">
                  <c:v>40330</c:v>
                </c:pt>
                <c:pt idx="238">
                  <c:v>40360</c:v>
                </c:pt>
                <c:pt idx="239">
                  <c:v>40391</c:v>
                </c:pt>
                <c:pt idx="240">
                  <c:v>40422</c:v>
                </c:pt>
                <c:pt idx="241">
                  <c:v>40452</c:v>
                </c:pt>
                <c:pt idx="242">
                  <c:v>40483</c:v>
                </c:pt>
                <c:pt idx="243">
                  <c:v>40513</c:v>
                </c:pt>
                <c:pt idx="244">
                  <c:v>40544</c:v>
                </c:pt>
                <c:pt idx="245">
                  <c:v>40575</c:v>
                </c:pt>
                <c:pt idx="246">
                  <c:v>40603</c:v>
                </c:pt>
                <c:pt idx="247">
                  <c:v>40634</c:v>
                </c:pt>
                <c:pt idx="248">
                  <c:v>40664</c:v>
                </c:pt>
                <c:pt idx="249">
                  <c:v>40695</c:v>
                </c:pt>
                <c:pt idx="250">
                  <c:v>40725</c:v>
                </c:pt>
                <c:pt idx="251">
                  <c:v>40756</c:v>
                </c:pt>
                <c:pt idx="252">
                  <c:v>40787</c:v>
                </c:pt>
                <c:pt idx="253">
                  <c:v>40817</c:v>
                </c:pt>
                <c:pt idx="254">
                  <c:v>40848</c:v>
                </c:pt>
                <c:pt idx="255">
                  <c:v>40878</c:v>
                </c:pt>
                <c:pt idx="256">
                  <c:v>40909</c:v>
                </c:pt>
                <c:pt idx="257">
                  <c:v>40940</c:v>
                </c:pt>
                <c:pt idx="258">
                  <c:v>40969</c:v>
                </c:pt>
                <c:pt idx="259">
                  <c:v>41000</c:v>
                </c:pt>
                <c:pt idx="260">
                  <c:v>41030</c:v>
                </c:pt>
                <c:pt idx="261">
                  <c:v>41061</c:v>
                </c:pt>
                <c:pt idx="262">
                  <c:v>41091</c:v>
                </c:pt>
                <c:pt idx="263">
                  <c:v>41122</c:v>
                </c:pt>
                <c:pt idx="264">
                  <c:v>41153</c:v>
                </c:pt>
                <c:pt idx="265">
                  <c:v>41183</c:v>
                </c:pt>
                <c:pt idx="266">
                  <c:v>41214</c:v>
                </c:pt>
                <c:pt idx="267">
                  <c:v>41244</c:v>
                </c:pt>
                <c:pt idx="268">
                  <c:v>41275</c:v>
                </c:pt>
                <c:pt idx="269">
                  <c:v>41306</c:v>
                </c:pt>
                <c:pt idx="270">
                  <c:v>41334</c:v>
                </c:pt>
                <c:pt idx="271">
                  <c:v>41365</c:v>
                </c:pt>
                <c:pt idx="272">
                  <c:v>41395</c:v>
                </c:pt>
                <c:pt idx="273">
                  <c:v>41426</c:v>
                </c:pt>
                <c:pt idx="274">
                  <c:v>41456</c:v>
                </c:pt>
                <c:pt idx="275">
                  <c:v>41487</c:v>
                </c:pt>
                <c:pt idx="276">
                  <c:v>41518</c:v>
                </c:pt>
                <c:pt idx="277">
                  <c:v>41548</c:v>
                </c:pt>
                <c:pt idx="278">
                  <c:v>41579</c:v>
                </c:pt>
                <c:pt idx="279">
                  <c:v>41609</c:v>
                </c:pt>
                <c:pt idx="280">
                  <c:v>41640</c:v>
                </c:pt>
                <c:pt idx="281">
                  <c:v>41671</c:v>
                </c:pt>
                <c:pt idx="282">
                  <c:v>41699</c:v>
                </c:pt>
                <c:pt idx="283">
                  <c:v>41730</c:v>
                </c:pt>
                <c:pt idx="284">
                  <c:v>41760</c:v>
                </c:pt>
                <c:pt idx="285">
                  <c:v>41791</c:v>
                </c:pt>
                <c:pt idx="286">
                  <c:v>41821</c:v>
                </c:pt>
                <c:pt idx="287">
                  <c:v>41852</c:v>
                </c:pt>
                <c:pt idx="288">
                  <c:v>41883</c:v>
                </c:pt>
                <c:pt idx="289">
                  <c:v>41913</c:v>
                </c:pt>
                <c:pt idx="290">
                  <c:v>41944</c:v>
                </c:pt>
                <c:pt idx="291">
                  <c:v>41974</c:v>
                </c:pt>
                <c:pt idx="292">
                  <c:v>42005</c:v>
                </c:pt>
                <c:pt idx="293">
                  <c:v>42036</c:v>
                </c:pt>
                <c:pt idx="294">
                  <c:v>42064</c:v>
                </c:pt>
                <c:pt idx="295">
                  <c:v>42095</c:v>
                </c:pt>
                <c:pt idx="296">
                  <c:v>42125</c:v>
                </c:pt>
                <c:pt idx="297">
                  <c:v>42156</c:v>
                </c:pt>
                <c:pt idx="298">
                  <c:v>42186</c:v>
                </c:pt>
                <c:pt idx="299">
                  <c:v>42217</c:v>
                </c:pt>
                <c:pt idx="300">
                  <c:v>42248</c:v>
                </c:pt>
                <c:pt idx="301">
                  <c:v>42278</c:v>
                </c:pt>
                <c:pt idx="302">
                  <c:v>42309</c:v>
                </c:pt>
                <c:pt idx="303">
                  <c:v>42339</c:v>
                </c:pt>
                <c:pt idx="304">
                  <c:v>42370</c:v>
                </c:pt>
                <c:pt idx="305">
                  <c:v>42401</c:v>
                </c:pt>
                <c:pt idx="306">
                  <c:v>42430</c:v>
                </c:pt>
                <c:pt idx="307">
                  <c:v>42461</c:v>
                </c:pt>
                <c:pt idx="308">
                  <c:v>42491</c:v>
                </c:pt>
                <c:pt idx="309">
                  <c:v>42522</c:v>
                </c:pt>
                <c:pt idx="310">
                  <c:v>42552</c:v>
                </c:pt>
                <c:pt idx="311">
                  <c:v>42583</c:v>
                </c:pt>
                <c:pt idx="312">
                  <c:v>42614</c:v>
                </c:pt>
                <c:pt idx="313">
                  <c:v>42644</c:v>
                </c:pt>
                <c:pt idx="314">
                  <c:v>42675</c:v>
                </c:pt>
                <c:pt idx="315">
                  <c:v>42705</c:v>
                </c:pt>
                <c:pt idx="316">
                  <c:v>42736</c:v>
                </c:pt>
                <c:pt idx="317">
                  <c:v>42767</c:v>
                </c:pt>
              </c:numCache>
            </c:numRef>
          </c:cat>
          <c:val>
            <c:numRef>
              <c:f>Sheet5!$J$2:$J$327</c:f>
              <c:numCache>
                <c:formatCode>General</c:formatCode>
                <c:ptCount val="326"/>
                <c:pt idx="0">
                  <c:v>-6.6261512604656306E-2</c:v>
                </c:pt>
                <c:pt idx="1">
                  <c:v>1.7661801042267E-2</c:v>
                </c:pt>
                <c:pt idx="2">
                  <c:v>-2.0842521615323299E-2</c:v>
                </c:pt>
                <c:pt idx="3">
                  <c:v>-6.10487059428165E-2</c:v>
                </c:pt>
                <c:pt idx="4">
                  <c:v>-0.183670645139976</c:v>
                </c:pt>
                <c:pt idx="5">
                  <c:v>-0.15619699798016801</c:v>
                </c:pt>
                <c:pt idx="6">
                  <c:v>-0.30736479031112002</c:v>
                </c:pt>
                <c:pt idx="7">
                  <c:v>-0.19585940267176899</c:v>
                </c:pt>
                <c:pt idx="8">
                  <c:v>-0.17423556243017699</c:v>
                </c:pt>
                <c:pt idx="9">
                  <c:v>-0.18139729427979301</c:v>
                </c:pt>
                <c:pt idx="10">
                  <c:v>-9.4095493207123099E-2</c:v>
                </c:pt>
                <c:pt idx="11">
                  <c:v>-0.123560255995029</c:v>
                </c:pt>
                <c:pt idx="12">
                  <c:v>-0.108001203233183</c:v>
                </c:pt>
                <c:pt idx="13">
                  <c:v>-0.13569529792170101</c:v>
                </c:pt>
                <c:pt idx="14">
                  <c:v>-0.21426379131385001</c:v>
                </c:pt>
                <c:pt idx="15">
                  <c:v>-0.161661559340151</c:v>
                </c:pt>
                <c:pt idx="16">
                  <c:v>-0.210095943280599</c:v>
                </c:pt>
                <c:pt idx="17">
                  <c:v>-0.188960654806508</c:v>
                </c:pt>
                <c:pt idx="18">
                  <c:v>-0.14975370566832699</c:v>
                </c:pt>
                <c:pt idx="19">
                  <c:v>-0.13868037449113399</c:v>
                </c:pt>
                <c:pt idx="20">
                  <c:v>-0.116620533315761</c:v>
                </c:pt>
                <c:pt idx="21">
                  <c:v>-8.9565620833150297E-2</c:v>
                </c:pt>
                <c:pt idx="22">
                  <c:v>-9.9767664232907394E-2</c:v>
                </c:pt>
                <c:pt idx="23">
                  <c:v>-7.2379361994460698E-2</c:v>
                </c:pt>
                <c:pt idx="24">
                  <c:v>-5.0140221896515402E-2</c:v>
                </c:pt>
                <c:pt idx="25">
                  <c:v>-4.8792100976645297E-2</c:v>
                </c:pt>
                <c:pt idx="26">
                  <c:v>-6.6922607718828395E-2</c:v>
                </c:pt>
                <c:pt idx="27">
                  <c:v>4.8737483927221298E-2</c:v>
                </c:pt>
                <c:pt idx="28">
                  <c:v>2.2818571072672E-2</c:v>
                </c:pt>
                <c:pt idx="29">
                  <c:v>6.1454869983777298E-2</c:v>
                </c:pt>
                <c:pt idx="30">
                  <c:v>6.4277083364110907E-2</c:v>
                </c:pt>
                <c:pt idx="31">
                  <c:v>0.10559913115212601</c:v>
                </c:pt>
                <c:pt idx="32">
                  <c:v>0.10686296732087</c:v>
                </c:pt>
                <c:pt idx="33">
                  <c:v>0.17073995661621399</c:v>
                </c:pt>
                <c:pt idx="34">
                  <c:v>0.16506381149014299</c:v>
                </c:pt>
                <c:pt idx="35">
                  <c:v>0.18004807272759701</c:v>
                </c:pt>
                <c:pt idx="36">
                  <c:v>0.15361418757109499</c:v>
                </c:pt>
                <c:pt idx="37">
                  <c:v>0.12703527872713499</c:v>
                </c:pt>
                <c:pt idx="38">
                  <c:v>0.17260275979193501</c:v>
                </c:pt>
                <c:pt idx="39">
                  <c:v>0.193491162403475</c:v>
                </c:pt>
                <c:pt idx="40">
                  <c:v>0.25770307227317701</c:v>
                </c:pt>
                <c:pt idx="41">
                  <c:v>0.25293748799301302</c:v>
                </c:pt>
                <c:pt idx="42">
                  <c:v>0.21495494674780899</c:v>
                </c:pt>
                <c:pt idx="43">
                  <c:v>0.27888756054929498</c:v>
                </c:pt>
                <c:pt idx="44">
                  <c:v>0.38582176581428601</c:v>
                </c:pt>
                <c:pt idx="45">
                  <c:v>0.40809414670827898</c:v>
                </c:pt>
                <c:pt idx="46">
                  <c:v>0.28272963595663098</c:v>
                </c:pt>
                <c:pt idx="47">
                  <c:v>0.143894077392445</c:v>
                </c:pt>
                <c:pt idx="48">
                  <c:v>0.17446134599829999</c:v>
                </c:pt>
                <c:pt idx="49">
                  <c:v>0.183056778640938</c:v>
                </c:pt>
                <c:pt idx="50">
                  <c:v>0.224496649395246</c:v>
                </c:pt>
                <c:pt idx="51">
                  <c:v>0.274413449316258</c:v>
                </c:pt>
                <c:pt idx="52">
                  <c:v>0.17215906556416399</c:v>
                </c:pt>
                <c:pt idx="53">
                  <c:v>0.11380814300233</c:v>
                </c:pt>
                <c:pt idx="54">
                  <c:v>1.47900172768579E-2</c:v>
                </c:pt>
                <c:pt idx="55">
                  <c:v>7.4818239773569703E-2</c:v>
                </c:pt>
                <c:pt idx="56">
                  <c:v>2.7513589311920099E-2</c:v>
                </c:pt>
                <c:pt idx="57">
                  <c:v>-3.9726875653500797E-2</c:v>
                </c:pt>
                <c:pt idx="58">
                  <c:v>-3.6320170735596402E-2</c:v>
                </c:pt>
                <c:pt idx="59">
                  <c:v>5.8101193547929503E-2</c:v>
                </c:pt>
                <c:pt idx="60">
                  <c:v>0.14899394911348901</c:v>
                </c:pt>
                <c:pt idx="61">
                  <c:v>0.16768198741263099</c:v>
                </c:pt>
                <c:pt idx="62">
                  <c:v>9.8048168359123805E-2</c:v>
                </c:pt>
                <c:pt idx="63">
                  <c:v>8.0554438300751902E-2</c:v>
                </c:pt>
                <c:pt idx="64">
                  <c:v>2.7836402170610699E-2</c:v>
                </c:pt>
                <c:pt idx="65">
                  <c:v>6.20579566471696E-2</c:v>
                </c:pt>
                <c:pt idx="66">
                  <c:v>4.3826846821458598E-2</c:v>
                </c:pt>
                <c:pt idx="67">
                  <c:v>0.20189752983262901</c:v>
                </c:pt>
                <c:pt idx="68">
                  <c:v>0.29752894835997001</c:v>
                </c:pt>
                <c:pt idx="69">
                  <c:v>0.23021855971359301</c:v>
                </c:pt>
                <c:pt idx="70">
                  <c:v>0.16445651096116101</c:v>
                </c:pt>
                <c:pt idx="71">
                  <c:v>0.15083170647885299</c:v>
                </c:pt>
                <c:pt idx="72">
                  <c:v>0.133983096611373</c:v>
                </c:pt>
                <c:pt idx="73">
                  <c:v>0.167187786982394</c:v>
                </c:pt>
                <c:pt idx="74">
                  <c:v>0.193047677617737</c:v>
                </c:pt>
                <c:pt idx="75">
                  <c:v>0.18326535052493201</c:v>
                </c:pt>
                <c:pt idx="76">
                  <c:v>0.120215681285727</c:v>
                </c:pt>
                <c:pt idx="77">
                  <c:v>0.208502914506599</c:v>
                </c:pt>
                <c:pt idx="78">
                  <c:v>0.162321660347682</c:v>
                </c:pt>
                <c:pt idx="79">
                  <c:v>0.180727195053836</c:v>
                </c:pt>
                <c:pt idx="80">
                  <c:v>0.26654652193691297</c:v>
                </c:pt>
                <c:pt idx="81">
                  <c:v>0.198809182750638</c:v>
                </c:pt>
                <c:pt idx="82">
                  <c:v>0.147988055421407</c:v>
                </c:pt>
                <c:pt idx="83">
                  <c:v>0.11183219827964801</c:v>
                </c:pt>
                <c:pt idx="84">
                  <c:v>0.13832462542089</c:v>
                </c:pt>
                <c:pt idx="85">
                  <c:v>0.15416424374094301</c:v>
                </c:pt>
                <c:pt idx="86">
                  <c:v>0.13524554604941699</c:v>
                </c:pt>
                <c:pt idx="87">
                  <c:v>0.15573255272797901</c:v>
                </c:pt>
                <c:pt idx="88">
                  <c:v>0.17571418742818201</c:v>
                </c:pt>
                <c:pt idx="89">
                  <c:v>9.8165301245074096E-2</c:v>
                </c:pt>
                <c:pt idx="90">
                  <c:v>0.14467991551833201</c:v>
                </c:pt>
                <c:pt idx="91">
                  <c:v>0.212450181507466</c:v>
                </c:pt>
                <c:pt idx="92">
                  <c:v>0.203725639804202</c:v>
                </c:pt>
                <c:pt idx="93">
                  <c:v>0.177545030953078</c:v>
                </c:pt>
                <c:pt idx="94">
                  <c:v>0.20107133218332601</c:v>
                </c:pt>
                <c:pt idx="95">
                  <c:v>0.16949581625644999</c:v>
                </c:pt>
                <c:pt idx="96">
                  <c:v>0.169090369352596</c:v>
                </c:pt>
                <c:pt idx="97">
                  <c:v>0.116167753339872</c:v>
                </c:pt>
                <c:pt idx="98">
                  <c:v>4.3502552148407703E-2</c:v>
                </c:pt>
                <c:pt idx="99">
                  <c:v>0.134511666135196</c:v>
                </c:pt>
                <c:pt idx="100">
                  <c:v>0.141928698268661</c:v>
                </c:pt>
                <c:pt idx="101">
                  <c:v>0.13338210194228001</c:v>
                </c:pt>
                <c:pt idx="102">
                  <c:v>0.175535423497202</c:v>
                </c:pt>
                <c:pt idx="103">
                  <c:v>0.21656946585071701</c:v>
                </c:pt>
                <c:pt idx="104">
                  <c:v>0.21616344279657601</c:v>
                </c:pt>
                <c:pt idx="105">
                  <c:v>0.26974567521284498</c:v>
                </c:pt>
                <c:pt idx="106">
                  <c:v>0.41312146297420299</c:v>
                </c:pt>
                <c:pt idx="107">
                  <c:v>0.41702707018075102</c:v>
                </c:pt>
                <c:pt idx="108">
                  <c:v>0.42348844964330801</c:v>
                </c:pt>
                <c:pt idx="109">
                  <c:v>0.33668238726132699</c:v>
                </c:pt>
                <c:pt idx="110">
                  <c:v>0.25653561863764901</c:v>
                </c:pt>
                <c:pt idx="111">
                  <c:v>0.29851692967399202</c:v>
                </c:pt>
                <c:pt idx="112">
                  <c:v>0.33699260174168899</c:v>
                </c:pt>
                <c:pt idx="113">
                  <c:v>0.44205678721797198</c:v>
                </c:pt>
                <c:pt idx="114">
                  <c:v>0.34091780150816497</c:v>
                </c:pt>
                <c:pt idx="115">
                  <c:v>0.16293210547794401</c:v>
                </c:pt>
                <c:pt idx="116">
                  <c:v>0.17215778031277201</c:v>
                </c:pt>
                <c:pt idx="117">
                  <c:v>0.15591058602278601</c:v>
                </c:pt>
                <c:pt idx="118">
                  <c:v>0.146164054375749</c:v>
                </c:pt>
                <c:pt idx="119">
                  <c:v>3.6326096391101403E-2</c:v>
                </c:pt>
                <c:pt idx="120">
                  <c:v>0.15261718017006301</c:v>
                </c:pt>
                <c:pt idx="121">
                  <c:v>0.20716206089549999</c:v>
                </c:pt>
                <c:pt idx="122">
                  <c:v>0.20637442334369399</c:v>
                </c:pt>
                <c:pt idx="123">
                  <c:v>0.21444491537507401</c:v>
                </c:pt>
                <c:pt idx="124">
                  <c:v>0.25736056436796501</c:v>
                </c:pt>
                <c:pt idx="125">
                  <c:v>0.19748886811108399</c:v>
                </c:pt>
                <c:pt idx="126">
                  <c:v>0.13367881054751099</c:v>
                </c:pt>
                <c:pt idx="127">
                  <c:v>0.15030605315273801</c:v>
                </c:pt>
                <c:pt idx="128">
                  <c:v>0.18049876224772701</c:v>
                </c:pt>
                <c:pt idx="129">
                  <c:v>0.12910075086082301</c:v>
                </c:pt>
                <c:pt idx="130">
                  <c:v>0.100551073397003</c:v>
                </c:pt>
                <c:pt idx="131">
                  <c:v>8.3812286830060895E-2</c:v>
                </c:pt>
                <c:pt idx="132">
                  <c:v>9.3651299504148106E-2</c:v>
                </c:pt>
                <c:pt idx="133">
                  <c:v>9.8362039251845099E-2</c:v>
                </c:pt>
                <c:pt idx="134">
                  <c:v>0.117701355380532</c:v>
                </c:pt>
                <c:pt idx="135">
                  <c:v>0.139525191155664</c:v>
                </c:pt>
                <c:pt idx="136">
                  <c:v>8.3750176033839704E-2</c:v>
                </c:pt>
                <c:pt idx="137">
                  <c:v>0.125867259824754</c:v>
                </c:pt>
                <c:pt idx="138">
                  <c:v>9.4587512632551801E-2</c:v>
                </c:pt>
                <c:pt idx="139">
                  <c:v>0.176699891425629</c:v>
                </c:pt>
                <c:pt idx="140">
                  <c:v>0.11896453443157499</c:v>
                </c:pt>
                <c:pt idx="141">
                  <c:v>0.157350982781609</c:v>
                </c:pt>
                <c:pt idx="142">
                  <c:v>0.217425073082326</c:v>
                </c:pt>
                <c:pt idx="143">
                  <c:v>0.23893291213624501</c:v>
                </c:pt>
                <c:pt idx="144">
                  <c:v>0.14012538224231</c:v>
                </c:pt>
                <c:pt idx="145">
                  <c:v>0.112362294110866</c:v>
                </c:pt>
                <c:pt idx="146">
                  <c:v>9.6543409634362698E-2</c:v>
                </c:pt>
                <c:pt idx="147">
                  <c:v>0.116695206979286</c:v>
                </c:pt>
                <c:pt idx="148">
                  <c:v>8.5505647603026202E-2</c:v>
                </c:pt>
                <c:pt idx="149">
                  <c:v>0.10081827918932899</c:v>
                </c:pt>
                <c:pt idx="150">
                  <c:v>0.13365968822648999</c:v>
                </c:pt>
                <c:pt idx="151">
                  <c:v>7.9156032569022497E-2</c:v>
                </c:pt>
                <c:pt idx="152">
                  <c:v>9.7004146026652097E-2</c:v>
                </c:pt>
                <c:pt idx="153">
                  <c:v>5.5136414054810498E-2</c:v>
                </c:pt>
                <c:pt idx="154">
                  <c:v>1.07391367917604E-2</c:v>
                </c:pt>
                <c:pt idx="155">
                  <c:v>0.12921076805850101</c:v>
                </c:pt>
                <c:pt idx="156">
                  <c:v>0.15431098303242199</c:v>
                </c:pt>
                <c:pt idx="157">
                  <c:v>0.140132706153349</c:v>
                </c:pt>
                <c:pt idx="158">
                  <c:v>0.14697165264752299</c:v>
                </c:pt>
                <c:pt idx="159">
                  <c:v>7.1101273397681103E-2</c:v>
                </c:pt>
                <c:pt idx="160">
                  <c:v>9.83191693118214E-2</c:v>
                </c:pt>
                <c:pt idx="161">
                  <c:v>7.6634620717760199E-2</c:v>
                </c:pt>
                <c:pt idx="162">
                  <c:v>0.104435143966239</c:v>
                </c:pt>
                <c:pt idx="163">
                  <c:v>0.10967254047819</c:v>
                </c:pt>
                <c:pt idx="164">
                  <c:v>0.23669330946473399</c:v>
                </c:pt>
                <c:pt idx="165">
                  <c:v>0.143788651752736</c:v>
                </c:pt>
                <c:pt idx="166">
                  <c:v>8.6376502574507699E-2</c:v>
                </c:pt>
                <c:pt idx="167">
                  <c:v>0.10155404635193301</c:v>
                </c:pt>
                <c:pt idx="168">
                  <c:v>0.104642066216538</c:v>
                </c:pt>
                <c:pt idx="169">
                  <c:v>0.128701628845132</c:v>
                </c:pt>
                <c:pt idx="170">
                  <c:v>9.4896599654619995E-2</c:v>
                </c:pt>
                <c:pt idx="171">
                  <c:v>0.11905206218614001</c:v>
                </c:pt>
                <c:pt idx="172">
                  <c:v>7.2070463523231404E-2</c:v>
                </c:pt>
                <c:pt idx="173">
                  <c:v>6.1427078906908503E-2</c:v>
                </c:pt>
                <c:pt idx="174">
                  <c:v>5.4680110395792597E-2</c:v>
                </c:pt>
                <c:pt idx="175">
                  <c:v>4.0693277893642001E-2</c:v>
                </c:pt>
                <c:pt idx="176">
                  <c:v>-1.83089507859154E-2</c:v>
                </c:pt>
                <c:pt idx="177">
                  <c:v>-3.72704654074906E-3</c:v>
                </c:pt>
                <c:pt idx="178">
                  <c:v>8.3857390739055203E-3</c:v>
                </c:pt>
                <c:pt idx="179">
                  <c:v>5.3901192832611397E-2</c:v>
                </c:pt>
                <c:pt idx="180">
                  <c:v>3.7084179284905001E-3</c:v>
                </c:pt>
                <c:pt idx="181">
                  <c:v>7.9217382135251899E-3</c:v>
                </c:pt>
                <c:pt idx="182">
                  <c:v>1.10035258156983E-3</c:v>
                </c:pt>
                <c:pt idx="183">
                  <c:v>-2.56151980610126E-2</c:v>
                </c:pt>
                <c:pt idx="184">
                  <c:v>-0.16732653781958101</c:v>
                </c:pt>
                <c:pt idx="185">
                  <c:v>-0.15221592606578899</c:v>
                </c:pt>
                <c:pt idx="186">
                  <c:v>-0.155396397649358</c:v>
                </c:pt>
                <c:pt idx="187">
                  <c:v>-0.14082563311405999</c:v>
                </c:pt>
                <c:pt idx="188">
                  <c:v>-9.7947072611831998E-2</c:v>
                </c:pt>
                <c:pt idx="189">
                  <c:v>-7.7906801594913297E-2</c:v>
                </c:pt>
                <c:pt idx="190">
                  <c:v>-3.6804373382723202E-2</c:v>
                </c:pt>
                <c:pt idx="191">
                  <c:v>-4.4298522165443797E-2</c:v>
                </c:pt>
                <c:pt idx="192">
                  <c:v>-1.8194135707890802E-2</c:v>
                </c:pt>
                <c:pt idx="193">
                  <c:v>-1.3906914138598001E-2</c:v>
                </c:pt>
                <c:pt idx="194">
                  <c:v>1.62132554345705E-2</c:v>
                </c:pt>
                <c:pt idx="195">
                  <c:v>1.2615514059090199E-2</c:v>
                </c:pt>
                <c:pt idx="196">
                  <c:v>0.110721517755224</c:v>
                </c:pt>
                <c:pt idx="197">
                  <c:v>6.3818561115390596E-2</c:v>
                </c:pt>
                <c:pt idx="198">
                  <c:v>2.10465805265749E-2</c:v>
                </c:pt>
                <c:pt idx="199">
                  <c:v>7.16586245159061E-2</c:v>
                </c:pt>
                <c:pt idx="200">
                  <c:v>6.4290246716662294E-2</c:v>
                </c:pt>
                <c:pt idx="201">
                  <c:v>4.1826384517687103E-2</c:v>
                </c:pt>
                <c:pt idx="202">
                  <c:v>4.6248971790729301E-2</c:v>
                </c:pt>
                <c:pt idx="203">
                  <c:v>-4.76869386524858E-2</c:v>
                </c:pt>
                <c:pt idx="204">
                  <c:v>-2.7103662830683401E-2</c:v>
                </c:pt>
                <c:pt idx="205">
                  <c:v>-2.4256007196800301E-2</c:v>
                </c:pt>
                <c:pt idx="206">
                  <c:v>6.2486241183215604E-3</c:v>
                </c:pt>
                <c:pt idx="207">
                  <c:v>1.2222538070966699E-2</c:v>
                </c:pt>
                <c:pt idx="208">
                  <c:v>7.3947603467163E-3</c:v>
                </c:pt>
                <c:pt idx="209">
                  <c:v>5.3163407077380397E-2</c:v>
                </c:pt>
                <c:pt idx="210">
                  <c:v>0.10863389381826</c:v>
                </c:pt>
                <c:pt idx="211">
                  <c:v>2.9042164443676299E-2</c:v>
                </c:pt>
                <c:pt idx="212">
                  <c:v>3.3326671488694598E-3</c:v>
                </c:pt>
                <c:pt idx="213">
                  <c:v>6.5248286621478996E-2</c:v>
                </c:pt>
                <c:pt idx="214">
                  <c:v>5.5936413299367702E-2</c:v>
                </c:pt>
                <c:pt idx="215">
                  <c:v>2.46263930476485E-2</c:v>
                </c:pt>
                <c:pt idx="216">
                  <c:v>-1.5493007443248099E-2</c:v>
                </c:pt>
                <c:pt idx="217">
                  <c:v>0.108450418224186</c:v>
                </c:pt>
                <c:pt idx="218">
                  <c:v>0.12903413587217699</c:v>
                </c:pt>
                <c:pt idx="219">
                  <c:v>0.13918428296826901</c:v>
                </c:pt>
                <c:pt idx="220">
                  <c:v>0.24841452486344401</c:v>
                </c:pt>
                <c:pt idx="221">
                  <c:v>0.25424954390073501</c:v>
                </c:pt>
                <c:pt idx="222">
                  <c:v>0.28290328788638303</c:v>
                </c:pt>
                <c:pt idx="223">
                  <c:v>0.243311118888932</c:v>
                </c:pt>
                <c:pt idx="224">
                  <c:v>0.28106678335884899</c:v>
                </c:pt>
                <c:pt idx="225">
                  <c:v>0.18692703999778801</c:v>
                </c:pt>
                <c:pt idx="226">
                  <c:v>0.116374970759616</c:v>
                </c:pt>
                <c:pt idx="227">
                  <c:v>0.350677774255643</c:v>
                </c:pt>
                <c:pt idx="228">
                  <c:v>0.180735116627319</c:v>
                </c:pt>
                <c:pt idx="229">
                  <c:v>8.0908222541341002E-2</c:v>
                </c:pt>
                <c:pt idx="230">
                  <c:v>0.106575408057505</c:v>
                </c:pt>
                <c:pt idx="231">
                  <c:v>7.5827424623464298E-2</c:v>
                </c:pt>
                <c:pt idx="232">
                  <c:v>0.107827218574158</c:v>
                </c:pt>
                <c:pt idx="233">
                  <c:v>7.8660536904441594E-2</c:v>
                </c:pt>
                <c:pt idx="234">
                  <c:v>-2.56550121155933E-2</c:v>
                </c:pt>
                <c:pt idx="235">
                  <c:v>6.05460358409061E-2</c:v>
                </c:pt>
                <c:pt idx="236">
                  <c:v>-4.0224264094149302E-2</c:v>
                </c:pt>
                <c:pt idx="237">
                  <c:v>5.7484245863478698E-3</c:v>
                </c:pt>
                <c:pt idx="238">
                  <c:v>-4.1702151688586001E-2</c:v>
                </c:pt>
                <c:pt idx="239">
                  <c:v>-5.8648590588699603E-2</c:v>
                </c:pt>
                <c:pt idx="240">
                  <c:v>-3.7211253102377502E-2</c:v>
                </c:pt>
                <c:pt idx="241">
                  <c:v>-3.1430051730538901E-2</c:v>
                </c:pt>
                <c:pt idx="242">
                  <c:v>-4.6193750396198101E-2</c:v>
                </c:pt>
                <c:pt idx="243">
                  <c:v>-1.8078014160452901E-2</c:v>
                </c:pt>
                <c:pt idx="244">
                  <c:v>-6.5159223656901494E-2</c:v>
                </c:pt>
                <c:pt idx="245">
                  <c:v>-0.10064749440757401</c:v>
                </c:pt>
                <c:pt idx="246">
                  <c:v>-0.19426454978793001</c:v>
                </c:pt>
                <c:pt idx="247">
                  <c:v>-0.150423281216995</c:v>
                </c:pt>
                <c:pt idx="248">
                  <c:v>-0.21661672218543501</c:v>
                </c:pt>
                <c:pt idx="249">
                  <c:v>-0.185976572887635</c:v>
                </c:pt>
                <c:pt idx="250">
                  <c:v>-0.21299391448736499</c:v>
                </c:pt>
                <c:pt idx="251">
                  <c:v>-0.298354910977632</c:v>
                </c:pt>
                <c:pt idx="252">
                  <c:v>-0.32276014972464001</c:v>
                </c:pt>
                <c:pt idx="253">
                  <c:v>-0.215419230570494</c:v>
                </c:pt>
                <c:pt idx="254">
                  <c:v>-0.185146864048573</c:v>
                </c:pt>
                <c:pt idx="255">
                  <c:v>-0.19724185443680201</c:v>
                </c:pt>
                <c:pt idx="256">
                  <c:v>-0.15774024709941201</c:v>
                </c:pt>
                <c:pt idx="257">
                  <c:v>-0.18820311302284301</c:v>
                </c:pt>
                <c:pt idx="258">
                  <c:v>-0.22330990207916299</c:v>
                </c:pt>
                <c:pt idx="259">
                  <c:v>1.5986873225976701E-2</c:v>
                </c:pt>
                <c:pt idx="260">
                  <c:v>-0.26030353346931401</c:v>
                </c:pt>
                <c:pt idx="261">
                  <c:v>-0.19734401213060199</c:v>
                </c:pt>
                <c:pt idx="262">
                  <c:v>-0.16912536584264901</c:v>
                </c:pt>
                <c:pt idx="263">
                  <c:v>-0.14438659662626799</c:v>
                </c:pt>
                <c:pt idx="264">
                  <c:v>-0.22140689647033099</c:v>
                </c:pt>
                <c:pt idx="265">
                  <c:v>-7.2191005190214499E-2</c:v>
                </c:pt>
                <c:pt idx="266">
                  <c:v>-0.108372699949596</c:v>
                </c:pt>
                <c:pt idx="267">
                  <c:v>-0.17295470300468099</c:v>
                </c:pt>
                <c:pt idx="268">
                  <c:v>-0.226360984210875</c:v>
                </c:pt>
                <c:pt idx="269">
                  <c:v>-0.18250278876246301</c:v>
                </c:pt>
                <c:pt idx="270">
                  <c:v>-0.27605847498214398</c:v>
                </c:pt>
                <c:pt idx="271">
                  <c:v>-9.1109139723287394E-2</c:v>
                </c:pt>
                <c:pt idx="272">
                  <c:v>-0.21201014402777199</c:v>
                </c:pt>
                <c:pt idx="273">
                  <c:v>-0.29731548361131399</c:v>
                </c:pt>
                <c:pt idx="274">
                  <c:v>-0.27575066021088301</c:v>
                </c:pt>
                <c:pt idx="275">
                  <c:v>-0.26230524789158699</c:v>
                </c:pt>
                <c:pt idx="276">
                  <c:v>-0.35735035398473097</c:v>
                </c:pt>
                <c:pt idx="277">
                  <c:v>-0.42034535528994199</c:v>
                </c:pt>
                <c:pt idx="278">
                  <c:v>-0.49504915928780102</c:v>
                </c:pt>
                <c:pt idx="279">
                  <c:v>-0.36417181222737299</c:v>
                </c:pt>
                <c:pt idx="280">
                  <c:v>-0.34985008398269601</c:v>
                </c:pt>
                <c:pt idx="281">
                  <c:v>-0.46496813078316102</c:v>
                </c:pt>
                <c:pt idx="282">
                  <c:v>-0.48087702903291002</c:v>
                </c:pt>
                <c:pt idx="283">
                  <c:v>-0.25182854634378798</c:v>
                </c:pt>
                <c:pt idx="284">
                  <c:v>-0.440656997679436</c:v>
                </c:pt>
                <c:pt idx="285">
                  <c:v>-0.435779667922154</c:v>
                </c:pt>
                <c:pt idx="286">
                  <c:v>-0.35336409044420403</c:v>
                </c:pt>
                <c:pt idx="287">
                  <c:v>-0.33118416850287902</c:v>
                </c:pt>
                <c:pt idx="288">
                  <c:v>-0.34667555710013898</c:v>
                </c:pt>
                <c:pt idx="289">
                  <c:v>-0.33232909007418698</c:v>
                </c:pt>
                <c:pt idx="290">
                  <c:v>-0.55463607662438397</c:v>
                </c:pt>
                <c:pt idx="291">
                  <c:v>-0.368197196406781</c:v>
                </c:pt>
                <c:pt idx="292">
                  <c:v>-0.47355920157125497</c:v>
                </c:pt>
                <c:pt idx="293">
                  <c:v>-0.22071086551881799</c:v>
                </c:pt>
                <c:pt idx="294">
                  <c:v>-0.21682663094871199</c:v>
                </c:pt>
                <c:pt idx="295">
                  <c:v>-0.29752007024978899</c:v>
                </c:pt>
                <c:pt idx="296">
                  <c:v>-0.133899651481035</c:v>
                </c:pt>
                <c:pt idx="297">
                  <c:v>-0.33468586820179702</c:v>
                </c:pt>
                <c:pt idx="298">
                  <c:v>-0.204745835740066</c:v>
                </c:pt>
                <c:pt idx="299">
                  <c:v>-0.218825200912067</c:v>
                </c:pt>
                <c:pt idx="300">
                  <c:v>-0.31485444856631301</c:v>
                </c:pt>
                <c:pt idx="301">
                  <c:v>-0.36825519610907498</c:v>
                </c:pt>
                <c:pt idx="302">
                  <c:v>-0.352682204071262</c:v>
                </c:pt>
                <c:pt idx="303">
                  <c:v>-0.30660559824399602</c:v>
                </c:pt>
                <c:pt idx="304">
                  <c:v>-0.38687610745156997</c:v>
                </c:pt>
                <c:pt idx="305">
                  <c:v>-0.42956954135842501</c:v>
                </c:pt>
                <c:pt idx="306">
                  <c:v>-0.25299260110684801</c:v>
                </c:pt>
                <c:pt idx="307">
                  <c:v>-0.29244563683577202</c:v>
                </c:pt>
                <c:pt idx="308">
                  <c:v>-0.33439644106831801</c:v>
                </c:pt>
                <c:pt idx="309">
                  <c:v>-0.285885564788319</c:v>
                </c:pt>
                <c:pt idx="310">
                  <c:v>-0.303577181456263</c:v>
                </c:pt>
                <c:pt idx="311">
                  <c:v>-0.234495884741902</c:v>
                </c:pt>
                <c:pt idx="312">
                  <c:v>-0.228561359590156</c:v>
                </c:pt>
                <c:pt idx="313">
                  <c:v>-0.270226775303188</c:v>
                </c:pt>
                <c:pt idx="314">
                  <c:v>-0.24342892691316201</c:v>
                </c:pt>
                <c:pt idx="315">
                  <c:v>-0.23482643182889801</c:v>
                </c:pt>
                <c:pt idx="316">
                  <c:v>-0.41585208326978901</c:v>
                </c:pt>
                <c:pt idx="317">
                  <c:v>-0.116020393046095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05280"/>
        <c:axId val="66706816"/>
      </c:lineChart>
      <c:dateAx>
        <c:axId val="66705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6706816"/>
        <c:crosses val="autoZero"/>
        <c:auto val="1"/>
        <c:lblOffset val="100"/>
        <c:baseTimeUnit val="months"/>
      </c:dateAx>
      <c:valAx>
        <c:axId val="6670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705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Sheet5!$X$1</c:f>
              <c:strCache>
                <c:ptCount val="1"/>
                <c:pt idx="0">
                  <c:v>MA_WAC_Spread</c:v>
                </c:pt>
              </c:strCache>
            </c:strRef>
          </c:tx>
          <c:marker>
            <c:symbol val="none"/>
          </c:marker>
          <c:cat>
            <c:numRef>
              <c:f>Sheet5!$W$2:$W$327</c:f>
              <c:numCache>
                <c:formatCode>m/d/yyyy</c:formatCode>
                <c:ptCount val="326"/>
                <c:pt idx="0">
                  <c:v>33270</c:v>
                </c:pt>
                <c:pt idx="1">
                  <c:v>33298</c:v>
                </c:pt>
                <c:pt idx="2">
                  <c:v>33329</c:v>
                </c:pt>
                <c:pt idx="3">
                  <c:v>33359</c:v>
                </c:pt>
                <c:pt idx="4">
                  <c:v>33390</c:v>
                </c:pt>
                <c:pt idx="5">
                  <c:v>33420</c:v>
                </c:pt>
                <c:pt idx="6">
                  <c:v>33451</c:v>
                </c:pt>
                <c:pt idx="7">
                  <c:v>33482</c:v>
                </c:pt>
                <c:pt idx="8">
                  <c:v>33512</c:v>
                </c:pt>
                <c:pt idx="9">
                  <c:v>33543</c:v>
                </c:pt>
                <c:pt idx="10">
                  <c:v>33573</c:v>
                </c:pt>
                <c:pt idx="11">
                  <c:v>33604</c:v>
                </c:pt>
                <c:pt idx="12">
                  <c:v>33635</c:v>
                </c:pt>
                <c:pt idx="13">
                  <c:v>33664</c:v>
                </c:pt>
                <c:pt idx="14">
                  <c:v>33695</c:v>
                </c:pt>
                <c:pt idx="15">
                  <c:v>33725</c:v>
                </c:pt>
                <c:pt idx="16">
                  <c:v>33756</c:v>
                </c:pt>
                <c:pt idx="17">
                  <c:v>33786</c:v>
                </c:pt>
                <c:pt idx="18">
                  <c:v>33817</c:v>
                </c:pt>
                <c:pt idx="19">
                  <c:v>33848</c:v>
                </c:pt>
                <c:pt idx="20">
                  <c:v>33878</c:v>
                </c:pt>
                <c:pt idx="21">
                  <c:v>33909</c:v>
                </c:pt>
                <c:pt idx="22">
                  <c:v>33939</c:v>
                </c:pt>
                <c:pt idx="23">
                  <c:v>33970</c:v>
                </c:pt>
                <c:pt idx="24">
                  <c:v>34001</c:v>
                </c:pt>
                <c:pt idx="25">
                  <c:v>34029</c:v>
                </c:pt>
                <c:pt idx="26">
                  <c:v>34060</c:v>
                </c:pt>
                <c:pt idx="27">
                  <c:v>34090</c:v>
                </c:pt>
                <c:pt idx="28">
                  <c:v>34121</c:v>
                </c:pt>
                <c:pt idx="29">
                  <c:v>34151</c:v>
                </c:pt>
                <c:pt idx="30">
                  <c:v>34182</c:v>
                </c:pt>
                <c:pt idx="31">
                  <c:v>34213</c:v>
                </c:pt>
                <c:pt idx="32">
                  <c:v>34243</c:v>
                </c:pt>
                <c:pt idx="33">
                  <c:v>34274</c:v>
                </c:pt>
                <c:pt idx="34">
                  <c:v>34304</c:v>
                </c:pt>
                <c:pt idx="35">
                  <c:v>34335</c:v>
                </c:pt>
                <c:pt idx="36">
                  <c:v>34366</c:v>
                </c:pt>
                <c:pt idx="37">
                  <c:v>34394</c:v>
                </c:pt>
                <c:pt idx="38">
                  <c:v>34425</c:v>
                </c:pt>
                <c:pt idx="39">
                  <c:v>34455</c:v>
                </c:pt>
                <c:pt idx="40">
                  <c:v>34486</c:v>
                </c:pt>
                <c:pt idx="41">
                  <c:v>34516</c:v>
                </c:pt>
                <c:pt idx="42">
                  <c:v>34547</c:v>
                </c:pt>
                <c:pt idx="43">
                  <c:v>34578</c:v>
                </c:pt>
                <c:pt idx="44">
                  <c:v>34608</c:v>
                </c:pt>
                <c:pt idx="45">
                  <c:v>34639</c:v>
                </c:pt>
                <c:pt idx="46">
                  <c:v>34669</c:v>
                </c:pt>
                <c:pt idx="47">
                  <c:v>34700</c:v>
                </c:pt>
                <c:pt idx="48">
                  <c:v>34731</c:v>
                </c:pt>
                <c:pt idx="49">
                  <c:v>34759</c:v>
                </c:pt>
                <c:pt idx="50">
                  <c:v>34790</c:v>
                </c:pt>
                <c:pt idx="51">
                  <c:v>34820</c:v>
                </c:pt>
                <c:pt idx="52">
                  <c:v>34851</c:v>
                </c:pt>
                <c:pt idx="53">
                  <c:v>34881</c:v>
                </c:pt>
                <c:pt idx="54">
                  <c:v>34912</c:v>
                </c:pt>
                <c:pt idx="55">
                  <c:v>34943</c:v>
                </c:pt>
                <c:pt idx="56">
                  <c:v>34973</c:v>
                </c:pt>
                <c:pt idx="57">
                  <c:v>35004</c:v>
                </c:pt>
                <c:pt idx="58">
                  <c:v>35034</c:v>
                </c:pt>
                <c:pt idx="59">
                  <c:v>35065</c:v>
                </c:pt>
                <c:pt idx="60">
                  <c:v>35096</c:v>
                </c:pt>
                <c:pt idx="61">
                  <c:v>35125</c:v>
                </c:pt>
                <c:pt idx="62">
                  <c:v>35156</c:v>
                </c:pt>
                <c:pt idx="63">
                  <c:v>35186</c:v>
                </c:pt>
                <c:pt idx="64">
                  <c:v>35217</c:v>
                </c:pt>
                <c:pt idx="65">
                  <c:v>35247</c:v>
                </c:pt>
                <c:pt idx="66">
                  <c:v>35278</c:v>
                </c:pt>
                <c:pt idx="67">
                  <c:v>35309</c:v>
                </c:pt>
                <c:pt idx="68">
                  <c:v>35339</c:v>
                </c:pt>
                <c:pt idx="69">
                  <c:v>35370</c:v>
                </c:pt>
                <c:pt idx="70">
                  <c:v>35400</c:v>
                </c:pt>
                <c:pt idx="71">
                  <c:v>35431</c:v>
                </c:pt>
                <c:pt idx="72">
                  <c:v>35462</c:v>
                </c:pt>
                <c:pt idx="73">
                  <c:v>35490</c:v>
                </c:pt>
                <c:pt idx="74">
                  <c:v>35521</c:v>
                </c:pt>
                <c:pt idx="75">
                  <c:v>35551</c:v>
                </c:pt>
                <c:pt idx="76">
                  <c:v>35582</c:v>
                </c:pt>
                <c:pt idx="77">
                  <c:v>35612</c:v>
                </c:pt>
                <c:pt idx="78">
                  <c:v>35643</c:v>
                </c:pt>
                <c:pt idx="79">
                  <c:v>35674</c:v>
                </c:pt>
                <c:pt idx="80">
                  <c:v>35704</c:v>
                </c:pt>
                <c:pt idx="81">
                  <c:v>35735</c:v>
                </c:pt>
                <c:pt idx="82">
                  <c:v>35765</c:v>
                </c:pt>
                <c:pt idx="83">
                  <c:v>35796</c:v>
                </c:pt>
                <c:pt idx="84">
                  <c:v>35827</c:v>
                </c:pt>
                <c:pt idx="85">
                  <c:v>35855</c:v>
                </c:pt>
                <c:pt idx="86">
                  <c:v>35886</c:v>
                </c:pt>
                <c:pt idx="87">
                  <c:v>35916</c:v>
                </c:pt>
                <c:pt idx="88">
                  <c:v>35947</c:v>
                </c:pt>
                <c:pt idx="89">
                  <c:v>35977</c:v>
                </c:pt>
                <c:pt idx="90">
                  <c:v>36008</c:v>
                </c:pt>
                <c:pt idx="91">
                  <c:v>36039</c:v>
                </c:pt>
                <c:pt idx="92">
                  <c:v>36069</c:v>
                </c:pt>
                <c:pt idx="93">
                  <c:v>36100</c:v>
                </c:pt>
                <c:pt idx="94">
                  <c:v>36130</c:v>
                </c:pt>
                <c:pt idx="95">
                  <c:v>36161</c:v>
                </c:pt>
                <c:pt idx="96">
                  <c:v>36192</c:v>
                </c:pt>
                <c:pt idx="97">
                  <c:v>36220</c:v>
                </c:pt>
                <c:pt idx="98">
                  <c:v>36251</c:v>
                </c:pt>
                <c:pt idx="99">
                  <c:v>36281</c:v>
                </c:pt>
                <c:pt idx="100">
                  <c:v>36312</c:v>
                </c:pt>
                <c:pt idx="101">
                  <c:v>36342</c:v>
                </c:pt>
                <c:pt idx="102">
                  <c:v>36373</c:v>
                </c:pt>
                <c:pt idx="103">
                  <c:v>36404</c:v>
                </c:pt>
                <c:pt idx="104">
                  <c:v>36434</c:v>
                </c:pt>
                <c:pt idx="105">
                  <c:v>36465</c:v>
                </c:pt>
                <c:pt idx="106">
                  <c:v>36495</c:v>
                </c:pt>
                <c:pt idx="107">
                  <c:v>36526</c:v>
                </c:pt>
                <c:pt idx="108">
                  <c:v>36557</c:v>
                </c:pt>
                <c:pt idx="109">
                  <c:v>36586</c:v>
                </c:pt>
                <c:pt idx="110">
                  <c:v>36617</c:v>
                </c:pt>
                <c:pt idx="111">
                  <c:v>36647</c:v>
                </c:pt>
                <c:pt idx="112">
                  <c:v>36678</c:v>
                </c:pt>
                <c:pt idx="113">
                  <c:v>36708</c:v>
                </c:pt>
                <c:pt idx="114">
                  <c:v>36739</c:v>
                </c:pt>
                <c:pt idx="115">
                  <c:v>36770</c:v>
                </c:pt>
                <c:pt idx="116">
                  <c:v>36800</c:v>
                </c:pt>
                <c:pt idx="117">
                  <c:v>36831</c:v>
                </c:pt>
                <c:pt idx="118">
                  <c:v>36861</c:v>
                </c:pt>
                <c:pt idx="119">
                  <c:v>36892</c:v>
                </c:pt>
                <c:pt idx="120">
                  <c:v>36923</c:v>
                </c:pt>
                <c:pt idx="121">
                  <c:v>36951</c:v>
                </c:pt>
                <c:pt idx="122">
                  <c:v>36982</c:v>
                </c:pt>
                <c:pt idx="123">
                  <c:v>37012</c:v>
                </c:pt>
                <c:pt idx="124">
                  <c:v>37043</c:v>
                </c:pt>
                <c:pt idx="125">
                  <c:v>37073</c:v>
                </c:pt>
                <c:pt idx="126">
                  <c:v>37104</c:v>
                </c:pt>
                <c:pt idx="127">
                  <c:v>37135</c:v>
                </c:pt>
                <c:pt idx="128">
                  <c:v>37165</c:v>
                </c:pt>
                <c:pt idx="129">
                  <c:v>37196</c:v>
                </c:pt>
                <c:pt idx="130">
                  <c:v>37226</c:v>
                </c:pt>
                <c:pt idx="131">
                  <c:v>37257</c:v>
                </c:pt>
                <c:pt idx="132">
                  <c:v>37288</c:v>
                </c:pt>
                <c:pt idx="133">
                  <c:v>37316</c:v>
                </c:pt>
                <c:pt idx="134">
                  <c:v>37347</c:v>
                </c:pt>
                <c:pt idx="135">
                  <c:v>37377</c:v>
                </c:pt>
                <c:pt idx="136">
                  <c:v>37408</c:v>
                </c:pt>
                <c:pt idx="137">
                  <c:v>37438</c:v>
                </c:pt>
                <c:pt idx="138">
                  <c:v>37469</c:v>
                </c:pt>
                <c:pt idx="139">
                  <c:v>37500</c:v>
                </c:pt>
                <c:pt idx="140">
                  <c:v>37530</c:v>
                </c:pt>
                <c:pt idx="141">
                  <c:v>37561</c:v>
                </c:pt>
                <c:pt idx="142">
                  <c:v>37591</c:v>
                </c:pt>
                <c:pt idx="143">
                  <c:v>37622</c:v>
                </c:pt>
                <c:pt idx="144">
                  <c:v>37653</c:v>
                </c:pt>
                <c:pt idx="145">
                  <c:v>37681</c:v>
                </c:pt>
                <c:pt idx="146">
                  <c:v>37712</c:v>
                </c:pt>
                <c:pt idx="147">
                  <c:v>37742</c:v>
                </c:pt>
                <c:pt idx="148">
                  <c:v>37773</c:v>
                </c:pt>
                <c:pt idx="149">
                  <c:v>37803</c:v>
                </c:pt>
                <c:pt idx="150">
                  <c:v>37834</c:v>
                </c:pt>
                <c:pt idx="151">
                  <c:v>37865</c:v>
                </c:pt>
                <c:pt idx="152">
                  <c:v>37895</c:v>
                </c:pt>
                <c:pt idx="153">
                  <c:v>37926</c:v>
                </c:pt>
                <c:pt idx="154">
                  <c:v>37956</c:v>
                </c:pt>
                <c:pt idx="155">
                  <c:v>37987</c:v>
                </c:pt>
                <c:pt idx="156">
                  <c:v>38018</c:v>
                </c:pt>
                <c:pt idx="157">
                  <c:v>38047</c:v>
                </c:pt>
                <c:pt idx="158">
                  <c:v>38078</c:v>
                </c:pt>
                <c:pt idx="159">
                  <c:v>38108</c:v>
                </c:pt>
                <c:pt idx="160">
                  <c:v>38139</c:v>
                </c:pt>
                <c:pt idx="161">
                  <c:v>38169</c:v>
                </c:pt>
                <c:pt idx="162">
                  <c:v>38200</c:v>
                </c:pt>
                <c:pt idx="163">
                  <c:v>38231</c:v>
                </c:pt>
                <c:pt idx="164">
                  <c:v>38261</c:v>
                </c:pt>
                <c:pt idx="165">
                  <c:v>38292</c:v>
                </c:pt>
                <c:pt idx="166">
                  <c:v>38322</c:v>
                </c:pt>
                <c:pt idx="167">
                  <c:v>38353</c:v>
                </c:pt>
                <c:pt idx="168">
                  <c:v>38384</c:v>
                </c:pt>
                <c:pt idx="169">
                  <c:v>38412</c:v>
                </c:pt>
                <c:pt idx="170">
                  <c:v>38443</c:v>
                </c:pt>
                <c:pt idx="171">
                  <c:v>38473</c:v>
                </c:pt>
                <c:pt idx="172">
                  <c:v>38504</c:v>
                </c:pt>
                <c:pt idx="173">
                  <c:v>38534</c:v>
                </c:pt>
                <c:pt idx="174">
                  <c:v>38565</c:v>
                </c:pt>
                <c:pt idx="175">
                  <c:v>38596</c:v>
                </c:pt>
                <c:pt idx="176">
                  <c:v>38626</c:v>
                </c:pt>
                <c:pt idx="177">
                  <c:v>38657</c:v>
                </c:pt>
                <c:pt idx="178">
                  <c:v>38687</c:v>
                </c:pt>
                <c:pt idx="179">
                  <c:v>38718</c:v>
                </c:pt>
                <c:pt idx="180">
                  <c:v>38749</c:v>
                </c:pt>
                <c:pt idx="181">
                  <c:v>38777</c:v>
                </c:pt>
                <c:pt idx="182">
                  <c:v>38808</c:v>
                </c:pt>
                <c:pt idx="183">
                  <c:v>38838</c:v>
                </c:pt>
                <c:pt idx="184">
                  <c:v>38869</c:v>
                </c:pt>
                <c:pt idx="185">
                  <c:v>38899</c:v>
                </c:pt>
                <c:pt idx="186">
                  <c:v>38930</c:v>
                </c:pt>
                <c:pt idx="187">
                  <c:v>38961</c:v>
                </c:pt>
                <c:pt idx="188">
                  <c:v>38991</c:v>
                </c:pt>
                <c:pt idx="189">
                  <c:v>39022</c:v>
                </c:pt>
                <c:pt idx="190">
                  <c:v>39052</c:v>
                </c:pt>
                <c:pt idx="191">
                  <c:v>39083</c:v>
                </c:pt>
                <c:pt idx="192">
                  <c:v>39114</c:v>
                </c:pt>
                <c:pt idx="193">
                  <c:v>39142</c:v>
                </c:pt>
                <c:pt idx="194">
                  <c:v>39173</c:v>
                </c:pt>
                <c:pt idx="195">
                  <c:v>39203</c:v>
                </c:pt>
                <c:pt idx="196">
                  <c:v>39234</c:v>
                </c:pt>
                <c:pt idx="197">
                  <c:v>39264</c:v>
                </c:pt>
                <c:pt idx="198">
                  <c:v>39295</c:v>
                </c:pt>
                <c:pt idx="199">
                  <c:v>39326</c:v>
                </c:pt>
                <c:pt idx="200">
                  <c:v>39356</c:v>
                </c:pt>
                <c:pt idx="201">
                  <c:v>39387</c:v>
                </c:pt>
                <c:pt idx="202">
                  <c:v>39417</c:v>
                </c:pt>
                <c:pt idx="203">
                  <c:v>39448</c:v>
                </c:pt>
                <c:pt idx="204">
                  <c:v>39479</c:v>
                </c:pt>
                <c:pt idx="205">
                  <c:v>39508</c:v>
                </c:pt>
                <c:pt idx="206">
                  <c:v>39539</c:v>
                </c:pt>
                <c:pt idx="207">
                  <c:v>39569</c:v>
                </c:pt>
                <c:pt idx="208">
                  <c:v>39600</c:v>
                </c:pt>
                <c:pt idx="209">
                  <c:v>39630</c:v>
                </c:pt>
                <c:pt idx="210">
                  <c:v>39661</c:v>
                </c:pt>
                <c:pt idx="211">
                  <c:v>39692</c:v>
                </c:pt>
                <c:pt idx="212">
                  <c:v>39722</c:v>
                </c:pt>
                <c:pt idx="213">
                  <c:v>39753</c:v>
                </c:pt>
                <c:pt idx="214">
                  <c:v>39783</c:v>
                </c:pt>
                <c:pt idx="215">
                  <c:v>39814</c:v>
                </c:pt>
                <c:pt idx="216">
                  <c:v>39845</c:v>
                </c:pt>
                <c:pt idx="217">
                  <c:v>39873</c:v>
                </c:pt>
                <c:pt idx="218">
                  <c:v>39904</c:v>
                </c:pt>
                <c:pt idx="219">
                  <c:v>39934</c:v>
                </c:pt>
                <c:pt idx="220">
                  <c:v>39965</c:v>
                </c:pt>
                <c:pt idx="221">
                  <c:v>39995</c:v>
                </c:pt>
                <c:pt idx="222">
                  <c:v>40026</c:v>
                </c:pt>
                <c:pt idx="223">
                  <c:v>40057</c:v>
                </c:pt>
                <c:pt idx="224">
                  <c:v>40087</c:v>
                </c:pt>
                <c:pt idx="225">
                  <c:v>40118</c:v>
                </c:pt>
                <c:pt idx="226">
                  <c:v>40148</c:v>
                </c:pt>
                <c:pt idx="227">
                  <c:v>40179</c:v>
                </c:pt>
                <c:pt idx="228">
                  <c:v>40210</c:v>
                </c:pt>
                <c:pt idx="229">
                  <c:v>40238</c:v>
                </c:pt>
                <c:pt idx="230">
                  <c:v>40269</c:v>
                </c:pt>
                <c:pt idx="231">
                  <c:v>40299</c:v>
                </c:pt>
                <c:pt idx="232">
                  <c:v>40330</c:v>
                </c:pt>
                <c:pt idx="233">
                  <c:v>40360</c:v>
                </c:pt>
                <c:pt idx="234">
                  <c:v>40391</c:v>
                </c:pt>
                <c:pt idx="235">
                  <c:v>40422</c:v>
                </c:pt>
                <c:pt idx="236">
                  <c:v>40452</c:v>
                </c:pt>
                <c:pt idx="237">
                  <c:v>40483</c:v>
                </c:pt>
                <c:pt idx="238">
                  <c:v>40513</c:v>
                </c:pt>
                <c:pt idx="239">
                  <c:v>40544</c:v>
                </c:pt>
                <c:pt idx="240">
                  <c:v>40575</c:v>
                </c:pt>
                <c:pt idx="241">
                  <c:v>40603</c:v>
                </c:pt>
                <c:pt idx="242">
                  <c:v>40634</c:v>
                </c:pt>
                <c:pt idx="243">
                  <c:v>40664</c:v>
                </c:pt>
                <c:pt idx="244">
                  <c:v>40695</c:v>
                </c:pt>
                <c:pt idx="245">
                  <c:v>40725</c:v>
                </c:pt>
                <c:pt idx="246">
                  <c:v>40756</c:v>
                </c:pt>
                <c:pt idx="247">
                  <c:v>40787</c:v>
                </c:pt>
                <c:pt idx="248">
                  <c:v>40817</c:v>
                </c:pt>
                <c:pt idx="249">
                  <c:v>40848</c:v>
                </c:pt>
                <c:pt idx="250">
                  <c:v>40878</c:v>
                </c:pt>
                <c:pt idx="251">
                  <c:v>40909</c:v>
                </c:pt>
                <c:pt idx="252">
                  <c:v>40940</c:v>
                </c:pt>
                <c:pt idx="253">
                  <c:v>40969</c:v>
                </c:pt>
                <c:pt idx="254">
                  <c:v>41000</c:v>
                </c:pt>
                <c:pt idx="255">
                  <c:v>41030</c:v>
                </c:pt>
                <c:pt idx="256">
                  <c:v>41061</c:v>
                </c:pt>
                <c:pt idx="257">
                  <c:v>41091</c:v>
                </c:pt>
                <c:pt idx="258">
                  <c:v>41122</c:v>
                </c:pt>
                <c:pt idx="259">
                  <c:v>41153</c:v>
                </c:pt>
                <c:pt idx="260">
                  <c:v>41183</c:v>
                </c:pt>
                <c:pt idx="261">
                  <c:v>41214</c:v>
                </c:pt>
                <c:pt idx="262">
                  <c:v>41244</c:v>
                </c:pt>
                <c:pt idx="263">
                  <c:v>41275</c:v>
                </c:pt>
                <c:pt idx="264">
                  <c:v>41306</c:v>
                </c:pt>
                <c:pt idx="265">
                  <c:v>41334</c:v>
                </c:pt>
                <c:pt idx="266">
                  <c:v>41365</c:v>
                </c:pt>
                <c:pt idx="267">
                  <c:v>41395</c:v>
                </c:pt>
                <c:pt idx="268">
                  <c:v>41426</c:v>
                </c:pt>
                <c:pt idx="269">
                  <c:v>41456</c:v>
                </c:pt>
                <c:pt idx="270">
                  <c:v>41487</c:v>
                </c:pt>
                <c:pt idx="271">
                  <c:v>41518</c:v>
                </c:pt>
                <c:pt idx="272">
                  <c:v>41548</c:v>
                </c:pt>
                <c:pt idx="273">
                  <c:v>41579</c:v>
                </c:pt>
                <c:pt idx="274">
                  <c:v>41609</c:v>
                </c:pt>
                <c:pt idx="275">
                  <c:v>41640</c:v>
                </c:pt>
                <c:pt idx="276">
                  <c:v>41671</c:v>
                </c:pt>
                <c:pt idx="277">
                  <c:v>41699</c:v>
                </c:pt>
                <c:pt idx="278">
                  <c:v>41730</c:v>
                </c:pt>
                <c:pt idx="279">
                  <c:v>41760</c:v>
                </c:pt>
                <c:pt idx="280">
                  <c:v>41791</c:v>
                </c:pt>
                <c:pt idx="281">
                  <c:v>41821</c:v>
                </c:pt>
                <c:pt idx="282">
                  <c:v>41852</c:v>
                </c:pt>
                <c:pt idx="283">
                  <c:v>41883</c:v>
                </c:pt>
                <c:pt idx="284">
                  <c:v>41913</c:v>
                </c:pt>
                <c:pt idx="285">
                  <c:v>41944</c:v>
                </c:pt>
                <c:pt idx="286">
                  <c:v>41974</c:v>
                </c:pt>
                <c:pt idx="287">
                  <c:v>42005</c:v>
                </c:pt>
                <c:pt idx="288">
                  <c:v>42036</c:v>
                </c:pt>
                <c:pt idx="289">
                  <c:v>42064</c:v>
                </c:pt>
                <c:pt idx="290">
                  <c:v>42095</c:v>
                </c:pt>
                <c:pt idx="291">
                  <c:v>42125</c:v>
                </c:pt>
                <c:pt idx="292">
                  <c:v>42156</c:v>
                </c:pt>
                <c:pt idx="293">
                  <c:v>42186</c:v>
                </c:pt>
                <c:pt idx="294">
                  <c:v>42217</c:v>
                </c:pt>
                <c:pt idx="295">
                  <c:v>42248</c:v>
                </c:pt>
                <c:pt idx="296">
                  <c:v>42278</c:v>
                </c:pt>
                <c:pt idx="297">
                  <c:v>42309</c:v>
                </c:pt>
                <c:pt idx="298">
                  <c:v>42339</c:v>
                </c:pt>
                <c:pt idx="299">
                  <c:v>42370</c:v>
                </c:pt>
                <c:pt idx="300">
                  <c:v>42401</c:v>
                </c:pt>
                <c:pt idx="301">
                  <c:v>42430</c:v>
                </c:pt>
                <c:pt idx="302">
                  <c:v>42461</c:v>
                </c:pt>
                <c:pt idx="303">
                  <c:v>42491</c:v>
                </c:pt>
                <c:pt idx="304">
                  <c:v>42522</c:v>
                </c:pt>
                <c:pt idx="305">
                  <c:v>42552</c:v>
                </c:pt>
                <c:pt idx="306">
                  <c:v>42583</c:v>
                </c:pt>
                <c:pt idx="307">
                  <c:v>42614</c:v>
                </c:pt>
                <c:pt idx="308">
                  <c:v>42644</c:v>
                </c:pt>
                <c:pt idx="309">
                  <c:v>42675</c:v>
                </c:pt>
                <c:pt idx="310">
                  <c:v>42705</c:v>
                </c:pt>
                <c:pt idx="311">
                  <c:v>42736</c:v>
                </c:pt>
                <c:pt idx="312">
                  <c:v>42767</c:v>
                </c:pt>
              </c:numCache>
            </c:numRef>
          </c:cat>
          <c:val>
            <c:numRef>
              <c:f>Sheet5!$X$2:$X$327</c:f>
              <c:numCache>
                <c:formatCode>General</c:formatCode>
                <c:ptCount val="326"/>
                <c:pt idx="0">
                  <c:v>-7.8393097040112297E-2</c:v>
                </c:pt>
                <c:pt idx="1">
                  <c:v>-0.11857697665785601</c:v>
                </c:pt>
                <c:pt idx="2">
                  <c:v>-0.154163843943529</c:v>
                </c:pt>
                <c:pt idx="3">
                  <c:v>-0.17972935074600399</c:v>
                </c:pt>
                <c:pt idx="4">
                  <c:v>-0.19978744880216701</c:v>
                </c:pt>
                <c:pt idx="5">
                  <c:v>-0.18485825681335799</c:v>
                </c:pt>
                <c:pt idx="6">
                  <c:v>-0.179418799815835</c:v>
                </c:pt>
                <c:pt idx="7">
                  <c:v>-0.14619153530284601</c:v>
                </c:pt>
                <c:pt idx="8">
                  <c:v>-0.13616418451116799</c:v>
                </c:pt>
                <c:pt idx="9">
                  <c:v>-0.14283555599177999</c:v>
                </c:pt>
                <c:pt idx="10">
                  <c:v>-0.13954626683517299</c:v>
                </c:pt>
                <c:pt idx="11">
                  <c:v>-0.15887967518075199</c:v>
                </c:pt>
                <c:pt idx="12">
                  <c:v>-0.16977974164933199</c:v>
                </c:pt>
                <c:pt idx="13">
                  <c:v>-0.17673849205518899</c:v>
                </c:pt>
                <c:pt idx="14">
                  <c:v>-0.17723600481676099</c:v>
                </c:pt>
                <c:pt idx="15">
                  <c:v>-0.160962128483747</c:v>
                </c:pt>
                <c:pt idx="16">
                  <c:v>-0.14894613873258</c:v>
                </c:pt>
                <c:pt idx="17">
                  <c:v>-0.13055809222463099</c:v>
                </c:pt>
                <c:pt idx="18">
                  <c:v>-0.11112787675595701</c:v>
                </c:pt>
                <c:pt idx="19">
                  <c:v>-9.4525629460654903E-2</c:v>
                </c:pt>
                <c:pt idx="20">
                  <c:v>-7.9544250541573505E-2</c:v>
                </c:pt>
                <c:pt idx="21">
                  <c:v>-7.1261262942084597E-2</c:v>
                </c:pt>
                <c:pt idx="22">
                  <c:v>-4.8210745482022602E-2</c:v>
                </c:pt>
                <c:pt idx="23">
                  <c:v>-2.7779706264426E-2</c:v>
                </c:pt>
                <c:pt idx="24">
                  <c:v>-5.4740009347197301E-3</c:v>
                </c:pt>
                <c:pt idx="25">
                  <c:v>1.35955499420513E-2</c:v>
                </c:pt>
                <c:pt idx="26">
                  <c:v>3.9327421963513298E-2</c:v>
                </c:pt>
                <c:pt idx="27">
                  <c:v>6.8291684470129801E-2</c:v>
                </c:pt>
                <c:pt idx="28">
                  <c:v>8.8625429918295306E-2</c:v>
                </c:pt>
                <c:pt idx="29">
                  <c:v>0.112332969987873</c:v>
                </c:pt>
                <c:pt idx="30">
                  <c:v>0.13209850377851001</c:v>
                </c:pt>
                <c:pt idx="31">
                  <c:v>0.14698802114634099</c:v>
                </c:pt>
                <c:pt idx="32">
                  <c:v>0.150560712408842</c:v>
                </c:pt>
                <c:pt idx="33">
                  <c:v>0.161517344487353</c:v>
                </c:pt>
                <c:pt idx="34">
                  <c:v>0.165309212118563</c:v>
                </c:pt>
                <c:pt idx="35">
                  <c:v>0.18074908891573599</c:v>
                </c:pt>
                <c:pt idx="36">
                  <c:v>0.19289732479330499</c:v>
                </c:pt>
                <c:pt idx="37">
                  <c:v>0.20312078465609101</c:v>
                </c:pt>
                <c:pt idx="38">
                  <c:v>0.22842949829311701</c:v>
                </c:pt>
                <c:pt idx="39">
                  <c:v>0.263965999296842</c:v>
                </c:pt>
                <c:pt idx="40">
                  <c:v>0.29973316334764299</c:v>
                </c:pt>
                <c:pt idx="41">
                  <c:v>0.30390425729488502</c:v>
                </c:pt>
                <c:pt idx="42">
                  <c:v>0.28573035552812398</c:v>
                </c:pt>
                <c:pt idx="43">
                  <c:v>0.27898142206987198</c:v>
                </c:pt>
                <c:pt idx="44">
                  <c:v>0.26300962508514603</c:v>
                </c:pt>
                <c:pt idx="45">
                  <c:v>0.236122105681973</c:v>
                </c:pt>
                <c:pt idx="46">
                  <c:v>0.21384198944996999</c:v>
                </c:pt>
                <c:pt idx="47">
                  <c:v>0.19541356105122501</c:v>
                </c:pt>
                <c:pt idx="48">
                  <c:v>0.190399238652872</c:v>
                </c:pt>
                <c:pt idx="49">
                  <c:v>0.16378735053263199</c:v>
                </c:pt>
                <c:pt idx="50">
                  <c:v>0.145747594054737</c:v>
                </c:pt>
                <c:pt idx="51">
                  <c:v>0.11291708404085</c:v>
                </c:pt>
                <c:pt idx="52">
                  <c:v>6.0560363212556902E-2</c:v>
                </c:pt>
                <c:pt idx="53">
                  <c:v>2.5813823829263401E-2</c:v>
                </c:pt>
                <c:pt idx="54">
                  <c:v>1.652933225353E-2</c:v>
                </c:pt>
                <c:pt idx="55">
                  <c:v>3.8896654226301897E-2</c:v>
                </c:pt>
                <c:pt idx="56">
                  <c:v>5.4373945499479E-2</c:v>
                </c:pt>
                <c:pt idx="57">
                  <c:v>6.6129708674012896E-2</c:v>
                </c:pt>
                <c:pt idx="58">
                  <c:v>8.6176594333054996E-2</c:v>
                </c:pt>
                <c:pt idx="59">
                  <c:v>9.6869356484089605E-2</c:v>
                </c:pt>
                <c:pt idx="60">
                  <c:v>9.7528817000629597E-2</c:v>
                </c:pt>
                <c:pt idx="61">
                  <c:v>8.0000966618624395E-2</c:v>
                </c:pt>
                <c:pt idx="62">
                  <c:v>8.5703557021957297E-2</c:v>
                </c:pt>
                <c:pt idx="63">
                  <c:v>0.118950353688765</c:v>
                </c:pt>
                <c:pt idx="64">
                  <c:v>0.14389437392423801</c:v>
                </c:pt>
                <c:pt idx="65">
                  <c:v>0.16666439205599701</c:v>
                </c:pt>
                <c:pt idx="66">
                  <c:v>0.18146001702794401</c:v>
                </c:pt>
                <c:pt idx="67">
                  <c:v>0.19648605865959601</c:v>
                </c:pt>
                <c:pt idx="68">
                  <c:v>0.19070110151789099</c:v>
                </c:pt>
                <c:pt idx="69">
                  <c:v>0.173287556394185</c:v>
                </c:pt>
                <c:pt idx="70">
                  <c:v>0.165462021529408</c:v>
                </c:pt>
                <c:pt idx="71">
                  <c:v>0.15808854991683599</c:v>
                </c:pt>
                <c:pt idx="72">
                  <c:v>0.16770041792146001</c:v>
                </c:pt>
                <c:pt idx="73">
                  <c:v>0.17242351187751201</c:v>
                </c:pt>
                <c:pt idx="74">
                  <c:v>0.174680079889419</c:v>
                </c:pt>
                <c:pt idx="75">
                  <c:v>0.186929887275948</c:v>
                </c:pt>
                <c:pt idx="76">
                  <c:v>0.189520525980232</c:v>
                </c:pt>
                <c:pt idx="77">
                  <c:v>0.19414925500284599</c:v>
                </c:pt>
                <c:pt idx="78">
                  <c:v>0.17803746896502101</c:v>
                </c:pt>
                <c:pt idx="79">
                  <c:v>0.174037963143889</c:v>
                </c:pt>
                <c:pt idx="80">
                  <c:v>0.16961080459173999</c:v>
                </c:pt>
                <c:pt idx="81">
                  <c:v>0.14772730861049099</c:v>
                </c:pt>
                <c:pt idx="82">
                  <c:v>0.140547870273381</c:v>
                </c:pt>
                <c:pt idx="83">
                  <c:v>0.14516889227450999</c:v>
                </c:pt>
                <c:pt idx="84">
                  <c:v>0.14289107610208099</c:v>
                </c:pt>
                <c:pt idx="85">
                  <c:v>0.143950291118321</c:v>
                </c:pt>
                <c:pt idx="86">
                  <c:v>0.15366461407940801</c:v>
                </c:pt>
                <c:pt idx="87">
                  <c:v>0.165077963038539</c:v>
                </c:pt>
                <c:pt idx="88">
                  <c:v>0.16871337607605499</c:v>
                </c:pt>
                <c:pt idx="89">
                  <c:v>0.172939566868579</c:v>
                </c:pt>
                <c:pt idx="90">
                  <c:v>0.18482798603714201</c:v>
                </c:pt>
                <c:pt idx="91">
                  <c:v>0.18889639500951899</c:v>
                </c:pt>
                <c:pt idx="92">
                  <c:v>0.17284932364825401</c:v>
                </c:pt>
                <c:pt idx="93">
                  <c:v>0.146145475705621</c:v>
                </c:pt>
                <c:pt idx="94">
                  <c:v>0.13897324823597501</c:v>
                </c:pt>
                <c:pt idx="95">
                  <c:v>0.12911614258352999</c:v>
                </c:pt>
                <c:pt idx="96">
                  <c:v>0.12309719019783499</c:v>
                </c:pt>
                <c:pt idx="97">
                  <c:v>0.124171365888603</c:v>
                </c:pt>
                <c:pt idx="98">
                  <c:v>0.14090498464041101</c:v>
                </c:pt>
                <c:pt idx="99">
                  <c:v>0.169681799748439</c:v>
                </c:pt>
                <c:pt idx="100">
                  <c:v>0.19222080126138</c:v>
                </c:pt>
                <c:pt idx="101">
                  <c:v>0.23741959537897001</c:v>
                </c:pt>
                <c:pt idx="102">
                  <c:v>0.284693756752049</c:v>
                </c:pt>
                <c:pt idx="103">
                  <c:v>0.32601926110973301</c:v>
                </c:pt>
                <c:pt idx="104">
                  <c:v>0.34603808134483499</c:v>
                </c:pt>
                <c:pt idx="105">
                  <c:v>0.35276677731834699</c:v>
                </c:pt>
                <c:pt idx="106">
                  <c:v>0.35756198639520498</c:v>
                </c:pt>
                <c:pt idx="107">
                  <c:v>0.34487384285645201</c:v>
                </c:pt>
                <c:pt idx="108">
                  <c:v>0.34904546236265599</c:v>
                </c:pt>
                <c:pt idx="109">
                  <c:v>0.335283687673466</c:v>
                </c:pt>
                <c:pt idx="110">
                  <c:v>0.30632530737623498</c:v>
                </c:pt>
                <c:pt idx="111">
                  <c:v>0.29226233432208898</c:v>
                </c:pt>
                <c:pt idx="112">
                  <c:v>0.26849461038022199</c:v>
                </c:pt>
                <c:pt idx="113">
                  <c:v>0.23668985248589799</c:v>
                </c:pt>
                <c:pt idx="114">
                  <c:v>0.16906807068141999</c:v>
                </c:pt>
                <c:pt idx="115">
                  <c:v>0.13768463379173601</c:v>
                </c:pt>
                <c:pt idx="116">
                  <c:v>0.145056293027995</c:v>
                </c:pt>
                <c:pt idx="117">
                  <c:v>0.15075906686648199</c:v>
                </c:pt>
                <c:pt idx="118">
                  <c:v>0.16051478842519701</c:v>
                </c:pt>
                <c:pt idx="119">
                  <c:v>0.179047540090566</c:v>
                </c:pt>
                <c:pt idx="120">
                  <c:v>0.205908002043897</c:v>
                </c:pt>
                <c:pt idx="121">
                  <c:v>0.20275160710680501</c:v>
                </c:pt>
                <c:pt idx="122">
                  <c:v>0.19327560581634401</c:v>
                </c:pt>
                <c:pt idx="123">
                  <c:v>0.18896299563368299</c:v>
                </c:pt>
                <c:pt idx="124">
                  <c:v>0.17473896821464099</c:v>
                </c:pt>
                <c:pt idx="125">
                  <c:v>0.14860405305281399</c:v>
                </c:pt>
                <c:pt idx="126">
                  <c:v>0.129657956172644</c:v>
                </c:pt>
                <c:pt idx="127">
                  <c:v>0.122986704332083</c:v>
                </c:pt>
                <c:pt idx="128">
                  <c:v>0.114329368681934</c:v>
                </c:pt>
                <c:pt idx="129">
                  <c:v>0.10386313420406899</c:v>
                </c:pt>
                <c:pt idx="130">
                  <c:v>0.105600540919875</c:v>
                </c:pt>
                <c:pt idx="131">
                  <c:v>0.102800391359348</c:v>
                </c:pt>
                <c:pt idx="132">
                  <c:v>0.10980955352513</c:v>
                </c:pt>
                <c:pt idx="133">
                  <c:v>0.109965589046531</c:v>
                </c:pt>
                <c:pt idx="134">
                  <c:v>0.123021897742162</c:v>
                </c:pt>
                <c:pt idx="135">
                  <c:v>0.12323242758400201</c:v>
                </c:pt>
                <c:pt idx="136">
                  <c:v>0.12620339285499299</c:v>
                </c:pt>
                <c:pt idx="137">
                  <c:v>0.14848254236307401</c:v>
                </c:pt>
                <c:pt idx="138">
                  <c:v>0.167326817748323</c:v>
                </c:pt>
                <c:pt idx="139">
                  <c:v>0.17491646268328301</c:v>
                </c:pt>
                <c:pt idx="140">
                  <c:v>0.164193529797489</c:v>
                </c:pt>
                <c:pt idx="141">
                  <c:v>0.16045667566461999</c:v>
                </c:pt>
                <c:pt idx="142">
                  <c:v>0.153680713030899</c:v>
                </c:pt>
                <c:pt idx="143">
                  <c:v>0.13169414211768199</c:v>
                </c:pt>
                <c:pt idx="144">
                  <c:v>0.10867503662653</c:v>
                </c:pt>
                <c:pt idx="145">
                  <c:v>0.10759742095722601</c:v>
                </c:pt>
                <c:pt idx="146">
                  <c:v>0.102063044033586</c:v>
                </c:pt>
                <c:pt idx="147">
                  <c:v>0.102139833432301</c:v>
                </c:pt>
                <c:pt idx="148">
                  <c:v>9.1880034611555306E-2</c:v>
                </c:pt>
                <c:pt idx="149">
                  <c:v>7.94189494763443E-2</c:v>
                </c:pt>
                <c:pt idx="150">
                  <c:v>8.4151030954539602E-2</c:v>
                </c:pt>
                <c:pt idx="151">
                  <c:v>8.7592913422194996E-2</c:v>
                </c:pt>
                <c:pt idx="152">
                  <c:v>9.7755692352916104E-2</c:v>
                </c:pt>
                <c:pt idx="153">
                  <c:v>0.106083610123061</c:v>
                </c:pt>
                <c:pt idx="154">
                  <c:v>0.108744420013539</c:v>
                </c:pt>
                <c:pt idx="155">
                  <c:v>0.123341092100216</c:v>
                </c:pt>
                <c:pt idx="156">
                  <c:v>0.114578400876759</c:v>
                </c:pt>
                <c:pt idx="157">
                  <c:v>0.106265761032395</c:v>
                </c:pt>
                <c:pt idx="158">
                  <c:v>0.10118906675320199</c:v>
                </c:pt>
                <c:pt idx="159">
                  <c:v>0.116142676222737</c:v>
                </c:pt>
                <c:pt idx="160">
                  <c:v>0.12825723928191299</c:v>
                </c:pt>
                <c:pt idx="161">
                  <c:v>0.126266794825694</c:v>
                </c:pt>
                <c:pt idx="162">
                  <c:v>0.13042003243139</c:v>
                </c:pt>
                <c:pt idx="163">
                  <c:v>0.13045451947310599</c:v>
                </c:pt>
                <c:pt idx="164">
                  <c:v>0.13362603420093</c:v>
                </c:pt>
                <c:pt idx="165">
                  <c:v>0.109993249232578</c:v>
                </c:pt>
                <c:pt idx="166">
                  <c:v>0.105870484304812</c:v>
                </c:pt>
                <c:pt idx="167">
                  <c:v>0.103486144462932</c:v>
                </c:pt>
                <c:pt idx="168">
                  <c:v>9.6798316555428698E-2</c:v>
                </c:pt>
                <c:pt idx="169">
                  <c:v>8.8471323918637698E-2</c:v>
                </c:pt>
                <c:pt idx="170">
                  <c:v>7.3803265426722595E-2</c:v>
                </c:pt>
                <c:pt idx="171">
                  <c:v>5.4935673686633303E-2</c:v>
                </c:pt>
                <c:pt idx="172">
                  <c:v>3.44724888988183E-2</c:v>
                </c:pt>
                <c:pt idx="173">
                  <c:v>2.3858368157263998E-2</c:v>
                </c:pt>
                <c:pt idx="174">
                  <c:v>2.26040538115478E-2</c:v>
                </c:pt>
                <c:pt idx="175">
                  <c:v>1.4108771733664101E-2</c:v>
                </c:pt>
                <c:pt idx="176">
                  <c:v>8.6468484536446899E-3</c:v>
                </c:pt>
                <c:pt idx="177">
                  <c:v>1.18817323482255E-2</c:v>
                </c:pt>
                <c:pt idx="178">
                  <c:v>8.23370709484832E-3</c:v>
                </c:pt>
                <c:pt idx="179">
                  <c:v>-2.1051672387399401E-2</c:v>
                </c:pt>
                <c:pt idx="180">
                  <c:v>-5.54045255371328E-2</c:v>
                </c:pt>
                <c:pt idx="181">
                  <c:v>-8.19219948001077E-2</c:v>
                </c:pt>
                <c:pt idx="182">
                  <c:v>-0.106713223354705</c:v>
                </c:pt>
                <c:pt idx="183">
                  <c:v>-0.12322112755360499</c:v>
                </c:pt>
                <c:pt idx="184">
                  <c:v>-0.13193639480925501</c:v>
                </c:pt>
                <c:pt idx="185">
                  <c:v>-0.110182700736446</c:v>
                </c:pt>
                <c:pt idx="186">
                  <c:v>-9.2196466753055206E-2</c:v>
                </c:pt>
                <c:pt idx="187">
                  <c:v>-6.93294230961439E-2</c:v>
                </c:pt>
                <c:pt idx="188">
                  <c:v>-4.81763032669002E-2</c:v>
                </c:pt>
                <c:pt idx="189">
                  <c:v>-2.9149581925833098E-2</c:v>
                </c:pt>
                <c:pt idx="190">
                  <c:v>-1.40625293168325E-2</c:v>
                </c:pt>
                <c:pt idx="191">
                  <c:v>1.0525119206158701E-2</c:v>
                </c:pt>
                <c:pt idx="192">
                  <c:v>2.8544633086297799E-2</c:v>
                </c:pt>
                <c:pt idx="193">
                  <c:v>3.5084752458708797E-2</c:v>
                </c:pt>
                <c:pt idx="194">
                  <c:v>4.9345675567792797E-2</c:v>
                </c:pt>
                <c:pt idx="195">
                  <c:v>5.7358507448141402E-2</c:v>
                </c:pt>
                <c:pt idx="196">
                  <c:v>6.2226985857907598E-2</c:v>
                </c:pt>
                <c:pt idx="197">
                  <c:v>5.1481561530491701E-2</c:v>
                </c:pt>
                <c:pt idx="198">
                  <c:v>3.2897311569179001E-2</c:v>
                </c:pt>
                <c:pt idx="199">
                  <c:v>2.4872271009635901E-2</c:v>
                </c:pt>
                <c:pt idx="200">
                  <c:v>8.8864990575181699E-3</c:v>
                </c:pt>
                <c:pt idx="201">
                  <c:v>-7.8710470887194503E-4</c:v>
                </c:pt>
                <c:pt idx="202">
                  <c:v>-5.7210791166586701E-3</c:v>
                </c:pt>
                <c:pt idx="203">
                  <c:v>-1.21967810239941E-2</c:v>
                </c:pt>
                <c:pt idx="204">
                  <c:v>4.6116099309835299E-3</c:v>
                </c:pt>
                <c:pt idx="205">
                  <c:v>2.7234536039140899E-2</c:v>
                </c:pt>
                <c:pt idx="206">
                  <c:v>3.6117564645887001E-2</c:v>
                </c:pt>
                <c:pt idx="207">
                  <c:v>3.5631571817645001E-2</c:v>
                </c:pt>
                <c:pt idx="208">
                  <c:v>4.4469196576063699E-2</c:v>
                </c:pt>
                <c:pt idx="209">
                  <c:v>5.2559472068172297E-2</c:v>
                </c:pt>
                <c:pt idx="210">
                  <c:v>4.7803303063216902E-2</c:v>
                </c:pt>
                <c:pt idx="211">
                  <c:v>2.71154861862988E-2</c:v>
                </c:pt>
                <c:pt idx="212">
                  <c:v>4.0350195149717202E-2</c:v>
                </c:pt>
                <c:pt idx="213">
                  <c:v>6.1300439936935201E-2</c:v>
                </c:pt>
                <c:pt idx="214">
                  <c:v>7.3623105994733595E-2</c:v>
                </c:pt>
                <c:pt idx="215">
                  <c:v>0.105702791255412</c:v>
                </c:pt>
                <c:pt idx="216">
                  <c:v>0.143973316397594</c:v>
                </c:pt>
                <c:pt idx="217">
                  <c:v>0.193706032285866</c:v>
                </c:pt>
                <c:pt idx="218">
                  <c:v>0.21618281572999001</c:v>
                </c:pt>
                <c:pt idx="219">
                  <c:v>0.24152159031110201</c:v>
                </c:pt>
                <c:pt idx="220">
                  <c:v>0.24947871648268799</c:v>
                </c:pt>
                <c:pt idx="221">
                  <c:v>0.22747212413205101</c:v>
                </c:pt>
                <c:pt idx="222">
                  <c:v>0.243543495857869</c:v>
                </c:pt>
                <c:pt idx="223">
                  <c:v>0.22651546731469099</c:v>
                </c:pt>
                <c:pt idx="224">
                  <c:v>0.19944831792342599</c:v>
                </c:pt>
                <c:pt idx="225">
                  <c:v>0.17036642203986899</c:v>
                </c:pt>
                <c:pt idx="226">
                  <c:v>0.151849819477481</c:v>
                </c:pt>
                <c:pt idx="227">
                  <c:v>0.15042519411323799</c:v>
                </c:pt>
                <c:pt idx="228">
                  <c:v>0.105088987888038</c:v>
                </c:pt>
                <c:pt idx="229">
                  <c:v>7.0690633097552996E-2</c:v>
                </c:pt>
                <c:pt idx="230">
                  <c:v>6.7296935314147099E-2</c:v>
                </c:pt>
                <c:pt idx="231">
                  <c:v>4.2830323288871298E-2</c:v>
                </c:pt>
                <c:pt idx="232">
                  <c:v>3.1150489949351899E-2</c:v>
                </c:pt>
                <c:pt idx="233">
                  <c:v>6.2289282388944701E-3</c:v>
                </c:pt>
                <c:pt idx="234">
                  <c:v>-1.6655926343295699E-2</c:v>
                </c:pt>
                <c:pt idx="235">
                  <c:v>-1.8581966507759701E-2</c:v>
                </c:pt>
                <c:pt idx="236">
                  <c:v>-3.3911314436333898E-2</c:v>
                </c:pt>
                <c:pt idx="237">
                  <c:v>-3.4906228820008697E-2</c:v>
                </c:pt>
                <c:pt idx="238">
                  <c:v>-3.8877301944475501E-2</c:v>
                </c:pt>
                <c:pt idx="239">
                  <c:v>-4.2786813939194798E-2</c:v>
                </c:pt>
                <c:pt idx="240">
                  <c:v>-4.9786631242340597E-2</c:v>
                </c:pt>
                <c:pt idx="241">
                  <c:v>-7.5962180689932796E-2</c:v>
                </c:pt>
                <c:pt idx="242">
                  <c:v>-9.5794385604342197E-2</c:v>
                </c:pt>
                <c:pt idx="243">
                  <c:v>-0.124198214235881</c:v>
                </c:pt>
                <c:pt idx="244">
                  <c:v>-0.15218130735707799</c:v>
                </c:pt>
                <c:pt idx="245">
                  <c:v>-0.17682042249548899</c:v>
                </c:pt>
                <c:pt idx="246">
                  <c:v>-0.20977165859049901</c:v>
                </c:pt>
                <c:pt idx="247">
                  <c:v>-0.231187591913284</c:v>
                </c:pt>
                <c:pt idx="248">
                  <c:v>-0.24202025013886699</c:v>
                </c:pt>
                <c:pt idx="249">
                  <c:v>-0.23677527378272301</c:v>
                </c:pt>
                <c:pt idx="250">
                  <c:v>-0.23865282070758401</c:v>
                </c:pt>
                <c:pt idx="251">
                  <c:v>-0.229443876142926</c:v>
                </c:pt>
                <c:pt idx="252">
                  <c:v>-0.21108524315046101</c:v>
                </c:pt>
                <c:pt idx="253">
                  <c:v>-0.19451020187621401</c:v>
                </c:pt>
                <c:pt idx="254">
                  <c:v>-0.155942517910136</c:v>
                </c:pt>
                <c:pt idx="255">
                  <c:v>-0.16846862948025901</c:v>
                </c:pt>
                <c:pt idx="256">
                  <c:v>-0.168485655762559</c:v>
                </c:pt>
                <c:pt idx="257">
                  <c:v>-0.17038317555309901</c:v>
                </c:pt>
                <c:pt idx="258">
                  <c:v>-0.163080422820336</c:v>
                </c:pt>
                <c:pt idx="259">
                  <c:v>-0.16276325521886401</c:v>
                </c:pt>
                <c:pt idx="260">
                  <c:v>-0.17745956828823001</c:v>
                </c:pt>
                <c:pt idx="261">
                  <c:v>-0.15213776270161</c:v>
                </c:pt>
                <c:pt idx="262">
                  <c:v>-0.14807287784729001</c:v>
                </c:pt>
                <c:pt idx="263">
                  <c:v>-0.15761214757532699</c:v>
                </c:pt>
                <c:pt idx="264">
                  <c:v>-0.16396484626469299</c:v>
                </c:pt>
                <c:pt idx="265">
                  <c:v>-0.173073442683329</c:v>
                </c:pt>
                <c:pt idx="266">
                  <c:v>-0.17622646510550799</c:v>
                </c:pt>
                <c:pt idx="267">
                  <c:v>-0.19349937245186999</c:v>
                </c:pt>
                <c:pt idx="268">
                  <c:v>-0.21422616921964299</c:v>
                </c:pt>
                <c:pt idx="269">
                  <c:v>-0.22245778188631099</c:v>
                </c:pt>
                <c:pt idx="270">
                  <c:v>-0.235758191741165</c:v>
                </c:pt>
                <c:pt idx="271">
                  <c:v>-0.249306838241596</c:v>
                </c:pt>
                <c:pt idx="272">
                  <c:v>-0.30417954083603799</c:v>
                </c:pt>
                <c:pt idx="273">
                  <c:v>-0.35135271004604302</c:v>
                </c:pt>
                <c:pt idx="274">
                  <c:v>-0.36249543148205299</c:v>
                </c:pt>
                <c:pt idx="275">
                  <c:v>-0.37484533544402199</c:v>
                </c:pt>
                <c:pt idx="276">
                  <c:v>-0.40862248259261702</c:v>
                </c:pt>
                <c:pt idx="277">
                  <c:v>-0.42921026176731403</c:v>
                </c:pt>
                <c:pt idx="278">
                  <c:v>-0.40112412694295502</c:v>
                </c:pt>
                <c:pt idx="279">
                  <c:v>-0.39205876667489398</c:v>
                </c:pt>
                <c:pt idx="280">
                  <c:v>-0.403993409290691</c:v>
                </c:pt>
                <c:pt idx="281">
                  <c:v>-0.40457907703427498</c:v>
                </c:pt>
                <c:pt idx="282">
                  <c:v>-0.38228174998756198</c:v>
                </c:pt>
                <c:pt idx="283">
                  <c:v>-0.359914837998767</c:v>
                </c:pt>
                <c:pt idx="284">
                  <c:v>-0.37333159528716597</c:v>
                </c:pt>
                <c:pt idx="285">
                  <c:v>-0.39232810844465799</c:v>
                </c:pt>
                <c:pt idx="286">
                  <c:v>-0.38106436319209602</c:v>
                </c:pt>
                <c:pt idx="287">
                  <c:v>-0.40109688171327101</c:v>
                </c:pt>
                <c:pt idx="288">
                  <c:v>-0.38268466454926098</c:v>
                </c:pt>
                <c:pt idx="289">
                  <c:v>-0.36104317685735599</c:v>
                </c:pt>
                <c:pt idx="290">
                  <c:v>-0.35524167355329</c:v>
                </c:pt>
                <c:pt idx="291">
                  <c:v>-0.28511893602939797</c:v>
                </c:pt>
                <c:pt idx="292">
                  <c:v>-0.27953371466190102</c:v>
                </c:pt>
                <c:pt idx="293">
                  <c:v>-0.23473148702336999</c:v>
                </c:pt>
                <c:pt idx="294">
                  <c:v>-0.23441720958891099</c:v>
                </c:pt>
                <c:pt idx="295">
                  <c:v>-0.25075517919184498</c:v>
                </c:pt>
                <c:pt idx="296">
                  <c:v>-0.262544366835059</c:v>
                </c:pt>
                <c:pt idx="297">
                  <c:v>-0.29900812560009699</c:v>
                </c:pt>
                <c:pt idx="298">
                  <c:v>-0.29432808060713</c:v>
                </c:pt>
                <c:pt idx="299">
                  <c:v>-0.32468312589238102</c:v>
                </c:pt>
                <c:pt idx="300">
                  <c:v>-0.35980718263344003</c:v>
                </c:pt>
                <c:pt idx="301">
                  <c:v>-0.34949687472352903</c:v>
                </c:pt>
                <c:pt idx="302">
                  <c:v>-0.33686194817797899</c:v>
                </c:pt>
                <c:pt idx="303">
                  <c:v>-0.33381432101082098</c:v>
                </c:pt>
                <c:pt idx="304">
                  <c:v>-0.33036098210154202</c:v>
                </c:pt>
                <c:pt idx="305">
                  <c:v>-0.31647782776899103</c:v>
                </c:pt>
                <c:pt idx="306">
                  <c:v>-0.28396555166623699</c:v>
                </c:pt>
                <c:pt idx="307">
                  <c:v>-0.279893678080122</c:v>
                </c:pt>
                <c:pt idx="308">
                  <c:v>-0.276190534491358</c:v>
                </c:pt>
                <c:pt idx="309">
                  <c:v>-0.26102928213216497</c:v>
                </c:pt>
                <c:pt idx="310">
                  <c:v>-0.25251942663892801</c:v>
                </c:pt>
                <c:pt idx="311">
                  <c:v>-0.27123191027451599</c:v>
                </c:pt>
                <c:pt idx="312">
                  <c:v>-0.25148599499188101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Sheet5!$Y$1</c:f>
              <c:strCache>
                <c:ptCount val="1"/>
                <c:pt idx="0">
                  <c:v>Spread</c:v>
                </c:pt>
              </c:strCache>
            </c:strRef>
          </c:tx>
          <c:marker>
            <c:symbol val="none"/>
          </c:marker>
          <c:cat>
            <c:numRef>
              <c:f>Sheet5!$W$2:$W$327</c:f>
              <c:numCache>
                <c:formatCode>m/d/yyyy</c:formatCode>
                <c:ptCount val="326"/>
                <c:pt idx="0">
                  <c:v>33270</c:v>
                </c:pt>
                <c:pt idx="1">
                  <c:v>33298</c:v>
                </c:pt>
                <c:pt idx="2">
                  <c:v>33329</c:v>
                </c:pt>
                <c:pt idx="3">
                  <c:v>33359</c:v>
                </c:pt>
                <c:pt idx="4">
                  <c:v>33390</c:v>
                </c:pt>
                <c:pt idx="5">
                  <c:v>33420</c:v>
                </c:pt>
                <c:pt idx="6">
                  <c:v>33451</c:v>
                </c:pt>
                <c:pt idx="7">
                  <c:v>33482</c:v>
                </c:pt>
                <c:pt idx="8">
                  <c:v>33512</c:v>
                </c:pt>
                <c:pt idx="9">
                  <c:v>33543</c:v>
                </c:pt>
                <c:pt idx="10">
                  <c:v>33573</c:v>
                </c:pt>
                <c:pt idx="11">
                  <c:v>33604</c:v>
                </c:pt>
                <c:pt idx="12">
                  <c:v>33635</c:v>
                </c:pt>
                <c:pt idx="13">
                  <c:v>33664</c:v>
                </c:pt>
                <c:pt idx="14">
                  <c:v>33695</c:v>
                </c:pt>
                <c:pt idx="15">
                  <c:v>33725</c:v>
                </c:pt>
                <c:pt idx="16">
                  <c:v>33756</c:v>
                </c:pt>
                <c:pt idx="17">
                  <c:v>33786</c:v>
                </c:pt>
                <c:pt idx="18">
                  <c:v>33817</c:v>
                </c:pt>
                <c:pt idx="19">
                  <c:v>33848</c:v>
                </c:pt>
                <c:pt idx="20">
                  <c:v>33878</c:v>
                </c:pt>
                <c:pt idx="21">
                  <c:v>33909</c:v>
                </c:pt>
                <c:pt idx="22">
                  <c:v>33939</c:v>
                </c:pt>
                <c:pt idx="23">
                  <c:v>33970</c:v>
                </c:pt>
                <c:pt idx="24">
                  <c:v>34001</c:v>
                </c:pt>
                <c:pt idx="25">
                  <c:v>34029</c:v>
                </c:pt>
                <c:pt idx="26">
                  <c:v>34060</c:v>
                </c:pt>
                <c:pt idx="27">
                  <c:v>34090</c:v>
                </c:pt>
                <c:pt idx="28">
                  <c:v>34121</c:v>
                </c:pt>
                <c:pt idx="29">
                  <c:v>34151</c:v>
                </c:pt>
                <c:pt idx="30">
                  <c:v>34182</c:v>
                </c:pt>
                <c:pt idx="31">
                  <c:v>34213</c:v>
                </c:pt>
                <c:pt idx="32">
                  <c:v>34243</c:v>
                </c:pt>
                <c:pt idx="33">
                  <c:v>34274</c:v>
                </c:pt>
                <c:pt idx="34">
                  <c:v>34304</c:v>
                </c:pt>
                <c:pt idx="35">
                  <c:v>34335</c:v>
                </c:pt>
                <c:pt idx="36">
                  <c:v>34366</c:v>
                </c:pt>
                <c:pt idx="37">
                  <c:v>34394</c:v>
                </c:pt>
                <c:pt idx="38">
                  <c:v>34425</c:v>
                </c:pt>
                <c:pt idx="39">
                  <c:v>34455</c:v>
                </c:pt>
                <c:pt idx="40">
                  <c:v>34486</c:v>
                </c:pt>
                <c:pt idx="41">
                  <c:v>34516</c:v>
                </c:pt>
                <c:pt idx="42">
                  <c:v>34547</c:v>
                </c:pt>
                <c:pt idx="43">
                  <c:v>34578</c:v>
                </c:pt>
                <c:pt idx="44">
                  <c:v>34608</c:v>
                </c:pt>
                <c:pt idx="45">
                  <c:v>34639</c:v>
                </c:pt>
                <c:pt idx="46">
                  <c:v>34669</c:v>
                </c:pt>
                <c:pt idx="47">
                  <c:v>34700</c:v>
                </c:pt>
                <c:pt idx="48">
                  <c:v>34731</c:v>
                </c:pt>
                <c:pt idx="49">
                  <c:v>34759</c:v>
                </c:pt>
                <c:pt idx="50">
                  <c:v>34790</c:v>
                </c:pt>
                <c:pt idx="51">
                  <c:v>34820</c:v>
                </c:pt>
                <c:pt idx="52">
                  <c:v>34851</c:v>
                </c:pt>
                <c:pt idx="53">
                  <c:v>34881</c:v>
                </c:pt>
                <c:pt idx="54">
                  <c:v>34912</c:v>
                </c:pt>
                <c:pt idx="55">
                  <c:v>34943</c:v>
                </c:pt>
                <c:pt idx="56">
                  <c:v>34973</c:v>
                </c:pt>
                <c:pt idx="57">
                  <c:v>35004</c:v>
                </c:pt>
                <c:pt idx="58">
                  <c:v>35034</c:v>
                </c:pt>
                <c:pt idx="59">
                  <c:v>35065</c:v>
                </c:pt>
                <c:pt idx="60">
                  <c:v>35096</c:v>
                </c:pt>
                <c:pt idx="61">
                  <c:v>35125</c:v>
                </c:pt>
                <c:pt idx="62">
                  <c:v>35156</c:v>
                </c:pt>
                <c:pt idx="63">
                  <c:v>35186</c:v>
                </c:pt>
                <c:pt idx="64">
                  <c:v>35217</c:v>
                </c:pt>
                <c:pt idx="65">
                  <c:v>35247</c:v>
                </c:pt>
                <c:pt idx="66">
                  <c:v>35278</c:v>
                </c:pt>
                <c:pt idx="67">
                  <c:v>35309</c:v>
                </c:pt>
                <c:pt idx="68">
                  <c:v>35339</c:v>
                </c:pt>
                <c:pt idx="69">
                  <c:v>35370</c:v>
                </c:pt>
                <c:pt idx="70">
                  <c:v>35400</c:v>
                </c:pt>
                <c:pt idx="71">
                  <c:v>35431</c:v>
                </c:pt>
                <c:pt idx="72">
                  <c:v>35462</c:v>
                </c:pt>
                <c:pt idx="73">
                  <c:v>35490</c:v>
                </c:pt>
                <c:pt idx="74">
                  <c:v>35521</c:v>
                </c:pt>
                <c:pt idx="75">
                  <c:v>35551</c:v>
                </c:pt>
                <c:pt idx="76">
                  <c:v>35582</c:v>
                </c:pt>
                <c:pt idx="77">
                  <c:v>35612</c:v>
                </c:pt>
                <c:pt idx="78">
                  <c:v>35643</c:v>
                </c:pt>
                <c:pt idx="79">
                  <c:v>35674</c:v>
                </c:pt>
                <c:pt idx="80">
                  <c:v>35704</c:v>
                </c:pt>
                <c:pt idx="81">
                  <c:v>35735</c:v>
                </c:pt>
                <c:pt idx="82">
                  <c:v>35765</c:v>
                </c:pt>
                <c:pt idx="83">
                  <c:v>35796</c:v>
                </c:pt>
                <c:pt idx="84">
                  <c:v>35827</c:v>
                </c:pt>
                <c:pt idx="85">
                  <c:v>35855</c:v>
                </c:pt>
                <c:pt idx="86">
                  <c:v>35886</c:v>
                </c:pt>
                <c:pt idx="87">
                  <c:v>35916</c:v>
                </c:pt>
                <c:pt idx="88">
                  <c:v>35947</c:v>
                </c:pt>
                <c:pt idx="89">
                  <c:v>35977</c:v>
                </c:pt>
                <c:pt idx="90">
                  <c:v>36008</c:v>
                </c:pt>
                <c:pt idx="91">
                  <c:v>36039</c:v>
                </c:pt>
                <c:pt idx="92">
                  <c:v>36069</c:v>
                </c:pt>
                <c:pt idx="93">
                  <c:v>36100</c:v>
                </c:pt>
                <c:pt idx="94">
                  <c:v>36130</c:v>
                </c:pt>
                <c:pt idx="95">
                  <c:v>36161</c:v>
                </c:pt>
                <c:pt idx="96">
                  <c:v>36192</c:v>
                </c:pt>
                <c:pt idx="97">
                  <c:v>36220</c:v>
                </c:pt>
                <c:pt idx="98">
                  <c:v>36251</c:v>
                </c:pt>
                <c:pt idx="99">
                  <c:v>36281</c:v>
                </c:pt>
                <c:pt idx="100">
                  <c:v>36312</c:v>
                </c:pt>
                <c:pt idx="101">
                  <c:v>36342</c:v>
                </c:pt>
                <c:pt idx="102">
                  <c:v>36373</c:v>
                </c:pt>
                <c:pt idx="103">
                  <c:v>36404</c:v>
                </c:pt>
                <c:pt idx="104">
                  <c:v>36434</c:v>
                </c:pt>
                <c:pt idx="105">
                  <c:v>36465</c:v>
                </c:pt>
                <c:pt idx="106">
                  <c:v>36495</c:v>
                </c:pt>
                <c:pt idx="107">
                  <c:v>36526</c:v>
                </c:pt>
                <c:pt idx="108">
                  <c:v>36557</c:v>
                </c:pt>
                <c:pt idx="109">
                  <c:v>36586</c:v>
                </c:pt>
                <c:pt idx="110">
                  <c:v>36617</c:v>
                </c:pt>
                <c:pt idx="111">
                  <c:v>36647</c:v>
                </c:pt>
                <c:pt idx="112">
                  <c:v>36678</c:v>
                </c:pt>
                <c:pt idx="113">
                  <c:v>36708</c:v>
                </c:pt>
                <c:pt idx="114">
                  <c:v>36739</c:v>
                </c:pt>
                <c:pt idx="115">
                  <c:v>36770</c:v>
                </c:pt>
                <c:pt idx="116">
                  <c:v>36800</c:v>
                </c:pt>
                <c:pt idx="117">
                  <c:v>36831</c:v>
                </c:pt>
                <c:pt idx="118">
                  <c:v>36861</c:v>
                </c:pt>
                <c:pt idx="119">
                  <c:v>36892</c:v>
                </c:pt>
                <c:pt idx="120">
                  <c:v>36923</c:v>
                </c:pt>
                <c:pt idx="121">
                  <c:v>36951</c:v>
                </c:pt>
                <c:pt idx="122">
                  <c:v>36982</c:v>
                </c:pt>
                <c:pt idx="123">
                  <c:v>37012</c:v>
                </c:pt>
                <c:pt idx="124">
                  <c:v>37043</c:v>
                </c:pt>
                <c:pt idx="125">
                  <c:v>37073</c:v>
                </c:pt>
                <c:pt idx="126">
                  <c:v>37104</c:v>
                </c:pt>
                <c:pt idx="127">
                  <c:v>37135</c:v>
                </c:pt>
                <c:pt idx="128">
                  <c:v>37165</c:v>
                </c:pt>
                <c:pt idx="129">
                  <c:v>37196</c:v>
                </c:pt>
                <c:pt idx="130">
                  <c:v>37226</c:v>
                </c:pt>
                <c:pt idx="131">
                  <c:v>37257</c:v>
                </c:pt>
                <c:pt idx="132">
                  <c:v>37288</c:v>
                </c:pt>
                <c:pt idx="133">
                  <c:v>37316</c:v>
                </c:pt>
                <c:pt idx="134">
                  <c:v>37347</c:v>
                </c:pt>
                <c:pt idx="135">
                  <c:v>37377</c:v>
                </c:pt>
                <c:pt idx="136">
                  <c:v>37408</c:v>
                </c:pt>
                <c:pt idx="137">
                  <c:v>37438</c:v>
                </c:pt>
                <c:pt idx="138">
                  <c:v>37469</c:v>
                </c:pt>
                <c:pt idx="139">
                  <c:v>37500</c:v>
                </c:pt>
                <c:pt idx="140">
                  <c:v>37530</c:v>
                </c:pt>
                <c:pt idx="141">
                  <c:v>37561</c:v>
                </c:pt>
                <c:pt idx="142">
                  <c:v>37591</c:v>
                </c:pt>
                <c:pt idx="143">
                  <c:v>37622</c:v>
                </c:pt>
                <c:pt idx="144">
                  <c:v>37653</c:v>
                </c:pt>
                <c:pt idx="145">
                  <c:v>37681</c:v>
                </c:pt>
                <c:pt idx="146">
                  <c:v>37712</c:v>
                </c:pt>
                <c:pt idx="147">
                  <c:v>37742</c:v>
                </c:pt>
                <c:pt idx="148">
                  <c:v>37773</c:v>
                </c:pt>
                <c:pt idx="149">
                  <c:v>37803</c:v>
                </c:pt>
                <c:pt idx="150">
                  <c:v>37834</c:v>
                </c:pt>
                <c:pt idx="151">
                  <c:v>37865</c:v>
                </c:pt>
                <c:pt idx="152">
                  <c:v>37895</c:v>
                </c:pt>
                <c:pt idx="153">
                  <c:v>37926</c:v>
                </c:pt>
                <c:pt idx="154">
                  <c:v>37956</c:v>
                </c:pt>
                <c:pt idx="155">
                  <c:v>37987</c:v>
                </c:pt>
                <c:pt idx="156">
                  <c:v>38018</c:v>
                </c:pt>
                <c:pt idx="157">
                  <c:v>38047</c:v>
                </c:pt>
                <c:pt idx="158">
                  <c:v>38078</c:v>
                </c:pt>
                <c:pt idx="159">
                  <c:v>38108</c:v>
                </c:pt>
                <c:pt idx="160">
                  <c:v>38139</c:v>
                </c:pt>
                <c:pt idx="161">
                  <c:v>38169</c:v>
                </c:pt>
                <c:pt idx="162">
                  <c:v>38200</c:v>
                </c:pt>
                <c:pt idx="163">
                  <c:v>38231</c:v>
                </c:pt>
                <c:pt idx="164">
                  <c:v>38261</c:v>
                </c:pt>
                <c:pt idx="165">
                  <c:v>38292</c:v>
                </c:pt>
                <c:pt idx="166">
                  <c:v>38322</c:v>
                </c:pt>
                <c:pt idx="167">
                  <c:v>38353</c:v>
                </c:pt>
                <c:pt idx="168">
                  <c:v>38384</c:v>
                </c:pt>
                <c:pt idx="169">
                  <c:v>38412</c:v>
                </c:pt>
                <c:pt idx="170">
                  <c:v>38443</c:v>
                </c:pt>
                <c:pt idx="171">
                  <c:v>38473</c:v>
                </c:pt>
                <c:pt idx="172">
                  <c:v>38504</c:v>
                </c:pt>
                <c:pt idx="173">
                  <c:v>38534</c:v>
                </c:pt>
                <c:pt idx="174">
                  <c:v>38565</c:v>
                </c:pt>
                <c:pt idx="175">
                  <c:v>38596</c:v>
                </c:pt>
                <c:pt idx="176">
                  <c:v>38626</c:v>
                </c:pt>
                <c:pt idx="177">
                  <c:v>38657</c:v>
                </c:pt>
                <c:pt idx="178">
                  <c:v>38687</c:v>
                </c:pt>
                <c:pt idx="179">
                  <c:v>38718</c:v>
                </c:pt>
                <c:pt idx="180">
                  <c:v>38749</c:v>
                </c:pt>
                <c:pt idx="181">
                  <c:v>38777</c:v>
                </c:pt>
                <c:pt idx="182">
                  <c:v>38808</c:v>
                </c:pt>
                <c:pt idx="183">
                  <c:v>38838</c:v>
                </c:pt>
                <c:pt idx="184">
                  <c:v>38869</c:v>
                </c:pt>
                <c:pt idx="185">
                  <c:v>38899</c:v>
                </c:pt>
                <c:pt idx="186">
                  <c:v>38930</c:v>
                </c:pt>
                <c:pt idx="187">
                  <c:v>38961</c:v>
                </c:pt>
                <c:pt idx="188">
                  <c:v>38991</c:v>
                </c:pt>
                <c:pt idx="189">
                  <c:v>39022</c:v>
                </c:pt>
                <c:pt idx="190">
                  <c:v>39052</c:v>
                </c:pt>
                <c:pt idx="191">
                  <c:v>39083</c:v>
                </c:pt>
                <c:pt idx="192">
                  <c:v>39114</c:v>
                </c:pt>
                <c:pt idx="193">
                  <c:v>39142</c:v>
                </c:pt>
                <c:pt idx="194">
                  <c:v>39173</c:v>
                </c:pt>
                <c:pt idx="195">
                  <c:v>39203</c:v>
                </c:pt>
                <c:pt idx="196">
                  <c:v>39234</c:v>
                </c:pt>
                <c:pt idx="197">
                  <c:v>39264</c:v>
                </c:pt>
                <c:pt idx="198">
                  <c:v>39295</c:v>
                </c:pt>
                <c:pt idx="199">
                  <c:v>39326</c:v>
                </c:pt>
                <c:pt idx="200">
                  <c:v>39356</c:v>
                </c:pt>
                <c:pt idx="201">
                  <c:v>39387</c:v>
                </c:pt>
                <c:pt idx="202">
                  <c:v>39417</c:v>
                </c:pt>
                <c:pt idx="203">
                  <c:v>39448</c:v>
                </c:pt>
                <c:pt idx="204">
                  <c:v>39479</c:v>
                </c:pt>
                <c:pt idx="205">
                  <c:v>39508</c:v>
                </c:pt>
                <c:pt idx="206">
                  <c:v>39539</c:v>
                </c:pt>
                <c:pt idx="207">
                  <c:v>39569</c:v>
                </c:pt>
                <c:pt idx="208">
                  <c:v>39600</c:v>
                </c:pt>
                <c:pt idx="209">
                  <c:v>39630</c:v>
                </c:pt>
                <c:pt idx="210">
                  <c:v>39661</c:v>
                </c:pt>
                <c:pt idx="211">
                  <c:v>39692</c:v>
                </c:pt>
                <c:pt idx="212">
                  <c:v>39722</c:v>
                </c:pt>
                <c:pt idx="213">
                  <c:v>39753</c:v>
                </c:pt>
                <c:pt idx="214">
                  <c:v>39783</c:v>
                </c:pt>
                <c:pt idx="215">
                  <c:v>39814</c:v>
                </c:pt>
                <c:pt idx="216">
                  <c:v>39845</c:v>
                </c:pt>
                <c:pt idx="217">
                  <c:v>39873</c:v>
                </c:pt>
                <c:pt idx="218">
                  <c:v>39904</c:v>
                </c:pt>
                <c:pt idx="219">
                  <c:v>39934</c:v>
                </c:pt>
                <c:pt idx="220">
                  <c:v>39965</c:v>
                </c:pt>
                <c:pt idx="221">
                  <c:v>39995</c:v>
                </c:pt>
                <c:pt idx="222">
                  <c:v>40026</c:v>
                </c:pt>
                <c:pt idx="223">
                  <c:v>40057</c:v>
                </c:pt>
                <c:pt idx="224">
                  <c:v>40087</c:v>
                </c:pt>
                <c:pt idx="225">
                  <c:v>40118</c:v>
                </c:pt>
                <c:pt idx="226">
                  <c:v>40148</c:v>
                </c:pt>
                <c:pt idx="227">
                  <c:v>40179</c:v>
                </c:pt>
                <c:pt idx="228">
                  <c:v>40210</c:v>
                </c:pt>
                <c:pt idx="229">
                  <c:v>40238</c:v>
                </c:pt>
                <c:pt idx="230">
                  <c:v>40269</c:v>
                </c:pt>
                <c:pt idx="231">
                  <c:v>40299</c:v>
                </c:pt>
                <c:pt idx="232">
                  <c:v>40330</c:v>
                </c:pt>
                <c:pt idx="233">
                  <c:v>40360</c:v>
                </c:pt>
                <c:pt idx="234">
                  <c:v>40391</c:v>
                </c:pt>
                <c:pt idx="235">
                  <c:v>40422</c:v>
                </c:pt>
                <c:pt idx="236">
                  <c:v>40452</c:v>
                </c:pt>
                <c:pt idx="237">
                  <c:v>40483</c:v>
                </c:pt>
                <c:pt idx="238">
                  <c:v>40513</c:v>
                </c:pt>
                <c:pt idx="239">
                  <c:v>40544</c:v>
                </c:pt>
                <c:pt idx="240">
                  <c:v>40575</c:v>
                </c:pt>
                <c:pt idx="241">
                  <c:v>40603</c:v>
                </c:pt>
                <c:pt idx="242">
                  <c:v>40634</c:v>
                </c:pt>
                <c:pt idx="243">
                  <c:v>40664</c:v>
                </c:pt>
                <c:pt idx="244">
                  <c:v>40695</c:v>
                </c:pt>
                <c:pt idx="245">
                  <c:v>40725</c:v>
                </c:pt>
                <c:pt idx="246">
                  <c:v>40756</c:v>
                </c:pt>
                <c:pt idx="247">
                  <c:v>40787</c:v>
                </c:pt>
                <c:pt idx="248">
                  <c:v>40817</c:v>
                </c:pt>
                <c:pt idx="249">
                  <c:v>40848</c:v>
                </c:pt>
                <c:pt idx="250">
                  <c:v>40878</c:v>
                </c:pt>
                <c:pt idx="251">
                  <c:v>40909</c:v>
                </c:pt>
                <c:pt idx="252">
                  <c:v>40940</c:v>
                </c:pt>
                <c:pt idx="253">
                  <c:v>40969</c:v>
                </c:pt>
                <c:pt idx="254">
                  <c:v>41000</c:v>
                </c:pt>
                <c:pt idx="255">
                  <c:v>41030</c:v>
                </c:pt>
                <c:pt idx="256">
                  <c:v>41061</c:v>
                </c:pt>
                <c:pt idx="257">
                  <c:v>41091</c:v>
                </c:pt>
                <c:pt idx="258">
                  <c:v>41122</c:v>
                </c:pt>
                <c:pt idx="259">
                  <c:v>41153</c:v>
                </c:pt>
                <c:pt idx="260">
                  <c:v>41183</c:v>
                </c:pt>
                <c:pt idx="261">
                  <c:v>41214</c:v>
                </c:pt>
                <c:pt idx="262">
                  <c:v>41244</c:v>
                </c:pt>
                <c:pt idx="263">
                  <c:v>41275</c:v>
                </c:pt>
                <c:pt idx="264">
                  <c:v>41306</c:v>
                </c:pt>
                <c:pt idx="265">
                  <c:v>41334</c:v>
                </c:pt>
                <c:pt idx="266">
                  <c:v>41365</c:v>
                </c:pt>
                <c:pt idx="267">
                  <c:v>41395</c:v>
                </c:pt>
                <c:pt idx="268">
                  <c:v>41426</c:v>
                </c:pt>
                <c:pt idx="269">
                  <c:v>41456</c:v>
                </c:pt>
                <c:pt idx="270">
                  <c:v>41487</c:v>
                </c:pt>
                <c:pt idx="271">
                  <c:v>41518</c:v>
                </c:pt>
                <c:pt idx="272">
                  <c:v>41548</c:v>
                </c:pt>
                <c:pt idx="273">
                  <c:v>41579</c:v>
                </c:pt>
                <c:pt idx="274">
                  <c:v>41609</c:v>
                </c:pt>
                <c:pt idx="275">
                  <c:v>41640</c:v>
                </c:pt>
                <c:pt idx="276">
                  <c:v>41671</c:v>
                </c:pt>
                <c:pt idx="277">
                  <c:v>41699</c:v>
                </c:pt>
                <c:pt idx="278">
                  <c:v>41730</c:v>
                </c:pt>
                <c:pt idx="279">
                  <c:v>41760</c:v>
                </c:pt>
                <c:pt idx="280">
                  <c:v>41791</c:v>
                </c:pt>
                <c:pt idx="281">
                  <c:v>41821</c:v>
                </c:pt>
                <c:pt idx="282">
                  <c:v>41852</c:v>
                </c:pt>
                <c:pt idx="283">
                  <c:v>41883</c:v>
                </c:pt>
                <c:pt idx="284">
                  <c:v>41913</c:v>
                </c:pt>
                <c:pt idx="285">
                  <c:v>41944</c:v>
                </c:pt>
                <c:pt idx="286">
                  <c:v>41974</c:v>
                </c:pt>
                <c:pt idx="287">
                  <c:v>42005</c:v>
                </c:pt>
                <c:pt idx="288">
                  <c:v>42036</c:v>
                </c:pt>
                <c:pt idx="289">
                  <c:v>42064</c:v>
                </c:pt>
                <c:pt idx="290">
                  <c:v>42095</c:v>
                </c:pt>
                <c:pt idx="291">
                  <c:v>42125</c:v>
                </c:pt>
                <c:pt idx="292">
                  <c:v>42156</c:v>
                </c:pt>
                <c:pt idx="293">
                  <c:v>42186</c:v>
                </c:pt>
                <c:pt idx="294">
                  <c:v>42217</c:v>
                </c:pt>
                <c:pt idx="295">
                  <c:v>42248</c:v>
                </c:pt>
                <c:pt idx="296">
                  <c:v>42278</c:v>
                </c:pt>
                <c:pt idx="297">
                  <c:v>42309</c:v>
                </c:pt>
                <c:pt idx="298">
                  <c:v>42339</c:v>
                </c:pt>
                <c:pt idx="299">
                  <c:v>42370</c:v>
                </c:pt>
                <c:pt idx="300">
                  <c:v>42401</c:v>
                </c:pt>
                <c:pt idx="301">
                  <c:v>42430</c:v>
                </c:pt>
                <c:pt idx="302">
                  <c:v>42461</c:v>
                </c:pt>
                <c:pt idx="303">
                  <c:v>42491</c:v>
                </c:pt>
                <c:pt idx="304">
                  <c:v>42522</c:v>
                </c:pt>
                <c:pt idx="305">
                  <c:v>42552</c:v>
                </c:pt>
                <c:pt idx="306">
                  <c:v>42583</c:v>
                </c:pt>
                <c:pt idx="307">
                  <c:v>42614</c:v>
                </c:pt>
                <c:pt idx="308">
                  <c:v>42644</c:v>
                </c:pt>
                <c:pt idx="309">
                  <c:v>42675</c:v>
                </c:pt>
                <c:pt idx="310">
                  <c:v>42705</c:v>
                </c:pt>
                <c:pt idx="311">
                  <c:v>42736</c:v>
                </c:pt>
                <c:pt idx="312">
                  <c:v>42767</c:v>
                </c:pt>
              </c:numCache>
            </c:numRef>
          </c:cat>
          <c:val>
            <c:numRef>
              <c:f>Sheet5!$Y$2:$Y$327</c:f>
              <c:numCache>
                <c:formatCode>General</c:formatCode>
                <c:ptCount val="326"/>
                <c:pt idx="0">
                  <c:v>-0.15619699798016801</c:v>
                </c:pt>
                <c:pt idx="1">
                  <c:v>-0.30736479031112002</c:v>
                </c:pt>
                <c:pt idx="2">
                  <c:v>-0.19585940267176899</c:v>
                </c:pt>
                <c:pt idx="3">
                  <c:v>-0.17423556243017699</c:v>
                </c:pt>
                <c:pt idx="4">
                  <c:v>-0.18139729427979301</c:v>
                </c:pt>
                <c:pt idx="5">
                  <c:v>-9.4095493207123099E-2</c:v>
                </c:pt>
                <c:pt idx="6">
                  <c:v>-0.123560255995029</c:v>
                </c:pt>
                <c:pt idx="7">
                  <c:v>-0.108001203233183</c:v>
                </c:pt>
                <c:pt idx="8">
                  <c:v>-0.13569529792170101</c:v>
                </c:pt>
                <c:pt idx="9">
                  <c:v>-0.21426379131385001</c:v>
                </c:pt>
                <c:pt idx="10">
                  <c:v>-0.161661559340151</c:v>
                </c:pt>
                <c:pt idx="11">
                  <c:v>-0.210095943280599</c:v>
                </c:pt>
                <c:pt idx="12">
                  <c:v>-0.188960654806508</c:v>
                </c:pt>
                <c:pt idx="13">
                  <c:v>-0.14975370566832699</c:v>
                </c:pt>
                <c:pt idx="14">
                  <c:v>-0.13868037449113399</c:v>
                </c:pt>
                <c:pt idx="15">
                  <c:v>-0.116620533315761</c:v>
                </c:pt>
                <c:pt idx="16">
                  <c:v>-8.9565620833150297E-2</c:v>
                </c:pt>
                <c:pt idx="17">
                  <c:v>-9.9767664232907394E-2</c:v>
                </c:pt>
                <c:pt idx="18">
                  <c:v>-7.2379361994460698E-2</c:v>
                </c:pt>
                <c:pt idx="19">
                  <c:v>-5.0140221896515402E-2</c:v>
                </c:pt>
                <c:pt idx="20">
                  <c:v>-4.8792100976645297E-2</c:v>
                </c:pt>
                <c:pt idx="21">
                  <c:v>-6.6922607718828395E-2</c:v>
                </c:pt>
                <c:pt idx="22">
                  <c:v>4.8737483927221298E-2</c:v>
                </c:pt>
                <c:pt idx="23">
                  <c:v>2.2818571072672E-2</c:v>
                </c:pt>
                <c:pt idx="24">
                  <c:v>6.1454869983777298E-2</c:v>
                </c:pt>
                <c:pt idx="25">
                  <c:v>6.4277083364110907E-2</c:v>
                </c:pt>
                <c:pt idx="26">
                  <c:v>0.10559913115212601</c:v>
                </c:pt>
                <c:pt idx="27">
                  <c:v>0.10686296732087</c:v>
                </c:pt>
                <c:pt idx="28">
                  <c:v>0.17073995661621399</c:v>
                </c:pt>
                <c:pt idx="29">
                  <c:v>0.16506381149014299</c:v>
                </c:pt>
                <c:pt idx="30">
                  <c:v>0.18004807272759701</c:v>
                </c:pt>
                <c:pt idx="31">
                  <c:v>0.15361418757109499</c:v>
                </c:pt>
                <c:pt idx="32">
                  <c:v>0.12703527872713499</c:v>
                </c:pt>
                <c:pt idx="33">
                  <c:v>0.17260275979193501</c:v>
                </c:pt>
                <c:pt idx="34">
                  <c:v>0.193491162403475</c:v>
                </c:pt>
                <c:pt idx="35">
                  <c:v>0.25770307227317701</c:v>
                </c:pt>
                <c:pt idx="36">
                  <c:v>0.25293748799301302</c:v>
                </c:pt>
                <c:pt idx="37">
                  <c:v>0.21495494674780899</c:v>
                </c:pt>
                <c:pt idx="38">
                  <c:v>0.27888756054929498</c:v>
                </c:pt>
                <c:pt idx="39">
                  <c:v>0.38582176581428601</c:v>
                </c:pt>
                <c:pt idx="40">
                  <c:v>0.40809414670827898</c:v>
                </c:pt>
                <c:pt idx="41">
                  <c:v>0.28272963595663098</c:v>
                </c:pt>
                <c:pt idx="42">
                  <c:v>0.143894077392445</c:v>
                </c:pt>
                <c:pt idx="43">
                  <c:v>0.17446134599829999</c:v>
                </c:pt>
                <c:pt idx="44">
                  <c:v>0.183056778640938</c:v>
                </c:pt>
                <c:pt idx="45">
                  <c:v>0.224496649395246</c:v>
                </c:pt>
                <c:pt idx="46">
                  <c:v>0.274413449316258</c:v>
                </c:pt>
                <c:pt idx="47">
                  <c:v>0.17215906556416399</c:v>
                </c:pt>
                <c:pt idx="48">
                  <c:v>0.11380814300233</c:v>
                </c:pt>
                <c:pt idx="49">
                  <c:v>1.47900172768579E-2</c:v>
                </c:pt>
                <c:pt idx="50">
                  <c:v>7.4818239773569703E-2</c:v>
                </c:pt>
                <c:pt idx="51">
                  <c:v>2.7513589311920099E-2</c:v>
                </c:pt>
                <c:pt idx="52">
                  <c:v>-3.9726875653500797E-2</c:v>
                </c:pt>
                <c:pt idx="53">
                  <c:v>-3.6320170735596402E-2</c:v>
                </c:pt>
                <c:pt idx="54">
                  <c:v>5.8101193547929503E-2</c:v>
                </c:pt>
                <c:pt idx="55">
                  <c:v>0.14899394911348901</c:v>
                </c:pt>
                <c:pt idx="56">
                  <c:v>0.16768198741263099</c:v>
                </c:pt>
                <c:pt idx="57">
                  <c:v>9.8048168359123805E-2</c:v>
                </c:pt>
                <c:pt idx="58">
                  <c:v>8.0554438300751902E-2</c:v>
                </c:pt>
                <c:pt idx="59">
                  <c:v>2.7836402170610699E-2</c:v>
                </c:pt>
                <c:pt idx="60">
                  <c:v>6.20579566471696E-2</c:v>
                </c:pt>
                <c:pt idx="61">
                  <c:v>4.3826846821458598E-2</c:v>
                </c:pt>
                <c:pt idx="62">
                  <c:v>0.20189752983262901</c:v>
                </c:pt>
                <c:pt idx="63">
                  <c:v>0.29752894835997001</c:v>
                </c:pt>
                <c:pt idx="64">
                  <c:v>0.23021855971359301</c:v>
                </c:pt>
                <c:pt idx="65">
                  <c:v>0.16445651096116101</c:v>
                </c:pt>
                <c:pt idx="66">
                  <c:v>0.15083170647885299</c:v>
                </c:pt>
                <c:pt idx="67">
                  <c:v>0.133983096611373</c:v>
                </c:pt>
                <c:pt idx="68">
                  <c:v>0.167187786982394</c:v>
                </c:pt>
                <c:pt idx="69">
                  <c:v>0.193047677617737</c:v>
                </c:pt>
                <c:pt idx="70">
                  <c:v>0.18326535052493201</c:v>
                </c:pt>
                <c:pt idx="71">
                  <c:v>0.120215681285727</c:v>
                </c:pt>
                <c:pt idx="72">
                  <c:v>0.208502914506599</c:v>
                </c:pt>
                <c:pt idx="73">
                  <c:v>0.162321660347682</c:v>
                </c:pt>
                <c:pt idx="74">
                  <c:v>0.180727195053836</c:v>
                </c:pt>
                <c:pt idx="75">
                  <c:v>0.26654652193691297</c:v>
                </c:pt>
                <c:pt idx="76">
                  <c:v>0.198809182750638</c:v>
                </c:pt>
                <c:pt idx="77">
                  <c:v>0.147988055421407</c:v>
                </c:pt>
                <c:pt idx="78">
                  <c:v>0.11183219827964801</c:v>
                </c:pt>
                <c:pt idx="79">
                  <c:v>0.13832462542089</c:v>
                </c:pt>
                <c:pt idx="80">
                  <c:v>0.15416424374094301</c:v>
                </c:pt>
                <c:pt idx="81">
                  <c:v>0.13524554604941699</c:v>
                </c:pt>
                <c:pt idx="82">
                  <c:v>0.15573255272797901</c:v>
                </c:pt>
                <c:pt idx="83">
                  <c:v>0.17571418742818201</c:v>
                </c:pt>
                <c:pt idx="84">
                  <c:v>9.8165301245074096E-2</c:v>
                </c:pt>
                <c:pt idx="85">
                  <c:v>0.14467991551833201</c:v>
                </c:pt>
                <c:pt idx="86">
                  <c:v>0.212450181507466</c:v>
                </c:pt>
                <c:pt idx="87">
                  <c:v>0.203725639804202</c:v>
                </c:pt>
                <c:pt idx="88">
                  <c:v>0.177545030953078</c:v>
                </c:pt>
                <c:pt idx="89">
                  <c:v>0.20107133218332601</c:v>
                </c:pt>
                <c:pt idx="90">
                  <c:v>0.16949581625644999</c:v>
                </c:pt>
                <c:pt idx="91">
                  <c:v>0.169090369352596</c:v>
                </c:pt>
                <c:pt idx="92">
                  <c:v>0.116167753339872</c:v>
                </c:pt>
                <c:pt idx="93">
                  <c:v>4.3502552148407703E-2</c:v>
                </c:pt>
                <c:pt idx="94">
                  <c:v>0.134511666135196</c:v>
                </c:pt>
                <c:pt idx="95">
                  <c:v>0.141928698268661</c:v>
                </c:pt>
                <c:pt idx="96">
                  <c:v>0.13338210194228001</c:v>
                </c:pt>
                <c:pt idx="97">
                  <c:v>0.175535423497202</c:v>
                </c:pt>
                <c:pt idx="98">
                  <c:v>0.21656946585071701</c:v>
                </c:pt>
                <c:pt idx="99">
                  <c:v>0.21616344279657601</c:v>
                </c:pt>
                <c:pt idx="100">
                  <c:v>0.26974567521284498</c:v>
                </c:pt>
                <c:pt idx="101">
                  <c:v>0.41312146297420299</c:v>
                </c:pt>
                <c:pt idx="102">
                  <c:v>0.41702707018075102</c:v>
                </c:pt>
                <c:pt idx="103">
                  <c:v>0.42348844964330801</c:v>
                </c:pt>
                <c:pt idx="104">
                  <c:v>0.33668238726132699</c:v>
                </c:pt>
                <c:pt idx="105">
                  <c:v>0.25653561863764901</c:v>
                </c:pt>
                <c:pt idx="106">
                  <c:v>0.29851692967399202</c:v>
                </c:pt>
                <c:pt idx="107">
                  <c:v>0.33699260174168899</c:v>
                </c:pt>
                <c:pt idx="108">
                  <c:v>0.44205678721797198</c:v>
                </c:pt>
                <c:pt idx="109">
                  <c:v>0.34091780150816497</c:v>
                </c:pt>
                <c:pt idx="110">
                  <c:v>0.16293210547794401</c:v>
                </c:pt>
                <c:pt idx="111">
                  <c:v>0.17215778031277201</c:v>
                </c:pt>
                <c:pt idx="112">
                  <c:v>0.15591058602278601</c:v>
                </c:pt>
                <c:pt idx="113">
                  <c:v>0.146164054375749</c:v>
                </c:pt>
                <c:pt idx="114">
                  <c:v>3.6326096391101403E-2</c:v>
                </c:pt>
                <c:pt idx="115">
                  <c:v>0.15261718017006301</c:v>
                </c:pt>
                <c:pt idx="116">
                  <c:v>0.20716206089549999</c:v>
                </c:pt>
                <c:pt idx="117">
                  <c:v>0.20637442334369399</c:v>
                </c:pt>
                <c:pt idx="118">
                  <c:v>0.21444491537507401</c:v>
                </c:pt>
                <c:pt idx="119">
                  <c:v>0.25736056436796501</c:v>
                </c:pt>
                <c:pt idx="120">
                  <c:v>0.19748886811108399</c:v>
                </c:pt>
                <c:pt idx="121">
                  <c:v>0.13367881054751099</c:v>
                </c:pt>
                <c:pt idx="122">
                  <c:v>0.15030605315273801</c:v>
                </c:pt>
                <c:pt idx="123">
                  <c:v>0.18049876224772701</c:v>
                </c:pt>
                <c:pt idx="124">
                  <c:v>0.12910075086082301</c:v>
                </c:pt>
                <c:pt idx="125">
                  <c:v>0.100551073397003</c:v>
                </c:pt>
                <c:pt idx="126">
                  <c:v>8.3812286830060895E-2</c:v>
                </c:pt>
                <c:pt idx="127">
                  <c:v>9.3651299504148106E-2</c:v>
                </c:pt>
                <c:pt idx="128">
                  <c:v>9.8362039251845099E-2</c:v>
                </c:pt>
                <c:pt idx="129">
                  <c:v>0.117701355380532</c:v>
                </c:pt>
                <c:pt idx="130">
                  <c:v>0.139525191155664</c:v>
                </c:pt>
                <c:pt idx="131">
                  <c:v>8.3750176033839704E-2</c:v>
                </c:pt>
                <c:pt idx="132">
                  <c:v>0.125867259824754</c:v>
                </c:pt>
                <c:pt idx="133">
                  <c:v>9.4587512632551801E-2</c:v>
                </c:pt>
                <c:pt idx="134">
                  <c:v>0.176699891425629</c:v>
                </c:pt>
                <c:pt idx="135">
                  <c:v>0.11896453443157499</c:v>
                </c:pt>
                <c:pt idx="136">
                  <c:v>0.157350982781609</c:v>
                </c:pt>
                <c:pt idx="137">
                  <c:v>0.217425073082326</c:v>
                </c:pt>
                <c:pt idx="138">
                  <c:v>0.23893291213624501</c:v>
                </c:pt>
                <c:pt idx="139">
                  <c:v>0.14012538224231</c:v>
                </c:pt>
                <c:pt idx="140">
                  <c:v>0.112362294110866</c:v>
                </c:pt>
                <c:pt idx="141">
                  <c:v>9.6543409634362698E-2</c:v>
                </c:pt>
                <c:pt idx="142">
                  <c:v>0.116695206979286</c:v>
                </c:pt>
                <c:pt idx="143">
                  <c:v>8.5505647603026202E-2</c:v>
                </c:pt>
                <c:pt idx="144">
                  <c:v>0.10081827918932899</c:v>
                </c:pt>
                <c:pt idx="145">
                  <c:v>0.13365968822648999</c:v>
                </c:pt>
                <c:pt idx="146">
                  <c:v>7.9156032569022497E-2</c:v>
                </c:pt>
                <c:pt idx="147">
                  <c:v>9.7004146026652097E-2</c:v>
                </c:pt>
                <c:pt idx="148">
                  <c:v>5.5136414054810498E-2</c:v>
                </c:pt>
                <c:pt idx="149">
                  <c:v>1.07391367917604E-2</c:v>
                </c:pt>
                <c:pt idx="150">
                  <c:v>0.12921076805850101</c:v>
                </c:pt>
                <c:pt idx="151">
                  <c:v>0.15431098303242199</c:v>
                </c:pt>
                <c:pt idx="152">
                  <c:v>0.140132706153349</c:v>
                </c:pt>
                <c:pt idx="153">
                  <c:v>0.14697165264752299</c:v>
                </c:pt>
                <c:pt idx="154">
                  <c:v>7.1101273397681103E-2</c:v>
                </c:pt>
                <c:pt idx="155">
                  <c:v>9.83191693118214E-2</c:v>
                </c:pt>
                <c:pt idx="156">
                  <c:v>7.6634620717760199E-2</c:v>
                </c:pt>
                <c:pt idx="157">
                  <c:v>0.104435143966239</c:v>
                </c:pt>
                <c:pt idx="158">
                  <c:v>0.10967254047819</c:v>
                </c:pt>
                <c:pt idx="159">
                  <c:v>0.23669330946473399</c:v>
                </c:pt>
                <c:pt idx="160">
                  <c:v>0.143788651752736</c:v>
                </c:pt>
                <c:pt idx="161">
                  <c:v>8.6376502574507699E-2</c:v>
                </c:pt>
                <c:pt idx="162">
                  <c:v>0.10155404635193301</c:v>
                </c:pt>
                <c:pt idx="163">
                  <c:v>0.104642066216538</c:v>
                </c:pt>
                <c:pt idx="164">
                  <c:v>0.128701628845132</c:v>
                </c:pt>
                <c:pt idx="165">
                  <c:v>9.4896599654619995E-2</c:v>
                </c:pt>
                <c:pt idx="166">
                  <c:v>0.11905206218614001</c:v>
                </c:pt>
                <c:pt idx="167">
                  <c:v>7.2070463523231404E-2</c:v>
                </c:pt>
                <c:pt idx="168">
                  <c:v>6.1427078906908503E-2</c:v>
                </c:pt>
                <c:pt idx="169">
                  <c:v>5.4680110395792597E-2</c:v>
                </c:pt>
                <c:pt idx="170">
                  <c:v>4.0693277893642001E-2</c:v>
                </c:pt>
                <c:pt idx="171">
                  <c:v>-1.83089507859154E-2</c:v>
                </c:pt>
                <c:pt idx="172">
                  <c:v>-3.72704654074906E-3</c:v>
                </c:pt>
                <c:pt idx="173">
                  <c:v>8.3857390739055203E-3</c:v>
                </c:pt>
                <c:pt idx="174">
                  <c:v>5.3901192832611397E-2</c:v>
                </c:pt>
                <c:pt idx="175">
                  <c:v>3.7084179284905001E-3</c:v>
                </c:pt>
                <c:pt idx="176">
                  <c:v>7.9217382135251899E-3</c:v>
                </c:pt>
                <c:pt idx="177">
                  <c:v>1.10035258156983E-3</c:v>
                </c:pt>
                <c:pt idx="178">
                  <c:v>-2.56151980610126E-2</c:v>
                </c:pt>
                <c:pt idx="179">
                  <c:v>-0.16732653781958101</c:v>
                </c:pt>
                <c:pt idx="180">
                  <c:v>-0.15221592606578899</c:v>
                </c:pt>
                <c:pt idx="181">
                  <c:v>-0.155396397649358</c:v>
                </c:pt>
                <c:pt idx="182">
                  <c:v>-0.14082563311405999</c:v>
                </c:pt>
                <c:pt idx="183">
                  <c:v>-9.7947072611831998E-2</c:v>
                </c:pt>
                <c:pt idx="184">
                  <c:v>-7.7906801594913297E-2</c:v>
                </c:pt>
                <c:pt idx="185">
                  <c:v>-3.6804373382723202E-2</c:v>
                </c:pt>
                <c:pt idx="186">
                  <c:v>-4.4298522165443797E-2</c:v>
                </c:pt>
                <c:pt idx="187">
                  <c:v>-1.8194135707890802E-2</c:v>
                </c:pt>
                <c:pt idx="188">
                  <c:v>-1.3906914138598001E-2</c:v>
                </c:pt>
                <c:pt idx="189">
                  <c:v>1.62132554345705E-2</c:v>
                </c:pt>
                <c:pt idx="190">
                  <c:v>1.2615514059090199E-2</c:v>
                </c:pt>
                <c:pt idx="191">
                  <c:v>0.110721517755224</c:v>
                </c:pt>
                <c:pt idx="192">
                  <c:v>6.3818561115390596E-2</c:v>
                </c:pt>
                <c:pt idx="193">
                  <c:v>2.10465805265749E-2</c:v>
                </c:pt>
                <c:pt idx="194">
                  <c:v>7.16586245159061E-2</c:v>
                </c:pt>
                <c:pt idx="195">
                  <c:v>6.4290246716662294E-2</c:v>
                </c:pt>
                <c:pt idx="196">
                  <c:v>4.1826384517687103E-2</c:v>
                </c:pt>
                <c:pt idx="197">
                  <c:v>4.6248971790729301E-2</c:v>
                </c:pt>
                <c:pt idx="198">
                  <c:v>-4.76869386524858E-2</c:v>
                </c:pt>
                <c:pt idx="199">
                  <c:v>-2.7103662830683401E-2</c:v>
                </c:pt>
                <c:pt idx="200">
                  <c:v>-2.4256007196800301E-2</c:v>
                </c:pt>
                <c:pt idx="201">
                  <c:v>6.2486241183215604E-3</c:v>
                </c:pt>
                <c:pt idx="202">
                  <c:v>1.2222538070966699E-2</c:v>
                </c:pt>
                <c:pt idx="203">
                  <c:v>7.3947603467163E-3</c:v>
                </c:pt>
                <c:pt idx="204">
                  <c:v>5.3163407077380397E-2</c:v>
                </c:pt>
                <c:pt idx="205">
                  <c:v>0.10863389381826</c:v>
                </c:pt>
                <c:pt idx="206">
                  <c:v>2.9042164443676299E-2</c:v>
                </c:pt>
                <c:pt idx="207">
                  <c:v>3.3326671488694598E-3</c:v>
                </c:pt>
                <c:pt idx="208">
                  <c:v>6.5248286621478996E-2</c:v>
                </c:pt>
                <c:pt idx="209">
                  <c:v>5.5936413299367702E-2</c:v>
                </c:pt>
                <c:pt idx="210">
                  <c:v>2.46263930476485E-2</c:v>
                </c:pt>
                <c:pt idx="211">
                  <c:v>-1.5493007443248099E-2</c:v>
                </c:pt>
                <c:pt idx="212">
                  <c:v>0.108450418224186</c:v>
                </c:pt>
                <c:pt idx="213">
                  <c:v>0.12903413587217699</c:v>
                </c:pt>
                <c:pt idx="214">
                  <c:v>0.13918428296826901</c:v>
                </c:pt>
                <c:pt idx="215">
                  <c:v>0.24841452486344401</c:v>
                </c:pt>
                <c:pt idx="216">
                  <c:v>0.25424954390073501</c:v>
                </c:pt>
                <c:pt idx="217">
                  <c:v>0.28290328788638303</c:v>
                </c:pt>
                <c:pt idx="218">
                  <c:v>0.243311118888932</c:v>
                </c:pt>
                <c:pt idx="219">
                  <c:v>0.28106678335884899</c:v>
                </c:pt>
                <c:pt idx="220">
                  <c:v>0.18692703999778801</c:v>
                </c:pt>
                <c:pt idx="221">
                  <c:v>0.116374970759616</c:v>
                </c:pt>
                <c:pt idx="222">
                  <c:v>0.350677774255643</c:v>
                </c:pt>
                <c:pt idx="223">
                  <c:v>0.180735116627319</c:v>
                </c:pt>
                <c:pt idx="224">
                  <c:v>8.0908222541341002E-2</c:v>
                </c:pt>
                <c:pt idx="225">
                  <c:v>0.106575408057505</c:v>
                </c:pt>
                <c:pt idx="226">
                  <c:v>7.5827424623464298E-2</c:v>
                </c:pt>
                <c:pt idx="227">
                  <c:v>0.107827218574158</c:v>
                </c:pt>
                <c:pt idx="228">
                  <c:v>7.8660536904441594E-2</c:v>
                </c:pt>
                <c:pt idx="229">
                  <c:v>-2.56550121155933E-2</c:v>
                </c:pt>
                <c:pt idx="230">
                  <c:v>6.05460358409061E-2</c:v>
                </c:pt>
                <c:pt idx="231">
                  <c:v>-4.0224264094149302E-2</c:v>
                </c:pt>
                <c:pt idx="232">
                  <c:v>5.7484245863478698E-3</c:v>
                </c:pt>
                <c:pt idx="233">
                  <c:v>-4.1702151688586001E-2</c:v>
                </c:pt>
                <c:pt idx="234">
                  <c:v>-5.8648590588699603E-2</c:v>
                </c:pt>
                <c:pt idx="235">
                  <c:v>-3.7211253102377502E-2</c:v>
                </c:pt>
                <c:pt idx="236">
                  <c:v>-3.1430051730538901E-2</c:v>
                </c:pt>
                <c:pt idx="237">
                  <c:v>-4.6193750396198101E-2</c:v>
                </c:pt>
                <c:pt idx="238">
                  <c:v>-1.8078014160452901E-2</c:v>
                </c:pt>
                <c:pt idx="239">
                  <c:v>-6.5159223656901494E-2</c:v>
                </c:pt>
                <c:pt idx="240">
                  <c:v>-0.10064749440757401</c:v>
                </c:pt>
                <c:pt idx="241">
                  <c:v>-0.19426454978793001</c:v>
                </c:pt>
                <c:pt idx="242">
                  <c:v>-0.150423281216995</c:v>
                </c:pt>
                <c:pt idx="243">
                  <c:v>-0.21661672218543501</c:v>
                </c:pt>
                <c:pt idx="244">
                  <c:v>-0.185976572887635</c:v>
                </c:pt>
                <c:pt idx="245">
                  <c:v>-0.21299391448736499</c:v>
                </c:pt>
                <c:pt idx="246">
                  <c:v>-0.298354910977632</c:v>
                </c:pt>
                <c:pt idx="247">
                  <c:v>-0.32276014972464001</c:v>
                </c:pt>
                <c:pt idx="248">
                  <c:v>-0.215419230570494</c:v>
                </c:pt>
                <c:pt idx="249">
                  <c:v>-0.185146864048573</c:v>
                </c:pt>
                <c:pt idx="250">
                  <c:v>-0.19724185443680201</c:v>
                </c:pt>
                <c:pt idx="251">
                  <c:v>-0.15774024709941201</c:v>
                </c:pt>
                <c:pt idx="252">
                  <c:v>-0.18820311302284301</c:v>
                </c:pt>
                <c:pt idx="253">
                  <c:v>-0.22330990207916299</c:v>
                </c:pt>
                <c:pt idx="254">
                  <c:v>1.5986873225976701E-2</c:v>
                </c:pt>
                <c:pt idx="255">
                  <c:v>-0.26030353346931401</c:v>
                </c:pt>
                <c:pt idx="256">
                  <c:v>-0.19734401213060199</c:v>
                </c:pt>
                <c:pt idx="257">
                  <c:v>-0.16912536584264901</c:v>
                </c:pt>
                <c:pt idx="258">
                  <c:v>-0.14438659662626799</c:v>
                </c:pt>
                <c:pt idx="259">
                  <c:v>-0.22140689647033099</c:v>
                </c:pt>
                <c:pt idx="260">
                  <c:v>-7.2191005190214499E-2</c:v>
                </c:pt>
                <c:pt idx="261">
                  <c:v>-0.108372699949596</c:v>
                </c:pt>
                <c:pt idx="262">
                  <c:v>-0.17295470300468099</c:v>
                </c:pt>
                <c:pt idx="263">
                  <c:v>-0.226360984210875</c:v>
                </c:pt>
                <c:pt idx="264">
                  <c:v>-0.18250278876246301</c:v>
                </c:pt>
                <c:pt idx="265">
                  <c:v>-0.27605847498214398</c:v>
                </c:pt>
                <c:pt idx="266">
                  <c:v>-9.1109139723287394E-2</c:v>
                </c:pt>
                <c:pt idx="267">
                  <c:v>-0.21201014402777199</c:v>
                </c:pt>
                <c:pt idx="268">
                  <c:v>-0.29731548361131399</c:v>
                </c:pt>
                <c:pt idx="269">
                  <c:v>-0.27575066021088301</c:v>
                </c:pt>
                <c:pt idx="270">
                  <c:v>-0.26230524789158699</c:v>
                </c:pt>
                <c:pt idx="271">
                  <c:v>-0.35735035398473097</c:v>
                </c:pt>
                <c:pt idx="272">
                  <c:v>-0.42034535528994199</c:v>
                </c:pt>
                <c:pt idx="273">
                  <c:v>-0.49504915928780102</c:v>
                </c:pt>
                <c:pt idx="274">
                  <c:v>-0.36417181222737299</c:v>
                </c:pt>
                <c:pt idx="275">
                  <c:v>-0.34985008398269601</c:v>
                </c:pt>
                <c:pt idx="276">
                  <c:v>-0.46496813078316102</c:v>
                </c:pt>
                <c:pt idx="277">
                  <c:v>-0.48087702903291002</c:v>
                </c:pt>
                <c:pt idx="278">
                  <c:v>-0.25182854634378798</c:v>
                </c:pt>
                <c:pt idx="279">
                  <c:v>-0.440656997679436</c:v>
                </c:pt>
                <c:pt idx="280">
                  <c:v>-0.435779667922154</c:v>
                </c:pt>
                <c:pt idx="281">
                  <c:v>-0.35336409044420403</c:v>
                </c:pt>
                <c:pt idx="282">
                  <c:v>-0.33118416850287902</c:v>
                </c:pt>
                <c:pt idx="283">
                  <c:v>-0.34667555710013898</c:v>
                </c:pt>
                <c:pt idx="284">
                  <c:v>-0.33232909007418698</c:v>
                </c:pt>
                <c:pt idx="285">
                  <c:v>-0.55463607662438397</c:v>
                </c:pt>
                <c:pt idx="286">
                  <c:v>-0.368197196406781</c:v>
                </c:pt>
                <c:pt idx="287">
                  <c:v>-0.47355920157125497</c:v>
                </c:pt>
                <c:pt idx="288">
                  <c:v>-0.22071086551881799</c:v>
                </c:pt>
                <c:pt idx="289">
                  <c:v>-0.21682663094871199</c:v>
                </c:pt>
                <c:pt idx="290">
                  <c:v>-0.29752007024978899</c:v>
                </c:pt>
                <c:pt idx="291">
                  <c:v>-0.133899651481035</c:v>
                </c:pt>
                <c:pt idx="292">
                  <c:v>-0.33468586820179702</c:v>
                </c:pt>
                <c:pt idx="293">
                  <c:v>-0.204745835740066</c:v>
                </c:pt>
                <c:pt idx="294">
                  <c:v>-0.218825200912067</c:v>
                </c:pt>
                <c:pt idx="295">
                  <c:v>-0.31485444856631301</c:v>
                </c:pt>
                <c:pt idx="296">
                  <c:v>-0.36825519610907498</c:v>
                </c:pt>
                <c:pt idx="297">
                  <c:v>-0.352682204071262</c:v>
                </c:pt>
                <c:pt idx="298">
                  <c:v>-0.30660559824399602</c:v>
                </c:pt>
                <c:pt idx="299">
                  <c:v>-0.38687610745156997</c:v>
                </c:pt>
                <c:pt idx="300">
                  <c:v>-0.42956954135842501</c:v>
                </c:pt>
                <c:pt idx="301">
                  <c:v>-0.25299260110684801</c:v>
                </c:pt>
                <c:pt idx="302">
                  <c:v>-0.29244563683577202</c:v>
                </c:pt>
                <c:pt idx="303">
                  <c:v>-0.33439644106831801</c:v>
                </c:pt>
                <c:pt idx="304">
                  <c:v>-0.285885564788319</c:v>
                </c:pt>
                <c:pt idx="305">
                  <c:v>-0.303577181456263</c:v>
                </c:pt>
                <c:pt idx="306">
                  <c:v>-0.234495884741902</c:v>
                </c:pt>
                <c:pt idx="307">
                  <c:v>-0.228561359590156</c:v>
                </c:pt>
                <c:pt idx="308">
                  <c:v>-0.270226775303188</c:v>
                </c:pt>
                <c:pt idx="309">
                  <c:v>-0.24342892691316201</c:v>
                </c:pt>
                <c:pt idx="310">
                  <c:v>-0.23482643182889801</c:v>
                </c:pt>
                <c:pt idx="311">
                  <c:v>-0.41585208326978901</c:v>
                </c:pt>
                <c:pt idx="312">
                  <c:v>-0.116020393046095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91872"/>
        <c:axId val="67814144"/>
      </c:lineChart>
      <c:dateAx>
        <c:axId val="67791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7814144"/>
        <c:crosses val="autoZero"/>
        <c:auto val="1"/>
        <c:lblOffset val="100"/>
        <c:baseTimeUnit val="months"/>
      </c:dateAx>
      <c:valAx>
        <c:axId val="6781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779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daily!$L$1</c:f>
              <c:strCache>
                <c:ptCount val="1"/>
                <c:pt idx="0">
                  <c:v>Wells FHA Rate</c:v>
                </c:pt>
              </c:strCache>
            </c:strRef>
          </c:tx>
          <c:marker>
            <c:symbol val="none"/>
          </c:marker>
          <c:cat>
            <c:numRef>
              <c:f>daily!$J$2:$J$489</c:f>
              <c:numCache>
                <c:formatCode>m/d/yyyy</c:formatCode>
                <c:ptCount val="488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daily!$L$2:$L$489</c:f>
              <c:numCache>
                <c:formatCode>General</c:formatCode>
                <c:ptCount val="488"/>
                <c:pt idx="0">
                  <c:v>3.267625347345696</c:v>
                </c:pt>
                <c:pt idx="1">
                  <c:v>3.2763426092504595</c:v>
                </c:pt>
                <c:pt idx="2">
                  <c:v>3.4398926092504594</c:v>
                </c:pt>
                <c:pt idx="3">
                  <c:v>3.5722176092504592</c:v>
                </c:pt>
                <c:pt idx="4">
                  <c:v>3.6040187456140975</c:v>
                </c:pt>
                <c:pt idx="5">
                  <c:v>3.5000836806790314</c:v>
                </c:pt>
                <c:pt idx="6">
                  <c:v>3.4443098711552222</c:v>
                </c:pt>
                <c:pt idx="7">
                  <c:v>3.3492860616314122</c:v>
                </c:pt>
                <c:pt idx="8">
                  <c:v>3.5637011618820393</c:v>
                </c:pt>
                <c:pt idx="9">
                  <c:v>3.5817622521076036</c:v>
                </c:pt>
                <c:pt idx="10">
                  <c:v>3.4831551092504611</c:v>
                </c:pt>
                <c:pt idx="11">
                  <c:v>3.4033195829346701</c:v>
                </c:pt>
                <c:pt idx="12">
                  <c:v>3.3180539187742681</c:v>
                </c:pt>
                <c:pt idx="13">
                  <c:v>3.1865896330599854</c:v>
                </c:pt>
                <c:pt idx="14">
                  <c:v>3.215055109250458</c:v>
                </c:pt>
                <c:pt idx="15">
                  <c:v>3.2129107910686407</c:v>
                </c:pt>
                <c:pt idx="16">
                  <c:v>3.0612143197767736</c:v>
                </c:pt>
                <c:pt idx="17">
                  <c:v>3.0197274776715117</c:v>
                </c:pt>
                <c:pt idx="18">
                  <c:v>3.0166620536949038</c:v>
                </c:pt>
                <c:pt idx="19">
                  <c:v>3.0512176092504575</c:v>
                </c:pt>
                <c:pt idx="20">
                  <c:v>3.4444801092504589</c:v>
                </c:pt>
                <c:pt idx="21">
                  <c:v>3.707464633059983</c:v>
                </c:pt>
                <c:pt idx="22">
                  <c:v>3.75460510925046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daily!$M$1</c:f>
              <c:strCache>
                <c:ptCount val="1"/>
                <c:pt idx="0">
                  <c:v>Derived Rate</c:v>
                </c:pt>
              </c:strCache>
            </c:strRef>
          </c:tx>
          <c:marker>
            <c:symbol val="none"/>
          </c:marker>
          <c:cat>
            <c:numRef>
              <c:f>daily!$J$2:$J$489</c:f>
              <c:numCache>
                <c:formatCode>m/d/yyyy</c:formatCode>
                <c:ptCount val="488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daily!$M$2:$M$489</c:f>
              <c:numCache>
                <c:formatCode>General</c:formatCode>
                <c:ptCount val="488"/>
                <c:pt idx="0">
                  <c:v>3.3089568231426401</c:v>
                </c:pt>
                <c:pt idx="1">
                  <c:v>3.2217583264466998</c:v>
                </c:pt>
                <c:pt idx="2">
                  <c:v>3.4611310639705999</c:v>
                </c:pt>
                <c:pt idx="3">
                  <c:v>3.6154662853380901</c:v>
                </c:pt>
                <c:pt idx="4">
                  <c:v>3.7112685129766301</c:v>
                </c:pt>
                <c:pt idx="5">
                  <c:v>3.5705827904110801</c:v>
                </c:pt>
                <c:pt idx="6">
                  <c:v>3.5362448208081498</c:v>
                </c:pt>
                <c:pt idx="7">
                  <c:v>3.4199556331649399</c:v>
                </c:pt>
                <c:pt idx="8">
                  <c:v>3.5497418743999001</c:v>
                </c:pt>
                <c:pt idx="9">
                  <c:v>3.5696719193928601</c:v>
                </c:pt>
                <c:pt idx="10">
                  <c:v>3.4478168741076098</c:v>
                </c:pt>
                <c:pt idx="11">
                  <c:v>3.1876928173665502</c:v>
                </c:pt>
                <c:pt idx="12">
                  <c:v>3.2195031252764701</c:v>
                </c:pt>
                <c:pt idx="13">
                  <c:v>3.1556380518220202</c:v>
                </c:pt>
                <c:pt idx="14">
                  <c:v>3.1536856789891701</c:v>
                </c:pt>
                <c:pt idx="15">
                  <c:v>3.1176390178984499</c:v>
                </c:pt>
                <c:pt idx="16">
                  <c:v>2.998522172231</c:v>
                </c:pt>
                <c:pt idx="17">
                  <c:v>3.0360344483337598</c:v>
                </c:pt>
                <c:pt idx="18">
                  <c:v>3.0676063219198699</c:v>
                </c:pt>
                <c:pt idx="19">
                  <c:v>3.0813094655086402</c:v>
                </c:pt>
                <c:pt idx="20">
                  <c:v>3.44597071786783</c:v>
                </c:pt>
                <c:pt idx="21">
                  <c:v>3.8499805733610701</c:v>
                </c:pt>
                <c:pt idx="22">
                  <c:v>3.7475180897254798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614528"/>
        <c:axId val="464616064"/>
      </c:lineChart>
      <c:dateAx>
        <c:axId val="464614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4616064"/>
        <c:crosses val="autoZero"/>
        <c:auto val="1"/>
        <c:lblOffset val="100"/>
        <c:baseTimeUnit val="months"/>
      </c:dateAx>
      <c:valAx>
        <c:axId val="464616064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461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daily!$R$1</c:f>
              <c:strCache>
                <c:ptCount val="1"/>
                <c:pt idx="0">
                  <c:v>Wells FHA Rate</c:v>
                </c:pt>
              </c:strCache>
            </c:strRef>
          </c:tx>
          <c:marker>
            <c:symbol val="none"/>
          </c:marker>
          <c:cat>
            <c:numRef>
              <c:f>daily!$Q$2:$Q$24</c:f>
              <c:numCache>
                <c:formatCode>m/d/yyyy</c:formatCode>
                <c:ptCount val="23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daily!$R$2:$R$24</c:f>
              <c:numCache>
                <c:formatCode>General</c:formatCode>
                <c:ptCount val="23"/>
                <c:pt idx="0">
                  <c:v>3.9443452380952366</c:v>
                </c:pt>
                <c:pt idx="1">
                  <c:v>3.9530624999999997</c:v>
                </c:pt>
                <c:pt idx="2">
                  <c:v>4.1166124999999996</c:v>
                </c:pt>
                <c:pt idx="3">
                  <c:v>4.2489374999999994</c:v>
                </c:pt>
                <c:pt idx="4">
                  <c:v>4.2807386363636377</c:v>
                </c:pt>
                <c:pt idx="5">
                  <c:v>4.1768035714285716</c:v>
                </c:pt>
                <c:pt idx="6">
                  <c:v>4.1210297619047624</c:v>
                </c:pt>
                <c:pt idx="7">
                  <c:v>4.0260059523809524</c:v>
                </c:pt>
                <c:pt idx="8">
                  <c:v>4.2404210526315795</c:v>
                </c:pt>
                <c:pt idx="9">
                  <c:v>4.2584821428571438</c:v>
                </c:pt>
                <c:pt idx="10">
                  <c:v>4.1598750000000013</c:v>
                </c:pt>
                <c:pt idx="11">
                  <c:v>4.0800394736842103</c:v>
                </c:pt>
                <c:pt idx="12">
                  <c:v>3.9947738095238088</c:v>
                </c:pt>
                <c:pt idx="13">
                  <c:v>3.8633095238095256</c:v>
                </c:pt>
                <c:pt idx="14">
                  <c:v>3.8917749999999982</c:v>
                </c:pt>
                <c:pt idx="15">
                  <c:v>3.8896306818181809</c:v>
                </c:pt>
                <c:pt idx="16">
                  <c:v>3.7379342105263138</c:v>
                </c:pt>
                <c:pt idx="17">
                  <c:v>3.6964473684210519</c:v>
                </c:pt>
                <c:pt idx="18">
                  <c:v>3.6933819444444445</c:v>
                </c:pt>
                <c:pt idx="19">
                  <c:v>3.7279374999999981</c:v>
                </c:pt>
                <c:pt idx="20">
                  <c:v>4.1211999999999991</c:v>
                </c:pt>
                <c:pt idx="21">
                  <c:v>4.3841845238095232</c:v>
                </c:pt>
                <c:pt idx="22">
                  <c:v>4.4313250000000002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daily!$S$1</c:f>
              <c:strCache>
                <c:ptCount val="1"/>
                <c:pt idx="0">
                  <c:v>Derived Rate_6m</c:v>
                </c:pt>
              </c:strCache>
            </c:strRef>
          </c:tx>
          <c:marker>
            <c:symbol val="none"/>
          </c:marker>
          <c:cat>
            <c:numRef>
              <c:f>daily!$Q$2:$Q$24</c:f>
              <c:numCache>
                <c:formatCode>m/d/yyyy</c:formatCode>
                <c:ptCount val="23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daily!$S$2:$S$24</c:f>
              <c:numCache>
                <c:formatCode>General</c:formatCode>
                <c:ptCount val="23"/>
                <c:pt idx="0">
                  <c:v>3.3089568231426401</c:v>
                </c:pt>
                <c:pt idx="1">
                  <c:v>3.2217583264466998</c:v>
                </c:pt>
                <c:pt idx="2">
                  <c:v>3.4611310639705999</c:v>
                </c:pt>
                <c:pt idx="3">
                  <c:v>3.6154662853380901</c:v>
                </c:pt>
                <c:pt idx="4">
                  <c:v>3.7112685129766301</c:v>
                </c:pt>
                <c:pt idx="5">
                  <c:v>3.5705827904110801</c:v>
                </c:pt>
                <c:pt idx="6">
                  <c:v>3.5362448208081498</c:v>
                </c:pt>
                <c:pt idx="7">
                  <c:v>3.4199556331649399</c:v>
                </c:pt>
                <c:pt idx="8">
                  <c:v>3.5497418743999001</c:v>
                </c:pt>
                <c:pt idx="9">
                  <c:v>3.5696719193928601</c:v>
                </c:pt>
                <c:pt idx="10">
                  <c:v>3.4478168741076098</c:v>
                </c:pt>
                <c:pt idx="11">
                  <c:v>3.1876928173665502</c:v>
                </c:pt>
                <c:pt idx="12">
                  <c:v>3.2195031252764701</c:v>
                </c:pt>
                <c:pt idx="13">
                  <c:v>3.1556380518220202</c:v>
                </c:pt>
                <c:pt idx="14">
                  <c:v>3.1536856789891701</c:v>
                </c:pt>
                <c:pt idx="15">
                  <c:v>3.1176390178984499</c:v>
                </c:pt>
                <c:pt idx="16">
                  <c:v>2.998522172231</c:v>
                </c:pt>
                <c:pt idx="17">
                  <c:v>3.0360344483337598</c:v>
                </c:pt>
                <c:pt idx="18">
                  <c:v>3.0676063219198699</c:v>
                </c:pt>
                <c:pt idx="19">
                  <c:v>3.0813094655086402</c:v>
                </c:pt>
                <c:pt idx="20">
                  <c:v>3.44597071786783</c:v>
                </c:pt>
                <c:pt idx="21">
                  <c:v>3.8499805733610701</c:v>
                </c:pt>
                <c:pt idx="22">
                  <c:v>3.7475180897254798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daily!$T$1</c:f>
              <c:strCache>
                <c:ptCount val="1"/>
                <c:pt idx="0">
                  <c:v>Derived Rate_3m</c:v>
                </c:pt>
              </c:strCache>
            </c:strRef>
          </c:tx>
          <c:marker>
            <c:symbol val="none"/>
          </c:marker>
          <c:cat>
            <c:numRef>
              <c:f>daily!$Q$2:$Q$24</c:f>
              <c:numCache>
                <c:formatCode>m/d/yyyy</c:formatCode>
                <c:ptCount val="23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daily!$T$2:$T$24</c:f>
              <c:numCache>
                <c:formatCode>General</c:formatCode>
                <c:ptCount val="23"/>
                <c:pt idx="0">
                  <c:v>3.3663011006537298</c:v>
                </c:pt>
                <c:pt idx="1">
                  <c:v>3.33198081109422</c:v>
                </c:pt>
                <c:pt idx="2">
                  <c:v>3.5301678824401499</c:v>
                </c:pt>
                <c:pt idx="3">
                  <c:v>3.6396314700224499</c:v>
                </c:pt>
                <c:pt idx="4">
                  <c:v>3.7215562148590302</c:v>
                </c:pt>
                <c:pt idx="5">
                  <c:v>3.5522476983820201</c:v>
                </c:pt>
                <c:pt idx="6">
                  <c:v>3.5408581715938499</c:v>
                </c:pt>
                <c:pt idx="7">
                  <c:v>3.3818550514708399</c:v>
                </c:pt>
                <c:pt idx="8">
                  <c:v>3.5034860504177798</c:v>
                </c:pt>
                <c:pt idx="9">
                  <c:v>3.5214856671918802</c:v>
                </c:pt>
                <c:pt idx="10">
                  <c:v>3.4237786967443902</c:v>
                </c:pt>
                <c:pt idx="11">
                  <c:v>3.1731495843153299</c:v>
                </c:pt>
                <c:pt idx="12">
                  <c:v>3.2125205833610502</c:v>
                </c:pt>
                <c:pt idx="13">
                  <c:v>3.16749740689965</c:v>
                </c:pt>
                <c:pt idx="14">
                  <c:v>3.1942217736630201</c:v>
                </c:pt>
                <c:pt idx="15">
                  <c:v>3.1437574524358598</c:v>
                </c:pt>
                <c:pt idx="16">
                  <c:v>3.0070469375623601</c:v>
                </c:pt>
                <c:pt idx="17">
                  <c:v>3.0453471230044999</c:v>
                </c:pt>
                <c:pt idx="18">
                  <c:v>3.0919551914038901</c:v>
                </c:pt>
                <c:pt idx="19">
                  <c:v>3.11307199345491</c:v>
                </c:pt>
                <c:pt idx="20">
                  <c:v>3.4595943127311601</c:v>
                </c:pt>
                <c:pt idx="21">
                  <c:v>3.8530059553182499</c:v>
                </c:pt>
                <c:pt idx="22">
                  <c:v>3.7207141859960502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daily!$U$1</c:f>
              <c:strCache>
                <c:ptCount val="1"/>
                <c:pt idx="0">
                  <c:v>Derived Rate_1m</c:v>
                </c:pt>
              </c:strCache>
            </c:strRef>
          </c:tx>
          <c:marker>
            <c:symbol val="none"/>
          </c:marker>
          <c:cat>
            <c:numRef>
              <c:f>daily!$Q$2:$Q$24</c:f>
              <c:numCache>
                <c:formatCode>m/d/yyyy</c:formatCode>
                <c:ptCount val="23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</c:numCache>
            </c:numRef>
          </c:cat>
          <c:val>
            <c:numRef>
              <c:f>daily!$U$2:$U$24</c:f>
              <c:numCache>
                <c:formatCode>General</c:formatCode>
                <c:ptCount val="23"/>
                <c:pt idx="0">
                  <c:v>3.4531733690512798</c:v>
                </c:pt>
                <c:pt idx="1">
                  <c:v>3.27947992975021</c:v>
                </c:pt>
                <c:pt idx="2">
                  <c:v>3.6123503485189601</c:v>
                </c:pt>
                <c:pt idx="3">
                  <c:v>3.5603141317981999</c:v>
                </c:pt>
                <c:pt idx="4">
                  <c:v>3.7412541642599302</c:v>
                </c:pt>
                <c:pt idx="5">
                  <c:v>3.5861747990879298</c:v>
                </c:pt>
                <c:pt idx="6">
                  <c:v>3.4721455514336799</c:v>
                </c:pt>
                <c:pt idx="7">
                  <c:v>3.31424480389092</c:v>
                </c:pt>
                <c:pt idx="8">
                  <c:v>3.4960677959287301</c:v>
                </c:pt>
                <c:pt idx="9">
                  <c:v>3.557394401756</c:v>
                </c:pt>
                <c:pt idx="10">
                  <c:v>3.3856238925484199</c:v>
                </c:pt>
                <c:pt idx="11">
                  <c:v>3.1179304586415699</c:v>
                </c:pt>
                <c:pt idx="12">
                  <c:v>3.31600739889315</c:v>
                </c:pt>
                <c:pt idx="13">
                  <c:v>3.2000543631642202</c:v>
                </c:pt>
                <c:pt idx="14">
                  <c:v>3.1531035589316798</c:v>
                </c:pt>
                <c:pt idx="15">
                  <c:v>3.1621144352116799</c:v>
                </c:pt>
                <c:pt idx="16">
                  <c:v>3.0114228185437302</c:v>
                </c:pt>
                <c:pt idx="17">
                  <c:v>3.08550411525809</c:v>
                </c:pt>
                <c:pt idx="18">
                  <c:v>3.1189386404098398</c:v>
                </c:pt>
                <c:pt idx="19">
                  <c:v>3.0872732246968102</c:v>
                </c:pt>
                <c:pt idx="20">
                  <c:v>3.4635710730868299</c:v>
                </c:pt>
                <c:pt idx="21">
                  <c:v>3.8676735681710999</c:v>
                </c:pt>
                <c:pt idx="22">
                  <c:v>3.60289791673021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759488"/>
        <c:axId val="317761024"/>
      </c:lineChart>
      <c:dateAx>
        <c:axId val="317759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761024"/>
        <c:crosses val="autoZero"/>
        <c:auto val="1"/>
        <c:lblOffset val="100"/>
        <c:baseTimeUnit val="months"/>
      </c:dateAx>
      <c:valAx>
        <c:axId val="317761024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759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357187</xdr:colOff>
      <xdr:row>8</xdr:row>
      <xdr:rowOff>138112</xdr:rowOff>
    </xdr:from>
    <xdr:to>
      <xdr:col>20</xdr:col>
      <xdr:colOff>52387</xdr:colOff>
      <xdr:row>23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338137</xdr:colOff>
      <xdr:row>24</xdr:row>
      <xdr:rowOff>14287</xdr:rowOff>
    </xdr:from>
    <xdr:to>
      <xdr:col>20</xdr:col>
      <xdr:colOff>33337</xdr:colOff>
      <xdr:row>38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385762</xdr:colOff>
      <xdr:row>39</xdr:row>
      <xdr:rowOff>185737</xdr:rowOff>
    </xdr:from>
    <xdr:to>
      <xdr:col>20</xdr:col>
      <xdr:colOff>80962</xdr:colOff>
      <xdr:row>54</xdr:row>
      <xdr:rowOff>71437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30</xdr:row>
      <xdr:rowOff>52387</xdr:rowOff>
    </xdr:from>
    <xdr:to>
      <xdr:col>14</xdr:col>
      <xdr:colOff>42862</xdr:colOff>
      <xdr:row>44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414337</xdr:colOff>
      <xdr:row>45</xdr:row>
      <xdr:rowOff>161925</xdr:rowOff>
    </xdr:from>
    <xdr:to>
      <xdr:col>14</xdr:col>
      <xdr:colOff>109537</xdr:colOff>
      <xdr:row>60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an_Pool%20Dispersion%20Datase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i_inctv"/>
      <sheetName val="conv_inctv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795.768516898148" createdVersion="4" refreshedVersion="4" minRefreshableVersion="3" recordCount="489">
  <cacheSource type="worksheet">
    <worksheetSource ref="B1:C1048576" sheet="daily"/>
  </cacheSource>
  <cacheFields count="2">
    <cacheField name="SeriesNumValue" numFmtId="0">
      <sharedItems containsString="0" containsBlank="1" containsNumber="1" minValue="3.5606249999999999" maxValue="4.5270000000000001"/>
    </cacheField>
    <cacheField name="Asof" numFmtId="0">
      <sharedItems containsNonDate="0" containsDate="1" containsString="0" containsBlank="1" minDate="2015-03-01T00:00:00" maxDate="2017-03-02T00:00:00" count="26"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9">
  <r>
    <n v="4.0036250000000004"/>
    <x v="0"/>
  </r>
  <r>
    <n v="4.0036250000000004"/>
    <x v="0"/>
  </r>
  <r>
    <n v="3.9717500000000001"/>
    <x v="0"/>
  </r>
  <r>
    <n v="4.0676249999999996"/>
    <x v="0"/>
  </r>
  <r>
    <n v="4.0353750000000002"/>
    <x v="0"/>
  </r>
  <r>
    <n v="4.0353750000000002"/>
    <x v="0"/>
  </r>
  <r>
    <n v="4.0036250000000004"/>
    <x v="0"/>
  </r>
  <r>
    <n v="3.9717500000000001"/>
    <x v="0"/>
  </r>
  <r>
    <n v="4.0036250000000004"/>
    <x v="0"/>
  </r>
  <r>
    <n v="3.9717500000000001"/>
    <x v="0"/>
  </r>
  <r>
    <n v="3.9717500000000001"/>
    <x v="0"/>
  </r>
  <r>
    <n v="3.8759999999999901"/>
    <x v="0"/>
  </r>
  <r>
    <n v="3.844125"/>
    <x v="0"/>
  </r>
  <r>
    <n v="3.9077500000000001"/>
    <x v="0"/>
  </r>
  <r>
    <n v="3.8759999999999901"/>
    <x v="0"/>
  </r>
  <r>
    <n v="3.844125"/>
    <x v="0"/>
  </r>
  <r>
    <n v="3.844125"/>
    <x v="0"/>
  </r>
  <r>
    <n v="3.9077500000000001"/>
    <x v="0"/>
  </r>
  <r>
    <n v="3.9077500000000001"/>
    <x v="0"/>
  </r>
  <r>
    <n v="3.9077500000000001"/>
    <x v="0"/>
  </r>
  <r>
    <n v="3.8759999999999901"/>
    <x v="0"/>
  </r>
  <r>
    <n v="3.8123749999999998"/>
    <x v="1"/>
  </r>
  <r>
    <n v="3.7805"/>
    <x v="1"/>
  </r>
  <r>
    <n v="3.7805"/>
    <x v="1"/>
  </r>
  <r>
    <n v="3.964"/>
    <x v="1"/>
  </r>
  <r>
    <n v="3.964"/>
    <x v="1"/>
  </r>
  <r>
    <n v="4.0271249999999998"/>
    <x v="1"/>
  </r>
  <r>
    <n v="3.9634999999999998"/>
    <x v="1"/>
  </r>
  <r>
    <n v="4.0271249999999998"/>
    <x v="1"/>
  </r>
  <r>
    <n v="4.0271249999999998"/>
    <x v="1"/>
  </r>
  <r>
    <n v="3.8995000000000002"/>
    <x v="1"/>
  </r>
  <r>
    <n v="3.8995000000000002"/>
    <x v="1"/>
  </r>
  <r>
    <n v="3.9634999999999998"/>
    <x v="1"/>
  </r>
  <r>
    <n v="3.9634999999999998"/>
    <x v="1"/>
  </r>
  <r>
    <n v="3.8995000000000002"/>
    <x v="1"/>
  </r>
  <r>
    <n v="3.9634999999999998"/>
    <x v="1"/>
  </r>
  <r>
    <n v="4.0271249999999998"/>
    <x v="1"/>
  </r>
  <r>
    <n v="4.0271249999999998"/>
    <x v="1"/>
  </r>
  <r>
    <n v="3.9953750000000001"/>
    <x v="1"/>
  </r>
  <r>
    <n v="4.0271249999999998"/>
    <x v="1"/>
  </r>
  <r>
    <n v="3.9321250000000001"/>
    <x v="1"/>
  </r>
  <r>
    <n v="4.0274999999999999"/>
    <x v="1"/>
  </r>
  <r>
    <n v="3.9957500000000001"/>
    <x v="1"/>
  </r>
  <r>
    <n v="3.9957500000000001"/>
    <x v="2"/>
  </r>
  <r>
    <n v="4.0593750000000002"/>
    <x v="2"/>
  </r>
  <r>
    <n v="4.0911249999999999"/>
    <x v="2"/>
  </r>
  <r>
    <n v="4.1547499999999999"/>
    <x v="2"/>
  </r>
  <r>
    <n v="4.1547499999999999"/>
    <x v="2"/>
  </r>
  <r>
    <n v="4.0274999999999999"/>
    <x v="2"/>
  </r>
  <r>
    <n v="4.1229999999999896"/>
    <x v="2"/>
  </r>
  <r>
    <n v="4.1229999999999896"/>
    <x v="2"/>
  </r>
  <r>
    <n v="4.1547499999999999"/>
    <x v="2"/>
  </r>
  <r>
    <n v="4.1547499999999999"/>
    <x v="2"/>
  </r>
  <r>
    <n v="4.0593750000000002"/>
    <x v="2"/>
  </r>
  <r>
    <n v="4.0911249999999999"/>
    <x v="2"/>
  </r>
  <r>
    <n v="4.1547499999999999"/>
    <x v="2"/>
  </r>
  <r>
    <n v="4.1547499999999999"/>
    <x v="2"/>
  </r>
  <r>
    <n v="4.1547499999999999"/>
    <x v="2"/>
  </r>
  <r>
    <n v="4.1547499999999999"/>
    <x v="2"/>
  </r>
  <r>
    <n v="4.155125"/>
    <x v="2"/>
  </r>
  <r>
    <n v="4.1547499999999999"/>
    <x v="2"/>
  </r>
  <r>
    <n v="4.1229999999999896"/>
    <x v="2"/>
  </r>
  <r>
    <n v="4.0911249999999999"/>
    <x v="2"/>
  </r>
  <r>
    <n v="4.0993750000000002"/>
    <x v="3"/>
  </r>
  <r>
    <n v="4.0993750000000002"/>
    <x v="3"/>
  </r>
  <r>
    <n v="4.2910000000000004"/>
    <x v="3"/>
  </r>
  <r>
    <n v="4.2588749999999997"/>
    <x v="3"/>
  </r>
  <r>
    <n v="4.2592499999999998"/>
    <x v="3"/>
  </r>
  <r>
    <n v="4.2275"/>
    <x v="3"/>
  </r>
  <r>
    <n v="4.1956249999999997"/>
    <x v="3"/>
  </r>
  <r>
    <n v="4.2275"/>
    <x v="3"/>
  </r>
  <r>
    <n v="4.1956249999999997"/>
    <x v="3"/>
  </r>
  <r>
    <n v="4.2906250000000004"/>
    <x v="3"/>
  </r>
  <r>
    <n v="4.2906250000000004"/>
    <x v="3"/>
  </r>
  <r>
    <n v="4.2275"/>
    <x v="3"/>
  </r>
  <r>
    <n v="4.2275"/>
    <x v="3"/>
  </r>
  <r>
    <n v="4.2588749999999997"/>
    <x v="3"/>
  </r>
  <r>
    <n v="4.2270000000000003"/>
    <x v="3"/>
  </r>
  <r>
    <n v="4.2906250000000004"/>
    <x v="3"/>
  </r>
  <r>
    <n v="4.3228749999999998"/>
    <x v="3"/>
  </r>
  <r>
    <n v="4.2910000000000004"/>
    <x v="3"/>
  </r>
  <r>
    <n v="4.2910000000000004"/>
    <x v="3"/>
  </r>
  <r>
    <n v="4.3546250000000004"/>
    <x v="3"/>
  </r>
  <r>
    <n v="4.2910000000000004"/>
    <x v="3"/>
  </r>
  <r>
    <n v="4.2592499999999998"/>
    <x v="3"/>
  </r>
  <r>
    <n v="4.3228749999999998"/>
    <x v="4"/>
  </r>
  <r>
    <n v="4.2910000000000004"/>
    <x v="4"/>
  </r>
  <r>
    <n v="4.2592499999999998"/>
    <x v="4"/>
  </r>
  <r>
    <n v="4.2906250000000004"/>
    <x v="4"/>
  </r>
  <r>
    <n v="4.2910000000000004"/>
    <x v="4"/>
  </r>
  <r>
    <n v="4.2592499999999998"/>
    <x v="4"/>
  </r>
  <r>
    <n v="4.3228749999999998"/>
    <x v="4"/>
  </r>
  <r>
    <n v="4.3864999999999998"/>
    <x v="4"/>
  </r>
  <r>
    <n v="4.2910000000000004"/>
    <x v="4"/>
  </r>
  <r>
    <n v="4.2592499999999998"/>
    <x v="4"/>
  </r>
  <r>
    <n v="4.2592499999999998"/>
    <x v="4"/>
  </r>
  <r>
    <n v="4.2592499999999998"/>
    <x v="4"/>
  </r>
  <r>
    <n v="4.2910000000000004"/>
    <x v="4"/>
  </r>
  <r>
    <n v="4.2906250000000004"/>
    <x v="4"/>
  </r>
  <r>
    <n v="4.2906250000000004"/>
    <x v="4"/>
  </r>
  <r>
    <n v="4.2592499999999998"/>
    <x v="4"/>
  </r>
  <r>
    <n v="4.2588749999999997"/>
    <x v="4"/>
  </r>
  <r>
    <n v="4.2588749999999997"/>
    <x v="4"/>
  </r>
  <r>
    <n v="4.2906250000000004"/>
    <x v="4"/>
  </r>
  <r>
    <n v="4.2906250000000004"/>
    <x v="4"/>
  </r>
  <r>
    <n v="4.2906250000000004"/>
    <x v="4"/>
  </r>
  <r>
    <n v="4.1630000000000003"/>
    <x v="4"/>
  </r>
  <r>
    <n v="4.1312499999999996"/>
    <x v="5"/>
  </r>
  <r>
    <n v="4.2588749999999997"/>
    <x v="5"/>
  </r>
  <r>
    <n v="4.2906250000000004"/>
    <x v="5"/>
  </r>
  <r>
    <n v="4.2588749999999997"/>
    <x v="5"/>
  </r>
  <r>
    <n v="4.2270000000000003"/>
    <x v="5"/>
  </r>
  <r>
    <n v="4.2588749999999997"/>
    <x v="5"/>
  </r>
  <r>
    <n v="4.1312499999999996"/>
    <x v="5"/>
  </r>
  <r>
    <n v="4.0993750000000002"/>
    <x v="5"/>
  </r>
  <r>
    <n v="4.0993750000000002"/>
    <x v="5"/>
  </r>
  <r>
    <n v="4.1630000000000003"/>
    <x v="5"/>
  </r>
  <r>
    <n v="4.2270000000000003"/>
    <x v="5"/>
  </r>
  <r>
    <n v="4.2588749999999997"/>
    <x v="5"/>
  </r>
  <r>
    <n v="4.1630000000000003"/>
    <x v="5"/>
  </r>
  <r>
    <n v="4.1312499999999996"/>
    <x v="5"/>
  </r>
  <r>
    <n v="4.0993750000000002"/>
    <x v="5"/>
  </r>
  <r>
    <n v="4.0353750000000002"/>
    <x v="5"/>
  </r>
  <r>
    <n v="4.1630000000000003"/>
    <x v="5"/>
  </r>
  <r>
    <n v="4.2270000000000003"/>
    <x v="5"/>
  </r>
  <r>
    <n v="4.2270000000000003"/>
    <x v="5"/>
  </r>
  <r>
    <n v="4.1312499999999996"/>
    <x v="5"/>
  </r>
  <r>
    <n v="4.1312499999999996"/>
    <x v="5"/>
  </r>
  <r>
    <n v="4.1312499999999996"/>
    <x v="6"/>
  </r>
  <r>
    <n v="4.2270000000000003"/>
    <x v="6"/>
  </r>
  <r>
    <n v="4.1630000000000003"/>
    <x v="6"/>
  </r>
  <r>
    <n v="4.1312499999999996"/>
    <x v="6"/>
  </r>
  <r>
    <n v="4.1630000000000003"/>
    <x v="6"/>
  </r>
  <r>
    <n v="4.1312499999999996"/>
    <x v="6"/>
  </r>
  <r>
    <n v="4.0993750000000002"/>
    <x v="6"/>
  </r>
  <r>
    <n v="4.0676249999999996"/>
    <x v="6"/>
  </r>
  <r>
    <n v="4.0763749999999996"/>
    <x v="6"/>
  </r>
  <r>
    <n v="4.2357500000000003"/>
    <x v="6"/>
  </r>
  <r>
    <n v="4.2676249999999998"/>
    <x v="6"/>
  </r>
  <r>
    <n v="4.1717499999999896"/>
    <x v="6"/>
  </r>
  <r>
    <n v="4.0123749999999996"/>
    <x v="6"/>
  </r>
  <r>
    <n v="4.0441250000000002"/>
    <x v="6"/>
  </r>
  <r>
    <n v="4.0441250000000002"/>
    <x v="6"/>
  </r>
  <r>
    <n v="4.0123749999999996"/>
    <x v="6"/>
  </r>
  <r>
    <n v="4.0123749999999996"/>
    <x v="6"/>
  </r>
  <r>
    <n v="4.0763749999999996"/>
    <x v="6"/>
  </r>
  <r>
    <n v="4.1901250000000001"/>
    <x v="6"/>
  </r>
  <r>
    <n v="4.1583750000000004"/>
    <x v="6"/>
  </r>
  <r>
    <n v="4.126125"/>
    <x v="6"/>
  </r>
  <r>
    <n v="4.0625"/>
    <x v="7"/>
  </r>
  <r>
    <n v="3.9348749999999999"/>
    <x v="7"/>
  </r>
  <r>
    <n v="4.0307500000000003"/>
    <x v="7"/>
  </r>
  <r>
    <n v="4.0625"/>
    <x v="7"/>
  </r>
  <r>
    <n v="4.0625"/>
    <x v="7"/>
  </r>
  <r>
    <n v="4.0307500000000003"/>
    <x v="7"/>
  </r>
  <r>
    <n v="4.0943750000000003"/>
    <x v="7"/>
  </r>
  <r>
    <n v="4.0307500000000003"/>
    <x v="7"/>
  </r>
  <r>
    <n v="3.9984999999999999"/>
    <x v="7"/>
  </r>
  <r>
    <n v="3.9984999999999999"/>
    <x v="7"/>
  </r>
  <r>
    <n v="3.9667500000000002"/>
    <x v="7"/>
  </r>
  <r>
    <n v="3.9984999999999999"/>
    <x v="7"/>
  </r>
  <r>
    <n v="4.0307500000000003"/>
    <x v="7"/>
  </r>
  <r>
    <n v="4.0307500000000003"/>
    <x v="7"/>
  </r>
  <r>
    <n v="3.9984999999999999"/>
    <x v="7"/>
  </r>
  <r>
    <n v="3.9984999999999999"/>
    <x v="7"/>
  </r>
  <r>
    <n v="3.998875"/>
    <x v="7"/>
  </r>
  <r>
    <n v="3.9984999999999999"/>
    <x v="7"/>
  </r>
  <r>
    <n v="3.9984999999999999"/>
    <x v="7"/>
  </r>
  <r>
    <n v="4.0943750000000003"/>
    <x v="7"/>
  </r>
  <r>
    <n v="4.126125"/>
    <x v="7"/>
  </r>
  <r>
    <n v="4.0943750000000003"/>
    <x v="8"/>
  </r>
  <r>
    <n v="4.0943750000000003"/>
    <x v="8"/>
  </r>
  <r>
    <n v="4.126125"/>
    <x v="8"/>
  </r>
  <r>
    <n v="4.1583750000000004"/>
    <x v="8"/>
  </r>
  <r>
    <n v="4.2537500000000001"/>
    <x v="8"/>
  </r>
  <r>
    <n v="4.2537500000000001"/>
    <x v="8"/>
  </r>
  <r>
    <n v="4.3496249999999996"/>
    <x v="8"/>
  </r>
  <r>
    <n v="4.3496249999999996"/>
    <x v="8"/>
  </r>
  <r>
    <n v="4.2537500000000001"/>
    <x v="8"/>
  </r>
  <r>
    <n v="4.2220000000000004"/>
    <x v="8"/>
  </r>
  <r>
    <n v="4.2537500000000001"/>
    <x v="8"/>
  </r>
  <r>
    <n v="4.2537500000000001"/>
    <x v="8"/>
  </r>
  <r>
    <n v="4.2220000000000004"/>
    <x v="8"/>
  </r>
  <r>
    <n v="4.2537500000000001"/>
    <x v="8"/>
  </r>
  <r>
    <n v="4.3177500000000002"/>
    <x v="8"/>
  </r>
  <r>
    <n v="4.3177500000000002"/>
    <x v="8"/>
  </r>
  <r>
    <n v="4.3177500000000002"/>
    <x v="8"/>
  </r>
  <r>
    <n v="4.2537500000000001"/>
    <x v="8"/>
  </r>
  <r>
    <n v="4.2220000000000004"/>
    <x v="8"/>
  </r>
  <r>
    <n v="4.1583750000000004"/>
    <x v="9"/>
  </r>
  <r>
    <n v="4.1901250000000001"/>
    <x v="9"/>
  </r>
  <r>
    <n v="4.3813750000000002"/>
    <x v="9"/>
  </r>
  <r>
    <n v="4.3177500000000002"/>
    <x v="9"/>
  </r>
  <r>
    <n v="4.1901250000000001"/>
    <x v="9"/>
  </r>
  <r>
    <n v="4.1583750000000004"/>
    <x v="9"/>
  </r>
  <r>
    <n v="4.1901250000000001"/>
    <x v="9"/>
  </r>
  <r>
    <n v="4.1901250000000001"/>
    <x v="9"/>
  </r>
  <r>
    <n v="4.1901250000000001"/>
    <x v="9"/>
  </r>
  <r>
    <n v="4.2220000000000004"/>
    <x v="9"/>
  </r>
  <r>
    <n v="4.3496249999999996"/>
    <x v="9"/>
  </r>
  <r>
    <n v="4.3496249999999996"/>
    <x v="9"/>
  </r>
  <r>
    <n v="4.2537500000000001"/>
    <x v="9"/>
  </r>
  <r>
    <n v="4.2220000000000004"/>
    <x v="9"/>
  </r>
  <r>
    <n v="4.1901250000000001"/>
    <x v="9"/>
  </r>
  <r>
    <n v="4.2220000000000004"/>
    <x v="9"/>
  </r>
  <r>
    <n v="4.3496249999999996"/>
    <x v="9"/>
  </r>
  <r>
    <n v="4.3177500000000002"/>
    <x v="9"/>
  </r>
  <r>
    <n v="4.3496249999999996"/>
    <x v="9"/>
  </r>
  <r>
    <n v="4.3177500000000002"/>
    <x v="9"/>
  </r>
  <r>
    <n v="4.3177500000000002"/>
    <x v="9"/>
  </r>
  <r>
    <n v="4.2220000000000004"/>
    <x v="10"/>
  </r>
  <r>
    <n v="4.2220000000000004"/>
    <x v="10"/>
  </r>
  <r>
    <n v="4.2537500000000001"/>
    <x v="10"/>
  </r>
  <r>
    <n v="4.1901250000000001"/>
    <x v="10"/>
  </r>
  <r>
    <n v="4.1583750000000004"/>
    <x v="10"/>
  </r>
  <r>
    <n v="4.1901250000000001"/>
    <x v="10"/>
  </r>
  <r>
    <n v="4.126125"/>
    <x v="10"/>
  </r>
  <r>
    <n v="4.1901250000000001"/>
    <x v="10"/>
  </r>
  <r>
    <n v="4.1901250000000001"/>
    <x v="10"/>
  </r>
  <r>
    <n v="4.0943750000000003"/>
    <x v="10"/>
  </r>
  <r>
    <n v="4.1583750000000004"/>
    <x v="10"/>
  </r>
  <r>
    <n v="4.0943750000000003"/>
    <x v="10"/>
  </r>
  <r>
    <n v="4.126125"/>
    <x v="10"/>
  </r>
  <r>
    <n v="4.1901250000000001"/>
    <x v="10"/>
  </r>
  <r>
    <n v="4.1583750000000004"/>
    <x v="10"/>
  </r>
  <r>
    <n v="4.126125"/>
    <x v="10"/>
  </r>
  <r>
    <n v="4.1583750000000004"/>
    <x v="10"/>
  </r>
  <r>
    <n v="4.126125"/>
    <x v="10"/>
  </r>
  <r>
    <n v="4.0625"/>
    <x v="10"/>
  </r>
  <r>
    <n v="4.0943750000000003"/>
    <x v="11"/>
  </r>
  <r>
    <n v="4.0943750000000003"/>
    <x v="11"/>
  </r>
  <r>
    <n v="4.0943750000000003"/>
    <x v="11"/>
  </r>
  <r>
    <n v="4.0943750000000003"/>
    <x v="11"/>
  </r>
  <r>
    <n v="4.126125"/>
    <x v="11"/>
  </r>
  <r>
    <n v="4.0943750000000003"/>
    <x v="11"/>
  </r>
  <r>
    <n v="4.0625"/>
    <x v="11"/>
  </r>
  <r>
    <n v="4.0943750000000003"/>
    <x v="11"/>
  </r>
  <r>
    <n v="4.0307500000000003"/>
    <x v="11"/>
  </r>
  <r>
    <n v="4.126125"/>
    <x v="11"/>
  </r>
  <r>
    <n v="4.126125"/>
    <x v="11"/>
  </r>
  <r>
    <n v="4.126125"/>
    <x v="11"/>
  </r>
  <r>
    <n v="4.0943750000000003"/>
    <x v="11"/>
  </r>
  <r>
    <n v="4.0943750000000003"/>
    <x v="11"/>
  </r>
  <r>
    <n v="4.0943750000000003"/>
    <x v="11"/>
  </r>
  <r>
    <n v="4.0943750000000003"/>
    <x v="11"/>
  </r>
  <r>
    <n v="4.0625"/>
    <x v="11"/>
  </r>
  <r>
    <n v="3.9742500000000001"/>
    <x v="11"/>
  </r>
  <r>
    <n v="3.9424999999999999"/>
    <x v="11"/>
  </r>
  <r>
    <n v="4.1820000000000004"/>
    <x v="12"/>
  </r>
  <r>
    <n v="3.9742500000000001"/>
    <x v="12"/>
  </r>
  <r>
    <n v="3.9742500000000001"/>
    <x v="12"/>
  </r>
  <r>
    <n v="3.9742500000000001"/>
    <x v="12"/>
  </r>
  <r>
    <n v="4.0061249999999999"/>
    <x v="12"/>
  </r>
  <r>
    <n v="3.9742500000000001"/>
    <x v="12"/>
  </r>
  <r>
    <n v="4.0061249999999999"/>
    <x v="12"/>
  </r>
  <r>
    <n v="4.0061249999999999"/>
    <x v="12"/>
  </r>
  <r>
    <n v="4.0378749999999997"/>
    <x v="12"/>
  </r>
  <r>
    <n v="4.0378749999999997"/>
    <x v="12"/>
  </r>
  <r>
    <n v="3.9742500000000001"/>
    <x v="12"/>
  </r>
  <r>
    <n v="4.070125"/>
    <x v="12"/>
  </r>
  <r>
    <n v="3.91025"/>
    <x v="12"/>
  </r>
  <r>
    <n v="3.91025"/>
    <x v="12"/>
  </r>
  <r>
    <n v="3.9742500000000001"/>
    <x v="12"/>
  </r>
  <r>
    <n v="3.9742500000000001"/>
    <x v="12"/>
  </r>
  <r>
    <n v="4.0061249999999999"/>
    <x v="12"/>
  </r>
  <r>
    <n v="4.070125"/>
    <x v="12"/>
  </r>
  <r>
    <n v="3.9424999999999999"/>
    <x v="12"/>
  </r>
  <r>
    <n v="3.9424999999999999"/>
    <x v="12"/>
  </r>
  <r>
    <n v="3.9424999999999999"/>
    <x v="12"/>
  </r>
  <r>
    <n v="3.8784999999999998"/>
    <x v="13"/>
  </r>
  <r>
    <n v="3.8784999999999998"/>
    <x v="13"/>
  </r>
  <r>
    <n v="3.8784999999999998"/>
    <x v="13"/>
  </r>
  <r>
    <n v="3.91025"/>
    <x v="13"/>
  </r>
  <r>
    <n v="3.910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46625"/>
    <x v="13"/>
  </r>
  <r>
    <n v="3.8784999999999998"/>
    <x v="13"/>
  </r>
  <r>
    <n v="3.8784999999999998"/>
    <x v="13"/>
  </r>
  <r>
    <n v="3.8784999999999998"/>
    <x v="13"/>
  </r>
  <r>
    <n v="3.8784999999999998"/>
    <x v="13"/>
  </r>
  <r>
    <n v="3.81487499999999"/>
    <x v="14"/>
  </r>
  <r>
    <n v="3.846625"/>
    <x v="14"/>
  </r>
  <r>
    <n v="3.846625"/>
    <x v="14"/>
  </r>
  <r>
    <n v="3.81487499999999"/>
    <x v="14"/>
  </r>
  <r>
    <n v="3.7829999999999999"/>
    <x v="14"/>
  </r>
  <r>
    <n v="4.2052500000000004"/>
    <x v="14"/>
  </r>
  <r>
    <n v="3.7829999999999999"/>
    <x v="14"/>
  </r>
  <r>
    <n v="3.7829999999999999"/>
    <x v="14"/>
  </r>
  <r>
    <n v="3.7829999999999999"/>
    <x v="14"/>
  </r>
  <r>
    <n v="3.81487499999999"/>
    <x v="14"/>
  </r>
  <r>
    <n v="3.846625"/>
    <x v="14"/>
  </r>
  <r>
    <n v="3.91025"/>
    <x v="14"/>
  </r>
  <r>
    <n v="3.9742500000000001"/>
    <x v="14"/>
  </r>
  <r>
    <n v="3.9424999999999999"/>
    <x v="14"/>
  </r>
  <r>
    <n v="3.9424999999999999"/>
    <x v="14"/>
  </r>
  <r>
    <n v="3.9424999999999999"/>
    <x v="14"/>
  </r>
  <r>
    <n v="3.9424999999999999"/>
    <x v="14"/>
  </r>
  <r>
    <n v="3.9424999999999999"/>
    <x v="14"/>
  </r>
  <r>
    <n v="3.9424999999999999"/>
    <x v="14"/>
  </r>
  <r>
    <n v="3.9742500000000001"/>
    <x v="14"/>
  </r>
  <r>
    <n v="3.91025"/>
    <x v="15"/>
  </r>
  <r>
    <n v="3.9742500000000001"/>
    <x v="15"/>
  </r>
  <r>
    <n v="3.91025"/>
    <x v="15"/>
  </r>
  <r>
    <n v="3.8784999999999998"/>
    <x v="15"/>
  </r>
  <r>
    <n v="3.8784999999999998"/>
    <x v="15"/>
  </r>
  <r>
    <n v="4.2359999999999998"/>
    <x v="15"/>
  </r>
  <r>
    <n v="3.8784999999999998"/>
    <x v="15"/>
  </r>
  <r>
    <n v="3.8784999999999998"/>
    <x v="15"/>
  </r>
  <r>
    <n v="3.8784999999999998"/>
    <x v="15"/>
  </r>
  <r>
    <n v="3.8784999999999998"/>
    <x v="15"/>
  </r>
  <r>
    <n v="4.1180000000000003"/>
    <x v="15"/>
  </r>
  <r>
    <n v="3.846625"/>
    <x v="15"/>
  </r>
  <r>
    <n v="3.846625"/>
    <x v="15"/>
  </r>
  <r>
    <n v="3.8784999999999998"/>
    <x v="15"/>
  </r>
  <r>
    <n v="3.91025"/>
    <x v="15"/>
  </r>
  <r>
    <n v="3.91025"/>
    <x v="15"/>
  </r>
  <r>
    <n v="3.91025"/>
    <x v="15"/>
  </r>
  <r>
    <n v="3.7826249999999999"/>
    <x v="15"/>
  </r>
  <r>
    <n v="3.7508750000000002"/>
    <x v="15"/>
  </r>
  <r>
    <n v="3.7508750000000002"/>
    <x v="15"/>
  </r>
  <r>
    <n v="3.7826249999999999"/>
    <x v="15"/>
  </r>
  <r>
    <n v="3.7826249999999999"/>
    <x v="15"/>
  </r>
  <r>
    <n v="3.7189999999999999"/>
    <x v="16"/>
  </r>
  <r>
    <n v="3.6549999999999998"/>
    <x v="16"/>
  </r>
  <r>
    <n v="3.6232500000000001"/>
    <x v="16"/>
  </r>
  <r>
    <n v="3.7189999999999999"/>
    <x v="16"/>
  </r>
  <r>
    <n v="3.7189999999999999"/>
    <x v="16"/>
  </r>
  <r>
    <n v="3.7508750000000002"/>
    <x v="16"/>
  </r>
  <r>
    <n v="3.7189999999999999"/>
    <x v="16"/>
  </r>
  <r>
    <n v="3.7508750000000002"/>
    <x v="16"/>
  </r>
  <r>
    <n v="3.7508750000000002"/>
    <x v="16"/>
  </r>
  <r>
    <n v="3.7518750000000001"/>
    <x v="16"/>
  </r>
  <r>
    <n v="3.7518750000000001"/>
    <x v="16"/>
  </r>
  <r>
    <n v="3.72"/>
    <x v="16"/>
  </r>
  <r>
    <n v="3.7518750000000001"/>
    <x v="16"/>
  </r>
  <r>
    <n v="3.78362499999999"/>
    <x v="16"/>
  </r>
  <r>
    <n v="3.78362499999999"/>
    <x v="16"/>
  </r>
  <r>
    <n v="3.78362499999999"/>
    <x v="16"/>
  </r>
  <r>
    <n v="3.8795000000000002"/>
    <x v="16"/>
  </r>
  <r>
    <n v="3.7518750000000001"/>
    <x v="16"/>
  </r>
  <r>
    <n v="3.6560000000000001"/>
    <x v="16"/>
  </r>
  <r>
    <n v="3.62425"/>
    <x v="17"/>
  </r>
  <r>
    <n v="3.72"/>
    <x v="17"/>
  </r>
  <r>
    <n v="3.72"/>
    <x v="17"/>
  </r>
  <r>
    <n v="3.6560000000000001"/>
    <x v="17"/>
  </r>
  <r>
    <n v="3.62425"/>
    <x v="17"/>
  </r>
  <r>
    <n v="3.72"/>
    <x v="17"/>
  </r>
  <r>
    <n v="3.72"/>
    <x v="17"/>
  </r>
  <r>
    <n v="3.62425"/>
    <x v="17"/>
  </r>
  <r>
    <n v="3.62425"/>
    <x v="17"/>
  </r>
  <r>
    <n v="3.6560000000000001"/>
    <x v="17"/>
  </r>
  <r>
    <n v="3.7518750000000001"/>
    <x v="17"/>
  </r>
  <r>
    <n v="3.6560000000000001"/>
    <x v="17"/>
  </r>
  <r>
    <n v="3.72"/>
    <x v="17"/>
  </r>
  <r>
    <n v="3.7518750000000001"/>
    <x v="17"/>
  </r>
  <r>
    <n v="3.72"/>
    <x v="17"/>
  </r>
  <r>
    <n v="3.72"/>
    <x v="17"/>
  </r>
  <r>
    <n v="3.7518750000000001"/>
    <x v="17"/>
  </r>
  <r>
    <n v="3.72"/>
    <x v="17"/>
  </r>
  <r>
    <n v="3.7518750000000001"/>
    <x v="17"/>
  </r>
  <r>
    <n v="3.72"/>
    <x v="18"/>
  </r>
  <r>
    <n v="3.62425"/>
    <x v="18"/>
  </r>
  <r>
    <n v="3.6560000000000001"/>
    <x v="18"/>
  </r>
  <r>
    <n v="3.78362499999999"/>
    <x v="18"/>
  </r>
  <r>
    <n v="3.8795000000000002"/>
    <x v="18"/>
  </r>
  <r>
    <n v="3.7518750000000001"/>
    <x v="18"/>
  </r>
  <r>
    <n v="3.72"/>
    <x v="18"/>
  </r>
  <r>
    <n v="3.72"/>
    <x v="18"/>
  </r>
  <r>
    <n v="3.7518750000000001"/>
    <x v="18"/>
  </r>
  <r>
    <n v="3.7518750000000001"/>
    <x v="18"/>
  </r>
  <r>
    <n v="3.7518750000000001"/>
    <x v="18"/>
  </r>
  <r>
    <n v="3.7518750000000001"/>
    <x v="18"/>
  </r>
  <r>
    <n v="3.6560000000000001"/>
    <x v="18"/>
  </r>
  <r>
    <n v="3.62425"/>
    <x v="18"/>
  </r>
  <r>
    <n v="3.5606249999999999"/>
    <x v="18"/>
  </r>
  <r>
    <n v="3.5606249999999999"/>
    <x v="18"/>
  </r>
  <r>
    <n v="3.62425"/>
    <x v="18"/>
  </r>
  <r>
    <n v="3.5923750000000001"/>
    <x v="18"/>
  </r>
  <r>
    <n v="3.62425"/>
    <x v="19"/>
  </r>
  <r>
    <n v="3.62425"/>
    <x v="19"/>
  </r>
  <r>
    <n v="3.68825"/>
    <x v="19"/>
  </r>
  <r>
    <n v="3.6560000000000001"/>
    <x v="19"/>
  </r>
  <r>
    <n v="3.72"/>
    <x v="19"/>
  </r>
  <r>
    <n v="3.7518750000000001"/>
    <x v="19"/>
  </r>
  <r>
    <n v="3.7518750000000001"/>
    <x v="19"/>
  </r>
  <r>
    <n v="3.72"/>
    <x v="19"/>
  </r>
  <r>
    <n v="3.72"/>
    <x v="19"/>
  </r>
  <r>
    <n v="3.7518750000000001"/>
    <x v="19"/>
  </r>
  <r>
    <n v="3.72"/>
    <x v="19"/>
  </r>
  <r>
    <n v="3.72"/>
    <x v="19"/>
  </r>
  <r>
    <n v="3.72"/>
    <x v="19"/>
  </r>
  <r>
    <n v="3.72"/>
    <x v="19"/>
  </r>
  <r>
    <n v="3.6560000000000001"/>
    <x v="19"/>
  </r>
  <r>
    <n v="3.72"/>
    <x v="19"/>
  </r>
  <r>
    <n v="3.72"/>
    <x v="19"/>
  </r>
  <r>
    <n v="3.9112499999999999"/>
    <x v="19"/>
  </r>
  <r>
    <n v="3.8795000000000002"/>
    <x v="19"/>
  </r>
  <r>
    <n v="3.78362499999999"/>
    <x v="19"/>
  </r>
  <r>
    <n v="3.8795000000000002"/>
    <x v="20"/>
  </r>
  <r>
    <n v="3.78362499999999"/>
    <x v="20"/>
  </r>
  <r>
    <n v="3.8795000000000002"/>
    <x v="20"/>
  </r>
  <r>
    <n v="3.8795000000000002"/>
    <x v="20"/>
  </r>
  <r>
    <n v="3.78362499999999"/>
    <x v="20"/>
  </r>
  <r>
    <n v="3.78362499999999"/>
    <x v="20"/>
  </r>
  <r>
    <n v="3.9434999999999998"/>
    <x v="20"/>
  </r>
  <r>
    <n v="4.0071250000000003"/>
    <x v="20"/>
  </r>
  <r>
    <n v="4.1441249999999998"/>
    <x v="20"/>
  </r>
  <r>
    <n v="4.1441249999999998"/>
    <x v="20"/>
  </r>
  <r>
    <n v="4.1441249999999998"/>
    <x v="20"/>
  </r>
  <r>
    <n v="4.1122500000000004"/>
    <x v="20"/>
  </r>
  <r>
    <n v="4.3034999999999997"/>
    <x v="20"/>
  </r>
  <r>
    <n v="4.3034999999999997"/>
    <x v="20"/>
  </r>
  <r>
    <n v="4.3034999999999997"/>
    <x v="20"/>
  </r>
  <r>
    <n v="4.4633750000000001"/>
    <x v="20"/>
  </r>
  <r>
    <n v="4.4311249999999998"/>
    <x v="20"/>
  </r>
  <r>
    <n v="4.399375"/>
    <x v="20"/>
  </r>
  <r>
    <n v="4.3674999999999997"/>
    <x v="20"/>
  </r>
  <r>
    <n v="4.3674999999999997"/>
    <x v="20"/>
  </r>
  <r>
    <n v="4.4314999999999998"/>
    <x v="21"/>
  </r>
  <r>
    <n v="4.2717499999999999"/>
    <x v="21"/>
  </r>
  <r>
    <n v="4.399375"/>
    <x v="21"/>
  </r>
  <r>
    <n v="4.3034999999999997"/>
    <x v="21"/>
  </r>
  <r>
    <n v="4.3034999999999997"/>
    <x v="21"/>
  </r>
  <r>
    <n v="4.3034999999999997"/>
    <x v="21"/>
  </r>
  <r>
    <n v="4.2717499999999999"/>
    <x v="21"/>
  </r>
  <r>
    <n v="4.3674999999999997"/>
    <x v="21"/>
  </r>
  <r>
    <n v="4.2398749999999996"/>
    <x v="21"/>
  </r>
  <r>
    <n v="4.3034999999999997"/>
    <x v="21"/>
  </r>
  <r>
    <n v="4.4311249999999998"/>
    <x v="21"/>
  </r>
  <r>
    <n v="4.4314999999999998"/>
    <x v="21"/>
  </r>
  <r>
    <n v="4.4633750000000001"/>
    <x v="21"/>
  </r>
  <r>
    <n v="4.4951249999999998"/>
    <x v="21"/>
  </r>
  <r>
    <n v="4.4633750000000001"/>
    <x v="21"/>
  </r>
  <r>
    <n v="4.4633750000000001"/>
    <x v="21"/>
  </r>
  <r>
    <n v="4.4311249999999998"/>
    <x v="21"/>
  </r>
  <r>
    <n v="4.4951249999999998"/>
    <x v="21"/>
  </r>
  <r>
    <n v="4.4311249999999998"/>
    <x v="21"/>
  </r>
  <r>
    <n v="4.399375"/>
    <x v="21"/>
  </r>
  <r>
    <n v="4.3674999999999997"/>
    <x v="21"/>
  </r>
  <r>
    <n v="4.399375"/>
    <x v="22"/>
  </r>
  <r>
    <n v="4.3674999999999997"/>
    <x v="22"/>
  </r>
  <r>
    <n v="4.2717499999999999"/>
    <x v="22"/>
  </r>
  <r>
    <n v="4.33575"/>
    <x v="22"/>
  </r>
  <r>
    <n v="4.4311249999999998"/>
    <x v="22"/>
  </r>
  <r>
    <n v="4.3674999999999997"/>
    <x v="22"/>
  </r>
  <r>
    <n v="4.4311249999999998"/>
    <x v="22"/>
  </r>
  <r>
    <n v="4.3674999999999997"/>
    <x v="22"/>
  </r>
  <r>
    <n v="4.4951249999999998"/>
    <x v="22"/>
  </r>
  <r>
    <n v="4.4633750000000001"/>
    <x v="22"/>
  </r>
  <r>
    <n v="4.4633750000000001"/>
    <x v="22"/>
  </r>
  <r>
    <n v="4.4951249999999998"/>
    <x v="22"/>
  </r>
  <r>
    <n v="4.5270000000000001"/>
    <x v="22"/>
  </r>
  <r>
    <n v="4.4311249999999998"/>
    <x v="22"/>
  </r>
  <r>
    <n v="4.4311249999999998"/>
    <x v="22"/>
  </r>
  <r>
    <n v="4.4633750000000001"/>
    <x v="22"/>
  </r>
  <r>
    <n v="4.4633750000000001"/>
    <x v="22"/>
  </r>
  <r>
    <n v="4.4951249999999998"/>
    <x v="22"/>
  </r>
  <r>
    <n v="4.4633750000000001"/>
    <x v="22"/>
  </r>
  <r>
    <n v="4.4633750000000001"/>
    <x v="22"/>
  </r>
  <r>
    <n v="4.4951249999999998"/>
    <x v="23"/>
  </r>
  <r>
    <n v="4.4633750000000001"/>
    <x v="23"/>
  </r>
  <r>
    <n v="4.4311249999999998"/>
    <x v="23"/>
  </r>
  <r>
    <n v="4.4311249999999998"/>
    <x v="23"/>
  </r>
  <r>
    <n v="4.4311249999999998"/>
    <x v="23"/>
  </r>
  <r>
    <n v="4.399375"/>
    <x v="23"/>
  </r>
  <r>
    <n v="4.4314999999999998"/>
    <x v="23"/>
  </r>
  <r>
    <n v="4.4311249999999998"/>
    <x v="23"/>
  </r>
  <r>
    <n v="4.4951249999999998"/>
    <x v="23"/>
  </r>
  <r>
    <n v="4.4951249999999998"/>
    <x v="23"/>
  </r>
  <r>
    <n v="4.4633750000000001"/>
    <x v="23"/>
  </r>
  <r>
    <n v="4.399375"/>
    <x v="23"/>
  </r>
  <r>
    <n v="4.4633750000000001"/>
    <x v="23"/>
  </r>
  <r>
    <n v="4.4314999999999998"/>
    <x v="23"/>
  </r>
  <r>
    <n v="4.399375"/>
    <x v="23"/>
  </r>
  <r>
    <n v="4.3034999999999997"/>
    <x v="23"/>
  </r>
  <r>
    <n v="4.3674999999999997"/>
    <x v="23"/>
  </r>
  <r>
    <n v="4.4311249999999998"/>
    <x v="23"/>
  </r>
  <r>
    <n v="4.4951249999999998"/>
    <x v="24"/>
  </r>
  <r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1:F28" firstHeaderRow="1" firstDataRow="1" firstDataCol="1"/>
  <pivotFields count="2"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SeriesNumValue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7"/>
  <sheetViews>
    <sheetView tabSelected="1" topLeftCell="I255" workbookViewId="0">
      <selection activeCell="AG1" sqref="AG1:AM316"/>
    </sheetView>
  </sheetViews>
  <sheetFormatPr defaultRowHeight="15" x14ac:dyDescent="0.25"/>
  <cols>
    <col min="1" max="1" width="15" bestFit="1" customWidth="1"/>
    <col min="2" max="2" width="12" bestFit="1" customWidth="1"/>
    <col min="3" max="3" width="12.5703125" bestFit="1" customWidth="1"/>
    <col min="4" max="4" width="12" bestFit="1" customWidth="1"/>
    <col min="5" max="5" width="14.28515625" bestFit="1" customWidth="1"/>
    <col min="6" max="6" width="12" bestFit="1" customWidth="1"/>
    <col min="7" max="7" width="14" bestFit="1" customWidth="1"/>
    <col min="8" max="9" width="12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W1" t="s">
        <v>10</v>
      </c>
      <c r="X1" t="s">
        <v>11</v>
      </c>
      <c r="Y1" t="s">
        <v>9</v>
      </c>
      <c r="AA1" t="s">
        <v>28</v>
      </c>
      <c r="AB1" t="s">
        <v>10</v>
      </c>
      <c r="AC1" t="s">
        <v>14</v>
      </c>
      <c r="AD1" t="s">
        <v>14</v>
      </c>
      <c r="AE1" t="s">
        <v>11</v>
      </c>
      <c r="AG1" t="s">
        <v>29</v>
      </c>
      <c r="AH1" t="s">
        <v>10</v>
      </c>
      <c r="AI1" t="s">
        <v>12</v>
      </c>
      <c r="AJ1" t="s">
        <v>13</v>
      </c>
      <c r="AK1" t="s">
        <v>14</v>
      </c>
      <c r="AL1" t="s">
        <v>11</v>
      </c>
      <c r="AM1" t="s">
        <v>14</v>
      </c>
      <c r="AO1" t="s">
        <v>30</v>
      </c>
      <c r="AP1" t="s">
        <v>10</v>
      </c>
      <c r="AQ1" t="s">
        <v>12</v>
      </c>
      <c r="AR1" t="s">
        <v>13</v>
      </c>
      <c r="AS1" t="s">
        <v>14</v>
      </c>
      <c r="AT1" t="s">
        <v>11</v>
      </c>
      <c r="AU1" t="s">
        <v>14</v>
      </c>
    </row>
    <row r="2" spans="1:47" x14ac:dyDescent="0.25">
      <c r="A2" s="1">
        <v>33117</v>
      </c>
      <c r="B2">
        <v>10.0834068150935</v>
      </c>
      <c r="C2">
        <v>4865441468</v>
      </c>
      <c r="D2">
        <v>10.182193447762</v>
      </c>
      <c r="E2">
        <v>925516698</v>
      </c>
      <c r="F2">
        <v>10.0329334804472</v>
      </c>
      <c r="G2">
        <v>4361142278</v>
      </c>
      <c r="H2">
        <v>10.0991949930518</v>
      </c>
      <c r="I2">
        <v>10.0329334804472</v>
      </c>
      <c r="J2">
        <v>-6.6261512604656306E-2</v>
      </c>
      <c r="W2" s="1">
        <v>33270</v>
      </c>
      <c r="X2">
        <v>-7.8393097040112297E-2</v>
      </c>
      <c r="Y2">
        <v>-0.15619699798016801</v>
      </c>
      <c r="AB2" s="1">
        <v>33270</v>
      </c>
      <c r="AC2">
        <v>9.5812500000000007</v>
      </c>
      <c r="AD2">
        <v>9.5028569029598806</v>
      </c>
      <c r="AE2">
        <v>-7.8393097040112297E-2</v>
      </c>
      <c r="AH2" s="1">
        <v>33178</v>
      </c>
      <c r="AI2" s="1">
        <v>33208</v>
      </c>
      <c r="AJ2" s="1">
        <v>33239</v>
      </c>
      <c r="AK2">
        <v>10.279</v>
      </c>
      <c r="AL2">
        <v>-2.31474110592375E-2</v>
      </c>
      <c r="AM2">
        <v>10.2558525889407</v>
      </c>
      <c r="AP2" s="1">
        <v>33117</v>
      </c>
      <c r="AQ2" s="1">
        <v>33147</v>
      </c>
      <c r="AR2" s="1">
        <v>33178</v>
      </c>
      <c r="AS2">
        <v>10.44375</v>
      </c>
      <c r="AT2">
        <v>-6.6261512604656306E-2</v>
      </c>
      <c r="AU2">
        <v>10.377488487395301</v>
      </c>
    </row>
    <row r="3" spans="1:47" x14ac:dyDescent="0.25">
      <c r="A3" s="1">
        <v>33147</v>
      </c>
      <c r="B3">
        <v>9.9899464128890099</v>
      </c>
      <c r="C3">
        <v>4354467067</v>
      </c>
      <c r="D3">
        <v>10.1952630183737</v>
      </c>
      <c r="E3">
        <v>1470312908</v>
      </c>
      <c r="F3">
        <v>10.0594350050833</v>
      </c>
      <c r="G3">
        <v>4107676603</v>
      </c>
      <c r="H3">
        <v>10.041773204041</v>
      </c>
      <c r="I3">
        <v>10.0594350050833</v>
      </c>
      <c r="J3">
        <v>1.7661801042267E-2</v>
      </c>
      <c r="W3" s="1">
        <v>33298</v>
      </c>
      <c r="X3">
        <v>-0.11857697665785601</v>
      </c>
      <c r="Y3">
        <v>-0.30736479031112002</v>
      </c>
      <c r="AB3" s="1">
        <v>33298</v>
      </c>
      <c r="AC3">
        <v>9.7937499999999993</v>
      </c>
      <c r="AD3">
        <v>9.6751730233421398</v>
      </c>
      <c r="AE3">
        <v>-0.11857697665785601</v>
      </c>
      <c r="AH3" s="1">
        <v>33208</v>
      </c>
      <c r="AI3" s="1">
        <v>33239</v>
      </c>
      <c r="AJ3" s="1">
        <v>33270</v>
      </c>
      <c r="AK3">
        <v>9.9037500000000005</v>
      </c>
      <c r="AL3">
        <v>-2.14098088386242E-2</v>
      </c>
      <c r="AM3">
        <v>9.8823401911613704</v>
      </c>
      <c r="AP3" s="1">
        <v>33147</v>
      </c>
      <c r="AQ3" s="1">
        <v>33178</v>
      </c>
      <c r="AR3" s="1">
        <v>33208</v>
      </c>
      <c r="AS3">
        <v>10.465</v>
      </c>
      <c r="AT3">
        <v>1.7661801042267E-2</v>
      </c>
      <c r="AU3">
        <v>10.4826618010422</v>
      </c>
    </row>
    <row r="4" spans="1:47" x14ac:dyDescent="0.25">
      <c r="A4" s="1">
        <v>33178</v>
      </c>
      <c r="B4">
        <v>10.0597539053933</v>
      </c>
      <c r="C4">
        <v>3183160658</v>
      </c>
      <c r="D4">
        <v>10.2845272981703</v>
      </c>
      <c r="E4">
        <v>2092146186</v>
      </c>
      <c r="F4">
        <v>10.1280547853505</v>
      </c>
      <c r="G4">
        <v>3613012241</v>
      </c>
      <c r="H4">
        <v>10.1488973069658</v>
      </c>
      <c r="I4">
        <v>10.1280547853505</v>
      </c>
      <c r="J4">
        <v>-2.0842521615323299E-2</v>
      </c>
      <c r="W4" s="1">
        <v>33329</v>
      </c>
      <c r="X4">
        <v>-0.154163843943529</v>
      </c>
      <c r="Y4">
        <v>-0.19585940267176899</v>
      </c>
      <c r="AB4" s="1">
        <v>33329</v>
      </c>
      <c r="AC4">
        <v>9.7487499999999994</v>
      </c>
      <c r="AD4">
        <v>9.5945861560564705</v>
      </c>
      <c r="AE4">
        <v>-0.154163843943529</v>
      </c>
      <c r="AH4" s="1">
        <v>33239</v>
      </c>
      <c r="AI4" s="1">
        <v>33270</v>
      </c>
      <c r="AJ4" s="1">
        <v>33298</v>
      </c>
      <c r="AK4">
        <v>9.8819999999999997</v>
      </c>
      <c r="AL4">
        <v>-8.8520624232705403E-2</v>
      </c>
      <c r="AM4">
        <v>9.7934793757672907</v>
      </c>
      <c r="AP4" s="1">
        <v>33178</v>
      </c>
      <c r="AQ4" s="1">
        <v>33208</v>
      </c>
      <c r="AR4" s="1">
        <v>33239</v>
      </c>
      <c r="AS4">
        <v>10.279</v>
      </c>
      <c r="AT4">
        <v>-2.0842521615323299E-2</v>
      </c>
      <c r="AU4">
        <v>10.2581574783846</v>
      </c>
    </row>
    <row r="5" spans="1:47" x14ac:dyDescent="0.25">
      <c r="A5" s="1">
        <v>33208</v>
      </c>
      <c r="B5">
        <v>10.115816704034399</v>
      </c>
      <c r="C5">
        <v>4110071554</v>
      </c>
      <c r="D5">
        <v>10.1637639719257</v>
      </c>
      <c r="E5">
        <v>1036940723</v>
      </c>
      <c r="F5">
        <v>10.064427674804501</v>
      </c>
      <c r="G5">
        <v>2729447790</v>
      </c>
      <c r="H5">
        <v>10.125476380747299</v>
      </c>
      <c r="I5">
        <v>10.064427674804501</v>
      </c>
      <c r="J5">
        <v>-6.10487059428165E-2</v>
      </c>
      <c r="W5" s="1">
        <v>33359</v>
      </c>
      <c r="X5">
        <v>-0.17972935074600399</v>
      </c>
      <c r="Y5">
        <v>-0.17423556243017699</v>
      </c>
      <c r="AB5" s="1">
        <v>33359</v>
      </c>
      <c r="AC5">
        <v>9.7119999999999997</v>
      </c>
      <c r="AD5">
        <v>9.5322706492539897</v>
      </c>
      <c r="AE5">
        <v>-0.17972935074600399</v>
      </c>
      <c r="AH5" s="1">
        <v>33270</v>
      </c>
      <c r="AI5" s="1">
        <v>33298</v>
      </c>
      <c r="AJ5" s="1">
        <v>33329</v>
      </c>
      <c r="AK5">
        <v>9.5812500000000007</v>
      </c>
      <c r="AL5">
        <v>-0.133638783020987</v>
      </c>
      <c r="AM5">
        <v>9.4476112169790092</v>
      </c>
      <c r="AP5" s="1">
        <v>33208</v>
      </c>
      <c r="AQ5" s="1">
        <v>33239</v>
      </c>
      <c r="AR5" s="1">
        <v>33270</v>
      </c>
      <c r="AS5">
        <v>9.9037500000000005</v>
      </c>
      <c r="AT5">
        <v>-6.10487059428165E-2</v>
      </c>
      <c r="AU5">
        <v>9.8427012940571803</v>
      </c>
    </row>
    <row r="6" spans="1:47" x14ac:dyDescent="0.25">
      <c r="A6" s="1">
        <v>33239</v>
      </c>
      <c r="B6">
        <v>10.038490086051</v>
      </c>
      <c r="C6">
        <v>2436386817</v>
      </c>
      <c r="D6">
        <v>9.9271591496312706</v>
      </c>
      <c r="E6">
        <v>1066652110</v>
      </c>
      <c r="F6">
        <v>9.8209199094713497</v>
      </c>
      <c r="G6">
        <v>2844418458</v>
      </c>
      <c r="H6">
        <v>10.004590554611299</v>
      </c>
      <c r="I6">
        <v>9.8209199094713497</v>
      </c>
      <c r="J6">
        <v>-0.183670645139976</v>
      </c>
      <c r="W6" s="1">
        <v>33390</v>
      </c>
      <c r="X6">
        <v>-0.19978744880216701</v>
      </c>
      <c r="Y6">
        <v>-0.18139729427979301</v>
      </c>
      <c r="AB6" s="1">
        <v>33390</v>
      </c>
      <c r="AC6">
        <v>9.8837499999999991</v>
      </c>
      <c r="AD6">
        <v>9.6839625511978298</v>
      </c>
      <c r="AE6">
        <v>-0.19978744880216701</v>
      </c>
      <c r="AH6" s="1">
        <v>33298</v>
      </c>
      <c r="AI6" s="1">
        <v>33329</v>
      </c>
      <c r="AJ6" s="1">
        <v>33359</v>
      </c>
      <c r="AK6">
        <v>9.7937499999999993</v>
      </c>
      <c r="AL6">
        <v>-0.21574414447708801</v>
      </c>
      <c r="AM6">
        <v>9.5780058555229104</v>
      </c>
      <c r="AP6" s="1">
        <v>33239</v>
      </c>
      <c r="AQ6" s="1">
        <v>33270</v>
      </c>
      <c r="AR6" s="1">
        <v>33298</v>
      </c>
      <c r="AS6">
        <v>9.8819999999999997</v>
      </c>
      <c r="AT6">
        <v>-0.183670645139976</v>
      </c>
      <c r="AU6">
        <v>9.6983293548600198</v>
      </c>
    </row>
    <row r="7" spans="1:47" x14ac:dyDescent="0.25">
      <c r="A7" s="1">
        <v>33270</v>
      </c>
      <c r="B7">
        <v>9.8152849192874303</v>
      </c>
      <c r="C7">
        <v>2463914768</v>
      </c>
      <c r="D7">
        <v>9.7472437165728607</v>
      </c>
      <c r="E7">
        <v>1129594384</v>
      </c>
      <c r="F7">
        <v>9.6376996467221794</v>
      </c>
      <c r="G7">
        <v>2603170825</v>
      </c>
      <c r="H7">
        <v>9.7938966447023503</v>
      </c>
      <c r="I7">
        <v>9.6376996467221794</v>
      </c>
      <c r="J7">
        <v>-0.15619699798016801</v>
      </c>
      <c r="W7" s="1">
        <v>33420</v>
      </c>
      <c r="X7">
        <v>-0.18485825681335799</v>
      </c>
      <c r="Y7">
        <v>-9.4095493207123099E-2</v>
      </c>
      <c r="AB7" s="1">
        <v>33420</v>
      </c>
      <c r="AC7">
        <v>9.8187499999999996</v>
      </c>
      <c r="AD7">
        <v>9.6338917431866395</v>
      </c>
      <c r="AE7">
        <v>-0.18485825681335799</v>
      </c>
      <c r="AH7" s="1">
        <v>33329</v>
      </c>
      <c r="AI7" s="1">
        <v>33359</v>
      </c>
      <c r="AJ7" s="1">
        <v>33390</v>
      </c>
      <c r="AK7">
        <v>9.7487499999999994</v>
      </c>
      <c r="AL7">
        <v>-0.21980706365435199</v>
      </c>
      <c r="AM7">
        <v>9.5289429363456399</v>
      </c>
      <c r="AP7" s="1">
        <v>33270</v>
      </c>
      <c r="AQ7" s="1">
        <v>33298</v>
      </c>
      <c r="AR7" s="1">
        <v>33329</v>
      </c>
      <c r="AS7">
        <v>9.5812500000000007</v>
      </c>
      <c r="AT7">
        <v>-0.15619699798016801</v>
      </c>
      <c r="AU7">
        <v>9.4250530020198298</v>
      </c>
    </row>
    <row r="8" spans="1:47" x14ac:dyDescent="0.25">
      <c r="A8" s="1">
        <v>33298</v>
      </c>
      <c r="B8">
        <v>9.7398246786439806</v>
      </c>
      <c r="C8">
        <v>2344228161</v>
      </c>
      <c r="D8">
        <v>9.8173007072345708</v>
      </c>
      <c r="E8">
        <v>2915739534</v>
      </c>
      <c r="F8">
        <v>9.4754069048542</v>
      </c>
      <c r="G8">
        <v>2739290742</v>
      </c>
      <c r="H8">
        <v>9.7827716951653194</v>
      </c>
      <c r="I8">
        <v>9.4754069048542</v>
      </c>
      <c r="J8">
        <v>-0.30736479031112002</v>
      </c>
      <c r="W8" s="1">
        <v>33451</v>
      </c>
      <c r="X8">
        <v>-0.179418799815835</v>
      </c>
      <c r="Y8">
        <v>-0.123560255995029</v>
      </c>
      <c r="AB8" s="1">
        <v>33451</v>
      </c>
      <c r="AC8">
        <v>9.4689999999999994</v>
      </c>
      <c r="AD8">
        <v>9.2895812001841591</v>
      </c>
      <c r="AE8">
        <v>-0.179418799815835</v>
      </c>
      <c r="AH8" s="1">
        <v>33359</v>
      </c>
      <c r="AI8" s="1">
        <v>33390</v>
      </c>
      <c r="AJ8" s="1">
        <v>33420</v>
      </c>
      <c r="AK8">
        <v>9.7119999999999997</v>
      </c>
      <c r="AL8">
        <v>-0.22581991847102201</v>
      </c>
      <c r="AM8">
        <v>9.4861800815289694</v>
      </c>
      <c r="AP8" s="1">
        <v>33298</v>
      </c>
      <c r="AQ8" s="1">
        <v>33329</v>
      </c>
      <c r="AR8" s="1">
        <v>33359</v>
      </c>
      <c r="AS8">
        <v>9.7937499999999993</v>
      </c>
      <c r="AT8">
        <v>-0.30736479031112002</v>
      </c>
      <c r="AU8">
        <v>9.4863852096888799</v>
      </c>
    </row>
    <row r="9" spans="1:47" x14ac:dyDescent="0.25">
      <c r="A9" s="1">
        <v>33329</v>
      </c>
      <c r="B9">
        <v>9.5482285102189408</v>
      </c>
      <c r="C9">
        <v>3212925765</v>
      </c>
      <c r="D9">
        <v>9.5304477441443698</v>
      </c>
      <c r="E9">
        <v>1536845604</v>
      </c>
      <c r="F9">
        <v>9.3466159270139304</v>
      </c>
      <c r="G9">
        <v>3519142598</v>
      </c>
      <c r="H9">
        <v>9.5424753296857006</v>
      </c>
      <c r="I9">
        <v>9.3466159270139304</v>
      </c>
      <c r="J9">
        <v>-0.19585940267176899</v>
      </c>
      <c r="W9" s="1">
        <v>33482</v>
      </c>
      <c r="X9">
        <v>-0.14619153530284601</v>
      </c>
      <c r="Y9">
        <v>-0.108001203233183</v>
      </c>
      <c r="AB9" s="1">
        <v>33482</v>
      </c>
      <c r="AC9">
        <v>9.2262499999999896</v>
      </c>
      <c r="AD9">
        <v>9.0800584646971494</v>
      </c>
      <c r="AE9">
        <v>-0.14619153530284601</v>
      </c>
      <c r="AH9" s="1">
        <v>33390</v>
      </c>
      <c r="AI9" s="1">
        <v>33420</v>
      </c>
      <c r="AJ9" s="1">
        <v>33451</v>
      </c>
      <c r="AK9">
        <v>9.8837499999999991</v>
      </c>
      <c r="AL9">
        <v>-0.183830753127247</v>
      </c>
      <c r="AM9">
        <v>9.6999192468727493</v>
      </c>
      <c r="AP9" s="1">
        <v>33329</v>
      </c>
      <c r="AQ9" s="1">
        <v>33359</v>
      </c>
      <c r="AR9" s="1">
        <v>33390</v>
      </c>
      <c r="AS9">
        <v>9.7487499999999994</v>
      </c>
      <c r="AT9">
        <v>-0.19585940267176899</v>
      </c>
      <c r="AU9">
        <v>9.5528905973282292</v>
      </c>
    </row>
    <row r="10" spans="1:47" x14ac:dyDescent="0.25">
      <c r="A10" s="1">
        <v>33359</v>
      </c>
      <c r="B10">
        <v>9.44208706315945</v>
      </c>
      <c r="C10">
        <v>4484332253</v>
      </c>
      <c r="D10">
        <v>9.5843669112060805</v>
      </c>
      <c r="E10">
        <v>4295891605</v>
      </c>
      <c r="F10">
        <v>9.3374646238875503</v>
      </c>
      <c r="G10">
        <v>4367724838</v>
      </c>
      <c r="H10">
        <v>9.5117001863177304</v>
      </c>
      <c r="I10">
        <v>9.3374646238875503</v>
      </c>
      <c r="J10">
        <v>-0.17423556243017699</v>
      </c>
      <c r="W10" s="1">
        <v>33512</v>
      </c>
      <c r="X10">
        <v>-0.13616418451116799</v>
      </c>
      <c r="Y10">
        <v>-0.13569529792170101</v>
      </c>
      <c r="AB10" s="1">
        <v>33512</v>
      </c>
      <c r="AC10">
        <v>9.0499999999999901</v>
      </c>
      <c r="AD10">
        <v>8.9138358154888309</v>
      </c>
      <c r="AE10">
        <v>-0.13616418451116799</v>
      </c>
      <c r="AH10" s="1">
        <v>33420</v>
      </c>
      <c r="AI10" s="1">
        <v>33451</v>
      </c>
      <c r="AJ10" s="1">
        <v>33482</v>
      </c>
      <c r="AK10">
        <v>9.8187499999999996</v>
      </c>
      <c r="AL10">
        <v>-0.149909449972364</v>
      </c>
      <c r="AM10">
        <v>9.66884055002763</v>
      </c>
      <c r="AP10" s="1">
        <v>33359</v>
      </c>
      <c r="AQ10" s="1">
        <v>33390</v>
      </c>
      <c r="AR10" s="1">
        <v>33420</v>
      </c>
      <c r="AS10">
        <v>9.7119999999999997</v>
      </c>
      <c r="AT10">
        <v>-0.17423556243017699</v>
      </c>
      <c r="AU10">
        <v>9.5377644375698196</v>
      </c>
    </row>
    <row r="11" spans="1:47" x14ac:dyDescent="0.25">
      <c r="A11" s="1">
        <v>33390</v>
      </c>
      <c r="B11">
        <v>9.4924349590956805</v>
      </c>
      <c r="C11">
        <v>5661006468</v>
      </c>
      <c r="D11">
        <v>9.5552898090734395</v>
      </c>
      <c r="E11">
        <v>4477359627</v>
      </c>
      <c r="F11">
        <v>9.3387959608780502</v>
      </c>
      <c r="G11">
        <v>4174264165</v>
      </c>
      <c r="H11">
        <v>9.5201932551578405</v>
      </c>
      <c r="I11">
        <v>9.3387959608780502</v>
      </c>
      <c r="J11">
        <v>-0.18139729427979301</v>
      </c>
      <c r="W11" s="1">
        <v>33543</v>
      </c>
      <c r="X11">
        <v>-0.14283555599177999</v>
      </c>
      <c r="Y11">
        <v>-0.21426379131385001</v>
      </c>
      <c r="AB11" s="1">
        <v>33543</v>
      </c>
      <c r="AC11">
        <v>8.8949999999999996</v>
      </c>
      <c r="AD11">
        <v>8.7521644440082191</v>
      </c>
      <c r="AE11">
        <v>-0.14283555599177999</v>
      </c>
      <c r="AH11" s="1">
        <v>33451</v>
      </c>
      <c r="AI11" s="1">
        <v>33482</v>
      </c>
      <c r="AJ11" s="1">
        <v>33512</v>
      </c>
      <c r="AK11">
        <v>9.4689999999999994</v>
      </c>
      <c r="AL11">
        <v>-0.13301768116064799</v>
      </c>
      <c r="AM11">
        <v>9.3359823188393491</v>
      </c>
      <c r="AP11" s="1">
        <v>33390</v>
      </c>
      <c r="AQ11" s="1">
        <v>33420</v>
      </c>
      <c r="AR11" s="1">
        <v>33451</v>
      </c>
      <c r="AS11">
        <v>9.8837499999999991</v>
      </c>
      <c r="AT11">
        <v>-0.18139729427979301</v>
      </c>
      <c r="AU11">
        <v>9.7023527057201999</v>
      </c>
    </row>
    <row r="12" spans="1:47" x14ac:dyDescent="0.25">
      <c r="A12" s="1">
        <v>33420</v>
      </c>
      <c r="B12">
        <v>9.5090133070886704</v>
      </c>
      <c r="C12">
        <v>6294998706</v>
      </c>
      <c r="D12">
        <v>9.5763411568678798</v>
      </c>
      <c r="E12">
        <v>4376891731</v>
      </c>
      <c r="F12">
        <v>9.4425311698004695</v>
      </c>
      <c r="G12">
        <v>5314035861</v>
      </c>
      <c r="H12">
        <v>9.5366266630075902</v>
      </c>
      <c r="I12">
        <v>9.4425311698004695</v>
      </c>
      <c r="J12">
        <v>-9.4095493207123099E-2</v>
      </c>
      <c r="W12" s="1">
        <v>33573</v>
      </c>
      <c r="X12">
        <v>-0.13954626683517299</v>
      </c>
      <c r="Y12">
        <v>-0.161661559340151</v>
      </c>
      <c r="AB12" s="1">
        <v>33573</v>
      </c>
      <c r="AC12">
        <v>8.6912499999999895</v>
      </c>
      <c r="AD12">
        <v>8.5517037331648194</v>
      </c>
      <c r="AE12">
        <v>-0.13954626683517299</v>
      </c>
      <c r="AH12" s="1">
        <v>33482</v>
      </c>
      <c r="AI12" s="1">
        <v>33512</v>
      </c>
      <c r="AJ12" s="1">
        <v>33543</v>
      </c>
      <c r="AK12">
        <v>9.2262499999999896</v>
      </c>
      <c r="AL12">
        <v>-0.108552317478445</v>
      </c>
      <c r="AM12">
        <v>9.1176976825215501</v>
      </c>
      <c r="AP12" s="1">
        <v>33420</v>
      </c>
      <c r="AQ12" s="1">
        <v>33451</v>
      </c>
      <c r="AR12" s="1">
        <v>33482</v>
      </c>
      <c r="AS12">
        <v>9.8187499999999996</v>
      </c>
      <c r="AT12">
        <v>-9.4095493207123099E-2</v>
      </c>
      <c r="AU12">
        <v>9.72465450679287</v>
      </c>
    </row>
    <row r="13" spans="1:47" x14ac:dyDescent="0.25">
      <c r="A13" s="1">
        <v>33451</v>
      </c>
      <c r="B13">
        <v>9.5572982250278304</v>
      </c>
      <c r="C13">
        <v>4562711161</v>
      </c>
      <c r="D13">
        <v>9.6032472863202702</v>
      </c>
      <c r="E13">
        <v>2327504034</v>
      </c>
      <c r="F13">
        <v>9.4492594908561394</v>
      </c>
      <c r="G13">
        <v>2906090408</v>
      </c>
      <c r="H13">
        <v>9.5728197468511702</v>
      </c>
      <c r="I13">
        <v>9.4492594908561394</v>
      </c>
      <c r="J13">
        <v>-0.123560255995029</v>
      </c>
      <c r="W13" s="1">
        <v>33604</v>
      </c>
      <c r="X13">
        <v>-0.15887967518075199</v>
      </c>
      <c r="Y13">
        <v>-0.210095943280599</v>
      </c>
      <c r="AB13" s="1">
        <v>33604</v>
      </c>
      <c r="AC13">
        <v>8.6319999999999997</v>
      </c>
      <c r="AD13">
        <v>8.4731203248192397</v>
      </c>
      <c r="AE13">
        <v>-0.15887967518075199</v>
      </c>
      <c r="AH13" s="1">
        <v>33512</v>
      </c>
      <c r="AI13" s="1">
        <v>33543</v>
      </c>
      <c r="AJ13" s="1">
        <v>33573</v>
      </c>
      <c r="AK13">
        <v>9.0499999999999901</v>
      </c>
      <c r="AL13">
        <v>-0.122418919049971</v>
      </c>
      <c r="AM13">
        <v>8.92758108095002</v>
      </c>
      <c r="AP13" s="1">
        <v>33451</v>
      </c>
      <c r="AQ13" s="1">
        <v>33482</v>
      </c>
      <c r="AR13" s="1">
        <v>33512</v>
      </c>
      <c r="AS13">
        <v>9.4689999999999994</v>
      </c>
      <c r="AT13">
        <v>-0.123560255995029</v>
      </c>
      <c r="AU13">
        <v>9.3454397440049704</v>
      </c>
    </row>
    <row r="14" spans="1:47" x14ac:dyDescent="0.25">
      <c r="A14" s="1">
        <v>33482</v>
      </c>
      <c r="B14">
        <v>9.5608364278941202</v>
      </c>
      <c r="C14">
        <v>4446655254</v>
      </c>
      <c r="D14">
        <v>9.5119315886988893</v>
      </c>
      <c r="E14">
        <v>2212800832</v>
      </c>
      <c r="F14">
        <v>9.4365851484591392</v>
      </c>
      <c r="G14">
        <v>3112603483</v>
      </c>
      <c r="H14">
        <v>9.5445863516923204</v>
      </c>
      <c r="I14">
        <v>9.4365851484591392</v>
      </c>
      <c r="J14">
        <v>-0.108001203233183</v>
      </c>
      <c r="W14" s="1">
        <v>33635</v>
      </c>
      <c r="X14">
        <v>-0.16977974164933199</v>
      </c>
      <c r="Y14">
        <v>-0.188960654806508</v>
      </c>
      <c r="AB14" s="1">
        <v>33635</v>
      </c>
      <c r="AC14">
        <v>8.96875</v>
      </c>
      <c r="AD14">
        <v>8.7989702583506606</v>
      </c>
      <c r="AE14">
        <v>-0.16977974164933199</v>
      </c>
      <c r="AH14" s="1">
        <v>33543</v>
      </c>
      <c r="AI14" s="1">
        <v>33573</v>
      </c>
      <c r="AJ14" s="1">
        <v>33604</v>
      </c>
      <c r="AK14">
        <v>8.8949999999999996</v>
      </c>
      <c r="AL14">
        <v>-0.152653430822911</v>
      </c>
      <c r="AM14">
        <v>8.7423465691770801</v>
      </c>
      <c r="AP14" s="1">
        <v>33482</v>
      </c>
      <c r="AQ14" s="1">
        <v>33512</v>
      </c>
      <c r="AR14" s="1">
        <v>33543</v>
      </c>
      <c r="AS14">
        <v>9.2262499999999896</v>
      </c>
      <c r="AT14">
        <v>-0.108001203233183</v>
      </c>
      <c r="AU14">
        <v>9.1182487967668102</v>
      </c>
    </row>
    <row r="15" spans="1:47" x14ac:dyDescent="0.25">
      <c r="A15" s="1">
        <v>33512</v>
      </c>
      <c r="B15">
        <v>9.3947719362917006</v>
      </c>
      <c r="C15">
        <v>5186497553</v>
      </c>
      <c r="D15">
        <v>9.1729819781655895</v>
      </c>
      <c r="E15">
        <v>2812023675</v>
      </c>
      <c r="F15">
        <v>9.1811023984636808</v>
      </c>
      <c r="G15">
        <v>3397437808</v>
      </c>
      <c r="H15">
        <v>9.3167976963853807</v>
      </c>
      <c r="I15">
        <v>9.1811023984636808</v>
      </c>
      <c r="J15">
        <v>-0.13569529792170101</v>
      </c>
      <c r="W15" s="1">
        <v>33664</v>
      </c>
      <c r="X15">
        <v>-0.17673849205518899</v>
      </c>
      <c r="Y15">
        <v>-0.14975370566832699</v>
      </c>
      <c r="AB15" s="1">
        <v>33664</v>
      </c>
      <c r="AC15">
        <v>9.1474999999999902</v>
      </c>
      <c r="AD15">
        <v>8.9707615079448093</v>
      </c>
      <c r="AE15">
        <v>-0.17673849205518899</v>
      </c>
      <c r="AH15" s="1">
        <v>33573</v>
      </c>
      <c r="AI15" s="1">
        <v>33604</v>
      </c>
      <c r="AJ15" s="1">
        <v>33635</v>
      </c>
      <c r="AK15">
        <v>8.6912499999999895</v>
      </c>
      <c r="AL15">
        <v>-0.17054021619190099</v>
      </c>
      <c r="AM15">
        <v>8.5207097838080905</v>
      </c>
      <c r="AP15" s="1">
        <v>33512</v>
      </c>
      <c r="AQ15" s="1">
        <v>33543</v>
      </c>
      <c r="AR15" s="1">
        <v>33573</v>
      </c>
      <c r="AS15">
        <v>9.0499999999999901</v>
      </c>
      <c r="AT15">
        <v>-0.13569529792170101</v>
      </c>
      <c r="AU15">
        <v>8.9143047020782902</v>
      </c>
    </row>
    <row r="16" spans="1:47" x14ac:dyDescent="0.25">
      <c r="A16" s="1">
        <v>33543</v>
      </c>
      <c r="B16">
        <v>9.2517605185556597</v>
      </c>
      <c r="C16">
        <v>4260909762</v>
      </c>
      <c r="D16">
        <v>8.9391272343068398</v>
      </c>
      <c r="E16">
        <v>3765172813</v>
      </c>
      <c r="F16">
        <v>8.8908350985714097</v>
      </c>
      <c r="G16">
        <v>3137779287</v>
      </c>
      <c r="H16">
        <v>9.1050988898852605</v>
      </c>
      <c r="I16">
        <v>8.8908350985714097</v>
      </c>
      <c r="J16">
        <v>-0.21426379131385001</v>
      </c>
      <c r="W16" s="1">
        <v>33695</v>
      </c>
      <c r="X16">
        <v>-0.17723600481676099</v>
      </c>
      <c r="Y16">
        <v>-0.13868037449113399</v>
      </c>
      <c r="AB16" s="1">
        <v>33695</v>
      </c>
      <c r="AC16">
        <v>9.0250000000000004</v>
      </c>
      <c r="AD16">
        <v>8.8477639951832394</v>
      </c>
      <c r="AE16">
        <v>-0.17723600481676099</v>
      </c>
      <c r="AH16" s="1">
        <v>33604</v>
      </c>
      <c r="AI16" s="1">
        <v>33635</v>
      </c>
      <c r="AJ16" s="1">
        <v>33664</v>
      </c>
      <c r="AK16">
        <v>8.6319999999999997</v>
      </c>
      <c r="AL16">
        <v>-0.195340431311533</v>
      </c>
      <c r="AM16">
        <v>8.4366595686884605</v>
      </c>
      <c r="AP16" s="1">
        <v>33543</v>
      </c>
      <c r="AQ16" s="1">
        <v>33573</v>
      </c>
      <c r="AR16" s="1">
        <v>33604</v>
      </c>
      <c r="AS16">
        <v>8.8949999999999996</v>
      </c>
      <c r="AT16">
        <v>-0.21426379131385001</v>
      </c>
      <c r="AU16">
        <v>8.6807362086861399</v>
      </c>
    </row>
    <row r="17" spans="1:47" x14ac:dyDescent="0.25">
      <c r="A17" s="1">
        <v>33573</v>
      </c>
      <c r="B17">
        <v>8.9482004432100695</v>
      </c>
      <c r="C17">
        <v>5479855065</v>
      </c>
      <c r="D17">
        <v>8.7620403553839594</v>
      </c>
      <c r="E17">
        <v>4070082945</v>
      </c>
      <c r="F17">
        <v>8.7071994161469508</v>
      </c>
      <c r="G17">
        <v>2972591162</v>
      </c>
      <c r="H17">
        <v>8.8688609754871006</v>
      </c>
      <c r="I17">
        <v>8.7071994161469508</v>
      </c>
      <c r="J17">
        <v>-0.161661559340151</v>
      </c>
      <c r="W17" s="1">
        <v>33725</v>
      </c>
      <c r="X17">
        <v>-0.160962128483747</v>
      </c>
      <c r="Y17">
        <v>-0.116620533315761</v>
      </c>
      <c r="AB17" s="1">
        <v>33725</v>
      </c>
      <c r="AC17">
        <v>8.7925000000000004</v>
      </c>
      <c r="AD17">
        <v>8.6315378715162492</v>
      </c>
      <c r="AE17">
        <v>-0.160962128483747</v>
      </c>
      <c r="AH17" s="1">
        <v>33635</v>
      </c>
      <c r="AI17" s="1">
        <v>33664</v>
      </c>
      <c r="AJ17" s="1">
        <v>33695</v>
      </c>
      <c r="AK17">
        <v>8.96875</v>
      </c>
      <c r="AL17">
        <v>-0.18690605247575201</v>
      </c>
      <c r="AM17">
        <v>8.7818439475242407</v>
      </c>
      <c r="AP17" s="1">
        <v>33573</v>
      </c>
      <c r="AQ17" s="1">
        <v>33604</v>
      </c>
      <c r="AR17" s="1">
        <v>33635</v>
      </c>
      <c r="AS17">
        <v>8.6912499999999895</v>
      </c>
      <c r="AT17">
        <v>-0.161661559340151</v>
      </c>
      <c r="AU17">
        <v>8.5295884406598397</v>
      </c>
    </row>
    <row r="18" spans="1:47" x14ac:dyDescent="0.25">
      <c r="A18" s="1">
        <v>33604</v>
      </c>
      <c r="B18">
        <v>8.8378405036700691</v>
      </c>
      <c r="C18">
        <v>5637716745</v>
      </c>
      <c r="D18">
        <v>8.6892571437360395</v>
      </c>
      <c r="E18">
        <v>4065338756</v>
      </c>
      <c r="F18">
        <v>8.5654918306617809</v>
      </c>
      <c r="G18">
        <v>3355632951</v>
      </c>
      <c r="H18">
        <v>8.7755877739423802</v>
      </c>
      <c r="I18">
        <v>8.5654918306617809</v>
      </c>
      <c r="J18">
        <v>-0.210095943280599</v>
      </c>
      <c r="W18" s="1">
        <v>33756</v>
      </c>
      <c r="X18">
        <v>-0.14894613873258</v>
      </c>
      <c r="Y18">
        <v>-8.9565620833150297E-2</v>
      </c>
      <c r="AB18" s="1">
        <v>33756</v>
      </c>
      <c r="AC18">
        <v>8.6724999999999994</v>
      </c>
      <c r="AD18">
        <v>8.5235538612674198</v>
      </c>
      <c r="AE18">
        <v>-0.14894613873258</v>
      </c>
      <c r="AH18" s="1">
        <v>33664</v>
      </c>
      <c r="AI18" s="1">
        <v>33695</v>
      </c>
      <c r="AJ18" s="1">
        <v>33725</v>
      </c>
      <c r="AK18">
        <v>9.1474999999999902</v>
      </c>
      <c r="AL18">
        <v>-0.18293676791847799</v>
      </c>
      <c r="AM18">
        <v>8.9645632320815203</v>
      </c>
      <c r="AP18" s="1">
        <v>33604</v>
      </c>
      <c r="AQ18" s="1">
        <v>33635</v>
      </c>
      <c r="AR18" s="1">
        <v>33664</v>
      </c>
      <c r="AS18">
        <v>8.6319999999999997</v>
      </c>
      <c r="AT18">
        <v>-0.210095943280599</v>
      </c>
      <c r="AU18">
        <v>8.4219040567194003</v>
      </c>
    </row>
    <row r="19" spans="1:47" x14ac:dyDescent="0.25">
      <c r="A19" s="1">
        <v>33635</v>
      </c>
      <c r="B19">
        <v>8.6854109100272598</v>
      </c>
      <c r="C19">
        <v>6303186630</v>
      </c>
      <c r="D19">
        <v>8.3926522712781502</v>
      </c>
      <c r="E19">
        <v>3719077766</v>
      </c>
      <c r="F19">
        <v>8.3878129152788201</v>
      </c>
      <c r="G19">
        <v>3252335980</v>
      </c>
      <c r="H19">
        <v>8.5767735700853205</v>
      </c>
      <c r="I19">
        <v>8.3878129152788201</v>
      </c>
      <c r="J19">
        <v>-0.188960654806508</v>
      </c>
      <c r="W19" s="1">
        <v>33786</v>
      </c>
      <c r="X19">
        <v>-0.13055809222463099</v>
      </c>
      <c r="Y19">
        <v>-9.9767664232907394E-2</v>
      </c>
      <c r="AB19" s="1">
        <v>33786</v>
      </c>
      <c r="AC19">
        <v>8.2729999999999997</v>
      </c>
      <c r="AD19">
        <v>8.1424419077753605</v>
      </c>
      <c r="AE19">
        <v>-0.13055809222463099</v>
      </c>
      <c r="AH19" s="1">
        <v>33695</v>
      </c>
      <c r="AI19" s="1">
        <v>33725</v>
      </c>
      <c r="AJ19" s="1">
        <v>33756</v>
      </c>
      <c r="AK19">
        <v>9.0250000000000004</v>
      </c>
      <c r="AL19">
        <v>-0.15913157832199001</v>
      </c>
      <c r="AM19">
        <v>8.8658684216780106</v>
      </c>
      <c r="AP19" s="1">
        <v>33635</v>
      </c>
      <c r="AQ19" s="1">
        <v>33664</v>
      </c>
      <c r="AR19" s="1">
        <v>33695</v>
      </c>
      <c r="AS19">
        <v>8.96875</v>
      </c>
      <c r="AT19">
        <v>-0.188960654806508</v>
      </c>
      <c r="AU19">
        <v>8.7797893451934907</v>
      </c>
    </row>
    <row r="20" spans="1:47" x14ac:dyDescent="0.25">
      <c r="A20" s="1">
        <v>33664</v>
      </c>
      <c r="B20">
        <v>8.4996608698554308</v>
      </c>
      <c r="C20">
        <v>6937713523</v>
      </c>
      <c r="D20">
        <v>8.6038613302916005</v>
      </c>
      <c r="E20">
        <v>4499703340</v>
      </c>
      <c r="F20">
        <v>8.3909016619369403</v>
      </c>
      <c r="G20">
        <v>3401801567</v>
      </c>
      <c r="H20">
        <v>8.5406553676052699</v>
      </c>
      <c r="I20">
        <v>8.3909016619369403</v>
      </c>
      <c r="J20">
        <v>-0.14975370566832699</v>
      </c>
      <c r="W20" s="1">
        <v>33817</v>
      </c>
      <c r="X20">
        <v>-0.11112787675595701</v>
      </c>
      <c r="Y20">
        <v>-7.2379361994460698E-2</v>
      </c>
      <c r="AB20" s="1">
        <v>33817</v>
      </c>
      <c r="AC20">
        <v>8.1437500000000007</v>
      </c>
      <c r="AD20">
        <v>8.0326221232440407</v>
      </c>
      <c r="AE20">
        <v>-0.11112787675595701</v>
      </c>
      <c r="AH20" s="1">
        <v>33725</v>
      </c>
      <c r="AI20" s="1">
        <v>33756</v>
      </c>
      <c r="AJ20" s="1">
        <v>33786</v>
      </c>
      <c r="AK20">
        <v>8.7925000000000004</v>
      </c>
      <c r="AL20">
        <v>-0.13501820449174101</v>
      </c>
      <c r="AM20">
        <v>8.6574817955082501</v>
      </c>
      <c r="AP20" s="1">
        <v>33664</v>
      </c>
      <c r="AQ20" s="1">
        <v>33695</v>
      </c>
      <c r="AR20" s="1">
        <v>33725</v>
      </c>
      <c r="AS20">
        <v>9.1474999999999902</v>
      </c>
      <c r="AT20">
        <v>-0.14975370566832699</v>
      </c>
      <c r="AU20">
        <v>8.9977462943316695</v>
      </c>
    </row>
    <row r="21" spans="1:47" x14ac:dyDescent="0.25">
      <c r="A21" s="1">
        <v>33695</v>
      </c>
      <c r="B21">
        <v>8.5775218881702102</v>
      </c>
      <c r="C21">
        <v>7448752836</v>
      </c>
      <c r="D21">
        <v>8.8196945286471191</v>
      </c>
      <c r="E21">
        <v>6508439601</v>
      </c>
      <c r="F21">
        <v>8.5517700994726198</v>
      </c>
      <c r="G21">
        <v>4657046046</v>
      </c>
      <c r="H21">
        <v>8.6904504739637503</v>
      </c>
      <c r="I21">
        <v>8.5517700994726198</v>
      </c>
      <c r="J21">
        <v>-0.13868037449113399</v>
      </c>
      <c r="W21" s="1">
        <v>33848</v>
      </c>
      <c r="X21">
        <v>-9.4525629460654903E-2</v>
      </c>
      <c r="Y21">
        <v>-5.0140221896515402E-2</v>
      </c>
      <c r="AB21" s="1">
        <v>33848</v>
      </c>
      <c r="AC21">
        <v>8.0912500000000005</v>
      </c>
      <c r="AD21">
        <v>7.99672437053934</v>
      </c>
      <c r="AE21">
        <v>-9.4525629460654903E-2</v>
      </c>
      <c r="AH21" s="1">
        <v>33756</v>
      </c>
      <c r="AI21" s="1">
        <v>33786</v>
      </c>
      <c r="AJ21" s="1">
        <v>33817</v>
      </c>
      <c r="AK21">
        <v>8.6724999999999994</v>
      </c>
      <c r="AL21">
        <v>-0.114955509546682</v>
      </c>
      <c r="AM21">
        <v>8.55754449045331</v>
      </c>
      <c r="AP21" s="1">
        <v>33695</v>
      </c>
      <c r="AQ21" s="1">
        <v>33725</v>
      </c>
      <c r="AR21" s="1">
        <v>33756</v>
      </c>
      <c r="AS21">
        <v>9.0250000000000004</v>
      </c>
      <c r="AT21">
        <v>-0.13868037449113399</v>
      </c>
      <c r="AU21">
        <v>8.8863196255088592</v>
      </c>
    </row>
    <row r="22" spans="1:47" x14ac:dyDescent="0.25">
      <c r="A22" s="1">
        <v>33725</v>
      </c>
      <c r="B22">
        <v>8.7502212310297995</v>
      </c>
      <c r="C22">
        <v>8766731058</v>
      </c>
      <c r="D22">
        <v>8.8523865962274595</v>
      </c>
      <c r="E22">
        <v>5439361330</v>
      </c>
      <c r="F22">
        <v>8.6727187269048702</v>
      </c>
      <c r="G22">
        <v>4337631580</v>
      </c>
      <c r="H22">
        <v>8.7893392602206397</v>
      </c>
      <c r="I22">
        <v>8.6727187269048702</v>
      </c>
      <c r="J22">
        <v>-0.116620533315761</v>
      </c>
      <c r="W22" s="1">
        <v>33878</v>
      </c>
      <c r="X22">
        <v>-7.9544250541573505E-2</v>
      </c>
      <c r="Y22">
        <v>-4.8792100976645297E-2</v>
      </c>
      <c r="AB22" s="1">
        <v>33878</v>
      </c>
      <c r="AC22">
        <v>8.2880000000000003</v>
      </c>
      <c r="AD22">
        <v>8.2084557494584196</v>
      </c>
      <c r="AE22">
        <v>-7.9544250541573505E-2</v>
      </c>
      <c r="AH22" s="1">
        <v>33786</v>
      </c>
      <c r="AI22" s="1">
        <v>33817</v>
      </c>
      <c r="AJ22" s="1">
        <v>33848</v>
      </c>
      <c r="AK22">
        <v>8.2729999999999997</v>
      </c>
      <c r="AL22">
        <v>-0.101984606127273</v>
      </c>
      <c r="AM22">
        <v>8.1710153938727199</v>
      </c>
      <c r="AP22" s="1">
        <v>33725</v>
      </c>
      <c r="AQ22" s="1">
        <v>33756</v>
      </c>
      <c r="AR22" s="1">
        <v>33786</v>
      </c>
      <c r="AS22">
        <v>8.7925000000000004</v>
      </c>
      <c r="AT22">
        <v>-0.116620533315761</v>
      </c>
      <c r="AU22">
        <v>8.6758794666842292</v>
      </c>
    </row>
    <row r="23" spans="1:47" x14ac:dyDescent="0.25">
      <c r="A23" s="1">
        <v>33756</v>
      </c>
      <c r="B23">
        <v>8.8261403194305394</v>
      </c>
      <c r="C23">
        <v>7595443994</v>
      </c>
      <c r="D23">
        <v>8.7944736048922394</v>
      </c>
      <c r="E23">
        <v>4755842490</v>
      </c>
      <c r="F23">
        <v>8.7243814823915304</v>
      </c>
      <c r="G23">
        <v>4238451944</v>
      </c>
      <c r="H23">
        <v>8.8139471032246792</v>
      </c>
      <c r="I23">
        <v>8.7243814823915304</v>
      </c>
      <c r="J23">
        <v>-8.9565620833150297E-2</v>
      </c>
      <c r="W23" s="1">
        <v>33909</v>
      </c>
      <c r="X23">
        <v>-7.1261262942084597E-2</v>
      </c>
      <c r="Y23">
        <v>-6.6922607718828395E-2</v>
      </c>
      <c r="AB23" s="1">
        <v>33909</v>
      </c>
      <c r="AC23">
        <v>8.5299999999999994</v>
      </c>
      <c r="AD23">
        <v>8.4587387370579101</v>
      </c>
      <c r="AE23">
        <v>-7.1261262942084597E-2</v>
      </c>
      <c r="AH23" s="1">
        <v>33817</v>
      </c>
      <c r="AI23" s="1">
        <v>33848</v>
      </c>
      <c r="AJ23" s="1">
        <v>33878</v>
      </c>
      <c r="AK23">
        <v>8.1437500000000007</v>
      </c>
      <c r="AL23">
        <v>-8.7237549020172805E-2</v>
      </c>
      <c r="AM23">
        <v>8.0565124509798203</v>
      </c>
      <c r="AP23" s="1">
        <v>33756</v>
      </c>
      <c r="AQ23" s="1">
        <v>33786</v>
      </c>
      <c r="AR23" s="1">
        <v>33817</v>
      </c>
      <c r="AS23">
        <v>8.6724999999999994</v>
      </c>
      <c r="AT23">
        <v>-8.9565620833150297E-2</v>
      </c>
      <c r="AU23">
        <v>8.58293437916684</v>
      </c>
    </row>
    <row r="24" spans="1:47" x14ac:dyDescent="0.25">
      <c r="A24" s="1">
        <v>33786</v>
      </c>
      <c r="B24">
        <v>8.7952297753513609</v>
      </c>
      <c r="C24">
        <v>7885356955</v>
      </c>
      <c r="D24">
        <v>8.6801876736514103</v>
      </c>
      <c r="E24">
        <v>4391774145</v>
      </c>
      <c r="F24">
        <v>8.6543092616687698</v>
      </c>
      <c r="G24">
        <v>4915875776</v>
      </c>
      <c r="H24">
        <v>8.7540769259016802</v>
      </c>
      <c r="I24">
        <v>8.6543092616687698</v>
      </c>
      <c r="J24">
        <v>-9.9767664232907394E-2</v>
      </c>
      <c r="W24" s="1">
        <v>33939</v>
      </c>
      <c r="X24">
        <v>-4.8210745482022602E-2</v>
      </c>
      <c r="Y24">
        <v>4.8737483927221298E-2</v>
      </c>
      <c r="AB24" s="1">
        <v>33939</v>
      </c>
      <c r="AC24">
        <v>8.3610000000000007</v>
      </c>
      <c r="AD24">
        <v>8.3127892545179698</v>
      </c>
      <c r="AE24">
        <v>-4.8210745482022602E-2</v>
      </c>
      <c r="AH24" s="1">
        <v>33848</v>
      </c>
      <c r="AI24" s="1">
        <v>33878</v>
      </c>
      <c r="AJ24" s="1">
        <v>33909</v>
      </c>
      <c r="AK24">
        <v>8.0912500000000005</v>
      </c>
      <c r="AL24">
        <v>-7.4095749374627803E-2</v>
      </c>
      <c r="AM24">
        <v>8.0171542506253708</v>
      </c>
      <c r="AP24" s="1">
        <v>33786</v>
      </c>
      <c r="AQ24" s="1">
        <v>33817</v>
      </c>
      <c r="AR24" s="1">
        <v>33848</v>
      </c>
      <c r="AS24">
        <v>8.2729999999999997</v>
      </c>
      <c r="AT24">
        <v>-9.9767664232907394E-2</v>
      </c>
      <c r="AU24">
        <v>8.1732323357670893</v>
      </c>
    </row>
    <row r="25" spans="1:47" x14ac:dyDescent="0.25">
      <c r="A25" s="1">
        <v>33817</v>
      </c>
      <c r="B25">
        <v>8.6559700528522399</v>
      </c>
      <c r="C25">
        <v>7527503247</v>
      </c>
      <c r="D25">
        <v>8.3640231638241307</v>
      </c>
      <c r="E25">
        <v>5471384227</v>
      </c>
      <c r="F25">
        <v>8.4607068204538596</v>
      </c>
      <c r="G25">
        <v>4598479900</v>
      </c>
      <c r="H25">
        <v>8.5330861824483204</v>
      </c>
      <c r="I25">
        <v>8.4607068204538596</v>
      </c>
      <c r="J25">
        <v>-7.2379361994460698E-2</v>
      </c>
      <c r="W25" s="1">
        <v>33970</v>
      </c>
      <c r="X25">
        <v>-2.7779706264426E-2</v>
      </c>
      <c r="Y25">
        <v>2.2818571072672E-2</v>
      </c>
      <c r="AB25" s="1">
        <v>33970</v>
      </c>
      <c r="AC25">
        <v>8.1425000000000001</v>
      </c>
      <c r="AD25">
        <v>8.1147202937355694</v>
      </c>
      <c r="AE25">
        <v>-2.7779706264426E-2</v>
      </c>
      <c r="AH25" s="1">
        <v>33878</v>
      </c>
      <c r="AI25" s="1">
        <v>33909</v>
      </c>
      <c r="AJ25" s="1">
        <v>33939</v>
      </c>
      <c r="AK25">
        <v>8.2880000000000003</v>
      </c>
      <c r="AL25">
        <v>-5.7103894955873799E-2</v>
      </c>
      <c r="AM25">
        <v>8.2308961050441205</v>
      </c>
      <c r="AP25" s="1">
        <v>33817</v>
      </c>
      <c r="AQ25" s="1">
        <v>33848</v>
      </c>
      <c r="AR25" s="1">
        <v>33878</v>
      </c>
      <c r="AS25">
        <v>8.1437500000000007</v>
      </c>
      <c r="AT25">
        <v>-7.2379361994460698E-2</v>
      </c>
      <c r="AU25">
        <v>8.0713706380055399</v>
      </c>
    </row>
    <row r="26" spans="1:47" x14ac:dyDescent="0.25">
      <c r="A26" s="1">
        <v>33848</v>
      </c>
      <c r="B26">
        <v>8.3866061423600797</v>
      </c>
      <c r="C26">
        <v>6434226490</v>
      </c>
      <c r="D26">
        <v>8.1400685994739792</v>
      </c>
      <c r="E26">
        <v>5770284479</v>
      </c>
      <c r="F26">
        <v>8.2199031379956793</v>
      </c>
      <c r="G26">
        <v>5109036340</v>
      </c>
      <c r="H26">
        <v>8.2700433598922007</v>
      </c>
      <c r="I26">
        <v>8.2199031379956793</v>
      </c>
      <c r="J26">
        <v>-5.0140221896515402E-2</v>
      </c>
      <c r="W26" s="1">
        <v>34001</v>
      </c>
      <c r="X26">
        <v>-5.4740009347197301E-3</v>
      </c>
      <c r="Y26">
        <v>6.1454869983777298E-2</v>
      </c>
      <c r="AB26" s="1">
        <v>34001</v>
      </c>
      <c r="AC26">
        <v>7.8137499999999998</v>
      </c>
      <c r="AD26">
        <v>7.8082759990652804</v>
      </c>
      <c r="AE26">
        <v>-5.4740009347197301E-3</v>
      </c>
      <c r="AH26" s="1">
        <v>33909</v>
      </c>
      <c r="AI26" s="1">
        <v>33939</v>
      </c>
      <c r="AJ26" s="1">
        <v>33970</v>
      </c>
      <c r="AK26">
        <v>8.5299999999999994</v>
      </c>
      <c r="AL26">
        <v>-5.5284976863996298E-2</v>
      </c>
      <c r="AM26">
        <v>8.4747150231359996</v>
      </c>
      <c r="AP26" s="1">
        <v>33848</v>
      </c>
      <c r="AQ26" s="1">
        <v>33878</v>
      </c>
      <c r="AR26" s="1">
        <v>33909</v>
      </c>
      <c r="AS26">
        <v>8.0912500000000005</v>
      </c>
      <c r="AT26">
        <v>-5.0140221896515402E-2</v>
      </c>
      <c r="AU26">
        <v>8.0411097781034808</v>
      </c>
    </row>
    <row r="27" spans="1:47" x14ac:dyDescent="0.25">
      <c r="A27" s="1">
        <v>33878</v>
      </c>
      <c r="B27">
        <v>8.1790219977225807</v>
      </c>
      <c r="C27">
        <v>8149415072</v>
      </c>
      <c r="D27">
        <v>8.0613285120479805</v>
      </c>
      <c r="E27">
        <v>6417390059</v>
      </c>
      <c r="F27">
        <v>8.0783801604321095</v>
      </c>
      <c r="G27">
        <v>5545083796</v>
      </c>
      <c r="H27">
        <v>8.1271722614087594</v>
      </c>
      <c r="I27">
        <v>8.0783801604321095</v>
      </c>
      <c r="J27">
        <v>-4.8792100976645297E-2</v>
      </c>
      <c r="W27" s="1">
        <v>34029</v>
      </c>
      <c r="X27">
        <v>1.35955499420513E-2</v>
      </c>
      <c r="Y27">
        <v>6.4277083364110907E-2</v>
      </c>
      <c r="AB27" s="1">
        <v>34029</v>
      </c>
      <c r="AC27">
        <v>7.6512500000000001</v>
      </c>
      <c r="AD27">
        <v>7.6648455499420498</v>
      </c>
      <c r="AE27">
        <v>1.35955499420513E-2</v>
      </c>
      <c r="AH27" s="1">
        <v>33939</v>
      </c>
      <c r="AI27" s="1">
        <v>33970</v>
      </c>
      <c r="AJ27" s="1">
        <v>34001</v>
      </c>
      <c r="AK27">
        <v>8.3610000000000007</v>
      </c>
      <c r="AL27">
        <v>-2.23257415894174E-2</v>
      </c>
      <c r="AM27">
        <v>8.3386742584105793</v>
      </c>
      <c r="AP27" s="1">
        <v>33878</v>
      </c>
      <c r="AQ27" s="1">
        <v>33909</v>
      </c>
      <c r="AR27" s="1">
        <v>33939</v>
      </c>
      <c r="AS27">
        <v>8.2880000000000003</v>
      </c>
      <c r="AT27">
        <v>-4.8792100976645297E-2</v>
      </c>
      <c r="AU27">
        <v>8.2392078990233504</v>
      </c>
    </row>
    <row r="28" spans="1:47" x14ac:dyDescent="0.25">
      <c r="A28" s="1">
        <v>33909</v>
      </c>
      <c r="B28">
        <v>8.0656677732671902</v>
      </c>
      <c r="C28">
        <v>9488154687</v>
      </c>
      <c r="D28">
        <v>8.1034377831680402</v>
      </c>
      <c r="E28">
        <v>6031457191</v>
      </c>
      <c r="F28">
        <v>8.0134238958936503</v>
      </c>
      <c r="G28">
        <v>6070228338</v>
      </c>
      <c r="H28">
        <v>8.0803465036124695</v>
      </c>
      <c r="I28">
        <v>8.0134238958936503</v>
      </c>
      <c r="J28">
        <v>-6.6922607718828395E-2</v>
      </c>
      <c r="W28" s="1">
        <v>34060</v>
      </c>
      <c r="X28">
        <v>3.9327421963513298E-2</v>
      </c>
      <c r="Y28">
        <v>0.10559913115212601</v>
      </c>
      <c r="AB28" s="1">
        <v>34060</v>
      </c>
      <c r="AC28">
        <v>7.6470000000000002</v>
      </c>
      <c r="AD28">
        <v>7.6863274219635098</v>
      </c>
      <c r="AE28">
        <v>3.9327421963513298E-2</v>
      </c>
      <c r="AH28" s="1">
        <v>33970</v>
      </c>
      <c r="AI28" s="1">
        <v>34001</v>
      </c>
      <c r="AJ28" s="1">
        <v>34029</v>
      </c>
      <c r="AK28">
        <v>8.1425000000000001</v>
      </c>
      <c r="AL28">
        <v>1.54448242702165E-3</v>
      </c>
      <c r="AM28">
        <v>8.1440444824270202</v>
      </c>
      <c r="AP28" s="1">
        <v>33909</v>
      </c>
      <c r="AQ28" s="1">
        <v>33939</v>
      </c>
      <c r="AR28" s="1">
        <v>33970</v>
      </c>
      <c r="AS28">
        <v>8.5299999999999994</v>
      </c>
      <c r="AT28">
        <v>-6.6922607718828395E-2</v>
      </c>
      <c r="AU28">
        <v>8.4630773922811695</v>
      </c>
    </row>
    <row r="29" spans="1:47" x14ac:dyDescent="0.25">
      <c r="A29" s="1">
        <v>33939</v>
      </c>
      <c r="B29">
        <v>8.0667525707922607</v>
      </c>
      <c r="C29">
        <v>11172781400</v>
      </c>
      <c r="D29">
        <v>8.2350694271808607</v>
      </c>
      <c r="E29">
        <v>6328579377</v>
      </c>
      <c r="F29">
        <v>8.1763542697776703</v>
      </c>
      <c r="G29">
        <v>5613177548</v>
      </c>
      <c r="H29">
        <v>8.1276167858504493</v>
      </c>
      <c r="I29">
        <v>8.1763542697776703</v>
      </c>
      <c r="J29">
        <v>4.8737483927221298E-2</v>
      </c>
      <c r="W29" s="1">
        <v>34090</v>
      </c>
      <c r="X29">
        <v>6.8291684470129801E-2</v>
      </c>
      <c r="Y29">
        <v>0.10686296732087</v>
      </c>
      <c r="AB29" s="1">
        <v>34090</v>
      </c>
      <c r="AC29">
        <v>7.6587500000000004</v>
      </c>
      <c r="AD29">
        <v>7.7270416844701204</v>
      </c>
      <c r="AE29">
        <v>6.8291684470129801E-2</v>
      </c>
      <c r="AH29" s="1">
        <v>34001</v>
      </c>
      <c r="AI29" s="1">
        <v>34029</v>
      </c>
      <c r="AJ29" s="1">
        <v>34060</v>
      </c>
      <c r="AK29">
        <v>7.8137499999999998</v>
      </c>
      <c r="AL29">
        <v>4.4336974994556903E-2</v>
      </c>
      <c r="AM29">
        <v>7.8580869749945501</v>
      </c>
      <c r="AP29" s="1">
        <v>33939</v>
      </c>
      <c r="AQ29" s="1">
        <v>33970</v>
      </c>
      <c r="AR29" s="1">
        <v>34001</v>
      </c>
      <c r="AS29">
        <v>8.3610000000000007</v>
      </c>
      <c r="AT29">
        <v>4.8737483927221298E-2</v>
      </c>
      <c r="AU29">
        <v>8.4097374839272199</v>
      </c>
    </row>
    <row r="30" spans="1:47" x14ac:dyDescent="0.25">
      <c r="A30" s="1">
        <v>33970</v>
      </c>
      <c r="B30">
        <v>8.1965143808576109</v>
      </c>
      <c r="C30">
        <v>8493389840</v>
      </c>
      <c r="D30">
        <v>8.5089274492679294</v>
      </c>
      <c r="E30">
        <v>3736351065</v>
      </c>
      <c r="F30">
        <v>8.31477936489539</v>
      </c>
      <c r="G30">
        <v>5457622132</v>
      </c>
      <c r="H30">
        <v>8.2919607938227209</v>
      </c>
      <c r="I30">
        <v>8.31477936489539</v>
      </c>
      <c r="J30">
        <v>2.2818571072672E-2</v>
      </c>
      <c r="W30" s="1">
        <v>34121</v>
      </c>
      <c r="X30">
        <v>8.8625429918295306E-2</v>
      </c>
      <c r="Y30">
        <v>0.17073995661621399</v>
      </c>
      <c r="AB30" s="1">
        <v>34121</v>
      </c>
      <c r="AC30">
        <v>7.5737500000000004</v>
      </c>
      <c r="AD30">
        <v>7.6623754299182902</v>
      </c>
      <c r="AE30">
        <v>8.8625429918295306E-2</v>
      </c>
      <c r="AH30" s="1">
        <v>34029</v>
      </c>
      <c r="AI30" s="1">
        <v>34060</v>
      </c>
      <c r="AJ30" s="1">
        <v>34090</v>
      </c>
      <c r="AK30">
        <v>7.6512500000000001</v>
      </c>
      <c r="AL30">
        <v>4.9516841473520097E-2</v>
      </c>
      <c r="AM30">
        <v>7.70076684147352</v>
      </c>
      <c r="AP30" s="1">
        <v>33970</v>
      </c>
      <c r="AQ30" s="1">
        <v>34001</v>
      </c>
      <c r="AR30" s="1">
        <v>34029</v>
      </c>
      <c r="AS30">
        <v>8.1425000000000001</v>
      </c>
      <c r="AT30">
        <v>2.2818571072672E-2</v>
      </c>
      <c r="AU30">
        <v>8.1653185710726692</v>
      </c>
    </row>
    <row r="31" spans="1:47" x14ac:dyDescent="0.25">
      <c r="A31" s="1">
        <v>34001</v>
      </c>
      <c r="B31">
        <v>8.3150777835801701</v>
      </c>
      <c r="C31">
        <v>8093244661</v>
      </c>
      <c r="D31">
        <v>8.1963280815849</v>
      </c>
      <c r="E31">
        <v>3880183005</v>
      </c>
      <c r="F31">
        <v>8.3380498908677403</v>
      </c>
      <c r="G31">
        <v>4141941067</v>
      </c>
      <c r="H31">
        <v>8.2765950208839705</v>
      </c>
      <c r="I31">
        <v>8.3380498908677403</v>
      </c>
      <c r="J31">
        <v>6.1454869983777298E-2</v>
      </c>
      <c r="W31" s="1">
        <v>34151</v>
      </c>
      <c r="X31">
        <v>0.112332969987873</v>
      </c>
      <c r="Y31">
        <v>0.16506381149014299</v>
      </c>
      <c r="AB31" s="1">
        <v>34151</v>
      </c>
      <c r="AC31">
        <v>7.3609999999999998</v>
      </c>
      <c r="AD31">
        <v>7.4733329699878697</v>
      </c>
      <c r="AE31">
        <v>0.112332969987873</v>
      </c>
      <c r="AH31" s="1">
        <v>34060</v>
      </c>
      <c r="AI31" s="1">
        <v>34090</v>
      </c>
      <c r="AJ31" s="1">
        <v>34121</v>
      </c>
      <c r="AK31">
        <v>7.6470000000000002</v>
      </c>
      <c r="AL31">
        <v>7.7110361500004998E-2</v>
      </c>
      <c r="AM31">
        <v>7.7241103615000002</v>
      </c>
      <c r="AP31" s="1">
        <v>34001</v>
      </c>
      <c r="AQ31" s="1">
        <v>34029</v>
      </c>
      <c r="AR31" s="1">
        <v>34060</v>
      </c>
      <c r="AS31">
        <v>7.8137499999999998</v>
      </c>
      <c r="AT31">
        <v>6.1454869983777298E-2</v>
      </c>
      <c r="AU31">
        <v>7.8752048699837696</v>
      </c>
    </row>
    <row r="32" spans="1:47" x14ac:dyDescent="0.25">
      <c r="A32" s="1">
        <v>34029</v>
      </c>
      <c r="B32">
        <v>8.2567883162723295</v>
      </c>
      <c r="C32">
        <v>5315078799</v>
      </c>
      <c r="D32">
        <v>7.9332186916507403</v>
      </c>
      <c r="E32">
        <v>3439539829</v>
      </c>
      <c r="F32">
        <v>8.1939404318187599</v>
      </c>
      <c r="G32">
        <v>4632201761</v>
      </c>
      <c r="H32">
        <v>8.1296633484546508</v>
      </c>
      <c r="I32">
        <v>8.1939404318187599</v>
      </c>
      <c r="J32">
        <v>6.4277083364110907E-2</v>
      </c>
      <c r="W32" s="1">
        <v>34182</v>
      </c>
      <c r="X32">
        <v>0.13209850377851001</v>
      </c>
      <c r="Y32">
        <v>0.18004807272759701</v>
      </c>
      <c r="AB32" s="1">
        <v>34182</v>
      </c>
      <c r="AC32">
        <v>7.2312500000000002</v>
      </c>
      <c r="AD32">
        <v>7.3633485037785098</v>
      </c>
      <c r="AE32">
        <v>0.13209850377851001</v>
      </c>
      <c r="AH32" s="1">
        <v>34090</v>
      </c>
      <c r="AI32" s="1">
        <v>34121</v>
      </c>
      <c r="AJ32" s="1">
        <v>34151</v>
      </c>
      <c r="AK32">
        <v>7.6587500000000004</v>
      </c>
      <c r="AL32">
        <v>9.2246393945702707E-2</v>
      </c>
      <c r="AM32">
        <v>7.7509963939456998</v>
      </c>
      <c r="AP32" s="1">
        <v>34029</v>
      </c>
      <c r="AQ32" s="1">
        <v>34060</v>
      </c>
      <c r="AR32" s="1">
        <v>34090</v>
      </c>
      <c r="AS32">
        <v>7.6512500000000001</v>
      </c>
      <c r="AT32">
        <v>6.4277083364110907E-2</v>
      </c>
      <c r="AU32">
        <v>7.7155270833641101</v>
      </c>
    </row>
    <row r="33" spans="1:47" x14ac:dyDescent="0.25">
      <c r="A33" s="1">
        <v>34060</v>
      </c>
      <c r="B33">
        <v>8.0145455492607507</v>
      </c>
      <c r="C33">
        <v>4614844523</v>
      </c>
      <c r="D33">
        <v>7.7019897620938904</v>
      </c>
      <c r="E33">
        <v>5929494308</v>
      </c>
      <c r="F33">
        <v>7.9443823314745297</v>
      </c>
      <c r="G33">
        <v>6523395776</v>
      </c>
      <c r="H33">
        <v>7.8387832003223998</v>
      </c>
      <c r="I33">
        <v>7.9443823314745297</v>
      </c>
      <c r="J33">
        <v>0.10559913115212601</v>
      </c>
      <c r="W33" s="1">
        <v>34213</v>
      </c>
      <c r="X33">
        <v>0.14698802114634099</v>
      </c>
      <c r="Y33">
        <v>0.15361418757109499</v>
      </c>
      <c r="AB33" s="1">
        <v>34213</v>
      </c>
      <c r="AC33">
        <v>7.0349999999999904</v>
      </c>
      <c r="AD33">
        <v>7.1819880211463403</v>
      </c>
      <c r="AE33">
        <v>0.14698802114634099</v>
      </c>
      <c r="AH33" s="1">
        <v>34121</v>
      </c>
      <c r="AI33" s="1">
        <v>34151</v>
      </c>
      <c r="AJ33" s="1">
        <v>34182</v>
      </c>
      <c r="AK33">
        <v>7.5737500000000004</v>
      </c>
      <c r="AL33">
        <v>0.12773401836307</v>
      </c>
      <c r="AM33">
        <v>7.7014840183630699</v>
      </c>
      <c r="AP33" s="1">
        <v>34060</v>
      </c>
      <c r="AQ33" s="1">
        <v>34090</v>
      </c>
      <c r="AR33" s="1">
        <v>34121</v>
      </c>
      <c r="AS33">
        <v>7.6470000000000002</v>
      </c>
      <c r="AT33">
        <v>0.10559913115212601</v>
      </c>
      <c r="AU33">
        <v>7.7525991311521203</v>
      </c>
    </row>
    <row r="34" spans="1:47" x14ac:dyDescent="0.25">
      <c r="A34" s="1">
        <v>34090</v>
      </c>
      <c r="B34">
        <v>7.7524703837214997</v>
      </c>
      <c r="C34">
        <v>7198694885</v>
      </c>
      <c r="D34">
        <v>7.6379752252310897</v>
      </c>
      <c r="E34">
        <v>8270664514</v>
      </c>
      <c r="F34">
        <v>7.7981187254120004</v>
      </c>
      <c r="G34">
        <v>8404654228</v>
      </c>
      <c r="H34">
        <v>7.6912557580911303</v>
      </c>
      <c r="I34">
        <v>7.7981187254120004</v>
      </c>
      <c r="J34">
        <v>0.10686296732087</v>
      </c>
      <c r="W34" s="1">
        <v>34243</v>
      </c>
      <c r="X34">
        <v>0.150560712408842</v>
      </c>
      <c r="Y34">
        <v>0.12703527872713499</v>
      </c>
      <c r="AB34" s="1">
        <v>34243</v>
      </c>
      <c r="AC34">
        <v>6.9450000000000003</v>
      </c>
      <c r="AD34">
        <v>7.0955607124088402</v>
      </c>
      <c r="AE34">
        <v>0.150560712408842</v>
      </c>
      <c r="AH34" s="1">
        <v>34151</v>
      </c>
      <c r="AI34" s="1">
        <v>34182</v>
      </c>
      <c r="AJ34" s="1">
        <v>34213</v>
      </c>
      <c r="AK34">
        <v>7.3609999999999998</v>
      </c>
      <c r="AL34">
        <v>0.14755557847574199</v>
      </c>
      <c r="AM34">
        <v>7.5085555784757396</v>
      </c>
      <c r="AP34" s="1">
        <v>34090</v>
      </c>
      <c r="AQ34" s="1">
        <v>34121</v>
      </c>
      <c r="AR34" s="1">
        <v>34151</v>
      </c>
      <c r="AS34">
        <v>7.6587500000000004</v>
      </c>
      <c r="AT34">
        <v>0.10686296732087</v>
      </c>
      <c r="AU34">
        <v>7.7656129673208696</v>
      </c>
    </row>
    <row r="35" spans="1:47" x14ac:dyDescent="0.25">
      <c r="A35" s="1">
        <v>34121</v>
      </c>
      <c r="B35">
        <v>7.6297950896321796</v>
      </c>
      <c r="C35">
        <v>9685790432</v>
      </c>
      <c r="D35">
        <v>7.5722584487832902</v>
      </c>
      <c r="E35">
        <v>5813345371</v>
      </c>
      <c r="F35">
        <v>7.7789544646602904</v>
      </c>
      <c r="G35">
        <v>9132194855</v>
      </c>
      <c r="H35">
        <v>7.6082145080440702</v>
      </c>
      <c r="I35">
        <v>7.7789544646602904</v>
      </c>
      <c r="J35">
        <v>0.17073995661621399</v>
      </c>
      <c r="W35" s="1">
        <v>34274</v>
      </c>
      <c r="X35">
        <v>0.161517344487353</v>
      </c>
      <c r="Y35">
        <v>0.17260275979193501</v>
      </c>
      <c r="AB35" s="1">
        <v>34274</v>
      </c>
      <c r="AC35">
        <v>7.2925000000000004</v>
      </c>
      <c r="AD35">
        <v>7.4540173444873501</v>
      </c>
      <c r="AE35">
        <v>0.161517344487353</v>
      </c>
      <c r="AH35" s="1">
        <v>34182</v>
      </c>
      <c r="AI35" s="1">
        <v>34213</v>
      </c>
      <c r="AJ35" s="1">
        <v>34243</v>
      </c>
      <c r="AK35">
        <v>7.2312500000000002</v>
      </c>
      <c r="AL35">
        <v>0.171950613611318</v>
      </c>
      <c r="AM35">
        <v>7.4032006136113102</v>
      </c>
      <c r="AP35" s="1">
        <v>34121</v>
      </c>
      <c r="AQ35" s="1">
        <v>34151</v>
      </c>
      <c r="AR35" s="1">
        <v>34182</v>
      </c>
      <c r="AS35">
        <v>7.5737500000000004</v>
      </c>
      <c r="AT35">
        <v>0.17073995661621399</v>
      </c>
      <c r="AU35">
        <v>7.74448995661621</v>
      </c>
    </row>
    <row r="36" spans="1:47" x14ac:dyDescent="0.25">
      <c r="A36" s="1">
        <v>34151</v>
      </c>
      <c r="B36">
        <v>7.5989909103730602</v>
      </c>
      <c r="C36">
        <v>10814842536</v>
      </c>
      <c r="D36">
        <v>7.5975703747532801</v>
      </c>
      <c r="E36">
        <v>8834606283</v>
      </c>
      <c r="F36">
        <v>7.7634160335708602</v>
      </c>
      <c r="G36">
        <v>9131965952</v>
      </c>
      <c r="H36">
        <v>7.5983522220807096</v>
      </c>
      <c r="I36">
        <v>7.7634160335708602</v>
      </c>
      <c r="J36">
        <v>0.16506381149014299</v>
      </c>
      <c r="W36" s="1">
        <v>34304</v>
      </c>
      <c r="X36">
        <v>0.165309212118563</v>
      </c>
      <c r="Y36">
        <v>0.193491162403475</v>
      </c>
      <c r="AB36" s="1">
        <v>34304</v>
      </c>
      <c r="AC36">
        <v>7.33699999999999</v>
      </c>
      <c r="AD36">
        <v>7.5023092121185604</v>
      </c>
      <c r="AE36">
        <v>0.165309212118563</v>
      </c>
      <c r="AH36" s="1">
        <v>34213</v>
      </c>
      <c r="AI36" s="1">
        <v>34243</v>
      </c>
      <c r="AJ36" s="1">
        <v>34274</v>
      </c>
      <c r="AK36">
        <v>7.0349999999999904</v>
      </c>
      <c r="AL36">
        <v>0.16624202392961099</v>
      </c>
      <c r="AM36">
        <v>7.20124202392961</v>
      </c>
      <c r="AP36" s="1">
        <v>34151</v>
      </c>
      <c r="AQ36" s="1">
        <v>34182</v>
      </c>
      <c r="AR36" s="1">
        <v>34213</v>
      </c>
      <c r="AS36">
        <v>7.3609999999999998</v>
      </c>
      <c r="AT36">
        <v>0.16506381149014299</v>
      </c>
      <c r="AU36">
        <v>7.5260638114901397</v>
      </c>
    </row>
    <row r="37" spans="1:47" x14ac:dyDescent="0.25">
      <c r="A37" s="1">
        <v>34182</v>
      </c>
      <c r="B37">
        <v>7.5631900052540697</v>
      </c>
      <c r="C37">
        <v>13401817657</v>
      </c>
      <c r="D37">
        <v>7.49369874047194</v>
      </c>
      <c r="E37">
        <v>7790558583</v>
      </c>
      <c r="F37">
        <v>7.7176922985390499</v>
      </c>
      <c r="G37">
        <v>8846710983</v>
      </c>
      <c r="H37">
        <v>7.5376442258114604</v>
      </c>
      <c r="I37">
        <v>7.7176922985390499</v>
      </c>
      <c r="J37">
        <v>0.18004807272759701</v>
      </c>
      <c r="W37" s="1">
        <v>34335</v>
      </c>
      <c r="X37">
        <v>0.18074908891573599</v>
      </c>
      <c r="Y37">
        <v>0.25770307227317701</v>
      </c>
      <c r="AB37" s="1">
        <v>34335</v>
      </c>
      <c r="AC37">
        <v>7.2287499999999998</v>
      </c>
      <c r="AD37">
        <v>7.4094990889157302</v>
      </c>
      <c r="AE37">
        <v>0.18074908891573599</v>
      </c>
      <c r="AH37" s="1">
        <v>34243</v>
      </c>
      <c r="AI37" s="1">
        <v>34274</v>
      </c>
      <c r="AJ37" s="1">
        <v>34304</v>
      </c>
      <c r="AK37">
        <v>6.9450000000000003</v>
      </c>
      <c r="AL37">
        <v>0.15356584634194201</v>
      </c>
      <c r="AM37">
        <v>7.0985658463419403</v>
      </c>
      <c r="AP37" s="1">
        <v>34182</v>
      </c>
      <c r="AQ37" s="1">
        <v>34213</v>
      </c>
      <c r="AR37" s="1">
        <v>34243</v>
      </c>
      <c r="AS37">
        <v>7.2312500000000002</v>
      </c>
      <c r="AT37">
        <v>0.18004807272759701</v>
      </c>
      <c r="AU37">
        <v>7.4112980727275897</v>
      </c>
    </row>
    <row r="38" spans="1:47" x14ac:dyDescent="0.25">
      <c r="A38" s="1">
        <v>34213</v>
      </c>
      <c r="B38">
        <v>7.5188360434166297</v>
      </c>
      <c r="C38">
        <v>9609839920</v>
      </c>
      <c r="D38">
        <v>7.3147497604610399</v>
      </c>
      <c r="E38">
        <v>6490599834</v>
      </c>
      <c r="F38">
        <v>7.59017655309367</v>
      </c>
      <c r="G38">
        <v>9619808663</v>
      </c>
      <c r="H38">
        <v>7.4365623655225699</v>
      </c>
      <c r="I38">
        <v>7.59017655309367</v>
      </c>
      <c r="J38">
        <v>0.15361418757109499</v>
      </c>
      <c r="W38" s="1">
        <v>34366</v>
      </c>
      <c r="X38">
        <v>0.19289732479330499</v>
      </c>
      <c r="Y38">
        <v>0.25293748799301302</v>
      </c>
      <c r="AB38" s="1">
        <v>34366</v>
      </c>
      <c r="AC38">
        <v>7.34</v>
      </c>
      <c r="AD38">
        <v>7.5328973247933</v>
      </c>
      <c r="AE38">
        <v>0.19289732479330499</v>
      </c>
      <c r="AH38" s="1">
        <v>34274</v>
      </c>
      <c r="AI38" s="1">
        <v>34304</v>
      </c>
      <c r="AJ38" s="1">
        <v>34335</v>
      </c>
      <c r="AK38">
        <v>7.2925000000000004</v>
      </c>
      <c r="AL38">
        <v>0.151084075363388</v>
      </c>
      <c r="AM38">
        <v>7.4435840753633897</v>
      </c>
      <c r="AP38" s="1">
        <v>34213</v>
      </c>
      <c r="AQ38" s="1">
        <v>34243</v>
      </c>
      <c r="AR38" s="1">
        <v>34274</v>
      </c>
      <c r="AS38">
        <v>7.0349999999999904</v>
      </c>
      <c r="AT38">
        <v>0.15361418757109499</v>
      </c>
      <c r="AU38">
        <v>7.1886141875710896</v>
      </c>
    </row>
    <row r="39" spans="1:47" x14ac:dyDescent="0.25">
      <c r="A39" s="1">
        <v>34243</v>
      </c>
      <c r="B39">
        <v>7.3526003833669202</v>
      </c>
      <c r="C39">
        <v>12599940296</v>
      </c>
      <c r="D39">
        <v>7.18192285591077</v>
      </c>
      <c r="E39">
        <v>7096830898</v>
      </c>
      <c r="F39">
        <v>7.4181398190183101</v>
      </c>
      <c r="G39">
        <v>9467258102</v>
      </c>
      <c r="H39">
        <v>7.2911045402911796</v>
      </c>
      <c r="I39">
        <v>7.4181398190183101</v>
      </c>
      <c r="J39">
        <v>0.12703527872713499</v>
      </c>
      <c r="W39" s="1">
        <v>34394</v>
      </c>
      <c r="X39">
        <v>0.20312078465609101</v>
      </c>
      <c r="Y39">
        <v>0.21495494674780899</v>
      </c>
      <c r="AB39" s="1">
        <v>34394</v>
      </c>
      <c r="AC39">
        <v>7.9180000000000001</v>
      </c>
      <c r="AD39">
        <v>8.1211207846560907</v>
      </c>
      <c r="AE39">
        <v>0.20312078465609101</v>
      </c>
      <c r="AH39" s="1">
        <v>34304</v>
      </c>
      <c r="AI39" s="1">
        <v>34335</v>
      </c>
      <c r="AJ39" s="1">
        <v>34366</v>
      </c>
      <c r="AK39">
        <v>7.33699999999999</v>
      </c>
      <c r="AL39">
        <v>0.16437640030751499</v>
      </c>
      <c r="AM39">
        <v>7.5013764003075103</v>
      </c>
      <c r="AP39" s="1">
        <v>34243</v>
      </c>
      <c r="AQ39" s="1">
        <v>34274</v>
      </c>
      <c r="AR39" s="1">
        <v>34304</v>
      </c>
      <c r="AS39">
        <v>6.9450000000000003</v>
      </c>
      <c r="AT39">
        <v>0.12703527872713499</v>
      </c>
      <c r="AU39">
        <v>7.0720352787271299</v>
      </c>
    </row>
    <row r="40" spans="1:47" x14ac:dyDescent="0.25">
      <c r="A40" s="1">
        <v>34274</v>
      </c>
      <c r="B40">
        <v>7.2101261765193501</v>
      </c>
      <c r="C40">
        <v>11978893123</v>
      </c>
      <c r="D40">
        <v>7.0100304669329203</v>
      </c>
      <c r="E40">
        <v>12108300201</v>
      </c>
      <c r="F40">
        <v>7.2821435801008301</v>
      </c>
      <c r="G40">
        <v>10434309290</v>
      </c>
      <c r="H40">
        <v>7.1095408203088901</v>
      </c>
      <c r="I40">
        <v>7.2821435801008301</v>
      </c>
      <c r="J40">
        <v>0.17260275979193501</v>
      </c>
      <c r="W40" s="1">
        <v>34425</v>
      </c>
      <c r="X40">
        <v>0.22842949829311701</v>
      </c>
      <c r="Y40">
        <v>0.27888756054929498</v>
      </c>
      <c r="AB40" s="1">
        <v>34425</v>
      </c>
      <c r="AC40">
        <v>8.5787499999999994</v>
      </c>
      <c r="AD40">
        <v>8.8071794982931095</v>
      </c>
      <c r="AE40">
        <v>0.22842949829311701</v>
      </c>
      <c r="AH40" s="1">
        <v>34335</v>
      </c>
      <c r="AI40" s="1">
        <v>34366</v>
      </c>
      <c r="AJ40" s="1">
        <v>34394</v>
      </c>
      <c r="AK40">
        <v>7.2287499999999998</v>
      </c>
      <c r="AL40">
        <v>0.207932331489529</v>
      </c>
      <c r="AM40">
        <v>7.4366823314895303</v>
      </c>
      <c r="AP40" s="1">
        <v>34274</v>
      </c>
      <c r="AQ40" s="1">
        <v>34304</v>
      </c>
      <c r="AR40" s="1">
        <v>34335</v>
      </c>
      <c r="AS40">
        <v>7.2925000000000004</v>
      </c>
      <c r="AT40">
        <v>0.17260275979193501</v>
      </c>
      <c r="AU40">
        <v>7.4651027597919297</v>
      </c>
    </row>
    <row r="41" spans="1:47" x14ac:dyDescent="0.25">
      <c r="A41" s="1">
        <v>34304</v>
      </c>
      <c r="B41">
        <v>7.10570792984148</v>
      </c>
      <c r="C41">
        <v>11530920780</v>
      </c>
      <c r="D41">
        <v>7.07546840139696</v>
      </c>
      <c r="E41">
        <v>13470811479</v>
      </c>
      <c r="F41">
        <v>7.2829061817109899</v>
      </c>
      <c r="G41">
        <v>11118434786</v>
      </c>
      <c r="H41">
        <v>7.0894150193075198</v>
      </c>
      <c r="I41">
        <v>7.2829061817109899</v>
      </c>
      <c r="J41">
        <v>0.193491162403475</v>
      </c>
      <c r="W41" s="1">
        <v>34455</v>
      </c>
      <c r="X41">
        <v>0.263965999296842</v>
      </c>
      <c r="Y41">
        <v>0.38582176581428601</v>
      </c>
      <c r="AB41" s="1">
        <v>34455</v>
      </c>
      <c r="AC41">
        <v>8.7974999999999905</v>
      </c>
      <c r="AD41">
        <v>9.0614659992968392</v>
      </c>
      <c r="AE41">
        <v>0.263965999296842</v>
      </c>
      <c r="AH41" s="1">
        <v>34366</v>
      </c>
      <c r="AI41" s="1">
        <v>34394</v>
      </c>
      <c r="AJ41" s="1">
        <v>34425</v>
      </c>
      <c r="AK41">
        <v>7.34</v>
      </c>
      <c r="AL41">
        <v>0.234710574223222</v>
      </c>
      <c r="AM41">
        <v>7.5747105742232197</v>
      </c>
      <c r="AP41" s="1">
        <v>34304</v>
      </c>
      <c r="AQ41" s="1">
        <v>34335</v>
      </c>
      <c r="AR41" s="1">
        <v>34366</v>
      </c>
      <c r="AS41">
        <v>7.33699999999999</v>
      </c>
      <c r="AT41">
        <v>0.193491162403475</v>
      </c>
      <c r="AU41">
        <v>7.5304911624034698</v>
      </c>
    </row>
    <row r="42" spans="1:47" x14ac:dyDescent="0.25">
      <c r="A42" s="1">
        <v>34335</v>
      </c>
      <c r="B42">
        <v>7.1009374601040296</v>
      </c>
      <c r="C42">
        <v>11872918071</v>
      </c>
      <c r="D42">
        <v>7.2056494340503496</v>
      </c>
      <c r="E42">
        <v>11419453732</v>
      </c>
      <c r="F42">
        <v>7.4099772340141099</v>
      </c>
      <c r="G42">
        <v>9622482904</v>
      </c>
      <c r="H42">
        <v>7.1522741617409302</v>
      </c>
      <c r="I42">
        <v>7.4099772340141099</v>
      </c>
      <c r="J42">
        <v>0.25770307227317701</v>
      </c>
      <c r="W42" s="1">
        <v>34486</v>
      </c>
      <c r="X42">
        <v>0.29973316334764299</v>
      </c>
      <c r="Y42">
        <v>0.40809414670827898</v>
      </c>
      <c r="AB42" s="1">
        <v>34486</v>
      </c>
      <c r="AC42">
        <v>8.6270000000000007</v>
      </c>
      <c r="AD42">
        <v>8.9267331633476399</v>
      </c>
      <c r="AE42">
        <v>0.29973316334764299</v>
      </c>
      <c r="AH42" s="1">
        <v>34394</v>
      </c>
      <c r="AI42" s="1">
        <v>34425</v>
      </c>
      <c r="AJ42" s="1">
        <v>34455</v>
      </c>
      <c r="AK42">
        <v>7.9180000000000001</v>
      </c>
      <c r="AL42">
        <v>0.24186516900466601</v>
      </c>
      <c r="AM42">
        <v>8.1598651690046609</v>
      </c>
      <c r="AP42" s="1">
        <v>34335</v>
      </c>
      <c r="AQ42" s="1">
        <v>34366</v>
      </c>
      <c r="AR42" s="1">
        <v>34394</v>
      </c>
      <c r="AS42">
        <v>7.2287499999999998</v>
      </c>
      <c r="AT42">
        <v>0.25770307227317701</v>
      </c>
      <c r="AU42">
        <v>7.4864530722731697</v>
      </c>
    </row>
    <row r="43" spans="1:47" x14ac:dyDescent="0.25">
      <c r="A43" s="1">
        <v>34366</v>
      </c>
      <c r="B43">
        <v>7.2474170047768496</v>
      </c>
      <c r="C43">
        <v>13065720489</v>
      </c>
      <c r="D43">
        <v>7.3246648320087404</v>
      </c>
      <c r="E43">
        <v>6316952350</v>
      </c>
      <c r="F43">
        <v>7.5255301147193299</v>
      </c>
      <c r="G43">
        <v>7305925253</v>
      </c>
      <c r="H43">
        <v>7.2725926267263201</v>
      </c>
      <c r="I43">
        <v>7.5255301147193299</v>
      </c>
      <c r="J43">
        <v>0.25293748799301302</v>
      </c>
      <c r="W43" s="1">
        <v>34516</v>
      </c>
      <c r="X43">
        <v>0.30390425729488502</v>
      </c>
      <c r="Y43">
        <v>0.28272963595663098</v>
      </c>
      <c r="AB43" s="1">
        <v>34516</v>
      </c>
      <c r="AC43">
        <v>8.8312499999999901</v>
      </c>
      <c r="AD43">
        <v>9.1351542572948805</v>
      </c>
      <c r="AE43">
        <v>0.30390425729488502</v>
      </c>
      <c r="AH43" s="1">
        <v>34425</v>
      </c>
      <c r="AI43" s="1">
        <v>34455</v>
      </c>
      <c r="AJ43" s="1">
        <v>34486</v>
      </c>
      <c r="AK43">
        <v>8.5787499999999994</v>
      </c>
      <c r="AL43">
        <v>0.248926665096705</v>
      </c>
      <c r="AM43">
        <v>8.8276766650966998</v>
      </c>
      <c r="AP43" s="1">
        <v>34366</v>
      </c>
      <c r="AQ43" s="1">
        <v>34394</v>
      </c>
      <c r="AR43" s="1">
        <v>34425</v>
      </c>
      <c r="AS43">
        <v>7.34</v>
      </c>
      <c r="AT43">
        <v>0.25293748799301302</v>
      </c>
      <c r="AU43">
        <v>7.5929374879930096</v>
      </c>
    </row>
    <row r="44" spans="1:47" x14ac:dyDescent="0.25">
      <c r="A44" s="1">
        <v>34394</v>
      </c>
      <c r="B44">
        <v>7.3130102280824802</v>
      </c>
      <c r="C44">
        <v>9036871388</v>
      </c>
      <c r="D44">
        <v>7.3131400244913003</v>
      </c>
      <c r="E44">
        <v>8776550013</v>
      </c>
      <c r="F44">
        <v>7.5280291246267899</v>
      </c>
      <c r="G44">
        <v>7024093577</v>
      </c>
      <c r="H44">
        <v>7.3130741778789803</v>
      </c>
      <c r="I44">
        <v>7.5280291246267899</v>
      </c>
      <c r="J44">
        <v>0.21495494674780899</v>
      </c>
      <c r="W44" s="1">
        <v>34547</v>
      </c>
      <c r="X44">
        <v>0.28573035552812398</v>
      </c>
      <c r="Y44">
        <v>0.143894077392445</v>
      </c>
      <c r="AB44" s="1">
        <v>34547</v>
      </c>
      <c r="AC44">
        <v>8.7125000000000004</v>
      </c>
      <c r="AD44">
        <v>8.9982303555281202</v>
      </c>
      <c r="AE44">
        <v>0.28573035552812398</v>
      </c>
      <c r="AH44" s="1">
        <v>34455</v>
      </c>
      <c r="AI44" s="1">
        <v>34486</v>
      </c>
      <c r="AJ44" s="1">
        <v>34516</v>
      </c>
      <c r="AK44">
        <v>8.7974999999999905</v>
      </c>
      <c r="AL44">
        <v>0.293221424370463</v>
      </c>
      <c r="AM44">
        <v>9.0907214243704608</v>
      </c>
      <c r="AP44" s="1">
        <v>34394</v>
      </c>
      <c r="AQ44" s="1">
        <v>34425</v>
      </c>
      <c r="AR44" s="1">
        <v>34455</v>
      </c>
      <c r="AS44">
        <v>7.9180000000000001</v>
      </c>
      <c r="AT44">
        <v>0.21495494674780899</v>
      </c>
      <c r="AU44">
        <v>8.1329549467478106</v>
      </c>
    </row>
    <row r="45" spans="1:47" x14ac:dyDescent="0.25">
      <c r="A45" s="1">
        <v>34425</v>
      </c>
      <c r="B45">
        <v>7.2476178442108301</v>
      </c>
      <c r="C45">
        <v>7573724230</v>
      </c>
      <c r="D45">
        <v>7.5236412110673099</v>
      </c>
      <c r="E45">
        <v>6444254394</v>
      </c>
      <c r="F45">
        <v>7.6533970802593396</v>
      </c>
      <c r="G45">
        <v>7468332563</v>
      </c>
      <c r="H45">
        <v>7.3745095197100499</v>
      </c>
      <c r="I45">
        <v>7.6533970802593396</v>
      </c>
      <c r="J45">
        <v>0.27888756054929498</v>
      </c>
      <c r="W45" s="1">
        <v>34578</v>
      </c>
      <c r="X45">
        <v>0.27898142206987198</v>
      </c>
      <c r="Y45">
        <v>0.17446134599829999</v>
      </c>
      <c r="AB45" s="1">
        <v>34578</v>
      </c>
      <c r="AC45">
        <v>8.84</v>
      </c>
      <c r="AD45">
        <v>9.1189814220698704</v>
      </c>
      <c r="AE45">
        <v>0.27898142206987198</v>
      </c>
      <c r="AH45" s="1">
        <v>34486</v>
      </c>
      <c r="AI45" s="1">
        <v>34516</v>
      </c>
      <c r="AJ45" s="1">
        <v>34547</v>
      </c>
      <c r="AK45">
        <v>8.6270000000000007</v>
      </c>
      <c r="AL45">
        <v>0.35760115769062001</v>
      </c>
      <c r="AM45">
        <v>8.9846011576906193</v>
      </c>
      <c r="AP45" s="1">
        <v>34425</v>
      </c>
      <c r="AQ45" s="1">
        <v>34455</v>
      </c>
      <c r="AR45" s="1">
        <v>34486</v>
      </c>
      <c r="AS45">
        <v>8.5787499999999994</v>
      </c>
      <c r="AT45">
        <v>0.27888756054929498</v>
      </c>
      <c r="AU45">
        <v>8.8576375605492892</v>
      </c>
    </row>
    <row r="46" spans="1:47" x14ac:dyDescent="0.25">
      <c r="A46" s="1">
        <v>34455</v>
      </c>
      <c r="B46">
        <v>7.44476408865801</v>
      </c>
      <c r="C46">
        <v>7534857375</v>
      </c>
      <c r="D46">
        <v>7.9759956694030301</v>
      </c>
      <c r="E46">
        <v>4369283993</v>
      </c>
      <c r="F46">
        <v>8.02556855591809</v>
      </c>
      <c r="G46">
        <v>5574792565</v>
      </c>
      <c r="H46">
        <v>7.6397467901038096</v>
      </c>
      <c r="I46">
        <v>8.02556855591809</v>
      </c>
      <c r="J46">
        <v>0.38582176581428601</v>
      </c>
      <c r="W46" s="1">
        <v>34608</v>
      </c>
      <c r="X46">
        <v>0.26300962508514603</v>
      </c>
      <c r="Y46">
        <v>0.183056778640938</v>
      </c>
      <c r="AB46" s="1">
        <v>34608</v>
      </c>
      <c r="AC46">
        <v>9.1249999999999893</v>
      </c>
      <c r="AD46">
        <v>9.3880096250851395</v>
      </c>
      <c r="AE46">
        <v>0.26300962508514603</v>
      </c>
      <c r="AH46" s="1">
        <v>34516</v>
      </c>
      <c r="AI46" s="1">
        <v>34547</v>
      </c>
      <c r="AJ46" s="1">
        <v>34578</v>
      </c>
      <c r="AK46">
        <v>8.8312499999999901</v>
      </c>
      <c r="AL46">
        <v>0.35888184949306501</v>
      </c>
      <c r="AM46">
        <v>9.1901318494930599</v>
      </c>
      <c r="AP46" s="1">
        <v>34455</v>
      </c>
      <c r="AQ46" s="1">
        <v>34486</v>
      </c>
      <c r="AR46" s="1">
        <v>34516</v>
      </c>
      <c r="AS46">
        <v>8.7974999999999905</v>
      </c>
      <c r="AT46">
        <v>0.38582176581428601</v>
      </c>
      <c r="AU46">
        <v>9.1833217658142807</v>
      </c>
    </row>
    <row r="47" spans="1:47" x14ac:dyDescent="0.25">
      <c r="A47" s="1">
        <v>34486</v>
      </c>
      <c r="B47">
        <v>7.90381539757142</v>
      </c>
      <c r="C47">
        <v>5614459387</v>
      </c>
      <c r="D47">
        <v>8.3603184862830702</v>
      </c>
      <c r="E47">
        <v>3735781612</v>
      </c>
      <c r="F47">
        <v>8.4943001206095001</v>
      </c>
      <c r="G47">
        <v>4435269701</v>
      </c>
      <c r="H47">
        <v>8.0862059739012206</v>
      </c>
      <c r="I47">
        <v>8.4943001206095001</v>
      </c>
      <c r="J47">
        <v>0.40809414670827898</v>
      </c>
      <c r="W47" s="1">
        <v>34639</v>
      </c>
      <c r="X47">
        <v>0.236122105681973</v>
      </c>
      <c r="Y47">
        <v>0.224496649395246</v>
      </c>
      <c r="AB47" s="1">
        <v>34639</v>
      </c>
      <c r="AC47">
        <v>9.37624999999999</v>
      </c>
      <c r="AD47">
        <v>9.6123721056819704</v>
      </c>
      <c r="AE47">
        <v>0.236122105681973</v>
      </c>
      <c r="AH47" s="1">
        <v>34547</v>
      </c>
      <c r="AI47" s="1">
        <v>34578</v>
      </c>
      <c r="AJ47" s="1">
        <v>34608</v>
      </c>
      <c r="AK47">
        <v>8.7125000000000004</v>
      </c>
      <c r="AL47">
        <v>0.27823928668578501</v>
      </c>
      <c r="AM47">
        <v>8.9907392866857805</v>
      </c>
      <c r="AP47" s="1">
        <v>34486</v>
      </c>
      <c r="AQ47" s="1">
        <v>34516</v>
      </c>
      <c r="AR47" s="1">
        <v>34547</v>
      </c>
      <c r="AS47">
        <v>8.6270000000000007</v>
      </c>
      <c r="AT47">
        <v>0.40809414670827898</v>
      </c>
      <c r="AU47">
        <v>9.0350941467082801</v>
      </c>
    </row>
    <row r="48" spans="1:47" x14ac:dyDescent="0.25">
      <c r="A48" s="1">
        <v>34516</v>
      </c>
      <c r="B48">
        <v>8.3482779295975806</v>
      </c>
      <c r="C48">
        <v>4528868645</v>
      </c>
      <c r="D48">
        <v>8.56730254745686</v>
      </c>
      <c r="E48">
        <v>3202576743</v>
      </c>
      <c r="F48">
        <v>8.7217335698262293</v>
      </c>
      <c r="G48">
        <v>3700056942</v>
      </c>
      <c r="H48">
        <v>8.4390039338695999</v>
      </c>
      <c r="I48">
        <v>8.7217335698262293</v>
      </c>
      <c r="J48">
        <v>0.28272963595663098</v>
      </c>
      <c r="W48" s="1">
        <v>34669</v>
      </c>
      <c r="X48">
        <v>0.21384198944996999</v>
      </c>
      <c r="Y48">
        <v>0.274413449316258</v>
      </c>
      <c r="AB48" s="1">
        <v>34669</v>
      </c>
      <c r="AC48">
        <v>9.3979999999999997</v>
      </c>
      <c r="AD48">
        <v>9.6118419894499691</v>
      </c>
      <c r="AE48">
        <v>0.21384198944996999</v>
      </c>
      <c r="AH48" s="1">
        <v>34578</v>
      </c>
      <c r="AI48" s="1">
        <v>34608</v>
      </c>
      <c r="AJ48" s="1">
        <v>34639</v>
      </c>
      <c r="AK48">
        <v>8.84</v>
      </c>
      <c r="AL48">
        <v>0.200361686449125</v>
      </c>
      <c r="AM48">
        <v>9.0403616864491205</v>
      </c>
      <c r="AP48" s="1">
        <v>34516</v>
      </c>
      <c r="AQ48" s="1">
        <v>34547</v>
      </c>
      <c r="AR48" s="1">
        <v>34578</v>
      </c>
      <c r="AS48">
        <v>8.8312499999999901</v>
      </c>
      <c r="AT48">
        <v>0.28272963595663098</v>
      </c>
      <c r="AU48">
        <v>9.1139796359566301</v>
      </c>
    </row>
    <row r="49" spans="1:47" x14ac:dyDescent="0.25">
      <c r="A49" s="1">
        <v>34547</v>
      </c>
      <c r="B49">
        <v>8.6157521217652597</v>
      </c>
      <c r="C49">
        <v>4379038358</v>
      </c>
      <c r="D49">
        <v>8.5997914242061899</v>
      </c>
      <c r="E49">
        <v>2903823876</v>
      </c>
      <c r="F49">
        <v>8.7532823475344692</v>
      </c>
      <c r="G49">
        <v>3369576376</v>
      </c>
      <c r="H49">
        <v>8.6093882701420306</v>
      </c>
      <c r="I49">
        <v>8.7532823475344692</v>
      </c>
      <c r="J49">
        <v>0.143894077392445</v>
      </c>
      <c r="W49" s="1">
        <v>34700</v>
      </c>
      <c r="X49">
        <v>0.19541356105122501</v>
      </c>
      <c r="Y49">
        <v>0.17215906556416399</v>
      </c>
      <c r="AB49" s="1">
        <v>34700</v>
      </c>
      <c r="AC49">
        <v>9.3537499999999998</v>
      </c>
      <c r="AD49">
        <v>9.5491635610512198</v>
      </c>
      <c r="AE49">
        <v>0.19541356105122501</v>
      </c>
      <c r="AH49" s="1">
        <v>34608</v>
      </c>
      <c r="AI49" s="1">
        <v>34639</v>
      </c>
      <c r="AJ49" s="1">
        <v>34669</v>
      </c>
      <c r="AK49">
        <v>9.1249999999999893</v>
      </c>
      <c r="AL49">
        <v>0.16713740067722799</v>
      </c>
      <c r="AM49">
        <v>9.2921374006772197</v>
      </c>
      <c r="AP49" s="1">
        <v>34547</v>
      </c>
      <c r="AQ49" s="1">
        <v>34578</v>
      </c>
      <c r="AR49" s="1">
        <v>34608</v>
      </c>
      <c r="AS49">
        <v>8.7125000000000004</v>
      </c>
      <c r="AT49">
        <v>0.143894077392445</v>
      </c>
      <c r="AU49">
        <v>8.8563940773924408</v>
      </c>
    </row>
    <row r="50" spans="1:47" x14ac:dyDescent="0.25">
      <c r="A50" s="1">
        <v>34578</v>
      </c>
      <c r="B50">
        <v>8.6499902229241705</v>
      </c>
      <c r="C50">
        <v>3445950568</v>
      </c>
      <c r="D50">
        <v>8.6773788982788904</v>
      </c>
      <c r="E50">
        <v>3548194122</v>
      </c>
      <c r="F50">
        <v>8.8383460965895804</v>
      </c>
      <c r="G50">
        <v>3671721052</v>
      </c>
      <c r="H50">
        <v>8.6638847505912793</v>
      </c>
      <c r="I50">
        <v>8.8383460965895804</v>
      </c>
      <c r="J50">
        <v>0.17446134599829999</v>
      </c>
      <c r="W50" s="1">
        <v>34731</v>
      </c>
      <c r="X50">
        <v>0.190399238652872</v>
      </c>
      <c r="Y50">
        <v>0.11380814300233</v>
      </c>
      <c r="AB50" s="1">
        <v>34731</v>
      </c>
      <c r="AC50">
        <v>9.0462499999999899</v>
      </c>
      <c r="AD50">
        <v>9.2366492386528698</v>
      </c>
      <c r="AE50">
        <v>0.190399238652872</v>
      </c>
      <c r="AH50" s="1">
        <v>34639</v>
      </c>
      <c r="AI50" s="1">
        <v>34669</v>
      </c>
      <c r="AJ50" s="1">
        <v>34700</v>
      </c>
      <c r="AK50">
        <v>9.37624999999999</v>
      </c>
      <c r="AL50">
        <v>0.19400492467816099</v>
      </c>
      <c r="AM50">
        <v>9.5702549246781601</v>
      </c>
      <c r="AP50" s="1">
        <v>34578</v>
      </c>
      <c r="AQ50" s="1">
        <v>34608</v>
      </c>
      <c r="AR50" s="1">
        <v>34639</v>
      </c>
      <c r="AS50">
        <v>8.84</v>
      </c>
      <c r="AT50">
        <v>0.17446134599829999</v>
      </c>
      <c r="AU50">
        <v>9.0144613459982992</v>
      </c>
    </row>
    <row r="51" spans="1:47" x14ac:dyDescent="0.25">
      <c r="A51" s="1">
        <v>34608</v>
      </c>
      <c r="B51">
        <v>8.7090976405957008</v>
      </c>
      <c r="C51">
        <v>4059889200</v>
      </c>
      <c r="D51">
        <v>8.6770633086260194</v>
      </c>
      <c r="E51">
        <v>2204404214</v>
      </c>
      <c r="F51">
        <v>8.8808815410810897</v>
      </c>
      <c r="G51">
        <v>2994663376</v>
      </c>
      <c r="H51">
        <v>8.6978247624401508</v>
      </c>
      <c r="I51">
        <v>8.8808815410810897</v>
      </c>
      <c r="J51">
        <v>0.183056778640938</v>
      </c>
      <c r="W51" s="1">
        <v>34759</v>
      </c>
      <c r="X51">
        <v>0.16378735053263199</v>
      </c>
      <c r="Y51">
        <v>1.47900172768579E-2</v>
      </c>
      <c r="AB51" s="1">
        <v>34759</v>
      </c>
      <c r="AC51">
        <v>8.6669999999999892</v>
      </c>
      <c r="AD51">
        <v>8.8307873505326295</v>
      </c>
      <c r="AE51">
        <v>0.16378735053263199</v>
      </c>
      <c r="AH51" s="1">
        <v>34669</v>
      </c>
      <c r="AI51" s="1">
        <v>34700</v>
      </c>
      <c r="AJ51" s="1">
        <v>34731</v>
      </c>
      <c r="AK51">
        <v>9.3979999999999997</v>
      </c>
      <c r="AL51">
        <v>0.22732229245081401</v>
      </c>
      <c r="AM51">
        <v>9.6253222924508108</v>
      </c>
      <c r="AP51" s="1">
        <v>34608</v>
      </c>
      <c r="AQ51" s="1">
        <v>34639</v>
      </c>
      <c r="AR51" s="1">
        <v>34669</v>
      </c>
      <c r="AS51">
        <v>9.1249999999999893</v>
      </c>
      <c r="AT51">
        <v>0.183056778640938</v>
      </c>
      <c r="AU51">
        <v>9.3080567786409301</v>
      </c>
    </row>
    <row r="52" spans="1:47" x14ac:dyDescent="0.25">
      <c r="A52" s="1">
        <v>34639</v>
      </c>
      <c r="B52">
        <v>8.8003921217265795</v>
      </c>
      <c r="C52">
        <v>3693887846</v>
      </c>
      <c r="D52">
        <v>8.8576636154165893</v>
      </c>
      <c r="E52">
        <v>1849921901</v>
      </c>
      <c r="F52">
        <v>9.0439997787709405</v>
      </c>
      <c r="G52">
        <v>2555631760</v>
      </c>
      <c r="H52">
        <v>8.8195031293756898</v>
      </c>
      <c r="I52">
        <v>9.0439997787709405</v>
      </c>
      <c r="J52">
        <v>0.224496649395246</v>
      </c>
      <c r="W52" s="1">
        <v>34790</v>
      </c>
      <c r="X52">
        <v>0.145747594054737</v>
      </c>
      <c r="Y52">
        <v>7.4818239773569703E-2</v>
      </c>
      <c r="AB52" s="1">
        <v>34790</v>
      </c>
      <c r="AC52">
        <v>8.5449999999999893</v>
      </c>
      <c r="AD52">
        <v>8.6907475940547307</v>
      </c>
      <c r="AE52">
        <v>0.145747594054737</v>
      </c>
      <c r="AH52" s="1">
        <v>34700</v>
      </c>
      <c r="AI52" s="1">
        <v>34731</v>
      </c>
      <c r="AJ52" s="1">
        <v>34759</v>
      </c>
      <c r="AK52">
        <v>9.3537499999999998</v>
      </c>
      <c r="AL52">
        <v>0.223689721425223</v>
      </c>
      <c r="AM52">
        <v>9.57743972142522</v>
      </c>
      <c r="AP52" s="1">
        <v>34639</v>
      </c>
      <c r="AQ52" s="1">
        <v>34669</v>
      </c>
      <c r="AR52" s="1">
        <v>34700</v>
      </c>
      <c r="AS52">
        <v>9.37624999999999</v>
      </c>
      <c r="AT52">
        <v>0.224496649395246</v>
      </c>
      <c r="AU52">
        <v>9.6007466493952407</v>
      </c>
    </row>
    <row r="53" spans="1:47" x14ac:dyDescent="0.25">
      <c r="A53" s="1">
        <v>34669</v>
      </c>
      <c r="B53">
        <v>8.9156133014275003</v>
      </c>
      <c r="C53">
        <v>4060617012</v>
      </c>
      <c r="D53">
        <v>9.0747122323600102</v>
      </c>
      <c r="E53">
        <v>1494706719</v>
      </c>
      <c r="F53">
        <v>9.23283366039756</v>
      </c>
      <c r="G53">
        <v>2338155414</v>
      </c>
      <c r="H53">
        <v>8.9584202110813003</v>
      </c>
      <c r="I53">
        <v>9.23283366039756</v>
      </c>
      <c r="J53">
        <v>0.274413449316258</v>
      </c>
      <c r="W53" s="1">
        <v>34820</v>
      </c>
      <c r="X53">
        <v>0.11291708404085</v>
      </c>
      <c r="Y53">
        <v>2.7513589311920099E-2</v>
      </c>
      <c r="AB53" s="1">
        <v>34820</v>
      </c>
      <c r="AC53">
        <v>8.1612499999999901</v>
      </c>
      <c r="AD53">
        <v>8.2741670840408492</v>
      </c>
      <c r="AE53">
        <v>0.11291708404085</v>
      </c>
      <c r="AH53" s="1">
        <v>34731</v>
      </c>
      <c r="AI53" s="1">
        <v>34759</v>
      </c>
      <c r="AJ53" s="1">
        <v>34790</v>
      </c>
      <c r="AK53">
        <v>9.0462499999999899</v>
      </c>
      <c r="AL53">
        <v>0.18679355262758399</v>
      </c>
      <c r="AM53">
        <v>9.2330435526275796</v>
      </c>
      <c r="AP53" s="1">
        <v>34669</v>
      </c>
      <c r="AQ53" s="1">
        <v>34700</v>
      </c>
      <c r="AR53" s="1">
        <v>34731</v>
      </c>
      <c r="AS53">
        <v>9.3979999999999997</v>
      </c>
      <c r="AT53">
        <v>0.274413449316258</v>
      </c>
      <c r="AU53">
        <v>9.6724134493162506</v>
      </c>
    </row>
    <row r="54" spans="1:47" x14ac:dyDescent="0.25">
      <c r="A54" s="1">
        <v>34700</v>
      </c>
      <c r="B54">
        <v>9.1937761274594401</v>
      </c>
      <c r="C54">
        <v>3193693600</v>
      </c>
      <c r="D54">
        <v>9.2630526686891006</v>
      </c>
      <c r="E54">
        <v>1773462518</v>
      </c>
      <c r="F54">
        <v>9.3906695372497193</v>
      </c>
      <c r="G54">
        <v>2249424316</v>
      </c>
      <c r="H54">
        <v>9.2185104716855601</v>
      </c>
      <c r="I54">
        <v>9.3906695372497193</v>
      </c>
      <c r="J54">
        <v>0.17215906556416399</v>
      </c>
      <c r="W54" s="1">
        <v>34851</v>
      </c>
      <c r="X54">
        <v>6.0560363212556902E-2</v>
      </c>
      <c r="Y54">
        <v>-3.9726875653500797E-2</v>
      </c>
      <c r="AB54" s="1">
        <v>34851</v>
      </c>
      <c r="AC54">
        <v>7.7610000000000001</v>
      </c>
      <c r="AD54">
        <v>7.8215603632125497</v>
      </c>
      <c r="AE54">
        <v>6.0560363212556902E-2</v>
      </c>
      <c r="AH54" s="1">
        <v>34759</v>
      </c>
      <c r="AI54" s="1">
        <v>34790</v>
      </c>
      <c r="AJ54" s="1">
        <v>34820</v>
      </c>
      <c r="AK54">
        <v>8.6669999999999892</v>
      </c>
      <c r="AL54">
        <v>0.10025240861445001</v>
      </c>
      <c r="AM54">
        <v>8.7672524086144392</v>
      </c>
      <c r="AP54" s="1">
        <v>34700</v>
      </c>
      <c r="AQ54" s="1">
        <v>34731</v>
      </c>
      <c r="AR54" s="1">
        <v>34759</v>
      </c>
      <c r="AS54">
        <v>9.3537499999999998</v>
      </c>
      <c r="AT54">
        <v>0.17215906556416399</v>
      </c>
      <c r="AU54">
        <v>9.5259090655641607</v>
      </c>
    </row>
    <row r="55" spans="1:47" x14ac:dyDescent="0.25">
      <c r="A55" s="1">
        <v>34731</v>
      </c>
      <c r="B55">
        <v>9.3200403225699997</v>
      </c>
      <c r="C55">
        <v>2562356020</v>
      </c>
      <c r="D55">
        <v>9.3341872903964607</v>
      </c>
      <c r="E55">
        <v>2179443515</v>
      </c>
      <c r="F55">
        <v>9.4403507474715802</v>
      </c>
      <c r="G55">
        <v>1570180157</v>
      </c>
      <c r="H55">
        <v>9.3265426044692497</v>
      </c>
      <c r="I55">
        <v>9.4403507474715802</v>
      </c>
      <c r="J55">
        <v>0.11380814300233</v>
      </c>
      <c r="W55" s="1">
        <v>34881</v>
      </c>
      <c r="X55">
        <v>2.5813823829263401E-2</v>
      </c>
      <c r="Y55">
        <v>-3.6320170735596402E-2</v>
      </c>
      <c r="AB55" s="1">
        <v>34881</v>
      </c>
      <c r="AC55">
        <v>7.7949999999999999</v>
      </c>
      <c r="AD55">
        <v>7.8208138238292602</v>
      </c>
      <c r="AE55">
        <v>2.5813823829263401E-2</v>
      </c>
      <c r="AH55" s="1">
        <v>34790</v>
      </c>
      <c r="AI55" s="1">
        <v>34820</v>
      </c>
      <c r="AJ55" s="1">
        <v>34851</v>
      </c>
      <c r="AK55">
        <v>8.5449999999999893</v>
      </c>
      <c r="AL55">
        <v>6.7805466684252594E-2</v>
      </c>
      <c r="AM55">
        <v>8.6128054666842502</v>
      </c>
      <c r="AP55" s="1">
        <v>34731</v>
      </c>
      <c r="AQ55" s="1">
        <v>34759</v>
      </c>
      <c r="AR55" s="1">
        <v>34790</v>
      </c>
      <c r="AS55">
        <v>9.0462499999999899</v>
      </c>
      <c r="AT55">
        <v>0.11380814300233</v>
      </c>
      <c r="AU55">
        <v>9.1600581430023293</v>
      </c>
    </row>
    <row r="56" spans="1:47" x14ac:dyDescent="0.25">
      <c r="A56" s="1">
        <v>34759</v>
      </c>
      <c r="B56">
        <v>9.4377234467438704</v>
      </c>
      <c r="C56">
        <v>1652578691</v>
      </c>
      <c r="D56">
        <v>9.2431197175939097</v>
      </c>
      <c r="E56">
        <v>1979393924</v>
      </c>
      <c r="F56">
        <v>9.3464561007365692</v>
      </c>
      <c r="G56">
        <v>1877326624</v>
      </c>
      <c r="H56">
        <v>9.3316660834597105</v>
      </c>
      <c r="I56">
        <v>9.3464561007365692</v>
      </c>
      <c r="J56">
        <v>1.47900172768579E-2</v>
      </c>
      <c r="W56" s="1">
        <v>34912</v>
      </c>
      <c r="X56">
        <v>1.652933225353E-2</v>
      </c>
      <c r="Y56">
        <v>5.8101193547929503E-2</v>
      </c>
      <c r="AB56" s="1">
        <v>34912</v>
      </c>
      <c r="AC56">
        <v>8.0449999999999999</v>
      </c>
      <c r="AD56">
        <v>8.0615293322535297</v>
      </c>
      <c r="AE56">
        <v>1.652933225353E-2</v>
      </c>
      <c r="AH56" s="1">
        <v>34820</v>
      </c>
      <c r="AI56" s="1">
        <v>34851</v>
      </c>
      <c r="AJ56" s="1">
        <v>34881</v>
      </c>
      <c r="AK56">
        <v>8.1612499999999901</v>
      </c>
      <c r="AL56">
        <v>3.9040615454115898E-2</v>
      </c>
      <c r="AM56">
        <v>8.2002906154541098</v>
      </c>
      <c r="AP56" s="1">
        <v>34759</v>
      </c>
      <c r="AQ56" s="1">
        <v>34790</v>
      </c>
      <c r="AR56" s="1">
        <v>34820</v>
      </c>
      <c r="AS56">
        <v>8.6669999999999892</v>
      </c>
      <c r="AT56">
        <v>1.47900172768579E-2</v>
      </c>
      <c r="AU56">
        <v>8.6817900172768496</v>
      </c>
    </row>
    <row r="57" spans="1:47" x14ac:dyDescent="0.25">
      <c r="A57" s="1">
        <v>34790</v>
      </c>
      <c r="B57">
        <v>9.2701120787959397</v>
      </c>
      <c r="C57">
        <v>1860502678</v>
      </c>
      <c r="D57">
        <v>9.0282553325598904</v>
      </c>
      <c r="E57">
        <v>3146259037</v>
      </c>
      <c r="F57">
        <v>9.1929470573679897</v>
      </c>
      <c r="G57">
        <v>2558697025</v>
      </c>
      <c r="H57">
        <v>9.1181288175944193</v>
      </c>
      <c r="I57">
        <v>9.1929470573679897</v>
      </c>
      <c r="J57">
        <v>7.4818239773569703E-2</v>
      </c>
      <c r="W57" s="1">
        <v>34943</v>
      </c>
      <c r="X57">
        <v>3.8896654226301897E-2</v>
      </c>
      <c r="Y57">
        <v>0.14899394911348901</v>
      </c>
      <c r="AB57" s="1">
        <v>34943</v>
      </c>
      <c r="AC57">
        <v>7.8049999999999997</v>
      </c>
      <c r="AD57">
        <v>7.8438966542262998</v>
      </c>
      <c r="AE57">
        <v>3.8896654226301897E-2</v>
      </c>
      <c r="AH57" s="1">
        <v>34851</v>
      </c>
      <c r="AI57" s="1">
        <v>34881</v>
      </c>
      <c r="AJ57" s="1">
        <v>34912</v>
      </c>
      <c r="AK57">
        <v>7.7610000000000001</v>
      </c>
      <c r="AL57">
        <v>2.0868317810662999E-2</v>
      </c>
      <c r="AM57">
        <v>7.7818683178106598</v>
      </c>
      <c r="AP57" s="1">
        <v>34790</v>
      </c>
      <c r="AQ57" s="1">
        <v>34820</v>
      </c>
      <c r="AR57" s="1">
        <v>34851</v>
      </c>
      <c r="AS57">
        <v>8.5449999999999893</v>
      </c>
      <c r="AT57">
        <v>7.4818239773569703E-2</v>
      </c>
      <c r="AU57">
        <v>8.6198182397735597</v>
      </c>
    </row>
    <row r="58" spans="1:47" x14ac:dyDescent="0.25">
      <c r="A58" s="1">
        <v>34820</v>
      </c>
      <c r="B58">
        <v>8.9898275491335404</v>
      </c>
      <c r="C58">
        <v>3424948579</v>
      </c>
      <c r="D58">
        <v>8.6933264155078795</v>
      </c>
      <c r="E58">
        <v>3569467050</v>
      </c>
      <c r="F58">
        <v>8.8660274214887007</v>
      </c>
      <c r="G58">
        <v>2795690738</v>
      </c>
      <c r="H58">
        <v>8.8385138321767798</v>
      </c>
      <c r="I58">
        <v>8.8660274214887007</v>
      </c>
      <c r="J58">
        <v>2.7513589311920099E-2</v>
      </c>
      <c r="W58" s="1">
        <v>34973</v>
      </c>
      <c r="X58">
        <v>5.4373945499479E-2</v>
      </c>
      <c r="Y58">
        <v>0.16768198741263099</v>
      </c>
      <c r="AB58" s="1">
        <v>34973</v>
      </c>
      <c r="AC58">
        <v>7.6875</v>
      </c>
      <c r="AD58">
        <v>7.7418739454994698</v>
      </c>
      <c r="AE58">
        <v>5.4373945499479E-2</v>
      </c>
      <c r="AH58" s="1">
        <v>34881</v>
      </c>
      <c r="AI58" s="1">
        <v>34912</v>
      </c>
      <c r="AJ58" s="1">
        <v>34943</v>
      </c>
      <c r="AK58">
        <v>7.7949999999999999</v>
      </c>
      <c r="AL58">
        <v>-1.6177819025725699E-2</v>
      </c>
      <c r="AM58">
        <v>7.7788221809742701</v>
      </c>
      <c r="AP58" s="1">
        <v>34820</v>
      </c>
      <c r="AQ58" s="1">
        <v>34851</v>
      </c>
      <c r="AR58" s="1">
        <v>34881</v>
      </c>
      <c r="AS58">
        <v>8.1612499999999901</v>
      </c>
      <c r="AT58">
        <v>2.7513589311920099E-2</v>
      </c>
      <c r="AU58">
        <v>8.1887635893119199</v>
      </c>
    </row>
    <row r="59" spans="1:47" x14ac:dyDescent="0.25">
      <c r="A59" s="1">
        <v>34851</v>
      </c>
      <c r="B59">
        <v>8.7442616793265806</v>
      </c>
      <c r="C59">
        <v>4128686030</v>
      </c>
      <c r="D59">
        <v>8.4639691839799802</v>
      </c>
      <c r="E59">
        <v>3051728353</v>
      </c>
      <c r="F59">
        <v>8.5854084539170703</v>
      </c>
      <c r="G59">
        <v>3429031199</v>
      </c>
      <c r="H59">
        <v>8.6251353295705702</v>
      </c>
      <c r="I59">
        <v>8.5854084539170703</v>
      </c>
      <c r="J59">
        <v>-3.9726875653500797E-2</v>
      </c>
      <c r="W59" s="1">
        <v>35004</v>
      </c>
      <c r="X59">
        <v>6.6129708674012896E-2</v>
      </c>
      <c r="Y59">
        <v>9.8048168359123805E-2</v>
      </c>
      <c r="AB59" s="1">
        <v>35004</v>
      </c>
      <c r="AC59">
        <v>7.5730000000000004</v>
      </c>
      <c r="AD59">
        <v>7.6391297086740098</v>
      </c>
      <c r="AE59">
        <v>6.6129708674012896E-2</v>
      </c>
      <c r="AH59" s="1">
        <v>34912</v>
      </c>
      <c r="AI59" s="1">
        <v>34943</v>
      </c>
      <c r="AJ59" s="1">
        <v>34973</v>
      </c>
      <c r="AK59">
        <v>8.0449999999999999</v>
      </c>
      <c r="AL59">
        <v>-5.98195094705593E-3</v>
      </c>
      <c r="AM59">
        <v>8.0390180490529399</v>
      </c>
      <c r="AP59" s="1">
        <v>34851</v>
      </c>
      <c r="AQ59" s="1">
        <v>34881</v>
      </c>
      <c r="AR59" s="1">
        <v>34912</v>
      </c>
      <c r="AS59">
        <v>7.7610000000000001</v>
      </c>
      <c r="AT59">
        <v>-3.9726875653500797E-2</v>
      </c>
      <c r="AU59">
        <v>7.7212731243464896</v>
      </c>
    </row>
    <row r="60" spans="1:47" x14ac:dyDescent="0.25">
      <c r="A60" s="1">
        <v>34881</v>
      </c>
      <c r="B60">
        <v>8.4003100688386603</v>
      </c>
      <c r="C60">
        <v>6084914589</v>
      </c>
      <c r="D60">
        <v>8.0327254271260706</v>
      </c>
      <c r="E60">
        <v>4126421834</v>
      </c>
      <c r="F60">
        <v>8.2154481961580093</v>
      </c>
      <c r="G60">
        <v>4164341654</v>
      </c>
      <c r="H60">
        <v>8.2517683668936108</v>
      </c>
      <c r="I60">
        <v>8.2154481961580093</v>
      </c>
      <c r="J60">
        <v>-3.6320170735596402E-2</v>
      </c>
      <c r="W60" s="1">
        <v>35034</v>
      </c>
      <c r="X60">
        <v>8.6176594333054996E-2</v>
      </c>
      <c r="Y60">
        <v>8.0554438300751902E-2</v>
      </c>
      <c r="AB60" s="1">
        <v>35034</v>
      </c>
      <c r="AC60">
        <v>7.3612500000000001</v>
      </c>
      <c r="AD60">
        <v>7.4474265943330504</v>
      </c>
      <c r="AE60">
        <v>8.6176594333054996E-2</v>
      </c>
      <c r="AH60" s="1">
        <v>34943</v>
      </c>
      <c r="AI60" s="1">
        <v>34973</v>
      </c>
      <c r="AJ60" s="1">
        <v>35004</v>
      </c>
      <c r="AK60">
        <v>7.8049999999999997</v>
      </c>
      <c r="AL60">
        <v>5.6924990641940898E-2</v>
      </c>
      <c r="AM60">
        <v>7.8619249906419402</v>
      </c>
      <c r="AP60" s="1">
        <v>34881</v>
      </c>
      <c r="AQ60" s="1">
        <v>34912</v>
      </c>
      <c r="AR60" s="1">
        <v>34943</v>
      </c>
      <c r="AS60">
        <v>7.7949999999999999</v>
      </c>
      <c r="AT60">
        <v>-3.6320170735596402E-2</v>
      </c>
      <c r="AU60">
        <v>7.7586798292644001</v>
      </c>
    </row>
    <row r="61" spans="1:47" x14ac:dyDescent="0.25">
      <c r="A61" s="1">
        <v>34912</v>
      </c>
      <c r="B61">
        <v>8.0369997252700802</v>
      </c>
      <c r="C61">
        <v>6747255729</v>
      </c>
      <c r="D61">
        <v>7.8077118818364601</v>
      </c>
      <c r="E61">
        <v>5487909532</v>
      </c>
      <c r="F61">
        <v>7.9922571145285799</v>
      </c>
      <c r="G61">
        <v>4884282047</v>
      </c>
      <c r="H61">
        <v>7.9341559209806496</v>
      </c>
      <c r="I61">
        <v>7.9922571145285799</v>
      </c>
      <c r="J61">
        <v>5.8101193547929503E-2</v>
      </c>
      <c r="W61" s="1">
        <v>35065</v>
      </c>
      <c r="X61">
        <v>9.6869356484089605E-2</v>
      </c>
      <c r="Y61">
        <v>2.7836402170610699E-2</v>
      </c>
      <c r="AB61" s="1">
        <v>35065</v>
      </c>
      <c r="AC61">
        <v>7.2174999999999896</v>
      </c>
      <c r="AD61">
        <v>7.3143693564840797</v>
      </c>
      <c r="AE61">
        <v>9.6869356484089605E-2</v>
      </c>
      <c r="AH61" s="1">
        <v>34973</v>
      </c>
      <c r="AI61" s="1">
        <v>35004</v>
      </c>
      <c r="AJ61" s="1">
        <v>35034</v>
      </c>
      <c r="AK61">
        <v>7.6875</v>
      </c>
      <c r="AL61">
        <v>0.124925710024683</v>
      </c>
      <c r="AM61">
        <v>7.8124257100246801</v>
      </c>
      <c r="AP61" s="1">
        <v>34912</v>
      </c>
      <c r="AQ61" s="1">
        <v>34943</v>
      </c>
      <c r="AR61" s="1">
        <v>34973</v>
      </c>
      <c r="AS61">
        <v>8.0449999999999999</v>
      </c>
      <c r="AT61">
        <v>5.8101193547929503E-2</v>
      </c>
      <c r="AU61">
        <v>8.1031011935479302</v>
      </c>
    </row>
    <row r="62" spans="1:47" x14ac:dyDescent="0.25">
      <c r="A62" s="1">
        <v>34943</v>
      </c>
      <c r="B62">
        <v>7.8735186610658996</v>
      </c>
      <c r="C62">
        <v>7874040705</v>
      </c>
      <c r="D62">
        <v>7.9286280302693202</v>
      </c>
      <c r="E62">
        <v>7557224761</v>
      </c>
      <c r="F62">
        <v>8.0495015755642907</v>
      </c>
      <c r="G62">
        <v>5733303938</v>
      </c>
      <c r="H62">
        <v>7.9005076264507998</v>
      </c>
      <c r="I62">
        <v>8.0495015755642907</v>
      </c>
      <c r="J62">
        <v>0.14899394911348901</v>
      </c>
      <c r="W62" s="1">
        <v>35096</v>
      </c>
      <c r="X62">
        <v>9.7528817000629597E-2</v>
      </c>
      <c r="Y62">
        <v>6.20579566471696E-2</v>
      </c>
      <c r="AB62" s="1">
        <v>35096</v>
      </c>
      <c r="AC62">
        <v>7.327</v>
      </c>
      <c r="AD62">
        <v>7.4245288170006303</v>
      </c>
      <c r="AE62">
        <v>9.7528817000629597E-2</v>
      </c>
      <c r="AH62" s="1">
        <v>35004</v>
      </c>
      <c r="AI62" s="1">
        <v>35034</v>
      </c>
      <c r="AJ62" s="1">
        <v>35065</v>
      </c>
      <c r="AK62">
        <v>7.5730000000000004</v>
      </c>
      <c r="AL62">
        <v>0.13824136829508099</v>
      </c>
      <c r="AM62">
        <v>7.71124136829508</v>
      </c>
      <c r="AP62" s="1">
        <v>34943</v>
      </c>
      <c r="AQ62" s="1">
        <v>34973</v>
      </c>
      <c r="AR62" s="1">
        <v>35004</v>
      </c>
      <c r="AS62">
        <v>7.8049999999999997</v>
      </c>
      <c r="AT62">
        <v>0.14899394911348901</v>
      </c>
      <c r="AU62">
        <v>7.9539939491134897</v>
      </c>
    </row>
    <row r="63" spans="1:47" x14ac:dyDescent="0.25">
      <c r="A63" s="1">
        <v>34973</v>
      </c>
      <c r="B63">
        <v>7.9873787531675404</v>
      </c>
      <c r="C63">
        <v>8050920859</v>
      </c>
      <c r="D63">
        <v>7.8928645688164902</v>
      </c>
      <c r="E63">
        <v>6280474334</v>
      </c>
      <c r="F63">
        <v>8.1136416113871093</v>
      </c>
      <c r="G63">
        <v>4852340698</v>
      </c>
      <c r="H63">
        <v>7.9459596239744803</v>
      </c>
      <c r="I63">
        <v>8.1136416113871093</v>
      </c>
      <c r="J63">
        <v>0.16768198741263099</v>
      </c>
      <c r="W63" s="1">
        <v>35125</v>
      </c>
      <c r="X63">
        <v>8.0000966618624395E-2</v>
      </c>
      <c r="Y63">
        <v>4.3826846821458598E-2</v>
      </c>
      <c r="AB63" s="1">
        <v>35125</v>
      </c>
      <c r="AC63">
        <v>7.8650000000000002</v>
      </c>
      <c r="AD63">
        <v>7.9450009666186201</v>
      </c>
      <c r="AE63">
        <v>8.0000966618624395E-2</v>
      </c>
      <c r="AH63" s="1">
        <v>35034</v>
      </c>
      <c r="AI63" s="1">
        <v>35065</v>
      </c>
      <c r="AJ63" s="1">
        <v>35096</v>
      </c>
      <c r="AK63">
        <v>7.3612500000000001</v>
      </c>
      <c r="AL63">
        <v>0.115428198024169</v>
      </c>
      <c r="AM63">
        <v>7.4766781980241603</v>
      </c>
      <c r="AP63" s="1">
        <v>34973</v>
      </c>
      <c r="AQ63" s="1">
        <v>35004</v>
      </c>
      <c r="AR63" s="1">
        <v>35034</v>
      </c>
      <c r="AS63">
        <v>7.6875</v>
      </c>
      <c r="AT63">
        <v>0.16768198741263099</v>
      </c>
      <c r="AU63">
        <v>7.8551819874126299</v>
      </c>
    </row>
    <row r="64" spans="1:47" x14ac:dyDescent="0.25">
      <c r="A64" s="1">
        <v>35004</v>
      </c>
      <c r="B64">
        <v>7.9718035136767202</v>
      </c>
      <c r="C64">
        <v>7486315238</v>
      </c>
      <c r="D64">
        <v>7.82927566920812</v>
      </c>
      <c r="E64">
        <v>5424811473</v>
      </c>
      <c r="F64">
        <v>8.0099663828515002</v>
      </c>
      <c r="G64">
        <v>4964152448</v>
      </c>
      <c r="H64">
        <v>7.9119182144923803</v>
      </c>
      <c r="I64">
        <v>8.0099663828515002</v>
      </c>
      <c r="J64">
        <v>9.8048168359123805E-2</v>
      </c>
      <c r="W64" s="1">
        <v>35156</v>
      </c>
      <c r="X64">
        <v>8.5703557021957297E-2</v>
      </c>
      <c r="Y64">
        <v>0.20189752983262901</v>
      </c>
      <c r="AB64" s="1">
        <v>35156</v>
      </c>
      <c r="AC64">
        <v>8.1187499999999897</v>
      </c>
      <c r="AD64">
        <v>8.2044535570219495</v>
      </c>
      <c r="AE64">
        <v>8.5703557021957297E-2</v>
      </c>
      <c r="AH64" s="1">
        <v>35065</v>
      </c>
      <c r="AI64" s="1">
        <v>35096</v>
      </c>
      <c r="AJ64" s="1">
        <v>35125</v>
      </c>
      <c r="AK64">
        <v>7.2174999999999896</v>
      </c>
      <c r="AL64">
        <v>6.8813002943495502E-2</v>
      </c>
      <c r="AM64">
        <v>7.2863130029434897</v>
      </c>
      <c r="AP64" s="1">
        <v>35004</v>
      </c>
      <c r="AQ64" s="1">
        <v>35034</v>
      </c>
      <c r="AR64" s="1">
        <v>35065</v>
      </c>
      <c r="AS64">
        <v>7.5730000000000004</v>
      </c>
      <c r="AT64">
        <v>9.8048168359123805E-2</v>
      </c>
      <c r="AU64">
        <v>7.6710481683591203</v>
      </c>
    </row>
    <row r="65" spans="1:47" x14ac:dyDescent="0.25">
      <c r="A65" s="1">
        <v>35034</v>
      </c>
      <c r="B65">
        <v>7.8485944299147201</v>
      </c>
      <c r="C65">
        <v>7989950496</v>
      </c>
      <c r="D65">
        <v>7.7001821174729903</v>
      </c>
      <c r="E65">
        <v>6326229609</v>
      </c>
      <c r="F65">
        <v>7.8635664042884397</v>
      </c>
      <c r="G65">
        <v>5608505327</v>
      </c>
      <c r="H65">
        <v>7.78301196598769</v>
      </c>
      <c r="I65">
        <v>7.8635664042884397</v>
      </c>
      <c r="J65">
        <v>8.0554438300751902E-2</v>
      </c>
      <c r="W65" s="1">
        <v>35186</v>
      </c>
      <c r="X65">
        <v>0.118950353688765</v>
      </c>
      <c r="Y65">
        <v>0.29752894835997001</v>
      </c>
      <c r="AB65" s="1">
        <v>35186</v>
      </c>
      <c r="AC65">
        <v>8.2549999999999901</v>
      </c>
      <c r="AD65">
        <v>8.3739503536887607</v>
      </c>
      <c r="AE65">
        <v>0.118950353688765</v>
      </c>
      <c r="AH65" s="1">
        <v>35096</v>
      </c>
      <c r="AI65" s="1">
        <v>35125</v>
      </c>
      <c r="AJ65" s="1">
        <v>35156</v>
      </c>
      <c r="AK65">
        <v>7.327</v>
      </c>
      <c r="AL65">
        <v>5.6816265706177399E-2</v>
      </c>
      <c r="AM65">
        <v>7.3838162657061703</v>
      </c>
      <c r="AP65" s="1">
        <v>35034</v>
      </c>
      <c r="AQ65" s="1">
        <v>35065</v>
      </c>
      <c r="AR65" s="1">
        <v>35096</v>
      </c>
      <c r="AS65">
        <v>7.3612500000000001</v>
      </c>
      <c r="AT65">
        <v>8.0554438300751902E-2</v>
      </c>
      <c r="AU65">
        <v>7.4418044383007498</v>
      </c>
    </row>
    <row r="66" spans="1:47" x14ac:dyDescent="0.25">
      <c r="A66" s="1">
        <v>35065</v>
      </c>
      <c r="B66">
        <v>7.7466195428709002</v>
      </c>
      <c r="C66">
        <v>7318322681</v>
      </c>
      <c r="D66">
        <v>7.5577888275722502</v>
      </c>
      <c r="E66">
        <v>6902848348</v>
      </c>
      <c r="F66">
        <v>7.6827989507972996</v>
      </c>
      <c r="G66">
        <v>5425296034</v>
      </c>
      <c r="H66">
        <v>7.6549625486266901</v>
      </c>
      <c r="I66">
        <v>7.6827989507972996</v>
      </c>
      <c r="J66">
        <v>2.7836402170610699E-2</v>
      </c>
      <c r="W66" s="1">
        <v>35217</v>
      </c>
      <c r="X66">
        <v>0.14389437392423801</v>
      </c>
      <c r="Y66">
        <v>0.23021855971359301</v>
      </c>
      <c r="AB66" s="1">
        <v>35217</v>
      </c>
      <c r="AC66">
        <v>8.4949999999999992</v>
      </c>
      <c r="AD66">
        <v>8.6388943739242396</v>
      </c>
      <c r="AE66">
        <v>0.14389437392423801</v>
      </c>
      <c r="AH66" s="1">
        <v>35125</v>
      </c>
      <c r="AI66" s="1">
        <v>35156</v>
      </c>
      <c r="AJ66" s="1">
        <v>35186</v>
      </c>
      <c r="AK66">
        <v>7.8650000000000002</v>
      </c>
      <c r="AL66">
        <v>4.4573735213079599E-2</v>
      </c>
      <c r="AM66">
        <v>7.9095737352130797</v>
      </c>
      <c r="AP66" s="1">
        <v>35065</v>
      </c>
      <c r="AQ66" s="1">
        <v>35096</v>
      </c>
      <c r="AR66" s="1">
        <v>35125</v>
      </c>
      <c r="AS66">
        <v>7.2174999999999896</v>
      </c>
      <c r="AT66">
        <v>2.7836402170610699E-2</v>
      </c>
      <c r="AU66">
        <v>7.2453364021706097</v>
      </c>
    </row>
    <row r="67" spans="1:47" x14ac:dyDescent="0.25">
      <c r="A67" s="1">
        <v>35096</v>
      </c>
      <c r="B67">
        <v>7.5925275168346902</v>
      </c>
      <c r="C67">
        <v>8270003710</v>
      </c>
      <c r="D67">
        <v>7.3713112487329102</v>
      </c>
      <c r="E67">
        <v>6289757750</v>
      </c>
      <c r="F67">
        <v>7.5590209451383199</v>
      </c>
      <c r="G67">
        <v>5166934651</v>
      </c>
      <c r="H67">
        <v>7.4969629884911502</v>
      </c>
      <c r="I67">
        <v>7.5590209451383199</v>
      </c>
      <c r="J67">
        <v>6.20579566471696E-2</v>
      </c>
      <c r="W67" s="1">
        <v>35247</v>
      </c>
      <c r="X67">
        <v>0.16666439205599701</v>
      </c>
      <c r="Y67">
        <v>0.16445651096116101</v>
      </c>
      <c r="AB67" s="1">
        <v>35247</v>
      </c>
      <c r="AC67">
        <v>8.4324999999999992</v>
      </c>
      <c r="AD67">
        <v>8.5991643920559895</v>
      </c>
      <c r="AE67">
        <v>0.16666439205599701</v>
      </c>
      <c r="AH67" s="1">
        <v>35156</v>
      </c>
      <c r="AI67" s="1">
        <v>35186</v>
      </c>
      <c r="AJ67" s="1">
        <v>35217</v>
      </c>
      <c r="AK67">
        <v>8.1187499999999897</v>
      </c>
      <c r="AL67">
        <v>0.10259411110041899</v>
      </c>
      <c r="AM67">
        <v>8.2213441111004109</v>
      </c>
      <c r="AP67" s="1">
        <v>35096</v>
      </c>
      <c r="AQ67" s="1">
        <v>35125</v>
      </c>
      <c r="AR67" s="1">
        <v>35156</v>
      </c>
      <c r="AS67">
        <v>7.327</v>
      </c>
      <c r="AT67">
        <v>6.20579566471696E-2</v>
      </c>
      <c r="AU67">
        <v>7.3890579566471697</v>
      </c>
    </row>
    <row r="68" spans="1:47" x14ac:dyDescent="0.25">
      <c r="A68" s="1">
        <v>35125</v>
      </c>
      <c r="B68">
        <v>7.4695242962534598</v>
      </c>
      <c r="C68">
        <v>6999012924</v>
      </c>
      <c r="D68">
        <v>7.2915719141118398</v>
      </c>
      <c r="E68">
        <v>8159613794</v>
      </c>
      <c r="F68">
        <v>7.4175626037164202</v>
      </c>
      <c r="G68">
        <v>6962801410</v>
      </c>
      <c r="H68">
        <v>7.37373575689496</v>
      </c>
      <c r="I68">
        <v>7.4175626037164202</v>
      </c>
      <c r="J68">
        <v>4.3826846821458598E-2</v>
      </c>
      <c r="W68" s="1">
        <v>35278</v>
      </c>
      <c r="X68">
        <v>0.18146001702794401</v>
      </c>
      <c r="Y68">
        <v>0.15083170647885299</v>
      </c>
      <c r="AB68" s="1">
        <v>35278</v>
      </c>
      <c r="AC68">
        <v>8.1769999999999996</v>
      </c>
      <c r="AD68">
        <v>8.3584600170279408</v>
      </c>
      <c r="AE68">
        <v>0.18146001702794401</v>
      </c>
      <c r="AH68" s="1">
        <v>35186</v>
      </c>
      <c r="AI68" s="1">
        <v>35217</v>
      </c>
      <c r="AJ68" s="1">
        <v>35247</v>
      </c>
      <c r="AK68">
        <v>8.2549999999999901</v>
      </c>
      <c r="AL68">
        <v>0.18108444167135199</v>
      </c>
      <c r="AM68">
        <v>8.4360844416713494</v>
      </c>
      <c r="AP68" s="1">
        <v>35125</v>
      </c>
      <c r="AQ68" s="1">
        <v>35156</v>
      </c>
      <c r="AR68" s="1">
        <v>35186</v>
      </c>
      <c r="AS68">
        <v>7.8650000000000002</v>
      </c>
      <c r="AT68">
        <v>4.3826846821458598E-2</v>
      </c>
      <c r="AU68">
        <v>7.9088268468214498</v>
      </c>
    </row>
    <row r="69" spans="1:47" x14ac:dyDescent="0.25">
      <c r="A69" s="1">
        <v>35156</v>
      </c>
      <c r="B69">
        <v>7.4183355431981601</v>
      </c>
      <c r="C69">
        <v>9273487262</v>
      </c>
      <c r="D69">
        <v>7.5194007523956996</v>
      </c>
      <c r="E69">
        <v>7114307524</v>
      </c>
      <c r="F69">
        <v>7.6641077363151302</v>
      </c>
      <c r="G69">
        <v>6557141806</v>
      </c>
      <c r="H69">
        <v>7.4622102064825002</v>
      </c>
      <c r="I69">
        <v>7.6641077363151302</v>
      </c>
      <c r="J69">
        <v>0.20189752983262901</v>
      </c>
      <c r="W69" s="1">
        <v>35309</v>
      </c>
      <c r="X69">
        <v>0.19648605865959601</v>
      </c>
      <c r="Y69">
        <v>0.133983096611373</v>
      </c>
      <c r="AB69" s="1">
        <v>35309</v>
      </c>
      <c r="AC69">
        <v>8.4049999999999994</v>
      </c>
      <c r="AD69">
        <v>8.6014860586595905</v>
      </c>
      <c r="AE69">
        <v>0.19648605865959601</v>
      </c>
      <c r="AH69" s="1">
        <v>35217</v>
      </c>
      <c r="AI69" s="1">
        <v>35247</v>
      </c>
      <c r="AJ69" s="1">
        <v>35278</v>
      </c>
      <c r="AK69">
        <v>8.4949999999999992</v>
      </c>
      <c r="AL69">
        <v>0.24321501263539699</v>
      </c>
      <c r="AM69">
        <v>8.7382150126353899</v>
      </c>
      <c r="AP69" s="1">
        <v>35156</v>
      </c>
      <c r="AQ69" s="1">
        <v>35186</v>
      </c>
      <c r="AR69" s="1">
        <v>35217</v>
      </c>
      <c r="AS69">
        <v>8.1187499999999897</v>
      </c>
      <c r="AT69">
        <v>0.20189752983262901</v>
      </c>
      <c r="AU69">
        <v>8.3206475298326197</v>
      </c>
    </row>
    <row r="70" spans="1:47" x14ac:dyDescent="0.25">
      <c r="A70" s="1">
        <v>35186</v>
      </c>
      <c r="B70">
        <v>7.6292469959847402</v>
      </c>
      <c r="C70">
        <v>8916820819</v>
      </c>
      <c r="D70">
        <v>7.9741633469715802</v>
      </c>
      <c r="E70">
        <v>5387717210</v>
      </c>
      <c r="F70">
        <v>8.0566865892362003</v>
      </c>
      <c r="G70">
        <v>5813166810</v>
      </c>
      <c r="H70">
        <v>7.7591576408762304</v>
      </c>
      <c r="I70">
        <v>8.0566865892362003</v>
      </c>
      <c r="J70">
        <v>0.29752894835997001</v>
      </c>
      <c r="W70" s="1">
        <v>35339</v>
      </c>
      <c r="X70">
        <v>0.19070110151789099</v>
      </c>
      <c r="Y70">
        <v>0.167187786982394</v>
      </c>
      <c r="AB70" s="1">
        <v>35339</v>
      </c>
      <c r="AC70">
        <v>8.0730000000000004</v>
      </c>
      <c r="AD70">
        <v>8.2637011015178903</v>
      </c>
      <c r="AE70">
        <v>0.19070110151789099</v>
      </c>
      <c r="AH70" s="1">
        <v>35247</v>
      </c>
      <c r="AI70" s="1">
        <v>35278</v>
      </c>
      <c r="AJ70" s="1">
        <v>35309</v>
      </c>
      <c r="AK70">
        <v>8.4324999999999992</v>
      </c>
      <c r="AL70">
        <v>0.23073467301157499</v>
      </c>
      <c r="AM70">
        <v>8.6632346730115692</v>
      </c>
      <c r="AP70" s="1">
        <v>35186</v>
      </c>
      <c r="AQ70" s="1">
        <v>35217</v>
      </c>
      <c r="AR70" s="1">
        <v>35247</v>
      </c>
      <c r="AS70">
        <v>8.2549999999999901</v>
      </c>
      <c r="AT70">
        <v>0.29752894835997001</v>
      </c>
      <c r="AU70">
        <v>8.55252894835996</v>
      </c>
    </row>
    <row r="71" spans="1:47" x14ac:dyDescent="0.25">
      <c r="A71" s="1">
        <v>35217</v>
      </c>
      <c r="B71">
        <v>8.0147037609413694</v>
      </c>
      <c r="C71">
        <v>7305175371</v>
      </c>
      <c r="D71">
        <v>8.1761247738863592</v>
      </c>
      <c r="E71">
        <v>5522704999</v>
      </c>
      <c r="F71">
        <v>8.3144178732654996</v>
      </c>
      <c r="G71">
        <v>6164389758</v>
      </c>
      <c r="H71">
        <v>8.0841993135519008</v>
      </c>
      <c r="I71">
        <v>8.3144178732654996</v>
      </c>
      <c r="J71">
        <v>0.23021855971359301</v>
      </c>
      <c r="W71" s="1">
        <v>35370</v>
      </c>
      <c r="X71">
        <v>0.173287556394185</v>
      </c>
      <c r="Y71">
        <v>0.193047677617737</v>
      </c>
      <c r="AB71" s="1">
        <v>35370</v>
      </c>
      <c r="AC71">
        <v>7.7712500000000002</v>
      </c>
      <c r="AD71">
        <v>7.94453755639418</v>
      </c>
      <c r="AE71">
        <v>0.173287556394185</v>
      </c>
      <c r="AH71" s="1">
        <v>35278</v>
      </c>
      <c r="AI71" s="1">
        <v>35309</v>
      </c>
      <c r="AJ71" s="1">
        <v>35339</v>
      </c>
      <c r="AK71">
        <v>8.1769999999999996</v>
      </c>
      <c r="AL71">
        <v>0.181835592384536</v>
      </c>
      <c r="AM71">
        <v>8.3588355923845299</v>
      </c>
      <c r="AP71" s="1">
        <v>35217</v>
      </c>
      <c r="AQ71" s="1">
        <v>35247</v>
      </c>
      <c r="AR71" s="1">
        <v>35278</v>
      </c>
      <c r="AS71">
        <v>8.4949999999999992</v>
      </c>
      <c r="AT71">
        <v>0.23021855971359301</v>
      </c>
      <c r="AU71">
        <v>8.7252185597135892</v>
      </c>
    </row>
    <row r="72" spans="1:47" x14ac:dyDescent="0.25">
      <c r="A72" s="1">
        <v>35247</v>
      </c>
      <c r="B72">
        <v>8.2392008667442997</v>
      </c>
      <c r="C72">
        <v>6293072531</v>
      </c>
      <c r="D72">
        <v>8.3847662429921392</v>
      </c>
      <c r="E72">
        <v>5640145111</v>
      </c>
      <c r="F72">
        <v>8.4724577524078892</v>
      </c>
      <c r="G72">
        <v>5386537756</v>
      </c>
      <c r="H72">
        <v>8.3080012414467195</v>
      </c>
      <c r="I72">
        <v>8.4724577524078892</v>
      </c>
      <c r="J72">
        <v>0.16445651096116101</v>
      </c>
      <c r="W72" s="1">
        <v>35400</v>
      </c>
      <c r="X72">
        <v>0.165462021529408</v>
      </c>
      <c r="Y72">
        <v>0.18326535052493201</v>
      </c>
      <c r="AB72" s="1">
        <v>35400</v>
      </c>
      <c r="AC72">
        <v>7.7787499999999996</v>
      </c>
      <c r="AD72">
        <v>7.9442120215294096</v>
      </c>
      <c r="AE72">
        <v>0.165462021529408</v>
      </c>
      <c r="AH72" s="1">
        <v>35309</v>
      </c>
      <c r="AI72" s="1">
        <v>35339</v>
      </c>
      <c r="AJ72" s="1">
        <v>35370</v>
      </c>
      <c r="AK72">
        <v>8.4049999999999994</v>
      </c>
      <c r="AL72">
        <v>0.14975710468379599</v>
      </c>
      <c r="AM72">
        <v>8.5547571046837891</v>
      </c>
      <c r="AP72" s="1">
        <v>35247</v>
      </c>
      <c r="AQ72" s="1">
        <v>35278</v>
      </c>
      <c r="AR72" s="1">
        <v>35309</v>
      </c>
      <c r="AS72">
        <v>8.4324999999999992</v>
      </c>
      <c r="AT72">
        <v>0.16445651096116101</v>
      </c>
      <c r="AU72">
        <v>8.5969565109611601</v>
      </c>
    </row>
    <row r="73" spans="1:47" x14ac:dyDescent="0.25">
      <c r="A73" s="1">
        <v>35278</v>
      </c>
      <c r="B73">
        <v>8.3793054629479702</v>
      </c>
      <c r="C73">
        <v>5889896339</v>
      </c>
      <c r="D73">
        <v>8.4612591044875298</v>
      </c>
      <c r="E73">
        <v>4483370273</v>
      </c>
      <c r="F73">
        <v>8.5655578844229598</v>
      </c>
      <c r="G73">
        <v>5278834475</v>
      </c>
      <c r="H73">
        <v>8.4147261779441003</v>
      </c>
      <c r="I73">
        <v>8.5655578844229598</v>
      </c>
      <c r="J73">
        <v>0.15083170647885299</v>
      </c>
      <c r="W73" s="1">
        <v>35431</v>
      </c>
      <c r="X73">
        <v>0.15808854991683599</v>
      </c>
      <c r="Y73">
        <v>0.120215681285727</v>
      </c>
      <c r="AB73" s="1">
        <v>35431</v>
      </c>
      <c r="AC73">
        <v>8.0190000000000001</v>
      </c>
      <c r="AD73">
        <v>8.1770885499168298</v>
      </c>
      <c r="AE73">
        <v>0.15808854991683599</v>
      </c>
      <c r="AH73" s="1">
        <v>35339</v>
      </c>
      <c r="AI73" s="1">
        <v>35370</v>
      </c>
      <c r="AJ73" s="1">
        <v>35400</v>
      </c>
      <c r="AK73">
        <v>8.0730000000000004</v>
      </c>
      <c r="AL73">
        <v>0.15066753002420699</v>
      </c>
      <c r="AM73">
        <v>8.2236675300241995</v>
      </c>
      <c r="AP73" s="1">
        <v>35278</v>
      </c>
      <c r="AQ73" s="1">
        <v>35309</v>
      </c>
      <c r="AR73" s="1">
        <v>35339</v>
      </c>
      <c r="AS73">
        <v>8.1769999999999996</v>
      </c>
      <c r="AT73">
        <v>0.15083170647885299</v>
      </c>
      <c r="AU73">
        <v>8.3278317064788503</v>
      </c>
    </row>
    <row r="74" spans="1:47" x14ac:dyDescent="0.25">
      <c r="A74" s="1">
        <v>35309</v>
      </c>
      <c r="B74">
        <v>8.4494181208652304</v>
      </c>
      <c r="C74">
        <v>6048885103</v>
      </c>
      <c r="D74">
        <v>8.3208434404012905</v>
      </c>
      <c r="E74">
        <v>6942325683</v>
      </c>
      <c r="F74">
        <v>8.5146926635879794</v>
      </c>
      <c r="G74">
        <v>5313814443</v>
      </c>
      <c r="H74">
        <v>8.3807095669766092</v>
      </c>
      <c r="I74">
        <v>8.5146926635879794</v>
      </c>
      <c r="J74">
        <v>0.133983096611373</v>
      </c>
      <c r="W74" s="1">
        <v>35462</v>
      </c>
      <c r="X74">
        <v>0.16770041792146001</v>
      </c>
      <c r="Y74">
        <v>0.208502914506599</v>
      </c>
      <c r="AB74" s="1">
        <v>35462</v>
      </c>
      <c r="AC74">
        <v>7.8250000000000002</v>
      </c>
      <c r="AD74">
        <v>7.9927004179214602</v>
      </c>
      <c r="AE74">
        <v>0.16770041792146001</v>
      </c>
      <c r="AH74" s="1">
        <v>35370</v>
      </c>
      <c r="AI74" s="1">
        <v>35400</v>
      </c>
      <c r="AJ74" s="1">
        <v>35431</v>
      </c>
      <c r="AK74">
        <v>7.7712500000000002</v>
      </c>
      <c r="AL74">
        <v>0.16473952040383499</v>
      </c>
      <c r="AM74">
        <v>7.9359895204038304</v>
      </c>
      <c r="AP74" s="1">
        <v>35309</v>
      </c>
      <c r="AQ74" s="1">
        <v>35339</v>
      </c>
      <c r="AR74" s="1">
        <v>35370</v>
      </c>
      <c r="AS74">
        <v>8.4049999999999994</v>
      </c>
      <c r="AT74">
        <v>0.133983096611373</v>
      </c>
      <c r="AU74">
        <v>8.5389830966113696</v>
      </c>
    </row>
    <row r="75" spans="1:47" x14ac:dyDescent="0.25">
      <c r="A75" s="1">
        <v>35339</v>
      </c>
      <c r="B75">
        <v>8.30874826236861</v>
      </c>
      <c r="C75">
        <v>5929893313</v>
      </c>
      <c r="D75">
        <v>8.3395001874573893</v>
      </c>
      <c r="E75">
        <v>4762722255</v>
      </c>
      <c r="F75">
        <v>8.4896336219489292</v>
      </c>
      <c r="G75">
        <v>4930361316</v>
      </c>
      <c r="H75">
        <v>8.3224458349665404</v>
      </c>
      <c r="I75">
        <v>8.4896336219489292</v>
      </c>
      <c r="J75">
        <v>0.167187786982394</v>
      </c>
      <c r="W75" s="1">
        <v>35490</v>
      </c>
      <c r="X75">
        <v>0.17242351187751201</v>
      </c>
      <c r="Y75">
        <v>0.162321660347682</v>
      </c>
      <c r="AB75" s="1">
        <v>35490</v>
      </c>
      <c r="AC75">
        <v>8.0850000000000009</v>
      </c>
      <c r="AD75">
        <v>8.2574235118775103</v>
      </c>
      <c r="AE75">
        <v>0.17242351187751201</v>
      </c>
      <c r="AH75" s="1">
        <v>35400</v>
      </c>
      <c r="AI75" s="1">
        <v>35431</v>
      </c>
      <c r="AJ75" s="1">
        <v>35462</v>
      </c>
      <c r="AK75">
        <v>7.7787499999999996</v>
      </c>
      <c r="AL75">
        <v>0.18116693837502101</v>
      </c>
      <c r="AM75">
        <v>7.9599169383750201</v>
      </c>
      <c r="AP75" s="1">
        <v>35339</v>
      </c>
      <c r="AQ75" s="1">
        <v>35370</v>
      </c>
      <c r="AR75" s="1">
        <v>35400</v>
      </c>
      <c r="AS75">
        <v>8.0730000000000004</v>
      </c>
      <c r="AT75">
        <v>0.167187786982394</v>
      </c>
      <c r="AU75">
        <v>8.2401877869823892</v>
      </c>
    </row>
    <row r="76" spans="1:47" x14ac:dyDescent="0.25">
      <c r="A76" s="1">
        <v>35370</v>
      </c>
      <c r="B76">
        <v>8.3569894251536603</v>
      </c>
      <c r="C76">
        <v>4851203732</v>
      </c>
      <c r="D76">
        <v>8.1926794229475597</v>
      </c>
      <c r="E76">
        <v>5260315753</v>
      </c>
      <c r="F76">
        <v>8.4645581107897794</v>
      </c>
      <c r="G76">
        <v>4509603491</v>
      </c>
      <c r="H76">
        <v>8.2715104331720504</v>
      </c>
      <c r="I76">
        <v>8.4645581107897794</v>
      </c>
      <c r="J76">
        <v>0.193047677617737</v>
      </c>
      <c r="W76" s="1">
        <v>35521</v>
      </c>
      <c r="X76">
        <v>0.174680079889419</v>
      </c>
      <c r="Y76">
        <v>0.180727195053836</v>
      </c>
      <c r="AB76" s="1">
        <v>35521</v>
      </c>
      <c r="AC76">
        <v>8.3237500000000004</v>
      </c>
      <c r="AD76">
        <v>8.4984300798894203</v>
      </c>
      <c r="AE76">
        <v>0.174680079889419</v>
      </c>
      <c r="AH76" s="1">
        <v>35431</v>
      </c>
      <c r="AI76" s="1">
        <v>35462</v>
      </c>
      <c r="AJ76" s="1">
        <v>35490</v>
      </c>
      <c r="AK76">
        <v>8.0190000000000001</v>
      </c>
      <c r="AL76">
        <v>0.16550956980946499</v>
      </c>
      <c r="AM76">
        <v>8.1845095698094603</v>
      </c>
      <c r="AP76" s="1">
        <v>35370</v>
      </c>
      <c r="AQ76" s="1">
        <v>35400</v>
      </c>
      <c r="AR76" s="1">
        <v>35431</v>
      </c>
      <c r="AS76">
        <v>7.7712500000000002</v>
      </c>
      <c r="AT76">
        <v>0.193047677617737</v>
      </c>
      <c r="AU76">
        <v>7.9642976776177301</v>
      </c>
    </row>
    <row r="77" spans="1:47" x14ac:dyDescent="0.25">
      <c r="A77" s="1">
        <v>35400</v>
      </c>
      <c r="B77">
        <v>8.2534000139821799</v>
      </c>
      <c r="C77">
        <v>4994356120</v>
      </c>
      <c r="D77">
        <v>7.8974863132655999</v>
      </c>
      <c r="E77">
        <v>6020536025</v>
      </c>
      <c r="F77">
        <v>8.2421295280461102</v>
      </c>
      <c r="G77">
        <v>4559084196</v>
      </c>
      <c r="H77">
        <v>8.0588641775211798</v>
      </c>
      <c r="I77">
        <v>8.2421295280461102</v>
      </c>
      <c r="J77">
        <v>0.18326535052493201</v>
      </c>
      <c r="W77" s="1">
        <v>35551</v>
      </c>
      <c r="X77">
        <v>0.186929887275948</v>
      </c>
      <c r="Y77">
        <v>0.26654652193691297</v>
      </c>
      <c r="AB77" s="1">
        <v>35551</v>
      </c>
      <c r="AC77">
        <v>8.109</v>
      </c>
      <c r="AD77">
        <v>8.2959298872759408</v>
      </c>
      <c r="AE77">
        <v>0.186929887275948</v>
      </c>
      <c r="AH77" s="1">
        <v>35462</v>
      </c>
      <c r="AI77" s="1">
        <v>35490</v>
      </c>
      <c r="AJ77" s="1">
        <v>35521</v>
      </c>
      <c r="AK77">
        <v>7.8250000000000002</v>
      </c>
      <c r="AL77">
        <v>0.170661315439086</v>
      </c>
      <c r="AM77">
        <v>7.9956613154390803</v>
      </c>
      <c r="AP77" s="1">
        <v>35400</v>
      </c>
      <c r="AQ77" s="1">
        <v>35431</v>
      </c>
      <c r="AR77" s="1">
        <v>35462</v>
      </c>
      <c r="AS77">
        <v>7.7787499999999996</v>
      </c>
      <c r="AT77">
        <v>0.18326535052493201</v>
      </c>
      <c r="AU77">
        <v>7.96201535052493</v>
      </c>
    </row>
    <row r="78" spans="1:47" x14ac:dyDescent="0.25">
      <c r="A78" s="1">
        <v>35431</v>
      </c>
      <c r="B78">
        <v>8.0419139353281501</v>
      </c>
      <c r="C78">
        <v>4975259660</v>
      </c>
      <c r="D78">
        <v>7.8750213730851302</v>
      </c>
      <c r="E78">
        <v>5383102359</v>
      </c>
      <c r="F78">
        <v>8.0753977816131197</v>
      </c>
      <c r="G78">
        <v>5188534492</v>
      </c>
      <c r="H78">
        <v>7.9551821003274004</v>
      </c>
      <c r="I78">
        <v>8.0753977816131197</v>
      </c>
      <c r="J78">
        <v>0.120215681285727</v>
      </c>
      <c r="W78" s="1">
        <v>35582</v>
      </c>
      <c r="X78">
        <v>0.189520525980232</v>
      </c>
      <c r="Y78">
        <v>0.198809182750638</v>
      </c>
      <c r="AB78" s="1">
        <v>35582</v>
      </c>
      <c r="AC78">
        <v>7.8649999999999904</v>
      </c>
      <c r="AD78">
        <v>8.0545205259802302</v>
      </c>
      <c r="AE78">
        <v>0.189520525980232</v>
      </c>
      <c r="AH78" s="1">
        <v>35490</v>
      </c>
      <c r="AI78" s="1">
        <v>35521</v>
      </c>
      <c r="AJ78" s="1">
        <v>35551</v>
      </c>
      <c r="AK78">
        <v>8.0850000000000009</v>
      </c>
      <c r="AL78">
        <v>0.163680085380003</v>
      </c>
      <c r="AM78">
        <v>8.2486800853800002</v>
      </c>
      <c r="AP78" s="1">
        <v>35431</v>
      </c>
      <c r="AQ78" s="1">
        <v>35462</v>
      </c>
      <c r="AR78" s="1">
        <v>35490</v>
      </c>
      <c r="AS78">
        <v>8.0190000000000001</v>
      </c>
      <c r="AT78">
        <v>0.120215681285727</v>
      </c>
      <c r="AU78">
        <v>8.1392156812857195</v>
      </c>
    </row>
    <row r="79" spans="1:47" x14ac:dyDescent="0.25">
      <c r="A79" s="1">
        <v>35462</v>
      </c>
      <c r="B79">
        <v>7.9242598089145497</v>
      </c>
      <c r="C79">
        <v>6081693381</v>
      </c>
      <c r="D79">
        <v>7.9028283137051103</v>
      </c>
      <c r="E79">
        <v>3645134269</v>
      </c>
      <c r="F79">
        <v>8.12473125823694</v>
      </c>
      <c r="G79">
        <v>3804510335</v>
      </c>
      <c r="H79">
        <v>7.9162283437303396</v>
      </c>
      <c r="I79">
        <v>8.12473125823694</v>
      </c>
      <c r="J79">
        <v>0.208502914506599</v>
      </c>
      <c r="W79" s="1">
        <v>35612</v>
      </c>
      <c r="X79">
        <v>0.19414925500284599</v>
      </c>
      <c r="Y79">
        <v>0.147988055421407</v>
      </c>
      <c r="AB79" s="1">
        <v>35612</v>
      </c>
      <c r="AC79">
        <v>7.6599999999999904</v>
      </c>
      <c r="AD79">
        <v>7.8541492550028398</v>
      </c>
      <c r="AE79">
        <v>0.19414925500284599</v>
      </c>
      <c r="AH79" s="1">
        <v>35521</v>
      </c>
      <c r="AI79" s="1">
        <v>35551</v>
      </c>
      <c r="AJ79" s="1">
        <v>35582</v>
      </c>
      <c r="AK79">
        <v>8.3237500000000004</v>
      </c>
      <c r="AL79">
        <v>0.18385058996937201</v>
      </c>
      <c r="AM79">
        <v>8.5076005899693694</v>
      </c>
      <c r="AP79" s="1">
        <v>35462</v>
      </c>
      <c r="AQ79" s="1">
        <v>35490</v>
      </c>
      <c r="AR79" s="1">
        <v>35521</v>
      </c>
      <c r="AS79">
        <v>7.8250000000000002</v>
      </c>
      <c r="AT79">
        <v>0.208502914506599</v>
      </c>
      <c r="AU79">
        <v>8.0335029145065899</v>
      </c>
    </row>
    <row r="80" spans="1:47" x14ac:dyDescent="0.25">
      <c r="A80" s="1">
        <v>35490</v>
      </c>
      <c r="B80">
        <v>7.9634821344829403</v>
      </c>
      <c r="C80">
        <v>4637383303</v>
      </c>
      <c r="D80">
        <v>7.9912806891172803</v>
      </c>
      <c r="E80">
        <v>4036066966</v>
      </c>
      <c r="F80">
        <v>8.13873945763868</v>
      </c>
      <c r="G80">
        <v>3988403900</v>
      </c>
      <c r="H80">
        <v>7.9764177972909902</v>
      </c>
      <c r="I80">
        <v>8.13873945763868</v>
      </c>
      <c r="J80">
        <v>0.162321660347682</v>
      </c>
      <c r="W80" s="1">
        <v>35643</v>
      </c>
      <c r="X80">
        <v>0.17803746896502101</v>
      </c>
      <c r="Y80">
        <v>0.11183219827964801</v>
      </c>
      <c r="AB80" s="1">
        <v>35643</v>
      </c>
      <c r="AC80">
        <v>7.6912499999999904</v>
      </c>
      <c r="AD80">
        <v>7.8692874689650196</v>
      </c>
      <c r="AE80">
        <v>0.17803746896502101</v>
      </c>
      <c r="AH80" s="1">
        <v>35551</v>
      </c>
      <c r="AI80" s="1">
        <v>35582</v>
      </c>
      <c r="AJ80" s="1">
        <v>35612</v>
      </c>
      <c r="AK80">
        <v>8.109</v>
      </c>
      <c r="AL80">
        <v>0.20319845911281001</v>
      </c>
      <c r="AM80">
        <v>8.3121984591128104</v>
      </c>
      <c r="AP80" s="1">
        <v>35490</v>
      </c>
      <c r="AQ80" s="1">
        <v>35521</v>
      </c>
      <c r="AR80" s="1">
        <v>35551</v>
      </c>
      <c r="AS80">
        <v>8.0850000000000009</v>
      </c>
      <c r="AT80">
        <v>0.162321660347682</v>
      </c>
      <c r="AU80">
        <v>8.24732166034768</v>
      </c>
    </row>
    <row r="81" spans="1:47" x14ac:dyDescent="0.25">
      <c r="A81" s="1">
        <v>35521</v>
      </c>
      <c r="B81">
        <v>7.9715256202644902</v>
      </c>
      <c r="C81">
        <v>4601872008</v>
      </c>
      <c r="D81">
        <v>8.0073511327105305</v>
      </c>
      <c r="E81">
        <v>5727020644</v>
      </c>
      <c r="F81">
        <v>8.1721168468532603</v>
      </c>
      <c r="G81">
        <v>4806534556</v>
      </c>
      <c r="H81">
        <v>7.9913896517994303</v>
      </c>
      <c r="I81">
        <v>8.1721168468532603</v>
      </c>
      <c r="J81">
        <v>0.180727195053836</v>
      </c>
      <c r="W81" s="1">
        <v>35674</v>
      </c>
      <c r="X81">
        <v>0.174037963143889</v>
      </c>
      <c r="Y81">
        <v>0.13832462542089</v>
      </c>
      <c r="AB81" s="1">
        <v>35674</v>
      </c>
      <c r="AC81">
        <v>7.6050000000000004</v>
      </c>
      <c r="AD81">
        <v>7.7790379631438897</v>
      </c>
      <c r="AE81">
        <v>0.174037963143889</v>
      </c>
      <c r="AH81" s="1">
        <v>35582</v>
      </c>
      <c r="AI81" s="1">
        <v>35612</v>
      </c>
      <c r="AJ81" s="1">
        <v>35643</v>
      </c>
      <c r="AK81">
        <v>7.8649999999999904</v>
      </c>
      <c r="AL81">
        <v>0.215360966580462</v>
      </c>
      <c r="AM81">
        <v>8.0803609665804608</v>
      </c>
      <c r="AP81" s="1">
        <v>35521</v>
      </c>
      <c r="AQ81" s="1">
        <v>35551</v>
      </c>
      <c r="AR81" s="1">
        <v>35582</v>
      </c>
      <c r="AS81">
        <v>8.3237500000000004</v>
      </c>
      <c r="AT81">
        <v>0.180727195053836</v>
      </c>
      <c r="AU81">
        <v>8.5044771950538305</v>
      </c>
    </row>
    <row r="82" spans="1:47" x14ac:dyDescent="0.25">
      <c r="A82" s="1">
        <v>35551</v>
      </c>
      <c r="B82">
        <v>8.0117717407932307</v>
      </c>
      <c r="C82">
        <v>6367356965</v>
      </c>
      <c r="D82">
        <v>8.1802805487190895</v>
      </c>
      <c r="E82">
        <v>4189227610</v>
      </c>
      <c r="F82">
        <v>8.3451885412445606</v>
      </c>
      <c r="G82">
        <v>4820072643</v>
      </c>
      <c r="H82">
        <v>8.0786420193076491</v>
      </c>
      <c r="I82">
        <v>8.3451885412445606</v>
      </c>
      <c r="J82">
        <v>0.26654652193691297</v>
      </c>
      <c r="W82" s="1">
        <v>35704</v>
      </c>
      <c r="X82">
        <v>0.16961080459173999</v>
      </c>
      <c r="Y82">
        <v>0.15416424374094301</v>
      </c>
      <c r="AB82" s="1">
        <v>35704</v>
      </c>
      <c r="AC82">
        <v>7.4739999999999904</v>
      </c>
      <c r="AD82">
        <v>7.6436108045917397</v>
      </c>
      <c r="AE82">
        <v>0.16961080459173999</v>
      </c>
      <c r="AH82" s="1">
        <v>35612</v>
      </c>
      <c r="AI82" s="1">
        <v>35643</v>
      </c>
      <c r="AJ82" s="1">
        <v>35674</v>
      </c>
      <c r="AK82">
        <v>7.6599999999999904</v>
      </c>
      <c r="AL82">
        <v>0.20444792003631901</v>
      </c>
      <c r="AM82">
        <v>7.8644479200363104</v>
      </c>
      <c r="AP82" s="1">
        <v>35551</v>
      </c>
      <c r="AQ82" s="1">
        <v>35582</v>
      </c>
      <c r="AR82" s="1">
        <v>35612</v>
      </c>
      <c r="AS82">
        <v>8.109</v>
      </c>
      <c r="AT82">
        <v>0.26654652193691297</v>
      </c>
      <c r="AU82">
        <v>8.3755465219369096</v>
      </c>
    </row>
    <row r="83" spans="1:47" x14ac:dyDescent="0.25">
      <c r="A83" s="1">
        <v>35582</v>
      </c>
      <c r="B83">
        <v>8.1711674885369305</v>
      </c>
      <c r="C83">
        <v>5142191936</v>
      </c>
      <c r="D83">
        <v>8.2223943420569796</v>
      </c>
      <c r="E83">
        <v>4853035019</v>
      </c>
      <c r="F83">
        <v>8.3948491144212003</v>
      </c>
      <c r="G83">
        <v>5133121609</v>
      </c>
      <c r="H83">
        <v>8.1960399316705601</v>
      </c>
      <c r="I83">
        <v>8.3948491144212003</v>
      </c>
      <c r="J83">
        <v>0.198809182750638</v>
      </c>
      <c r="W83" s="1">
        <v>35735</v>
      </c>
      <c r="X83">
        <v>0.14772730861049099</v>
      </c>
      <c r="Y83">
        <v>0.13524554604941699</v>
      </c>
      <c r="AB83" s="1">
        <v>35735</v>
      </c>
      <c r="AC83">
        <v>7.3862500000000004</v>
      </c>
      <c r="AD83">
        <v>7.5339773086104902</v>
      </c>
      <c r="AE83">
        <v>0.14772730861049099</v>
      </c>
      <c r="AH83" s="1">
        <v>35643</v>
      </c>
      <c r="AI83" s="1">
        <v>35674</v>
      </c>
      <c r="AJ83" s="1">
        <v>35704</v>
      </c>
      <c r="AK83">
        <v>7.6912499999999904</v>
      </c>
      <c r="AL83">
        <v>0.15287647881723099</v>
      </c>
      <c r="AM83">
        <v>7.8441264788172296</v>
      </c>
      <c r="AP83" s="1">
        <v>35582</v>
      </c>
      <c r="AQ83" s="1">
        <v>35612</v>
      </c>
      <c r="AR83" s="1">
        <v>35643</v>
      </c>
      <c r="AS83">
        <v>7.8649999999999904</v>
      </c>
      <c r="AT83">
        <v>0.198809182750638</v>
      </c>
      <c r="AU83">
        <v>8.0638091827506297</v>
      </c>
    </row>
    <row r="84" spans="1:47" x14ac:dyDescent="0.25">
      <c r="A84" s="1">
        <v>35612</v>
      </c>
      <c r="B84">
        <v>8.1985948364210799</v>
      </c>
      <c r="C84">
        <v>5987155557</v>
      </c>
      <c r="D84">
        <v>8.0581218725226602</v>
      </c>
      <c r="E84">
        <v>5898978410</v>
      </c>
      <c r="F84">
        <v>8.2768674584201403</v>
      </c>
      <c r="G84">
        <v>5759310330</v>
      </c>
      <c r="H84">
        <v>8.1288794029987308</v>
      </c>
      <c r="I84">
        <v>8.2768674584201403</v>
      </c>
      <c r="J84">
        <v>0.147988055421407</v>
      </c>
      <c r="W84" s="1">
        <v>35765</v>
      </c>
      <c r="X84">
        <v>0.140547870273381</v>
      </c>
      <c r="Y84">
        <v>0.15573255272797901</v>
      </c>
      <c r="AB84" s="1">
        <v>35765</v>
      </c>
      <c r="AC84">
        <v>7.2949999999999999</v>
      </c>
      <c r="AD84">
        <v>7.4355478702733802</v>
      </c>
      <c r="AE84">
        <v>0.140547870273381</v>
      </c>
      <c r="AH84" s="1">
        <v>35674</v>
      </c>
      <c r="AI84" s="1">
        <v>35704</v>
      </c>
      <c r="AJ84" s="1">
        <v>35735</v>
      </c>
      <c r="AK84">
        <v>7.6050000000000004</v>
      </c>
      <c r="AL84">
        <v>0.13271495970731501</v>
      </c>
      <c r="AM84">
        <v>7.7377149597073096</v>
      </c>
      <c r="AP84" s="1">
        <v>35612</v>
      </c>
      <c r="AQ84" s="1">
        <v>35643</v>
      </c>
      <c r="AR84" s="1">
        <v>35674</v>
      </c>
      <c r="AS84">
        <v>7.6599999999999904</v>
      </c>
      <c r="AT84">
        <v>0.147988055421407</v>
      </c>
      <c r="AU84">
        <v>7.8079880554213998</v>
      </c>
    </row>
    <row r="85" spans="1:47" x14ac:dyDescent="0.25">
      <c r="A85" s="1">
        <v>35643</v>
      </c>
      <c r="B85">
        <v>8.0684264604660392</v>
      </c>
      <c r="C85">
        <v>6887080449</v>
      </c>
      <c r="D85">
        <v>7.8279746053260899</v>
      </c>
      <c r="E85">
        <v>5648146086</v>
      </c>
      <c r="F85">
        <v>8.0719154069753198</v>
      </c>
      <c r="G85">
        <v>5760712445</v>
      </c>
      <c r="H85">
        <v>7.9600832086956697</v>
      </c>
      <c r="I85">
        <v>8.0719154069753198</v>
      </c>
      <c r="J85">
        <v>0.11183219827964801</v>
      </c>
      <c r="W85" s="1">
        <v>35796</v>
      </c>
      <c r="X85">
        <v>0.14516889227450999</v>
      </c>
      <c r="Y85">
        <v>0.17571418742818201</v>
      </c>
      <c r="AB85" s="1">
        <v>35796</v>
      </c>
      <c r="AC85">
        <v>7.0890000000000004</v>
      </c>
      <c r="AD85">
        <v>7.2341688922745098</v>
      </c>
      <c r="AE85">
        <v>0.14516889227450999</v>
      </c>
      <c r="AH85" s="1">
        <v>35704</v>
      </c>
      <c r="AI85" s="1">
        <v>35735</v>
      </c>
      <c r="AJ85" s="1">
        <v>35765</v>
      </c>
      <c r="AK85">
        <v>7.4739999999999904</v>
      </c>
      <c r="AL85">
        <v>0.13477368914716001</v>
      </c>
      <c r="AM85">
        <v>7.60877368914716</v>
      </c>
      <c r="AP85" s="1">
        <v>35643</v>
      </c>
      <c r="AQ85" s="1">
        <v>35674</v>
      </c>
      <c r="AR85" s="1">
        <v>35704</v>
      </c>
      <c r="AS85">
        <v>7.6912499999999904</v>
      </c>
      <c r="AT85">
        <v>0.11183219827964801</v>
      </c>
      <c r="AU85">
        <v>7.8030821982796397</v>
      </c>
    </row>
    <row r="86" spans="1:47" x14ac:dyDescent="0.25">
      <c r="A86" s="1">
        <v>35674</v>
      </c>
      <c r="B86">
        <v>7.8658416603418004</v>
      </c>
      <c r="C86">
        <v>7199929323</v>
      </c>
      <c r="D86">
        <v>7.6369605879464002</v>
      </c>
      <c r="E86">
        <v>6011594561</v>
      </c>
      <c r="F86">
        <v>7.9000193136185999</v>
      </c>
      <c r="G86">
        <v>6465371020</v>
      </c>
      <c r="H86">
        <v>7.7616946881977098</v>
      </c>
      <c r="I86">
        <v>7.9000193136185999</v>
      </c>
      <c r="J86">
        <v>0.13832462542089</v>
      </c>
      <c r="W86" s="1">
        <v>35827</v>
      </c>
      <c r="X86">
        <v>0.14289107610208099</v>
      </c>
      <c r="Y86">
        <v>9.8165301245074096E-2</v>
      </c>
      <c r="AB86" s="1">
        <v>35827</v>
      </c>
      <c r="AC86">
        <v>7.0987499999999999</v>
      </c>
      <c r="AD86">
        <v>7.2416410761020797</v>
      </c>
      <c r="AE86">
        <v>0.14289107610208099</v>
      </c>
      <c r="AH86" s="1">
        <v>35735</v>
      </c>
      <c r="AI86" s="1">
        <v>35765</v>
      </c>
      <c r="AJ86" s="1">
        <v>35796</v>
      </c>
      <c r="AK86">
        <v>7.3862500000000004</v>
      </c>
      <c r="AL86">
        <v>0.14257813840375</v>
      </c>
      <c r="AM86">
        <v>7.5288281384037496</v>
      </c>
      <c r="AP86" s="1">
        <v>35674</v>
      </c>
      <c r="AQ86" s="1">
        <v>35704</v>
      </c>
      <c r="AR86" s="1">
        <v>35735</v>
      </c>
      <c r="AS86">
        <v>7.6050000000000004</v>
      </c>
      <c r="AT86">
        <v>0.13832462542089</v>
      </c>
      <c r="AU86">
        <v>7.7433246254208896</v>
      </c>
    </row>
    <row r="87" spans="1:47" x14ac:dyDescent="0.25">
      <c r="A87" s="1">
        <v>35704</v>
      </c>
      <c r="B87">
        <v>7.7209573392641104</v>
      </c>
      <c r="C87">
        <v>8446012791</v>
      </c>
      <c r="D87">
        <v>7.7218580684033098</v>
      </c>
      <c r="E87">
        <v>2947667255</v>
      </c>
      <c r="F87">
        <v>7.8753546112960402</v>
      </c>
      <c r="G87">
        <v>6164068670</v>
      </c>
      <c r="H87">
        <v>7.7211903675551001</v>
      </c>
      <c r="I87">
        <v>7.8753546112960402</v>
      </c>
      <c r="J87">
        <v>0.15416424374094301</v>
      </c>
      <c r="W87" s="1">
        <v>35855</v>
      </c>
      <c r="X87">
        <v>0.143950291118321</v>
      </c>
      <c r="Y87">
        <v>0.14467991551833201</v>
      </c>
      <c r="AB87" s="1">
        <v>35855</v>
      </c>
      <c r="AC87">
        <v>7.165</v>
      </c>
      <c r="AD87">
        <v>7.30895029111832</v>
      </c>
      <c r="AE87">
        <v>0.143950291118321</v>
      </c>
      <c r="AH87" s="1">
        <v>35765</v>
      </c>
      <c r="AI87" s="1">
        <v>35796</v>
      </c>
      <c r="AJ87" s="1">
        <v>35827</v>
      </c>
      <c r="AK87">
        <v>7.2949999999999999</v>
      </c>
      <c r="AL87">
        <v>0.148380780839447</v>
      </c>
      <c r="AM87">
        <v>7.4433807808394397</v>
      </c>
      <c r="AP87" s="1">
        <v>35704</v>
      </c>
      <c r="AQ87" s="1">
        <v>35735</v>
      </c>
      <c r="AR87" s="1">
        <v>35765</v>
      </c>
      <c r="AS87">
        <v>7.4739999999999904</v>
      </c>
      <c r="AT87">
        <v>0.15416424374094301</v>
      </c>
      <c r="AU87">
        <v>7.6281642437409403</v>
      </c>
    </row>
    <row r="88" spans="1:47" x14ac:dyDescent="0.25">
      <c r="A88" s="1">
        <v>35735</v>
      </c>
      <c r="B88">
        <v>7.7069944018699301</v>
      </c>
      <c r="C88">
        <v>9462851765</v>
      </c>
      <c r="D88">
        <v>7.5604539955784498</v>
      </c>
      <c r="E88">
        <v>7442331204</v>
      </c>
      <c r="F88">
        <v>7.7777270561991099</v>
      </c>
      <c r="G88">
        <v>6319715430</v>
      </c>
      <c r="H88">
        <v>7.6424815101496897</v>
      </c>
      <c r="I88">
        <v>7.7777270561991099</v>
      </c>
      <c r="J88">
        <v>0.13524554604941699</v>
      </c>
      <c r="W88" s="1">
        <v>35886</v>
      </c>
      <c r="X88">
        <v>0.15366461407940801</v>
      </c>
      <c r="Y88">
        <v>0.212450181507466</v>
      </c>
      <c r="AB88" s="1">
        <v>35886</v>
      </c>
      <c r="AC88">
        <v>7.1660000000000004</v>
      </c>
      <c r="AD88">
        <v>7.3196646140794002</v>
      </c>
      <c r="AE88">
        <v>0.15366461407940801</v>
      </c>
      <c r="AH88" s="1">
        <v>35796</v>
      </c>
      <c r="AI88" s="1">
        <v>35827</v>
      </c>
      <c r="AJ88" s="1">
        <v>35855</v>
      </c>
      <c r="AK88">
        <v>7.0890000000000004</v>
      </c>
      <c r="AL88">
        <v>0.15556409540186</v>
      </c>
      <c r="AM88">
        <v>7.2445640954018602</v>
      </c>
      <c r="AP88" s="1">
        <v>35735</v>
      </c>
      <c r="AQ88" s="1">
        <v>35765</v>
      </c>
      <c r="AR88" s="1">
        <v>35796</v>
      </c>
      <c r="AS88">
        <v>7.3862500000000004</v>
      </c>
      <c r="AT88">
        <v>0.13524554604941699</v>
      </c>
      <c r="AU88">
        <v>7.52149554604941</v>
      </c>
    </row>
    <row r="89" spans="1:47" x14ac:dyDescent="0.25">
      <c r="A89" s="1">
        <v>35765</v>
      </c>
      <c r="B89">
        <v>7.5928988983332601</v>
      </c>
      <c r="C89">
        <v>8846751818</v>
      </c>
      <c r="D89">
        <v>7.4964711564834596</v>
      </c>
      <c r="E89">
        <v>9208619506</v>
      </c>
      <c r="F89">
        <v>7.6994512725656996</v>
      </c>
      <c r="G89">
        <v>6817555814</v>
      </c>
      <c r="H89">
        <v>7.5437187198377202</v>
      </c>
      <c r="I89">
        <v>7.6994512725656996</v>
      </c>
      <c r="J89">
        <v>0.15573255272797901</v>
      </c>
      <c r="W89" s="1">
        <v>35916</v>
      </c>
      <c r="X89">
        <v>0.165077963038539</v>
      </c>
      <c r="Y89">
        <v>0.203725639804202</v>
      </c>
      <c r="AB89" s="1">
        <v>35916</v>
      </c>
      <c r="AC89">
        <v>7.1375000000000002</v>
      </c>
      <c r="AD89">
        <v>7.3025779630385399</v>
      </c>
      <c r="AE89">
        <v>0.165077963038539</v>
      </c>
      <c r="AH89" s="1">
        <v>35827</v>
      </c>
      <c r="AI89" s="1">
        <v>35855</v>
      </c>
      <c r="AJ89" s="1">
        <v>35886</v>
      </c>
      <c r="AK89">
        <v>7.0987499999999999</v>
      </c>
      <c r="AL89">
        <v>0.14320401380041201</v>
      </c>
      <c r="AM89">
        <v>7.2419540138004104</v>
      </c>
      <c r="AP89" s="1">
        <v>35765</v>
      </c>
      <c r="AQ89" s="1">
        <v>35796</v>
      </c>
      <c r="AR89" s="1">
        <v>35827</v>
      </c>
      <c r="AS89">
        <v>7.2949999999999999</v>
      </c>
      <c r="AT89">
        <v>0.15573255272797901</v>
      </c>
      <c r="AU89">
        <v>7.4507325527279802</v>
      </c>
    </row>
    <row r="90" spans="1:47" x14ac:dyDescent="0.25">
      <c r="A90" s="1">
        <v>35796</v>
      </c>
      <c r="B90">
        <v>7.5180441357860603</v>
      </c>
      <c r="C90">
        <v>9335732583</v>
      </c>
      <c r="D90">
        <v>7.3420593675402603</v>
      </c>
      <c r="E90">
        <v>9356113687</v>
      </c>
      <c r="F90">
        <v>7.6056699944796602</v>
      </c>
      <c r="G90">
        <v>6818143841</v>
      </c>
      <c r="H90">
        <v>7.4299558070514697</v>
      </c>
      <c r="I90">
        <v>7.6056699944796602</v>
      </c>
      <c r="J90">
        <v>0.17571418742818201</v>
      </c>
      <c r="W90" s="1">
        <v>35947</v>
      </c>
      <c r="X90">
        <v>0.16871337607605499</v>
      </c>
      <c r="Y90">
        <v>0.177545030953078</v>
      </c>
      <c r="AB90" s="1">
        <v>35947</v>
      </c>
      <c r="AC90">
        <v>6.9974999999999996</v>
      </c>
      <c r="AD90">
        <v>7.1662133760760502</v>
      </c>
      <c r="AE90">
        <v>0.16871337607605499</v>
      </c>
      <c r="AH90" s="1">
        <v>35855</v>
      </c>
      <c r="AI90" s="1">
        <v>35886</v>
      </c>
      <c r="AJ90" s="1">
        <v>35916</v>
      </c>
      <c r="AK90">
        <v>7.165</v>
      </c>
      <c r="AL90">
        <v>0.139519801397196</v>
      </c>
      <c r="AM90">
        <v>7.3045198013971904</v>
      </c>
      <c r="AP90" s="1">
        <v>35796</v>
      </c>
      <c r="AQ90" s="1">
        <v>35827</v>
      </c>
      <c r="AR90" s="1">
        <v>35855</v>
      </c>
      <c r="AS90">
        <v>7.0890000000000004</v>
      </c>
      <c r="AT90">
        <v>0.17571418742818201</v>
      </c>
      <c r="AU90">
        <v>7.2647141874281802</v>
      </c>
    </row>
    <row r="91" spans="1:47" x14ac:dyDescent="0.25">
      <c r="A91" s="1">
        <v>35827</v>
      </c>
      <c r="B91">
        <v>7.4398662264843898</v>
      </c>
      <c r="C91">
        <v>10715858393</v>
      </c>
      <c r="D91">
        <v>7.2365544083226698</v>
      </c>
      <c r="E91">
        <v>7993595054</v>
      </c>
      <c r="F91">
        <v>7.4511667591416897</v>
      </c>
      <c r="G91">
        <v>6564121468</v>
      </c>
      <c r="H91">
        <v>7.3530014578966201</v>
      </c>
      <c r="I91">
        <v>7.4511667591416897</v>
      </c>
      <c r="J91">
        <v>9.8165301245074096E-2</v>
      </c>
      <c r="W91" s="1">
        <v>35977</v>
      </c>
      <c r="X91">
        <v>0.172939566868579</v>
      </c>
      <c r="Y91">
        <v>0.20107133218332601</v>
      </c>
      <c r="AB91" s="1">
        <v>35977</v>
      </c>
      <c r="AC91">
        <v>6.9720000000000004</v>
      </c>
      <c r="AD91">
        <v>7.1449395668685796</v>
      </c>
      <c r="AE91">
        <v>0.172939566868579</v>
      </c>
      <c r="AH91" s="1">
        <v>35886</v>
      </c>
      <c r="AI91" s="1">
        <v>35916</v>
      </c>
      <c r="AJ91" s="1">
        <v>35947</v>
      </c>
      <c r="AK91">
        <v>7.1660000000000004</v>
      </c>
      <c r="AL91">
        <v>0.15176513275695699</v>
      </c>
      <c r="AM91">
        <v>7.31776513275695</v>
      </c>
      <c r="AP91" s="1">
        <v>35827</v>
      </c>
      <c r="AQ91" s="1">
        <v>35855</v>
      </c>
      <c r="AR91" s="1">
        <v>35886</v>
      </c>
      <c r="AS91">
        <v>7.0987499999999999</v>
      </c>
      <c r="AT91">
        <v>9.8165301245074096E-2</v>
      </c>
      <c r="AU91">
        <v>7.1969153012450704</v>
      </c>
    </row>
    <row r="92" spans="1:47" x14ac:dyDescent="0.25">
      <c r="A92" s="1">
        <v>35855</v>
      </c>
      <c r="B92">
        <v>7.24000020617137</v>
      </c>
      <c r="C92">
        <v>9907679953</v>
      </c>
      <c r="D92">
        <v>7.16225021478611</v>
      </c>
      <c r="E92">
        <v>14062232159</v>
      </c>
      <c r="F92">
        <v>7.3390671705820401</v>
      </c>
      <c r="G92">
        <v>9398697180</v>
      </c>
      <c r="H92">
        <v>7.1943872550636998</v>
      </c>
      <c r="I92">
        <v>7.3390671705820401</v>
      </c>
      <c r="J92">
        <v>0.14467991551833201</v>
      </c>
      <c r="W92" s="1">
        <v>36008</v>
      </c>
      <c r="X92">
        <v>0.18482798603714201</v>
      </c>
      <c r="Y92">
        <v>0.16949581625644999</v>
      </c>
      <c r="AB92" s="1">
        <v>36008</v>
      </c>
      <c r="AC92">
        <v>6.9474999999999998</v>
      </c>
      <c r="AD92">
        <v>7.13232798603714</v>
      </c>
      <c r="AE92">
        <v>0.18482798603714201</v>
      </c>
      <c r="AH92" s="1">
        <v>35916</v>
      </c>
      <c r="AI92" s="1">
        <v>35947</v>
      </c>
      <c r="AJ92" s="1">
        <v>35977</v>
      </c>
      <c r="AK92">
        <v>7.1375000000000002</v>
      </c>
      <c r="AL92">
        <v>0.18695191227666599</v>
      </c>
      <c r="AM92">
        <v>7.3244519122766603</v>
      </c>
      <c r="AP92" s="1">
        <v>35855</v>
      </c>
      <c r="AQ92" s="1">
        <v>35886</v>
      </c>
      <c r="AR92" s="1">
        <v>35916</v>
      </c>
      <c r="AS92">
        <v>7.165</v>
      </c>
      <c r="AT92">
        <v>0.14467991551833201</v>
      </c>
      <c r="AU92">
        <v>7.3096799155183296</v>
      </c>
    </row>
    <row r="93" spans="1:47" x14ac:dyDescent="0.25">
      <c r="A93" s="1">
        <v>35886</v>
      </c>
      <c r="B93">
        <v>7.1526119345566199</v>
      </c>
      <c r="C93">
        <v>16283116425</v>
      </c>
      <c r="D93">
        <v>7.1420408552994203</v>
      </c>
      <c r="E93">
        <v>20147640272</v>
      </c>
      <c r="F93">
        <v>7.3592158937653798</v>
      </c>
      <c r="G93">
        <v>10794523556</v>
      </c>
      <c r="H93">
        <v>7.1467657122579098</v>
      </c>
      <c r="I93">
        <v>7.3592158937653798</v>
      </c>
      <c r="J93">
        <v>0.212450181507466</v>
      </c>
      <c r="W93" s="1">
        <v>36039</v>
      </c>
      <c r="X93">
        <v>0.18889639500951899</v>
      </c>
      <c r="Y93">
        <v>0.169090369352596</v>
      </c>
      <c r="AB93" s="1">
        <v>36039</v>
      </c>
      <c r="AC93">
        <v>6.7162499999999996</v>
      </c>
      <c r="AD93">
        <v>6.9051463950095204</v>
      </c>
      <c r="AE93">
        <v>0.18889639500951899</v>
      </c>
      <c r="AH93" s="1">
        <v>35947</v>
      </c>
      <c r="AI93" s="1">
        <v>35977</v>
      </c>
      <c r="AJ93" s="1">
        <v>36008</v>
      </c>
      <c r="AK93">
        <v>6.9974999999999996</v>
      </c>
      <c r="AL93">
        <v>0.19790695075491499</v>
      </c>
      <c r="AM93">
        <v>7.1954069507549097</v>
      </c>
      <c r="AP93" s="1">
        <v>35886</v>
      </c>
      <c r="AQ93" s="1">
        <v>35916</v>
      </c>
      <c r="AR93" s="1">
        <v>35947</v>
      </c>
      <c r="AS93">
        <v>7.1660000000000004</v>
      </c>
      <c r="AT93">
        <v>0.212450181507466</v>
      </c>
      <c r="AU93">
        <v>7.3784501815074597</v>
      </c>
    </row>
    <row r="94" spans="1:47" x14ac:dyDescent="0.25">
      <c r="A94" s="1">
        <v>35916</v>
      </c>
      <c r="B94">
        <v>7.1891353209259803</v>
      </c>
      <c r="C94">
        <v>19598511898</v>
      </c>
      <c r="D94">
        <v>7.1109127298375201</v>
      </c>
      <c r="E94">
        <v>12820687819</v>
      </c>
      <c r="F94">
        <v>7.3619265937657703</v>
      </c>
      <c r="G94">
        <v>10978420545</v>
      </c>
      <c r="H94">
        <v>7.1582009539615603</v>
      </c>
      <c r="I94">
        <v>7.3619265937657703</v>
      </c>
      <c r="J94">
        <v>0.203725639804202</v>
      </c>
      <c r="W94" s="1">
        <v>36069</v>
      </c>
      <c r="X94">
        <v>0.17284932364825401</v>
      </c>
      <c r="Y94">
        <v>0.116167753339872</v>
      </c>
      <c r="AB94" s="1">
        <v>36069</v>
      </c>
      <c r="AC94">
        <v>6.6950000000000003</v>
      </c>
      <c r="AD94">
        <v>6.8678493236482501</v>
      </c>
      <c r="AE94">
        <v>0.17284932364825401</v>
      </c>
      <c r="AH94" s="1">
        <v>35977</v>
      </c>
      <c r="AI94" s="1">
        <v>36008</v>
      </c>
      <c r="AJ94" s="1">
        <v>36039</v>
      </c>
      <c r="AK94">
        <v>6.9720000000000004</v>
      </c>
      <c r="AL94">
        <v>0.19411400098020201</v>
      </c>
      <c r="AM94">
        <v>7.1661140009802002</v>
      </c>
      <c r="AP94" s="1">
        <v>35916</v>
      </c>
      <c r="AQ94" s="1">
        <v>35947</v>
      </c>
      <c r="AR94" s="1">
        <v>35977</v>
      </c>
      <c r="AS94">
        <v>7.1375000000000002</v>
      </c>
      <c r="AT94">
        <v>0.203725639804202</v>
      </c>
      <c r="AU94">
        <v>7.3412256398042004</v>
      </c>
    </row>
    <row r="95" spans="1:47" x14ac:dyDescent="0.25">
      <c r="A95" s="1">
        <v>35947</v>
      </c>
      <c r="B95">
        <v>7.23169506531422</v>
      </c>
      <c r="C95">
        <v>17919298699</v>
      </c>
      <c r="D95">
        <v>7.1689746128057799</v>
      </c>
      <c r="E95">
        <v>10723140324</v>
      </c>
      <c r="F95">
        <v>7.3857588482879404</v>
      </c>
      <c r="G95">
        <v>11947279310</v>
      </c>
      <c r="H95">
        <v>7.20821381733486</v>
      </c>
      <c r="I95">
        <v>7.3857588482879404</v>
      </c>
      <c r="J95">
        <v>0.177545030953078</v>
      </c>
      <c r="W95" s="1">
        <v>36100</v>
      </c>
      <c r="X95">
        <v>0.146145475705621</v>
      </c>
      <c r="Y95">
        <v>4.3502552148407703E-2</v>
      </c>
      <c r="AB95" s="1">
        <v>36100</v>
      </c>
      <c r="AC95">
        <v>6.8462500000000004</v>
      </c>
      <c r="AD95">
        <v>6.9923954757056199</v>
      </c>
      <c r="AE95">
        <v>0.146145475705621</v>
      </c>
      <c r="AH95" s="1">
        <v>36008</v>
      </c>
      <c r="AI95" s="1">
        <v>36039</v>
      </c>
      <c r="AJ95" s="1">
        <v>36069</v>
      </c>
      <c r="AK95">
        <v>6.9474999999999998</v>
      </c>
      <c r="AL95">
        <v>0.182704059797618</v>
      </c>
      <c r="AM95">
        <v>7.1302040597976104</v>
      </c>
      <c r="AP95" s="1">
        <v>35947</v>
      </c>
      <c r="AQ95" s="1">
        <v>35977</v>
      </c>
      <c r="AR95" s="1">
        <v>36008</v>
      </c>
      <c r="AS95">
        <v>6.9974999999999996</v>
      </c>
      <c r="AT95">
        <v>0.177545030953078</v>
      </c>
      <c r="AU95">
        <v>7.1750450309530702</v>
      </c>
    </row>
    <row r="96" spans="1:47" x14ac:dyDescent="0.25">
      <c r="A96" s="1">
        <v>35977</v>
      </c>
      <c r="B96">
        <v>7.21930210439512</v>
      </c>
      <c r="C96">
        <v>18788358457</v>
      </c>
      <c r="D96">
        <v>7.1022847169124201</v>
      </c>
      <c r="E96">
        <v>13935822183</v>
      </c>
      <c r="F96">
        <v>7.3705407601787503</v>
      </c>
      <c r="G96">
        <v>11450307499</v>
      </c>
      <c r="H96">
        <v>7.1694694279954296</v>
      </c>
      <c r="I96">
        <v>7.3705407601787503</v>
      </c>
      <c r="J96">
        <v>0.20107133218332601</v>
      </c>
      <c r="W96" s="1">
        <v>36130</v>
      </c>
      <c r="X96">
        <v>0.13897324823597501</v>
      </c>
      <c r="Y96">
        <v>0.134511666135196</v>
      </c>
      <c r="AB96" s="1">
        <v>36130</v>
      </c>
      <c r="AC96">
        <v>6.7279999999999998</v>
      </c>
      <c r="AD96">
        <v>6.8669732482359702</v>
      </c>
      <c r="AE96">
        <v>0.13897324823597501</v>
      </c>
      <c r="AH96" s="1">
        <v>36039</v>
      </c>
      <c r="AI96" s="1">
        <v>36069</v>
      </c>
      <c r="AJ96" s="1">
        <v>36100</v>
      </c>
      <c r="AK96">
        <v>6.7162499999999996</v>
      </c>
      <c r="AL96">
        <v>0.17988583926412399</v>
      </c>
      <c r="AM96">
        <v>6.8961358392641197</v>
      </c>
      <c r="AP96" s="1">
        <v>35977</v>
      </c>
      <c r="AQ96" s="1">
        <v>36008</v>
      </c>
      <c r="AR96" s="1">
        <v>36039</v>
      </c>
      <c r="AS96">
        <v>6.9720000000000004</v>
      </c>
      <c r="AT96">
        <v>0.20107133218332601</v>
      </c>
      <c r="AU96">
        <v>7.1730713321833202</v>
      </c>
    </row>
    <row r="97" spans="1:47" x14ac:dyDescent="0.25">
      <c r="A97" s="1">
        <v>36008</v>
      </c>
      <c r="B97">
        <v>7.20331316608977</v>
      </c>
      <c r="C97">
        <v>18356201018</v>
      </c>
      <c r="D97">
        <v>7.0865473174088898</v>
      </c>
      <c r="E97">
        <v>14420990032</v>
      </c>
      <c r="F97">
        <v>7.3214354788225</v>
      </c>
      <c r="G97">
        <v>11470965452</v>
      </c>
      <c r="H97">
        <v>7.1519396625660496</v>
      </c>
      <c r="I97">
        <v>7.3214354788225</v>
      </c>
      <c r="J97">
        <v>0.16949581625644999</v>
      </c>
      <c r="W97" s="1">
        <v>36161</v>
      </c>
      <c r="X97">
        <v>0.12911614258352999</v>
      </c>
      <c r="Y97">
        <v>0.141928698268661</v>
      </c>
      <c r="AB97" s="1">
        <v>36161</v>
      </c>
      <c r="AC97">
        <v>6.7662499999999897</v>
      </c>
      <c r="AD97">
        <v>6.89536614258353</v>
      </c>
      <c r="AE97">
        <v>0.12911614258352999</v>
      </c>
      <c r="AH97" s="1">
        <v>36069</v>
      </c>
      <c r="AI97" s="1">
        <v>36100</v>
      </c>
      <c r="AJ97" s="1">
        <v>36130</v>
      </c>
      <c r="AK97">
        <v>6.6950000000000003</v>
      </c>
      <c r="AL97">
        <v>0.151584646316306</v>
      </c>
      <c r="AM97">
        <v>6.8465846463163</v>
      </c>
      <c r="AP97" s="1">
        <v>36008</v>
      </c>
      <c r="AQ97" s="1">
        <v>36039</v>
      </c>
      <c r="AR97" s="1">
        <v>36069</v>
      </c>
      <c r="AS97">
        <v>6.9474999999999998</v>
      </c>
      <c r="AT97">
        <v>0.16949581625644999</v>
      </c>
      <c r="AU97">
        <v>7.1169958162564502</v>
      </c>
    </row>
    <row r="98" spans="1:47" x14ac:dyDescent="0.25">
      <c r="A98" s="1">
        <v>36039</v>
      </c>
      <c r="B98">
        <v>7.1262042331278002</v>
      </c>
      <c r="C98">
        <v>16742355213</v>
      </c>
      <c r="D98">
        <v>7.0322821667167403</v>
      </c>
      <c r="E98">
        <v>13461243175</v>
      </c>
      <c r="F98">
        <v>7.25343509424511</v>
      </c>
      <c r="G98">
        <v>11688028332</v>
      </c>
      <c r="H98">
        <v>7.0843447248925102</v>
      </c>
      <c r="I98">
        <v>7.25343509424511</v>
      </c>
      <c r="J98">
        <v>0.169090369352596</v>
      </c>
      <c r="W98" s="1">
        <v>36192</v>
      </c>
      <c r="X98">
        <v>0.12309719019783499</v>
      </c>
      <c r="Y98">
        <v>0.13338210194228001</v>
      </c>
      <c r="AB98" s="1">
        <v>36192</v>
      </c>
      <c r="AC98">
        <v>6.8075000000000001</v>
      </c>
      <c r="AD98">
        <v>6.9305971901978296</v>
      </c>
      <c r="AE98">
        <v>0.12309719019783499</v>
      </c>
      <c r="AH98" s="1">
        <v>36100</v>
      </c>
      <c r="AI98" s="1">
        <v>36130</v>
      </c>
      <c r="AJ98" s="1">
        <v>36161</v>
      </c>
      <c r="AK98">
        <v>6.8462500000000004</v>
      </c>
      <c r="AL98">
        <v>0.109586891613625</v>
      </c>
      <c r="AM98">
        <v>6.95583689161362</v>
      </c>
      <c r="AP98" s="1">
        <v>36039</v>
      </c>
      <c r="AQ98" s="1">
        <v>36069</v>
      </c>
      <c r="AR98" s="1">
        <v>36100</v>
      </c>
      <c r="AS98">
        <v>6.7162499999999996</v>
      </c>
      <c r="AT98">
        <v>0.169090369352596</v>
      </c>
      <c r="AU98">
        <v>6.8853403693525896</v>
      </c>
    </row>
    <row r="99" spans="1:47" x14ac:dyDescent="0.25">
      <c r="A99" s="1">
        <v>36069</v>
      </c>
      <c r="B99">
        <v>7.0912152414377401</v>
      </c>
      <c r="C99">
        <v>20763227262</v>
      </c>
      <c r="D99">
        <v>6.9169530253128997</v>
      </c>
      <c r="E99">
        <v>13223065748</v>
      </c>
      <c r="F99">
        <v>7.1395826983306598</v>
      </c>
      <c r="G99">
        <v>10737275044</v>
      </c>
      <c r="H99">
        <v>7.0234149449907797</v>
      </c>
      <c r="I99">
        <v>7.1395826983306598</v>
      </c>
      <c r="J99">
        <v>0.116167753339872</v>
      </c>
      <c r="W99" s="1">
        <v>36220</v>
      </c>
      <c r="X99">
        <v>0.124171365888603</v>
      </c>
      <c r="Y99">
        <v>0.175535423497202</v>
      </c>
      <c r="AB99" s="1">
        <v>36220</v>
      </c>
      <c r="AC99">
        <v>7.0149999999999997</v>
      </c>
      <c r="AD99">
        <v>7.1391713658885996</v>
      </c>
      <c r="AE99">
        <v>0.124171365888603</v>
      </c>
      <c r="AH99" s="1">
        <v>36130</v>
      </c>
      <c r="AI99" s="1">
        <v>36161</v>
      </c>
      <c r="AJ99" s="1">
        <v>36192</v>
      </c>
      <c r="AK99">
        <v>6.7279999999999998</v>
      </c>
      <c r="AL99">
        <v>9.8060657207825794E-2</v>
      </c>
      <c r="AM99">
        <v>6.8260606572078197</v>
      </c>
      <c r="AP99" s="1">
        <v>36069</v>
      </c>
      <c r="AQ99" s="1">
        <v>36100</v>
      </c>
      <c r="AR99" s="1">
        <v>36130</v>
      </c>
      <c r="AS99">
        <v>6.6950000000000003</v>
      </c>
      <c r="AT99">
        <v>0.116167753339872</v>
      </c>
      <c r="AU99">
        <v>6.8111677533398698</v>
      </c>
    </row>
    <row r="100" spans="1:47" x14ac:dyDescent="0.25">
      <c r="A100" s="1">
        <v>36100</v>
      </c>
      <c r="B100">
        <v>6.9552222317423196</v>
      </c>
      <c r="C100">
        <v>19421565816</v>
      </c>
      <c r="D100">
        <v>6.77415662643521</v>
      </c>
      <c r="E100">
        <v>22095614379</v>
      </c>
      <c r="F100">
        <v>6.90236092263196</v>
      </c>
      <c r="G100">
        <v>12316028889</v>
      </c>
      <c r="H100">
        <v>6.8588583704835502</v>
      </c>
      <c r="I100">
        <v>6.90236092263196</v>
      </c>
      <c r="J100">
        <v>4.3502552148407703E-2</v>
      </c>
      <c r="W100" s="1">
        <v>36251</v>
      </c>
      <c r="X100">
        <v>0.14090498464041101</v>
      </c>
      <c r="Y100">
        <v>0.21656946585071701</v>
      </c>
      <c r="AB100" s="1">
        <v>36251</v>
      </c>
      <c r="AC100">
        <v>6.9109999999999996</v>
      </c>
      <c r="AD100">
        <v>7.0519049846404096</v>
      </c>
      <c r="AE100">
        <v>0.14090498464041101</v>
      </c>
      <c r="AH100" s="1">
        <v>36161</v>
      </c>
      <c r="AI100" s="1">
        <v>36192</v>
      </c>
      <c r="AJ100" s="1">
        <v>36220</v>
      </c>
      <c r="AK100">
        <v>6.7662499999999897</v>
      </c>
      <c r="AL100">
        <v>0.106647638850755</v>
      </c>
      <c r="AM100">
        <v>6.8728976388507501</v>
      </c>
      <c r="AP100" s="1">
        <v>36100</v>
      </c>
      <c r="AQ100" s="1">
        <v>36130</v>
      </c>
      <c r="AR100" s="1">
        <v>36161</v>
      </c>
      <c r="AS100">
        <v>6.8462500000000004</v>
      </c>
      <c r="AT100">
        <v>4.3502552148407703E-2</v>
      </c>
      <c r="AU100">
        <v>6.8897525521484004</v>
      </c>
    </row>
    <row r="101" spans="1:47" x14ac:dyDescent="0.25">
      <c r="A101" s="1">
        <v>36130</v>
      </c>
      <c r="B101">
        <v>6.74093888855211</v>
      </c>
      <c r="C101">
        <v>23623815095</v>
      </c>
      <c r="D101">
        <v>6.7982166180219101</v>
      </c>
      <c r="E101">
        <v>16790555208</v>
      </c>
      <c r="F101">
        <v>6.8992471614794297</v>
      </c>
      <c r="G101">
        <v>12962943584</v>
      </c>
      <c r="H101">
        <v>6.7647354953442296</v>
      </c>
      <c r="I101">
        <v>6.8992471614794297</v>
      </c>
      <c r="J101">
        <v>0.134511666135196</v>
      </c>
      <c r="W101" s="1">
        <v>36281</v>
      </c>
      <c r="X101">
        <v>0.169681799748439</v>
      </c>
      <c r="Y101">
        <v>0.21616344279657601</v>
      </c>
      <c r="AB101" s="1">
        <v>36281</v>
      </c>
      <c r="AC101">
        <v>7.1449999999999996</v>
      </c>
      <c r="AD101">
        <v>7.3146817997484304</v>
      </c>
      <c r="AE101">
        <v>0.169681799748439</v>
      </c>
      <c r="AH101" s="1">
        <v>36192</v>
      </c>
      <c r="AI101" s="1">
        <v>36220</v>
      </c>
      <c r="AJ101" s="1">
        <v>36251</v>
      </c>
      <c r="AK101">
        <v>6.8075000000000001</v>
      </c>
      <c r="AL101">
        <v>0.13660748878204601</v>
      </c>
      <c r="AM101">
        <v>6.9441074887820404</v>
      </c>
      <c r="AP101" s="1">
        <v>36130</v>
      </c>
      <c r="AQ101" s="1">
        <v>36161</v>
      </c>
      <c r="AR101" s="1">
        <v>36192</v>
      </c>
      <c r="AS101">
        <v>6.7279999999999998</v>
      </c>
      <c r="AT101">
        <v>0.134511666135196</v>
      </c>
      <c r="AU101">
        <v>6.8625116661351901</v>
      </c>
    </row>
    <row r="102" spans="1:47" x14ac:dyDescent="0.25">
      <c r="A102" s="1">
        <v>36161</v>
      </c>
      <c r="B102">
        <v>6.7984335241860903</v>
      </c>
      <c r="C102">
        <v>25115097093</v>
      </c>
      <c r="D102">
        <v>6.83511976926202</v>
      </c>
      <c r="E102">
        <v>17364221669</v>
      </c>
      <c r="F102">
        <v>6.9553584161383402</v>
      </c>
      <c r="G102">
        <v>12187491864</v>
      </c>
      <c r="H102">
        <v>6.8134297178696803</v>
      </c>
      <c r="I102">
        <v>6.9553584161383402</v>
      </c>
      <c r="J102">
        <v>0.141928698268661</v>
      </c>
      <c r="W102" s="1">
        <v>36312</v>
      </c>
      <c r="X102">
        <v>0.19222080126138</v>
      </c>
      <c r="Y102">
        <v>0.26974567521284498</v>
      </c>
      <c r="AB102" s="1">
        <v>36312</v>
      </c>
      <c r="AC102">
        <v>7.55</v>
      </c>
      <c r="AD102">
        <v>7.7422208012613796</v>
      </c>
      <c r="AE102">
        <v>0.19222080126138</v>
      </c>
      <c r="AH102" s="1">
        <v>36220</v>
      </c>
      <c r="AI102" s="1">
        <v>36251</v>
      </c>
      <c r="AJ102" s="1">
        <v>36281</v>
      </c>
      <c r="AK102">
        <v>7.0149999999999997</v>
      </c>
      <c r="AL102">
        <v>0.150282074569381</v>
      </c>
      <c r="AM102">
        <v>7.1652820745693804</v>
      </c>
      <c r="AP102" s="1">
        <v>36161</v>
      </c>
      <c r="AQ102" s="1">
        <v>36192</v>
      </c>
      <c r="AR102" s="1">
        <v>36220</v>
      </c>
      <c r="AS102">
        <v>6.7662499999999897</v>
      </c>
      <c r="AT102">
        <v>0.141928698268661</v>
      </c>
      <c r="AU102">
        <v>6.9081786982686602</v>
      </c>
    </row>
    <row r="103" spans="1:47" x14ac:dyDescent="0.25">
      <c r="A103" s="1">
        <v>36192</v>
      </c>
      <c r="B103">
        <v>6.8339672092245802</v>
      </c>
      <c r="C103">
        <v>22732961897</v>
      </c>
      <c r="D103">
        <v>6.8510796212279796</v>
      </c>
      <c r="E103">
        <v>15396981672</v>
      </c>
      <c r="F103">
        <v>6.9742593527068699</v>
      </c>
      <c r="G103">
        <v>10951552163</v>
      </c>
      <c r="H103">
        <v>6.8408772507645903</v>
      </c>
      <c r="I103">
        <v>6.9742593527068699</v>
      </c>
      <c r="J103">
        <v>0.13338210194228001</v>
      </c>
      <c r="W103" s="1">
        <v>36342</v>
      </c>
      <c r="X103">
        <v>0.23741959537897001</v>
      </c>
      <c r="Y103">
        <v>0.41312146297420299</v>
      </c>
      <c r="AB103" s="1">
        <v>36342</v>
      </c>
      <c r="AC103">
        <v>7.6319999999999997</v>
      </c>
      <c r="AD103">
        <v>7.8694195953789698</v>
      </c>
      <c r="AE103">
        <v>0.23741959537897001</v>
      </c>
      <c r="AH103" s="1">
        <v>36251</v>
      </c>
      <c r="AI103" s="1">
        <v>36281</v>
      </c>
      <c r="AJ103" s="1">
        <v>36312</v>
      </c>
      <c r="AK103">
        <v>6.9109999999999996</v>
      </c>
      <c r="AL103">
        <v>0.17516233043006599</v>
      </c>
      <c r="AM103">
        <v>7.0861623304300601</v>
      </c>
      <c r="AP103" s="1">
        <v>36192</v>
      </c>
      <c r="AQ103" s="1">
        <v>36220</v>
      </c>
      <c r="AR103" s="1">
        <v>36251</v>
      </c>
      <c r="AS103">
        <v>6.8075000000000001</v>
      </c>
      <c r="AT103">
        <v>0.13338210194228001</v>
      </c>
      <c r="AU103">
        <v>6.9408821019422797</v>
      </c>
    </row>
    <row r="104" spans="1:47" x14ac:dyDescent="0.25">
      <c r="A104" s="1">
        <v>36220</v>
      </c>
      <c r="B104">
        <v>6.8380841485503998</v>
      </c>
      <c r="C104">
        <v>19561876991</v>
      </c>
      <c r="D104">
        <v>6.89620143190582</v>
      </c>
      <c r="E104">
        <v>14734910638</v>
      </c>
      <c r="F104">
        <v>7.0385884696023497</v>
      </c>
      <c r="G104">
        <v>11828120661</v>
      </c>
      <c r="H104">
        <v>6.8630530461051498</v>
      </c>
      <c r="I104">
        <v>7.0385884696023497</v>
      </c>
      <c r="J104">
        <v>0.175535423497202</v>
      </c>
      <c r="W104" s="1">
        <v>36373</v>
      </c>
      <c r="X104">
        <v>0.284693756752049</v>
      </c>
      <c r="Y104">
        <v>0.41702707018075102</v>
      </c>
      <c r="AB104" s="1">
        <v>36373</v>
      </c>
      <c r="AC104">
        <v>7.9424999999999999</v>
      </c>
      <c r="AD104">
        <v>8.2271937567520492</v>
      </c>
      <c r="AE104">
        <v>0.284693756752049</v>
      </c>
      <c r="AH104" s="1">
        <v>36281</v>
      </c>
      <c r="AI104" s="1">
        <v>36312</v>
      </c>
      <c r="AJ104" s="1">
        <v>36342</v>
      </c>
      <c r="AK104">
        <v>7.1449999999999996</v>
      </c>
      <c r="AL104">
        <v>0.20275611071483099</v>
      </c>
      <c r="AM104">
        <v>7.3477561107148297</v>
      </c>
      <c r="AP104" s="1">
        <v>36220</v>
      </c>
      <c r="AQ104" s="1">
        <v>36251</v>
      </c>
      <c r="AR104" s="1">
        <v>36281</v>
      </c>
      <c r="AS104">
        <v>7.0149999999999997</v>
      </c>
      <c r="AT104">
        <v>0.175535423497202</v>
      </c>
      <c r="AU104">
        <v>7.1905354234971997</v>
      </c>
    </row>
    <row r="105" spans="1:47" x14ac:dyDescent="0.25">
      <c r="A105" s="1">
        <v>36251</v>
      </c>
      <c r="B105">
        <v>6.8551077775561904</v>
      </c>
      <c r="C105">
        <v>14119602993</v>
      </c>
      <c r="D105">
        <v>7.0214717740290098</v>
      </c>
      <c r="E105">
        <v>16260111592</v>
      </c>
      <c r="F105">
        <v>7.1607201190392802</v>
      </c>
      <c r="G105">
        <v>11711667141</v>
      </c>
      <c r="H105">
        <v>6.9441506531885597</v>
      </c>
      <c r="I105">
        <v>7.1607201190392802</v>
      </c>
      <c r="J105">
        <v>0.21656946585071701</v>
      </c>
      <c r="W105" s="1">
        <v>36404</v>
      </c>
      <c r="X105">
        <v>0.32601926110973301</v>
      </c>
      <c r="Y105">
        <v>0.42348844964330801</v>
      </c>
      <c r="AB105" s="1">
        <v>36404</v>
      </c>
      <c r="AC105">
        <v>7.7930000000000001</v>
      </c>
      <c r="AD105">
        <v>8.1190192611097292</v>
      </c>
      <c r="AE105">
        <v>0.32601926110973301</v>
      </c>
      <c r="AH105" s="1">
        <v>36312</v>
      </c>
      <c r="AI105" s="1">
        <v>36342</v>
      </c>
      <c r="AJ105" s="1">
        <v>36373</v>
      </c>
      <c r="AK105">
        <v>7.55</v>
      </c>
      <c r="AL105">
        <v>0.23415952795337899</v>
      </c>
      <c r="AM105">
        <v>7.7841595279533804</v>
      </c>
      <c r="AP105" s="1">
        <v>36251</v>
      </c>
      <c r="AQ105" s="1">
        <v>36281</v>
      </c>
      <c r="AR105" s="1">
        <v>36312</v>
      </c>
      <c r="AS105">
        <v>6.9109999999999996</v>
      </c>
      <c r="AT105">
        <v>0.21656946585071701</v>
      </c>
      <c r="AU105">
        <v>7.1275694658507103</v>
      </c>
    </row>
    <row r="106" spans="1:47" x14ac:dyDescent="0.25">
      <c r="A106" s="1">
        <v>36281</v>
      </c>
      <c r="B106">
        <v>6.9899680403730802</v>
      </c>
      <c r="C106">
        <v>16036989775</v>
      </c>
      <c r="D106">
        <v>7.0416664461745198</v>
      </c>
      <c r="E106">
        <v>12554090837</v>
      </c>
      <c r="F106">
        <v>7.2288317962976301</v>
      </c>
      <c r="G106">
        <v>11065722471</v>
      </c>
      <c r="H106">
        <v>7.0126683535010503</v>
      </c>
      <c r="I106">
        <v>7.2288317962976301</v>
      </c>
      <c r="J106">
        <v>0.21616344279657601</v>
      </c>
      <c r="W106" s="1">
        <v>36434</v>
      </c>
      <c r="X106">
        <v>0.34603808134483499</v>
      </c>
      <c r="Y106">
        <v>0.33668238726132699</v>
      </c>
      <c r="AB106" s="1">
        <v>36434</v>
      </c>
      <c r="AC106">
        <v>7.89</v>
      </c>
      <c r="AD106">
        <v>8.2360380813448302</v>
      </c>
      <c r="AE106">
        <v>0.34603808134483499</v>
      </c>
      <c r="AH106" s="1">
        <v>36342</v>
      </c>
      <c r="AI106" s="1">
        <v>36373</v>
      </c>
      <c r="AJ106" s="1">
        <v>36404</v>
      </c>
      <c r="AK106">
        <v>7.6319999999999997</v>
      </c>
      <c r="AL106">
        <v>0.29967686032787499</v>
      </c>
      <c r="AM106">
        <v>7.9316768603278698</v>
      </c>
      <c r="AP106" s="1">
        <v>36281</v>
      </c>
      <c r="AQ106" s="1">
        <v>36312</v>
      </c>
      <c r="AR106" s="1">
        <v>36342</v>
      </c>
      <c r="AS106">
        <v>7.1449999999999996</v>
      </c>
      <c r="AT106">
        <v>0.21616344279657601</v>
      </c>
      <c r="AU106">
        <v>7.3611634427965704</v>
      </c>
    </row>
    <row r="107" spans="1:47" x14ac:dyDescent="0.25">
      <c r="A107" s="1">
        <v>36312</v>
      </c>
      <c r="B107">
        <v>7.0495122827295402</v>
      </c>
      <c r="C107">
        <v>16553225791</v>
      </c>
      <c r="D107">
        <v>7.0748830521183903</v>
      </c>
      <c r="E107">
        <v>11158614907</v>
      </c>
      <c r="F107">
        <v>7.32947390312588</v>
      </c>
      <c r="G107">
        <v>10805488361</v>
      </c>
      <c r="H107">
        <v>7.0597282279130296</v>
      </c>
      <c r="I107">
        <v>7.32947390312588</v>
      </c>
      <c r="J107">
        <v>0.26974567521284498</v>
      </c>
      <c r="W107" s="1">
        <v>36465</v>
      </c>
      <c r="X107">
        <v>0.35276677731834699</v>
      </c>
      <c r="Y107">
        <v>0.25653561863764901</v>
      </c>
      <c r="AB107" s="1">
        <v>36465</v>
      </c>
      <c r="AC107">
        <v>7.7374999999999998</v>
      </c>
      <c r="AD107">
        <v>8.0902667773183392</v>
      </c>
      <c r="AE107">
        <v>0.35276677731834699</v>
      </c>
      <c r="AH107" s="1">
        <v>36373</v>
      </c>
      <c r="AI107" s="1">
        <v>36404</v>
      </c>
      <c r="AJ107" s="1">
        <v>36434</v>
      </c>
      <c r="AK107">
        <v>7.9424999999999999</v>
      </c>
      <c r="AL107">
        <v>0.36663140278926598</v>
      </c>
      <c r="AM107">
        <v>8.3091314027892604</v>
      </c>
      <c r="AP107" s="1">
        <v>36312</v>
      </c>
      <c r="AQ107" s="1">
        <v>36342</v>
      </c>
      <c r="AR107" s="1">
        <v>36373</v>
      </c>
      <c r="AS107">
        <v>7.55</v>
      </c>
      <c r="AT107">
        <v>0.26974567521284498</v>
      </c>
      <c r="AU107">
        <v>7.8197456752128396</v>
      </c>
    </row>
    <row r="108" spans="1:47" x14ac:dyDescent="0.25">
      <c r="A108" s="1">
        <v>36342</v>
      </c>
      <c r="B108">
        <v>7.0860706894001204</v>
      </c>
      <c r="C108">
        <v>17182418041</v>
      </c>
      <c r="D108">
        <v>7.4282463444808604</v>
      </c>
      <c r="E108">
        <v>10894084546</v>
      </c>
      <c r="F108">
        <v>7.6319612002456401</v>
      </c>
      <c r="G108">
        <v>10461298705</v>
      </c>
      <c r="H108">
        <v>7.2188397372714403</v>
      </c>
      <c r="I108">
        <v>7.6319612002456401</v>
      </c>
      <c r="J108">
        <v>0.41312146297420299</v>
      </c>
      <c r="W108" s="1">
        <v>36495</v>
      </c>
      <c r="X108">
        <v>0.35756198639520498</v>
      </c>
      <c r="Y108">
        <v>0.29851692967399202</v>
      </c>
      <c r="AB108" s="1">
        <v>36495</v>
      </c>
      <c r="AC108">
        <v>7.9119999999999999</v>
      </c>
      <c r="AD108">
        <v>8.2695619863951997</v>
      </c>
      <c r="AE108">
        <v>0.35756198639520498</v>
      </c>
      <c r="AH108" s="1">
        <v>36404</v>
      </c>
      <c r="AI108" s="1">
        <v>36434</v>
      </c>
      <c r="AJ108" s="1">
        <v>36465</v>
      </c>
      <c r="AK108">
        <v>7.7930000000000001</v>
      </c>
      <c r="AL108">
        <v>0.41787899426608699</v>
      </c>
      <c r="AM108">
        <v>8.2108789942660891</v>
      </c>
      <c r="AP108" s="1">
        <v>36342</v>
      </c>
      <c r="AQ108" s="1">
        <v>36373</v>
      </c>
      <c r="AR108" s="1">
        <v>36404</v>
      </c>
      <c r="AS108">
        <v>7.6319999999999997</v>
      </c>
      <c r="AT108">
        <v>0.41312146297420299</v>
      </c>
      <c r="AU108">
        <v>8.0451214629741994</v>
      </c>
    </row>
    <row r="109" spans="1:47" x14ac:dyDescent="0.25">
      <c r="A109" s="1">
        <v>36373</v>
      </c>
      <c r="B109">
        <v>7.3969386812314601</v>
      </c>
      <c r="C109">
        <v>15002183981</v>
      </c>
      <c r="D109">
        <v>7.6952971194639996</v>
      </c>
      <c r="E109">
        <v>8701597718</v>
      </c>
      <c r="F109">
        <v>7.9234923720264998</v>
      </c>
      <c r="G109">
        <v>9439836621</v>
      </c>
      <c r="H109">
        <v>7.5064653018457497</v>
      </c>
      <c r="I109">
        <v>7.9234923720264998</v>
      </c>
      <c r="J109">
        <v>0.41702707018075102</v>
      </c>
      <c r="W109" s="1">
        <v>36526</v>
      </c>
      <c r="X109">
        <v>0.34487384285645201</v>
      </c>
      <c r="Y109">
        <v>0.33699260174168899</v>
      </c>
      <c r="AB109" s="1">
        <v>36526</v>
      </c>
      <c r="AC109">
        <v>8.2099999999999902</v>
      </c>
      <c r="AD109">
        <v>8.5548738428564501</v>
      </c>
      <c r="AE109">
        <v>0.34487384285645201</v>
      </c>
      <c r="AH109" s="1">
        <v>36434</v>
      </c>
      <c r="AI109" s="1">
        <v>36465</v>
      </c>
      <c r="AJ109" s="1">
        <v>36495</v>
      </c>
      <c r="AK109">
        <v>7.89</v>
      </c>
      <c r="AL109">
        <v>0.39239930236179499</v>
      </c>
      <c r="AM109">
        <v>8.2823993023617906</v>
      </c>
      <c r="AP109" s="1">
        <v>36373</v>
      </c>
      <c r="AQ109" s="1">
        <v>36404</v>
      </c>
      <c r="AR109" s="1">
        <v>36434</v>
      </c>
      <c r="AS109">
        <v>7.9424999999999999</v>
      </c>
      <c r="AT109">
        <v>0.41702707018075102</v>
      </c>
      <c r="AU109">
        <v>8.35952707018075</v>
      </c>
    </row>
    <row r="110" spans="1:47" x14ac:dyDescent="0.25">
      <c r="A110" s="1">
        <v>36404</v>
      </c>
      <c r="B110">
        <v>7.6541433254462596</v>
      </c>
      <c r="C110">
        <v>12192429464</v>
      </c>
      <c r="D110">
        <v>7.8260358294599497</v>
      </c>
      <c r="E110">
        <v>6961780007</v>
      </c>
      <c r="F110">
        <v>8.1401077441243395</v>
      </c>
      <c r="G110">
        <v>8607289777</v>
      </c>
      <c r="H110">
        <v>7.7166192944810303</v>
      </c>
      <c r="I110">
        <v>8.1401077441243395</v>
      </c>
      <c r="J110">
        <v>0.42348844964330801</v>
      </c>
      <c r="W110" s="1">
        <v>36557</v>
      </c>
      <c r="X110">
        <v>0.34904546236265599</v>
      </c>
      <c r="Y110">
        <v>0.44205678721797198</v>
      </c>
      <c r="AB110" s="1">
        <v>36557</v>
      </c>
      <c r="AC110">
        <v>8.3187499999999996</v>
      </c>
      <c r="AD110">
        <v>8.6677954623626494</v>
      </c>
      <c r="AE110">
        <v>0.34904546236265599</v>
      </c>
      <c r="AH110" s="1">
        <v>36465</v>
      </c>
      <c r="AI110" s="1">
        <v>36495</v>
      </c>
      <c r="AJ110" s="1">
        <v>36526</v>
      </c>
      <c r="AK110">
        <v>7.7374999999999998</v>
      </c>
      <c r="AL110">
        <v>0.338902151847428</v>
      </c>
      <c r="AM110">
        <v>8.0764021518474198</v>
      </c>
      <c r="AP110" s="1">
        <v>36404</v>
      </c>
      <c r="AQ110" s="1">
        <v>36434</v>
      </c>
      <c r="AR110" s="1">
        <v>36465</v>
      </c>
      <c r="AS110">
        <v>7.7930000000000001</v>
      </c>
      <c r="AT110">
        <v>0.42348844964330801</v>
      </c>
      <c r="AU110">
        <v>8.2164884496433093</v>
      </c>
    </row>
    <row r="111" spans="1:47" x14ac:dyDescent="0.25">
      <c r="A111" s="1">
        <v>36434</v>
      </c>
      <c r="B111">
        <v>7.8420133362536699</v>
      </c>
      <c r="C111">
        <v>11680547910</v>
      </c>
      <c r="D111">
        <v>8.0060922636832306</v>
      </c>
      <c r="E111">
        <v>6872281680</v>
      </c>
      <c r="F111">
        <v>8.2394733316732705</v>
      </c>
      <c r="G111">
        <v>7551794665</v>
      </c>
      <c r="H111">
        <v>7.9027909444119402</v>
      </c>
      <c r="I111">
        <v>8.2394733316732705</v>
      </c>
      <c r="J111">
        <v>0.33668238726132699</v>
      </c>
      <c r="W111" s="1">
        <v>36586</v>
      </c>
      <c r="X111">
        <v>0.335283687673466</v>
      </c>
      <c r="Y111">
        <v>0.34091780150816497</v>
      </c>
      <c r="AB111" s="1">
        <v>36586</v>
      </c>
      <c r="AC111">
        <v>8.2349999999999994</v>
      </c>
      <c r="AD111">
        <v>8.57028368767347</v>
      </c>
      <c r="AE111">
        <v>0.335283687673466</v>
      </c>
      <c r="AH111" s="1">
        <v>36495</v>
      </c>
      <c r="AI111" s="1">
        <v>36526</v>
      </c>
      <c r="AJ111" s="1">
        <v>36557</v>
      </c>
      <c r="AK111">
        <v>7.9119999999999999</v>
      </c>
      <c r="AL111">
        <v>0.29724497852432202</v>
      </c>
      <c r="AM111">
        <v>8.2092449785243193</v>
      </c>
      <c r="AP111" s="1">
        <v>36434</v>
      </c>
      <c r="AQ111" s="1">
        <v>36465</v>
      </c>
      <c r="AR111" s="1">
        <v>36495</v>
      </c>
      <c r="AS111">
        <v>7.89</v>
      </c>
      <c r="AT111">
        <v>0.33668238726132699</v>
      </c>
      <c r="AU111">
        <v>8.2266823872613202</v>
      </c>
    </row>
    <row r="112" spans="1:47" x14ac:dyDescent="0.25">
      <c r="A112" s="1">
        <v>36465</v>
      </c>
      <c r="B112">
        <v>7.95047395428554</v>
      </c>
      <c r="C112">
        <v>9906657695</v>
      </c>
      <c r="D112">
        <v>8.0398869145486493</v>
      </c>
      <c r="E112">
        <v>5335057099</v>
      </c>
      <c r="F112">
        <v>8.2383067894661792</v>
      </c>
      <c r="G112">
        <v>7119251776</v>
      </c>
      <c r="H112">
        <v>7.9817711708285302</v>
      </c>
      <c r="I112">
        <v>8.2383067894661792</v>
      </c>
      <c r="J112">
        <v>0.25653561863764901</v>
      </c>
      <c r="W112" s="1">
        <v>36617</v>
      </c>
      <c r="X112">
        <v>0.30632530737623498</v>
      </c>
      <c r="Y112">
        <v>0.16293210547794401</v>
      </c>
      <c r="AB112" s="1">
        <v>36617</v>
      </c>
      <c r="AC112">
        <v>8.1462500000000002</v>
      </c>
      <c r="AD112">
        <v>8.4525753073762306</v>
      </c>
      <c r="AE112">
        <v>0.30632530737623498</v>
      </c>
      <c r="AH112" s="1">
        <v>36526</v>
      </c>
      <c r="AI112" s="1">
        <v>36557</v>
      </c>
      <c r="AJ112" s="1">
        <v>36586</v>
      </c>
      <c r="AK112">
        <v>8.2099999999999902</v>
      </c>
      <c r="AL112">
        <v>0.29734838335111002</v>
      </c>
      <c r="AM112">
        <v>8.5073483833511094</v>
      </c>
      <c r="AP112" s="1">
        <v>36465</v>
      </c>
      <c r="AQ112" s="1">
        <v>36495</v>
      </c>
      <c r="AR112" s="1">
        <v>36526</v>
      </c>
      <c r="AS112">
        <v>7.7374999999999998</v>
      </c>
      <c r="AT112">
        <v>0.25653561863764901</v>
      </c>
      <c r="AU112">
        <v>7.9940356186376498</v>
      </c>
    </row>
    <row r="113" spans="1:47" x14ac:dyDescent="0.25">
      <c r="A113" s="1">
        <v>36495</v>
      </c>
      <c r="B113">
        <v>7.9545453025906099</v>
      </c>
      <c r="C113">
        <v>9726208856</v>
      </c>
      <c r="D113">
        <v>7.9008457778163903</v>
      </c>
      <c r="E113">
        <v>8241466748</v>
      </c>
      <c r="F113">
        <v>8.22843117493899</v>
      </c>
      <c r="G113">
        <v>7397600286</v>
      </c>
      <c r="H113">
        <v>7.9299142452649898</v>
      </c>
      <c r="I113">
        <v>8.22843117493899</v>
      </c>
      <c r="J113">
        <v>0.29851692967399202</v>
      </c>
      <c r="W113" s="1">
        <v>36647</v>
      </c>
      <c r="X113">
        <v>0.29226233432208898</v>
      </c>
      <c r="Y113">
        <v>0.17215778031277201</v>
      </c>
      <c r="AB113" s="1">
        <v>36647</v>
      </c>
      <c r="AC113">
        <v>8.5149999999999899</v>
      </c>
      <c r="AD113">
        <v>8.8072623343220808</v>
      </c>
      <c r="AE113">
        <v>0.29226233432208898</v>
      </c>
      <c r="AH113" s="1">
        <v>36557</v>
      </c>
      <c r="AI113" s="1">
        <v>36586</v>
      </c>
      <c r="AJ113" s="1">
        <v>36617</v>
      </c>
      <c r="AK113">
        <v>8.3187499999999996</v>
      </c>
      <c r="AL113">
        <v>0.35918877287788398</v>
      </c>
      <c r="AM113">
        <v>8.6779387728778801</v>
      </c>
      <c r="AP113" s="1">
        <v>36495</v>
      </c>
      <c r="AQ113" s="1">
        <v>36526</v>
      </c>
      <c r="AR113" s="1">
        <v>36557</v>
      </c>
      <c r="AS113">
        <v>7.9119999999999999</v>
      </c>
      <c r="AT113">
        <v>0.29851692967399202</v>
      </c>
      <c r="AU113">
        <v>8.2105169296739895</v>
      </c>
    </row>
    <row r="114" spans="1:47" x14ac:dyDescent="0.25">
      <c r="A114" s="1">
        <v>36526</v>
      </c>
      <c r="B114">
        <v>7.9158409387437896</v>
      </c>
      <c r="C114">
        <v>8709105115</v>
      </c>
      <c r="D114">
        <v>7.9774810031346002</v>
      </c>
      <c r="E114">
        <v>6514233791</v>
      </c>
      <c r="F114">
        <v>8.2792100005257794</v>
      </c>
      <c r="G114">
        <v>5666027290</v>
      </c>
      <c r="H114">
        <v>7.9422173987840896</v>
      </c>
      <c r="I114">
        <v>8.2792100005257794</v>
      </c>
      <c r="J114">
        <v>0.33699260174168899</v>
      </c>
      <c r="W114" s="1">
        <v>36678</v>
      </c>
      <c r="X114">
        <v>0.26849461038022199</v>
      </c>
      <c r="Y114">
        <v>0.15591058602278601</v>
      </c>
      <c r="AB114" s="1">
        <v>36678</v>
      </c>
      <c r="AC114">
        <v>8.2729999999999997</v>
      </c>
      <c r="AD114">
        <v>8.5414946103802194</v>
      </c>
      <c r="AE114">
        <v>0.26849461038022199</v>
      </c>
      <c r="AH114" s="1">
        <v>36586</v>
      </c>
      <c r="AI114" s="1">
        <v>36617</v>
      </c>
      <c r="AJ114" s="1">
        <v>36647</v>
      </c>
      <c r="AK114">
        <v>8.2349999999999994</v>
      </c>
      <c r="AL114">
        <v>0.37332239682260898</v>
      </c>
      <c r="AM114">
        <v>8.6083223968226097</v>
      </c>
      <c r="AP114" s="1">
        <v>36526</v>
      </c>
      <c r="AQ114" s="1">
        <v>36557</v>
      </c>
      <c r="AR114" s="1">
        <v>36586</v>
      </c>
      <c r="AS114">
        <v>8.2099999999999902</v>
      </c>
      <c r="AT114">
        <v>0.33699260174168899</v>
      </c>
      <c r="AU114">
        <v>8.54699260174168</v>
      </c>
    </row>
    <row r="115" spans="1:47" x14ac:dyDescent="0.25">
      <c r="A115" s="1">
        <v>36557</v>
      </c>
      <c r="B115">
        <v>7.9585753055326203</v>
      </c>
      <c r="C115">
        <v>8761933008</v>
      </c>
      <c r="D115">
        <v>8.1666415133129693</v>
      </c>
      <c r="E115">
        <v>4427430023</v>
      </c>
      <c r="F115">
        <v>8.4704761460936808</v>
      </c>
      <c r="G115">
        <v>3900110018</v>
      </c>
      <c r="H115">
        <v>8.0284193588757002</v>
      </c>
      <c r="I115">
        <v>8.4704761460936808</v>
      </c>
      <c r="J115">
        <v>0.44205678721797198</v>
      </c>
      <c r="W115" s="1">
        <v>36708</v>
      </c>
      <c r="X115">
        <v>0.23668985248589799</v>
      </c>
      <c r="Y115">
        <v>0.146164054375749</v>
      </c>
      <c r="AB115" s="1">
        <v>36708</v>
      </c>
      <c r="AC115">
        <v>8.1287500000000001</v>
      </c>
      <c r="AD115">
        <v>8.3654398524858902</v>
      </c>
      <c r="AE115">
        <v>0.23668985248589799</v>
      </c>
      <c r="AH115" s="1">
        <v>36617</v>
      </c>
      <c r="AI115" s="1">
        <v>36647</v>
      </c>
      <c r="AJ115" s="1">
        <v>36678</v>
      </c>
      <c r="AK115">
        <v>8.1462500000000002</v>
      </c>
      <c r="AL115">
        <v>0.31530223140135999</v>
      </c>
      <c r="AM115">
        <v>8.4615522314013596</v>
      </c>
      <c r="AP115" s="1">
        <v>36557</v>
      </c>
      <c r="AQ115" s="1">
        <v>36586</v>
      </c>
      <c r="AR115" s="1">
        <v>36617</v>
      </c>
      <c r="AS115">
        <v>8.3187499999999996</v>
      </c>
      <c r="AT115">
        <v>0.44205678721797198</v>
      </c>
      <c r="AU115">
        <v>8.7608067872179696</v>
      </c>
    </row>
    <row r="116" spans="1:47" x14ac:dyDescent="0.25">
      <c r="A116" s="1">
        <v>36586</v>
      </c>
      <c r="B116">
        <v>8.1909645854672899</v>
      </c>
      <c r="C116">
        <v>5944667201</v>
      </c>
      <c r="D116">
        <v>8.3685975331485896</v>
      </c>
      <c r="E116">
        <v>5087864225</v>
      </c>
      <c r="F116">
        <v>8.6138012399378105</v>
      </c>
      <c r="G116">
        <v>4690086025</v>
      </c>
      <c r="H116">
        <v>8.2728834384296395</v>
      </c>
      <c r="I116">
        <v>8.6138012399378105</v>
      </c>
      <c r="J116">
        <v>0.34091780150816497</v>
      </c>
      <c r="W116" s="1">
        <v>36739</v>
      </c>
      <c r="X116">
        <v>0.16906807068141999</v>
      </c>
      <c r="Y116">
        <v>3.6326096391101403E-2</v>
      </c>
      <c r="AB116" s="1">
        <v>36739</v>
      </c>
      <c r="AC116">
        <v>8.0090000000000003</v>
      </c>
      <c r="AD116">
        <v>8.1780680706814195</v>
      </c>
      <c r="AE116">
        <v>0.16906807068141999</v>
      </c>
      <c r="AH116" s="1">
        <v>36647</v>
      </c>
      <c r="AI116" s="1">
        <v>36678</v>
      </c>
      <c r="AJ116" s="1">
        <v>36708</v>
      </c>
      <c r="AK116">
        <v>8.5149999999999899</v>
      </c>
      <c r="AL116">
        <v>0.22533589576629401</v>
      </c>
      <c r="AM116">
        <v>8.7403358957662896</v>
      </c>
      <c r="AP116" s="1">
        <v>36586</v>
      </c>
      <c r="AQ116" s="1">
        <v>36617</v>
      </c>
      <c r="AR116" s="1">
        <v>36647</v>
      </c>
      <c r="AS116">
        <v>8.2349999999999994</v>
      </c>
      <c r="AT116">
        <v>0.34091780150816497</v>
      </c>
      <c r="AU116">
        <v>8.5759178015081599</v>
      </c>
    </row>
    <row r="117" spans="1:47" x14ac:dyDescent="0.25">
      <c r="A117" s="1">
        <v>36617</v>
      </c>
      <c r="B117">
        <v>8.4133732067646996</v>
      </c>
      <c r="C117">
        <v>6396378688</v>
      </c>
      <c r="D117">
        <v>8.4468556771983394</v>
      </c>
      <c r="E117">
        <v>6545531047</v>
      </c>
      <c r="F117">
        <v>8.5932394861196997</v>
      </c>
      <c r="G117">
        <v>4189663619</v>
      </c>
      <c r="H117">
        <v>8.4303073806417608</v>
      </c>
      <c r="I117">
        <v>8.5932394861196997</v>
      </c>
      <c r="J117">
        <v>0.16293210547794401</v>
      </c>
      <c r="W117" s="1">
        <v>36770</v>
      </c>
      <c r="X117">
        <v>0.13768463379173601</v>
      </c>
      <c r="Y117">
        <v>0.15261718017006301</v>
      </c>
      <c r="AB117" s="1">
        <v>36770</v>
      </c>
      <c r="AC117">
        <v>7.9</v>
      </c>
      <c r="AD117">
        <v>8.0376846337917307</v>
      </c>
      <c r="AE117">
        <v>0.13768463379173601</v>
      </c>
      <c r="AH117" s="1">
        <v>36678</v>
      </c>
      <c r="AI117" s="1">
        <v>36708</v>
      </c>
      <c r="AJ117" s="1">
        <v>36739</v>
      </c>
      <c r="AK117">
        <v>8.2729999999999997</v>
      </c>
      <c r="AL117">
        <v>0.16366682393783399</v>
      </c>
      <c r="AM117">
        <v>8.4366668239378306</v>
      </c>
      <c r="AP117" s="1">
        <v>36617</v>
      </c>
      <c r="AQ117" s="1">
        <v>36647</v>
      </c>
      <c r="AR117" s="1">
        <v>36678</v>
      </c>
      <c r="AS117">
        <v>8.1462500000000002</v>
      </c>
      <c r="AT117">
        <v>0.16293210547794401</v>
      </c>
      <c r="AU117">
        <v>8.3091821054779391</v>
      </c>
    </row>
    <row r="118" spans="1:47" x14ac:dyDescent="0.25">
      <c r="A118" s="1">
        <v>36647</v>
      </c>
      <c r="B118">
        <v>8.4285247716108902</v>
      </c>
      <c r="C118">
        <v>9757224228</v>
      </c>
      <c r="D118">
        <v>8.3230530330134105</v>
      </c>
      <c r="E118">
        <v>6129116527</v>
      </c>
      <c r="F118">
        <v>8.5599904513236105</v>
      </c>
      <c r="G118">
        <v>4411339152</v>
      </c>
      <c r="H118">
        <v>8.3878326710108304</v>
      </c>
      <c r="I118">
        <v>8.5599904513236105</v>
      </c>
      <c r="J118">
        <v>0.17215778031277201</v>
      </c>
      <c r="W118" s="1">
        <v>36800</v>
      </c>
      <c r="X118">
        <v>0.145056293027995</v>
      </c>
      <c r="Y118">
        <v>0.20716206089549999</v>
      </c>
      <c r="AB118" s="1">
        <v>36800</v>
      </c>
      <c r="AC118">
        <v>7.7887500000000003</v>
      </c>
      <c r="AD118">
        <v>7.93380629302799</v>
      </c>
      <c r="AE118">
        <v>0.145056293027995</v>
      </c>
      <c r="AH118" s="1">
        <v>36708</v>
      </c>
      <c r="AI118" s="1">
        <v>36739</v>
      </c>
      <c r="AJ118" s="1">
        <v>36770</v>
      </c>
      <c r="AK118">
        <v>8.1287500000000001</v>
      </c>
      <c r="AL118">
        <v>0.158077473570436</v>
      </c>
      <c r="AM118">
        <v>8.2868274735704297</v>
      </c>
      <c r="AP118" s="1">
        <v>36647</v>
      </c>
      <c r="AQ118" s="1">
        <v>36678</v>
      </c>
      <c r="AR118" s="1">
        <v>36708</v>
      </c>
      <c r="AS118">
        <v>8.5149999999999899</v>
      </c>
      <c r="AT118">
        <v>0.17215778031277201</v>
      </c>
      <c r="AU118">
        <v>8.68715778031277</v>
      </c>
    </row>
    <row r="119" spans="1:47" x14ac:dyDescent="0.25">
      <c r="A119" s="1">
        <v>36678</v>
      </c>
      <c r="B119">
        <v>8.3317544471085192</v>
      </c>
      <c r="C119">
        <v>10192736591</v>
      </c>
      <c r="D119">
        <v>8.4698631417398804</v>
      </c>
      <c r="E119">
        <v>9790208562</v>
      </c>
      <c r="F119">
        <v>8.5553283787649992</v>
      </c>
      <c r="G119">
        <v>4712376895</v>
      </c>
      <c r="H119">
        <v>8.3994177927422093</v>
      </c>
      <c r="I119">
        <v>8.5553283787649992</v>
      </c>
      <c r="J119">
        <v>0.15591058602278601</v>
      </c>
      <c r="W119" s="1">
        <v>36831</v>
      </c>
      <c r="X119">
        <v>0.15075906686648199</v>
      </c>
      <c r="Y119">
        <v>0.20637442334369399</v>
      </c>
      <c r="AB119" s="1">
        <v>36831</v>
      </c>
      <c r="AC119">
        <v>7.7009999999999899</v>
      </c>
      <c r="AD119">
        <v>7.8517590668664798</v>
      </c>
      <c r="AE119">
        <v>0.15075906686648199</v>
      </c>
      <c r="AH119" s="1">
        <v>36739</v>
      </c>
      <c r="AI119" s="1">
        <v>36770</v>
      </c>
      <c r="AJ119" s="1">
        <v>36800</v>
      </c>
      <c r="AK119">
        <v>8.0090000000000003</v>
      </c>
      <c r="AL119">
        <v>0.112800245596545</v>
      </c>
      <c r="AM119">
        <v>8.1218002455965408</v>
      </c>
      <c r="AP119" s="1">
        <v>36678</v>
      </c>
      <c r="AQ119" s="1">
        <v>36708</v>
      </c>
      <c r="AR119" s="1">
        <v>36739</v>
      </c>
      <c r="AS119">
        <v>8.2729999999999997</v>
      </c>
      <c r="AT119">
        <v>0.15591058602278601</v>
      </c>
      <c r="AU119">
        <v>8.4289105860227806</v>
      </c>
    </row>
    <row r="120" spans="1:47" x14ac:dyDescent="0.25">
      <c r="A120" s="1">
        <v>36708</v>
      </c>
      <c r="B120">
        <v>8.43321367442209</v>
      </c>
      <c r="C120">
        <v>12736843256</v>
      </c>
      <c r="D120">
        <v>8.5266989770070705</v>
      </c>
      <c r="E120">
        <v>10406344401</v>
      </c>
      <c r="F120">
        <v>8.6214134357863994</v>
      </c>
      <c r="G120">
        <v>7677453666</v>
      </c>
      <c r="H120">
        <v>8.4752493814106504</v>
      </c>
      <c r="I120">
        <v>8.6214134357863994</v>
      </c>
      <c r="J120">
        <v>0.146164054375749</v>
      </c>
      <c r="W120" s="1">
        <v>36861</v>
      </c>
      <c r="X120">
        <v>0.16051478842519701</v>
      </c>
      <c r="Y120">
        <v>0.21444491537507401</v>
      </c>
      <c r="AB120" s="1">
        <v>36861</v>
      </c>
      <c r="AC120">
        <v>7.3087499999999901</v>
      </c>
      <c r="AD120">
        <v>7.4692647884251899</v>
      </c>
      <c r="AE120">
        <v>0.16051478842519701</v>
      </c>
      <c r="AH120" s="1">
        <v>36770</v>
      </c>
      <c r="AI120" s="1">
        <v>36800</v>
      </c>
      <c r="AJ120" s="1">
        <v>36831</v>
      </c>
      <c r="AK120">
        <v>7.9</v>
      </c>
      <c r="AL120">
        <v>0.111702443645638</v>
      </c>
      <c r="AM120">
        <v>8.0117024436456301</v>
      </c>
      <c r="AP120" s="1">
        <v>36708</v>
      </c>
      <c r="AQ120" s="1">
        <v>36739</v>
      </c>
      <c r="AR120" s="1">
        <v>36770</v>
      </c>
      <c r="AS120">
        <v>8.1287500000000001</v>
      </c>
      <c r="AT120">
        <v>0.146164054375749</v>
      </c>
      <c r="AU120">
        <v>8.2749140543757491</v>
      </c>
    </row>
    <row r="121" spans="1:47" x14ac:dyDescent="0.25">
      <c r="A121" s="1">
        <v>36739</v>
      </c>
      <c r="B121">
        <v>8.46123221995264</v>
      </c>
      <c r="C121">
        <v>17133097159</v>
      </c>
      <c r="D121">
        <v>8.3890303708625993</v>
      </c>
      <c r="E121">
        <v>7604449501</v>
      </c>
      <c r="F121">
        <v>8.4753630953369701</v>
      </c>
      <c r="G121">
        <v>4827910817</v>
      </c>
      <c r="H121">
        <v>8.4390369989458698</v>
      </c>
      <c r="I121">
        <v>8.4753630953369701</v>
      </c>
      <c r="J121">
        <v>3.6326096391101403E-2</v>
      </c>
      <c r="W121" s="1">
        <v>36892</v>
      </c>
      <c r="X121">
        <v>0.179047540090566</v>
      </c>
      <c r="Y121">
        <v>0.25736056436796501</v>
      </c>
      <c r="AB121" s="1">
        <v>36892</v>
      </c>
      <c r="AC121">
        <v>7.0075000000000003</v>
      </c>
      <c r="AD121">
        <v>7.1865475400905598</v>
      </c>
      <c r="AE121">
        <v>0.179047540090566</v>
      </c>
      <c r="AH121" s="1">
        <v>36800</v>
      </c>
      <c r="AI121" s="1">
        <v>36831</v>
      </c>
      <c r="AJ121" s="1">
        <v>36861</v>
      </c>
      <c r="AK121">
        <v>7.7887500000000003</v>
      </c>
      <c r="AL121">
        <v>0.132035112485555</v>
      </c>
      <c r="AM121">
        <v>7.9207851124855502</v>
      </c>
      <c r="AP121" s="1">
        <v>36739</v>
      </c>
      <c r="AQ121" s="1">
        <v>36770</v>
      </c>
      <c r="AR121" s="1">
        <v>36800</v>
      </c>
      <c r="AS121">
        <v>8.0090000000000003</v>
      </c>
      <c r="AT121">
        <v>3.6326096391101403E-2</v>
      </c>
      <c r="AU121">
        <v>8.0453260963911006</v>
      </c>
    </row>
    <row r="122" spans="1:47" x14ac:dyDescent="0.25">
      <c r="A122" s="1">
        <v>36770</v>
      </c>
      <c r="B122">
        <v>8.2339682582834595</v>
      </c>
      <c r="C122">
        <v>19878631494</v>
      </c>
      <c r="D122">
        <v>8.2646887417466992</v>
      </c>
      <c r="E122">
        <v>11765587936</v>
      </c>
      <c r="F122">
        <v>8.3980075735585693</v>
      </c>
      <c r="G122">
        <v>8978070130</v>
      </c>
      <c r="H122">
        <v>8.2453903933885009</v>
      </c>
      <c r="I122">
        <v>8.3980075735585693</v>
      </c>
      <c r="J122">
        <v>0.15261718017006301</v>
      </c>
      <c r="W122" s="1">
        <v>36923</v>
      </c>
      <c r="X122">
        <v>0.205908002043897</v>
      </c>
      <c r="Y122">
        <v>0.19748886811108399</v>
      </c>
      <c r="AB122" s="1">
        <v>36923</v>
      </c>
      <c r="AC122">
        <v>7.0374999999999996</v>
      </c>
      <c r="AD122">
        <v>7.24340800204389</v>
      </c>
      <c r="AE122">
        <v>0.205908002043897</v>
      </c>
      <c r="AH122" s="1">
        <v>36831</v>
      </c>
      <c r="AI122" s="1">
        <v>36861</v>
      </c>
      <c r="AJ122" s="1">
        <v>36892</v>
      </c>
      <c r="AK122">
        <v>7.7009999999999899</v>
      </c>
      <c r="AL122">
        <v>0.18871788813641899</v>
      </c>
      <c r="AM122">
        <v>7.8897178881364098</v>
      </c>
      <c r="AP122" s="1">
        <v>36770</v>
      </c>
      <c r="AQ122" s="1">
        <v>36800</v>
      </c>
      <c r="AR122" s="1">
        <v>36831</v>
      </c>
      <c r="AS122">
        <v>7.9</v>
      </c>
      <c r="AT122">
        <v>0.15261718017006301</v>
      </c>
      <c r="AU122">
        <v>8.0526171801700599</v>
      </c>
    </row>
    <row r="123" spans="1:47" x14ac:dyDescent="0.25">
      <c r="A123" s="1">
        <v>36800</v>
      </c>
      <c r="B123">
        <v>8.1171790133402197</v>
      </c>
      <c r="C123">
        <v>14907458688</v>
      </c>
      <c r="D123">
        <v>8.0987170893023599</v>
      </c>
      <c r="E123">
        <v>7891873993</v>
      </c>
      <c r="F123">
        <v>8.3179505723638592</v>
      </c>
      <c r="G123">
        <v>7995667503</v>
      </c>
      <c r="H123">
        <v>8.1107885114683604</v>
      </c>
      <c r="I123">
        <v>8.3179505723638592</v>
      </c>
      <c r="J123">
        <v>0.20716206089549999</v>
      </c>
      <c r="W123" s="1">
        <v>36951</v>
      </c>
      <c r="X123">
        <v>0.20275160710680501</v>
      </c>
      <c r="Y123">
        <v>0.13367881054751099</v>
      </c>
      <c r="AB123" s="1">
        <v>36951</v>
      </c>
      <c r="AC123">
        <v>6.9320000000000004</v>
      </c>
      <c r="AD123">
        <v>7.1347516071068</v>
      </c>
      <c r="AE123">
        <v>0.20275160710680501</v>
      </c>
      <c r="AH123" s="1">
        <v>36861</v>
      </c>
      <c r="AI123" s="1">
        <v>36892</v>
      </c>
      <c r="AJ123" s="1">
        <v>36923</v>
      </c>
      <c r="AK123">
        <v>7.3087499999999901</v>
      </c>
      <c r="AL123">
        <v>0.20932713320475599</v>
      </c>
      <c r="AM123">
        <v>7.5180771332047502</v>
      </c>
      <c r="AP123" s="1">
        <v>36800</v>
      </c>
      <c r="AQ123" s="1">
        <v>36831</v>
      </c>
      <c r="AR123" s="1">
        <v>36861</v>
      </c>
      <c r="AS123">
        <v>7.7887500000000003</v>
      </c>
      <c r="AT123">
        <v>0.20716206089549999</v>
      </c>
      <c r="AU123">
        <v>7.9959120608954999</v>
      </c>
    </row>
    <row r="124" spans="1:47" x14ac:dyDescent="0.25">
      <c r="A124" s="1">
        <v>36831</v>
      </c>
      <c r="B124">
        <v>8.0273867862859394</v>
      </c>
      <c r="C124">
        <v>14949605369</v>
      </c>
      <c r="D124">
        <v>8.0492446958340196</v>
      </c>
      <c r="E124">
        <v>10937142627</v>
      </c>
      <c r="F124">
        <v>8.2429961693199107</v>
      </c>
      <c r="G124">
        <v>8123486516</v>
      </c>
      <c r="H124">
        <v>8.0366217459762197</v>
      </c>
      <c r="I124">
        <v>8.2429961693199107</v>
      </c>
      <c r="J124">
        <v>0.20637442334369399</v>
      </c>
      <c r="W124" s="1">
        <v>36982</v>
      </c>
      <c r="X124">
        <v>0.19327560581634401</v>
      </c>
      <c r="Y124">
        <v>0.15030605315273801</v>
      </c>
      <c r="AB124" s="1">
        <v>36982</v>
      </c>
      <c r="AC124">
        <v>7.0525000000000002</v>
      </c>
      <c r="AD124">
        <v>7.2457756058163403</v>
      </c>
      <c r="AE124">
        <v>0.19327560581634401</v>
      </c>
      <c r="AH124" s="1">
        <v>36892</v>
      </c>
      <c r="AI124" s="1">
        <v>36923</v>
      </c>
      <c r="AJ124" s="1">
        <v>36951</v>
      </c>
      <c r="AK124">
        <v>7.0075000000000003</v>
      </c>
      <c r="AL124">
        <v>0.22605996769557801</v>
      </c>
      <c r="AM124">
        <v>7.2335599676955704</v>
      </c>
      <c r="AP124" s="1">
        <v>36831</v>
      </c>
      <c r="AQ124" s="1">
        <v>36861</v>
      </c>
      <c r="AR124" s="1">
        <v>36892</v>
      </c>
      <c r="AS124">
        <v>7.7009999999999899</v>
      </c>
      <c r="AT124">
        <v>0.20637442334369399</v>
      </c>
      <c r="AU124">
        <v>7.9073744233436898</v>
      </c>
    </row>
    <row r="125" spans="1:47" x14ac:dyDescent="0.25">
      <c r="A125" s="1">
        <v>36861</v>
      </c>
      <c r="B125">
        <v>7.9237477021462999</v>
      </c>
      <c r="C125">
        <v>14780729441</v>
      </c>
      <c r="D125">
        <v>7.9453644486587498</v>
      </c>
      <c r="E125">
        <v>8827375222</v>
      </c>
      <c r="F125">
        <v>8.1462753982133496</v>
      </c>
      <c r="G125">
        <v>8246077374</v>
      </c>
      <c r="H125">
        <v>7.9318304828382802</v>
      </c>
      <c r="I125">
        <v>8.1462753982133496</v>
      </c>
      <c r="J125">
        <v>0.21444491537507401</v>
      </c>
      <c r="W125" s="1">
        <v>37012</v>
      </c>
      <c r="X125">
        <v>0.18896299563368299</v>
      </c>
      <c r="Y125">
        <v>0.18049876224772701</v>
      </c>
      <c r="AB125" s="1">
        <v>37012</v>
      </c>
      <c r="AC125">
        <v>7.1489999999999903</v>
      </c>
      <c r="AD125">
        <v>7.3379629956336796</v>
      </c>
      <c r="AE125">
        <v>0.18896299563368299</v>
      </c>
      <c r="AH125" s="1">
        <v>36923</v>
      </c>
      <c r="AI125" s="1">
        <v>36951</v>
      </c>
      <c r="AJ125" s="1">
        <v>36982</v>
      </c>
      <c r="AK125">
        <v>7.0374999999999996</v>
      </c>
      <c r="AL125">
        <v>0.22309811595137399</v>
      </c>
      <c r="AM125">
        <v>7.2605981159513702</v>
      </c>
      <c r="AP125" s="1">
        <v>36861</v>
      </c>
      <c r="AQ125" s="1">
        <v>36892</v>
      </c>
      <c r="AR125" s="1">
        <v>36923</v>
      </c>
      <c r="AS125">
        <v>7.3087499999999901</v>
      </c>
      <c r="AT125">
        <v>0.21444491537507401</v>
      </c>
      <c r="AU125">
        <v>7.5231949153750701</v>
      </c>
    </row>
    <row r="126" spans="1:47" x14ac:dyDescent="0.25">
      <c r="A126" s="1">
        <v>36892</v>
      </c>
      <c r="B126">
        <v>7.7177785061220296</v>
      </c>
      <c r="C126">
        <v>15404682682</v>
      </c>
      <c r="D126">
        <v>7.6427172594371404</v>
      </c>
      <c r="E126">
        <v>10688290221</v>
      </c>
      <c r="F126">
        <v>7.9443922333281103</v>
      </c>
      <c r="G126">
        <v>6405421875</v>
      </c>
      <c r="H126">
        <v>7.6870316689601399</v>
      </c>
      <c r="I126">
        <v>7.9443922333281103</v>
      </c>
      <c r="J126">
        <v>0.25736056436796501</v>
      </c>
      <c r="W126" s="1">
        <v>37043</v>
      </c>
      <c r="X126">
        <v>0.17473896821464099</v>
      </c>
      <c r="Y126">
        <v>0.12910075086082301</v>
      </c>
      <c r="AB126" s="1">
        <v>37043</v>
      </c>
      <c r="AC126">
        <v>7.13375</v>
      </c>
      <c r="AD126">
        <v>7.3084889682146397</v>
      </c>
      <c r="AE126">
        <v>0.17473896821464099</v>
      </c>
      <c r="AH126" s="1">
        <v>36951</v>
      </c>
      <c r="AI126" s="1">
        <v>36982</v>
      </c>
      <c r="AJ126" s="1">
        <v>37012</v>
      </c>
      <c r="AK126">
        <v>6.9320000000000004</v>
      </c>
      <c r="AL126">
        <v>0.196176081008853</v>
      </c>
      <c r="AM126">
        <v>7.1281760810088501</v>
      </c>
      <c r="AP126" s="1">
        <v>36892</v>
      </c>
      <c r="AQ126" s="1">
        <v>36923</v>
      </c>
      <c r="AR126" s="1">
        <v>36951</v>
      </c>
      <c r="AS126">
        <v>7.0075000000000003</v>
      </c>
      <c r="AT126">
        <v>0.25736056436796501</v>
      </c>
      <c r="AU126">
        <v>7.26486056436796</v>
      </c>
    </row>
    <row r="127" spans="1:47" x14ac:dyDescent="0.25">
      <c r="A127" s="1">
        <v>36923</v>
      </c>
      <c r="B127">
        <v>7.3137529143122899</v>
      </c>
      <c r="C127">
        <v>18266242436</v>
      </c>
      <c r="D127">
        <v>7.2554729751058202</v>
      </c>
      <c r="E127">
        <v>9518581675</v>
      </c>
      <c r="F127">
        <v>7.4912761220638</v>
      </c>
      <c r="G127">
        <v>9666515226</v>
      </c>
      <c r="H127">
        <v>7.2937872539527104</v>
      </c>
      <c r="I127">
        <v>7.4912761220638</v>
      </c>
      <c r="J127">
        <v>0.19748886811108399</v>
      </c>
      <c r="W127" s="1">
        <v>37073</v>
      </c>
      <c r="X127">
        <v>0.14860405305281399</v>
      </c>
      <c r="Y127">
        <v>0.100551073397003</v>
      </c>
      <c r="AB127" s="1">
        <v>37073</v>
      </c>
      <c r="AC127">
        <v>7.1025</v>
      </c>
      <c r="AD127">
        <v>7.2511040530528099</v>
      </c>
      <c r="AE127">
        <v>0.14860405305281399</v>
      </c>
      <c r="AH127" s="1">
        <v>36982</v>
      </c>
      <c r="AI127" s="1">
        <v>37012</v>
      </c>
      <c r="AJ127" s="1">
        <v>37043</v>
      </c>
      <c r="AK127">
        <v>7.0525000000000002</v>
      </c>
      <c r="AL127">
        <v>0.16049124393711101</v>
      </c>
      <c r="AM127">
        <v>7.2129912439371102</v>
      </c>
      <c r="AP127" s="1">
        <v>36923</v>
      </c>
      <c r="AQ127" s="1">
        <v>36951</v>
      </c>
      <c r="AR127" s="1">
        <v>36982</v>
      </c>
      <c r="AS127">
        <v>7.0374999999999996</v>
      </c>
      <c r="AT127">
        <v>0.19748886811108399</v>
      </c>
      <c r="AU127">
        <v>7.2349888681110803</v>
      </c>
    </row>
    <row r="128" spans="1:47" x14ac:dyDescent="0.25">
      <c r="A128" s="1">
        <v>36951</v>
      </c>
      <c r="B128">
        <v>7.1257975695652203</v>
      </c>
      <c r="C128">
        <v>26571594998</v>
      </c>
      <c r="D128">
        <v>7.0804644875971299</v>
      </c>
      <c r="E128">
        <v>15209127528</v>
      </c>
      <c r="F128">
        <v>7.2429741134403303</v>
      </c>
      <c r="G128">
        <v>10827869890</v>
      </c>
      <c r="H128">
        <v>7.1092953028928099</v>
      </c>
      <c r="I128">
        <v>7.2429741134403303</v>
      </c>
      <c r="J128">
        <v>0.13367881054751099</v>
      </c>
      <c r="W128" s="1">
        <v>37104</v>
      </c>
      <c r="X128">
        <v>0.129657956172644</v>
      </c>
      <c r="Y128">
        <v>8.3812286830060895E-2</v>
      </c>
      <c r="AB128" s="1">
        <v>37104</v>
      </c>
      <c r="AC128">
        <v>6.9249999999999998</v>
      </c>
      <c r="AD128">
        <v>7.0546579561726404</v>
      </c>
      <c r="AE128">
        <v>0.129657956172644</v>
      </c>
      <c r="AH128" s="1">
        <v>37012</v>
      </c>
      <c r="AI128" s="1">
        <v>37043</v>
      </c>
      <c r="AJ128" s="1">
        <v>37073</v>
      </c>
      <c r="AK128">
        <v>7.1489999999999903</v>
      </c>
      <c r="AL128">
        <v>0.15482787531599199</v>
      </c>
      <c r="AM128">
        <v>7.3038278753159904</v>
      </c>
      <c r="AP128" s="1">
        <v>36951</v>
      </c>
      <c r="AQ128" s="1">
        <v>36982</v>
      </c>
      <c r="AR128" s="1">
        <v>37012</v>
      </c>
      <c r="AS128">
        <v>6.9320000000000004</v>
      </c>
      <c r="AT128">
        <v>0.13367881054751099</v>
      </c>
      <c r="AU128">
        <v>7.0656788105475101</v>
      </c>
    </row>
    <row r="129" spans="1:47" x14ac:dyDescent="0.25">
      <c r="A129" s="1">
        <v>36982</v>
      </c>
      <c r="B129">
        <v>7.0989211877928904</v>
      </c>
      <c r="C129">
        <v>32108380413</v>
      </c>
      <c r="D129">
        <v>7.0971163955069798</v>
      </c>
      <c r="E129">
        <v>23949469935</v>
      </c>
      <c r="F129">
        <v>7.2484561835768204</v>
      </c>
      <c r="G129">
        <v>12333047812</v>
      </c>
      <c r="H129">
        <v>7.0981501304240799</v>
      </c>
      <c r="I129">
        <v>7.2484561835768204</v>
      </c>
      <c r="J129">
        <v>0.15030605315273801</v>
      </c>
      <c r="W129" s="1">
        <v>37135</v>
      </c>
      <c r="X129">
        <v>0.122986704332083</v>
      </c>
      <c r="Y129">
        <v>9.3651299504148106E-2</v>
      </c>
      <c r="AB129" s="1">
        <v>37135</v>
      </c>
      <c r="AC129">
        <v>6.7925000000000004</v>
      </c>
      <c r="AD129">
        <v>6.9154867043320802</v>
      </c>
      <c r="AE129">
        <v>0.122986704332083</v>
      </c>
      <c r="AH129" s="1">
        <v>37043</v>
      </c>
      <c r="AI129" s="1">
        <v>37073</v>
      </c>
      <c r="AJ129" s="1">
        <v>37104</v>
      </c>
      <c r="AK129">
        <v>7.13375</v>
      </c>
      <c r="AL129">
        <v>0.15330185542042901</v>
      </c>
      <c r="AM129">
        <v>7.2870518554204304</v>
      </c>
      <c r="AP129" s="1">
        <v>36982</v>
      </c>
      <c r="AQ129" s="1">
        <v>37012</v>
      </c>
      <c r="AR129" s="1">
        <v>37043</v>
      </c>
      <c r="AS129">
        <v>7.0525000000000002</v>
      </c>
      <c r="AT129">
        <v>0.15030605315273801</v>
      </c>
      <c r="AU129">
        <v>7.20280605315273</v>
      </c>
    </row>
    <row r="130" spans="1:47" x14ac:dyDescent="0.25">
      <c r="A130" s="1">
        <v>37012</v>
      </c>
      <c r="B130">
        <v>7.0801149078394596</v>
      </c>
      <c r="C130">
        <v>31808114373</v>
      </c>
      <c r="D130">
        <v>7.0571743638343296</v>
      </c>
      <c r="E130">
        <v>23039808922</v>
      </c>
      <c r="F130">
        <v>7.25097710194217</v>
      </c>
      <c r="G130">
        <v>13869354747</v>
      </c>
      <c r="H130">
        <v>7.0704783396944402</v>
      </c>
      <c r="I130">
        <v>7.25097710194217</v>
      </c>
      <c r="J130">
        <v>0.18049876224772701</v>
      </c>
      <c r="W130" s="1">
        <v>37165</v>
      </c>
      <c r="X130">
        <v>0.114329368681934</v>
      </c>
      <c r="Y130">
        <v>9.8362039251845099E-2</v>
      </c>
      <c r="AB130" s="1">
        <v>37165</v>
      </c>
      <c r="AC130">
        <v>6.58</v>
      </c>
      <c r="AD130">
        <v>6.6943293686819301</v>
      </c>
      <c r="AE130">
        <v>0.114329368681934</v>
      </c>
      <c r="AH130" s="1">
        <v>37073</v>
      </c>
      <c r="AI130" s="1">
        <v>37104</v>
      </c>
      <c r="AJ130" s="1">
        <v>37135</v>
      </c>
      <c r="AK130">
        <v>7.1025</v>
      </c>
      <c r="AL130">
        <v>0.136716862168518</v>
      </c>
      <c r="AM130">
        <v>7.2392168621685098</v>
      </c>
      <c r="AP130" s="1">
        <v>37012</v>
      </c>
      <c r="AQ130" s="1">
        <v>37043</v>
      </c>
      <c r="AR130" s="1">
        <v>37073</v>
      </c>
      <c r="AS130">
        <v>7.1489999999999903</v>
      </c>
      <c r="AT130">
        <v>0.18049876224772701</v>
      </c>
      <c r="AU130">
        <v>7.3294987622477201</v>
      </c>
    </row>
    <row r="131" spans="1:47" x14ac:dyDescent="0.25">
      <c r="A131" s="1">
        <v>37043</v>
      </c>
      <c r="B131">
        <v>7.19097228327617</v>
      </c>
      <c r="C131">
        <v>35277238332</v>
      </c>
      <c r="D131">
        <v>7.1642296488939996</v>
      </c>
      <c r="E131">
        <v>24380203564</v>
      </c>
      <c r="F131">
        <v>7.3091441231855097</v>
      </c>
      <c r="G131">
        <v>14978742902</v>
      </c>
      <c r="H131">
        <v>7.1800433723246799</v>
      </c>
      <c r="I131">
        <v>7.3091441231855097</v>
      </c>
      <c r="J131">
        <v>0.12910075086082301</v>
      </c>
      <c r="W131" s="1">
        <v>37196</v>
      </c>
      <c r="X131">
        <v>0.10386313420406899</v>
      </c>
      <c r="Y131">
        <v>0.117701355380532</v>
      </c>
      <c r="AB131" s="1">
        <v>37196</v>
      </c>
      <c r="AC131">
        <v>6.6079999999999997</v>
      </c>
      <c r="AD131">
        <v>6.7118631342040604</v>
      </c>
      <c r="AE131">
        <v>0.10386313420406899</v>
      </c>
      <c r="AH131" s="1">
        <v>37104</v>
      </c>
      <c r="AI131" s="1">
        <v>37135</v>
      </c>
      <c r="AJ131" s="1">
        <v>37165</v>
      </c>
      <c r="AK131">
        <v>6.9249999999999998</v>
      </c>
      <c r="AL131">
        <v>0.104488037029296</v>
      </c>
      <c r="AM131">
        <v>7.0294880370292896</v>
      </c>
      <c r="AP131" s="1">
        <v>37043</v>
      </c>
      <c r="AQ131" s="1">
        <v>37073</v>
      </c>
      <c r="AR131" s="1">
        <v>37104</v>
      </c>
      <c r="AS131">
        <v>7.13375</v>
      </c>
      <c r="AT131">
        <v>0.12910075086082301</v>
      </c>
      <c r="AU131">
        <v>7.26285075086082</v>
      </c>
    </row>
    <row r="132" spans="1:47" x14ac:dyDescent="0.25">
      <c r="A132" s="1">
        <v>37073</v>
      </c>
      <c r="B132">
        <v>7.27199990176842</v>
      </c>
      <c r="C132">
        <v>29378884467</v>
      </c>
      <c r="D132">
        <v>7.2385623277899596</v>
      </c>
      <c r="E132">
        <v>20851064360</v>
      </c>
      <c r="F132">
        <v>7.3586706304040099</v>
      </c>
      <c r="G132">
        <v>14734025548</v>
      </c>
      <c r="H132">
        <v>7.2581195570070003</v>
      </c>
      <c r="I132">
        <v>7.3586706304040099</v>
      </c>
      <c r="J132">
        <v>0.100551073397003</v>
      </c>
      <c r="W132" s="1">
        <v>37226</v>
      </c>
      <c r="X132">
        <v>0.105600540919875</v>
      </c>
      <c r="Y132">
        <v>0.139525191155664</v>
      </c>
      <c r="AB132" s="1">
        <v>37226</v>
      </c>
      <c r="AC132">
        <v>7.0025000000000004</v>
      </c>
      <c r="AD132">
        <v>7.1081005409198701</v>
      </c>
      <c r="AE132">
        <v>0.105600540919875</v>
      </c>
      <c r="AH132" s="1">
        <v>37135</v>
      </c>
      <c r="AI132" s="1">
        <v>37165</v>
      </c>
      <c r="AJ132" s="1">
        <v>37196</v>
      </c>
      <c r="AK132">
        <v>6.7925000000000004</v>
      </c>
      <c r="AL132">
        <v>9.2671553243737603E-2</v>
      </c>
      <c r="AM132">
        <v>6.8851715532437296</v>
      </c>
      <c r="AP132" s="1">
        <v>37073</v>
      </c>
      <c r="AQ132" s="1">
        <v>37104</v>
      </c>
      <c r="AR132" s="1">
        <v>37135</v>
      </c>
      <c r="AS132">
        <v>7.1025</v>
      </c>
      <c r="AT132">
        <v>0.100551073397003</v>
      </c>
      <c r="AU132">
        <v>7.2030510733969999</v>
      </c>
    </row>
    <row r="133" spans="1:47" x14ac:dyDescent="0.25">
      <c r="A133" s="1">
        <v>37104</v>
      </c>
      <c r="B133">
        <v>7.26691060995537</v>
      </c>
      <c r="C133">
        <v>28952374235</v>
      </c>
      <c r="D133">
        <v>7.2346503814613401</v>
      </c>
      <c r="E133">
        <v>21054202541</v>
      </c>
      <c r="F133">
        <v>7.3371404156695004</v>
      </c>
      <c r="G133">
        <v>14114333265</v>
      </c>
      <c r="H133">
        <v>7.2533281288394402</v>
      </c>
      <c r="I133">
        <v>7.3371404156695004</v>
      </c>
      <c r="J133">
        <v>8.3812286830060895E-2</v>
      </c>
      <c r="W133" s="1">
        <v>37257</v>
      </c>
      <c r="X133">
        <v>0.102800391359348</v>
      </c>
      <c r="Y133">
        <v>8.3750176033839704E-2</v>
      </c>
      <c r="AB133" s="1">
        <v>37257</v>
      </c>
      <c r="AC133">
        <v>6.9370000000000003</v>
      </c>
      <c r="AD133">
        <v>7.0398003913593401</v>
      </c>
      <c r="AE133">
        <v>0.102800391359348</v>
      </c>
      <c r="AH133" s="1">
        <v>37165</v>
      </c>
      <c r="AI133" s="1">
        <v>37196</v>
      </c>
      <c r="AJ133" s="1">
        <v>37226</v>
      </c>
      <c r="AK133">
        <v>6.58</v>
      </c>
      <c r="AL133">
        <v>9.1941875195351394E-2</v>
      </c>
      <c r="AM133">
        <v>6.6719418751953503</v>
      </c>
      <c r="AP133" s="1">
        <v>37104</v>
      </c>
      <c r="AQ133" s="1">
        <v>37135</v>
      </c>
      <c r="AR133" s="1">
        <v>37165</v>
      </c>
      <c r="AS133">
        <v>6.9249999999999998</v>
      </c>
      <c r="AT133">
        <v>8.3812286830060895E-2</v>
      </c>
      <c r="AU133">
        <v>7.00881228683006</v>
      </c>
    </row>
    <row r="134" spans="1:47" x14ac:dyDescent="0.25">
      <c r="A134" s="1">
        <v>37135</v>
      </c>
      <c r="B134">
        <v>7.1631419903727096</v>
      </c>
      <c r="C134">
        <v>27854257626</v>
      </c>
      <c r="D134">
        <v>7.1297842307663597</v>
      </c>
      <c r="E134">
        <v>16801129748</v>
      </c>
      <c r="F134">
        <v>7.2442427762612196</v>
      </c>
      <c r="G134">
        <v>13616381879</v>
      </c>
      <c r="H134">
        <v>7.1505914767570697</v>
      </c>
      <c r="I134">
        <v>7.2442427762612196</v>
      </c>
      <c r="J134">
        <v>9.3651299504148106E-2</v>
      </c>
      <c r="W134" s="1">
        <v>37288</v>
      </c>
      <c r="X134">
        <v>0.10980955352513</v>
      </c>
      <c r="Y134">
        <v>0.125867259824754</v>
      </c>
      <c r="AB134" s="1">
        <v>37288</v>
      </c>
      <c r="AC134">
        <v>6.7624999999999904</v>
      </c>
      <c r="AD134">
        <v>6.8723095535251302</v>
      </c>
      <c r="AE134">
        <v>0.10980955352513</v>
      </c>
      <c r="AH134" s="1">
        <v>37196</v>
      </c>
      <c r="AI134" s="1">
        <v>37226</v>
      </c>
      <c r="AJ134" s="1">
        <v>37257</v>
      </c>
      <c r="AK134">
        <v>6.6079999999999997</v>
      </c>
      <c r="AL134">
        <v>0.103238231378841</v>
      </c>
      <c r="AM134">
        <v>6.7112382313788403</v>
      </c>
      <c r="AP134" s="1">
        <v>37135</v>
      </c>
      <c r="AQ134" s="1">
        <v>37165</v>
      </c>
      <c r="AR134" s="1">
        <v>37196</v>
      </c>
      <c r="AS134">
        <v>6.7925000000000004</v>
      </c>
      <c r="AT134">
        <v>9.3651299504148106E-2</v>
      </c>
      <c r="AU134">
        <v>6.8861512995041396</v>
      </c>
    </row>
    <row r="135" spans="1:47" x14ac:dyDescent="0.25">
      <c r="A135" s="1">
        <v>37165</v>
      </c>
      <c r="B135">
        <v>7.0244571237875197</v>
      </c>
      <c r="C135">
        <v>25433767547</v>
      </c>
      <c r="D135">
        <v>6.9101769827726303</v>
      </c>
      <c r="E135">
        <v>21350274627</v>
      </c>
      <c r="F135">
        <v>7.0706664998298496</v>
      </c>
      <c r="G135">
        <v>10738713259</v>
      </c>
      <c r="H135">
        <v>6.9723044605780098</v>
      </c>
      <c r="I135">
        <v>7.0706664998298496</v>
      </c>
      <c r="J135">
        <v>9.8362039251845099E-2</v>
      </c>
      <c r="W135" s="1">
        <v>37316</v>
      </c>
      <c r="X135">
        <v>0.109965589046531</v>
      </c>
      <c r="Y135">
        <v>9.4587512632551801E-2</v>
      </c>
      <c r="AB135" s="1">
        <v>37316</v>
      </c>
      <c r="AC135">
        <v>6.9924999999999997</v>
      </c>
      <c r="AD135">
        <v>7.1024655890465302</v>
      </c>
      <c r="AE135">
        <v>0.109965589046531</v>
      </c>
      <c r="AH135" s="1">
        <v>37226</v>
      </c>
      <c r="AI135" s="1">
        <v>37257</v>
      </c>
      <c r="AJ135" s="1">
        <v>37288</v>
      </c>
      <c r="AK135">
        <v>7.0025000000000004</v>
      </c>
      <c r="AL135">
        <v>0.118529528596013</v>
      </c>
      <c r="AM135">
        <v>7.1210295285960097</v>
      </c>
      <c r="AP135" s="1">
        <v>37165</v>
      </c>
      <c r="AQ135" s="1">
        <v>37196</v>
      </c>
      <c r="AR135" s="1">
        <v>37226</v>
      </c>
      <c r="AS135">
        <v>6.58</v>
      </c>
      <c r="AT135">
        <v>9.8362039251845099E-2</v>
      </c>
      <c r="AU135">
        <v>6.6783620392518399</v>
      </c>
    </row>
    <row r="136" spans="1:47" x14ac:dyDescent="0.25">
      <c r="A136" s="1">
        <v>37196</v>
      </c>
      <c r="B136">
        <v>6.8063361658273402</v>
      </c>
      <c r="C136">
        <v>33923424793</v>
      </c>
      <c r="D136">
        <v>6.7319402926883098</v>
      </c>
      <c r="E136">
        <v>20692906365</v>
      </c>
      <c r="F136">
        <v>6.8958505887617001</v>
      </c>
      <c r="G136">
        <v>12919634922</v>
      </c>
      <c r="H136">
        <v>6.7781492333811704</v>
      </c>
      <c r="I136">
        <v>6.8958505887617001</v>
      </c>
      <c r="J136">
        <v>0.117701355380532</v>
      </c>
      <c r="W136" s="1">
        <v>37347</v>
      </c>
      <c r="X136">
        <v>0.123021897742162</v>
      </c>
      <c r="Y136">
        <v>0.176699891425629</v>
      </c>
      <c r="AB136" s="1">
        <v>37347</v>
      </c>
      <c r="AC136">
        <v>6.9162499999999998</v>
      </c>
      <c r="AD136">
        <v>7.03927189774216</v>
      </c>
      <c r="AE136">
        <v>0.123021897742162</v>
      </c>
      <c r="AH136" s="1">
        <v>37257</v>
      </c>
      <c r="AI136" s="1">
        <v>37288</v>
      </c>
      <c r="AJ136" s="1">
        <v>37316</v>
      </c>
      <c r="AK136">
        <v>6.9370000000000003</v>
      </c>
      <c r="AL136">
        <v>0.113658907523345</v>
      </c>
      <c r="AM136">
        <v>7.0506589075233403</v>
      </c>
      <c r="AP136" s="1">
        <v>37196</v>
      </c>
      <c r="AQ136" s="1">
        <v>37226</v>
      </c>
      <c r="AR136" s="1">
        <v>37257</v>
      </c>
      <c r="AS136">
        <v>6.6079999999999997</v>
      </c>
      <c r="AT136">
        <v>0.117701355380532</v>
      </c>
      <c r="AU136">
        <v>6.7257013553805303</v>
      </c>
    </row>
    <row r="137" spans="1:47" x14ac:dyDescent="0.25">
      <c r="A137" s="1">
        <v>37226</v>
      </c>
      <c r="B137">
        <v>6.6382378979642702</v>
      </c>
      <c r="C137">
        <v>41564509390</v>
      </c>
      <c r="D137">
        <v>6.6485906240833703</v>
      </c>
      <c r="E137">
        <v>26088532276</v>
      </c>
      <c r="F137">
        <v>6.7817553328217901</v>
      </c>
      <c r="G137">
        <v>13997202482</v>
      </c>
      <c r="H137">
        <v>6.64223014166613</v>
      </c>
      <c r="I137">
        <v>6.7817553328217901</v>
      </c>
      <c r="J137">
        <v>0.139525191155664</v>
      </c>
      <c r="W137" s="1">
        <v>37377</v>
      </c>
      <c r="X137">
        <v>0.12323242758400201</v>
      </c>
      <c r="Y137">
        <v>0.11896453443157499</v>
      </c>
      <c r="AB137" s="1">
        <v>37377</v>
      </c>
      <c r="AC137">
        <v>6.7359999999999998</v>
      </c>
      <c r="AD137">
        <v>6.8592324275839998</v>
      </c>
      <c r="AE137">
        <v>0.12323242758400201</v>
      </c>
      <c r="AH137" s="1">
        <v>37288</v>
      </c>
      <c r="AI137" s="1">
        <v>37316</v>
      </c>
      <c r="AJ137" s="1">
        <v>37347</v>
      </c>
      <c r="AK137">
        <v>6.7624999999999904</v>
      </c>
      <c r="AL137">
        <v>0.116380875671419</v>
      </c>
      <c r="AM137">
        <v>6.8788808756714097</v>
      </c>
      <c r="AP137" s="1">
        <v>37226</v>
      </c>
      <c r="AQ137" s="1">
        <v>37257</v>
      </c>
      <c r="AR137" s="1">
        <v>37288</v>
      </c>
      <c r="AS137">
        <v>7.0025000000000004</v>
      </c>
      <c r="AT137">
        <v>0.139525191155664</v>
      </c>
      <c r="AU137">
        <v>7.1420251911556596</v>
      </c>
    </row>
    <row r="138" spans="1:47" x14ac:dyDescent="0.25">
      <c r="A138" s="1">
        <v>37257</v>
      </c>
      <c r="B138">
        <v>6.8100202161056096</v>
      </c>
      <c r="C138">
        <v>35194787449</v>
      </c>
      <c r="D138">
        <v>6.7507409327812002</v>
      </c>
      <c r="E138">
        <v>28241682769</v>
      </c>
      <c r="F138">
        <v>6.8673794736556699</v>
      </c>
      <c r="G138">
        <v>10482067631</v>
      </c>
      <c r="H138">
        <v>6.7836292976218298</v>
      </c>
      <c r="I138">
        <v>6.8673794736556699</v>
      </c>
      <c r="J138">
        <v>8.3750176033839704E-2</v>
      </c>
      <c r="W138" s="1">
        <v>37408</v>
      </c>
      <c r="X138">
        <v>0.12620339285499299</v>
      </c>
      <c r="Y138">
        <v>0.157350982781609</v>
      </c>
      <c r="AB138" s="1">
        <v>37408</v>
      </c>
      <c r="AC138">
        <v>6.55</v>
      </c>
      <c r="AD138">
        <v>6.6762033928549904</v>
      </c>
      <c r="AE138">
        <v>0.12620339285499299</v>
      </c>
      <c r="AH138" s="1">
        <v>37316</v>
      </c>
      <c r="AI138" s="1">
        <v>37347</v>
      </c>
      <c r="AJ138" s="1">
        <v>37377</v>
      </c>
      <c r="AK138">
        <v>6.9924999999999997</v>
      </c>
      <c r="AL138">
        <v>0.101401649497048</v>
      </c>
      <c r="AM138">
        <v>7.0939016494970399</v>
      </c>
      <c r="AP138" s="1">
        <v>37257</v>
      </c>
      <c r="AQ138" s="1">
        <v>37288</v>
      </c>
      <c r="AR138" s="1">
        <v>37316</v>
      </c>
      <c r="AS138">
        <v>6.9370000000000003</v>
      </c>
      <c r="AT138">
        <v>8.3750176033839704E-2</v>
      </c>
      <c r="AU138">
        <v>7.0207501760338404</v>
      </c>
    </row>
    <row r="139" spans="1:47" x14ac:dyDescent="0.25">
      <c r="A139" s="1">
        <v>37288</v>
      </c>
      <c r="B139">
        <v>7.0546734061415703</v>
      </c>
      <c r="C139">
        <v>26425779106</v>
      </c>
      <c r="D139">
        <v>6.8980684890117203</v>
      </c>
      <c r="E139">
        <v>19141882280</v>
      </c>
      <c r="F139">
        <v>7.1147546941391697</v>
      </c>
      <c r="G139">
        <v>8852669450</v>
      </c>
      <c r="H139">
        <v>6.9888874343144201</v>
      </c>
      <c r="I139">
        <v>7.1147546941391697</v>
      </c>
      <c r="J139">
        <v>0.125867259824754</v>
      </c>
      <c r="W139" s="1">
        <v>37438</v>
      </c>
      <c r="X139">
        <v>0.14848254236307401</v>
      </c>
      <c r="Y139">
        <v>0.217425073082326</v>
      </c>
      <c r="AB139" s="1">
        <v>37438</v>
      </c>
      <c r="AC139">
        <v>6.3724999999999996</v>
      </c>
      <c r="AD139">
        <v>6.5209825423630701</v>
      </c>
      <c r="AE139">
        <v>0.14848254236307401</v>
      </c>
      <c r="AH139" s="1">
        <v>37347</v>
      </c>
      <c r="AI139" s="1">
        <v>37377</v>
      </c>
      <c r="AJ139" s="1">
        <v>37408</v>
      </c>
      <c r="AK139">
        <v>6.9162499999999998</v>
      </c>
      <c r="AL139">
        <v>0.132384887960978</v>
      </c>
      <c r="AM139">
        <v>7.0486348879609704</v>
      </c>
      <c r="AP139" s="1">
        <v>37288</v>
      </c>
      <c r="AQ139" s="1">
        <v>37316</v>
      </c>
      <c r="AR139" s="1">
        <v>37347</v>
      </c>
      <c r="AS139">
        <v>6.7624999999999904</v>
      </c>
      <c r="AT139">
        <v>0.125867259824754</v>
      </c>
      <c r="AU139">
        <v>6.8883672598247498</v>
      </c>
    </row>
    <row r="140" spans="1:47" x14ac:dyDescent="0.25">
      <c r="A140" s="1">
        <v>37316</v>
      </c>
      <c r="B140">
        <v>6.9997634242688802</v>
      </c>
      <c r="C140">
        <v>26370852118</v>
      </c>
      <c r="D140">
        <v>6.9101771364052</v>
      </c>
      <c r="E140">
        <v>17891980230</v>
      </c>
      <c r="F140">
        <v>7.0581382499514902</v>
      </c>
      <c r="G140">
        <v>8660220196</v>
      </c>
      <c r="H140">
        <v>6.96355073731893</v>
      </c>
      <c r="I140">
        <v>7.0581382499514902</v>
      </c>
      <c r="J140">
        <v>9.4587512632551801E-2</v>
      </c>
      <c r="W140" s="1">
        <v>37469</v>
      </c>
      <c r="X140">
        <v>0.167326817748323</v>
      </c>
      <c r="Y140">
        <v>0.23893291213624501</v>
      </c>
      <c r="AB140" s="1">
        <v>37469</v>
      </c>
      <c r="AC140">
        <v>6.2</v>
      </c>
      <c r="AD140">
        <v>6.36732681774832</v>
      </c>
      <c r="AE140">
        <v>0.167326817748323</v>
      </c>
      <c r="AH140" s="1">
        <v>37377</v>
      </c>
      <c r="AI140" s="1">
        <v>37408</v>
      </c>
      <c r="AJ140" s="1">
        <v>37438</v>
      </c>
      <c r="AK140">
        <v>6.7359999999999998</v>
      </c>
      <c r="AL140">
        <v>0.13008397949658501</v>
      </c>
      <c r="AM140">
        <v>6.8660839794965796</v>
      </c>
      <c r="AP140" s="1">
        <v>37316</v>
      </c>
      <c r="AQ140" s="1">
        <v>37347</v>
      </c>
      <c r="AR140" s="1">
        <v>37377</v>
      </c>
      <c r="AS140">
        <v>6.9924999999999997</v>
      </c>
      <c r="AT140">
        <v>9.4587512632551801E-2</v>
      </c>
      <c r="AU140">
        <v>7.0870875126325501</v>
      </c>
    </row>
    <row r="141" spans="1:47" x14ac:dyDescent="0.25">
      <c r="A141" s="1">
        <v>37347</v>
      </c>
      <c r="B141">
        <v>6.9908951054338697</v>
      </c>
      <c r="C141">
        <v>26686126501</v>
      </c>
      <c r="D141">
        <v>6.9107928939733503</v>
      </c>
      <c r="E141">
        <v>18163258032</v>
      </c>
      <c r="F141">
        <v>7.1351549277071404</v>
      </c>
      <c r="G141">
        <v>10754685206</v>
      </c>
      <c r="H141">
        <v>6.9584550362815101</v>
      </c>
      <c r="I141">
        <v>7.1351549277071404</v>
      </c>
      <c r="J141">
        <v>0.176699891425629</v>
      </c>
      <c r="W141" s="1">
        <v>37500</v>
      </c>
      <c r="X141">
        <v>0.17491646268328301</v>
      </c>
      <c r="Y141">
        <v>0.14012538224231</v>
      </c>
      <c r="AB141" s="1">
        <v>37500</v>
      </c>
      <c r="AC141">
        <v>5.9987500000000002</v>
      </c>
      <c r="AD141">
        <v>6.17366646268328</v>
      </c>
      <c r="AE141">
        <v>0.17491646268328301</v>
      </c>
      <c r="AH141" s="1">
        <v>37408</v>
      </c>
      <c r="AI141" s="1">
        <v>37438</v>
      </c>
      <c r="AJ141" s="1">
        <v>37469</v>
      </c>
      <c r="AK141">
        <v>6.55</v>
      </c>
      <c r="AL141">
        <v>0.15100513621293801</v>
      </c>
      <c r="AM141">
        <v>6.7010051362129301</v>
      </c>
      <c r="AP141" s="1">
        <v>37347</v>
      </c>
      <c r="AQ141" s="1">
        <v>37377</v>
      </c>
      <c r="AR141" s="1">
        <v>37408</v>
      </c>
      <c r="AS141">
        <v>6.9162499999999998</v>
      </c>
      <c r="AT141">
        <v>0.176699891425629</v>
      </c>
      <c r="AU141">
        <v>7.0929498914256301</v>
      </c>
    </row>
    <row r="142" spans="1:47" x14ac:dyDescent="0.25">
      <c r="A142" s="1">
        <v>37377</v>
      </c>
      <c r="B142">
        <v>7.14178217977424</v>
      </c>
      <c r="C142">
        <v>23518805704</v>
      </c>
      <c r="D142">
        <v>6.9944249925362803</v>
      </c>
      <c r="E142">
        <v>16765384579</v>
      </c>
      <c r="F142">
        <v>7.1994199282590499</v>
      </c>
      <c r="G142">
        <v>9842456505</v>
      </c>
      <c r="H142">
        <v>7.0804553938274797</v>
      </c>
      <c r="I142">
        <v>7.1994199282590499</v>
      </c>
      <c r="J142">
        <v>0.11896453443157499</v>
      </c>
      <c r="W142" s="1">
        <v>37530</v>
      </c>
      <c r="X142">
        <v>0.164193529797489</v>
      </c>
      <c r="Y142">
        <v>0.112362294110866</v>
      </c>
      <c r="AB142" s="1">
        <v>37530</v>
      </c>
      <c r="AC142">
        <v>6.0060000000000002</v>
      </c>
      <c r="AD142">
        <v>6.1701935297974799</v>
      </c>
      <c r="AE142">
        <v>0.164193529797489</v>
      </c>
      <c r="AH142" s="1">
        <v>37438</v>
      </c>
      <c r="AI142" s="1">
        <v>37469</v>
      </c>
      <c r="AJ142" s="1">
        <v>37500</v>
      </c>
      <c r="AK142">
        <v>6.3724999999999996</v>
      </c>
      <c r="AL142">
        <v>0.16458019676516999</v>
      </c>
      <c r="AM142">
        <v>6.5370801967651699</v>
      </c>
      <c r="AP142" s="1">
        <v>37377</v>
      </c>
      <c r="AQ142" s="1">
        <v>37408</v>
      </c>
      <c r="AR142" s="1">
        <v>37438</v>
      </c>
      <c r="AS142">
        <v>6.7359999999999998</v>
      </c>
      <c r="AT142">
        <v>0.11896453443157499</v>
      </c>
      <c r="AU142">
        <v>6.8549645344315699</v>
      </c>
    </row>
    <row r="143" spans="1:47" x14ac:dyDescent="0.25">
      <c r="A143" s="1">
        <v>37408</v>
      </c>
      <c r="B143">
        <v>7.0288295518730601</v>
      </c>
      <c r="C143">
        <v>23039617997</v>
      </c>
      <c r="D143">
        <v>6.9164676165034198</v>
      </c>
      <c r="E143">
        <v>14967275224</v>
      </c>
      <c r="F143">
        <v>7.1419319294977104</v>
      </c>
      <c r="G143">
        <v>9638206447</v>
      </c>
      <c r="H143">
        <v>6.9845809467161004</v>
      </c>
      <c r="I143">
        <v>7.1419319294977104</v>
      </c>
      <c r="J143">
        <v>0.157350982781609</v>
      </c>
      <c r="W143" s="1">
        <v>37561</v>
      </c>
      <c r="X143">
        <v>0.16045667566461999</v>
      </c>
      <c r="Y143">
        <v>9.6543409634362698E-2</v>
      </c>
      <c r="AB143" s="1">
        <v>37561</v>
      </c>
      <c r="AC143">
        <v>5.9524999999999997</v>
      </c>
      <c r="AD143">
        <v>6.1129566756646199</v>
      </c>
      <c r="AE143">
        <v>0.16045667566461999</v>
      </c>
      <c r="AH143" s="1">
        <v>37469</v>
      </c>
      <c r="AI143" s="1">
        <v>37500</v>
      </c>
      <c r="AJ143" s="1">
        <v>37530</v>
      </c>
      <c r="AK143">
        <v>6.2</v>
      </c>
      <c r="AL143">
        <v>0.20456965600006</v>
      </c>
      <c r="AM143">
        <v>6.40456965600006</v>
      </c>
      <c r="AP143" s="1">
        <v>37408</v>
      </c>
      <c r="AQ143" s="1">
        <v>37438</v>
      </c>
      <c r="AR143" s="1">
        <v>37469</v>
      </c>
      <c r="AS143">
        <v>6.55</v>
      </c>
      <c r="AT143">
        <v>0.157350982781609</v>
      </c>
      <c r="AU143">
        <v>6.7073509827816098</v>
      </c>
    </row>
    <row r="144" spans="1:47" x14ac:dyDescent="0.25">
      <c r="A144" s="1">
        <v>37438</v>
      </c>
      <c r="B144">
        <v>6.9477613201841004</v>
      </c>
      <c r="C144">
        <v>27682650413</v>
      </c>
      <c r="D144">
        <v>6.8075961619413299</v>
      </c>
      <c r="E144">
        <v>17248055463</v>
      </c>
      <c r="F144">
        <v>7.1113796173385397</v>
      </c>
      <c r="G144">
        <v>8078533169</v>
      </c>
      <c r="H144">
        <v>6.8939545442562196</v>
      </c>
      <c r="I144">
        <v>7.1113796173385397</v>
      </c>
      <c r="J144">
        <v>0.217425073082326</v>
      </c>
      <c r="W144" s="1">
        <v>37591</v>
      </c>
      <c r="X144">
        <v>0.153680713030899</v>
      </c>
      <c r="Y144">
        <v>0.116695206979286</v>
      </c>
      <c r="AB144" s="1">
        <v>37591</v>
      </c>
      <c r="AC144">
        <v>5.9349999999999996</v>
      </c>
      <c r="AD144">
        <v>6.0886807130309002</v>
      </c>
      <c r="AE144">
        <v>0.153680713030899</v>
      </c>
      <c r="AH144" s="1">
        <v>37500</v>
      </c>
      <c r="AI144" s="1">
        <v>37530</v>
      </c>
      <c r="AJ144" s="1">
        <v>37561</v>
      </c>
      <c r="AK144">
        <v>5.9987500000000002</v>
      </c>
      <c r="AL144">
        <v>0.198827789153627</v>
      </c>
      <c r="AM144">
        <v>6.1975777891536197</v>
      </c>
      <c r="AP144" s="1">
        <v>37438</v>
      </c>
      <c r="AQ144" s="1">
        <v>37469</v>
      </c>
      <c r="AR144" s="1">
        <v>37500</v>
      </c>
      <c r="AS144">
        <v>6.3724999999999996</v>
      </c>
      <c r="AT144">
        <v>0.217425073082326</v>
      </c>
      <c r="AU144">
        <v>6.5899250730823198</v>
      </c>
    </row>
    <row r="145" spans="1:47" x14ac:dyDescent="0.25">
      <c r="A145" s="1">
        <v>37469</v>
      </c>
      <c r="B145">
        <v>6.7433519229057701</v>
      </c>
      <c r="C145">
        <v>29940890516</v>
      </c>
      <c r="D145">
        <v>6.6317461273005902</v>
      </c>
      <c r="E145">
        <v>18132717282</v>
      </c>
      <c r="F145">
        <v>6.9401886323345998</v>
      </c>
      <c r="G145">
        <v>12701400929</v>
      </c>
      <c r="H145">
        <v>6.7012557201983602</v>
      </c>
      <c r="I145">
        <v>6.9401886323345998</v>
      </c>
      <c r="J145">
        <v>0.23893291213624501</v>
      </c>
      <c r="W145" s="1">
        <v>37622</v>
      </c>
      <c r="X145">
        <v>0.13169414211768199</v>
      </c>
      <c r="Y145">
        <v>8.5505647603026202E-2</v>
      </c>
      <c r="AB145" s="1">
        <v>37622</v>
      </c>
      <c r="AC145">
        <v>5.8109999999999999</v>
      </c>
      <c r="AD145">
        <v>5.9426941421176798</v>
      </c>
      <c r="AE145">
        <v>0.13169414211768199</v>
      </c>
      <c r="AH145" s="1">
        <v>37530</v>
      </c>
      <c r="AI145" s="1">
        <v>37561</v>
      </c>
      <c r="AJ145" s="1">
        <v>37591</v>
      </c>
      <c r="AK145">
        <v>6.0060000000000002</v>
      </c>
      <c r="AL145">
        <v>0.163806862829807</v>
      </c>
      <c r="AM145">
        <v>6.1698068628298</v>
      </c>
      <c r="AP145" s="1">
        <v>37469</v>
      </c>
      <c r="AQ145" s="1">
        <v>37500</v>
      </c>
      <c r="AR145" s="1">
        <v>37530</v>
      </c>
      <c r="AS145">
        <v>6.2</v>
      </c>
      <c r="AT145">
        <v>0.23893291213624501</v>
      </c>
      <c r="AU145">
        <v>6.4389329121362398</v>
      </c>
    </row>
    <row r="146" spans="1:47" x14ac:dyDescent="0.25">
      <c r="A146" s="1">
        <v>37500</v>
      </c>
      <c r="B146">
        <v>6.5384472690120399</v>
      </c>
      <c r="C146">
        <v>37842031534</v>
      </c>
      <c r="D146">
        <v>6.4352411384244803</v>
      </c>
      <c r="E146">
        <v>22153263489</v>
      </c>
      <c r="F146">
        <v>6.6404637861556797</v>
      </c>
      <c r="G146">
        <v>12035716831</v>
      </c>
      <c r="H146">
        <v>6.5003384039133696</v>
      </c>
      <c r="I146">
        <v>6.6404637861556797</v>
      </c>
      <c r="J146">
        <v>0.14012538224231</v>
      </c>
      <c r="W146" s="1">
        <v>37653</v>
      </c>
      <c r="X146">
        <v>0.10867503662653</v>
      </c>
      <c r="Y146">
        <v>0.10081827918932899</v>
      </c>
      <c r="AB146" s="1">
        <v>37653</v>
      </c>
      <c r="AC146">
        <v>5.7487500000000002</v>
      </c>
      <c r="AD146">
        <v>5.8574250366265304</v>
      </c>
      <c r="AE146">
        <v>0.10867503662653</v>
      </c>
      <c r="AH146" s="1">
        <v>37561</v>
      </c>
      <c r="AI146" s="1">
        <v>37591</v>
      </c>
      <c r="AJ146" s="1">
        <v>37622</v>
      </c>
      <c r="AK146">
        <v>5.9524999999999997</v>
      </c>
      <c r="AL146">
        <v>0.116343695329179</v>
      </c>
      <c r="AM146">
        <v>6.0688436953291802</v>
      </c>
      <c r="AP146" s="1">
        <v>37500</v>
      </c>
      <c r="AQ146" s="1">
        <v>37530</v>
      </c>
      <c r="AR146" s="1">
        <v>37561</v>
      </c>
      <c r="AS146">
        <v>5.9987500000000002</v>
      </c>
      <c r="AT146">
        <v>0.14012538224231</v>
      </c>
      <c r="AU146">
        <v>6.1388753822423103</v>
      </c>
    </row>
    <row r="147" spans="1:47" x14ac:dyDescent="0.25">
      <c r="A147" s="1">
        <v>37530</v>
      </c>
      <c r="B147">
        <v>6.3787636709346902</v>
      </c>
      <c r="C147">
        <v>41249226546</v>
      </c>
      <c r="D147">
        <v>6.29462330723777</v>
      </c>
      <c r="E147">
        <v>24824471141</v>
      </c>
      <c r="F147">
        <v>6.4595136880956296</v>
      </c>
      <c r="G147">
        <v>11029570553</v>
      </c>
      <c r="H147">
        <v>6.3471513939847597</v>
      </c>
      <c r="I147">
        <v>6.4595136880956296</v>
      </c>
      <c r="J147">
        <v>0.112362294110866</v>
      </c>
      <c r="W147" s="1">
        <v>37681</v>
      </c>
      <c r="X147">
        <v>0.10759742095722601</v>
      </c>
      <c r="Y147">
        <v>0.13365968822648999</v>
      </c>
      <c r="AB147" s="1">
        <v>37681</v>
      </c>
      <c r="AC147">
        <v>5.6449999999999996</v>
      </c>
      <c r="AD147">
        <v>5.7525974209572199</v>
      </c>
      <c r="AE147">
        <v>0.10759742095722601</v>
      </c>
      <c r="AH147" s="1">
        <v>37591</v>
      </c>
      <c r="AI147" s="1">
        <v>37622</v>
      </c>
      <c r="AJ147" s="1">
        <v>37653</v>
      </c>
      <c r="AK147">
        <v>5.9349999999999996</v>
      </c>
      <c r="AL147">
        <v>0.108533636908171</v>
      </c>
      <c r="AM147">
        <v>6.0435336369081698</v>
      </c>
      <c r="AP147" s="1">
        <v>37530</v>
      </c>
      <c r="AQ147" s="1">
        <v>37561</v>
      </c>
      <c r="AR147" s="1">
        <v>37591</v>
      </c>
      <c r="AS147">
        <v>6.0060000000000002</v>
      </c>
      <c r="AT147">
        <v>0.112362294110866</v>
      </c>
      <c r="AU147">
        <v>6.1183622941108604</v>
      </c>
    </row>
    <row r="148" spans="1:47" x14ac:dyDescent="0.25">
      <c r="A148" s="1">
        <v>37561</v>
      </c>
      <c r="B148">
        <v>6.2289830527272798</v>
      </c>
      <c r="C148">
        <v>53080837393</v>
      </c>
      <c r="D148">
        <v>6.1523151865641097</v>
      </c>
      <c r="E148">
        <v>29514576518</v>
      </c>
      <c r="F148">
        <v>6.2981300308263197</v>
      </c>
      <c r="G148">
        <v>12646293502</v>
      </c>
      <c r="H148">
        <v>6.2015866211919599</v>
      </c>
      <c r="I148">
        <v>6.2981300308263197</v>
      </c>
      <c r="J148">
        <v>9.6543409634362698E-2</v>
      </c>
      <c r="W148" s="1">
        <v>37712</v>
      </c>
      <c r="X148">
        <v>0.102063044033586</v>
      </c>
      <c r="Y148">
        <v>7.9156032569022497E-2</v>
      </c>
      <c r="AB148" s="1">
        <v>37712</v>
      </c>
      <c r="AC148">
        <v>5.7125000000000004</v>
      </c>
      <c r="AD148">
        <v>5.81456304403358</v>
      </c>
      <c r="AE148">
        <v>0.102063044033586</v>
      </c>
      <c r="AH148" s="1">
        <v>37622</v>
      </c>
      <c r="AI148" s="1">
        <v>37653</v>
      </c>
      <c r="AJ148" s="1">
        <v>37681</v>
      </c>
      <c r="AK148">
        <v>5.8109999999999999</v>
      </c>
      <c r="AL148">
        <v>9.9581421405558396E-2</v>
      </c>
      <c r="AM148">
        <v>5.9105814214055501</v>
      </c>
      <c r="AP148" s="1">
        <v>37561</v>
      </c>
      <c r="AQ148" s="1">
        <v>37591</v>
      </c>
      <c r="AR148" s="1">
        <v>37622</v>
      </c>
      <c r="AS148">
        <v>5.9524999999999997</v>
      </c>
      <c r="AT148">
        <v>9.6543409634362698E-2</v>
      </c>
      <c r="AU148">
        <v>6.0490434096343604</v>
      </c>
    </row>
    <row r="149" spans="1:47" x14ac:dyDescent="0.25">
      <c r="A149" s="1">
        <v>37591</v>
      </c>
      <c r="B149">
        <v>6.1607471041822404</v>
      </c>
      <c r="C149">
        <v>51975023314</v>
      </c>
      <c r="D149">
        <v>6.1083114933069202</v>
      </c>
      <c r="E149">
        <v>23660486194</v>
      </c>
      <c r="F149">
        <v>6.2610392743437702</v>
      </c>
      <c r="G149">
        <v>12702275890</v>
      </c>
      <c r="H149">
        <v>6.1443440673644796</v>
      </c>
      <c r="I149">
        <v>6.2610392743437702</v>
      </c>
      <c r="J149">
        <v>0.116695206979286</v>
      </c>
      <c r="W149" s="1">
        <v>37742</v>
      </c>
      <c r="X149">
        <v>0.102139833432301</v>
      </c>
      <c r="Y149">
        <v>9.7004146026652097E-2</v>
      </c>
      <c r="AB149" s="1">
        <v>37742</v>
      </c>
      <c r="AC149">
        <v>5.3940000000000001</v>
      </c>
      <c r="AD149">
        <v>5.4961398334323004</v>
      </c>
      <c r="AE149">
        <v>0.102139833432301</v>
      </c>
      <c r="AH149" s="1">
        <v>37653</v>
      </c>
      <c r="AI149" s="1">
        <v>37681</v>
      </c>
      <c r="AJ149" s="1">
        <v>37712</v>
      </c>
      <c r="AK149">
        <v>5.7487500000000002</v>
      </c>
      <c r="AL149">
        <v>0.10100637792387999</v>
      </c>
      <c r="AM149">
        <v>5.8497563779238799</v>
      </c>
      <c r="AP149" s="1">
        <v>37591</v>
      </c>
      <c r="AQ149" s="1">
        <v>37622</v>
      </c>
      <c r="AR149" s="1">
        <v>37653</v>
      </c>
      <c r="AS149">
        <v>5.9349999999999996</v>
      </c>
      <c r="AT149">
        <v>0.116695206979286</v>
      </c>
      <c r="AU149">
        <v>6.0516952069792804</v>
      </c>
    </row>
    <row r="150" spans="1:47" x14ac:dyDescent="0.25">
      <c r="A150" s="1">
        <v>37622</v>
      </c>
      <c r="B150">
        <v>6.1356398690815599</v>
      </c>
      <c r="C150">
        <v>55889959705</v>
      </c>
      <c r="D150">
        <v>6.0540317155014698</v>
      </c>
      <c r="E150">
        <v>25193690560</v>
      </c>
      <c r="F150">
        <v>6.1957888564731798</v>
      </c>
      <c r="G150">
        <v>13225382867</v>
      </c>
      <c r="H150">
        <v>6.1102832088701602</v>
      </c>
      <c r="I150">
        <v>6.1957888564731798</v>
      </c>
      <c r="J150">
        <v>8.5505647603026202E-2</v>
      </c>
      <c r="W150" s="1">
        <v>37773</v>
      </c>
      <c r="X150">
        <v>9.1880034611555306E-2</v>
      </c>
      <c r="Y150">
        <v>5.5136414054810498E-2</v>
      </c>
      <c r="AB150" s="1">
        <v>37773</v>
      </c>
      <c r="AC150">
        <v>5.1174999999999997</v>
      </c>
      <c r="AD150">
        <v>5.2093800346115504</v>
      </c>
      <c r="AE150">
        <v>9.1880034611555306E-2</v>
      </c>
      <c r="AH150" s="1">
        <v>37681</v>
      </c>
      <c r="AI150" s="1">
        <v>37712</v>
      </c>
      <c r="AJ150" s="1">
        <v>37742</v>
      </c>
      <c r="AK150">
        <v>5.6449999999999996</v>
      </c>
      <c r="AL150">
        <v>0.106661205006282</v>
      </c>
      <c r="AM150">
        <v>5.7516612050062799</v>
      </c>
      <c r="AP150" s="1">
        <v>37622</v>
      </c>
      <c r="AQ150" s="1">
        <v>37653</v>
      </c>
      <c r="AR150" s="1">
        <v>37681</v>
      </c>
      <c r="AS150">
        <v>5.8109999999999999</v>
      </c>
      <c r="AT150">
        <v>8.5505647603026202E-2</v>
      </c>
      <c r="AU150">
        <v>5.8965056476030204</v>
      </c>
    </row>
    <row r="151" spans="1:47" x14ac:dyDescent="0.25">
      <c r="A151" s="1">
        <v>37653</v>
      </c>
      <c r="B151">
        <v>6.0773878189503696</v>
      </c>
      <c r="C151">
        <v>49154763690</v>
      </c>
      <c r="D151">
        <v>6.0002409949093396</v>
      </c>
      <c r="E151">
        <v>24554886516</v>
      </c>
      <c r="F151">
        <v>6.1525061863357102</v>
      </c>
      <c r="G151">
        <v>12321924651</v>
      </c>
      <c r="H151">
        <v>6.0516879071463796</v>
      </c>
      <c r="I151">
        <v>6.1525061863357102</v>
      </c>
      <c r="J151">
        <v>0.10081827918932899</v>
      </c>
      <c r="W151" s="1">
        <v>37803</v>
      </c>
      <c r="X151">
        <v>7.94189494763443E-2</v>
      </c>
      <c r="Y151">
        <v>1.07391367917604E-2</v>
      </c>
      <c r="AB151" s="1">
        <v>37803</v>
      </c>
      <c r="AC151">
        <v>5.609</v>
      </c>
      <c r="AD151">
        <v>5.6884189494763397</v>
      </c>
      <c r="AE151">
        <v>7.94189494763443E-2</v>
      </c>
      <c r="AH151" s="1">
        <v>37712</v>
      </c>
      <c r="AI151" s="1">
        <v>37742</v>
      </c>
      <c r="AJ151" s="1">
        <v>37773</v>
      </c>
      <c r="AK151">
        <v>5.7125000000000004</v>
      </c>
      <c r="AL151">
        <v>0.10454466666161399</v>
      </c>
      <c r="AM151">
        <v>5.8170446666616096</v>
      </c>
      <c r="AP151" s="1">
        <v>37653</v>
      </c>
      <c r="AQ151" s="1">
        <v>37681</v>
      </c>
      <c r="AR151" s="1">
        <v>37712</v>
      </c>
      <c r="AS151">
        <v>5.7487500000000002</v>
      </c>
      <c r="AT151">
        <v>0.10081827918932899</v>
      </c>
      <c r="AU151">
        <v>5.84956827918933</v>
      </c>
    </row>
    <row r="152" spans="1:47" x14ac:dyDescent="0.25">
      <c r="A152" s="1">
        <v>37681</v>
      </c>
      <c r="B152">
        <v>6.0164536449951402</v>
      </c>
      <c r="C152">
        <v>47267121422</v>
      </c>
      <c r="D152">
        <v>5.9168421398596003</v>
      </c>
      <c r="E152">
        <v>20037484859</v>
      </c>
      <c r="F152">
        <v>6.1204576508512103</v>
      </c>
      <c r="G152">
        <v>10951613062</v>
      </c>
      <c r="H152">
        <v>5.9867979626247196</v>
      </c>
      <c r="I152">
        <v>6.1204576508512103</v>
      </c>
      <c r="J152">
        <v>0.13365968822648999</v>
      </c>
      <c r="W152" s="1">
        <v>37834</v>
      </c>
      <c r="X152">
        <v>8.4151030954539602E-2</v>
      </c>
      <c r="Y152">
        <v>0.12921076805850101</v>
      </c>
      <c r="AB152" s="1">
        <v>37834</v>
      </c>
      <c r="AC152">
        <v>6.2262500000000003</v>
      </c>
      <c r="AD152">
        <v>6.31040103095454</v>
      </c>
      <c r="AE152">
        <v>8.4151030954539602E-2</v>
      </c>
      <c r="AH152" s="1">
        <v>37742</v>
      </c>
      <c r="AI152" s="1">
        <v>37773</v>
      </c>
      <c r="AJ152" s="1">
        <v>37803</v>
      </c>
      <c r="AK152">
        <v>5.3940000000000001</v>
      </c>
      <c r="AL152">
        <v>0.10327328894072101</v>
      </c>
      <c r="AM152">
        <v>5.4972732889407201</v>
      </c>
      <c r="AP152" s="1">
        <v>37681</v>
      </c>
      <c r="AQ152" s="1">
        <v>37712</v>
      </c>
      <c r="AR152" s="1">
        <v>37742</v>
      </c>
      <c r="AS152">
        <v>5.6449999999999996</v>
      </c>
      <c r="AT152">
        <v>0.13365968822648999</v>
      </c>
      <c r="AU152">
        <v>5.7786596882264902</v>
      </c>
    </row>
    <row r="153" spans="1:47" x14ac:dyDescent="0.25">
      <c r="A153" s="1">
        <v>37712</v>
      </c>
      <c r="B153">
        <v>5.9059921818110102</v>
      </c>
      <c r="C153">
        <v>60473200273</v>
      </c>
      <c r="D153">
        <v>5.8655877238000098</v>
      </c>
      <c r="E153">
        <v>22172985116</v>
      </c>
      <c r="F153">
        <v>5.9743081805432503</v>
      </c>
      <c r="G153">
        <v>15204269181</v>
      </c>
      <c r="H153">
        <v>5.8951521479742297</v>
      </c>
      <c r="I153">
        <v>5.9743081805432503</v>
      </c>
      <c r="J153">
        <v>7.9156032569022497E-2</v>
      </c>
      <c r="W153" s="1">
        <v>37865</v>
      </c>
      <c r="X153">
        <v>8.7592913422194996E-2</v>
      </c>
      <c r="Y153">
        <v>0.15431098303242199</v>
      </c>
      <c r="AB153" s="1">
        <v>37865</v>
      </c>
      <c r="AC153">
        <v>6.0412499999999998</v>
      </c>
      <c r="AD153">
        <v>6.12884291342219</v>
      </c>
      <c r="AE153">
        <v>8.7592913422194996E-2</v>
      </c>
      <c r="AH153" s="1">
        <v>37773</v>
      </c>
      <c r="AI153" s="1">
        <v>37803</v>
      </c>
      <c r="AJ153" s="1">
        <v>37834</v>
      </c>
      <c r="AK153">
        <v>5.1174999999999997</v>
      </c>
      <c r="AL153">
        <v>7.7098864216828294E-2</v>
      </c>
      <c r="AM153">
        <v>5.1945988642168199</v>
      </c>
      <c r="AP153" s="1">
        <v>37712</v>
      </c>
      <c r="AQ153" s="1">
        <v>37742</v>
      </c>
      <c r="AR153" s="1">
        <v>37773</v>
      </c>
      <c r="AS153">
        <v>5.7125000000000004</v>
      </c>
      <c r="AT153">
        <v>7.9156032569022497E-2</v>
      </c>
      <c r="AU153">
        <v>5.7916560325690201</v>
      </c>
    </row>
    <row r="154" spans="1:47" x14ac:dyDescent="0.25">
      <c r="A154" s="1">
        <v>37742</v>
      </c>
      <c r="B154">
        <v>5.86955208343241</v>
      </c>
      <c r="C154">
        <v>66986457058</v>
      </c>
      <c r="D154">
        <v>5.7800931154214998</v>
      </c>
      <c r="E154">
        <v>20033885471</v>
      </c>
      <c r="F154">
        <v>5.9459609218861598</v>
      </c>
      <c r="G154">
        <v>14637523765</v>
      </c>
      <c r="H154">
        <v>5.8489567758594996</v>
      </c>
      <c r="I154">
        <v>5.9459609218861598</v>
      </c>
      <c r="J154">
        <v>9.7004146026652097E-2</v>
      </c>
      <c r="W154" s="1">
        <v>37895</v>
      </c>
      <c r="X154">
        <v>9.7755692352916104E-2</v>
      </c>
      <c r="Y154">
        <v>0.140132706153349</v>
      </c>
      <c r="AB154" s="1">
        <v>37895</v>
      </c>
      <c r="AC154">
        <v>5.8520000000000003</v>
      </c>
      <c r="AD154">
        <v>5.9497556923529098</v>
      </c>
      <c r="AE154">
        <v>9.7755692352916104E-2</v>
      </c>
      <c r="AH154" s="1">
        <v>37803</v>
      </c>
      <c r="AI154" s="1">
        <v>37834</v>
      </c>
      <c r="AJ154" s="1">
        <v>37865</v>
      </c>
      <c r="AK154">
        <v>5.609</v>
      </c>
      <c r="AL154">
        <v>5.42932322910743E-2</v>
      </c>
      <c r="AM154">
        <v>5.6632932322910703</v>
      </c>
      <c r="AP154" s="1">
        <v>37742</v>
      </c>
      <c r="AQ154" s="1">
        <v>37773</v>
      </c>
      <c r="AR154" s="1">
        <v>37803</v>
      </c>
      <c r="AS154">
        <v>5.3940000000000001</v>
      </c>
      <c r="AT154">
        <v>9.7004146026652097E-2</v>
      </c>
      <c r="AU154">
        <v>5.4910041460266497</v>
      </c>
    </row>
    <row r="155" spans="1:47" x14ac:dyDescent="0.25">
      <c r="A155" s="1">
        <v>37773</v>
      </c>
      <c r="B155">
        <v>5.78448510533328</v>
      </c>
      <c r="C155">
        <v>59890380428</v>
      </c>
      <c r="D155">
        <v>5.7828071864952797</v>
      </c>
      <c r="E155">
        <v>25990931690</v>
      </c>
      <c r="F155">
        <v>5.8391137177159402</v>
      </c>
      <c r="G155">
        <v>15805165704</v>
      </c>
      <c r="H155">
        <v>5.7839773036611302</v>
      </c>
      <c r="I155">
        <v>5.8391137177159402</v>
      </c>
      <c r="J155">
        <v>5.5136414054810498E-2</v>
      </c>
      <c r="W155" s="1">
        <v>37926</v>
      </c>
      <c r="X155">
        <v>0.106083610123061</v>
      </c>
      <c r="Y155">
        <v>0.14697165264752299</v>
      </c>
      <c r="AB155" s="1">
        <v>37926</v>
      </c>
      <c r="AC155">
        <v>5.8387500000000001</v>
      </c>
      <c r="AD155">
        <v>5.9448336101230597</v>
      </c>
      <c r="AE155">
        <v>0.106083610123061</v>
      </c>
      <c r="AH155" s="1">
        <v>37834</v>
      </c>
      <c r="AI155" s="1">
        <v>37865</v>
      </c>
      <c r="AJ155" s="1">
        <v>37895</v>
      </c>
      <c r="AK155">
        <v>6.2262500000000003</v>
      </c>
      <c r="AL155">
        <v>6.5028772968357504E-2</v>
      </c>
      <c r="AM155">
        <v>6.2912787729683499</v>
      </c>
      <c r="AP155" s="1">
        <v>37773</v>
      </c>
      <c r="AQ155" s="1">
        <v>37803</v>
      </c>
      <c r="AR155" s="1">
        <v>37834</v>
      </c>
      <c r="AS155">
        <v>5.1174999999999997</v>
      </c>
      <c r="AT155">
        <v>5.5136414054810498E-2</v>
      </c>
      <c r="AU155">
        <v>5.1726364140548098</v>
      </c>
    </row>
    <row r="156" spans="1:47" x14ac:dyDescent="0.25">
      <c r="A156" s="1">
        <v>37803</v>
      </c>
      <c r="B156">
        <v>5.52112873146526</v>
      </c>
      <c r="C156">
        <v>66441488421</v>
      </c>
      <c r="D156">
        <v>5.4876490985087303</v>
      </c>
      <c r="E156">
        <v>35588940426</v>
      </c>
      <c r="F156">
        <v>5.5201899337796396</v>
      </c>
      <c r="G156">
        <v>14630645350</v>
      </c>
      <c r="H156">
        <v>5.5094507969878803</v>
      </c>
      <c r="I156">
        <v>5.5201899337796396</v>
      </c>
      <c r="J156">
        <v>1.07391367917604E-2</v>
      </c>
      <c r="W156" s="1">
        <v>37956</v>
      </c>
      <c r="X156">
        <v>0.108744420013539</v>
      </c>
      <c r="Y156">
        <v>7.1101273397681103E-2</v>
      </c>
      <c r="AB156" s="1">
        <v>37956</v>
      </c>
      <c r="AC156">
        <v>5.7959999999999896</v>
      </c>
      <c r="AD156">
        <v>5.9047444200135404</v>
      </c>
      <c r="AE156">
        <v>0.108744420013539</v>
      </c>
      <c r="AH156" s="1">
        <v>37865</v>
      </c>
      <c r="AI156" s="1">
        <v>37895</v>
      </c>
      <c r="AJ156" s="1">
        <v>37926</v>
      </c>
      <c r="AK156">
        <v>6.0412499999999998</v>
      </c>
      <c r="AL156">
        <v>9.80869626275616E-2</v>
      </c>
      <c r="AM156">
        <v>6.13933696262756</v>
      </c>
      <c r="AP156" s="1">
        <v>37803</v>
      </c>
      <c r="AQ156" s="1">
        <v>37834</v>
      </c>
      <c r="AR156" s="1">
        <v>37865</v>
      </c>
      <c r="AS156">
        <v>5.609</v>
      </c>
      <c r="AT156">
        <v>1.07391367917604E-2</v>
      </c>
      <c r="AU156">
        <v>5.6197391367917602</v>
      </c>
    </row>
    <row r="157" spans="1:47" x14ac:dyDescent="0.25">
      <c r="A157" s="1">
        <v>37834</v>
      </c>
      <c r="B157">
        <v>5.4167964522614103</v>
      </c>
      <c r="C157">
        <v>71919025640</v>
      </c>
      <c r="D157">
        <v>5.3871347600136401</v>
      </c>
      <c r="E157">
        <v>51217017670</v>
      </c>
      <c r="F157">
        <v>5.5336697813772702</v>
      </c>
      <c r="G157">
        <v>14881626322</v>
      </c>
      <c r="H157">
        <v>5.4044590133187702</v>
      </c>
      <c r="I157">
        <v>5.5336697813772702</v>
      </c>
      <c r="J157">
        <v>0.12921076805850101</v>
      </c>
      <c r="W157" s="1">
        <v>37987</v>
      </c>
      <c r="X157">
        <v>0.123341092100216</v>
      </c>
      <c r="Y157">
        <v>9.83191693118214E-2</v>
      </c>
      <c r="AB157" s="1">
        <v>37987</v>
      </c>
      <c r="AC157">
        <v>5.625</v>
      </c>
      <c r="AD157">
        <v>5.74834109210021</v>
      </c>
      <c r="AE157">
        <v>0.123341092100216</v>
      </c>
      <c r="AH157" s="1">
        <v>37895</v>
      </c>
      <c r="AI157" s="1">
        <v>37926</v>
      </c>
      <c r="AJ157" s="1">
        <v>37956</v>
      </c>
      <c r="AK157">
        <v>5.8520000000000003</v>
      </c>
      <c r="AL157">
        <v>0.14121815241475699</v>
      </c>
      <c r="AM157">
        <v>5.9932181524147499</v>
      </c>
      <c r="AP157" s="1">
        <v>37834</v>
      </c>
      <c r="AQ157" s="1">
        <v>37865</v>
      </c>
      <c r="AR157" s="1">
        <v>37895</v>
      </c>
      <c r="AS157">
        <v>6.2262500000000003</v>
      </c>
      <c r="AT157">
        <v>0.12921076805850101</v>
      </c>
      <c r="AU157">
        <v>6.3554607680585002</v>
      </c>
    </row>
    <row r="158" spans="1:47" x14ac:dyDescent="0.25">
      <c r="A158" s="1">
        <v>37865</v>
      </c>
      <c r="B158">
        <v>5.7310019916120298</v>
      </c>
      <c r="C158">
        <v>55207342143</v>
      </c>
      <c r="D158">
        <v>5.6396320384237804</v>
      </c>
      <c r="E158">
        <v>34507906833</v>
      </c>
      <c r="F158">
        <v>5.8501686054547797</v>
      </c>
      <c r="G158">
        <v>15200869291</v>
      </c>
      <c r="H158">
        <v>5.69585762242236</v>
      </c>
      <c r="I158">
        <v>5.8501686054547797</v>
      </c>
      <c r="J158">
        <v>0.15431098303242199</v>
      </c>
      <c r="W158" s="1">
        <v>38018</v>
      </c>
      <c r="X158">
        <v>0.114578400876759</v>
      </c>
      <c r="Y158">
        <v>7.6634620717760199E-2</v>
      </c>
      <c r="AB158" s="1">
        <v>38018</v>
      </c>
      <c r="AC158">
        <v>5.5475000000000003</v>
      </c>
      <c r="AD158">
        <v>5.6620784008767604</v>
      </c>
      <c r="AE158">
        <v>0.114578400876759</v>
      </c>
      <c r="AH158" s="1">
        <v>37926</v>
      </c>
      <c r="AI158" s="1">
        <v>37956</v>
      </c>
      <c r="AJ158" s="1">
        <v>37987</v>
      </c>
      <c r="AK158">
        <v>5.8387500000000001</v>
      </c>
      <c r="AL158">
        <v>0.14713844727776501</v>
      </c>
      <c r="AM158">
        <v>5.9858884472777598</v>
      </c>
      <c r="AP158" s="1">
        <v>37865</v>
      </c>
      <c r="AQ158" s="1">
        <v>37895</v>
      </c>
      <c r="AR158" s="1">
        <v>37926</v>
      </c>
      <c r="AS158">
        <v>6.0412499999999998</v>
      </c>
      <c r="AT158">
        <v>0.15431098303242199</v>
      </c>
      <c r="AU158">
        <v>6.1955609830324203</v>
      </c>
    </row>
    <row r="159" spans="1:47" x14ac:dyDescent="0.25">
      <c r="A159" s="1">
        <v>37895</v>
      </c>
      <c r="B159">
        <v>6.0813253029757499</v>
      </c>
      <c r="C159">
        <v>36525872616</v>
      </c>
      <c r="D159">
        <v>6.0567953602287901</v>
      </c>
      <c r="E159">
        <v>21067776702</v>
      </c>
      <c r="F159">
        <v>6.2124849476470496</v>
      </c>
      <c r="G159">
        <v>10556269550</v>
      </c>
      <c r="H159">
        <v>6.0723522414937099</v>
      </c>
      <c r="I159">
        <v>6.2124849476470496</v>
      </c>
      <c r="J159">
        <v>0.140132706153349</v>
      </c>
      <c r="W159" s="1">
        <v>38047</v>
      </c>
      <c r="X159">
        <v>0.106265761032395</v>
      </c>
      <c r="Y159">
        <v>0.104435143966239</v>
      </c>
      <c r="AB159" s="1">
        <v>38047</v>
      </c>
      <c r="AC159">
        <v>5.375</v>
      </c>
      <c r="AD159">
        <v>5.4812657610323896</v>
      </c>
      <c r="AE159">
        <v>0.106265761032395</v>
      </c>
      <c r="AH159" s="1">
        <v>37956</v>
      </c>
      <c r="AI159" s="1">
        <v>37987</v>
      </c>
      <c r="AJ159" s="1">
        <v>38018</v>
      </c>
      <c r="AK159">
        <v>5.7959999999999896</v>
      </c>
      <c r="AL159">
        <v>0.11940187739951801</v>
      </c>
      <c r="AM159">
        <v>5.9154018773995096</v>
      </c>
      <c r="AP159" s="1">
        <v>37895</v>
      </c>
      <c r="AQ159" s="1">
        <v>37926</v>
      </c>
      <c r="AR159" s="1">
        <v>37956</v>
      </c>
      <c r="AS159">
        <v>5.8520000000000003</v>
      </c>
      <c r="AT159">
        <v>0.140132706153349</v>
      </c>
      <c r="AU159">
        <v>5.9921327061533498</v>
      </c>
    </row>
    <row r="160" spans="1:47" x14ac:dyDescent="0.25">
      <c r="A160" s="1">
        <v>37926</v>
      </c>
      <c r="B160">
        <v>6.0525603559509698</v>
      </c>
      <c r="C160">
        <v>28525804161</v>
      </c>
      <c r="D160">
        <v>5.9968320926630598</v>
      </c>
      <c r="E160">
        <v>17562068376</v>
      </c>
      <c r="F160">
        <v>6.1782964098072499</v>
      </c>
      <c r="G160">
        <v>9196603612</v>
      </c>
      <c r="H160">
        <v>6.0313247571597204</v>
      </c>
      <c r="I160">
        <v>6.1782964098072499</v>
      </c>
      <c r="J160">
        <v>0.14697165264752299</v>
      </c>
      <c r="W160" s="1">
        <v>38078</v>
      </c>
      <c r="X160">
        <v>0.10118906675320199</v>
      </c>
      <c r="Y160">
        <v>0.10967254047819</v>
      </c>
      <c r="AB160" s="1">
        <v>38078</v>
      </c>
      <c r="AC160">
        <v>5.8262499999999902</v>
      </c>
      <c r="AD160">
        <v>5.9274390667532</v>
      </c>
      <c r="AE160">
        <v>0.10118906675320199</v>
      </c>
      <c r="AH160" s="1">
        <v>37987</v>
      </c>
      <c r="AI160" s="1">
        <v>38018</v>
      </c>
      <c r="AJ160" s="1">
        <v>38047</v>
      </c>
      <c r="AK160">
        <v>5.625</v>
      </c>
      <c r="AL160">
        <v>0.105464031785675</v>
      </c>
      <c r="AM160">
        <v>5.7304640317856697</v>
      </c>
      <c r="AP160" s="1">
        <v>37926</v>
      </c>
      <c r="AQ160" s="1">
        <v>37956</v>
      </c>
      <c r="AR160" s="1">
        <v>37987</v>
      </c>
      <c r="AS160">
        <v>5.8387500000000001</v>
      </c>
      <c r="AT160">
        <v>0.14697165264752299</v>
      </c>
      <c r="AU160">
        <v>5.9857216526475199</v>
      </c>
    </row>
    <row r="161" spans="1:47" x14ac:dyDescent="0.25">
      <c r="A161" s="1">
        <v>37956</v>
      </c>
      <c r="B161">
        <v>6.0862894869828104</v>
      </c>
      <c r="C161">
        <v>21567136668</v>
      </c>
      <c r="D161">
        <v>5.9964848157239201</v>
      </c>
      <c r="E161">
        <v>12086866054</v>
      </c>
      <c r="F161">
        <v>6.1251373300383101</v>
      </c>
      <c r="G161">
        <v>8574076287</v>
      </c>
      <c r="H161">
        <v>6.0540360566406299</v>
      </c>
      <c r="I161">
        <v>6.1251373300383101</v>
      </c>
      <c r="J161">
        <v>7.1101273397681103E-2</v>
      </c>
      <c r="W161" s="1">
        <v>38108</v>
      </c>
      <c r="X161">
        <v>0.116142676222737</v>
      </c>
      <c r="Y161">
        <v>0.23669330946473399</v>
      </c>
      <c r="AB161" s="1">
        <v>38108</v>
      </c>
      <c r="AC161">
        <v>6.18874999999999</v>
      </c>
      <c r="AD161">
        <v>6.30489267622273</v>
      </c>
      <c r="AE161">
        <v>0.116142676222737</v>
      </c>
      <c r="AH161" s="1">
        <v>38018</v>
      </c>
      <c r="AI161" s="1">
        <v>38047</v>
      </c>
      <c r="AJ161" s="1">
        <v>38078</v>
      </c>
      <c r="AK161">
        <v>5.5475000000000003</v>
      </c>
      <c r="AL161">
        <v>8.2018354475754202E-2</v>
      </c>
      <c r="AM161">
        <v>5.6295183544757501</v>
      </c>
      <c r="AP161" s="1">
        <v>37956</v>
      </c>
      <c r="AQ161" s="1">
        <v>37987</v>
      </c>
      <c r="AR161" s="1">
        <v>38018</v>
      </c>
      <c r="AS161">
        <v>5.7959999999999896</v>
      </c>
      <c r="AT161">
        <v>7.1101273397681103E-2</v>
      </c>
      <c r="AU161">
        <v>5.8671012733976804</v>
      </c>
    </row>
    <row r="162" spans="1:47" x14ac:dyDescent="0.25">
      <c r="A162" s="1">
        <v>37987</v>
      </c>
      <c r="B162">
        <v>6.03694379001361</v>
      </c>
      <c r="C162">
        <v>22885731642</v>
      </c>
      <c r="D162">
        <v>5.9384622960028599</v>
      </c>
      <c r="E162">
        <v>14308390250</v>
      </c>
      <c r="F162">
        <v>6.0973776275302498</v>
      </c>
      <c r="G162">
        <v>6622034406</v>
      </c>
      <c r="H162">
        <v>5.9990584582184301</v>
      </c>
      <c r="I162">
        <v>6.0973776275302498</v>
      </c>
      <c r="J162">
        <v>9.83191693118214E-2</v>
      </c>
      <c r="W162" s="1">
        <v>38139</v>
      </c>
      <c r="X162">
        <v>0.12825723928191299</v>
      </c>
      <c r="Y162">
        <v>0.143788651752736</v>
      </c>
      <c r="AB162" s="1">
        <v>38139</v>
      </c>
      <c r="AC162">
        <v>6.1769999999999996</v>
      </c>
      <c r="AD162">
        <v>6.30525723928191</v>
      </c>
      <c r="AE162">
        <v>0.12825723928191299</v>
      </c>
      <c r="AH162" s="1">
        <v>38047</v>
      </c>
      <c r="AI162" s="1">
        <v>38078</v>
      </c>
      <c r="AJ162" s="1">
        <v>38108</v>
      </c>
      <c r="AK162">
        <v>5.375</v>
      </c>
      <c r="AL162">
        <v>9.3129644665273695E-2</v>
      </c>
      <c r="AM162">
        <v>5.4681296446652699</v>
      </c>
      <c r="AP162" s="1">
        <v>37987</v>
      </c>
      <c r="AQ162" s="1">
        <v>38018</v>
      </c>
      <c r="AR162" s="1">
        <v>38047</v>
      </c>
      <c r="AS162">
        <v>5.625</v>
      </c>
      <c r="AT162">
        <v>9.83191693118214E-2</v>
      </c>
      <c r="AU162">
        <v>5.7233191693118197</v>
      </c>
    </row>
    <row r="163" spans="1:47" x14ac:dyDescent="0.25">
      <c r="A163" s="1">
        <v>38018</v>
      </c>
      <c r="B163">
        <v>5.9494801480975603</v>
      </c>
      <c r="C163">
        <v>18147823497</v>
      </c>
      <c r="D163">
        <v>5.8714236031200597</v>
      </c>
      <c r="E163">
        <v>10514814325</v>
      </c>
      <c r="F163">
        <v>5.9974799277938304</v>
      </c>
      <c r="G163">
        <v>6883798118</v>
      </c>
      <c r="H163">
        <v>5.9208453070760703</v>
      </c>
      <c r="I163">
        <v>5.9974799277938304</v>
      </c>
      <c r="J163">
        <v>7.6634620717760199E-2</v>
      </c>
      <c r="W163" s="1">
        <v>38169</v>
      </c>
      <c r="X163">
        <v>0.126266794825694</v>
      </c>
      <c r="Y163">
        <v>8.6376502574507699E-2</v>
      </c>
      <c r="AB163" s="1">
        <v>38169</v>
      </c>
      <c r="AC163">
        <v>5.9175000000000004</v>
      </c>
      <c r="AD163">
        <v>6.0437667948256903</v>
      </c>
      <c r="AE163">
        <v>0.126266794825694</v>
      </c>
      <c r="AH163" s="1">
        <v>38078</v>
      </c>
      <c r="AI163" s="1">
        <v>38108</v>
      </c>
      <c r="AJ163" s="1">
        <v>38139</v>
      </c>
      <c r="AK163">
        <v>5.8262499999999902</v>
      </c>
      <c r="AL163">
        <v>9.6914101720730103E-2</v>
      </c>
      <c r="AM163">
        <v>5.9231641017207304</v>
      </c>
      <c r="AP163" s="1">
        <v>38018</v>
      </c>
      <c r="AQ163" s="1">
        <v>38047</v>
      </c>
      <c r="AR163" s="1">
        <v>38078</v>
      </c>
      <c r="AS163">
        <v>5.5475000000000003</v>
      </c>
      <c r="AT163">
        <v>7.6634620717760199E-2</v>
      </c>
      <c r="AU163">
        <v>5.6241346207177596</v>
      </c>
    </row>
    <row r="164" spans="1:47" x14ac:dyDescent="0.25">
      <c r="A164" s="1">
        <v>38047</v>
      </c>
      <c r="B164">
        <v>5.8128701663962801</v>
      </c>
      <c r="C164">
        <v>26550107070</v>
      </c>
      <c r="D164">
        <v>5.7484326564654697</v>
      </c>
      <c r="E164">
        <v>15649219906</v>
      </c>
      <c r="F164">
        <v>5.89340927136465</v>
      </c>
      <c r="G164">
        <v>8596344440</v>
      </c>
      <c r="H164">
        <v>5.7889741273984097</v>
      </c>
      <c r="I164">
        <v>5.89340927136465</v>
      </c>
      <c r="J164">
        <v>0.104435143966239</v>
      </c>
      <c r="W164" s="1">
        <v>38200</v>
      </c>
      <c r="X164">
        <v>0.13042003243139</v>
      </c>
      <c r="Y164">
        <v>0.10155404635193301</v>
      </c>
      <c r="AB164" s="1">
        <v>38200</v>
      </c>
      <c r="AC164">
        <v>5.7862499999999999</v>
      </c>
      <c r="AD164">
        <v>5.9166700324313899</v>
      </c>
      <c r="AE164">
        <v>0.13042003243139</v>
      </c>
      <c r="AH164" s="1">
        <v>38108</v>
      </c>
      <c r="AI164" s="1">
        <v>38139</v>
      </c>
      <c r="AJ164" s="1">
        <v>38169</v>
      </c>
      <c r="AK164">
        <v>6.18874999999999</v>
      </c>
      <c r="AL164">
        <v>0.15026699796972101</v>
      </c>
      <c r="AM164">
        <v>6.3390169979697202</v>
      </c>
      <c r="AP164" s="1">
        <v>38047</v>
      </c>
      <c r="AQ164" s="1">
        <v>38078</v>
      </c>
      <c r="AR164" s="1">
        <v>38108</v>
      </c>
      <c r="AS164">
        <v>5.375</v>
      </c>
      <c r="AT164">
        <v>0.104435143966239</v>
      </c>
      <c r="AU164">
        <v>5.4794351439662297</v>
      </c>
    </row>
    <row r="165" spans="1:47" x14ac:dyDescent="0.25">
      <c r="A165" s="1">
        <v>38078</v>
      </c>
      <c r="B165">
        <v>5.6972070864413498</v>
      </c>
      <c r="C165">
        <v>29362835071</v>
      </c>
      <c r="D165">
        <v>5.6547655619699597</v>
      </c>
      <c r="E165">
        <v>21369939720</v>
      </c>
      <c r="F165">
        <v>5.7890021734722401</v>
      </c>
      <c r="G165">
        <v>8071717063</v>
      </c>
      <c r="H165">
        <v>5.6793296329940501</v>
      </c>
      <c r="I165">
        <v>5.7890021734722401</v>
      </c>
      <c r="J165">
        <v>0.10967254047819</v>
      </c>
      <c r="W165" s="1">
        <v>38231</v>
      </c>
      <c r="X165">
        <v>0.13045451947310599</v>
      </c>
      <c r="Y165">
        <v>0.104642066216538</v>
      </c>
      <c r="AB165" s="1">
        <v>38231</v>
      </c>
      <c r="AC165">
        <v>5.6890000000000001</v>
      </c>
      <c r="AD165">
        <v>5.8194545194731004</v>
      </c>
      <c r="AE165">
        <v>0.13045451947310599</v>
      </c>
      <c r="AH165" s="1">
        <v>38139</v>
      </c>
      <c r="AI165" s="1">
        <v>38169</v>
      </c>
      <c r="AJ165" s="1">
        <v>38200</v>
      </c>
      <c r="AK165">
        <v>6.1769999999999996</v>
      </c>
      <c r="AL165">
        <v>0.16338483389855299</v>
      </c>
      <c r="AM165">
        <v>6.3403848338985496</v>
      </c>
      <c r="AP165" s="1">
        <v>38078</v>
      </c>
      <c r="AQ165" s="1">
        <v>38108</v>
      </c>
      <c r="AR165" s="1">
        <v>38139</v>
      </c>
      <c r="AS165">
        <v>5.8262499999999902</v>
      </c>
      <c r="AT165">
        <v>0.10967254047819</v>
      </c>
      <c r="AU165">
        <v>5.9359225404781899</v>
      </c>
    </row>
    <row r="166" spans="1:47" x14ac:dyDescent="0.25">
      <c r="A166" s="1">
        <v>38108</v>
      </c>
      <c r="B166">
        <v>5.61913934222716</v>
      </c>
      <c r="C166">
        <v>32989299378</v>
      </c>
      <c r="D166">
        <v>5.5857437881968099</v>
      </c>
      <c r="E166">
        <v>28884738689</v>
      </c>
      <c r="F166">
        <v>5.8402425612165301</v>
      </c>
      <c r="G166">
        <v>9660211115</v>
      </c>
      <c r="H166">
        <v>5.6035492517517902</v>
      </c>
      <c r="I166">
        <v>5.8402425612165301</v>
      </c>
      <c r="J166">
        <v>0.23669330946473399</v>
      </c>
      <c r="W166" s="1">
        <v>38261</v>
      </c>
      <c r="X166">
        <v>0.13362603420093</v>
      </c>
      <c r="Y166">
        <v>0.128701628845132</v>
      </c>
      <c r="AB166" s="1">
        <v>38261</v>
      </c>
      <c r="AC166">
        <v>5.6349999999999998</v>
      </c>
      <c r="AD166">
        <v>5.7686260342009303</v>
      </c>
      <c r="AE166">
        <v>0.13362603420093</v>
      </c>
      <c r="AH166" s="1">
        <v>38169</v>
      </c>
      <c r="AI166" s="1">
        <v>38200</v>
      </c>
      <c r="AJ166" s="1">
        <v>38231</v>
      </c>
      <c r="AK166">
        <v>5.9175000000000004</v>
      </c>
      <c r="AL166">
        <v>0.155619487930659</v>
      </c>
      <c r="AM166">
        <v>6.0731194879306596</v>
      </c>
      <c r="AP166" s="1">
        <v>38108</v>
      </c>
      <c r="AQ166" s="1">
        <v>38139</v>
      </c>
      <c r="AR166" s="1">
        <v>38169</v>
      </c>
      <c r="AS166">
        <v>6.18874999999999</v>
      </c>
      <c r="AT166">
        <v>0.23669330946473399</v>
      </c>
      <c r="AU166">
        <v>6.4254433094647299</v>
      </c>
    </row>
    <row r="167" spans="1:47" x14ac:dyDescent="0.25">
      <c r="A167" s="1">
        <v>38139</v>
      </c>
      <c r="B167">
        <v>6.0090026931918104</v>
      </c>
      <c r="C167">
        <v>21142246435</v>
      </c>
      <c r="D167">
        <v>5.9291058977923701</v>
      </c>
      <c r="E167">
        <v>14011361311</v>
      </c>
      <c r="F167">
        <v>6.1209464522091803</v>
      </c>
      <c r="G167">
        <v>5533606419</v>
      </c>
      <c r="H167">
        <v>5.9771578004564399</v>
      </c>
      <c r="I167">
        <v>6.1209464522091803</v>
      </c>
      <c r="J167">
        <v>0.143788651752736</v>
      </c>
      <c r="W167" s="1">
        <v>38292</v>
      </c>
      <c r="X167">
        <v>0.109993249232578</v>
      </c>
      <c r="Y167">
        <v>9.4896599654619995E-2</v>
      </c>
      <c r="AB167" s="1">
        <v>38292</v>
      </c>
      <c r="AC167">
        <v>5.6362500000000004</v>
      </c>
      <c r="AD167">
        <v>5.7462432492325703</v>
      </c>
      <c r="AE167">
        <v>0.109993249232578</v>
      </c>
      <c r="AH167" s="1">
        <v>38200</v>
      </c>
      <c r="AI167" s="1">
        <v>38231</v>
      </c>
      <c r="AJ167" s="1">
        <v>38261</v>
      </c>
      <c r="AK167">
        <v>5.7862499999999999</v>
      </c>
      <c r="AL167">
        <v>0.110573066893059</v>
      </c>
      <c r="AM167">
        <v>5.8968230668930497</v>
      </c>
      <c r="AP167" s="1">
        <v>38139</v>
      </c>
      <c r="AQ167" s="1">
        <v>38169</v>
      </c>
      <c r="AR167" s="1">
        <v>38200</v>
      </c>
      <c r="AS167">
        <v>6.1769999999999996</v>
      </c>
      <c r="AT167">
        <v>0.143788651752736</v>
      </c>
      <c r="AU167">
        <v>6.3207886517527303</v>
      </c>
    </row>
    <row r="168" spans="1:47" x14ac:dyDescent="0.25">
      <c r="A168" s="1">
        <v>38169</v>
      </c>
      <c r="B168">
        <v>6.3679969160126202</v>
      </c>
      <c r="C168">
        <v>19362755683</v>
      </c>
      <c r="D168">
        <v>6.2607413306886102</v>
      </c>
      <c r="E168">
        <v>14259594365</v>
      </c>
      <c r="F168">
        <v>6.4088851901344004</v>
      </c>
      <c r="G168">
        <v>5952102735</v>
      </c>
      <c r="H168">
        <v>6.3225086875598899</v>
      </c>
      <c r="I168">
        <v>6.4088851901344004</v>
      </c>
      <c r="J168">
        <v>8.6376502574507699E-2</v>
      </c>
      <c r="W168" s="1">
        <v>38322</v>
      </c>
      <c r="X168">
        <v>0.105870484304812</v>
      </c>
      <c r="Y168">
        <v>0.11905206218614001</v>
      </c>
      <c r="AB168" s="1">
        <v>38322</v>
      </c>
      <c r="AC168">
        <v>5.6569999999999903</v>
      </c>
      <c r="AD168">
        <v>5.76287048430481</v>
      </c>
      <c r="AE168">
        <v>0.105870484304812</v>
      </c>
      <c r="AH168" s="1">
        <v>38231</v>
      </c>
      <c r="AI168" s="1">
        <v>38261</v>
      </c>
      <c r="AJ168" s="1">
        <v>38292</v>
      </c>
      <c r="AK168">
        <v>5.6890000000000001</v>
      </c>
      <c r="AL168">
        <v>9.7524205047659795E-2</v>
      </c>
      <c r="AM168">
        <v>5.7865242050476597</v>
      </c>
      <c r="AP168" s="1">
        <v>38169</v>
      </c>
      <c r="AQ168" s="1">
        <v>38200</v>
      </c>
      <c r="AR168" s="1">
        <v>38231</v>
      </c>
      <c r="AS168">
        <v>5.9175000000000004</v>
      </c>
      <c r="AT168">
        <v>8.6376502574507699E-2</v>
      </c>
      <c r="AU168">
        <v>6.0038765025745002</v>
      </c>
    </row>
    <row r="169" spans="1:47" x14ac:dyDescent="0.25">
      <c r="A169" s="1">
        <v>38200</v>
      </c>
      <c r="B169">
        <v>6.3346560550329603</v>
      </c>
      <c r="C169">
        <v>20525511918</v>
      </c>
      <c r="D169">
        <v>6.1864578304378002</v>
      </c>
      <c r="E169">
        <v>13230098381</v>
      </c>
      <c r="F169">
        <v>6.3781256207928898</v>
      </c>
      <c r="G169">
        <v>6183743042</v>
      </c>
      <c r="H169">
        <v>6.2765715744409603</v>
      </c>
      <c r="I169">
        <v>6.3781256207928898</v>
      </c>
      <c r="J169">
        <v>0.10155404635193301</v>
      </c>
      <c r="W169" s="1">
        <v>38353</v>
      </c>
      <c r="X169">
        <v>0.103486144462932</v>
      </c>
      <c r="Y169">
        <v>7.2070463523231404E-2</v>
      </c>
      <c r="AB169" s="1">
        <v>38353</v>
      </c>
      <c r="AC169">
        <v>5.6224999999999996</v>
      </c>
      <c r="AD169">
        <v>5.7259861444629303</v>
      </c>
      <c r="AE169">
        <v>0.103486144462932</v>
      </c>
      <c r="AH169" s="1">
        <v>38261</v>
      </c>
      <c r="AI169" s="1">
        <v>38292</v>
      </c>
      <c r="AJ169" s="1">
        <v>38322</v>
      </c>
      <c r="AK169">
        <v>5.6349999999999998</v>
      </c>
      <c r="AL169">
        <v>0.111632580471201</v>
      </c>
      <c r="AM169">
        <v>5.7466325804712</v>
      </c>
      <c r="AP169" s="1">
        <v>38200</v>
      </c>
      <c r="AQ169" s="1">
        <v>38231</v>
      </c>
      <c r="AR169" s="1">
        <v>38261</v>
      </c>
      <c r="AS169">
        <v>5.7862499999999999</v>
      </c>
      <c r="AT169">
        <v>0.10155404635193301</v>
      </c>
      <c r="AU169">
        <v>5.8878040463519303</v>
      </c>
    </row>
    <row r="170" spans="1:47" x14ac:dyDescent="0.25">
      <c r="A170" s="1">
        <v>38231</v>
      </c>
      <c r="B170">
        <v>6.1625679930044903</v>
      </c>
      <c r="C170">
        <v>20763912229</v>
      </c>
      <c r="D170">
        <v>6.0382015412611496</v>
      </c>
      <c r="E170">
        <v>12769315044</v>
      </c>
      <c r="F170">
        <v>6.2198518258399602</v>
      </c>
      <c r="G170">
        <v>5534708547</v>
      </c>
      <c r="H170">
        <v>6.1152097596234203</v>
      </c>
      <c r="I170">
        <v>6.2198518258399602</v>
      </c>
      <c r="J170">
        <v>0.104642066216538</v>
      </c>
      <c r="W170" s="1">
        <v>38384</v>
      </c>
      <c r="X170">
        <v>9.6798316555428698E-2</v>
      </c>
      <c r="Y170">
        <v>6.1427078906908503E-2</v>
      </c>
      <c r="AB170" s="1">
        <v>38384</v>
      </c>
      <c r="AC170">
        <v>5.5587499999999999</v>
      </c>
      <c r="AD170">
        <v>5.6555483165554197</v>
      </c>
      <c r="AE170">
        <v>9.6798316555428698E-2</v>
      </c>
      <c r="AH170" s="1">
        <v>38292</v>
      </c>
      <c r="AI170" s="1">
        <v>38322</v>
      </c>
      <c r="AJ170" s="1">
        <v>38353</v>
      </c>
      <c r="AK170">
        <v>5.6362500000000004</v>
      </c>
      <c r="AL170">
        <v>0.109413431572097</v>
      </c>
      <c r="AM170">
        <v>5.7456634315720896</v>
      </c>
      <c r="AP170" s="1">
        <v>38231</v>
      </c>
      <c r="AQ170" s="1">
        <v>38261</v>
      </c>
      <c r="AR170" s="1">
        <v>38292</v>
      </c>
      <c r="AS170">
        <v>5.6890000000000001</v>
      </c>
      <c r="AT170">
        <v>0.104642066216538</v>
      </c>
      <c r="AU170">
        <v>5.7936420662165302</v>
      </c>
    </row>
    <row r="171" spans="1:47" x14ac:dyDescent="0.25">
      <c r="A171" s="1">
        <v>38261</v>
      </c>
      <c r="B171">
        <v>6.0040367269236699</v>
      </c>
      <c r="C171">
        <v>19173685395</v>
      </c>
      <c r="D171">
        <v>5.8746509444086703</v>
      </c>
      <c r="E171">
        <v>13110234297</v>
      </c>
      <c r="F171">
        <v>6.0801958535058898</v>
      </c>
      <c r="G171">
        <v>5318003756</v>
      </c>
      <c r="H171">
        <v>5.9514942246607596</v>
      </c>
      <c r="I171">
        <v>6.0801958535058898</v>
      </c>
      <c r="J171">
        <v>0.128701628845132</v>
      </c>
      <c r="W171" s="1">
        <v>38412</v>
      </c>
      <c r="X171">
        <v>8.8471323918637698E-2</v>
      </c>
      <c r="Y171">
        <v>5.4680110395792597E-2</v>
      </c>
      <c r="AB171" s="1">
        <v>38412</v>
      </c>
      <c r="AC171">
        <v>5.8479999999999999</v>
      </c>
      <c r="AD171">
        <v>5.9364713239186297</v>
      </c>
      <c r="AE171">
        <v>8.8471323918637698E-2</v>
      </c>
      <c r="AH171" s="1">
        <v>38322</v>
      </c>
      <c r="AI171" s="1">
        <v>38353</v>
      </c>
      <c r="AJ171" s="1">
        <v>38384</v>
      </c>
      <c r="AK171">
        <v>5.6569999999999903</v>
      </c>
      <c r="AL171">
        <v>0.114216763561964</v>
      </c>
      <c r="AM171">
        <v>5.7712167635619602</v>
      </c>
      <c r="AP171" s="1">
        <v>38261</v>
      </c>
      <c r="AQ171" s="1">
        <v>38292</v>
      </c>
      <c r="AR171" s="1">
        <v>38322</v>
      </c>
      <c r="AS171">
        <v>5.6349999999999998</v>
      </c>
      <c r="AT171">
        <v>0.128701628845132</v>
      </c>
      <c r="AU171">
        <v>5.7637016288451299</v>
      </c>
    </row>
    <row r="172" spans="1:47" x14ac:dyDescent="0.25">
      <c r="A172" s="1">
        <v>38292</v>
      </c>
      <c r="B172">
        <v>5.9092358092043096</v>
      </c>
      <c r="C172">
        <v>20806555326</v>
      </c>
      <c r="D172">
        <v>5.7754606216797901</v>
      </c>
      <c r="E172">
        <v>13301781991</v>
      </c>
      <c r="F172">
        <v>5.95196192738051</v>
      </c>
      <c r="G172">
        <v>5054205374</v>
      </c>
      <c r="H172">
        <v>5.8570653277258904</v>
      </c>
      <c r="I172">
        <v>5.95196192738051</v>
      </c>
      <c r="J172">
        <v>9.4896599654619995E-2</v>
      </c>
      <c r="W172" s="1">
        <v>38443</v>
      </c>
      <c r="X172">
        <v>7.3803265426722595E-2</v>
      </c>
      <c r="Y172">
        <v>4.0693277893642001E-2</v>
      </c>
      <c r="AB172" s="1">
        <v>38443</v>
      </c>
      <c r="AC172">
        <v>5.7612500000000004</v>
      </c>
      <c r="AD172">
        <v>5.83505326542672</v>
      </c>
      <c r="AE172">
        <v>7.3803265426722595E-2</v>
      </c>
      <c r="AH172" s="1">
        <v>38353</v>
      </c>
      <c r="AI172" s="1">
        <v>38384</v>
      </c>
      <c r="AJ172" s="1">
        <v>38412</v>
      </c>
      <c r="AK172">
        <v>5.6224999999999996</v>
      </c>
      <c r="AL172">
        <v>9.5339708454664093E-2</v>
      </c>
      <c r="AM172">
        <v>5.7178397084546599</v>
      </c>
      <c r="AP172" s="1">
        <v>38292</v>
      </c>
      <c r="AQ172" s="1">
        <v>38322</v>
      </c>
      <c r="AR172" s="1">
        <v>38353</v>
      </c>
      <c r="AS172">
        <v>5.6362500000000004</v>
      </c>
      <c r="AT172">
        <v>9.4896599654619995E-2</v>
      </c>
      <c r="AU172">
        <v>5.73114659965462</v>
      </c>
    </row>
    <row r="173" spans="1:47" x14ac:dyDescent="0.25">
      <c r="A173" s="1">
        <v>38322</v>
      </c>
      <c r="B173">
        <v>5.87943179832354</v>
      </c>
      <c r="C173">
        <v>19611892910</v>
      </c>
      <c r="D173">
        <v>5.74388764822399</v>
      </c>
      <c r="E173">
        <v>16487275946</v>
      </c>
      <c r="F173">
        <v>5.9365778976751402</v>
      </c>
      <c r="G173">
        <v>5610618657</v>
      </c>
      <c r="H173">
        <v>5.8175258354889996</v>
      </c>
      <c r="I173">
        <v>5.9365778976751402</v>
      </c>
      <c r="J173">
        <v>0.11905206218614001</v>
      </c>
      <c r="W173" s="1">
        <v>38473</v>
      </c>
      <c r="X173">
        <v>5.4935673686633303E-2</v>
      </c>
      <c r="Y173">
        <v>-1.83089507859154E-2</v>
      </c>
      <c r="AB173" s="1">
        <v>38473</v>
      </c>
      <c r="AC173">
        <v>5.62</v>
      </c>
      <c r="AD173">
        <v>5.6749356736866297</v>
      </c>
      <c r="AE173">
        <v>5.4935673686633303E-2</v>
      </c>
      <c r="AH173" s="1">
        <v>38384</v>
      </c>
      <c r="AI173" s="1">
        <v>38412</v>
      </c>
      <c r="AJ173" s="1">
        <v>38443</v>
      </c>
      <c r="AK173">
        <v>5.5587499999999999</v>
      </c>
      <c r="AL173">
        <v>8.4183201538760299E-2</v>
      </c>
      <c r="AM173">
        <v>5.6429332015387601</v>
      </c>
      <c r="AP173" s="1">
        <v>38322</v>
      </c>
      <c r="AQ173" s="1">
        <v>38353</v>
      </c>
      <c r="AR173" s="1">
        <v>38384</v>
      </c>
      <c r="AS173">
        <v>5.6569999999999903</v>
      </c>
      <c r="AT173">
        <v>0.11905206218614001</v>
      </c>
      <c r="AU173">
        <v>5.7760520621861398</v>
      </c>
    </row>
    <row r="174" spans="1:47" x14ac:dyDescent="0.25">
      <c r="A174" s="1">
        <v>38353</v>
      </c>
      <c r="B174">
        <v>5.8683010937335398</v>
      </c>
      <c r="C174">
        <v>17998436773</v>
      </c>
      <c r="D174">
        <v>5.7781451053876198</v>
      </c>
      <c r="E174">
        <v>14044974920</v>
      </c>
      <c r="F174">
        <v>5.9008552096425504</v>
      </c>
      <c r="G174">
        <v>4905979062</v>
      </c>
      <c r="H174">
        <v>5.8287847461193198</v>
      </c>
      <c r="I174">
        <v>5.9008552096425504</v>
      </c>
      <c r="J174">
        <v>7.2070463523231404E-2</v>
      </c>
      <c r="W174" s="1">
        <v>38504</v>
      </c>
      <c r="X174">
        <v>3.44724888988183E-2</v>
      </c>
      <c r="Y174">
        <v>-3.72704654074906E-3</v>
      </c>
      <c r="AB174" s="1">
        <v>38504</v>
      </c>
      <c r="AC174">
        <v>5.4769999999999897</v>
      </c>
      <c r="AD174">
        <v>5.5114724888988098</v>
      </c>
      <c r="AE174">
        <v>3.44724888988183E-2</v>
      </c>
      <c r="AH174" s="1">
        <v>38412</v>
      </c>
      <c r="AI174" s="1">
        <v>38443</v>
      </c>
      <c r="AJ174" s="1">
        <v>38473</v>
      </c>
      <c r="AK174">
        <v>5.8479999999999999</v>
      </c>
      <c r="AL174">
        <v>6.2725884275310798E-2</v>
      </c>
      <c r="AM174">
        <v>5.9107258842753101</v>
      </c>
      <c r="AP174" s="1">
        <v>38353</v>
      </c>
      <c r="AQ174" s="1">
        <v>38384</v>
      </c>
      <c r="AR174" s="1">
        <v>38412</v>
      </c>
      <c r="AS174">
        <v>5.6224999999999996</v>
      </c>
      <c r="AT174">
        <v>7.2070463523231404E-2</v>
      </c>
      <c r="AU174">
        <v>5.6945704635232302</v>
      </c>
    </row>
    <row r="175" spans="1:47" x14ac:dyDescent="0.25">
      <c r="A175" s="1">
        <v>38384</v>
      </c>
      <c r="B175">
        <v>5.8627693140796202</v>
      </c>
      <c r="C175">
        <v>16634114595</v>
      </c>
      <c r="D175">
        <v>5.8000667720308003</v>
      </c>
      <c r="E175">
        <v>14023568082</v>
      </c>
      <c r="F175">
        <v>5.8955147285371901</v>
      </c>
      <c r="G175">
        <v>4517133143</v>
      </c>
      <c r="H175">
        <v>5.8340876496302796</v>
      </c>
      <c r="I175">
        <v>5.8955147285371901</v>
      </c>
      <c r="J175">
        <v>6.1427078906908503E-2</v>
      </c>
      <c r="W175" s="1">
        <v>38534</v>
      </c>
      <c r="X175">
        <v>2.3858368157263998E-2</v>
      </c>
      <c r="Y175">
        <v>8.3857390739055203E-3</v>
      </c>
      <c r="AB175" s="1">
        <v>38534</v>
      </c>
      <c r="AC175">
        <v>5.5762499999999999</v>
      </c>
      <c r="AD175">
        <v>5.6001083681572599</v>
      </c>
      <c r="AE175">
        <v>2.3858368157263998E-2</v>
      </c>
      <c r="AH175" s="1">
        <v>38443</v>
      </c>
      <c r="AI175" s="1">
        <v>38473</v>
      </c>
      <c r="AJ175" s="1">
        <v>38504</v>
      </c>
      <c r="AK175">
        <v>5.7612500000000004</v>
      </c>
      <c r="AL175">
        <v>5.2266822398781103E-2</v>
      </c>
      <c r="AM175">
        <v>5.8135168223987801</v>
      </c>
      <c r="AP175" s="1">
        <v>38384</v>
      </c>
      <c r="AQ175" s="1">
        <v>38412</v>
      </c>
      <c r="AR175" s="1">
        <v>38443</v>
      </c>
      <c r="AS175">
        <v>5.5587499999999999</v>
      </c>
      <c r="AT175">
        <v>6.1427078906908503E-2</v>
      </c>
      <c r="AU175">
        <v>5.6201770789068997</v>
      </c>
    </row>
    <row r="176" spans="1:47" x14ac:dyDescent="0.25">
      <c r="A176" s="1">
        <v>38412</v>
      </c>
      <c r="B176">
        <v>5.76453995884689</v>
      </c>
      <c r="C176">
        <v>18270940096</v>
      </c>
      <c r="D176">
        <v>5.70740938732055</v>
      </c>
      <c r="E176">
        <v>15085818463</v>
      </c>
      <c r="F176">
        <v>5.7933823839289502</v>
      </c>
      <c r="G176">
        <v>5135207979</v>
      </c>
      <c r="H176">
        <v>5.7387022735331596</v>
      </c>
      <c r="I176">
        <v>5.7933823839289502</v>
      </c>
      <c r="J176">
        <v>5.4680110395792597E-2</v>
      </c>
      <c r="W176" s="1">
        <v>38565</v>
      </c>
      <c r="X176">
        <v>2.26040538115478E-2</v>
      </c>
      <c r="Y176">
        <v>5.3901192832611397E-2</v>
      </c>
      <c r="AB176" s="1">
        <v>38565</v>
      </c>
      <c r="AC176">
        <v>5.6829999999999998</v>
      </c>
      <c r="AD176">
        <v>5.7056040538115402</v>
      </c>
      <c r="AE176">
        <v>2.26040538115478E-2</v>
      </c>
      <c r="AH176" s="1">
        <v>38473</v>
      </c>
      <c r="AI176" s="1">
        <v>38504</v>
      </c>
      <c r="AJ176" s="1">
        <v>38534</v>
      </c>
      <c r="AK176">
        <v>5.62</v>
      </c>
      <c r="AL176">
        <v>2.5688145834506401E-2</v>
      </c>
      <c r="AM176">
        <v>5.6456881458344998</v>
      </c>
      <c r="AP176" s="1">
        <v>38412</v>
      </c>
      <c r="AQ176" s="1">
        <v>38443</v>
      </c>
      <c r="AR176" s="1">
        <v>38473</v>
      </c>
      <c r="AS176">
        <v>5.8479999999999999</v>
      </c>
      <c r="AT176">
        <v>5.4680110395792597E-2</v>
      </c>
      <c r="AU176">
        <v>5.9026801103957904</v>
      </c>
    </row>
    <row r="177" spans="1:47" x14ac:dyDescent="0.25">
      <c r="A177" s="1">
        <v>38443</v>
      </c>
      <c r="B177">
        <v>5.8168497299221098</v>
      </c>
      <c r="C177">
        <v>21958165335</v>
      </c>
      <c r="D177">
        <v>5.7481031408165801</v>
      </c>
      <c r="E177">
        <v>19476422395</v>
      </c>
      <c r="F177">
        <v>5.8252285169281004</v>
      </c>
      <c r="G177">
        <v>5994495556</v>
      </c>
      <c r="H177">
        <v>5.7845352390344598</v>
      </c>
      <c r="I177">
        <v>5.8252285169281004</v>
      </c>
      <c r="J177">
        <v>4.0693277893642001E-2</v>
      </c>
      <c r="W177" s="1">
        <v>38596</v>
      </c>
      <c r="X177">
        <v>1.4108771733664101E-2</v>
      </c>
      <c r="Y177">
        <v>3.7084179284905001E-3</v>
      </c>
      <c r="AB177" s="1">
        <v>38596</v>
      </c>
      <c r="AC177">
        <v>5.6837499999999999</v>
      </c>
      <c r="AD177">
        <v>5.6978587717336602</v>
      </c>
      <c r="AE177">
        <v>1.4108771733664101E-2</v>
      </c>
      <c r="AH177" s="1">
        <v>38504</v>
      </c>
      <c r="AI177" s="1">
        <v>38534</v>
      </c>
      <c r="AJ177" s="1">
        <v>38565</v>
      </c>
      <c r="AK177">
        <v>5.4769999999999897</v>
      </c>
      <c r="AL177">
        <v>6.2190935223258399E-3</v>
      </c>
      <c r="AM177">
        <v>5.4832190935223197</v>
      </c>
      <c r="AP177" s="1">
        <v>38443</v>
      </c>
      <c r="AQ177" s="1">
        <v>38473</v>
      </c>
      <c r="AR177" s="1">
        <v>38504</v>
      </c>
      <c r="AS177">
        <v>5.7612500000000004</v>
      </c>
      <c r="AT177">
        <v>4.0693277893642001E-2</v>
      </c>
      <c r="AU177">
        <v>5.8019432778936402</v>
      </c>
    </row>
    <row r="178" spans="1:47" x14ac:dyDescent="0.25">
      <c r="A178" s="1">
        <v>38473</v>
      </c>
      <c r="B178">
        <v>6.0345916664441503</v>
      </c>
      <c r="C178">
        <v>21702987761</v>
      </c>
      <c r="D178">
        <v>5.9427388294206303</v>
      </c>
      <c r="E178">
        <v>16470327429</v>
      </c>
      <c r="F178">
        <v>5.9766517249116804</v>
      </c>
      <c r="G178">
        <v>5445355211</v>
      </c>
      <c r="H178">
        <v>5.9949606756975999</v>
      </c>
      <c r="I178">
        <v>5.9766517249116804</v>
      </c>
      <c r="J178">
        <v>-1.83089507859154E-2</v>
      </c>
      <c r="W178" s="1">
        <v>38626</v>
      </c>
      <c r="X178">
        <v>8.6468484536446899E-3</v>
      </c>
      <c r="Y178">
        <v>7.9217382135251899E-3</v>
      </c>
      <c r="AB178" s="1">
        <v>38626</v>
      </c>
      <c r="AC178">
        <v>5.9462499999999903</v>
      </c>
      <c r="AD178">
        <v>5.9548968484536404</v>
      </c>
      <c r="AE178">
        <v>8.6468484536446899E-3</v>
      </c>
      <c r="AH178" s="1">
        <v>38534</v>
      </c>
      <c r="AI178" s="1">
        <v>38565</v>
      </c>
      <c r="AJ178" s="1">
        <v>38596</v>
      </c>
      <c r="AK178">
        <v>5.5762499999999999</v>
      </c>
      <c r="AL178">
        <v>-4.55008608425301E-3</v>
      </c>
      <c r="AM178">
        <v>5.5716999139157402</v>
      </c>
      <c r="AP178" s="1">
        <v>38473</v>
      </c>
      <c r="AQ178" s="1">
        <v>38504</v>
      </c>
      <c r="AR178" s="1">
        <v>38534</v>
      </c>
      <c r="AS178">
        <v>5.62</v>
      </c>
      <c r="AT178">
        <v>-1.83089507859154E-2</v>
      </c>
      <c r="AU178">
        <v>5.6016910492140797</v>
      </c>
    </row>
    <row r="179" spans="1:47" x14ac:dyDescent="0.25">
      <c r="A179" s="1">
        <v>38504</v>
      </c>
      <c r="B179">
        <v>5.9772653576477204</v>
      </c>
      <c r="C179">
        <v>22851169601</v>
      </c>
      <c r="D179">
        <v>5.8632274320305902</v>
      </c>
      <c r="E179">
        <v>20506702723</v>
      </c>
      <c r="F179">
        <v>5.9196025039644304</v>
      </c>
      <c r="G179">
        <v>6100903111</v>
      </c>
      <c r="H179">
        <v>5.92332955050518</v>
      </c>
      <c r="I179">
        <v>5.9196025039644304</v>
      </c>
      <c r="J179">
        <v>-3.72704654074906E-3</v>
      </c>
      <c r="W179" s="1">
        <v>38657</v>
      </c>
      <c r="X179">
        <v>1.18817323482255E-2</v>
      </c>
      <c r="Y179">
        <v>1.10035258156983E-3</v>
      </c>
      <c r="AB179" s="1">
        <v>38657</v>
      </c>
      <c r="AC179">
        <v>6.2009999999999996</v>
      </c>
      <c r="AD179">
        <v>6.2128817323482197</v>
      </c>
      <c r="AE179">
        <v>1.18817323482255E-2</v>
      </c>
      <c r="AH179" s="1">
        <v>38565</v>
      </c>
      <c r="AI179" s="1">
        <v>38596</v>
      </c>
      <c r="AJ179" s="1">
        <v>38626</v>
      </c>
      <c r="AK179">
        <v>5.6829999999999998</v>
      </c>
      <c r="AL179">
        <v>1.95199617885893E-2</v>
      </c>
      <c r="AM179">
        <v>5.70251996178858</v>
      </c>
      <c r="AP179" s="1">
        <v>38504</v>
      </c>
      <c r="AQ179" s="1">
        <v>38534</v>
      </c>
      <c r="AR179" s="1">
        <v>38565</v>
      </c>
      <c r="AS179">
        <v>5.4769999999999897</v>
      </c>
      <c r="AT179">
        <v>-3.72704654074906E-3</v>
      </c>
      <c r="AU179">
        <v>5.4732729534592499</v>
      </c>
    </row>
    <row r="180" spans="1:47" x14ac:dyDescent="0.25">
      <c r="A180" s="1">
        <v>38534</v>
      </c>
      <c r="B180">
        <v>5.8119327436745198</v>
      </c>
      <c r="C180">
        <v>29939104757</v>
      </c>
      <c r="D180">
        <v>5.7158203169170596</v>
      </c>
      <c r="E180">
        <v>21634956839</v>
      </c>
      <c r="F180">
        <v>5.7799999943408604</v>
      </c>
      <c r="G180">
        <v>5896664216</v>
      </c>
      <c r="H180">
        <v>5.77161425526696</v>
      </c>
      <c r="I180">
        <v>5.7799999943408604</v>
      </c>
      <c r="J180">
        <v>8.3857390739055203E-3</v>
      </c>
      <c r="W180" s="1">
        <v>38687</v>
      </c>
      <c r="X180">
        <v>8.23370709484832E-3</v>
      </c>
      <c r="Y180">
        <v>-2.56151980610126E-2</v>
      </c>
      <c r="AB180" s="1">
        <v>38687</v>
      </c>
      <c r="AC180">
        <v>6.1624999999999996</v>
      </c>
      <c r="AD180">
        <v>6.1707337070948398</v>
      </c>
      <c r="AE180">
        <v>8.23370709484832E-3</v>
      </c>
      <c r="AH180" s="1">
        <v>38596</v>
      </c>
      <c r="AI180" s="1">
        <v>38626</v>
      </c>
      <c r="AJ180" s="1">
        <v>38657</v>
      </c>
      <c r="AK180">
        <v>5.6837499999999999</v>
      </c>
      <c r="AL180">
        <v>2.19984499450025E-2</v>
      </c>
      <c r="AM180">
        <v>5.7057484499450002</v>
      </c>
      <c r="AP180" s="1">
        <v>38534</v>
      </c>
      <c r="AQ180" s="1">
        <v>38565</v>
      </c>
      <c r="AR180" s="1">
        <v>38596</v>
      </c>
      <c r="AS180">
        <v>5.5762499999999999</v>
      </c>
      <c r="AT180">
        <v>8.3857390739055203E-3</v>
      </c>
      <c r="AU180">
        <v>5.5846357390739003</v>
      </c>
    </row>
    <row r="181" spans="1:47" x14ac:dyDescent="0.25">
      <c r="A181" s="1">
        <v>38565</v>
      </c>
      <c r="B181">
        <v>5.7529235112230399</v>
      </c>
      <c r="C181">
        <v>32827309758</v>
      </c>
      <c r="D181">
        <v>5.6210515586604801</v>
      </c>
      <c r="E181">
        <v>29625086446</v>
      </c>
      <c r="F181">
        <v>5.7442695703549802</v>
      </c>
      <c r="G181">
        <v>6945289960</v>
      </c>
      <c r="H181">
        <v>5.6903683775223701</v>
      </c>
      <c r="I181">
        <v>5.7442695703549802</v>
      </c>
      <c r="J181">
        <v>5.3901192832611397E-2</v>
      </c>
      <c r="W181" s="1">
        <v>38718</v>
      </c>
      <c r="X181">
        <v>-2.1051672387399401E-2</v>
      </c>
      <c r="Y181">
        <v>-0.16732653781958101</v>
      </c>
      <c r="AB181" s="1">
        <v>38718</v>
      </c>
      <c r="AC181">
        <v>6.0262500000000001</v>
      </c>
      <c r="AD181">
        <v>6.0051983276126002</v>
      </c>
      <c r="AE181">
        <v>-2.1051672387399401E-2</v>
      </c>
      <c r="AH181" s="1">
        <v>38626</v>
      </c>
      <c r="AI181" s="1">
        <v>38657</v>
      </c>
      <c r="AJ181" s="1">
        <v>38687</v>
      </c>
      <c r="AK181">
        <v>5.9462499999999903</v>
      </c>
      <c r="AL181">
        <v>2.1843782991542299E-2</v>
      </c>
      <c r="AM181">
        <v>5.9680937829915397</v>
      </c>
      <c r="AP181" s="1">
        <v>38565</v>
      </c>
      <c r="AQ181" s="1">
        <v>38596</v>
      </c>
      <c r="AR181" s="1">
        <v>38626</v>
      </c>
      <c r="AS181">
        <v>5.6829999999999998</v>
      </c>
      <c r="AT181">
        <v>5.3901192832611397E-2</v>
      </c>
      <c r="AU181">
        <v>5.7369011928326099</v>
      </c>
    </row>
    <row r="182" spans="1:47" x14ac:dyDescent="0.25">
      <c r="A182" s="1">
        <v>38596</v>
      </c>
      <c r="B182">
        <v>5.8972955780378999</v>
      </c>
      <c r="C182">
        <v>30455090202</v>
      </c>
      <c r="D182">
        <v>5.7731020683616903</v>
      </c>
      <c r="E182">
        <v>29024616940</v>
      </c>
      <c r="F182">
        <v>5.8404006537848199</v>
      </c>
      <c r="G182">
        <v>6144624719</v>
      </c>
      <c r="H182">
        <v>5.8366922358563302</v>
      </c>
      <c r="I182">
        <v>5.8404006537848199</v>
      </c>
      <c r="J182">
        <v>3.7084179284905001E-3</v>
      </c>
      <c r="W182" s="1">
        <v>38749</v>
      </c>
      <c r="X182">
        <v>-5.54045255371328E-2</v>
      </c>
      <c r="Y182">
        <v>-0.15221592606578899</v>
      </c>
      <c r="AB182" s="1">
        <v>38749</v>
      </c>
      <c r="AC182">
        <v>6.14</v>
      </c>
      <c r="AD182">
        <v>6.0845954744628603</v>
      </c>
      <c r="AE182">
        <v>-5.54045255371328E-2</v>
      </c>
      <c r="AH182" s="1">
        <v>38657</v>
      </c>
      <c r="AI182" s="1">
        <v>38687</v>
      </c>
      <c r="AJ182" s="1">
        <v>38718</v>
      </c>
      <c r="AK182">
        <v>6.2009999999999996</v>
      </c>
      <c r="AL182">
        <v>4.2435029078618401E-3</v>
      </c>
      <c r="AM182">
        <v>6.2052435029078596</v>
      </c>
      <c r="AP182" s="1">
        <v>38596</v>
      </c>
      <c r="AQ182" s="1">
        <v>38626</v>
      </c>
      <c r="AR182" s="1">
        <v>38657</v>
      </c>
      <c r="AS182">
        <v>5.6837499999999999</v>
      </c>
      <c r="AT182">
        <v>3.7084179284905001E-3</v>
      </c>
      <c r="AU182">
        <v>5.6874584179284904</v>
      </c>
    </row>
    <row r="183" spans="1:47" x14ac:dyDescent="0.25">
      <c r="A183" s="1">
        <v>38626</v>
      </c>
      <c r="B183">
        <v>5.9080425395053302</v>
      </c>
      <c r="C183">
        <v>26929150659</v>
      </c>
      <c r="D183">
        <v>5.8333106370891903</v>
      </c>
      <c r="E183">
        <v>26017997944</v>
      </c>
      <c r="F183">
        <v>5.8792413467449203</v>
      </c>
      <c r="G183">
        <v>5587882635</v>
      </c>
      <c r="H183">
        <v>5.8713196085314001</v>
      </c>
      <c r="I183">
        <v>5.8792413467449203</v>
      </c>
      <c r="J183">
        <v>7.9217382135251899E-3</v>
      </c>
      <c r="W183" s="1">
        <v>38777</v>
      </c>
      <c r="X183">
        <v>-8.19219948001077E-2</v>
      </c>
      <c r="Y183">
        <v>-0.155396397649358</v>
      </c>
      <c r="AB183" s="1">
        <v>38777</v>
      </c>
      <c r="AC183">
        <v>6.2240000000000002</v>
      </c>
      <c r="AD183">
        <v>6.14207800519989</v>
      </c>
      <c r="AE183">
        <v>-8.19219948001077E-2</v>
      </c>
      <c r="AH183" s="1">
        <v>38687</v>
      </c>
      <c r="AI183" s="1">
        <v>38718</v>
      </c>
      <c r="AJ183" s="1">
        <v>38749</v>
      </c>
      <c r="AK183">
        <v>6.1624999999999996</v>
      </c>
      <c r="AL183">
        <v>-5.5310357553058596E-3</v>
      </c>
      <c r="AM183">
        <v>6.1569689642446903</v>
      </c>
      <c r="AP183" s="1">
        <v>38626</v>
      </c>
      <c r="AQ183" s="1">
        <v>38657</v>
      </c>
      <c r="AR183" s="1">
        <v>38687</v>
      </c>
      <c r="AS183">
        <v>5.9462499999999903</v>
      </c>
      <c r="AT183">
        <v>7.9217382135251899E-3</v>
      </c>
      <c r="AU183">
        <v>5.9541717382135202</v>
      </c>
    </row>
    <row r="184" spans="1:47" x14ac:dyDescent="0.25">
      <c r="A184" s="1">
        <v>38657</v>
      </c>
      <c r="B184">
        <v>6.0012612834882697</v>
      </c>
      <c r="C184">
        <v>25236059043</v>
      </c>
      <c r="D184">
        <v>5.9218854066580802</v>
      </c>
      <c r="E184">
        <v>20179252331</v>
      </c>
      <c r="F184">
        <v>5.9670927851230697</v>
      </c>
      <c r="G184">
        <v>4327646391</v>
      </c>
      <c r="H184">
        <v>5.9659924325415004</v>
      </c>
      <c r="I184">
        <v>5.9670927851230697</v>
      </c>
      <c r="J184">
        <v>1.10035258156983E-3</v>
      </c>
      <c r="W184" s="1">
        <v>38808</v>
      </c>
      <c r="X184">
        <v>-0.106713223354705</v>
      </c>
      <c r="Y184">
        <v>-0.14082563311405999</v>
      </c>
      <c r="AB184" s="1">
        <v>38808</v>
      </c>
      <c r="AC184">
        <v>6.4012500000000001</v>
      </c>
      <c r="AD184">
        <v>6.2945367766452902</v>
      </c>
      <c r="AE184">
        <v>-0.106713223354705</v>
      </c>
      <c r="AH184" s="1">
        <v>38718</v>
      </c>
      <c r="AI184" s="1">
        <v>38749</v>
      </c>
      <c r="AJ184" s="1">
        <v>38777</v>
      </c>
      <c r="AK184">
        <v>6.0262500000000001</v>
      </c>
      <c r="AL184">
        <v>-6.3947127766341205E-2</v>
      </c>
      <c r="AM184">
        <v>5.96230287223365</v>
      </c>
      <c r="AP184" s="1">
        <v>38657</v>
      </c>
      <c r="AQ184" s="1">
        <v>38687</v>
      </c>
      <c r="AR184" s="1">
        <v>38718</v>
      </c>
      <c r="AS184">
        <v>6.2009999999999996</v>
      </c>
      <c r="AT184">
        <v>1.10035258156983E-3</v>
      </c>
      <c r="AU184">
        <v>6.2021003525815699</v>
      </c>
    </row>
    <row r="185" spans="1:47" x14ac:dyDescent="0.25">
      <c r="A185" s="1">
        <v>38687</v>
      </c>
      <c r="B185">
        <v>6.2629944327150602</v>
      </c>
      <c r="C185">
        <v>22629790534</v>
      </c>
      <c r="D185">
        <v>6.17294074889982</v>
      </c>
      <c r="E185">
        <v>21578844516</v>
      </c>
      <c r="F185">
        <v>6.1934227895173803</v>
      </c>
      <c r="G185">
        <v>4887302776</v>
      </c>
      <c r="H185">
        <v>6.2190379875783997</v>
      </c>
      <c r="I185">
        <v>6.1934227895173803</v>
      </c>
      <c r="J185">
        <v>-2.56151980610126E-2</v>
      </c>
      <c r="W185" s="1">
        <v>38838</v>
      </c>
      <c r="X185">
        <v>-0.12322112755360499</v>
      </c>
      <c r="Y185">
        <v>-9.7947072611831998E-2</v>
      </c>
      <c r="AB185" s="1">
        <v>38838</v>
      </c>
      <c r="AC185">
        <v>6.4819999999999904</v>
      </c>
      <c r="AD185">
        <v>6.3587788724463898</v>
      </c>
      <c r="AE185">
        <v>-0.12322112755360499</v>
      </c>
      <c r="AH185" s="1">
        <v>38749</v>
      </c>
      <c r="AI185" s="1">
        <v>38777</v>
      </c>
      <c r="AJ185" s="1">
        <v>38808</v>
      </c>
      <c r="AK185">
        <v>6.14</v>
      </c>
      <c r="AL185">
        <v>-0.11505255398212701</v>
      </c>
      <c r="AM185">
        <v>6.0249474460178698</v>
      </c>
      <c r="AP185" s="1">
        <v>38687</v>
      </c>
      <c r="AQ185" s="1">
        <v>38718</v>
      </c>
      <c r="AR185" s="1">
        <v>38749</v>
      </c>
      <c r="AS185">
        <v>6.1624999999999996</v>
      </c>
      <c r="AT185">
        <v>-2.56151980610126E-2</v>
      </c>
      <c r="AU185">
        <v>6.1368848019389803</v>
      </c>
    </row>
    <row r="186" spans="1:47" x14ac:dyDescent="0.25">
      <c r="A186" s="1">
        <v>38718</v>
      </c>
      <c r="B186">
        <v>6.4574561540409503</v>
      </c>
      <c r="C186">
        <v>20220855511</v>
      </c>
      <c r="D186">
        <v>6.30352508082622</v>
      </c>
      <c r="E186">
        <v>16946726227</v>
      </c>
      <c r="F186">
        <v>6.2199440503702803</v>
      </c>
      <c r="G186">
        <v>4358133400</v>
      </c>
      <c r="H186">
        <v>6.3872705881898604</v>
      </c>
      <c r="I186">
        <v>6.2199440503702803</v>
      </c>
      <c r="J186">
        <v>-0.16732653781958101</v>
      </c>
      <c r="W186" s="1">
        <v>38869</v>
      </c>
      <c r="X186">
        <v>-0.13193639480925501</v>
      </c>
      <c r="Y186">
        <v>-7.7906801594913297E-2</v>
      </c>
      <c r="AB186" s="1">
        <v>38869</v>
      </c>
      <c r="AC186">
        <v>6.56</v>
      </c>
      <c r="AD186">
        <v>6.42806360519074</v>
      </c>
      <c r="AE186">
        <v>-0.13193639480925501</v>
      </c>
      <c r="AH186" s="1">
        <v>38777</v>
      </c>
      <c r="AI186" s="1">
        <v>38808</v>
      </c>
      <c r="AJ186" s="1">
        <v>38838</v>
      </c>
      <c r="AK186">
        <v>6.2240000000000002</v>
      </c>
      <c r="AL186">
        <v>-0.15831295384490901</v>
      </c>
      <c r="AM186">
        <v>6.06568704615509</v>
      </c>
      <c r="AP186" s="1">
        <v>38718</v>
      </c>
      <c r="AQ186" s="1">
        <v>38749</v>
      </c>
      <c r="AR186" s="1">
        <v>38777</v>
      </c>
      <c r="AS186">
        <v>6.0262500000000001</v>
      </c>
      <c r="AT186">
        <v>-0.16732653781958101</v>
      </c>
      <c r="AU186">
        <v>5.8589234621804103</v>
      </c>
    </row>
    <row r="187" spans="1:47" x14ac:dyDescent="0.25">
      <c r="A187" s="1">
        <v>38749</v>
      </c>
      <c r="B187">
        <v>6.3751803505767803</v>
      </c>
      <c r="C187">
        <v>16223824493</v>
      </c>
      <c r="D187">
        <v>6.2474497927688697</v>
      </c>
      <c r="E187">
        <v>15845807610</v>
      </c>
      <c r="F187">
        <v>6.1598519498046604</v>
      </c>
      <c r="G187">
        <v>4225181997</v>
      </c>
      <c r="H187">
        <v>6.31206787587044</v>
      </c>
      <c r="I187">
        <v>6.1598519498046604</v>
      </c>
      <c r="J187">
        <v>-0.15221592606578899</v>
      </c>
      <c r="W187" s="1">
        <v>38899</v>
      </c>
      <c r="X187">
        <v>-0.110182700736446</v>
      </c>
      <c r="Y187">
        <v>-3.6804373382723202E-2</v>
      </c>
      <c r="AB187" s="1">
        <v>38899</v>
      </c>
      <c r="AC187">
        <v>6.6312499999999996</v>
      </c>
      <c r="AD187">
        <v>6.5210672992635503</v>
      </c>
      <c r="AE187">
        <v>-0.110182700736446</v>
      </c>
      <c r="AH187" s="1">
        <v>38808</v>
      </c>
      <c r="AI187" s="1">
        <v>38838</v>
      </c>
      <c r="AJ187" s="1">
        <v>38869</v>
      </c>
      <c r="AK187">
        <v>6.4012500000000001</v>
      </c>
      <c r="AL187">
        <v>-0.14947931894306901</v>
      </c>
      <c r="AM187">
        <v>6.2517706810569296</v>
      </c>
      <c r="AP187" s="1">
        <v>38749</v>
      </c>
      <c r="AQ187" s="1">
        <v>38777</v>
      </c>
      <c r="AR187" s="1">
        <v>38808</v>
      </c>
      <c r="AS187">
        <v>6.14</v>
      </c>
      <c r="AT187">
        <v>-0.15221592606578899</v>
      </c>
      <c r="AU187">
        <v>5.9877840739342103</v>
      </c>
    </row>
    <row r="188" spans="1:47" x14ac:dyDescent="0.25">
      <c r="A188" s="1">
        <v>38777</v>
      </c>
      <c r="B188">
        <v>6.3342645733194498</v>
      </c>
      <c r="C188">
        <v>21240137893</v>
      </c>
      <c r="D188">
        <v>6.2150495453553001</v>
      </c>
      <c r="E188">
        <v>17872285093</v>
      </c>
      <c r="F188">
        <v>6.1243932849708402</v>
      </c>
      <c r="G188">
        <v>5994482385</v>
      </c>
      <c r="H188">
        <v>6.2797896826202004</v>
      </c>
      <c r="I188">
        <v>6.1243932849708402</v>
      </c>
      <c r="J188">
        <v>-0.155396397649358</v>
      </c>
      <c r="W188" s="1">
        <v>38930</v>
      </c>
      <c r="X188">
        <v>-9.2196466753055206E-2</v>
      </c>
      <c r="Y188">
        <v>-4.4298522165443797E-2</v>
      </c>
      <c r="AB188" s="1">
        <v>38930</v>
      </c>
      <c r="AC188">
        <v>6.3639999999999999</v>
      </c>
      <c r="AD188">
        <v>6.2718035332469402</v>
      </c>
      <c r="AE188">
        <v>-9.2196466753055206E-2</v>
      </c>
      <c r="AH188" s="1">
        <v>38838</v>
      </c>
      <c r="AI188" s="1">
        <v>38869</v>
      </c>
      <c r="AJ188" s="1">
        <v>38899</v>
      </c>
      <c r="AK188">
        <v>6.4819999999999904</v>
      </c>
      <c r="AL188">
        <v>-0.131389701125083</v>
      </c>
      <c r="AM188">
        <v>6.3506102988749102</v>
      </c>
      <c r="AP188" s="1">
        <v>38777</v>
      </c>
      <c r="AQ188" s="1">
        <v>38808</v>
      </c>
      <c r="AR188" s="1">
        <v>38838</v>
      </c>
      <c r="AS188">
        <v>6.2240000000000002</v>
      </c>
      <c r="AT188">
        <v>-0.155396397649358</v>
      </c>
      <c r="AU188">
        <v>6.06860360235064</v>
      </c>
    </row>
    <row r="189" spans="1:47" x14ac:dyDescent="0.25">
      <c r="A189" s="1">
        <v>38808</v>
      </c>
      <c r="B189">
        <v>6.4000565424497502</v>
      </c>
      <c r="C189">
        <v>25582378661</v>
      </c>
      <c r="D189">
        <v>6.31949551440312</v>
      </c>
      <c r="E189">
        <v>17992045811</v>
      </c>
      <c r="F189">
        <v>6.2259669540509197</v>
      </c>
      <c r="G189">
        <v>6334574005</v>
      </c>
      <c r="H189">
        <v>6.36679258716498</v>
      </c>
      <c r="I189">
        <v>6.2259669540509197</v>
      </c>
      <c r="J189">
        <v>-0.14082563311405999</v>
      </c>
      <c r="W189" s="1">
        <v>38961</v>
      </c>
      <c r="X189">
        <v>-6.93294230961439E-2</v>
      </c>
      <c r="Y189">
        <v>-1.8194135707890802E-2</v>
      </c>
      <c r="AB189" s="1">
        <v>38961</v>
      </c>
      <c r="AC189">
        <v>6.2649999999999997</v>
      </c>
      <c r="AD189">
        <v>6.1956705769038498</v>
      </c>
      <c r="AE189">
        <v>-6.93294230961439E-2</v>
      </c>
      <c r="AH189" s="1">
        <v>38869</v>
      </c>
      <c r="AI189" s="1">
        <v>38899</v>
      </c>
      <c r="AJ189" s="1">
        <v>38930</v>
      </c>
      <c r="AK189">
        <v>6.56</v>
      </c>
      <c r="AL189">
        <v>-0.10555983577360099</v>
      </c>
      <c r="AM189">
        <v>6.4544401642263898</v>
      </c>
      <c r="AP189" s="1">
        <v>38808</v>
      </c>
      <c r="AQ189" s="1">
        <v>38838</v>
      </c>
      <c r="AR189" s="1">
        <v>38869</v>
      </c>
      <c r="AS189">
        <v>6.4012500000000001</v>
      </c>
      <c r="AT189">
        <v>-0.14082563311405999</v>
      </c>
      <c r="AU189">
        <v>6.2604243668859398</v>
      </c>
    </row>
    <row r="190" spans="1:47" x14ac:dyDescent="0.25">
      <c r="A190" s="1">
        <v>38838</v>
      </c>
      <c r="B190">
        <v>6.5173608684617603</v>
      </c>
      <c r="C190">
        <v>24893249665</v>
      </c>
      <c r="D190">
        <v>6.4333964024465002</v>
      </c>
      <c r="E190">
        <v>16982044080</v>
      </c>
      <c r="F190">
        <v>6.38536297171225</v>
      </c>
      <c r="G190">
        <v>6467120841</v>
      </c>
      <c r="H190">
        <v>6.4833100443240799</v>
      </c>
      <c r="I190">
        <v>6.38536297171225</v>
      </c>
      <c r="J190">
        <v>-9.7947072611831998E-2</v>
      </c>
      <c r="W190" s="1">
        <v>38991</v>
      </c>
      <c r="X190">
        <v>-4.81763032669002E-2</v>
      </c>
      <c r="Y190">
        <v>-1.3906914138598001E-2</v>
      </c>
      <c r="AB190" s="1">
        <v>38991</v>
      </c>
      <c r="AC190">
        <v>6.2137500000000001</v>
      </c>
      <c r="AD190">
        <v>6.1655736967330999</v>
      </c>
      <c r="AE190">
        <v>-4.81763032669002E-2</v>
      </c>
      <c r="AH190" s="1">
        <v>38899</v>
      </c>
      <c r="AI190" s="1">
        <v>38930</v>
      </c>
      <c r="AJ190" s="1">
        <v>38961</v>
      </c>
      <c r="AK190">
        <v>6.6312499999999996</v>
      </c>
      <c r="AL190">
        <v>-7.08860825298228E-2</v>
      </c>
      <c r="AM190">
        <v>6.5603639174701698</v>
      </c>
      <c r="AP190" s="1">
        <v>38838</v>
      </c>
      <c r="AQ190" s="1">
        <v>38869</v>
      </c>
      <c r="AR190" s="1">
        <v>38899</v>
      </c>
      <c r="AS190">
        <v>6.4819999999999904</v>
      </c>
      <c r="AT190">
        <v>-9.7947072611831998E-2</v>
      </c>
      <c r="AU190">
        <v>6.3840529273881597</v>
      </c>
    </row>
    <row r="191" spans="1:47" x14ac:dyDescent="0.25">
      <c r="A191" s="1">
        <v>38869</v>
      </c>
      <c r="B191">
        <v>6.6617842567131396</v>
      </c>
      <c r="C191">
        <v>25215484576</v>
      </c>
      <c r="D191">
        <v>6.5689571395865602</v>
      </c>
      <c r="E191">
        <v>18057447466</v>
      </c>
      <c r="F191">
        <v>6.5451414436710103</v>
      </c>
      <c r="G191">
        <v>6492206356</v>
      </c>
      <c r="H191">
        <v>6.6230482452659301</v>
      </c>
      <c r="I191">
        <v>6.5451414436710103</v>
      </c>
      <c r="J191">
        <v>-7.7906801594913297E-2</v>
      </c>
      <c r="W191" s="1">
        <v>39022</v>
      </c>
      <c r="X191">
        <v>-2.9149581925833098E-2</v>
      </c>
      <c r="Y191">
        <v>1.62132554345705E-2</v>
      </c>
      <c r="AB191" s="1">
        <v>39022</v>
      </c>
      <c r="AC191">
        <v>6.11</v>
      </c>
      <c r="AD191">
        <v>6.08085041807416</v>
      </c>
      <c r="AE191">
        <v>-2.9149581925833098E-2</v>
      </c>
      <c r="AH191" s="1">
        <v>38930</v>
      </c>
      <c r="AI191" s="1">
        <v>38961</v>
      </c>
      <c r="AJ191" s="1">
        <v>38991</v>
      </c>
      <c r="AK191">
        <v>6.3639999999999999</v>
      </c>
      <c r="AL191">
        <v>-5.3003232381026701E-2</v>
      </c>
      <c r="AM191">
        <v>6.3109967676189704</v>
      </c>
      <c r="AP191" s="1">
        <v>38869</v>
      </c>
      <c r="AQ191" s="1">
        <v>38899</v>
      </c>
      <c r="AR191" s="1">
        <v>38930</v>
      </c>
      <c r="AS191">
        <v>6.56</v>
      </c>
      <c r="AT191">
        <v>-7.7906801594913297E-2</v>
      </c>
      <c r="AU191">
        <v>6.4820931984050798</v>
      </c>
    </row>
    <row r="192" spans="1:47" x14ac:dyDescent="0.25">
      <c r="A192" s="1">
        <v>38899</v>
      </c>
      <c r="B192">
        <v>6.7562916098433901</v>
      </c>
      <c r="C192">
        <v>24242500005</v>
      </c>
      <c r="D192">
        <v>6.6324333698596298</v>
      </c>
      <c r="E192">
        <v>22741714660</v>
      </c>
      <c r="F192">
        <v>6.6595362769291704</v>
      </c>
      <c r="G192">
        <v>6596726306</v>
      </c>
      <c r="H192">
        <v>6.6963406503118899</v>
      </c>
      <c r="I192">
        <v>6.6595362769291704</v>
      </c>
      <c r="J192">
        <v>-3.6804373382723202E-2</v>
      </c>
      <c r="W192" s="1">
        <v>39052</v>
      </c>
      <c r="X192">
        <v>-1.40625293168325E-2</v>
      </c>
      <c r="Y192">
        <v>1.2615514059090199E-2</v>
      </c>
      <c r="AB192" s="1">
        <v>39052</v>
      </c>
      <c r="AC192">
        <v>5.9912499999999902</v>
      </c>
      <c r="AD192">
        <v>5.9771874706831598</v>
      </c>
      <c r="AE192">
        <v>-1.40625293168325E-2</v>
      </c>
      <c r="AH192" s="1">
        <v>38961</v>
      </c>
      <c r="AI192" s="1">
        <v>38991</v>
      </c>
      <c r="AJ192" s="1">
        <v>39022</v>
      </c>
      <c r="AK192">
        <v>6.2649999999999997</v>
      </c>
      <c r="AL192">
        <v>-3.3099010418685897E-2</v>
      </c>
      <c r="AM192">
        <v>6.2319009895813098</v>
      </c>
      <c r="AP192" s="1">
        <v>38899</v>
      </c>
      <c r="AQ192" s="1">
        <v>38930</v>
      </c>
      <c r="AR192" s="1">
        <v>38961</v>
      </c>
      <c r="AS192">
        <v>6.6312499999999996</v>
      </c>
      <c r="AT192">
        <v>-3.6804373382723202E-2</v>
      </c>
      <c r="AU192">
        <v>6.5944456266172704</v>
      </c>
    </row>
    <row r="193" spans="1:47" x14ac:dyDescent="0.25">
      <c r="A193" s="1">
        <v>38930</v>
      </c>
      <c r="B193">
        <v>6.8468479112284397</v>
      </c>
      <c r="C193">
        <v>25965455370</v>
      </c>
      <c r="D193">
        <v>6.7607901432445203</v>
      </c>
      <c r="E193">
        <v>18711463260</v>
      </c>
      <c r="F193">
        <v>6.7665069131437301</v>
      </c>
      <c r="G193">
        <v>6084029148</v>
      </c>
      <c r="H193">
        <v>6.81080543530918</v>
      </c>
      <c r="I193">
        <v>6.7665069131437301</v>
      </c>
      <c r="J193">
        <v>-4.4298522165443797E-2</v>
      </c>
      <c r="W193" s="1">
        <v>39083</v>
      </c>
      <c r="X193">
        <v>1.0525119206158701E-2</v>
      </c>
      <c r="Y193">
        <v>0.110721517755224</v>
      </c>
      <c r="AB193" s="1">
        <v>39083</v>
      </c>
      <c r="AC193">
        <v>6.0919999999999996</v>
      </c>
      <c r="AD193">
        <v>6.1025251192061596</v>
      </c>
      <c r="AE193">
        <v>1.0525119206158701E-2</v>
      </c>
      <c r="AH193" s="1">
        <v>38991</v>
      </c>
      <c r="AI193" s="1">
        <v>39022</v>
      </c>
      <c r="AJ193" s="1">
        <v>39052</v>
      </c>
      <c r="AK193">
        <v>6.2137500000000001</v>
      </c>
      <c r="AL193">
        <v>-2.54665240039775E-2</v>
      </c>
      <c r="AM193">
        <v>6.1882834759960197</v>
      </c>
      <c r="AP193" s="1">
        <v>38930</v>
      </c>
      <c r="AQ193" s="1">
        <v>38961</v>
      </c>
      <c r="AR193" s="1">
        <v>38991</v>
      </c>
      <c r="AS193">
        <v>6.3639999999999999</v>
      </c>
      <c r="AT193">
        <v>-4.4298522165443797E-2</v>
      </c>
      <c r="AU193">
        <v>6.3197014778345499</v>
      </c>
    </row>
    <row r="194" spans="1:47" x14ac:dyDescent="0.25">
      <c r="A194" s="1">
        <v>38961</v>
      </c>
      <c r="B194">
        <v>6.7668553874708897</v>
      </c>
      <c r="C194">
        <v>26264190375</v>
      </c>
      <c r="D194">
        <v>6.6631398825355204</v>
      </c>
      <c r="E194">
        <v>18394713438</v>
      </c>
      <c r="F194">
        <v>6.70594150655044</v>
      </c>
      <c r="G194">
        <v>5831514855</v>
      </c>
      <c r="H194">
        <v>6.7241356422583296</v>
      </c>
      <c r="I194">
        <v>6.70594150655044</v>
      </c>
      <c r="J194">
        <v>-1.8194135707890802E-2</v>
      </c>
      <c r="W194" s="1">
        <v>39114</v>
      </c>
      <c r="X194">
        <v>2.8544633086297799E-2</v>
      </c>
      <c r="Y194">
        <v>6.3818561115390596E-2</v>
      </c>
      <c r="AB194" s="1">
        <v>39114</v>
      </c>
      <c r="AC194">
        <v>6.09499999999999</v>
      </c>
      <c r="AD194">
        <v>6.1235446330862899</v>
      </c>
      <c r="AE194">
        <v>2.8544633086297799E-2</v>
      </c>
      <c r="AH194" s="1">
        <v>39022</v>
      </c>
      <c r="AI194" s="1">
        <v>39052</v>
      </c>
      <c r="AJ194" s="1">
        <v>39083</v>
      </c>
      <c r="AK194">
        <v>6.11</v>
      </c>
      <c r="AL194">
        <v>-5.2959314706394096E-3</v>
      </c>
      <c r="AM194">
        <v>6.1047040685293599</v>
      </c>
      <c r="AP194" s="1">
        <v>38961</v>
      </c>
      <c r="AQ194" s="1">
        <v>38991</v>
      </c>
      <c r="AR194" s="1">
        <v>39022</v>
      </c>
      <c r="AS194">
        <v>6.2649999999999997</v>
      </c>
      <c r="AT194">
        <v>-1.8194135707890802E-2</v>
      </c>
      <c r="AU194">
        <v>6.2468058642921003</v>
      </c>
    </row>
    <row r="195" spans="1:47" x14ac:dyDescent="0.25">
      <c r="A195" s="1">
        <v>38991</v>
      </c>
      <c r="B195">
        <v>6.5981031467105904</v>
      </c>
      <c r="C195">
        <v>22811782541</v>
      </c>
      <c r="D195">
        <v>6.4994427427920698</v>
      </c>
      <c r="E195">
        <v>15834389658</v>
      </c>
      <c r="F195">
        <v>6.5437723771014698</v>
      </c>
      <c r="G195">
        <v>5847769713</v>
      </c>
      <c r="H195">
        <v>6.5576792912400599</v>
      </c>
      <c r="I195">
        <v>6.5437723771014698</v>
      </c>
      <c r="J195">
        <v>-1.3906914138598001E-2</v>
      </c>
      <c r="W195" s="1">
        <v>39142</v>
      </c>
      <c r="X195">
        <v>3.5084752458708797E-2</v>
      </c>
      <c r="Y195">
        <v>2.10465805265749E-2</v>
      </c>
      <c r="AB195" s="1">
        <v>39142</v>
      </c>
      <c r="AC195">
        <v>6.0062499999999996</v>
      </c>
      <c r="AD195">
        <v>6.0413347524586998</v>
      </c>
      <c r="AE195">
        <v>3.5084752458708797E-2</v>
      </c>
      <c r="AH195" s="1">
        <v>39052</v>
      </c>
      <c r="AI195" s="1">
        <v>39083</v>
      </c>
      <c r="AJ195" s="1">
        <v>39114</v>
      </c>
      <c r="AK195">
        <v>5.9912499999999902</v>
      </c>
      <c r="AL195">
        <v>4.9739517850209396E-3</v>
      </c>
      <c r="AM195">
        <v>5.9962239517850202</v>
      </c>
      <c r="AP195" s="1">
        <v>38991</v>
      </c>
      <c r="AQ195" s="1">
        <v>39022</v>
      </c>
      <c r="AR195" s="1">
        <v>39052</v>
      </c>
      <c r="AS195">
        <v>6.2137500000000001</v>
      </c>
      <c r="AT195">
        <v>-1.3906914138598001E-2</v>
      </c>
      <c r="AU195">
        <v>6.1998430858614002</v>
      </c>
    </row>
    <row r="196" spans="1:47" x14ac:dyDescent="0.25">
      <c r="A196" s="1">
        <v>39022</v>
      </c>
      <c r="B196">
        <v>6.4811476641166799</v>
      </c>
      <c r="C196">
        <v>26357495534</v>
      </c>
      <c r="D196">
        <v>6.3700022247780899</v>
      </c>
      <c r="E196">
        <v>19861216778</v>
      </c>
      <c r="F196">
        <v>6.4495992326896996</v>
      </c>
      <c r="G196">
        <v>5253388652</v>
      </c>
      <c r="H196">
        <v>6.4333859772551296</v>
      </c>
      <c r="I196">
        <v>6.4495992326896996</v>
      </c>
      <c r="J196">
        <v>1.62132554345705E-2</v>
      </c>
      <c r="W196" s="1">
        <v>39173</v>
      </c>
      <c r="X196">
        <v>4.9345675567792797E-2</v>
      </c>
      <c r="Y196">
        <v>7.16586245159061E-2</v>
      </c>
      <c r="AB196" s="1">
        <v>39173</v>
      </c>
      <c r="AC196">
        <v>6.0425000000000004</v>
      </c>
      <c r="AD196">
        <v>6.0918456755677903</v>
      </c>
      <c r="AE196">
        <v>4.9345675567792797E-2</v>
      </c>
      <c r="AH196" s="1">
        <v>39083</v>
      </c>
      <c r="AI196" s="1">
        <v>39114</v>
      </c>
      <c r="AJ196" s="1">
        <v>39142</v>
      </c>
      <c r="AK196">
        <v>6.0919999999999996</v>
      </c>
      <c r="AL196">
        <v>4.6516762416295002E-2</v>
      </c>
      <c r="AM196">
        <v>6.1385167624162902</v>
      </c>
      <c r="AP196" s="1">
        <v>39022</v>
      </c>
      <c r="AQ196" s="1">
        <v>39052</v>
      </c>
      <c r="AR196" s="1">
        <v>39083</v>
      </c>
      <c r="AS196">
        <v>6.11</v>
      </c>
      <c r="AT196">
        <v>1.62132554345705E-2</v>
      </c>
      <c r="AU196">
        <v>6.1262132554345703</v>
      </c>
    </row>
    <row r="197" spans="1:47" x14ac:dyDescent="0.25">
      <c r="A197" s="1">
        <v>39052</v>
      </c>
      <c r="B197">
        <v>6.4258328544268597</v>
      </c>
      <c r="C197">
        <v>23763357985</v>
      </c>
      <c r="D197">
        <v>6.3224945988802803</v>
      </c>
      <c r="E197">
        <v>19882823953</v>
      </c>
      <c r="F197">
        <v>6.3913730860348599</v>
      </c>
      <c r="G197">
        <v>5523149342</v>
      </c>
      <c r="H197">
        <v>6.3787575719757701</v>
      </c>
      <c r="I197">
        <v>6.3913730860348599</v>
      </c>
      <c r="J197">
        <v>1.2615514059090199E-2</v>
      </c>
      <c r="W197" s="1">
        <v>39203</v>
      </c>
      <c r="X197">
        <v>5.7358507448141402E-2</v>
      </c>
      <c r="Y197">
        <v>6.4290246716662294E-2</v>
      </c>
      <c r="AB197" s="1">
        <v>39203</v>
      </c>
      <c r="AC197">
        <v>6.1219999999999999</v>
      </c>
      <c r="AD197">
        <v>6.1793585074481401</v>
      </c>
      <c r="AE197">
        <v>5.7358507448141402E-2</v>
      </c>
      <c r="AH197" s="1">
        <v>39114</v>
      </c>
      <c r="AI197" s="1">
        <v>39142</v>
      </c>
      <c r="AJ197" s="1">
        <v>39173</v>
      </c>
      <c r="AK197">
        <v>6.09499999999999</v>
      </c>
      <c r="AL197">
        <v>6.2385197643235003E-2</v>
      </c>
      <c r="AM197">
        <v>6.1573851976432303</v>
      </c>
      <c r="AP197" s="1">
        <v>39052</v>
      </c>
      <c r="AQ197" s="1">
        <v>39083</v>
      </c>
      <c r="AR197" s="1">
        <v>39114</v>
      </c>
      <c r="AS197">
        <v>5.9912499999999902</v>
      </c>
      <c r="AT197">
        <v>1.2615514059090199E-2</v>
      </c>
      <c r="AU197">
        <v>6.0038655140590897</v>
      </c>
    </row>
    <row r="198" spans="1:47" x14ac:dyDescent="0.25">
      <c r="A198" s="1">
        <v>39083</v>
      </c>
      <c r="B198">
        <v>6.2325411547604697</v>
      </c>
      <c r="C198">
        <v>27422705104</v>
      </c>
      <c r="D198">
        <v>6.1587984929539701</v>
      </c>
      <c r="E198">
        <v>22913565685</v>
      </c>
      <c r="F198">
        <v>6.3096942873611201</v>
      </c>
      <c r="G198">
        <v>5226980886</v>
      </c>
      <c r="H198">
        <v>6.1989727696059003</v>
      </c>
      <c r="I198">
        <v>6.3096942873611201</v>
      </c>
      <c r="J198">
        <v>0.110721517755224</v>
      </c>
      <c r="W198" s="1">
        <v>39234</v>
      </c>
      <c r="X198">
        <v>6.2226985857907598E-2</v>
      </c>
      <c r="Y198">
        <v>4.1826384517687103E-2</v>
      </c>
      <c r="AB198" s="1">
        <v>39234</v>
      </c>
      <c r="AC198">
        <v>6.5137499999999999</v>
      </c>
      <c r="AD198">
        <v>6.5759769858579</v>
      </c>
      <c r="AE198">
        <v>6.2226985857907598E-2</v>
      </c>
      <c r="AH198" s="1">
        <v>39142</v>
      </c>
      <c r="AI198" s="1">
        <v>39173</v>
      </c>
      <c r="AJ198" s="1">
        <v>39203</v>
      </c>
      <c r="AK198">
        <v>6.0062499999999996</v>
      </c>
      <c r="AL198">
        <v>6.5195553132396597E-2</v>
      </c>
      <c r="AM198">
        <v>6.0714455531323903</v>
      </c>
      <c r="AP198" s="1">
        <v>39083</v>
      </c>
      <c r="AQ198" s="1">
        <v>39114</v>
      </c>
      <c r="AR198" s="1">
        <v>39142</v>
      </c>
      <c r="AS198">
        <v>6.0919999999999996</v>
      </c>
      <c r="AT198">
        <v>0.110721517755224</v>
      </c>
      <c r="AU198">
        <v>6.2027215177552204</v>
      </c>
    </row>
    <row r="199" spans="1:47" x14ac:dyDescent="0.25">
      <c r="A199" s="1">
        <v>39114</v>
      </c>
      <c r="B199">
        <v>6.2665800420847804</v>
      </c>
      <c r="C199">
        <v>25980824239</v>
      </c>
      <c r="D199">
        <v>6.1958953691198202</v>
      </c>
      <c r="E199">
        <v>17317063518</v>
      </c>
      <c r="F199">
        <v>6.3021281485684604</v>
      </c>
      <c r="G199">
        <v>4962239529</v>
      </c>
      <c r="H199">
        <v>6.2383095874530596</v>
      </c>
      <c r="I199">
        <v>6.3021281485684604</v>
      </c>
      <c r="J199">
        <v>6.3818561115390596E-2</v>
      </c>
      <c r="W199" s="1">
        <v>39264</v>
      </c>
      <c r="X199">
        <v>5.1481561530491701E-2</v>
      </c>
      <c r="Y199">
        <v>4.6248971790729301E-2</v>
      </c>
      <c r="AB199" s="1">
        <v>39264</v>
      </c>
      <c r="AC199">
        <v>6.5449999999999999</v>
      </c>
      <c r="AD199">
        <v>6.5964815615304904</v>
      </c>
      <c r="AE199">
        <v>5.1481561530491701E-2</v>
      </c>
      <c r="AH199" s="1">
        <v>39173</v>
      </c>
      <c r="AI199" s="1">
        <v>39203</v>
      </c>
      <c r="AJ199" s="1">
        <v>39234</v>
      </c>
      <c r="AK199">
        <v>6.0425000000000004</v>
      </c>
      <c r="AL199">
        <v>5.2174588719290503E-2</v>
      </c>
      <c r="AM199">
        <v>6.0946745887192897</v>
      </c>
      <c r="AP199" s="1">
        <v>39114</v>
      </c>
      <c r="AQ199" s="1">
        <v>39142</v>
      </c>
      <c r="AR199" s="1">
        <v>39173</v>
      </c>
      <c r="AS199">
        <v>6.09499999999999</v>
      </c>
      <c r="AT199">
        <v>6.3818561115390596E-2</v>
      </c>
      <c r="AU199">
        <v>6.1588185611153898</v>
      </c>
    </row>
    <row r="200" spans="1:47" x14ac:dyDescent="0.25">
      <c r="A200" s="1">
        <v>39142</v>
      </c>
      <c r="B200">
        <v>6.38450149499708</v>
      </c>
      <c r="C200">
        <v>24826630320</v>
      </c>
      <c r="D200">
        <v>6.2674648208525703</v>
      </c>
      <c r="E200">
        <v>18263422215</v>
      </c>
      <c r="F200">
        <v>6.3559428866507899</v>
      </c>
      <c r="G200">
        <v>5229200531</v>
      </c>
      <c r="H200">
        <v>6.3348963061242101</v>
      </c>
      <c r="I200">
        <v>6.3559428866507899</v>
      </c>
      <c r="J200">
        <v>2.10465805265749E-2</v>
      </c>
      <c r="W200" s="1">
        <v>39295</v>
      </c>
      <c r="X200">
        <v>3.2897311569179001E-2</v>
      </c>
      <c r="Y200">
        <v>-4.76869386524858E-2</v>
      </c>
      <c r="AB200" s="1">
        <v>39295</v>
      </c>
      <c r="AC200">
        <v>6.4219999999999997</v>
      </c>
      <c r="AD200">
        <v>6.4548973115691703</v>
      </c>
      <c r="AE200">
        <v>3.2897311569179001E-2</v>
      </c>
      <c r="AH200" s="1">
        <v>39203</v>
      </c>
      <c r="AI200" s="1">
        <v>39234</v>
      </c>
      <c r="AJ200" s="1">
        <v>39264</v>
      </c>
      <c r="AK200">
        <v>6.1219999999999999</v>
      </c>
      <c r="AL200">
        <v>5.2331817253047801E-2</v>
      </c>
      <c r="AM200">
        <v>6.1743318172530399</v>
      </c>
      <c r="AP200" s="1">
        <v>39142</v>
      </c>
      <c r="AQ200" s="1">
        <v>39173</v>
      </c>
      <c r="AR200" s="1">
        <v>39203</v>
      </c>
      <c r="AS200">
        <v>6.0062499999999996</v>
      </c>
      <c r="AT200">
        <v>2.10465805265749E-2</v>
      </c>
      <c r="AU200">
        <v>6.0272965805265697</v>
      </c>
    </row>
    <row r="201" spans="1:47" x14ac:dyDescent="0.25">
      <c r="A201" s="1">
        <v>39173</v>
      </c>
      <c r="B201">
        <v>6.3000828653293102</v>
      </c>
      <c r="C201">
        <v>30464670578</v>
      </c>
      <c r="D201">
        <v>6.2303045831946298</v>
      </c>
      <c r="E201">
        <v>23560375610</v>
      </c>
      <c r="F201">
        <v>6.3413111125940302</v>
      </c>
      <c r="G201">
        <v>6652535274</v>
      </c>
      <c r="H201">
        <v>6.2696524880781199</v>
      </c>
      <c r="I201">
        <v>6.3413111125940302</v>
      </c>
      <c r="J201">
        <v>7.16586245159061E-2</v>
      </c>
      <c r="W201" s="1">
        <v>39326</v>
      </c>
      <c r="X201">
        <v>2.4872271009635901E-2</v>
      </c>
      <c r="Y201">
        <v>-2.7103662830683401E-2</v>
      </c>
      <c r="AB201" s="1">
        <v>39326</v>
      </c>
      <c r="AC201">
        <v>6.2575000000000003</v>
      </c>
      <c r="AD201">
        <v>6.2823722710096304</v>
      </c>
      <c r="AE201">
        <v>2.4872271009635901E-2</v>
      </c>
      <c r="AH201" s="1">
        <v>39234</v>
      </c>
      <c r="AI201" s="1">
        <v>39264</v>
      </c>
      <c r="AJ201" s="1">
        <v>39295</v>
      </c>
      <c r="AK201">
        <v>6.5137499999999999</v>
      </c>
      <c r="AL201">
        <v>5.9258418583418501E-2</v>
      </c>
      <c r="AM201">
        <v>6.5730084185834103</v>
      </c>
      <c r="AP201" s="1">
        <v>39173</v>
      </c>
      <c r="AQ201" s="1">
        <v>39203</v>
      </c>
      <c r="AR201" s="1">
        <v>39234</v>
      </c>
      <c r="AS201">
        <v>6.0425000000000004</v>
      </c>
      <c r="AT201">
        <v>7.16586245159061E-2</v>
      </c>
      <c r="AU201">
        <v>6.1141586245159001</v>
      </c>
    </row>
    <row r="202" spans="1:47" x14ac:dyDescent="0.25">
      <c r="A202" s="1">
        <v>39203</v>
      </c>
      <c r="B202">
        <v>6.3141449776039096</v>
      </c>
      <c r="C202">
        <v>35490143409</v>
      </c>
      <c r="D202">
        <v>6.2068069912130497</v>
      </c>
      <c r="E202">
        <v>23658001318</v>
      </c>
      <c r="F202">
        <v>6.3355023101061496</v>
      </c>
      <c r="G202">
        <v>7338330087</v>
      </c>
      <c r="H202">
        <v>6.2712120633894903</v>
      </c>
      <c r="I202">
        <v>6.3355023101061496</v>
      </c>
      <c r="J202">
        <v>6.4290246716662294E-2</v>
      </c>
      <c r="W202" s="1">
        <v>39356</v>
      </c>
      <c r="X202">
        <v>8.8864990575181699E-3</v>
      </c>
      <c r="Y202">
        <v>-2.4256007196800301E-2</v>
      </c>
      <c r="AB202" s="1">
        <v>39356</v>
      </c>
      <c r="AC202">
        <v>6.2169999999999996</v>
      </c>
      <c r="AD202">
        <v>6.22588649905751</v>
      </c>
      <c r="AE202">
        <v>8.8864990575181699E-3</v>
      </c>
      <c r="AH202" s="1">
        <v>39264</v>
      </c>
      <c r="AI202" s="1">
        <v>39295</v>
      </c>
      <c r="AJ202" s="1">
        <v>39326</v>
      </c>
      <c r="AK202">
        <v>6.5449999999999999</v>
      </c>
      <c r="AL202">
        <v>5.0788534341692899E-2</v>
      </c>
      <c r="AM202">
        <v>6.5957885343416898</v>
      </c>
      <c r="AP202" s="1">
        <v>39203</v>
      </c>
      <c r="AQ202" s="1">
        <v>39234</v>
      </c>
      <c r="AR202" s="1">
        <v>39264</v>
      </c>
      <c r="AS202">
        <v>6.1219999999999999</v>
      </c>
      <c r="AT202">
        <v>6.4290246716662294E-2</v>
      </c>
      <c r="AU202">
        <v>6.1862902467166601</v>
      </c>
    </row>
    <row r="203" spans="1:47" x14ac:dyDescent="0.25">
      <c r="A203" s="1">
        <v>39234</v>
      </c>
      <c r="B203">
        <v>6.3724067128420296</v>
      </c>
      <c r="C203">
        <v>40960447673</v>
      </c>
      <c r="D203">
        <v>6.2888274380753204</v>
      </c>
      <c r="E203">
        <v>23784131996</v>
      </c>
      <c r="F203">
        <v>6.3835299788385296</v>
      </c>
      <c r="G203">
        <v>7541901005</v>
      </c>
      <c r="H203">
        <v>6.3417035943208502</v>
      </c>
      <c r="I203">
        <v>6.3835299788385296</v>
      </c>
      <c r="J203">
        <v>4.1826384517687103E-2</v>
      </c>
      <c r="W203" s="1">
        <v>39387</v>
      </c>
      <c r="X203">
        <v>-7.8710470887194503E-4</v>
      </c>
      <c r="Y203">
        <v>6.2486241183215604E-3</v>
      </c>
      <c r="AB203" s="1">
        <v>39387</v>
      </c>
      <c r="AC203">
        <v>6.0574999999999903</v>
      </c>
      <c r="AD203">
        <v>6.0567128952911196</v>
      </c>
      <c r="AE203">
        <v>-7.8710470887194503E-4</v>
      </c>
      <c r="AH203" s="1">
        <v>39295</v>
      </c>
      <c r="AI203" s="1">
        <v>39326</v>
      </c>
      <c r="AJ203" s="1">
        <v>39356</v>
      </c>
      <c r="AK203">
        <v>6.4219999999999997</v>
      </c>
      <c r="AL203">
        <v>1.3462805885310101E-2</v>
      </c>
      <c r="AM203">
        <v>6.4354628058853098</v>
      </c>
      <c r="AP203" s="1">
        <v>39234</v>
      </c>
      <c r="AQ203" s="1">
        <v>39264</v>
      </c>
      <c r="AR203" s="1">
        <v>39295</v>
      </c>
      <c r="AS203">
        <v>6.5137499999999999</v>
      </c>
      <c r="AT203">
        <v>4.1826384517687103E-2</v>
      </c>
      <c r="AU203">
        <v>6.5555763845176802</v>
      </c>
    </row>
    <row r="204" spans="1:47" x14ac:dyDescent="0.25">
      <c r="A204" s="1">
        <v>39264</v>
      </c>
      <c r="B204">
        <v>6.5795781744648396</v>
      </c>
      <c r="C204">
        <v>35785884049</v>
      </c>
      <c r="D204">
        <v>6.5385320863891003</v>
      </c>
      <c r="E204">
        <v>19473017048</v>
      </c>
      <c r="F204">
        <v>6.6113626680089004</v>
      </c>
      <c r="G204">
        <v>8202011170</v>
      </c>
      <c r="H204">
        <v>6.5651136962181704</v>
      </c>
      <c r="I204">
        <v>6.6113626680089004</v>
      </c>
      <c r="J204">
        <v>4.6248971790729301E-2</v>
      </c>
      <c r="W204" s="1">
        <v>39417</v>
      </c>
      <c r="X204">
        <v>-5.7210791166586701E-3</v>
      </c>
      <c r="Y204">
        <v>1.2222538070966699E-2</v>
      </c>
      <c r="AB204" s="1">
        <v>39417</v>
      </c>
      <c r="AC204">
        <v>5.9574999999999996</v>
      </c>
      <c r="AD204">
        <v>5.9517789208833403</v>
      </c>
      <c r="AE204">
        <v>-5.7210791166586701E-3</v>
      </c>
      <c r="AH204" s="1">
        <v>39326</v>
      </c>
      <c r="AI204" s="1">
        <v>39356</v>
      </c>
      <c r="AJ204" s="1">
        <v>39387</v>
      </c>
      <c r="AK204">
        <v>6.2575000000000003</v>
      </c>
      <c r="AL204">
        <v>-9.5138765641466592E-3</v>
      </c>
      <c r="AM204">
        <v>6.24798612343585</v>
      </c>
      <c r="AP204" s="1">
        <v>39264</v>
      </c>
      <c r="AQ204" s="1">
        <v>39295</v>
      </c>
      <c r="AR204" s="1">
        <v>39326</v>
      </c>
      <c r="AS204">
        <v>6.5449999999999999</v>
      </c>
      <c r="AT204">
        <v>4.6248971790729301E-2</v>
      </c>
      <c r="AU204">
        <v>6.5912489717907201</v>
      </c>
    </row>
    <row r="205" spans="1:47" x14ac:dyDescent="0.25">
      <c r="A205" s="1">
        <v>39295</v>
      </c>
      <c r="B205">
        <v>6.8302333659824104</v>
      </c>
      <c r="C205">
        <v>31506332045</v>
      </c>
      <c r="D205">
        <v>6.7573883017638297</v>
      </c>
      <c r="E205">
        <v>20982185354</v>
      </c>
      <c r="F205">
        <v>6.7534267509645298</v>
      </c>
      <c r="G205">
        <v>7238719836</v>
      </c>
      <c r="H205">
        <v>6.8011136896170097</v>
      </c>
      <c r="I205">
        <v>6.7534267509645298</v>
      </c>
      <c r="J205">
        <v>-4.76869386524858E-2</v>
      </c>
      <c r="W205" s="1">
        <v>39448</v>
      </c>
      <c r="X205">
        <v>-1.21967810239941E-2</v>
      </c>
      <c r="Y205">
        <v>7.3947603467163E-3</v>
      </c>
      <c r="AB205" s="1">
        <v>39448</v>
      </c>
      <c r="AC205">
        <v>5.6180000000000003</v>
      </c>
      <c r="AD205">
        <v>5.6058032189759999</v>
      </c>
      <c r="AE205">
        <v>-1.21967810239941E-2</v>
      </c>
      <c r="AH205" s="1">
        <v>39356</v>
      </c>
      <c r="AI205" s="1">
        <v>39387</v>
      </c>
      <c r="AJ205" s="1">
        <v>39417</v>
      </c>
      <c r="AK205">
        <v>6.2169999999999996</v>
      </c>
      <c r="AL205">
        <v>-3.3015536226656497E-2</v>
      </c>
      <c r="AM205">
        <v>6.1839844637733403</v>
      </c>
      <c r="AP205" s="1">
        <v>39295</v>
      </c>
      <c r="AQ205" s="1">
        <v>39326</v>
      </c>
      <c r="AR205" s="1">
        <v>39356</v>
      </c>
      <c r="AS205">
        <v>6.4219999999999997</v>
      </c>
      <c r="AT205">
        <v>-4.76869386524858E-2</v>
      </c>
      <c r="AU205">
        <v>6.3743130613475101</v>
      </c>
    </row>
    <row r="206" spans="1:47" x14ac:dyDescent="0.25">
      <c r="A206" s="1">
        <v>39326</v>
      </c>
      <c r="B206">
        <v>6.81949774271905</v>
      </c>
      <c r="C206">
        <v>35004045749</v>
      </c>
      <c r="D206">
        <v>6.7615511170043598</v>
      </c>
      <c r="E206">
        <v>21058085501</v>
      </c>
      <c r="F206">
        <v>6.7706281396433701</v>
      </c>
      <c r="G206">
        <v>8471993841</v>
      </c>
      <c r="H206">
        <v>6.7977318024740603</v>
      </c>
      <c r="I206">
        <v>6.7706281396433701</v>
      </c>
      <c r="J206">
        <v>-2.7103662830683401E-2</v>
      </c>
      <c r="W206" s="1">
        <v>39479</v>
      </c>
      <c r="X206">
        <v>4.6116099309835299E-3</v>
      </c>
      <c r="Y206">
        <v>5.3163407077380397E-2</v>
      </c>
      <c r="AB206" s="1">
        <v>39479</v>
      </c>
      <c r="AC206">
        <v>5.7862499999999999</v>
      </c>
      <c r="AD206">
        <v>5.79086160993098</v>
      </c>
      <c r="AE206">
        <v>4.6116099309835299E-3</v>
      </c>
      <c r="AH206" s="1">
        <v>39387</v>
      </c>
      <c r="AI206" s="1">
        <v>39417</v>
      </c>
      <c r="AJ206" s="1">
        <v>39448</v>
      </c>
      <c r="AK206">
        <v>6.0574999999999903</v>
      </c>
      <c r="AL206">
        <v>-1.5037015303053999E-2</v>
      </c>
      <c r="AM206">
        <v>6.0424629846969404</v>
      </c>
      <c r="AP206" s="1">
        <v>39326</v>
      </c>
      <c r="AQ206" s="1">
        <v>39356</v>
      </c>
      <c r="AR206" s="1">
        <v>39387</v>
      </c>
      <c r="AS206">
        <v>6.2575000000000003</v>
      </c>
      <c r="AT206">
        <v>-2.7103662830683401E-2</v>
      </c>
      <c r="AU206">
        <v>6.2303963371693101</v>
      </c>
    </row>
    <row r="207" spans="1:47" x14ac:dyDescent="0.25">
      <c r="A207" s="1">
        <v>39356</v>
      </c>
      <c r="B207">
        <v>6.6834193282172301</v>
      </c>
      <c r="C207">
        <v>37235309453</v>
      </c>
      <c r="D207">
        <v>6.6281301270942699</v>
      </c>
      <c r="E207">
        <v>22504013113</v>
      </c>
      <c r="F207">
        <v>6.63833568432094</v>
      </c>
      <c r="G207">
        <v>8697607871</v>
      </c>
      <c r="H207">
        <v>6.6625916915177399</v>
      </c>
      <c r="I207">
        <v>6.63833568432094</v>
      </c>
      <c r="J207">
        <v>-2.4256007196800301E-2</v>
      </c>
      <c r="W207" s="1">
        <v>39508</v>
      </c>
      <c r="X207">
        <v>2.7234536039140899E-2</v>
      </c>
      <c r="Y207">
        <v>0.10863389381826</v>
      </c>
      <c r="AB207" s="1">
        <v>39508</v>
      </c>
      <c r="AC207">
        <v>5.8387500000000001</v>
      </c>
      <c r="AD207">
        <v>5.8659845360391403</v>
      </c>
      <c r="AE207">
        <v>2.7234536039140899E-2</v>
      </c>
      <c r="AH207" s="1">
        <v>39417</v>
      </c>
      <c r="AI207" s="1">
        <v>39448</v>
      </c>
      <c r="AJ207" s="1">
        <v>39479</v>
      </c>
      <c r="AK207">
        <v>5.9574999999999996</v>
      </c>
      <c r="AL207">
        <v>-1.92828166917068E-3</v>
      </c>
      <c r="AM207">
        <v>5.9555717183308197</v>
      </c>
      <c r="AP207" s="1">
        <v>39356</v>
      </c>
      <c r="AQ207" s="1">
        <v>39387</v>
      </c>
      <c r="AR207" s="1">
        <v>39417</v>
      </c>
      <c r="AS207">
        <v>6.2169999999999996</v>
      </c>
      <c r="AT207">
        <v>-2.4256007196800301E-2</v>
      </c>
      <c r="AU207">
        <v>6.1927439928031998</v>
      </c>
    </row>
    <row r="208" spans="1:47" x14ac:dyDescent="0.25">
      <c r="A208" s="1">
        <v>39387</v>
      </c>
      <c r="B208">
        <v>6.5776332383368503</v>
      </c>
      <c r="C208">
        <v>40182552287</v>
      </c>
      <c r="D208">
        <v>6.5772403912610198</v>
      </c>
      <c r="E208">
        <v>20725472489</v>
      </c>
      <c r="F208">
        <v>6.58374818645283</v>
      </c>
      <c r="G208">
        <v>10234917188</v>
      </c>
      <c r="H208">
        <v>6.5774995623345101</v>
      </c>
      <c r="I208">
        <v>6.58374818645283</v>
      </c>
      <c r="J208">
        <v>6.2486241183215604E-3</v>
      </c>
      <c r="W208" s="1">
        <v>39539</v>
      </c>
      <c r="X208">
        <v>3.6117564645887001E-2</v>
      </c>
      <c r="Y208">
        <v>2.9042164443676299E-2</v>
      </c>
      <c r="AB208" s="1">
        <v>39539</v>
      </c>
      <c r="AC208">
        <v>5.8010000000000002</v>
      </c>
      <c r="AD208">
        <v>5.8371175646458804</v>
      </c>
      <c r="AE208">
        <v>3.6117564645887001E-2</v>
      </c>
      <c r="AH208" s="1">
        <v>39448</v>
      </c>
      <c r="AI208" s="1">
        <v>39479</v>
      </c>
      <c r="AJ208" s="1">
        <v>39508</v>
      </c>
      <c r="AK208">
        <v>5.6180000000000003</v>
      </c>
      <c r="AL208">
        <v>8.6219741786681906E-3</v>
      </c>
      <c r="AM208">
        <v>5.6266219741786596</v>
      </c>
      <c r="AP208" s="1">
        <v>39387</v>
      </c>
      <c r="AQ208" s="1">
        <v>39417</v>
      </c>
      <c r="AR208" s="1">
        <v>39448</v>
      </c>
      <c r="AS208">
        <v>6.0574999999999903</v>
      </c>
      <c r="AT208">
        <v>6.2486241183215604E-3</v>
      </c>
      <c r="AU208">
        <v>6.0637486241183201</v>
      </c>
    </row>
    <row r="209" spans="1:47" x14ac:dyDescent="0.25">
      <c r="A209" s="1">
        <v>39417</v>
      </c>
      <c r="B209">
        <v>6.4893325647035303</v>
      </c>
      <c r="C209">
        <v>39273068654</v>
      </c>
      <c r="D209">
        <v>6.4277181138116903</v>
      </c>
      <c r="E209">
        <v>20678805035</v>
      </c>
      <c r="F209">
        <v>6.4803028359322603</v>
      </c>
      <c r="G209">
        <v>9432245205</v>
      </c>
      <c r="H209">
        <v>6.4680802978612899</v>
      </c>
      <c r="I209">
        <v>6.4803028359322603</v>
      </c>
      <c r="J209">
        <v>1.2222538070966699E-2</v>
      </c>
      <c r="W209" s="1">
        <v>39569</v>
      </c>
      <c r="X209">
        <v>3.5631571817645001E-2</v>
      </c>
      <c r="Y209">
        <v>3.3326671488694598E-3</v>
      </c>
      <c r="AB209" s="1">
        <v>39569</v>
      </c>
      <c r="AC209">
        <v>5.9050000000000002</v>
      </c>
      <c r="AD209">
        <v>5.9406315718176401</v>
      </c>
      <c r="AE209">
        <v>3.5631571817645001E-2</v>
      </c>
      <c r="AH209" s="1">
        <v>39479</v>
      </c>
      <c r="AI209" s="1">
        <v>39508</v>
      </c>
      <c r="AJ209" s="1">
        <v>39539</v>
      </c>
      <c r="AK209">
        <v>5.7862499999999999</v>
      </c>
      <c r="AL209">
        <v>2.4260235165021099E-2</v>
      </c>
      <c r="AM209">
        <v>5.8105102351650197</v>
      </c>
      <c r="AP209" s="1">
        <v>39417</v>
      </c>
      <c r="AQ209" s="1">
        <v>39448</v>
      </c>
      <c r="AR209" s="1">
        <v>39479</v>
      </c>
      <c r="AS209">
        <v>5.9574999999999996</v>
      </c>
      <c r="AT209">
        <v>1.2222538070966699E-2</v>
      </c>
      <c r="AU209">
        <v>5.9697225380709602</v>
      </c>
    </row>
    <row r="210" spans="1:47" x14ac:dyDescent="0.25">
      <c r="A210" s="1">
        <v>39448</v>
      </c>
      <c r="B210">
        <v>6.3125368425047101</v>
      </c>
      <c r="C210">
        <v>39222035631</v>
      </c>
      <c r="D210">
        <v>6.2300481738734304</v>
      </c>
      <c r="E210">
        <v>24630998824</v>
      </c>
      <c r="F210">
        <v>6.2881119983895202</v>
      </c>
      <c r="G210">
        <v>11526300025</v>
      </c>
      <c r="H210">
        <v>6.2807172380428096</v>
      </c>
      <c r="I210">
        <v>6.2881119983895202</v>
      </c>
      <c r="J210">
        <v>7.3947603467163E-3</v>
      </c>
      <c r="W210" s="1">
        <v>39600</v>
      </c>
      <c r="X210">
        <v>4.4469196576063699E-2</v>
      </c>
      <c r="Y210">
        <v>6.5248286621478996E-2</v>
      </c>
      <c r="AB210" s="1">
        <v>39600</v>
      </c>
      <c r="AC210">
        <v>6.2324999999999999</v>
      </c>
      <c r="AD210">
        <v>6.2769691965760597</v>
      </c>
      <c r="AE210">
        <v>4.4469196576063699E-2</v>
      </c>
      <c r="AH210" s="1">
        <v>39508</v>
      </c>
      <c r="AI210" s="1">
        <v>39539</v>
      </c>
      <c r="AJ210" s="1">
        <v>39569</v>
      </c>
      <c r="AK210">
        <v>5.8387500000000001</v>
      </c>
      <c r="AL210">
        <v>5.63973537474525E-2</v>
      </c>
      <c r="AM210">
        <v>5.8951473537474497</v>
      </c>
      <c r="AP210" s="1">
        <v>39448</v>
      </c>
      <c r="AQ210" s="1">
        <v>39479</v>
      </c>
      <c r="AR210" s="1">
        <v>39508</v>
      </c>
      <c r="AS210">
        <v>5.6180000000000003</v>
      </c>
      <c r="AT210">
        <v>7.3947603467163E-3</v>
      </c>
      <c r="AU210">
        <v>5.62539476034671</v>
      </c>
    </row>
    <row r="211" spans="1:47" x14ac:dyDescent="0.25">
      <c r="A211" s="1">
        <v>39479</v>
      </c>
      <c r="B211">
        <v>6.0967549051265904</v>
      </c>
      <c r="C211">
        <v>34323209735</v>
      </c>
      <c r="D211">
        <v>6.0175968213903799</v>
      </c>
      <c r="E211">
        <v>22429740721</v>
      </c>
      <c r="F211">
        <v>6.1186336780147599</v>
      </c>
      <c r="G211">
        <v>12799395881</v>
      </c>
      <c r="H211">
        <v>6.0654702709373698</v>
      </c>
      <c r="I211">
        <v>6.1186336780147599</v>
      </c>
      <c r="J211">
        <v>5.3163407077380397E-2</v>
      </c>
      <c r="W211" s="1">
        <v>39630</v>
      </c>
      <c r="X211">
        <v>5.2559472068172297E-2</v>
      </c>
      <c r="Y211">
        <v>5.5936413299367702E-2</v>
      </c>
      <c r="AB211" s="1">
        <v>39630</v>
      </c>
      <c r="AC211">
        <v>6.3310000000000004</v>
      </c>
      <c r="AD211">
        <v>6.3835594720681703</v>
      </c>
      <c r="AE211">
        <v>5.2559472068172297E-2</v>
      </c>
      <c r="AH211" s="1">
        <v>39539</v>
      </c>
      <c r="AI211" s="1">
        <v>39569</v>
      </c>
      <c r="AJ211" s="1">
        <v>39600</v>
      </c>
      <c r="AK211">
        <v>5.8010000000000002</v>
      </c>
      <c r="AL211">
        <v>6.3613155113105793E-2</v>
      </c>
      <c r="AM211">
        <v>5.8646131551131004</v>
      </c>
      <c r="AP211" s="1">
        <v>39479</v>
      </c>
      <c r="AQ211" s="1">
        <v>39508</v>
      </c>
      <c r="AR211" s="1">
        <v>39539</v>
      </c>
      <c r="AS211">
        <v>5.7862499999999999</v>
      </c>
      <c r="AT211">
        <v>5.3163407077380397E-2</v>
      </c>
      <c r="AU211">
        <v>5.8394134070773802</v>
      </c>
    </row>
    <row r="212" spans="1:47" x14ac:dyDescent="0.25">
      <c r="A212" s="1">
        <v>39508</v>
      </c>
      <c r="B212">
        <v>5.8139083245578203</v>
      </c>
      <c r="C212">
        <v>43908924817</v>
      </c>
      <c r="D212">
        <v>5.8016392820155502</v>
      </c>
      <c r="E212">
        <v>32708729231</v>
      </c>
      <c r="F212">
        <v>5.9173044595928701</v>
      </c>
      <c r="G212">
        <v>15589223526</v>
      </c>
      <c r="H212">
        <v>5.8086705657746096</v>
      </c>
      <c r="I212">
        <v>5.9173044595928701</v>
      </c>
      <c r="J212">
        <v>0.10863389381826</v>
      </c>
      <c r="W212" s="1">
        <v>39661</v>
      </c>
      <c r="X212">
        <v>4.7803303063216902E-2</v>
      </c>
      <c r="Y212">
        <v>2.46263930476485E-2</v>
      </c>
      <c r="AB212" s="1">
        <v>39661</v>
      </c>
      <c r="AC212">
        <v>6.3962499999999904</v>
      </c>
      <c r="AD212">
        <v>6.4440533030632103</v>
      </c>
      <c r="AE212">
        <v>4.7803303063216902E-2</v>
      </c>
      <c r="AH212" s="1">
        <v>39569</v>
      </c>
      <c r="AI212" s="1">
        <v>39600</v>
      </c>
      <c r="AJ212" s="1">
        <v>39630</v>
      </c>
      <c r="AK212">
        <v>5.9050000000000002</v>
      </c>
      <c r="AL212">
        <v>4.7002908470268799E-2</v>
      </c>
      <c r="AM212">
        <v>5.9520029084702601</v>
      </c>
      <c r="AP212" s="1">
        <v>39508</v>
      </c>
      <c r="AQ212" s="1">
        <v>39539</v>
      </c>
      <c r="AR212" s="1">
        <v>39569</v>
      </c>
      <c r="AS212">
        <v>5.8387500000000001</v>
      </c>
      <c r="AT212">
        <v>0.10863389381826</v>
      </c>
      <c r="AU212">
        <v>5.9473838938182597</v>
      </c>
    </row>
    <row r="213" spans="1:47" x14ac:dyDescent="0.25">
      <c r="A213" s="1">
        <v>39539</v>
      </c>
      <c r="B213">
        <v>6.0232332212357003</v>
      </c>
      <c r="C213">
        <v>33546989953</v>
      </c>
      <c r="D213">
        <v>6.02510555958869</v>
      </c>
      <c r="E213">
        <v>29034368718</v>
      </c>
      <c r="F213">
        <v>6.0531440494997204</v>
      </c>
      <c r="G213">
        <v>17331128853</v>
      </c>
      <c r="H213">
        <v>6.0241018850560497</v>
      </c>
      <c r="I213">
        <v>6.0531440494997204</v>
      </c>
      <c r="J213">
        <v>2.9042164443676299E-2</v>
      </c>
      <c r="W213" s="1">
        <v>39692</v>
      </c>
      <c r="X213">
        <v>2.71154861862988E-2</v>
      </c>
      <c r="Y213">
        <v>-1.5493007443248099E-2</v>
      </c>
      <c r="AB213" s="1">
        <v>39692</v>
      </c>
      <c r="AC213">
        <v>5.9562499999999998</v>
      </c>
      <c r="AD213">
        <v>5.9833654861862904</v>
      </c>
      <c r="AE213">
        <v>2.71154861862988E-2</v>
      </c>
      <c r="AH213" s="1">
        <v>39600</v>
      </c>
      <c r="AI213" s="1">
        <v>39630</v>
      </c>
      <c r="AJ213" s="1">
        <v>39661</v>
      </c>
      <c r="AK213">
        <v>6.2324999999999999</v>
      </c>
      <c r="AL213">
        <v>3.2541039404674899E-2</v>
      </c>
      <c r="AM213">
        <v>6.2650410394046698</v>
      </c>
      <c r="AP213" s="1">
        <v>39539</v>
      </c>
      <c r="AQ213" s="1">
        <v>39569</v>
      </c>
      <c r="AR213" s="1">
        <v>39600</v>
      </c>
      <c r="AS213">
        <v>5.8010000000000002</v>
      </c>
      <c r="AT213">
        <v>2.9042164443676299E-2</v>
      </c>
      <c r="AU213">
        <v>5.83004216444367</v>
      </c>
    </row>
    <row r="214" spans="1:47" x14ac:dyDescent="0.25">
      <c r="A214" s="1">
        <v>39569</v>
      </c>
      <c r="B214">
        <v>5.9773004860191303</v>
      </c>
      <c r="C214">
        <v>36334378616</v>
      </c>
      <c r="D214">
        <v>5.9470182862947301</v>
      </c>
      <c r="E214">
        <v>31987972330</v>
      </c>
      <c r="F214">
        <v>5.9664552720871598</v>
      </c>
      <c r="G214">
        <v>18730468189</v>
      </c>
      <c r="H214">
        <v>5.9631226049382899</v>
      </c>
      <c r="I214">
        <v>5.9664552720871598</v>
      </c>
      <c r="J214">
        <v>3.3326671488694598E-3</v>
      </c>
      <c r="W214" s="1">
        <v>39722</v>
      </c>
      <c r="X214">
        <v>4.0350195149717202E-2</v>
      </c>
      <c r="Y214">
        <v>0.108450418224186</v>
      </c>
      <c r="AB214" s="1">
        <v>39722</v>
      </c>
      <c r="AC214">
        <v>6.1050000000000004</v>
      </c>
      <c r="AD214">
        <v>6.1453501951497103</v>
      </c>
      <c r="AE214">
        <v>4.0350195149717202E-2</v>
      </c>
      <c r="AH214" s="1">
        <v>39630</v>
      </c>
      <c r="AI214" s="1">
        <v>39661</v>
      </c>
      <c r="AJ214" s="1">
        <v>39692</v>
      </c>
      <c r="AK214">
        <v>6.3310000000000004</v>
      </c>
      <c r="AL214">
        <v>4.1505789023238697E-2</v>
      </c>
      <c r="AM214">
        <v>6.3725057890232302</v>
      </c>
      <c r="AP214" s="1">
        <v>39569</v>
      </c>
      <c r="AQ214" s="1">
        <v>39600</v>
      </c>
      <c r="AR214" s="1">
        <v>39630</v>
      </c>
      <c r="AS214">
        <v>5.9050000000000002</v>
      </c>
      <c r="AT214">
        <v>3.3326671488694598E-3</v>
      </c>
      <c r="AU214">
        <v>5.9083326671488701</v>
      </c>
    </row>
    <row r="215" spans="1:47" x14ac:dyDescent="0.25">
      <c r="A215" s="1">
        <v>39600</v>
      </c>
      <c r="B215">
        <v>6.0360501347032001</v>
      </c>
      <c r="C215">
        <v>32040410442</v>
      </c>
      <c r="D215">
        <v>6.01000273123769</v>
      </c>
      <c r="E215">
        <v>20196136720</v>
      </c>
      <c r="F215">
        <v>6.0912277533695596</v>
      </c>
      <c r="G215">
        <v>23627995385</v>
      </c>
      <c r="H215">
        <v>6.0259794667480797</v>
      </c>
      <c r="I215">
        <v>6.0912277533695596</v>
      </c>
      <c r="J215">
        <v>6.5248286621478996E-2</v>
      </c>
      <c r="W215" s="1">
        <v>39753</v>
      </c>
      <c r="X215">
        <v>6.1300439936935201E-2</v>
      </c>
      <c r="Y215">
        <v>0.12903413587217699</v>
      </c>
      <c r="AB215" s="1">
        <v>39753</v>
      </c>
      <c r="AC215">
        <v>6.0125000000000002</v>
      </c>
      <c r="AD215">
        <v>6.0738004399369299</v>
      </c>
      <c r="AE215">
        <v>6.1300439936935201E-2</v>
      </c>
      <c r="AH215" s="1">
        <v>39661</v>
      </c>
      <c r="AI215" s="1">
        <v>39692</v>
      </c>
      <c r="AJ215" s="1">
        <v>39722</v>
      </c>
      <c r="AK215">
        <v>6.3962499999999904</v>
      </c>
      <c r="AL215">
        <v>4.8603697656165103E-2</v>
      </c>
      <c r="AM215">
        <v>6.4448536976561597</v>
      </c>
      <c r="AP215" s="1">
        <v>39600</v>
      </c>
      <c r="AQ215" s="1">
        <v>39630</v>
      </c>
      <c r="AR215" s="1">
        <v>39661</v>
      </c>
      <c r="AS215">
        <v>6.2324999999999999</v>
      </c>
      <c r="AT215">
        <v>6.5248286621478996E-2</v>
      </c>
      <c r="AU215">
        <v>6.29774828662147</v>
      </c>
    </row>
    <row r="216" spans="1:47" x14ac:dyDescent="0.25">
      <c r="A216" s="1">
        <v>39630</v>
      </c>
      <c r="B216">
        <v>6.2088970104819898</v>
      </c>
      <c r="C216">
        <v>23867945706</v>
      </c>
      <c r="D216">
        <v>6.21657903925587</v>
      </c>
      <c r="E216">
        <v>17165191612</v>
      </c>
      <c r="F216">
        <v>6.2680470093000702</v>
      </c>
      <c r="G216">
        <v>26178626781</v>
      </c>
      <c r="H216">
        <v>6.2121105960007101</v>
      </c>
      <c r="I216">
        <v>6.2680470093000702</v>
      </c>
      <c r="J216">
        <v>5.5936413299367702E-2</v>
      </c>
      <c r="W216" s="1">
        <v>39783</v>
      </c>
      <c r="X216">
        <v>7.3623105994733595E-2</v>
      </c>
      <c r="Y216">
        <v>0.13918428296826901</v>
      </c>
      <c r="AB216" s="1">
        <v>39783</v>
      </c>
      <c r="AC216">
        <v>5.2159999999999904</v>
      </c>
      <c r="AD216">
        <v>5.2896231059947301</v>
      </c>
      <c r="AE216">
        <v>7.3623105994733595E-2</v>
      </c>
      <c r="AH216" s="1">
        <v>39692</v>
      </c>
      <c r="AI216" s="1">
        <v>39722</v>
      </c>
      <c r="AJ216" s="1">
        <v>39753</v>
      </c>
      <c r="AK216">
        <v>5.9562499999999998</v>
      </c>
      <c r="AL216">
        <v>2.1689932967922699E-2</v>
      </c>
      <c r="AM216">
        <v>5.9779399329679199</v>
      </c>
      <c r="AP216" s="1">
        <v>39630</v>
      </c>
      <c r="AQ216" s="1">
        <v>39661</v>
      </c>
      <c r="AR216" s="1">
        <v>39692</v>
      </c>
      <c r="AS216">
        <v>6.3310000000000004</v>
      </c>
      <c r="AT216">
        <v>5.5936413299367702E-2</v>
      </c>
      <c r="AU216">
        <v>6.3869364132993596</v>
      </c>
    </row>
    <row r="217" spans="1:47" x14ac:dyDescent="0.25">
      <c r="A217" s="1">
        <v>39661</v>
      </c>
      <c r="B217">
        <v>6.46049744707393</v>
      </c>
      <c r="C217">
        <v>21743328279</v>
      </c>
      <c r="D217">
        <v>6.4375917733231498</v>
      </c>
      <c r="E217">
        <v>15474932434</v>
      </c>
      <c r="F217">
        <v>6.4755999196895599</v>
      </c>
      <c r="G217">
        <v>21593403876</v>
      </c>
      <c r="H217">
        <v>6.4509735266419099</v>
      </c>
      <c r="I217">
        <v>6.4755999196895599</v>
      </c>
      <c r="J217">
        <v>2.46263930476485E-2</v>
      </c>
      <c r="W217" s="1">
        <v>39814</v>
      </c>
      <c r="X217">
        <v>0.105702791255412</v>
      </c>
      <c r="Y217">
        <v>0.24841452486344401</v>
      </c>
      <c r="AB217" s="1">
        <v>39814</v>
      </c>
      <c r="AC217">
        <v>4.9662499999999996</v>
      </c>
      <c r="AD217">
        <v>5.0719527912554101</v>
      </c>
      <c r="AE217">
        <v>0.105702791255412</v>
      </c>
      <c r="AH217" s="1">
        <v>39722</v>
      </c>
      <c r="AI217" s="1">
        <v>39753</v>
      </c>
      <c r="AJ217" s="1">
        <v>39783</v>
      </c>
      <c r="AK217">
        <v>6.1050000000000004</v>
      </c>
      <c r="AL217">
        <v>3.9194601276195701E-2</v>
      </c>
      <c r="AM217">
        <v>6.1441946012761903</v>
      </c>
      <c r="AP217" s="1">
        <v>39661</v>
      </c>
      <c r="AQ217" s="1">
        <v>39692</v>
      </c>
      <c r="AR217" s="1">
        <v>39722</v>
      </c>
      <c r="AS217">
        <v>6.3962499999999904</v>
      </c>
      <c r="AT217">
        <v>2.46263930476485E-2</v>
      </c>
      <c r="AU217">
        <v>6.4208763930476396</v>
      </c>
    </row>
    <row r="218" spans="1:47" x14ac:dyDescent="0.25">
      <c r="A218" s="1">
        <v>39692</v>
      </c>
      <c r="B218">
        <v>6.5669987275458199</v>
      </c>
      <c r="C218">
        <v>20168729452</v>
      </c>
      <c r="D218">
        <v>6.53650927811342</v>
      </c>
      <c r="E218">
        <v>8347861135</v>
      </c>
      <c r="F218">
        <v>6.5425803301907699</v>
      </c>
      <c r="G218">
        <v>21453274708</v>
      </c>
      <c r="H218">
        <v>6.5580733376340197</v>
      </c>
      <c r="I218">
        <v>6.5425803301907699</v>
      </c>
      <c r="J218">
        <v>-1.5493007443248099E-2</v>
      </c>
      <c r="W218" s="1">
        <v>39845</v>
      </c>
      <c r="X218">
        <v>0.143973316397594</v>
      </c>
      <c r="Y218">
        <v>0.25424954390073501</v>
      </c>
      <c r="AB218" s="1">
        <v>39845</v>
      </c>
      <c r="AC218">
        <v>5.0612500000000002</v>
      </c>
      <c r="AD218">
        <v>5.2052233163975901</v>
      </c>
      <c r="AE218">
        <v>0.143973316397594</v>
      </c>
      <c r="AH218" s="1">
        <v>39753</v>
      </c>
      <c r="AI218" s="1">
        <v>39783</v>
      </c>
      <c r="AJ218" s="1">
        <v>39814</v>
      </c>
      <c r="AK218">
        <v>6.0125000000000002</v>
      </c>
      <c r="AL218">
        <v>7.3997182217705307E-2</v>
      </c>
      <c r="AM218">
        <v>6.0864971822177001</v>
      </c>
      <c r="AP218" s="1">
        <v>39692</v>
      </c>
      <c r="AQ218" s="1">
        <v>39722</v>
      </c>
      <c r="AR218" s="1">
        <v>39753</v>
      </c>
      <c r="AS218">
        <v>5.9562499999999998</v>
      </c>
      <c r="AT218">
        <v>-1.5493007443248099E-2</v>
      </c>
      <c r="AU218">
        <v>5.94075699255675</v>
      </c>
    </row>
    <row r="219" spans="1:47" x14ac:dyDescent="0.25">
      <c r="A219" s="1">
        <v>39722</v>
      </c>
      <c r="B219">
        <v>6.2860384107427203</v>
      </c>
      <c r="C219">
        <v>14485139585</v>
      </c>
      <c r="D219">
        <v>6.2320774578263203</v>
      </c>
      <c r="E219">
        <v>13359508717</v>
      </c>
      <c r="F219">
        <v>6.3685990488897604</v>
      </c>
      <c r="G219">
        <v>24984860217</v>
      </c>
      <c r="H219">
        <v>6.2601486306655802</v>
      </c>
      <c r="I219">
        <v>6.3685990488897604</v>
      </c>
      <c r="J219">
        <v>0.108450418224186</v>
      </c>
      <c r="W219" s="1">
        <v>39873</v>
      </c>
      <c r="X219">
        <v>0.193706032285866</v>
      </c>
      <c r="Y219">
        <v>0.28290328788638303</v>
      </c>
      <c r="AB219" s="1">
        <v>39873</v>
      </c>
      <c r="AC219">
        <v>4.9275000000000002</v>
      </c>
      <c r="AD219">
        <v>5.1212060322858601</v>
      </c>
      <c r="AE219">
        <v>0.193706032285866</v>
      </c>
      <c r="AH219" s="1">
        <v>39783</v>
      </c>
      <c r="AI219" s="1">
        <v>39814</v>
      </c>
      <c r="AJ219" s="1">
        <v>39845</v>
      </c>
      <c r="AK219">
        <v>5.2159999999999904</v>
      </c>
      <c r="AL219">
        <v>0.12555627902154401</v>
      </c>
      <c r="AM219">
        <v>5.3415562790215398</v>
      </c>
      <c r="AP219" s="1">
        <v>39722</v>
      </c>
      <c r="AQ219" s="1">
        <v>39753</v>
      </c>
      <c r="AR219" s="1">
        <v>39783</v>
      </c>
      <c r="AS219">
        <v>6.1050000000000004</v>
      </c>
      <c r="AT219">
        <v>0.108450418224186</v>
      </c>
      <c r="AU219">
        <v>6.2134504182241796</v>
      </c>
    </row>
    <row r="220" spans="1:47" x14ac:dyDescent="0.25">
      <c r="A220" s="1">
        <v>39753</v>
      </c>
      <c r="B220">
        <v>6.0426629736606898</v>
      </c>
      <c r="C220">
        <v>24625779991</v>
      </c>
      <c r="D220">
        <v>6.0512027610616599</v>
      </c>
      <c r="E220">
        <v>14517842385</v>
      </c>
      <c r="F220">
        <v>6.1748644016730196</v>
      </c>
      <c r="G220">
        <v>26676872537</v>
      </c>
      <c r="H220">
        <v>6.0458302658008396</v>
      </c>
      <c r="I220">
        <v>6.1748644016730196</v>
      </c>
      <c r="J220">
        <v>0.12903413587217699</v>
      </c>
      <c r="W220" s="1">
        <v>39904</v>
      </c>
      <c r="X220">
        <v>0.21618281572999001</v>
      </c>
      <c r="Y220">
        <v>0.243311118888932</v>
      </c>
      <c r="AB220" s="1">
        <v>39904</v>
      </c>
      <c r="AC220">
        <v>4.7300000000000004</v>
      </c>
      <c r="AD220">
        <v>4.9461828157299896</v>
      </c>
      <c r="AE220">
        <v>0.21618281572999001</v>
      </c>
      <c r="AH220" s="1">
        <v>39814</v>
      </c>
      <c r="AI220" s="1">
        <v>39845</v>
      </c>
      <c r="AJ220" s="1">
        <v>39873</v>
      </c>
      <c r="AK220">
        <v>4.9662499999999996</v>
      </c>
      <c r="AL220">
        <v>0.17221098123463</v>
      </c>
      <c r="AM220">
        <v>5.1384609812346298</v>
      </c>
      <c r="AP220" s="1">
        <v>39753</v>
      </c>
      <c r="AQ220" s="1">
        <v>39783</v>
      </c>
      <c r="AR220" s="1">
        <v>39814</v>
      </c>
      <c r="AS220">
        <v>6.0125000000000002</v>
      </c>
      <c r="AT220">
        <v>0.12903413587217699</v>
      </c>
      <c r="AU220">
        <v>6.1415341358721696</v>
      </c>
    </row>
    <row r="221" spans="1:47" x14ac:dyDescent="0.25">
      <c r="A221" s="1">
        <v>39783</v>
      </c>
      <c r="B221">
        <v>6.1102293233511302</v>
      </c>
      <c r="C221">
        <v>15068329470</v>
      </c>
      <c r="D221">
        <v>6.12674042747184</v>
      </c>
      <c r="E221">
        <v>7029347073</v>
      </c>
      <c r="F221">
        <v>6.2546658454494697</v>
      </c>
      <c r="G221">
        <v>18109794676</v>
      </c>
      <c r="H221">
        <v>6.1154815624812002</v>
      </c>
      <c r="I221">
        <v>6.2546658454494697</v>
      </c>
      <c r="J221">
        <v>0.13918428296826901</v>
      </c>
      <c r="W221" s="1">
        <v>39934</v>
      </c>
      <c r="X221">
        <v>0.24152159031110201</v>
      </c>
      <c r="Y221">
        <v>0.28106678335884899</v>
      </c>
      <c r="AB221" s="1">
        <v>39934</v>
      </c>
      <c r="AC221">
        <v>4.7762500000000001</v>
      </c>
      <c r="AD221">
        <v>5.0177715903111002</v>
      </c>
      <c r="AE221">
        <v>0.24152159031110201</v>
      </c>
      <c r="AH221" s="1">
        <v>39845</v>
      </c>
      <c r="AI221" s="1">
        <v>39873</v>
      </c>
      <c r="AJ221" s="1">
        <v>39904</v>
      </c>
      <c r="AK221">
        <v>5.0612500000000002</v>
      </c>
      <c r="AL221">
        <v>0.21394945057748199</v>
      </c>
      <c r="AM221">
        <v>5.27519945057748</v>
      </c>
      <c r="AP221" s="1">
        <v>39783</v>
      </c>
      <c r="AQ221" s="1">
        <v>39814</v>
      </c>
      <c r="AR221" s="1">
        <v>39845</v>
      </c>
      <c r="AS221">
        <v>5.2159999999999904</v>
      </c>
      <c r="AT221">
        <v>0.13918428296826901</v>
      </c>
      <c r="AU221">
        <v>5.3551842829682599</v>
      </c>
    </row>
    <row r="222" spans="1:47" x14ac:dyDescent="0.25">
      <c r="A222" s="1">
        <v>39814</v>
      </c>
      <c r="B222">
        <v>5.5012644353404196</v>
      </c>
      <c r="C222">
        <v>17740361324</v>
      </c>
      <c r="D222">
        <v>5.5037061417988697</v>
      </c>
      <c r="E222">
        <v>17580265612</v>
      </c>
      <c r="F222">
        <v>5.7508942797440303</v>
      </c>
      <c r="G222">
        <v>25345250288</v>
      </c>
      <c r="H222">
        <v>5.5024797548805804</v>
      </c>
      <c r="I222">
        <v>5.7508942797440303</v>
      </c>
      <c r="J222">
        <v>0.24841452486344401</v>
      </c>
      <c r="W222" s="1">
        <v>39965</v>
      </c>
      <c r="X222">
        <v>0.24947871648268799</v>
      </c>
      <c r="Y222">
        <v>0.18692703999778801</v>
      </c>
      <c r="AB222" s="1">
        <v>39965</v>
      </c>
      <c r="AC222">
        <v>5.3449999999999998</v>
      </c>
      <c r="AD222">
        <v>5.5944787164826799</v>
      </c>
      <c r="AE222">
        <v>0.24947871648268799</v>
      </c>
      <c r="AH222" s="1">
        <v>39873</v>
      </c>
      <c r="AI222" s="1">
        <v>39904</v>
      </c>
      <c r="AJ222" s="1">
        <v>39934</v>
      </c>
      <c r="AK222">
        <v>4.9275000000000002</v>
      </c>
      <c r="AL222">
        <v>0.26185578555018701</v>
      </c>
      <c r="AM222">
        <v>5.1893557855501804</v>
      </c>
      <c r="AP222" s="1">
        <v>39814</v>
      </c>
      <c r="AQ222" s="1">
        <v>39845</v>
      </c>
      <c r="AR222" s="1">
        <v>39873</v>
      </c>
      <c r="AS222">
        <v>4.9662499999999996</v>
      </c>
      <c r="AT222">
        <v>0.24841452486344401</v>
      </c>
      <c r="AU222">
        <v>5.2146645248634398</v>
      </c>
    </row>
    <row r="223" spans="1:47" x14ac:dyDescent="0.25">
      <c r="A223" s="1">
        <v>39845</v>
      </c>
      <c r="B223">
        <v>4.9734013375863197</v>
      </c>
      <c r="C223">
        <v>50238007329</v>
      </c>
      <c r="D223">
        <v>5.0542951058836598</v>
      </c>
      <c r="E223">
        <v>27533748020</v>
      </c>
      <c r="F223">
        <v>5.25628992432069</v>
      </c>
      <c r="G223">
        <v>27745872615</v>
      </c>
      <c r="H223">
        <v>5.0020403804199498</v>
      </c>
      <c r="I223">
        <v>5.25628992432069</v>
      </c>
      <c r="J223">
        <v>0.25424954390073501</v>
      </c>
      <c r="W223" s="1">
        <v>39995</v>
      </c>
      <c r="X223">
        <v>0.22747212413205101</v>
      </c>
      <c r="Y223">
        <v>0.116374970759616</v>
      </c>
      <c r="AB223" s="1">
        <v>39995</v>
      </c>
      <c r="AC223">
        <v>5.1470000000000002</v>
      </c>
      <c r="AD223">
        <v>5.3744721241320503</v>
      </c>
      <c r="AE223">
        <v>0.22747212413205101</v>
      </c>
      <c r="AH223" s="1">
        <v>39904</v>
      </c>
      <c r="AI223" s="1">
        <v>39934</v>
      </c>
      <c r="AJ223" s="1">
        <v>39965</v>
      </c>
      <c r="AK223">
        <v>4.7300000000000004</v>
      </c>
      <c r="AL223">
        <v>0.26015465022535</v>
      </c>
      <c r="AM223">
        <v>4.9901546502253504</v>
      </c>
      <c r="AP223" s="1">
        <v>39845</v>
      </c>
      <c r="AQ223" s="1">
        <v>39873</v>
      </c>
      <c r="AR223" s="1">
        <v>39904</v>
      </c>
      <c r="AS223">
        <v>5.0612500000000002</v>
      </c>
      <c r="AT223">
        <v>0.25424954390073501</v>
      </c>
      <c r="AU223">
        <v>5.3154995439007298</v>
      </c>
    </row>
    <row r="224" spans="1:47" x14ac:dyDescent="0.25">
      <c r="A224" s="1">
        <v>39873</v>
      </c>
      <c r="B224">
        <v>4.93009877686114</v>
      </c>
      <c r="C224">
        <v>55780148468</v>
      </c>
      <c r="D224">
        <v>4.8763028769692696</v>
      </c>
      <c r="E224">
        <v>51308760732</v>
      </c>
      <c r="F224">
        <v>5.1872272111559203</v>
      </c>
      <c r="G224">
        <v>30656464026</v>
      </c>
      <c r="H224">
        <v>4.9043239232695397</v>
      </c>
      <c r="I224">
        <v>5.1872272111559203</v>
      </c>
      <c r="J224">
        <v>0.28290328788638303</v>
      </c>
      <c r="W224" s="1">
        <v>40026</v>
      </c>
      <c r="X224">
        <v>0.243543495857869</v>
      </c>
      <c r="Y224">
        <v>0.350677774255643</v>
      </c>
      <c r="AB224" s="1">
        <v>40026</v>
      </c>
      <c r="AC224">
        <v>5.1112500000000001</v>
      </c>
      <c r="AD224">
        <v>5.3547934958578596</v>
      </c>
      <c r="AE224">
        <v>0.243543495857869</v>
      </c>
      <c r="AH224" s="1">
        <v>39934</v>
      </c>
      <c r="AI224" s="1">
        <v>39965</v>
      </c>
      <c r="AJ224" s="1">
        <v>39995</v>
      </c>
      <c r="AK224">
        <v>4.7762500000000001</v>
      </c>
      <c r="AL224">
        <v>0.26909373004472098</v>
      </c>
      <c r="AM224">
        <v>5.0453437300447197</v>
      </c>
      <c r="AP224" s="1">
        <v>39873</v>
      </c>
      <c r="AQ224" s="1">
        <v>39904</v>
      </c>
      <c r="AR224" s="1">
        <v>39934</v>
      </c>
      <c r="AS224">
        <v>4.9275000000000002</v>
      </c>
      <c r="AT224">
        <v>0.28290328788638303</v>
      </c>
      <c r="AU224">
        <v>5.21040328788638</v>
      </c>
    </row>
    <row r="225" spans="1:47" x14ac:dyDescent="0.25">
      <c r="A225" s="1">
        <v>39904</v>
      </c>
      <c r="B225">
        <v>4.9392387582399104</v>
      </c>
      <c r="C225">
        <v>45536004286</v>
      </c>
      <c r="D225">
        <v>4.9708505184387697</v>
      </c>
      <c r="E225">
        <v>36489486994</v>
      </c>
      <c r="F225">
        <v>5.19661254099874</v>
      </c>
      <c r="G225">
        <v>36895113908</v>
      </c>
      <c r="H225">
        <v>4.9533014221098099</v>
      </c>
      <c r="I225">
        <v>5.19661254099874</v>
      </c>
      <c r="J225">
        <v>0.243311118888932</v>
      </c>
      <c r="W225" s="1">
        <v>40057</v>
      </c>
      <c r="X225">
        <v>0.22651546731469099</v>
      </c>
      <c r="Y225">
        <v>0.180735116627319</v>
      </c>
      <c r="AB225" s="1">
        <v>40057</v>
      </c>
      <c r="AC225">
        <v>4.9539999999999997</v>
      </c>
      <c r="AD225">
        <v>5.1805154673146898</v>
      </c>
      <c r="AE225">
        <v>0.22651546731469099</v>
      </c>
      <c r="AH225" s="1">
        <v>39965</v>
      </c>
      <c r="AI225" s="1">
        <v>39995</v>
      </c>
      <c r="AJ225" s="1">
        <v>40026</v>
      </c>
      <c r="AK225">
        <v>5.3449999999999998</v>
      </c>
      <c r="AL225">
        <v>0.23710164741518999</v>
      </c>
      <c r="AM225">
        <v>5.5821016474151897</v>
      </c>
      <c r="AP225" s="1">
        <v>39904</v>
      </c>
      <c r="AQ225" s="1">
        <v>39934</v>
      </c>
      <c r="AR225" s="1">
        <v>39965</v>
      </c>
      <c r="AS225">
        <v>4.7300000000000004</v>
      </c>
      <c r="AT225">
        <v>0.243311118888932</v>
      </c>
      <c r="AU225">
        <v>4.9733111188889296</v>
      </c>
    </row>
    <row r="226" spans="1:47" x14ac:dyDescent="0.25">
      <c r="A226" s="1">
        <v>39934</v>
      </c>
      <c r="B226">
        <v>4.8205708289525599</v>
      </c>
      <c r="C226">
        <v>64249409346</v>
      </c>
      <c r="D226">
        <v>4.86898730938334</v>
      </c>
      <c r="E226">
        <v>39938723688</v>
      </c>
      <c r="F226">
        <v>5.1201972349628599</v>
      </c>
      <c r="G226">
        <v>34119879519</v>
      </c>
      <c r="H226">
        <v>4.8391304516040101</v>
      </c>
      <c r="I226">
        <v>5.1201972349628599</v>
      </c>
      <c r="J226">
        <v>0.28106678335884899</v>
      </c>
      <c r="W226" s="1">
        <v>40087</v>
      </c>
      <c r="X226">
        <v>0.19944831792342599</v>
      </c>
      <c r="Y226">
        <v>8.0908222541341002E-2</v>
      </c>
      <c r="AB226" s="1">
        <v>40087</v>
      </c>
      <c r="AC226">
        <v>4.88</v>
      </c>
      <c r="AD226">
        <v>5.0794483179234202</v>
      </c>
      <c r="AE226">
        <v>0.19944831792342599</v>
      </c>
      <c r="AH226" s="1">
        <v>39995</v>
      </c>
      <c r="AI226" s="1">
        <v>40026</v>
      </c>
      <c r="AJ226" s="1">
        <v>40057</v>
      </c>
      <c r="AK226">
        <v>5.1470000000000002</v>
      </c>
      <c r="AL226">
        <v>0.19478959803875101</v>
      </c>
      <c r="AM226">
        <v>5.3417895980387504</v>
      </c>
      <c r="AP226" s="1">
        <v>39934</v>
      </c>
      <c r="AQ226" s="1">
        <v>39965</v>
      </c>
      <c r="AR226" s="1">
        <v>39995</v>
      </c>
      <c r="AS226">
        <v>4.7762500000000001</v>
      </c>
      <c r="AT226">
        <v>0.28106678335884899</v>
      </c>
      <c r="AU226">
        <v>5.0573167833588499</v>
      </c>
    </row>
    <row r="227" spans="1:47" x14ac:dyDescent="0.25">
      <c r="A227" s="1">
        <v>39965</v>
      </c>
      <c r="B227">
        <v>4.7833203460990603</v>
      </c>
      <c r="C227">
        <v>63286137207</v>
      </c>
      <c r="D227">
        <v>4.8452611847510703</v>
      </c>
      <c r="E227">
        <v>49949262644</v>
      </c>
      <c r="F227">
        <v>4.9975701069269904</v>
      </c>
      <c r="G227">
        <v>41288121537</v>
      </c>
      <c r="H227">
        <v>4.8106430669291997</v>
      </c>
      <c r="I227">
        <v>4.9975701069269904</v>
      </c>
      <c r="J227">
        <v>0.18692703999778801</v>
      </c>
      <c r="W227" s="1">
        <v>40118</v>
      </c>
      <c r="X227">
        <v>0.17036642203986899</v>
      </c>
      <c r="Y227">
        <v>0.106575408057505</v>
      </c>
      <c r="AB227" s="1">
        <v>40118</v>
      </c>
      <c r="AC227">
        <v>4.8</v>
      </c>
      <c r="AD227">
        <v>4.97036642203987</v>
      </c>
      <c r="AE227">
        <v>0.17036642203986899</v>
      </c>
      <c r="AH227" s="1">
        <v>40026</v>
      </c>
      <c r="AI227" s="1">
        <v>40057</v>
      </c>
      <c r="AJ227" s="1">
        <v>40087</v>
      </c>
      <c r="AK227">
        <v>5.1112500000000001</v>
      </c>
      <c r="AL227">
        <v>0.21799326167101599</v>
      </c>
      <c r="AM227">
        <v>5.3292432616710101</v>
      </c>
      <c r="AP227" s="1">
        <v>39965</v>
      </c>
      <c r="AQ227" s="1">
        <v>39995</v>
      </c>
      <c r="AR227" s="1">
        <v>40026</v>
      </c>
      <c r="AS227">
        <v>5.3449999999999998</v>
      </c>
      <c r="AT227">
        <v>0.18692703999778801</v>
      </c>
      <c r="AU227">
        <v>5.5319270399977798</v>
      </c>
    </row>
    <row r="228" spans="1:47" x14ac:dyDescent="0.25">
      <c r="A228" s="1">
        <v>39995</v>
      </c>
      <c r="B228">
        <v>4.9118711846280103</v>
      </c>
      <c r="C228">
        <v>52233055497</v>
      </c>
      <c r="D228">
        <v>4.9231097132947097</v>
      </c>
      <c r="E228">
        <v>40243383743</v>
      </c>
      <c r="F228">
        <v>5.0331368759382604</v>
      </c>
      <c r="G228">
        <v>40370414837</v>
      </c>
      <c r="H228">
        <v>4.9167619051786398</v>
      </c>
      <c r="I228">
        <v>5.0331368759382604</v>
      </c>
      <c r="J228">
        <v>0.116374970759616</v>
      </c>
      <c r="W228" s="1">
        <v>40148</v>
      </c>
      <c r="X228">
        <v>0.151849819477481</v>
      </c>
      <c r="Y228">
        <v>7.5827424623464298E-2</v>
      </c>
      <c r="AB228" s="1">
        <v>40148</v>
      </c>
      <c r="AC228">
        <v>4.8550000000000004</v>
      </c>
      <c r="AD228">
        <v>5.0068498194774804</v>
      </c>
      <c r="AE228">
        <v>0.151849819477481</v>
      </c>
      <c r="AH228" s="1">
        <v>40057</v>
      </c>
      <c r="AI228" s="1">
        <v>40087</v>
      </c>
      <c r="AJ228" s="1">
        <v>40118</v>
      </c>
      <c r="AK228">
        <v>4.9539999999999997</v>
      </c>
      <c r="AL228">
        <v>0.21592928721419299</v>
      </c>
      <c r="AM228">
        <v>5.16992928721419</v>
      </c>
      <c r="AP228" s="1">
        <v>39995</v>
      </c>
      <c r="AQ228" s="1">
        <v>40026</v>
      </c>
      <c r="AR228" s="1">
        <v>40057</v>
      </c>
      <c r="AS228">
        <v>5.1470000000000002</v>
      </c>
      <c r="AT228">
        <v>0.116374970759616</v>
      </c>
      <c r="AU228">
        <v>5.2633749707596102</v>
      </c>
    </row>
    <row r="229" spans="1:47" x14ac:dyDescent="0.25">
      <c r="A229" s="1">
        <v>40026</v>
      </c>
      <c r="B229">
        <v>4.9985863032067197</v>
      </c>
      <c r="C229">
        <v>44331192062</v>
      </c>
      <c r="D229">
        <v>5.1448094144014798</v>
      </c>
      <c r="E229">
        <v>33575562975</v>
      </c>
      <c r="F229">
        <v>5.4122820182813403</v>
      </c>
      <c r="G229">
        <v>33301235385</v>
      </c>
      <c r="H229">
        <v>5.0616042440257001</v>
      </c>
      <c r="I229">
        <v>5.4122820182813403</v>
      </c>
      <c r="J229">
        <v>0.350677774255643</v>
      </c>
      <c r="W229" s="1">
        <v>40179</v>
      </c>
      <c r="X229">
        <v>0.15042519411323799</v>
      </c>
      <c r="Y229">
        <v>0.107827218574158</v>
      </c>
      <c r="AB229" s="1">
        <v>40179</v>
      </c>
      <c r="AC229">
        <v>4.9487500000000004</v>
      </c>
      <c r="AD229">
        <v>5.0991751941132302</v>
      </c>
      <c r="AE229">
        <v>0.15042519411323799</v>
      </c>
      <c r="AH229" s="1">
        <v>40087</v>
      </c>
      <c r="AI229" s="1">
        <v>40118</v>
      </c>
      <c r="AJ229" s="1">
        <v>40148</v>
      </c>
      <c r="AK229">
        <v>4.88</v>
      </c>
      <c r="AL229">
        <v>0.20410703780810099</v>
      </c>
      <c r="AM229">
        <v>5.0841070378081001</v>
      </c>
      <c r="AP229" s="1">
        <v>40026</v>
      </c>
      <c r="AQ229" s="1">
        <v>40057</v>
      </c>
      <c r="AR229" s="1">
        <v>40087</v>
      </c>
      <c r="AS229">
        <v>5.1112500000000001</v>
      </c>
      <c r="AT229">
        <v>0.350677774255643</v>
      </c>
      <c r="AU229">
        <v>5.4619277742556402</v>
      </c>
    </row>
    <row r="230" spans="1:47" x14ac:dyDescent="0.25">
      <c r="A230" s="1">
        <v>40057</v>
      </c>
      <c r="B230">
        <v>5.1491278059694903</v>
      </c>
      <c r="C230">
        <v>27510498663</v>
      </c>
      <c r="D230">
        <v>5.2554424767102201</v>
      </c>
      <c r="E230">
        <v>19997654951</v>
      </c>
      <c r="F230">
        <v>5.3746140640319497</v>
      </c>
      <c r="G230">
        <v>31772654845</v>
      </c>
      <c r="H230">
        <v>5.1938789474046301</v>
      </c>
      <c r="I230">
        <v>5.3746140640319497</v>
      </c>
      <c r="J230">
        <v>0.180735116627319</v>
      </c>
      <c r="W230" s="1">
        <v>40210</v>
      </c>
      <c r="X230">
        <v>0.105088987888038</v>
      </c>
      <c r="Y230">
        <v>7.8660536904441594E-2</v>
      </c>
      <c r="AB230" s="1">
        <v>40210</v>
      </c>
      <c r="AC230">
        <v>4.9149999999999903</v>
      </c>
      <c r="AD230">
        <v>5.0200889878880304</v>
      </c>
      <c r="AE230">
        <v>0.105088987888038</v>
      </c>
      <c r="AH230" s="1">
        <v>40118</v>
      </c>
      <c r="AI230" s="1">
        <v>40148</v>
      </c>
      <c r="AJ230" s="1">
        <v>40179</v>
      </c>
      <c r="AK230">
        <v>4.8</v>
      </c>
      <c r="AL230">
        <v>0.122739582408722</v>
      </c>
      <c r="AM230">
        <v>4.9227395824087203</v>
      </c>
      <c r="AP230" s="1">
        <v>40057</v>
      </c>
      <c r="AQ230" s="1">
        <v>40087</v>
      </c>
      <c r="AR230" s="1">
        <v>40118</v>
      </c>
      <c r="AS230">
        <v>4.9539999999999997</v>
      </c>
      <c r="AT230">
        <v>0.180735116627319</v>
      </c>
      <c r="AU230">
        <v>5.1347351166273203</v>
      </c>
    </row>
    <row r="231" spans="1:47" x14ac:dyDescent="0.25">
      <c r="A231" s="1">
        <v>40087</v>
      </c>
      <c r="B231">
        <v>5.1767894537607901</v>
      </c>
      <c r="C231">
        <v>19246865507</v>
      </c>
      <c r="D231">
        <v>5.2954393211501296</v>
      </c>
      <c r="E231">
        <v>16044259519</v>
      </c>
      <c r="F231">
        <v>5.3116389791902403</v>
      </c>
      <c r="G231">
        <v>30899397388</v>
      </c>
      <c r="H231">
        <v>5.2307307566489003</v>
      </c>
      <c r="I231">
        <v>5.3116389791902403</v>
      </c>
      <c r="J231">
        <v>8.0908222541341002E-2</v>
      </c>
      <c r="W231" s="1">
        <v>40238</v>
      </c>
      <c r="X231">
        <v>7.0690633097552996E-2</v>
      </c>
      <c r="Y231">
        <v>-2.56550121155933E-2</v>
      </c>
      <c r="AB231" s="1">
        <v>40238</v>
      </c>
      <c r="AC231">
        <v>4.91</v>
      </c>
      <c r="AD231">
        <v>4.9806906330975496</v>
      </c>
      <c r="AE231">
        <v>7.0690633097552996E-2</v>
      </c>
      <c r="AH231" s="1">
        <v>40148</v>
      </c>
      <c r="AI231" s="1">
        <v>40179</v>
      </c>
      <c r="AJ231" s="1">
        <v>40210</v>
      </c>
      <c r="AK231">
        <v>4.8550000000000004</v>
      </c>
      <c r="AL231">
        <v>8.7770351740770303E-2</v>
      </c>
      <c r="AM231">
        <v>4.9427703517407702</v>
      </c>
      <c r="AP231" s="1">
        <v>40087</v>
      </c>
      <c r="AQ231" s="1">
        <v>40118</v>
      </c>
      <c r="AR231" s="1">
        <v>40148</v>
      </c>
      <c r="AS231">
        <v>4.88</v>
      </c>
      <c r="AT231">
        <v>8.0908222541341002E-2</v>
      </c>
      <c r="AU231">
        <v>4.9609082225413399</v>
      </c>
    </row>
    <row r="232" spans="1:47" x14ac:dyDescent="0.25">
      <c r="A232" s="1">
        <v>40118</v>
      </c>
      <c r="B232">
        <v>5.0702684073172204</v>
      </c>
      <c r="C232">
        <v>23933835696</v>
      </c>
      <c r="D232">
        <v>5.0814270018246601</v>
      </c>
      <c r="E232">
        <v>24991627294</v>
      </c>
      <c r="F232">
        <v>5.1825437396679703</v>
      </c>
      <c r="G232">
        <v>33256820808</v>
      </c>
      <c r="H232">
        <v>5.0759683316104596</v>
      </c>
      <c r="I232">
        <v>5.1825437396679703</v>
      </c>
      <c r="J232">
        <v>0.106575408057505</v>
      </c>
      <c r="W232" s="1">
        <v>40269</v>
      </c>
      <c r="X232">
        <v>6.7296935314147099E-2</v>
      </c>
      <c r="Y232">
        <v>6.05460358409061E-2</v>
      </c>
      <c r="AB232" s="1">
        <v>40269</v>
      </c>
      <c r="AC232">
        <v>5.0149999999999997</v>
      </c>
      <c r="AD232">
        <v>5.0822969353141403</v>
      </c>
      <c r="AE232">
        <v>6.7296935314147099E-2</v>
      </c>
      <c r="AH232" s="1">
        <v>40179</v>
      </c>
      <c r="AI232" s="1">
        <v>40210</v>
      </c>
      <c r="AJ232" s="1">
        <v>40238</v>
      </c>
      <c r="AK232">
        <v>4.9487500000000004</v>
      </c>
      <c r="AL232">
        <v>9.6743350418376201E-2</v>
      </c>
      <c r="AM232">
        <v>5.0454933504183703</v>
      </c>
      <c r="AP232" s="1">
        <v>40118</v>
      </c>
      <c r="AQ232" s="1">
        <v>40148</v>
      </c>
      <c r="AR232" s="1">
        <v>40179</v>
      </c>
      <c r="AS232">
        <v>4.8</v>
      </c>
      <c r="AT232">
        <v>0.106575408057505</v>
      </c>
      <c r="AU232">
        <v>4.9065754080574999</v>
      </c>
    </row>
    <row r="233" spans="1:47" x14ac:dyDescent="0.25">
      <c r="A233" s="1">
        <v>40148</v>
      </c>
      <c r="B233">
        <v>5.06936594267329</v>
      </c>
      <c r="C233">
        <v>27190369993</v>
      </c>
      <c r="D233">
        <v>5.0702708538369299</v>
      </c>
      <c r="E233">
        <v>22689040109</v>
      </c>
      <c r="F233">
        <v>5.1456049913645803</v>
      </c>
      <c r="G233">
        <v>34026659189</v>
      </c>
      <c r="H233">
        <v>5.0697775667411102</v>
      </c>
      <c r="I233">
        <v>5.1456049913645803</v>
      </c>
      <c r="J233">
        <v>7.5827424623464298E-2</v>
      </c>
      <c r="W233" s="1">
        <v>40299</v>
      </c>
      <c r="X233">
        <v>4.2830323288871298E-2</v>
      </c>
      <c r="Y233">
        <v>-4.0224264094149302E-2</v>
      </c>
      <c r="AB233" s="1">
        <v>40299</v>
      </c>
      <c r="AC233">
        <v>4.8125</v>
      </c>
      <c r="AD233">
        <v>4.8553303232888698</v>
      </c>
      <c r="AE233">
        <v>4.2830323288871298E-2</v>
      </c>
      <c r="AH233" s="1">
        <v>40210</v>
      </c>
      <c r="AI233" s="1">
        <v>40238</v>
      </c>
      <c r="AJ233" s="1">
        <v>40269</v>
      </c>
      <c r="AK233">
        <v>4.9149999999999903</v>
      </c>
      <c r="AL233">
        <v>8.74383933673549E-2</v>
      </c>
      <c r="AM233">
        <v>5.00243839336735</v>
      </c>
      <c r="AP233" s="1">
        <v>40148</v>
      </c>
      <c r="AQ233" s="1">
        <v>40179</v>
      </c>
      <c r="AR233" s="1">
        <v>40210</v>
      </c>
      <c r="AS233">
        <v>4.8550000000000004</v>
      </c>
      <c r="AT233">
        <v>7.5827424623464298E-2</v>
      </c>
      <c r="AU233">
        <v>4.9308274246234598</v>
      </c>
    </row>
    <row r="234" spans="1:47" x14ac:dyDescent="0.25">
      <c r="A234" s="1">
        <v>40179</v>
      </c>
      <c r="B234">
        <v>5.0004412611957099</v>
      </c>
      <c r="C234">
        <v>32551680772</v>
      </c>
      <c r="D234">
        <v>5.0291281275635296</v>
      </c>
      <c r="E234">
        <v>22425732197</v>
      </c>
      <c r="F234">
        <v>5.1199700849927003</v>
      </c>
      <c r="G234">
        <v>44896083658</v>
      </c>
      <c r="H234">
        <v>5.0121428664185403</v>
      </c>
      <c r="I234">
        <v>5.1199700849927003</v>
      </c>
      <c r="J234">
        <v>0.107827218574158</v>
      </c>
      <c r="W234" s="1">
        <v>40330</v>
      </c>
      <c r="X234">
        <v>3.1150489949351899E-2</v>
      </c>
      <c r="Y234">
        <v>5.7484245863478698E-3</v>
      </c>
      <c r="AB234" s="1">
        <v>40330</v>
      </c>
      <c r="AC234">
        <v>4.6359999999999904</v>
      </c>
      <c r="AD234">
        <v>4.6671504899493499</v>
      </c>
      <c r="AE234">
        <v>3.1150489949351899E-2</v>
      </c>
      <c r="AH234" s="1">
        <v>40238</v>
      </c>
      <c r="AI234" s="1">
        <v>40269</v>
      </c>
      <c r="AJ234" s="1">
        <v>40299</v>
      </c>
      <c r="AK234">
        <v>4.91</v>
      </c>
      <c r="AL234">
        <v>5.3610914454335599E-2</v>
      </c>
      <c r="AM234">
        <v>4.9636109144543301</v>
      </c>
      <c r="AP234" s="1">
        <v>40179</v>
      </c>
      <c r="AQ234" s="1">
        <v>40210</v>
      </c>
      <c r="AR234" s="1">
        <v>40238</v>
      </c>
      <c r="AS234">
        <v>4.9487500000000004</v>
      </c>
      <c r="AT234">
        <v>0.107827218574158</v>
      </c>
      <c r="AU234">
        <v>5.0565772185741604</v>
      </c>
    </row>
    <row r="235" spans="1:47" x14ac:dyDescent="0.25">
      <c r="A235" s="1">
        <v>40210</v>
      </c>
      <c r="B235">
        <v>5.0587945141363804</v>
      </c>
      <c r="C235">
        <v>23002142901</v>
      </c>
      <c r="D235">
        <v>5.0640033921383099</v>
      </c>
      <c r="E235">
        <v>19709093727</v>
      </c>
      <c r="F235">
        <v>5.1398586870124703</v>
      </c>
      <c r="G235">
        <v>19094536017</v>
      </c>
      <c r="H235">
        <v>5.0611981501080301</v>
      </c>
      <c r="I235">
        <v>5.1398586870124703</v>
      </c>
      <c r="J235">
        <v>7.8660536904441594E-2</v>
      </c>
      <c r="W235" s="1">
        <v>40360</v>
      </c>
      <c r="X235">
        <v>6.2289282388944701E-3</v>
      </c>
      <c r="Y235">
        <v>-4.1702151688586001E-2</v>
      </c>
      <c r="AB235" s="1">
        <v>40360</v>
      </c>
      <c r="AC235">
        <v>4.4849999999999897</v>
      </c>
      <c r="AD235">
        <v>4.4912289282388898</v>
      </c>
      <c r="AE235">
        <v>6.2289282388944701E-3</v>
      </c>
      <c r="AH235" s="1">
        <v>40269</v>
      </c>
      <c r="AI235" s="1">
        <v>40299</v>
      </c>
      <c r="AJ235" s="1">
        <v>40330</v>
      </c>
      <c r="AK235">
        <v>5.0149999999999997</v>
      </c>
      <c r="AL235">
        <v>3.7850520209918102E-2</v>
      </c>
      <c r="AM235">
        <v>5.0528505202099101</v>
      </c>
      <c r="AP235" s="1">
        <v>40210</v>
      </c>
      <c r="AQ235" s="1">
        <v>40238</v>
      </c>
      <c r="AR235" s="1">
        <v>40269</v>
      </c>
      <c r="AS235">
        <v>4.9149999999999903</v>
      </c>
      <c r="AT235">
        <v>7.8660536904441594E-2</v>
      </c>
      <c r="AU235">
        <v>4.9936605369044402</v>
      </c>
    </row>
    <row r="236" spans="1:47" x14ac:dyDescent="0.25">
      <c r="A236" s="1">
        <v>40238</v>
      </c>
      <c r="B236">
        <v>5.1757846036009703</v>
      </c>
      <c r="C236">
        <v>13647171695</v>
      </c>
      <c r="D236">
        <v>5.14394559344111</v>
      </c>
      <c r="E236">
        <v>17762526904</v>
      </c>
      <c r="F236">
        <v>5.1321242842144796</v>
      </c>
      <c r="G236">
        <v>22037065394</v>
      </c>
      <c r="H236">
        <v>5.1577792963300704</v>
      </c>
      <c r="I236">
        <v>5.1321242842144796</v>
      </c>
      <c r="J236">
        <v>-2.56550121155933E-2</v>
      </c>
      <c r="W236" s="1">
        <v>40391</v>
      </c>
      <c r="X236">
        <v>-1.6655926343295699E-2</v>
      </c>
      <c r="Y236">
        <v>-5.8648590588699603E-2</v>
      </c>
      <c r="AB236" s="1">
        <v>40391</v>
      </c>
      <c r="AC236">
        <v>4.3525</v>
      </c>
      <c r="AD236">
        <v>4.3358440736567001</v>
      </c>
      <c r="AE236">
        <v>-1.6655926343295699E-2</v>
      </c>
      <c r="AH236" s="1">
        <v>40299</v>
      </c>
      <c r="AI236" s="1">
        <v>40330</v>
      </c>
      <c r="AJ236" s="1">
        <v>40360</v>
      </c>
      <c r="AK236">
        <v>4.8125</v>
      </c>
      <c r="AL236">
        <v>-1.7777467896121901E-3</v>
      </c>
      <c r="AM236">
        <v>4.8107222532103799</v>
      </c>
      <c r="AP236" s="1">
        <v>40238</v>
      </c>
      <c r="AQ236" s="1">
        <v>40269</v>
      </c>
      <c r="AR236" s="1">
        <v>40299</v>
      </c>
      <c r="AS236">
        <v>4.91</v>
      </c>
      <c r="AT236">
        <v>-2.56550121155933E-2</v>
      </c>
      <c r="AU236">
        <v>4.8843449878843996</v>
      </c>
    </row>
    <row r="237" spans="1:47" x14ac:dyDescent="0.25">
      <c r="A237" s="1">
        <v>40269</v>
      </c>
      <c r="B237">
        <v>5.1088048036872902</v>
      </c>
      <c r="C237">
        <v>24395182783</v>
      </c>
      <c r="D237">
        <v>5.1588311275392904</v>
      </c>
      <c r="E237">
        <v>14798263610</v>
      </c>
      <c r="F237">
        <v>5.1882392710373297</v>
      </c>
      <c r="G237">
        <v>19423794897</v>
      </c>
      <c r="H237">
        <v>5.1276932351964204</v>
      </c>
      <c r="I237">
        <v>5.1882392710373297</v>
      </c>
      <c r="J237">
        <v>6.05460358409061E-2</v>
      </c>
      <c r="W237" s="1">
        <v>40422</v>
      </c>
      <c r="X237">
        <v>-1.8581966507759701E-2</v>
      </c>
      <c r="Y237">
        <v>-3.7211253102377502E-2</v>
      </c>
      <c r="AB237" s="1">
        <v>40422</v>
      </c>
      <c r="AC237">
        <v>4.2759999999999998</v>
      </c>
      <c r="AD237">
        <v>4.2574180334922396</v>
      </c>
      <c r="AE237">
        <v>-1.8581966507759701E-2</v>
      </c>
      <c r="AH237" s="1">
        <v>40330</v>
      </c>
      <c r="AI237" s="1">
        <v>40360</v>
      </c>
      <c r="AJ237" s="1">
        <v>40391</v>
      </c>
      <c r="AK237">
        <v>4.6359999999999904</v>
      </c>
      <c r="AL237">
        <v>8.6900654443682196E-3</v>
      </c>
      <c r="AM237">
        <v>4.6446900654443599</v>
      </c>
      <c r="AP237" s="1">
        <v>40269</v>
      </c>
      <c r="AQ237" s="1">
        <v>40299</v>
      </c>
      <c r="AR237" s="1">
        <v>40330</v>
      </c>
      <c r="AS237">
        <v>5.0149999999999997</v>
      </c>
      <c r="AT237">
        <v>6.05460358409061E-2</v>
      </c>
      <c r="AU237">
        <v>5.0755460358409001</v>
      </c>
    </row>
    <row r="238" spans="1:47" x14ac:dyDescent="0.25">
      <c r="A238" s="1">
        <v>40299</v>
      </c>
      <c r="B238">
        <v>5.1295550340588196</v>
      </c>
      <c r="C238">
        <v>24512029575</v>
      </c>
      <c r="D238">
        <v>5.1286187344711802</v>
      </c>
      <c r="E238">
        <v>21277107346</v>
      </c>
      <c r="F238">
        <v>5.0888956941328498</v>
      </c>
      <c r="G238">
        <v>37009914577</v>
      </c>
      <c r="H238">
        <v>5.1291199582270002</v>
      </c>
      <c r="I238">
        <v>5.0888956941328498</v>
      </c>
      <c r="J238">
        <v>-4.0224264094149302E-2</v>
      </c>
      <c r="W238" s="1">
        <v>40452</v>
      </c>
      <c r="X238">
        <v>-3.3911314436333898E-2</v>
      </c>
      <c r="Y238">
        <v>-3.1430051730538901E-2</v>
      </c>
      <c r="AB238" s="1">
        <v>40452</v>
      </c>
      <c r="AC238">
        <v>4.1749999999999998</v>
      </c>
      <c r="AD238">
        <v>4.1410886855636599</v>
      </c>
      <c r="AE238">
        <v>-3.3911314436333898E-2</v>
      </c>
      <c r="AH238" s="1">
        <v>40360</v>
      </c>
      <c r="AI238" s="1">
        <v>40391</v>
      </c>
      <c r="AJ238" s="1">
        <v>40422</v>
      </c>
      <c r="AK238">
        <v>4.4849999999999897</v>
      </c>
      <c r="AL238">
        <v>-2.53926637321291E-2</v>
      </c>
      <c r="AM238">
        <v>4.4596073362678696</v>
      </c>
      <c r="AP238" s="1">
        <v>40299</v>
      </c>
      <c r="AQ238" s="1">
        <v>40330</v>
      </c>
      <c r="AR238" s="1">
        <v>40360</v>
      </c>
      <c r="AS238">
        <v>4.8125</v>
      </c>
      <c r="AT238">
        <v>-4.0224264094149302E-2</v>
      </c>
      <c r="AU238">
        <v>4.7722757359058496</v>
      </c>
    </row>
    <row r="239" spans="1:47" x14ac:dyDescent="0.25">
      <c r="A239" s="1">
        <v>40330</v>
      </c>
      <c r="B239">
        <v>5.1755102946264797</v>
      </c>
      <c r="C239">
        <v>22964289073</v>
      </c>
      <c r="D239">
        <v>5.2327081288618302</v>
      </c>
      <c r="E239">
        <v>12370834827</v>
      </c>
      <c r="F239">
        <v>5.2012836938468503</v>
      </c>
      <c r="G239">
        <v>18978927857</v>
      </c>
      <c r="H239">
        <v>5.1955352692605103</v>
      </c>
      <c r="I239">
        <v>5.2012836938468503</v>
      </c>
      <c r="J239">
        <v>5.7484245863478698E-3</v>
      </c>
      <c r="W239" s="1">
        <v>40483</v>
      </c>
      <c r="X239">
        <v>-3.4906228820008697E-2</v>
      </c>
      <c r="Y239">
        <v>-4.6193750396198101E-2</v>
      </c>
      <c r="AB239" s="1">
        <v>40483</v>
      </c>
      <c r="AC239">
        <v>4.2562499999999996</v>
      </c>
      <c r="AD239">
        <v>4.2213437711799902</v>
      </c>
      <c r="AE239">
        <v>-3.4906228820008697E-2</v>
      </c>
      <c r="AH239" s="1">
        <v>40391</v>
      </c>
      <c r="AI239" s="1">
        <v>40422</v>
      </c>
      <c r="AJ239" s="1">
        <v>40452</v>
      </c>
      <c r="AK239">
        <v>4.3525</v>
      </c>
      <c r="AL239">
        <v>-3.1534105896979199E-2</v>
      </c>
      <c r="AM239">
        <v>4.3209658941030202</v>
      </c>
      <c r="AP239" s="1">
        <v>40330</v>
      </c>
      <c r="AQ239" s="1">
        <v>40360</v>
      </c>
      <c r="AR239" s="1">
        <v>40391</v>
      </c>
      <c r="AS239">
        <v>4.6359999999999904</v>
      </c>
      <c r="AT239">
        <v>5.7484245863478698E-3</v>
      </c>
      <c r="AU239">
        <v>4.6417484245863401</v>
      </c>
    </row>
    <row r="240" spans="1:47" x14ac:dyDescent="0.25">
      <c r="A240" s="1">
        <v>40360</v>
      </c>
      <c r="B240">
        <v>5.0125308299015803</v>
      </c>
      <c r="C240">
        <v>24650140237</v>
      </c>
      <c r="D240">
        <v>5.01210735640983</v>
      </c>
      <c r="E240">
        <v>21500597193</v>
      </c>
      <c r="F240">
        <v>4.9706313913769602</v>
      </c>
      <c r="G240">
        <v>38706050449</v>
      </c>
      <c r="H240">
        <v>5.0123335430655498</v>
      </c>
      <c r="I240">
        <v>4.9706313913769602</v>
      </c>
      <c r="J240">
        <v>-4.1702151688586001E-2</v>
      </c>
      <c r="W240" s="1">
        <v>40513</v>
      </c>
      <c r="X240">
        <v>-3.8877301944475501E-2</v>
      </c>
      <c r="Y240">
        <v>-1.8078014160452901E-2</v>
      </c>
      <c r="AB240" s="1">
        <v>40513</v>
      </c>
      <c r="AC240">
        <v>4.6489999999999903</v>
      </c>
      <c r="AD240">
        <v>4.6101226980555197</v>
      </c>
      <c r="AE240">
        <v>-3.8877301944475501E-2</v>
      </c>
      <c r="AH240" s="1">
        <v>40422</v>
      </c>
      <c r="AI240" s="1">
        <v>40452</v>
      </c>
      <c r="AJ240" s="1">
        <v>40483</v>
      </c>
      <c r="AK240">
        <v>4.2759999999999998</v>
      </c>
      <c r="AL240">
        <v>-4.5853998459887697E-2</v>
      </c>
      <c r="AM240">
        <v>4.2301460015401098</v>
      </c>
      <c r="AP240" s="1">
        <v>40360</v>
      </c>
      <c r="AQ240" s="1">
        <v>40391</v>
      </c>
      <c r="AR240" s="1">
        <v>40422</v>
      </c>
      <c r="AS240">
        <v>4.4849999999999897</v>
      </c>
      <c r="AT240">
        <v>-4.1702151688586001E-2</v>
      </c>
      <c r="AU240">
        <v>4.4432978483114098</v>
      </c>
    </row>
    <row r="241" spans="1:47" x14ac:dyDescent="0.25">
      <c r="A241" s="1">
        <v>40391</v>
      </c>
      <c r="B241">
        <v>4.8363268271330604</v>
      </c>
      <c r="C241">
        <v>29772484471</v>
      </c>
      <c r="D241">
        <v>4.9233746366320004</v>
      </c>
      <c r="E241">
        <v>20151287432</v>
      </c>
      <c r="F241">
        <v>4.8128143122589</v>
      </c>
      <c r="G241">
        <v>20882650713</v>
      </c>
      <c r="H241">
        <v>4.8714629028476004</v>
      </c>
      <c r="I241">
        <v>4.8128143122589</v>
      </c>
      <c r="J241">
        <v>-5.8648590588699603E-2</v>
      </c>
      <c r="W241" s="1">
        <v>40544</v>
      </c>
      <c r="X241">
        <v>-4.2786813939194798E-2</v>
      </c>
      <c r="Y241">
        <v>-6.5159223656901494E-2</v>
      </c>
      <c r="AB241" s="1">
        <v>40544</v>
      </c>
      <c r="AC241">
        <v>4.6987500000000004</v>
      </c>
      <c r="AD241">
        <v>4.6559631860608004</v>
      </c>
      <c r="AE241">
        <v>-4.2786813939194798E-2</v>
      </c>
      <c r="AH241" s="1">
        <v>40452</v>
      </c>
      <c r="AI241" s="1">
        <v>40483</v>
      </c>
      <c r="AJ241" s="1">
        <v>40513</v>
      </c>
      <c r="AK241">
        <v>4.1749999999999998</v>
      </c>
      <c r="AL241">
        <v>-4.2429965140538699E-2</v>
      </c>
      <c r="AM241">
        <v>4.1325700348594596</v>
      </c>
      <c r="AP241" s="1">
        <v>40391</v>
      </c>
      <c r="AQ241" s="1">
        <v>40422</v>
      </c>
      <c r="AR241" s="1">
        <v>40452</v>
      </c>
      <c r="AS241">
        <v>4.3525</v>
      </c>
      <c r="AT241">
        <v>-5.8648590588699603E-2</v>
      </c>
      <c r="AU241">
        <v>4.2938514094112996</v>
      </c>
    </row>
    <row r="242" spans="1:47" x14ac:dyDescent="0.25">
      <c r="A242" s="1">
        <v>40422</v>
      </c>
      <c r="B242">
        <v>4.6589853188040804</v>
      </c>
      <c r="C242">
        <v>41998437698</v>
      </c>
      <c r="D242">
        <v>4.7104146570896104</v>
      </c>
      <c r="E242">
        <v>21367597424</v>
      </c>
      <c r="F242">
        <v>4.6391165015058702</v>
      </c>
      <c r="G242">
        <v>23421790787</v>
      </c>
      <c r="H242">
        <v>4.6763277546082502</v>
      </c>
      <c r="I242">
        <v>4.6391165015058702</v>
      </c>
      <c r="J242">
        <v>-3.7211253102377502E-2</v>
      </c>
      <c r="W242" s="1">
        <v>40575</v>
      </c>
      <c r="X242">
        <v>-4.9786631242340597E-2</v>
      </c>
      <c r="Y242">
        <v>-0.10064749440757401</v>
      </c>
      <c r="AB242" s="1">
        <v>40575</v>
      </c>
      <c r="AC242">
        <v>4.8775000000000004</v>
      </c>
      <c r="AD242">
        <v>4.8277133687576601</v>
      </c>
      <c r="AE242">
        <v>-4.9786631242340597E-2</v>
      </c>
      <c r="AH242" s="1">
        <v>40483</v>
      </c>
      <c r="AI242" s="1">
        <v>40513</v>
      </c>
      <c r="AJ242" s="1">
        <v>40544</v>
      </c>
      <c r="AK242">
        <v>4.2562499999999996</v>
      </c>
      <c r="AL242">
        <v>-3.8278351743038203E-2</v>
      </c>
      <c r="AM242">
        <v>4.2179716482569596</v>
      </c>
      <c r="AP242" s="1">
        <v>40422</v>
      </c>
      <c r="AQ242" s="1">
        <v>40452</v>
      </c>
      <c r="AR242" s="1">
        <v>40483</v>
      </c>
      <c r="AS242">
        <v>4.2759999999999998</v>
      </c>
      <c r="AT242">
        <v>-3.7211253102377502E-2</v>
      </c>
      <c r="AU242">
        <v>4.2387887468976198</v>
      </c>
    </row>
    <row r="243" spans="1:47" x14ac:dyDescent="0.25">
      <c r="A243" s="1">
        <v>40452</v>
      </c>
      <c r="B243">
        <v>4.5606879391985302</v>
      </c>
      <c r="C243">
        <v>38707461076</v>
      </c>
      <c r="D243">
        <v>4.5957828955630502</v>
      </c>
      <c r="E243">
        <v>20544896681</v>
      </c>
      <c r="F243">
        <v>4.5414265551772202</v>
      </c>
      <c r="G243">
        <v>26296464959</v>
      </c>
      <c r="H243">
        <v>4.5728566069077603</v>
      </c>
      <c r="I243">
        <v>4.5414265551772202</v>
      </c>
      <c r="J243">
        <v>-3.1430051730538901E-2</v>
      </c>
      <c r="W243" s="1">
        <v>40603</v>
      </c>
      <c r="X243">
        <v>-7.5962180689932796E-2</v>
      </c>
      <c r="Y243">
        <v>-0.19426454978793001</v>
      </c>
      <c r="AB243" s="1">
        <v>40603</v>
      </c>
      <c r="AC243">
        <v>4.7610000000000001</v>
      </c>
      <c r="AD243">
        <v>4.6850378193100601</v>
      </c>
      <c r="AE243">
        <v>-7.5962180689932796E-2</v>
      </c>
      <c r="AH243" s="1">
        <v>40513</v>
      </c>
      <c r="AI243" s="1">
        <v>40544</v>
      </c>
      <c r="AJ243" s="1">
        <v>40575</v>
      </c>
      <c r="AK243">
        <v>4.6489999999999903</v>
      </c>
      <c r="AL243">
        <v>-3.1900605429063297E-2</v>
      </c>
      <c r="AM243">
        <v>4.6170993945709302</v>
      </c>
      <c r="AP243" s="1">
        <v>40452</v>
      </c>
      <c r="AQ243" s="1">
        <v>40483</v>
      </c>
      <c r="AR243" s="1">
        <v>40513</v>
      </c>
      <c r="AS243">
        <v>4.1749999999999998</v>
      </c>
      <c r="AT243">
        <v>-3.1430051730538901E-2</v>
      </c>
      <c r="AU243">
        <v>4.1435699482694597</v>
      </c>
    </row>
    <row r="244" spans="1:47" x14ac:dyDescent="0.25">
      <c r="A244" s="1">
        <v>40483</v>
      </c>
      <c r="B244">
        <v>4.5168645652520798</v>
      </c>
      <c r="C244">
        <v>38945531640</v>
      </c>
      <c r="D244">
        <v>4.5178110150696202</v>
      </c>
      <c r="E244">
        <v>27229638785</v>
      </c>
      <c r="F244">
        <v>4.47106025830566</v>
      </c>
      <c r="G244">
        <v>27686981449</v>
      </c>
      <c r="H244">
        <v>4.5172540087018502</v>
      </c>
      <c r="I244">
        <v>4.47106025830566</v>
      </c>
      <c r="J244">
        <v>-4.6193750396198101E-2</v>
      </c>
      <c r="W244" s="1">
        <v>40634</v>
      </c>
      <c r="X244">
        <v>-9.5794385604342197E-2</v>
      </c>
      <c r="Y244">
        <v>-0.150423281216995</v>
      </c>
      <c r="AB244" s="1">
        <v>40634</v>
      </c>
      <c r="AC244">
        <v>4.75875</v>
      </c>
      <c r="AD244">
        <v>4.6629556143956501</v>
      </c>
      <c r="AE244">
        <v>-9.5794385604342197E-2</v>
      </c>
      <c r="AH244" s="1">
        <v>40544</v>
      </c>
      <c r="AI244" s="1">
        <v>40575</v>
      </c>
      <c r="AJ244" s="1">
        <v>40603</v>
      </c>
      <c r="AK244">
        <v>4.6987500000000004</v>
      </c>
      <c r="AL244">
        <v>-4.3143662737850801E-2</v>
      </c>
      <c r="AM244">
        <v>4.6556063372621503</v>
      </c>
      <c r="AP244" s="1">
        <v>40483</v>
      </c>
      <c r="AQ244" s="1">
        <v>40513</v>
      </c>
      <c r="AR244" s="1">
        <v>40544</v>
      </c>
      <c r="AS244">
        <v>4.2562499999999996</v>
      </c>
      <c r="AT244">
        <v>-4.6193750396198101E-2</v>
      </c>
      <c r="AU244">
        <v>4.2100562496037996</v>
      </c>
    </row>
    <row r="245" spans="1:47" x14ac:dyDescent="0.25">
      <c r="A245" s="1">
        <v>40513</v>
      </c>
      <c r="B245">
        <v>4.4135051341117597</v>
      </c>
      <c r="C245">
        <v>40404849850</v>
      </c>
      <c r="D245">
        <v>4.4408216243034104</v>
      </c>
      <c r="E245">
        <v>20771744980</v>
      </c>
      <c r="F245">
        <v>4.40470209136131</v>
      </c>
      <c r="G245">
        <v>25422193742</v>
      </c>
      <c r="H245">
        <v>4.4227801055217704</v>
      </c>
      <c r="I245">
        <v>4.40470209136131</v>
      </c>
      <c r="J245">
        <v>-1.8078014160452901E-2</v>
      </c>
      <c r="W245" s="1">
        <v>40664</v>
      </c>
      <c r="X245">
        <v>-0.124198214235881</v>
      </c>
      <c r="Y245">
        <v>-0.21661672218543501</v>
      </c>
      <c r="AB245" s="1">
        <v>40664</v>
      </c>
      <c r="AC245">
        <v>4.5625</v>
      </c>
      <c r="AD245">
        <v>4.4383017857641098</v>
      </c>
      <c r="AE245">
        <v>-0.124198214235881</v>
      </c>
      <c r="AH245" s="1">
        <v>40575</v>
      </c>
      <c r="AI245" s="1">
        <v>40603</v>
      </c>
      <c r="AJ245" s="1">
        <v>40634</v>
      </c>
      <c r="AK245">
        <v>4.8775000000000004</v>
      </c>
      <c r="AL245">
        <v>-6.1294910741643102E-2</v>
      </c>
      <c r="AM245">
        <v>4.8162050892583501</v>
      </c>
      <c r="AP245" s="1">
        <v>40513</v>
      </c>
      <c r="AQ245" s="1">
        <v>40544</v>
      </c>
      <c r="AR245" s="1">
        <v>40575</v>
      </c>
      <c r="AS245">
        <v>4.6489999999999903</v>
      </c>
      <c r="AT245">
        <v>-1.8078014160452901E-2</v>
      </c>
      <c r="AU245">
        <v>4.6309219858395396</v>
      </c>
    </row>
    <row r="246" spans="1:47" x14ac:dyDescent="0.25">
      <c r="A246" s="1">
        <v>40544</v>
      </c>
      <c r="B246">
        <v>4.4993628766749598</v>
      </c>
      <c r="C246">
        <v>36732807261</v>
      </c>
      <c r="D246">
        <v>4.47312075457386</v>
      </c>
      <c r="E246">
        <v>24343844981</v>
      </c>
      <c r="F246">
        <v>4.4237441054012301</v>
      </c>
      <c r="G246">
        <v>34475983974</v>
      </c>
      <c r="H246">
        <v>4.4889033290581297</v>
      </c>
      <c r="I246">
        <v>4.4237441054012301</v>
      </c>
      <c r="J246">
        <v>-6.5159223656901494E-2</v>
      </c>
      <c r="W246" s="1">
        <v>40695</v>
      </c>
      <c r="X246">
        <v>-0.15218130735707799</v>
      </c>
      <c r="Y246">
        <v>-0.185976572887635</v>
      </c>
      <c r="AB246" s="1">
        <v>40695</v>
      </c>
      <c r="AC246">
        <v>4.4349999999999996</v>
      </c>
      <c r="AD246">
        <v>4.2828186926429197</v>
      </c>
      <c r="AE246">
        <v>-0.15218130735707799</v>
      </c>
      <c r="AH246" s="1">
        <v>40603</v>
      </c>
      <c r="AI246" s="1">
        <v>40634</v>
      </c>
      <c r="AJ246" s="1">
        <v>40664</v>
      </c>
      <c r="AK246">
        <v>4.7610000000000001</v>
      </c>
      <c r="AL246">
        <v>-0.120023755950802</v>
      </c>
      <c r="AM246">
        <v>4.64097624404919</v>
      </c>
      <c r="AP246" s="1">
        <v>40544</v>
      </c>
      <c r="AQ246" s="1">
        <v>40575</v>
      </c>
      <c r="AR246" s="1">
        <v>40603</v>
      </c>
      <c r="AS246">
        <v>4.6987500000000004</v>
      </c>
      <c r="AT246">
        <v>-6.5159223656901494E-2</v>
      </c>
      <c r="AU246">
        <v>4.6335907763430901</v>
      </c>
    </row>
    <row r="247" spans="1:47" x14ac:dyDescent="0.25">
      <c r="A247" s="1">
        <v>40575</v>
      </c>
      <c r="B247">
        <v>4.7769503784640497</v>
      </c>
      <c r="C247">
        <v>25679807080</v>
      </c>
      <c r="D247">
        <v>4.8251205146610703</v>
      </c>
      <c r="E247">
        <v>16508577730</v>
      </c>
      <c r="F247">
        <v>4.6951521583592202</v>
      </c>
      <c r="G247">
        <v>17457329841</v>
      </c>
      <c r="H247">
        <v>4.7957996527667897</v>
      </c>
      <c r="I247">
        <v>4.6951521583592202</v>
      </c>
      <c r="J247">
        <v>-0.10064749440757401</v>
      </c>
      <c r="W247" s="1">
        <v>40725</v>
      </c>
      <c r="X247">
        <v>-0.17682042249548899</v>
      </c>
      <c r="Y247">
        <v>-0.21299391448736499</v>
      </c>
      <c r="AB247" s="1">
        <v>40725</v>
      </c>
      <c r="AC247">
        <v>4.4762499999999896</v>
      </c>
      <c r="AD247">
        <v>4.2994295775045099</v>
      </c>
      <c r="AE247">
        <v>-0.17682042249548899</v>
      </c>
      <c r="AH247" s="1">
        <v>40634</v>
      </c>
      <c r="AI247" s="1">
        <v>40664</v>
      </c>
      <c r="AJ247" s="1">
        <v>40695</v>
      </c>
      <c r="AK247">
        <v>4.75875</v>
      </c>
      <c r="AL247">
        <v>-0.148445108470833</v>
      </c>
      <c r="AM247">
        <v>4.61030489152916</v>
      </c>
      <c r="AP247" s="1">
        <v>40575</v>
      </c>
      <c r="AQ247" s="1">
        <v>40603</v>
      </c>
      <c r="AR247" s="1">
        <v>40634</v>
      </c>
      <c r="AS247">
        <v>4.8775000000000004</v>
      </c>
      <c r="AT247">
        <v>-0.10064749440757401</v>
      </c>
      <c r="AU247">
        <v>4.7768525055924203</v>
      </c>
    </row>
    <row r="248" spans="1:47" x14ac:dyDescent="0.25">
      <c r="A248" s="1">
        <v>40603</v>
      </c>
      <c r="B248">
        <v>4.9323543919209998</v>
      </c>
      <c r="C248">
        <v>18786686178</v>
      </c>
      <c r="D248">
        <v>4.9187951933266802</v>
      </c>
      <c r="E248">
        <v>9178100433</v>
      </c>
      <c r="F248">
        <v>4.7336396852904397</v>
      </c>
      <c r="G248">
        <v>4945098695</v>
      </c>
      <c r="H248">
        <v>4.9279042350783699</v>
      </c>
      <c r="I248">
        <v>4.7336396852904397</v>
      </c>
      <c r="J248">
        <v>-0.19426454978793001</v>
      </c>
      <c r="W248" s="1">
        <v>40756</v>
      </c>
      <c r="X248">
        <v>-0.20977165859049901</v>
      </c>
      <c r="Y248">
        <v>-0.298354910977632</v>
      </c>
      <c r="AB248" s="1">
        <v>40756</v>
      </c>
      <c r="AC248">
        <v>4.1900000000000004</v>
      </c>
      <c r="AD248">
        <v>3.9802283414095001</v>
      </c>
      <c r="AE248">
        <v>-0.20977165859049901</v>
      </c>
      <c r="AH248" s="1">
        <v>40664</v>
      </c>
      <c r="AI248" s="1">
        <v>40695</v>
      </c>
      <c r="AJ248" s="1">
        <v>40725</v>
      </c>
      <c r="AK248">
        <v>4.5625</v>
      </c>
      <c r="AL248">
        <v>-0.18710151773011999</v>
      </c>
      <c r="AM248">
        <v>4.3753984822698797</v>
      </c>
      <c r="AP248" s="1">
        <v>40603</v>
      </c>
      <c r="AQ248" s="1">
        <v>40634</v>
      </c>
      <c r="AR248" s="1">
        <v>40664</v>
      </c>
      <c r="AS248">
        <v>4.7610000000000001</v>
      </c>
      <c r="AT248">
        <v>-0.19426454978793001</v>
      </c>
      <c r="AU248">
        <v>4.5667354502120698</v>
      </c>
    </row>
    <row r="249" spans="1:47" x14ac:dyDescent="0.25">
      <c r="A249" s="1">
        <v>40634</v>
      </c>
      <c r="B249">
        <v>5.0870296880992001</v>
      </c>
      <c r="C249">
        <v>20424580292</v>
      </c>
      <c r="D249">
        <v>5.0554043307060299</v>
      </c>
      <c r="E249">
        <v>10216747574</v>
      </c>
      <c r="F249">
        <v>4.9260615540339003</v>
      </c>
      <c r="G249">
        <v>6409001603</v>
      </c>
      <c r="H249">
        <v>5.0764848352509002</v>
      </c>
      <c r="I249">
        <v>4.9260615540339003</v>
      </c>
      <c r="J249">
        <v>-0.150423281216995</v>
      </c>
      <c r="W249" s="1">
        <v>40787</v>
      </c>
      <c r="X249">
        <v>-0.231187591913284</v>
      </c>
      <c r="Y249">
        <v>-0.32276014972464001</v>
      </c>
      <c r="AB249" s="1">
        <v>40787</v>
      </c>
      <c r="AC249">
        <v>4.0025000000000004</v>
      </c>
      <c r="AD249">
        <v>3.7713124080867102</v>
      </c>
      <c r="AE249">
        <v>-0.231187591913284</v>
      </c>
      <c r="AH249" s="1">
        <v>40695</v>
      </c>
      <c r="AI249" s="1">
        <v>40725</v>
      </c>
      <c r="AJ249" s="1">
        <v>40756</v>
      </c>
      <c r="AK249">
        <v>4.4349999999999996</v>
      </c>
      <c r="AL249">
        <v>-0.18433885876335501</v>
      </c>
      <c r="AM249">
        <v>4.2506611412366402</v>
      </c>
      <c r="AP249" s="1">
        <v>40634</v>
      </c>
      <c r="AQ249" s="1">
        <v>40664</v>
      </c>
      <c r="AR249" s="1">
        <v>40695</v>
      </c>
      <c r="AS249">
        <v>4.75875</v>
      </c>
      <c r="AT249">
        <v>-0.150423281216995</v>
      </c>
      <c r="AU249">
        <v>4.6083267187830002</v>
      </c>
    </row>
    <row r="250" spans="1:47" x14ac:dyDescent="0.25">
      <c r="A250" s="1">
        <v>40664</v>
      </c>
      <c r="B250">
        <v>5.0784531769526504</v>
      </c>
      <c r="C250">
        <v>16559298049</v>
      </c>
      <c r="D250">
        <v>5.0107829268378099</v>
      </c>
      <c r="E250">
        <v>10370759869</v>
      </c>
      <c r="F250">
        <v>4.8357766551057004</v>
      </c>
      <c r="G250">
        <v>17067892257</v>
      </c>
      <c r="H250">
        <v>5.0523933772911302</v>
      </c>
      <c r="I250">
        <v>4.8357766551057004</v>
      </c>
      <c r="J250">
        <v>-0.21661672218543501</v>
      </c>
      <c r="W250" s="1">
        <v>40817</v>
      </c>
      <c r="X250">
        <v>-0.24202025013886699</v>
      </c>
      <c r="Y250">
        <v>-0.215419230570494</v>
      </c>
      <c r="AB250" s="1">
        <v>40817</v>
      </c>
      <c r="AC250">
        <v>4.0175000000000001</v>
      </c>
      <c r="AD250">
        <v>3.7754797498611299</v>
      </c>
      <c r="AE250">
        <v>-0.24202025013886699</v>
      </c>
      <c r="AH250" s="1">
        <v>40725</v>
      </c>
      <c r="AI250" s="1">
        <v>40756</v>
      </c>
      <c r="AJ250" s="1">
        <v>40787</v>
      </c>
      <c r="AK250">
        <v>4.4762499999999896</v>
      </c>
      <c r="AL250">
        <v>-0.205195736520145</v>
      </c>
      <c r="AM250">
        <v>4.2710542634798498</v>
      </c>
      <c r="AP250" s="1">
        <v>40664</v>
      </c>
      <c r="AQ250" s="1">
        <v>40695</v>
      </c>
      <c r="AR250" s="1">
        <v>40725</v>
      </c>
      <c r="AS250">
        <v>4.5625</v>
      </c>
      <c r="AT250">
        <v>-0.21661672218543501</v>
      </c>
      <c r="AU250">
        <v>4.3458832778145604</v>
      </c>
    </row>
    <row r="251" spans="1:47" x14ac:dyDescent="0.25">
      <c r="A251" s="1">
        <v>40695</v>
      </c>
      <c r="B251">
        <v>5.0451286302375697</v>
      </c>
      <c r="C251">
        <v>15219291139</v>
      </c>
      <c r="D251">
        <v>4.9842791945236797</v>
      </c>
      <c r="E251">
        <v>7831795055</v>
      </c>
      <c r="F251">
        <v>4.8384779639162101</v>
      </c>
      <c r="G251">
        <v>6058266107</v>
      </c>
      <c r="H251">
        <v>5.0244545368038498</v>
      </c>
      <c r="I251">
        <v>4.8384779639162101</v>
      </c>
      <c r="J251">
        <v>-0.185976572887635</v>
      </c>
      <c r="W251" s="1">
        <v>40848</v>
      </c>
      <c r="X251">
        <v>-0.23677527378272301</v>
      </c>
      <c r="Y251">
        <v>-0.185146864048573</v>
      </c>
      <c r="AB251" s="1">
        <v>40848</v>
      </c>
      <c r="AC251">
        <v>3.919</v>
      </c>
      <c r="AD251">
        <v>3.68222472621727</v>
      </c>
      <c r="AE251">
        <v>-0.23677527378272301</v>
      </c>
      <c r="AH251" s="1">
        <v>40756</v>
      </c>
      <c r="AI251" s="1">
        <v>40787</v>
      </c>
      <c r="AJ251" s="1">
        <v>40817</v>
      </c>
      <c r="AK251">
        <v>4.1900000000000004</v>
      </c>
      <c r="AL251">
        <v>-0.23244179945087701</v>
      </c>
      <c r="AM251">
        <v>3.9575582005491201</v>
      </c>
      <c r="AP251" s="1">
        <v>40695</v>
      </c>
      <c r="AQ251" s="1">
        <v>40725</v>
      </c>
      <c r="AR251" s="1">
        <v>40756</v>
      </c>
      <c r="AS251">
        <v>4.4349999999999996</v>
      </c>
      <c r="AT251">
        <v>-0.185976572887635</v>
      </c>
      <c r="AU251">
        <v>4.2490234271123599</v>
      </c>
    </row>
    <row r="252" spans="1:47" x14ac:dyDescent="0.25">
      <c r="A252" s="1">
        <v>40725</v>
      </c>
      <c r="B252">
        <v>4.8761875660669798</v>
      </c>
      <c r="C252">
        <v>19424280119</v>
      </c>
      <c r="D252">
        <v>4.7984382538460597</v>
      </c>
      <c r="E252">
        <v>13248084785</v>
      </c>
      <c r="F252">
        <v>4.6316676361441003</v>
      </c>
      <c r="G252">
        <v>6460076389</v>
      </c>
      <c r="H252">
        <v>4.8446615506314696</v>
      </c>
      <c r="I252">
        <v>4.6316676361441003</v>
      </c>
      <c r="J252">
        <v>-0.21299391448736499</v>
      </c>
      <c r="W252" s="1">
        <v>40878</v>
      </c>
      <c r="X252">
        <v>-0.23865282070758401</v>
      </c>
      <c r="Y252">
        <v>-0.19724185443680201</v>
      </c>
      <c r="AB252" s="1">
        <v>40878</v>
      </c>
      <c r="AC252">
        <v>3.8787500000000001</v>
      </c>
      <c r="AD252">
        <v>3.6400971792924102</v>
      </c>
      <c r="AE252">
        <v>-0.23865282070758401</v>
      </c>
      <c r="AH252" s="1">
        <v>40787</v>
      </c>
      <c r="AI252" s="1">
        <v>40817</v>
      </c>
      <c r="AJ252" s="1">
        <v>40848</v>
      </c>
      <c r="AK252">
        <v>4.0025000000000004</v>
      </c>
      <c r="AL252">
        <v>-0.27803632506321202</v>
      </c>
      <c r="AM252">
        <v>3.7244636749367799</v>
      </c>
      <c r="AP252" s="1">
        <v>40725</v>
      </c>
      <c r="AQ252" s="1">
        <v>40756</v>
      </c>
      <c r="AR252" s="1">
        <v>40787</v>
      </c>
      <c r="AS252">
        <v>4.4762499999999896</v>
      </c>
      <c r="AT252">
        <v>-0.21299391448736499</v>
      </c>
      <c r="AU252">
        <v>4.26325608551263</v>
      </c>
    </row>
    <row r="253" spans="1:47" x14ac:dyDescent="0.25">
      <c r="A253" s="1">
        <v>40756</v>
      </c>
      <c r="B253">
        <v>4.7689187862261502</v>
      </c>
      <c r="C253">
        <v>21245257576</v>
      </c>
      <c r="D253">
        <v>4.7378937267613903</v>
      </c>
      <c r="E253">
        <v>12052443916</v>
      </c>
      <c r="F253">
        <v>4.4593340373787997</v>
      </c>
      <c r="G253">
        <v>16650339354</v>
      </c>
      <c r="H253">
        <v>4.7576889483564297</v>
      </c>
      <c r="I253">
        <v>4.4593340373787997</v>
      </c>
      <c r="J253">
        <v>-0.298354910977632</v>
      </c>
      <c r="W253" s="1">
        <v>40909</v>
      </c>
      <c r="X253">
        <v>-0.229443876142926</v>
      </c>
      <c r="Y253">
        <v>-0.15774024709941201</v>
      </c>
      <c r="AB253" s="1">
        <v>40909</v>
      </c>
      <c r="AC253">
        <v>3.8525</v>
      </c>
      <c r="AD253">
        <v>3.62305612385707</v>
      </c>
      <c r="AE253">
        <v>-0.229443876142926</v>
      </c>
      <c r="AH253" s="1">
        <v>40817</v>
      </c>
      <c r="AI253" s="1">
        <v>40848</v>
      </c>
      <c r="AJ253" s="1">
        <v>40878</v>
      </c>
      <c r="AK253">
        <v>4.0175000000000001</v>
      </c>
      <c r="AL253">
        <v>-0.27884476375758899</v>
      </c>
      <c r="AM253">
        <v>3.7386552362424101</v>
      </c>
      <c r="AP253" s="1">
        <v>40756</v>
      </c>
      <c r="AQ253" s="1">
        <v>40787</v>
      </c>
      <c r="AR253" s="1">
        <v>40817</v>
      </c>
      <c r="AS253">
        <v>4.1900000000000004</v>
      </c>
      <c r="AT253">
        <v>-0.298354910977632</v>
      </c>
      <c r="AU253">
        <v>3.8916450890223602</v>
      </c>
    </row>
    <row r="254" spans="1:47" x14ac:dyDescent="0.25">
      <c r="A254" s="1">
        <v>40787</v>
      </c>
      <c r="B254">
        <v>4.6930925605762397</v>
      </c>
      <c r="C254">
        <v>18539774865</v>
      </c>
      <c r="D254">
        <v>4.6223446116310498</v>
      </c>
      <c r="E254">
        <v>11266621269</v>
      </c>
      <c r="F254">
        <v>4.3435901524873</v>
      </c>
      <c r="G254">
        <v>19150883753</v>
      </c>
      <c r="H254">
        <v>4.6663503022119501</v>
      </c>
      <c r="I254">
        <v>4.3435901524873</v>
      </c>
      <c r="J254">
        <v>-0.32276014972464001</v>
      </c>
      <c r="W254" s="1">
        <v>40940</v>
      </c>
      <c r="X254">
        <v>-0.21108524315046101</v>
      </c>
      <c r="Y254">
        <v>-0.18820311302284301</v>
      </c>
      <c r="AB254" s="1">
        <v>40940</v>
      </c>
      <c r="AC254">
        <v>3.8420000000000001</v>
      </c>
      <c r="AD254">
        <v>3.6309147568495299</v>
      </c>
      <c r="AE254">
        <v>-0.21108524315046101</v>
      </c>
      <c r="AH254" s="1">
        <v>40848</v>
      </c>
      <c r="AI254" s="1">
        <v>40878</v>
      </c>
      <c r="AJ254" s="1">
        <v>40909</v>
      </c>
      <c r="AK254">
        <v>3.919</v>
      </c>
      <c r="AL254">
        <v>-0.241108748114569</v>
      </c>
      <c r="AM254">
        <v>3.6778912518854301</v>
      </c>
      <c r="AP254" s="1">
        <v>40787</v>
      </c>
      <c r="AQ254" s="1">
        <v>40817</v>
      </c>
      <c r="AR254" s="1">
        <v>40848</v>
      </c>
      <c r="AS254">
        <v>4.0025000000000004</v>
      </c>
      <c r="AT254">
        <v>-0.32276014972464001</v>
      </c>
      <c r="AU254">
        <v>3.6797398502753502</v>
      </c>
    </row>
    <row r="255" spans="1:47" x14ac:dyDescent="0.25">
      <c r="A255" s="1">
        <v>40817</v>
      </c>
      <c r="B255">
        <v>4.44169383942761</v>
      </c>
      <c r="C255">
        <v>28105265407</v>
      </c>
      <c r="D255">
        <v>4.3189510984103601</v>
      </c>
      <c r="E255">
        <v>16610805191</v>
      </c>
      <c r="F255">
        <v>4.1806790157654001</v>
      </c>
      <c r="G255">
        <v>20261831950</v>
      </c>
      <c r="H255">
        <v>4.3960982463358897</v>
      </c>
      <c r="I255">
        <v>4.1806790157654001</v>
      </c>
      <c r="J255">
        <v>-0.215419230570494</v>
      </c>
      <c r="W255" s="1">
        <v>40969</v>
      </c>
      <c r="X255">
        <v>-0.19451020187621401</v>
      </c>
      <c r="Y255">
        <v>-0.22330990207916299</v>
      </c>
      <c r="AB255" s="1">
        <v>40969</v>
      </c>
      <c r="AC255">
        <v>3.9112499999999999</v>
      </c>
      <c r="AD255">
        <v>3.71673979812378</v>
      </c>
      <c r="AE255">
        <v>-0.19451020187621401</v>
      </c>
      <c r="AH255" s="1">
        <v>40878</v>
      </c>
      <c r="AI255" s="1">
        <v>40909</v>
      </c>
      <c r="AJ255" s="1">
        <v>40940</v>
      </c>
      <c r="AK255">
        <v>3.8787500000000001</v>
      </c>
      <c r="AL255">
        <v>-0.19926931635195599</v>
      </c>
      <c r="AM255">
        <v>3.6794806836480398</v>
      </c>
      <c r="AP255" s="1">
        <v>40817</v>
      </c>
      <c r="AQ255" s="1">
        <v>40848</v>
      </c>
      <c r="AR255" s="1">
        <v>40878</v>
      </c>
      <c r="AS255">
        <v>4.0175000000000001</v>
      </c>
      <c r="AT255">
        <v>-0.215419230570494</v>
      </c>
      <c r="AU255">
        <v>3.8020807694294998</v>
      </c>
    </row>
    <row r="256" spans="1:47" x14ac:dyDescent="0.25">
      <c r="A256" s="1">
        <v>40848</v>
      </c>
      <c r="B256">
        <v>4.2685787769918004</v>
      </c>
      <c r="C256">
        <v>37123470529</v>
      </c>
      <c r="D256">
        <v>4.2581304189797002</v>
      </c>
      <c r="E256">
        <v>8680576313</v>
      </c>
      <c r="F256">
        <v>4.0814517872704297</v>
      </c>
      <c r="G256">
        <v>22292428167</v>
      </c>
      <c r="H256">
        <v>4.2665986513190104</v>
      </c>
      <c r="I256">
        <v>4.0814517872704297</v>
      </c>
      <c r="J256">
        <v>-0.185146864048573</v>
      </c>
      <c r="W256" s="1">
        <v>41000</v>
      </c>
      <c r="X256">
        <v>-0.155942517910136</v>
      </c>
      <c r="Y256">
        <v>1.5986873225976701E-2</v>
      </c>
      <c r="AB256" s="1">
        <v>41000</v>
      </c>
      <c r="AC256">
        <v>3.8412500000000001</v>
      </c>
      <c r="AD256">
        <v>3.6853074820898599</v>
      </c>
      <c r="AE256">
        <v>-0.155942517910136</v>
      </c>
      <c r="AH256" s="1">
        <v>40909</v>
      </c>
      <c r="AI256" s="1">
        <v>40940</v>
      </c>
      <c r="AJ256" s="1">
        <v>40969</v>
      </c>
      <c r="AK256">
        <v>3.8525</v>
      </c>
      <c r="AL256">
        <v>-0.180042988528262</v>
      </c>
      <c r="AM256">
        <v>3.6724570114717299</v>
      </c>
      <c r="AP256" s="1">
        <v>40848</v>
      </c>
      <c r="AQ256" s="1">
        <v>40878</v>
      </c>
      <c r="AR256" s="1">
        <v>40909</v>
      </c>
      <c r="AS256">
        <v>3.919</v>
      </c>
      <c r="AT256">
        <v>-0.185146864048573</v>
      </c>
      <c r="AU256">
        <v>3.7338531359514202</v>
      </c>
    </row>
    <row r="257" spans="1:47" x14ac:dyDescent="0.25">
      <c r="A257" s="1">
        <v>40878</v>
      </c>
      <c r="B257">
        <v>4.2444469590021603</v>
      </c>
      <c r="C257">
        <v>38320381044</v>
      </c>
      <c r="D257">
        <v>4.28252696280284</v>
      </c>
      <c r="E257">
        <v>11561898322</v>
      </c>
      <c r="F257">
        <v>4.0560314280140997</v>
      </c>
      <c r="G257">
        <v>23342529552</v>
      </c>
      <c r="H257">
        <v>4.2532732824509001</v>
      </c>
      <c r="I257">
        <v>4.0560314280140997</v>
      </c>
      <c r="J257">
        <v>-0.19724185443680201</v>
      </c>
      <c r="W257" s="1">
        <v>41030</v>
      </c>
      <c r="X257">
        <v>-0.16846862948025901</v>
      </c>
      <c r="Y257">
        <v>-0.26030353346931401</v>
      </c>
      <c r="AB257" s="1">
        <v>41030</v>
      </c>
      <c r="AC257">
        <v>3.738</v>
      </c>
      <c r="AD257">
        <v>3.5695313705197398</v>
      </c>
      <c r="AE257">
        <v>-0.16846862948025901</v>
      </c>
      <c r="AH257" s="1">
        <v>40940</v>
      </c>
      <c r="AI257" s="1">
        <v>40969</v>
      </c>
      <c r="AJ257" s="1">
        <v>41000</v>
      </c>
      <c r="AK257">
        <v>3.8420000000000001</v>
      </c>
      <c r="AL257">
        <v>-0.18106173818635199</v>
      </c>
      <c r="AM257">
        <v>3.6609382618136399</v>
      </c>
      <c r="AP257" s="1">
        <v>40878</v>
      </c>
      <c r="AQ257" s="1">
        <v>40909</v>
      </c>
      <c r="AR257" s="1">
        <v>40940</v>
      </c>
      <c r="AS257">
        <v>3.8787500000000001</v>
      </c>
      <c r="AT257">
        <v>-0.19724185443680201</v>
      </c>
      <c r="AU257">
        <v>3.6815081455631899</v>
      </c>
    </row>
    <row r="258" spans="1:47" x14ac:dyDescent="0.25">
      <c r="A258" s="1">
        <v>40909</v>
      </c>
      <c r="B258">
        <v>4.2394306195370897</v>
      </c>
      <c r="C258">
        <v>30739064229</v>
      </c>
      <c r="D258">
        <v>4.1223123881784502</v>
      </c>
      <c r="E258">
        <v>21336962682</v>
      </c>
      <c r="F258">
        <v>4.0337038519576902</v>
      </c>
      <c r="G258">
        <v>21430187161</v>
      </c>
      <c r="H258">
        <v>4.1914440990571</v>
      </c>
      <c r="I258">
        <v>4.0337038519576902</v>
      </c>
      <c r="J258">
        <v>-0.15774024709941201</v>
      </c>
      <c r="W258" s="1">
        <v>41061</v>
      </c>
      <c r="X258">
        <v>-0.168485655762559</v>
      </c>
      <c r="Y258">
        <v>-0.19734401213060199</v>
      </c>
      <c r="AB258" s="1">
        <v>41061</v>
      </c>
      <c r="AC258">
        <v>3.6</v>
      </c>
      <c r="AD258">
        <v>3.4315143442374398</v>
      </c>
      <c r="AE258">
        <v>-0.168485655762559</v>
      </c>
      <c r="AH258" s="1">
        <v>40969</v>
      </c>
      <c r="AI258" s="1">
        <v>41000</v>
      </c>
      <c r="AJ258" s="1">
        <v>41030</v>
      </c>
      <c r="AK258">
        <v>3.9112499999999999</v>
      </c>
      <c r="AL258">
        <v>-0.189751087400473</v>
      </c>
      <c r="AM258">
        <v>3.7214989125995199</v>
      </c>
      <c r="AP258" s="1">
        <v>40909</v>
      </c>
      <c r="AQ258" s="1">
        <v>40940</v>
      </c>
      <c r="AR258" s="1">
        <v>40969</v>
      </c>
      <c r="AS258">
        <v>3.8525</v>
      </c>
      <c r="AT258">
        <v>-0.15774024709941201</v>
      </c>
      <c r="AU258">
        <v>3.69475975290058</v>
      </c>
    </row>
    <row r="259" spans="1:47" x14ac:dyDescent="0.25">
      <c r="A259" s="1">
        <v>40940</v>
      </c>
      <c r="B259">
        <v>4.1770890821889202</v>
      </c>
      <c r="C259">
        <v>36987745841</v>
      </c>
      <c r="D259">
        <v>4.1704495560920796</v>
      </c>
      <c r="E259">
        <v>9662669412</v>
      </c>
      <c r="F259">
        <v>3.9875107285518601</v>
      </c>
      <c r="G259">
        <v>22571149680</v>
      </c>
      <c r="H259">
        <v>4.1757138415746997</v>
      </c>
      <c r="I259">
        <v>3.9875107285518601</v>
      </c>
      <c r="J259">
        <v>-0.18820311302284301</v>
      </c>
      <c r="W259" s="1">
        <v>41091</v>
      </c>
      <c r="X259">
        <v>-0.17038317555309901</v>
      </c>
      <c r="Y259">
        <v>-0.16912536584264901</v>
      </c>
      <c r="AB259" s="1">
        <v>41091</v>
      </c>
      <c r="AC259">
        <v>3.4812500000000002</v>
      </c>
      <c r="AD259">
        <v>3.3108668244468999</v>
      </c>
      <c r="AE259">
        <v>-0.17038317555309901</v>
      </c>
      <c r="AH259" s="1">
        <v>41000</v>
      </c>
      <c r="AI259" s="1">
        <v>41030</v>
      </c>
      <c r="AJ259" s="1">
        <v>41061</v>
      </c>
      <c r="AK259">
        <v>3.8412500000000001</v>
      </c>
      <c r="AL259">
        <v>-0.13184204729200899</v>
      </c>
      <c r="AM259">
        <v>3.70940795270799</v>
      </c>
      <c r="AP259" s="1">
        <v>40940</v>
      </c>
      <c r="AQ259" s="1">
        <v>40969</v>
      </c>
      <c r="AR259" s="1">
        <v>41000</v>
      </c>
      <c r="AS259">
        <v>3.8420000000000001</v>
      </c>
      <c r="AT259">
        <v>-0.18820311302284301</v>
      </c>
      <c r="AU259">
        <v>3.6537968869771502</v>
      </c>
    </row>
    <row r="260" spans="1:47" x14ac:dyDescent="0.25">
      <c r="A260" s="1">
        <v>40969</v>
      </c>
      <c r="B260">
        <v>4.10646511183743</v>
      </c>
      <c r="C260">
        <v>35219606795</v>
      </c>
      <c r="D260">
        <v>4.0695444730474604</v>
      </c>
      <c r="E260">
        <v>14083112216</v>
      </c>
      <c r="F260">
        <v>3.8726089861504001</v>
      </c>
      <c r="G260">
        <v>23426615611</v>
      </c>
      <c r="H260">
        <v>4.0959188882295603</v>
      </c>
      <c r="I260">
        <v>3.8726089861504001</v>
      </c>
      <c r="J260">
        <v>-0.22330990207916299</v>
      </c>
      <c r="W260" s="1">
        <v>41122</v>
      </c>
      <c r="X260">
        <v>-0.163080422820336</v>
      </c>
      <c r="Y260">
        <v>-0.14438659662626799</v>
      </c>
      <c r="AB260" s="1">
        <v>41122</v>
      </c>
      <c r="AC260">
        <v>3.512</v>
      </c>
      <c r="AD260">
        <v>3.34891957717966</v>
      </c>
      <c r="AE260">
        <v>-0.163080422820336</v>
      </c>
      <c r="AH260" s="1">
        <v>41030</v>
      </c>
      <c r="AI260" s="1">
        <v>41061</v>
      </c>
      <c r="AJ260" s="1">
        <v>41091</v>
      </c>
      <c r="AK260">
        <v>3.738</v>
      </c>
      <c r="AL260">
        <v>-0.155875520774166</v>
      </c>
      <c r="AM260">
        <v>3.58212447922583</v>
      </c>
      <c r="AP260" s="1">
        <v>40969</v>
      </c>
      <c r="AQ260" s="1">
        <v>41000</v>
      </c>
      <c r="AR260" s="1">
        <v>41030</v>
      </c>
      <c r="AS260">
        <v>3.9112499999999999</v>
      </c>
      <c r="AT260">
        <v>-0.22330990207916299</v>
      </c>
      <c r="AU260">
        <v>3.6879400979208299</v>
      </c>
    </row>
    <row r="261" spans="1:47" x14ac:dyDescent="0.25">
      <c r="A261" s="1">
        <v>41000</v>
      </c>
      <c r="B261">
        <v>4.0982895912047903</v>
      </c>
      <c r="C261">
        <v>45642758941</v>
      </c>
      <c r="D261">
        <v>4.0801368057931802</v>
      </c>
      <c r="E261">
        <v>12910534480</v>
      </c>
      <c r="F261">
        <v>4.11027391994058</v>
      </c>
      <c r="G261">
        <v>9280928634</v>
      </c>
      <c r="H261">
        <v>4.0942870467145998</v>
      </c>
      <c r="I261">
        <v>4.11027391994058</v>
      </c>
      <c r="J261">
        <v>1.5986873225976701E-2</v>
      </c>
      <c r="W261" s="1">
        <v>41153</v>
      </c>
      <c r="X261">
        <v>-0.16276325521886401</v>
      </c>
      <c r="Y261">
        <v>-0.22140689647033099</v>
      </c>
      <c r="AB261" s="1">
        <v>41153</v>
      </c>
      <c r="AC261">
        <v>3.4037500000000001</v>
      </c>
      <c r="AD261">
        <v>3.24098674478113</v>
      </c>
      <c r="AE261">
        <v>-0.16276325521886401</v>
      </c>
      <c r="AH261" s="1">
        <v>41061</v>
      </c>
      <c r="AI261" s="1">
        <v>41091</v>
      </c>
      <c r="AJ261" s="1">
        <v>41122</v>
      </c>
      <c r="AK261">
        <v>3.6</v>
      </c>
      <c r="AL261">
        <v>-0.147220224124646</v>
      </c>
      <c r="AM261">
        <v>3.4527797758753498</v>
      </c>
      <c r="AP261" s="1">
        <v>41000</v>
      </c>
      <c r="AQ261" s="1">
        <v>41030</v>
      </c>
      <c r="AR261" s="1">
        <v>41061</v>
      </c>
      <c r="AS261">
        <v>3.8412500000000001</v>
      </c>
      <c r="AT261">
        <v>1.5986873225976701E-2</v>
      </c>
      <c r="AU261">
        <v>3.8572368732259701</v>
      </c>
    </row>
    <row r="262" spans="1:47" x14ac:dyDescent="0.25">
      <c r="A262" s="1">
        <v>41030</v>
      </c>
      <c r="B262">
        <v>4.1927418503885798</v>
      </c>
      <c r="C262">
        <v>29688813711</v>
      </c>
      <c r="D262">
        <v>4.1452391638346802</v>
      </c>
      <c r="E262">
        <v>11608843426</v>
      </c>
      <c r="F262">
        <v>3.9190852289053502</v>
      </c>
      <c r="G262">
        <v>27262852353</v>
      </c>
      <c r="H262">
        <v>4.1793887623746704</v>
      </c>
      <c r="I262">
        <v>3.9190852289053502</v>
      </c>
      <c r="J262">
        <v>-0.26030353346931401</v>
      </c>
      <c r="W262" s="1">
        <v>41183</v>
      </c>
      <c r="X262">
        <v>-0.17745956828823001</v>
      </c>
      <c r="Y262">
        <v>-7.2191005190214499E-2</v>
      </c>
      <c r="AB262" s="1">
        <v>41183</v>
      </c>
      <c r="AC262">
        <v>3.3039999999999998</v>
      </c>
      <c r="AD262">
        <v>3.1265404317117702</v>
      </c>
      <c r="AE262">
        <v>-0.17745956828823001</v>
      </c>
      <c r="AH262" s="1">
        <v>41091</v>
      </c>
      <c r="AI262" s="1">
        <v>41122</v>
      </c>
      <c r="AJ262" s="1">
        <v>41153</v>
      </c>
      <c r="AK262">
        <v>3.4812500000000002</v>
      </c>
      <c r="AL262">
        <v>-0.208924303814188</v>
      </c>
      <c r="AM262">
        <v>3.2723256961858098</v>
      </c>
      <c r="AP262" s="1">
        <v>41030</v>
      </c>
      <c r="AQ262" s="1">
        <v>41061</v>
      </c>
      <c r="AR262" s="1">
        <v>41091</v>
      </c>
      <c r="AS262">
        <v>3.738</v>
      </c>
      <c r="AT262">
        <v>-0.26030353346931401</v>
      </c>
      <c r="AU262">
        <v>3.4776964665306802</v>
      </c>
    </row>
    <row r="263" spans="1:47" x14ac:dyDescent="0.25">
      <c r="A263" s="1">
        <v>41061</v>
      </c>
      <c r="B263">
        <v>4.1241441151077201</v>
      </c>
      <c r="C263">
        <v>38395376845</v>
      </c>
      <c r="D263">
        <v>4.0530275346663798</v>
      </c>
      <c r="E263">
        <v>21825717140</v>
      </c>
      <c r="F263">
        <v>3.9010255733901298</v>
      </c>
      <c r="G263">
        <v>25646028527</v>
      </c>
      <c r="H263">
        <v>4.0983695855207403</v>
      </c>
      <c r="I263">
        <v>3.9010255733901298</v>
      </c>
      <c r="J263">
        <v>-0.19734401213060199</v>
      </c>
      <c r="W263" s="1">
        <v>41214</v>
      </c>
      <c r="X263">
        <v>-0.15213776270161</v>
      </c>
      <c r="Y263">
        <v>-0.108372699949596</v>
      </c>
      <c r="AB263" s="1">
        <v>41214</v>
      </c>
      <c r="AC263">
        <v>3.2737500000000002</v>
      </c>
      <c r="AD263">
        <v>3.1216122372983799</v>
      </c>
      <c r="AE263">
        <v>-0.15213776270161</v>
      </c>
      <c r="AH263" s="1">
        <v>41122</v>
      </c>
      <c r="AI263" s="1">
        <v>41153</v>
      </c>
      <c r="AJ263" s="1">
        <v>41183</v>
      </c>
      <c r="AK263">
        <v>3.512</v>
      </c>
      <c r="AL263">
        <v>-0.17028532486650599</v>
      </c>
      <c r="AM263">
        <v>3.3417146751334901</v>
      </c>
      <c r="AP263" s="1">
        <v>41061</v>
      </c>
      <c r="AQ263" s="1">
        <v>41091</v>
      </c>
      <c r="AR263" s="1">
        <v>41122</v>
      </c>
      <c r="AS263">
        <v>3.6</v>
      </c>
      <c r="AT263">
        <v>-0.19734401213060199</v>
      </c>
      <c r="AU263">
        <v>3.4026559878693901</v>
      </c>
    </row>
    <row r="264" spans="1:47" x14ac:dyDescent="0.25">
      <c r="A264" s="1">
        <v>41091</v>
      </c>
      <c r="B264">
        <v>3.9717457170544899</v>
      </c>
      <c r="C264">
        <v>40245039091</v>
      </c>
      <c r="D264">
        <v>3.9640054144325401</v>
      </c>
      <c r="E264">
        <v>16329119114</v>
      </c>
      <c r="F264">
        <v>3.80038625127112</v>
      </c>
      <c r="G264">
        <v>43638489683</v>
      </c>
      <c r="H264">
        <v>3.9695116171137701</v>
      </c>
      <c r="I264">
        <v>3.80038625127112</v>
      </c>
      <c r="J264">
        <v>-0.16912536584264901</v>
      </c>
      <c r="W264" s="1">
        <v>41244</v>
      </c>
      <c r="X264">
        <v>-0.14807287784729001</v>
      </c>
      <c r="Y264">
        <v>-0.17295470300468099</v>
      </c>
      <c r="AB264" s="1">
        <v>41244</v>
      </c>
      <c r="AC264">
        <v>3.27</v>
      </c>
      <c r="AD264">
        <v>3.1219271221527101</v>
      </c>
      <c r="AE264">
        <v>-0.14807287784729001</v>
      </c>
      <c r="AH264" s="1">
        <v>41153</v>
      </c>
      <c r="AI264" s="1">
        <v>41183</v>
      </c>
      <c r="AJ264" s="1">
        <v>41214</v>
      </c>
      <c r="AK264">
        <v>3.4037500000000001</v>
      </c>
      <c r="AL264">
        <v>-0.17830628631308201</v>
      </c>
      <c r="AM264">
        <v>3.2254437136869099</v>
      </c>
      <c r="AP264" s="1">
        <v>41091</v>
      </c>
      <c r="AQ264" s="1">
        <v>41122</v>
      </c>
      <c r="AR264" s="1">
        <v>41153</v>
      </c>
      <c r="AS264">
        <v>3.4812500000000002</v>
      </c>
      <c r="AT264">
        <v>-0.16912536584264901</v>
      </c>
      <c r="AU264">
        <v>3.31212463415735</v>
      </c>
    </row>
    <row r="265" spans="1:47" x14ac:dyDescent="0.25">
      <c r="A265" s="1">
        <v>41122</v>
      </c>
      <c r="B265">
        <v>3.8841842381452998</v>
      </c>
      <c r="C265">
        <v>40500216356</v>
      </c>
      <c r="D265">
        <v>3.8801747879005402</v>
      </c>
      <c r="E265">
        <v>19813001696</v>
      </c>
      <c r="F265">
        <v>3.7384805298299999</v>
      </c>
      <c r="G265">
        <v>29148407369</v>
      </c>
      <c r="H265">
        <v>3.88286712645627</v>
      </c>
      <c r="I265">
        <v>3.7384805298299999</v>
      </c>
      <c r="J265">
        <v>-0.14438659662626799</v>
      </c>
      <c r="W265" s="1">
        <v>41275</v>
      </c>
      <c r="X265">
        <v>-0.15761214757532699</v>
      </c>
      <c r="Y265">
        <v>-0.226360984210875</v>
      </c>
      <c r="AB265" s="1">
        <v>41275</v>
      </c>
      <c r="AC265">
        <v>3.339</v>
      </c>
      <c r="AD265">
        <v>3.1813878524246699</v>
      </c>
      <c r="AE265">
        <v>-0.15761214757532699</v>
      </c>
      <c r="AH265" s="1">
        <v>41183</v>
      </c>
      <c r="AI265" s="1">
        <v>41214</v>
      </c>
      <c r="AJ265" s="1">
        <v>41244</v>
      </c>
      <c r="AK265">
        <v>3.3039999999999998</v>
      </c>
      <c r="AL265">
        <v>-0.14599483276227099</v>
      </c>
      <c r="AM265">
        <v>3.1580051672377198</v>
      </c>
      <c r="AP265" s="1">
        <v>41122</v>
      </c>
      <c r="AQ265" s="1">
        <v>41153</v>
      </c>
      <c r="AR265" s="1">
        <v>41183</v>
      </c>
      <c r="AS265">
        <v>3.512</v>
      </c>
      <c r="AT265">
        <v>-0.14438659662626799</v>
      </c>
      <c r="AU265">
        <v>3.3676134033737299</v>
      </c>
    </row>
    <row r="266" spans="1:47" x14ac:dyDescent="0.25">
      <c r="A266" s="1">
        <v>41153</v>
      </c>
      <c r="B266">
        <v>3.7857122224476298</v>
      </c>
      <c r="C266">
        <v>46416440130</v>
      </c>
      <c r="D266">
        <v>3.7947930902749598</v>
      </c>
      <c r="E266">
        <v>19273174107</v>
      </c>
      <c r="F266">
        <v>3.5669696306579102</v>
      </c>
      <c r="G266">
        <v>39469413216</v>
      </c>
      <c r="H266">
        <v>3.7883765271282401</v>
      </c>
      <c r="I266">
        <v>3.5669696306579102</v>
      </c>
      <c r="J266">
        <v>-0.22140689647033099</v>
      </c>
      <c r="W266" s="1">
        <v>41306</v>
      </c>
      <c r="X266">
        <v>-0.16396484626469299</v>
      </c>
      <c r="Y266">
        <v>-0.18250278876246301</v>
      </c>
      <c r="AB266" s="1">
        <v>41306</v>
      </c>
      <c r="AC266">
        <v>3.4824999999999999</v>
      </c>
      <c r="AD266">
        <v>3.3185351537352998</v>
      </c>
      <c r="AE266">
        <v>-0.16396484626469299</v>
      </c>
      <c r="AH266" s="1">
        <v>41214</v>
      </c>
      <c r="AI266" s="1">
        <v>41244</v>
      </c>
      <c r="AJ266" s="1">
        <v>41275</v>
      </c>
      <c r="AK266">
        <v>3.2737500000000002</v>
      </c>
      <c r="AL266">
        <v>-0.13399020053671401</v>
      </c>
      <c r="AM266">
        <v>3.1397597994632802</v>
      </c>
      <c r="AP266" s="1">
        <v>41153</v>
      </c>
      <c r="AQ266" s="1">
        <v>41183</v>
      </c>
      <c r="AR266" s="1">
        <v>41214</v>
      </c>
      <c r="AS266">
        <v>3.4037500000000001</v>
      </c>
      <c r="AT266">
        <v>-0.22140689647033099</v>
      </c>
      <c r="AU266">
        <v>3.1823431035296599</v>
      </c>
    </row>
    <row r="267" spans="1:47" x14ac:dyDescent="0.25">
      <c r="A267" s="1">
        <v>41183</v>
      </c>
      <c r="B267">
        <v>3.75674012982899</v>
      </c>
      <c r="C267">
        <v>46335424249</v>
      </c>
      <c r="D267">
        <v>3.73873787897179</v>
      </c>
      <c r="E267">
        <v>31364003416</v>
      </c>
      <c r="F267">
        <v>3.6772823702449702</v>
      </c>
      <c r="G267">
        <v>6963663286</v>
      </c>
      <c r="H267">
        <v>3.7494733754351901</v>
      </c>
      <c r="I267">
        <v>3.6772823702449702</v>
      </c>
      <c r="J267">
        <v>-7.2191005190214499E-2</v>
      </c>
      <c r="W267" s="1">
        <v>41334</v>
      </c>
      <c r="X267">
        <v>-0.173073442683329</v>
      </c>
      <c r="Y267">
        <v>-0.27605847498214398</v>
      </c>
      <c r="AB267" s="1">
        <v>41334</v>
      </c>
      <c r="AC267">
        <v>3.50875</v>
      </c>
      <c r="AD267">
        <v>3.33567655731667</v>
      </c>
      <c r="AE267">
        <v>-0.173073442683329</v>
      </c>
      <c r="AH267" s="1">
        <v>41244</v>
      </c>
      <c r="AI267" s="1">
        <v>41275</v>
      </c>
      <c r="AJ267" s="1">
        <v>41306</v>
      </c>
      <c r="AK267">
        <v>3.27</v>
      </c>
      <c r="AL267">
        <v>-0.117839469381497</v>
      </c>
      <c r="AM267">
        <v>3.1521605306185001</v>
      </c>
      <c r="AP267" s="1">
        <v>41183</v>
      </c>
      <c r="AQ267" s="1">
        <v>41214</v>
      </c>
      <c r="AR267" s="1">
        <v>41244</v>
      </c>
      <c r="AS267">
        <v>3.3039999999999998</v>
      </c>
      <c r="AT267">
        <v>-7.2191005190214499E-2</v>
      </c>
      <c r="AU267">
        <v>3.2318089948097799</v>
      </c>
    </row>
    <row r="268" spans="1:47" x14ac:dyDescent="0.25">
      <c r="A268" s="1">
        <v>41214</v>
      </c>
      <c r="B268">
        <v>3.6738408694616198</v>
      </c>
      <c r="C268">
        <v>41520149342</v>
      </c>
      <c r="D268">
        <v>3.7548056853724101</v>
      </c>
      <c r="E268">
        <v>18672481506</v>
      </c>
      <c r="F268">
        <v>3.5905844338525701</v>
      </c>
      <c r="G268">
        <v>40488073947</v>
      </c>
      <c r="H268">
        <v>3.6989571338021601</v>
      </c>
      <c r="I268">
        <v>3.5905844338525701</v>
      </c>
      <c r="J268">
        <v>-0.108372699949596</v>
      </c>
      <c r="W268" s="1">
        <v>41365</v>
      </c>
      <c r="X268">
        <v>-0.17622646510550799</v>
      </c>
      <c r="Y268">
        <v>-9.1109139723287394E-2</v>
      </c>
      <c r="AB268" s="1">
        <v>41365</v>
      </c>
      <c r="AC268">
        <v>3.3887499999999999</v>
      </c>
      <c r="AD268">
        <v>3.2125235348944901</v>
      </c>
      <c r="AE268">
        <v>-0.17622646510550799</v>
      </c>
      <c r="AH268" s="1">
        <v>41275</v>
      </c>
      <c r="AI268" s="1">
        <v>41306</v>
      </c>
      <c r="AJ268" s="1">
        <v>41334</v>
      </c>
      <c r="AK268">
        <v>3.339</v>
      </c>
      <c r="AL268">
        <v>-0.16922946238838399</v>
      </c>
      <c r="AM268">
        <v>3.1697705376116101</v>
      </c>
      <c r="AP268" s="1">
        <v>41214</v>
      </c>
      <c r="AQ268" s="1">
        <v>41244</v>
      </c>
      <c r="AR268" s="1">
        <v>41275</v>
      </c>
      <c r="AS268">
        <v>3.2737500000000002</v>
      </c>
      <c r="AT268">
        <v>-0.108372699949596</v>
      </c>
      <c r="AU268">
        <v>3.1653773000504</v>
      </c>
    </row>
    <row r="269" spans="1:47" x14ac:dyDescent="0.25">
      <c r="A269" s="1">
        <v>41244</v>
      </c>
      <c r="B269">
        <v>3.6109275944461601</v>
      </c>
      <c r="C269">
        <v>48240484260</v>
      </c>
      <c r="D269">
        <v>3.62871973006781</v>
      </c>
      <c r="E269">
        <v>27528554162</v>
      </c>
      <c r="F269">
        <v>3.4444371647029501</v>
      </c>
      <c r="G269">
        <v>31120401460</v>
      </c>
      <c r="H269">
        <v>3.6173918677076302</v>
      </c>
      <c r="I269">
        <v>3.4444371647029501</v>
      </c>
      <c r="J269">
        <v>-0.17295470300468099</v>
      </c>
      <c r="W269" s="1">
        <v>41395</v>
      </c>
      <c r="X269">
        <v>-0.19349937245186999</v>
      </c>
      <c r="Y269">
        <v>-0.21201014402777199</v>
      </c>
      <c r="AB269" s="1">
        <v>41395</v>
      </c>
      <c r="AC269">
        <v>3.4660000000000002</v>
      </c>
      <c r="AD269">
        <v>3.2725006275481201</v>
      </c>
      <c r="AE269">
        <v>-0.19349937245186999</v>
      </c>
      <c r="AH269" s="1">
        <v>41306</v>
      </c>
      <c r="AI269" s="1">
        <v>41334</v>
      </c>
      <c r="AJ269" s="1">
        <v>41365</v>
      </c>
      <c r="AK269">
        <v>3.4824999999999999</v>
      </c>
      <c r="AL269">
        <v>-0.19393949199267299</v>
      </c>
      <c r="AM269">
        <v>3.2885605080073201</v>
      </c>
      <c r="AP269" s="1">
        <v>41244</v>
      </c>
      <c r="AQ269" s="1">
        <v>41275</v>
      </c>
      <c r="AR269" s="1">
        <v>41306</v>
      </c>
      <c r="AS269">
        <v>3.27</v>
      </c>
      <c r="AT269">
        <v>-0.17295470300468099</v>
      </c>
      <c r="AU269">
        <v>3.0970452969953102</v>
      </c>
    </row>
    <row r="270" spans="1:47" x14ac:dyDescent="0.25">
      <c r="A270" s="1">
        <v>41275</v>
      </c>
      <c r="B270">
        <v>3.5814952975597798</v>
      </c>
      <c r="C270">
        <v>48570652901</v>
      </c>
      <c r="D270">
        <v>3.6342812090049201</v>
      </c>
      <c r="E270">
        <v>23430419441</v>
      </c>
      <c r="F270">
        <v>3.37231178037135</v>
      </c>
      <c r="G270">
        <v>51096373338</v>
      </c>
      <c r="H270">
        <v>3.5986727645822199</v>
      </c>
      <c r="I270">
        <v>3.37231178037135</v>
      </c>
      <c r="J270">
        <v>-0.226360984210875</v>
      </c>
      <c r="W270" s="1">
        <v>41426</v>
      </c>
      <c r="X270">
        <v>-0.21422616921964299</v>
      </c>
      <c r="Y270">
        <v>-0.29731548361131399</v>
      </c>
      <c r="AB270" s="1">
        <v>41426</v>
      </c>
      <c r="AC270">
        <v>4.0075000000000003</v>
      </c>
      <c r="AD270">
        <v>3.79327383078035</v>
      </c>
      <c r="AE270">
        <v>-0.21422616921964299</v>
      </c>
      <c r="AH270" s="1">
        <v>41334</v>
      </c>
      <c r="AI270" s="1">
        <v>41365</v>
      </c>
      <c r="AJ270" s="1">
        <v>41395</v>
      </c>
      <c r="AK270">
        <v>3.50875</v>
      </c>
      <c r="AL270">
        <v>-0.22830741598516099</v>
      </c>
      <c r="AM270">
        <v>3.2804425840148301</v>
      </c>
      <c r="AP270" s="1">
        <v>41275</v>
      </c>
      <c r="AQ270" s="1">
        <v>41306</v>
      </c>
      <c r="AR270" s="1">
        <v>41334</v>
      </c>
      <c r="AS270">
        <v>3.339</v>
      </c>
      <c r="AT270">
        <v>-0.226360984210875</v>
      </c>
      <c r="AU270">
        <v>3.1126390157891199</v>
      </c>
    </row>
    <row r="271" spans="1:47" x14ac:dyDescent="0.25">
      <c r="A271" s="1">
        <v>41306</v>
      </c>
      <c r="B271">
        <v>3.6214581760580198</v>
      </c>
      <c r="C271">
        <v>41027373794</v>
      </c>
      <c r="D271">
        <v>3.6159817730056498</v>
      </c>
      <c r="E271">
        <v>25373222121</v>
      </c>
      <c r="F271">
        <v>3.43686272548798</v>
      </c>
      <c r="G271">
        <v>30268082151</v>
      </c>
      <c r="H271">
        <v>3.6193655142504402</v>
      </c>
      <c r="I271">
        <v>3.43686272548798</v>
      </c>
      <c r="J271">
        <v>-0.18250278876246301</v>
      </c>
      <c r="W271" s="1">
        <v>41456</v>
      </c>
      <c r="X271">
        <v>-0.22245778188631099</v>
      </c>
      <c r="Y271">
        <v>-0.27575066021088301</v>
      </c>
      <c r="AB271" s="1">
        <v>41456</v>
      </c>
      <c r="AC271">
        <v>4.3090000000000002</v>
      </c>
      <c r="AD271">
        <v>4.0865422181136903</v>
      </c>
      <c r="AE271">
        <v>-0.22245778188631099</v>
      </c>
      <c r="AH271" s="1">
        <v>41365</v>
      </c>
      <c r="AI271" s="1">
        <v>41395</v>
      </c>
      <c r="AJ271" s="1">
        <v>41426</v>
      </c>
      <c r="AK271">
        <v>3.3887499999999999</v>
      </c>
      <c r="AL271">
        <v>-0.18322346782263099</v>
      </c>
      <c r="AM271">
        <v>3.2055265321773598</v>
      </c>
      <c r="AP271" s="1">
        <v>41306</v>
      </c>
      <c r="AQ271" s="1">
        <v>41334</v>
      </c>
      <c r="AR271" s="1">
        <v>41365</v>
      </c>
      <c r="AS271">
        <v>3.4824999999999999</v>
      </c>
      <c r="AT271">
        <v>-0.18250278876246301</v>
      </c>
      <c r="AU271">
        <v>3.29999721123753</v>
      </c>
    </row>
    <row r="272" spans="1:47" x14ac:dyDescent="0.25">
      <c r="A272" s="1">
        <v>41334</v>
      </c>
      <c r="B272">
        <v>3.71186787596955</v>
      </c>
      <c r="C272">
        <v>36212419616</v>
      </c>
      <c r="D272">
        <v>3.6663328277369298</v>
      </c>
      <c r="E272">
        <v>25540838472</v>
      </c>
      <c r="F272">
        <v>3.4169763329399299</v>
      </c>
      <c r="G272">
        <v>23960765746</v>
      </c>
      <c r="H272">
        <v>3.6930348079220798</v>
      </c>
      <c r="I272">
        <v>3.4169763329399299</v>
      </c>
      <c r="J272">
        <v>-0.27605847498214398</v>
      </c>
      <c r="W272" s="1">
        <v>41487</v>
      </c>
      <c r="X272">
        <v>-0.235758191741165</v>
      </c>
      <c r="Y272">
        <v>-0.26230524789158699</v>
      </c>
      <c r="AB272" s="1">
        <v>41487</v>
      </c>
      <c r="AC272">
        <v>4.4037499999999996</v>
      </c>
      <c r="AD272">
        <v>4.1679918082588303</v>
      </c>
      <c r="AE272">
        <v>-0.235758191741165</v>
      </c>
      <c r="AH272" s="1">
        <v>41395</v>
      </c>
      <c r="AI272" s="1">
        <v>41426</v>
      </c>
      <c r="AJ272" s="1">
        <v>41456</v>
      </c>
      <c r="AK272">
        <v>3.4660000000000002</v>
      </c>
      <c r="AL272">
        <v>-0.19305925291106801</v>
      </c>
      <c r="AM272">
        <v>3.27294074708893</v>
      </c>
      <c r="AP272" s="1">
        <v>41334</v>
      </c>
      <c r="AQ272" s="1">
        <v>41365</v>
      </c>
      <c r="AR272" s="1">
        <v>41395</v>
      </c>
      <c r="AS272">
        <v>3.50875</v>
      </c>
      <c r="AT272">
        <v>-0.27605847498214398</v>
      </c>
      <c r="AU272">
        <v>3.2326915250178501</v>
      </c>
    </row>
    <row r="273" spans="1:47" x14ac:dyDescent="0.25">
      <c r="A273" s="1">
        <v>41365</v>
      </c>
      <c r="B273">
        <v>3.7708874988035901</v>
      </c>
      <c r="C273">
        <v>46825449490</v>
      </c>
      <c r="D273">
        <v>3.8235719744890702</v>
      </c>
      <c r="E273">
        <v>21064618790</v>
      </c>
      <c r="F273">
        <v>3.6961250563893802</v>
      </c>
      <c r="G273">
        <v>16340055555</v>
      </c>
      <c r="H273">
        <v>3.7872341961126601</v>
      </c>
      <c r="I273">
        <v>3.6961250563893802</v>
      </c>
      <c r="J273">
        <v>-9.1109139723287394E-2</v>
      </c>
      <c r="W273" s="1">
        <v>41518</v>
      </c>
      <c r="X273">
        <v>-0.249306838241596</v>
      </c>
      <c r="Y273">
        <v>-0.35735035398473097</v>
      </c>
      <c r="AB273" s="1">
        <v>41518</v>
      </c>
      <c r="AC273">
        <v>4.4212499999999997</v>
      </c>
      <c r="AD273">
        <v>4.1719431617584002</v>
      </c>
      <c r="AE273">
        <v>-0.249306838241596</v>
      </c>
      <c r="AH273" s="1">
        <v>41426</v>
      </c>
      <c r="AI273" s="1">
        <v>41456</v>
      </c>
      <c r="AJ273" s="1">
        <v>41487</v>
      </c>
      <c r="AK273">
        <v>4.0075000000000003</v>
      </c>
      <c r="AL273">
        <v>-0.20014492245412399</v>
      </c>
      <c r="AM273">
        <v>3.80735507754587</v>
      </c>
      <c r="AP273" s="1">
        <v>41365</v>
      </c>
      <c r="AQ273" s="1">
        <v>41395</v>
      </c>
      <c r="AR273" s="1">
        <v>41426</v>
      </c>
      <c r="AS273">
        <v>3.3887499999999999</v>
      </c>
      <c r="AT273">
        <v>-9.1109139723287394E-2</v>
      </c>
      <c r="AU273">
        <v>3.2976408602767102</v>
      </c>
    </row>
    <row r="274" spans="1:47" x14ac:dyDescent="0.25">
      <c r="A274" s="1">
        <v>41395</v>
      </c>
      <c r="B274">
        <v>3.7922624810625698</v>
      </c>
      <c r="C274">
        <v>42649575524</v>
      </c>
      <c r="D274">
        <v>3.8304597940282701</v>
      </c>
      <c r="E274">
        <v>19482892141</v>
      </c>
      <c r="F274">
        <v>3.5922298772252099</v>
      </c>
      <c r="G274">
        <v>39957157337</v>
      </c>
      <c r="H274">
        <v>3.8042400212529799</v>
      </c>
      <c r="I274">
        <v>3.5922298772252099</v>
      </c>
      <c r="J274">
        <v>-0.21201014402777199</v>
      </c>
      <c r="W274" s="1">
        <v>41548</v>
      </c>
      <c r="X274">
        <v>-0.30417954083603799</v>
      </c>
      <c r="Y274">
        <v>-0.42034535528994199</v>
      </c>
      <c r="AB274" s="1">
        <v>41548</v>
      </c>
      <c r="AC274">
        <v>4.1219999999999999</v>
      </c>
      <c r="AD274">
        <v>3.81782045916396</v>
      </c>
      <c r="AE274">
        <v>-0.30417954083603799</v>
      </c>
      <c r="AH274" s="1">
        <v>41456</v>
      </c>
      <c r="AI274" s="1">
        <v>41487</v>
      </c>
      <c r="AJ274" s="1">
        <v>41518</v>
      </c>
      <c r="AK274">
        <v>4.3090000000000002</v>
      </c>
      <c r="AL274">
        <v>-0.26169209594998999</v>
      </c>
      <c r="AM274">
        <v>4.04730790405001</v>
      </c>
      <c r="AP274" s="1">
        <v>41395</v>
      </c>
      <c r="AQ274" s="1">
        <v>41426</v>
      </c>
      <c r="AR274" s="1">
        <v>41456</v>
      </c>
      <c r="AS274">
        <v>3.4660000000000002</v>
      </c>
      <c r="AT274">
        <v>-0.21201014402777199</v>
      </c>
      <c r="AU274">
        <v>3.25398985597222</v>
      </c>
    </row>
    <row r="275" spans="1:47" x14ac:dyDescent="0.25">
      <c r="A275" s="1">
        <v>41426</v>
      </c>
      <c r="B275">
        <v>3.7426107832906901</v>
      </c>
      <c r="C275">
        <v>42361256924</v>
      </c>
      <c r="D275">
        <v>3.7370293369952901</v>
      </c>
      <c r="E275">
        <v>31268178549</v>
      </c>
      <c r="F275">
        <v>3.4429250294443099</v>
      </c>
      <c r="G275">
        <v>51550295763</v>
      </c>
      <c r="H275">
        <v>3.74024051305563</v>
      </c>
      <c r="I275">
        <v>3.4429250294443099</v>
      </c>
      <c r="J275">
        <v>-0.29731548361131399</v>
      </c>
      <c r="W275" s="1">
        <v>41579</v>
      </c>
      <c r="X275">
        <v>-0.35135271004604302</v>
      </c>
      <c r="Y275">
        <v>-0.49504915928780102</v>
      </c>
      <c r="AB275" s="1">
        <v>41579</v>
      </c>
      <c r="AC275">
        <v>4.1862499999999896</v>
      </c>
      <c r="AD275">
        <v>3.83489728995395</v>
      </c>
      <c r="AE275">
        <v>-0.35135271004604302</v>
      </c>
      <c r="AH275" s="1">
        <v>41487</v>
      </c>
      <c r="AI275" s="1">
        <v>41518</v>
      </c>
      <c r="AJ275" s="1">
        <v>41548</v>
      </c>
      <c r="AK275">
        <v>4.4037499999999996</v>
      </c>
      <c r="AL275">
        <v>-0.27845713057126098</v>
      </c>
      <c r="AM275">
        <v>4.1252928694287299</v>
      </c>
      <c r="AP275" s="1">
        <v>41426</v>
      </c>
      <c r="AQ275" s="1">
        <v>41456</v>
      </c>
      <c r="AR275" s="1">
        <v>41487</v>
      </c>
      <c r="AS275">
        <v>4.0075000000000003</v>
      </c>
      <c r="AT275">
        <v>-0.29731548361131399</v>
      </c>
      <c r="AU275">
        <v>3.7101845163886802</v>
      </c>
    </row>
    <row r="276" spans="1:47" x14ac:dyDescent="0.25">
      <c r="A276" s="1">
        <v>41456</v>
      </c>
      <c r="B276">
        <v>3.9135900144303499</v>
      </c>
      <c r="C276">
        <v>44973518478</v>
      </c>
      <c r="D276">
        <v>3.8419699528814202</v>
      </c>
      <c r="E276">
        <v>21694305972</v>
      </c>
      <c r="F276">
        <v>3.61453354603097</v>
      </c>
      <c r="G276">
        <v>24237129708</v>
      </c>
      <c r="H276">
        <v>3.8902842062418599</v>
      </c>
      <c r="I276">
        <v>3.61453354603097</v>
      </c>
      <c r="J276">
        <v>-0.27575066021088301</v>
      </c>
      <c r="W276" s="1">
        <v>41609</v>
      </c>
      <c r="X276">
        <v>-0.36249543148205299</v>
      </c>
      <c r="Y276">
        <v>-0.36417181222737299</v>
      </c>
      <c r="AB276" s="1">
        <v>41609</v>
      </c>
      <c r="AC276">
        <v>4.37</v>
      </c>
      <c r="AD276">
        <v>4.0075045685179402</v>
      </c>
      <c r="AE276">
        <v>-0.36249543148205299</v>
      </c>
      <c r="AH276" s="1">
        <v>41518</v>
      </c>
      <c r="AI276" s="1">
        <v>41548</v>
      </c>
      <c r="AJ276" s="1">
        <v>41579</v>
      </c>
      <c r="AK276">
        <v>4.4212499999999997</v>
      </c>
      <c r="AL276">
        <v>-0.29846875402906697</v>
      </c>
      <c r="AM276">
        <v>4.1227812459709297</v>
      </c>
      <c r="AP276" s="1">
        <v>41456</v>
      </c>
      <c r="AQ276" s="1">
        <v>41487</v>
      </c>
      <c r="AR276" s="1">
        <v>41518</v>
      </c>
      <c r="AS276">
        <v>4.3090000000000002</v>
      </c>
      <c r="AT276">
        <v>-0.27575066021088301</v>
      </c>
      <c r="AU276">
        <v>4.0332493397891103</v>
      </c>
    </row>
    <row r="277" spans="1:47" x14ac:dyDescent="0.25">
      <c r="A277" s="1">
        <v>41487</v>
      </c>
      <c r="B277">
        <v>4.3070807202582797</v>
      </c>
      <c r="C277">
        <v>38566019214</v>
      </c>
      <c r="D277">
        <v>4.2235981136111098</v>
      </c>
      <c r="E277">
        <v>17087572249</v>
      </c>
      <c r="F277">
        <v>4.01914343254467</v>
      </c>
      <c r="G277">
        <v>23838965995</v>
      </c>
      <c r="H277">
        <v>4.2814486804362497</v>
      </c>
      <c r="I277">
        <v>4.01914343254467</v>
      </c>
      <c r="J277">
        <v>-0.26230524789158699</v>
      </c>
      <c r="W277" s="1">
        <v>41640</v>
      </c>
      <c r="X277">
        <v>-0.37484533544402199</v>
      </c>
      <c r="Y277">
        <v>-0.34985008398269601</v>
      </c>
      <c r="AB277" s="1">
        <v>41640</v>
      </c>
      <c r="AC277">
        <v>4.3620000000000001</v>
      </c>
      <c r="AD277">
        <v>3.9871546645559701</v>
      </c>
      <c r="AE277">
        <v>-0.37484533544402199</v>
      </c>
      <c r="AH277" s="1">
        <v>41548</v>
      </c>
      <c r="AI277" s="1">
        <v>41579</v>
      </c>
      <c r="AJ277" s="1">
        <v>41609</v>
      </c>
      <c r="AK277">
        <v>4.1219999999999999</v>
      </c>
      <c r="AL277">
        <v>-0.34666698572208698</v>
      </c>
      <c r="AM277">
        <v>3.7753330142779098</v>
      </c>
      <c r="AP277" s="1">
        <v>41487</v>
      </c>
      <c r="AQ277" s="1">
        <v>41518</v>
      </c>
      <c r="AR277" s="1">
        <v>41548</v>
      </c>
      <c r="AS277">
        <v>4.4037499999999996</v>
      </c>
      <c r="AT277">
        <v>-0.26230524789158699</v>
      </c>
      <c r="AU277">
        <v>4.1414447521084101</v>
      </c>
    </row>
    <row r="278" spans="1:47" x14ac:dyDescent="0.25">
      <c r="A278" s="1">
        <v>41518</v>
      </c>
      <c r="B278">
        <v>4.6156972364838902</v>
      </c>
      <c r="C278">
        <v>30580725575</v>
      </c>
      <c r="D278">
        <v>4.5440793640261399</v>
      </c>
      <c r="E278">
        <v>16288054536</v>
      </c>
      <c r="F278">
        <v>4.2334579092939402</v>
      </c>
      <c r="G278">
        <v>18980396205</v>
      </c>
      <c r="H278">
        <v>4.59080826327867</v>
      </c>
      <c r="I278">
        <v>4.2334579092939402</v>
      </c>
      <c r="J278">
        <v>-0.35735035398473097</v>
      </c>
      <c r="W278" s="1">
        <v>41671</v>
      </c>
      <c r="X278">
        <v>-0.40862248259261702</v>
      </c>
      <c r="Y278">
        <v>-0.46496813078316102</v>
      </c>
      <c r="AB278" s="1">
        <v>41671</v>
      </c>
      <c r="AC278">
        <v>4.2274999999999903</v>
      </c>
      <c r="AD278">
        <v>3.8188775174073801</v>
      </c>
      <c r="AE278">
        <v>-0.40862248259261702</v>
      </c>
      <c r="AH278" s="1">
        <v>41579</v>
      </c>
      <c r="AI278" s="1">
        <v>41609</v>
      </c>
      <c r="AJ278" s="1">
        <v>41640</v>
      </c>
      <c r="AK278">
        <v>4.1862499999999896</v>
      </c>
      <c r="AL278">
        <v>-0.42424828952082499</v>
      </c>
      <c r="AM278">
        <v>3.7620017104791699</v>
      </c>
      <c r="AP278" s="1">
        <v>41518</v>
      </c>
      <c r="AQ278" s="1">
        <v>41548</v>
      </c>
      <c r="AR278" s="1">
        <v>41579</v>
      </c>
      <c r="AS278">
        <v>4.4212499999999997</v>
      </c>
      <c r="AT278">
        <v>-0.35735035398473097</v>
      </c>
      <c r="AU278">
        <v>4.0638996460152601</v>
      </c>
    </row>
    <row r="279" spans="1:47" x14ac:dyDescent="0.25">
      <c r="A279" s="1">
        <v>41548</v>
      </c>
      <c r="B279">
        <v>4.7187839145297001</v>
      </c>
      <c r="C279">
        <v>28933119143</v>
      </c>
      <c r="D279">
        <v>4.6454480941796703</v>
      </c>
      <c r="E279">
        <v>14044506357</v>
      </c>
      <c r="F279">
        <v>4.2744734056716096</v>
      </c>
      <c r="G279">
        <v>16938324369</v>
      </c>
      <c r="H279">
        <v>4.6948187609615601</v>
      </c>
      <c r="I279">
        <v>4.2744734056716096</v>
      </c>
      <c r="J279">
        <v>-0.42034535528994199</v>
      </c>
      <c r="W279" s="1">
        <v>41699</v>
      </c>
      <c r="X279">
        <v>-0.42921026176731403</v>
      </c>
      <c r="Y279">
        <v>-0.48087702903291002</v>
      </c>
      <c r="AB279" s="1">
        <v>41699</v>
      </c>
      <c r="AC279">
        <v>4.2487500000000002</v>
      </c>
      <c r="AD279">
        <v>3.8195397382326801</v>
      </c>
      <c r="AE279">
        <v>-0.42921026176731403</v>
      </c>
      <c r="AH279" s="1">
        <v>41609</v>
      </c>
      <c r="AI279" s="1">
        <v>41640</v>
      </c>
      <c r="AJ279" s="1">
        <v>41671</v>
      </c>
      <c r="AK279">
        <v>4.37</v>
      </c>
      <c r="AL279">
        <v>-0.426522108935039</v>
      </c>
      <c r="AM279">
        <v>3.9434778910649602</v>
      </c>
      <c r="AP279" s="1">
        <v>41548</v>
      </c>
      <c r="AQ279" s="1">
        <v>41579</v>
      </c>
      <c r="AR279" s="1">
        <v>41609</v>
      </c>
      <c r="AS279">
        <v>4.1219999999999999</v>
      </c>
      <c r="AT279">
        <v>-0.42034535528994199</v>
      </c>
      <c r="AU279">
        <v>3.7016546447100498</v>
      </c>
    </row>
    <row r="280" spans="1:47" x14ac:dyDescent="0.25">
      <c r="A280" s="1">
        <v>41579</v>
      </c>
      <c r="B280">
        <v>4.6753390990926098</v>
      </c>
      <c r="C280">
        <v>22111705157</v>
      </c>
      <c r="D280">
        <v>4.6558570696614803</v>
      </c>
      <c r="E280">
        <v>10755659883</v>
      </c>
      <c r="F280">
        <v>4.1739145555250898</v>
      </c>
      <c r="G280">
        <v>16003497541</v>
      </c>
      <c r="H280">
        <v>4.6689637148128904</v>
      </c>
      <c r="I280">
        <v>4.1739145555250898</v>
      </c>
      <c r="J280">
        <v>-0.49504915928780102</v>
      </c>
      <c r="W280" s="1">
        <v>41730</v>
      </c>
      <c r="X280">
        <v>-0.40112412694295502</v>
      </c>
      <c r="Y280">
        <v>-0.25182854634378798</v>
      </c>
      <c r="AB280" s="1">
        <v>41730</v>
      </c>
      <c r="AC280">
        <v>4.2479999999999896</v>
      </c>
      <c r="AD280">
        <v>3.8468758730570398</v>
      </c>
      <c r="AE280">
        <v>-0.40112412694295502</v>
      </c>
      <c r="AH280" s="1">
        <v>41640</v>
      </c>
      <c r="AI280" s="1">
        <v>41671</v>
      </c>
      <c r="AJ280" s="1">
        <v>41699</v>
      </c>
      <c r="AK280">
        <v>4.3620000000000001</v>
      </c>
      <c r="AL280">
        <v>-0.40302368516595699</v>
      </c>
      <c r="AM280">
        <v>3.95897631483404</v>
      </c>
      <c r="AP280" s="1">
        <v>41579</v>
      </c>
      <c r="AQ280" s="1">
        <v>41609</v>
      </c>
      <c r="AR280" s="1">
        <v>41640</v>
      </c>
      <c r="AS280">
        <v>4.1862499999999896</v>
      </c>
      <c r="AT280">
        <v>-0.49504915928780102</v>
      </c>
      <c r="AU280">
        <v>3.6912008407121899</v>
      </c>
    </row>
    <row r="281" spans="1:47" x14ac:dyDescent="0.25">
      <c r="A281" s="1">
        <v>41609</v>
      </c>
      <c r="B281">
        <v>4.5551789718309701</v>
      </c>
      <c r="C281">
        <v>19287405377</v>
      </c>
      <c r="D281">
        <v>4.4732781638083399</v>
      </c>
      <c r="E281">
        <v>14223804299</v>
      </c>
      <c r="F281">
        <v>4.1562444316535503</v>
      </c>
      <c r="G281">
        <v>16813890281</v>
      </c>
      <c r="H281">
        <v>4.5204162438809199</v>
      </c>
      <c r="I281">
        <v>4.1562444316535503</v>
      </c>
      <c r="J281">
        <v>-0.36417181222737299</v>
      </c>
      <c r="W281" s="1">
        <v>41760</v>
      </c>
      <c r="X281">
        <v>-0.39205876667489398</v>
      </c>
      <c r="Y281">
        <v>-0.440656997679436</v>
      </c>
      <c r="AB281" s="1">
        <v>41760</v>
      </c>
      <c r="AC281">
        <v>4.0674999999999999</v>
      </c>
      <c r="AD281">
        <v>3.6754412333250999</v>
      </c>
      <c r="AE281">
        <v>-0.39205876667489398</v>
      </c>
      <c r="AH281" s="1">
        <v>41671</v>
      </c>
      <c r="AI281" s="1">
        <v>41699</v>
      </c>
      <c r="AJ281" s="1">
        <v>41730</v>
      </c>
      <c r="AK281">
        <v>4.2274999999999903</v>
      </c>
      <c r="AL281">
        <v>-0.39299667566440999</v>
      </c>
      <c r="AM281">
        <v>3.8345033243355799</v>
      </c>
      <c r="AP281" s="1">
        <v>41609</v>
      </c>
      <c r="AQ281" s="1">
        <v>41640</v>
      </c>
      <c r="AR281" s="1">
        <v>41671</v>
      </c>
      <c r="AS281">
        <v>4.37</v>
      </c>
      <c r="AT281">
        <v>-0.36417181222737299</v>
      </c>
      <c r="AU281">
        <v>4.0058281877726198</v>
      </c>
    </row>
    <row r="282" spans="1:47" x14ac:dyDescent="0.25">
      <c r="A282" s="1">
        <v>41640</v>
      </c>
      <c r="B282">
        <v>4.6005047943189803</v>
      </c>
      <c r="C282">
        <v>21705185811</v>
      </c>
      <c r="D282">
        <v>4.5336378604731298</v>
      </c>
      <c r="E282">
        <v>15992722458.09</v>
      </c>
      <c r="F282">
        <v>4.2222875047346697</v>
      </c>
      <c r="G282">
        <v>14852620458</v>
      </c>
      <c r="H282">
        <v>4.5721375887173696</v>
      </c>
      <c r="I282">
        <v>4.2222875047346697</v>
      </c>
      <c r="J282">
        <v>-0.34985008398269601</v>
      </c>
      <c r="W282" s="1">
        <v>41791</v>
      </c>
      <c r="X282">
        <v>-0.403993409290691</v>
      </c>
      <c r="Y282">
        <v>-0.435779667922154</v>
      </c>
      <c r="AB282" s="1">
        <v>41791</v>
      </c>
      <c r="AC282">
        <v>4.05</v>
      </c>
      <c r="AD282">
        <v>3.6460065907093</v>
      </c>
      <c r="AE282">
        <v>-0.403993409290691</v>
      </c>
      <c r="AH282" s="1">
        <v>41699</v>
      </c>
      <c r="AI282" s="1">
        <v>41730</v>
      </c>
      <c r="AJ282" s="1">
        <v>41760</v>
      </c>
      <c r="AK282">
        <v>4.2487500000000002</v>
      </c>
      <c r="AL282">
        <v>-0.431898414599589</v>
      </c>
      <c r="AM282">
        <v>3.8168515854004101</v>
      </c>
      <c r="AP282" s="1">
        <v>41640</v>
      </c>
      <c r="AQ282" s="1">
        <v>41671</v>
      </c>
      <c r="AR282" s="1">
        <v>41699</v>
      </c>
      <c r="AS282">
        <v>4.3620000000000001</v>
      </c>
      <c r="AT282">
        <v>-0.34985008398269601</v>
      </c>
      <c r="AU282">
        <v>4.0121499160173002</v>
      </c>
    </row>
    <row r="283" spans="1:47" x14ac:dyDescent="0.25">
      <c r="A283" s="1">
        <v>41671</v>
      </c>
      <c r="B283">
        <v>4.7393713830059196</v>
      </c>
      <c r="C283">
        <v>14151846186</v>
      </c>
      <c r="D283">
        <v>4.6912482559042097</v>
      </c>
      <c r="E283">
        <v>7831904658.8699999</v>
      </c>
      <c r="F283">
        <v>4.2572589647894299</v>
      </c>
      <c r="G283">
        <v>11978558540</v>
      </c>
      <c r="H283">
        <v>4.72222709557259</v>
      </c>
      <c r="I283">
        <v>4.2572589647894299</v>
      </c>
      <c r="J283">
        <v>-0.46496813078316102</v>
      </c>
      <c r="W283" s="1">
        <v>41821</v>
      </c>
      <c r="X283">
        <v>-0.40457907703427498</v>
      </c>
      <c r="Y283">
        <v>-0.35336409044420403</v>
      </c>
      <c r="AB283" s="1">
        <v>41821</v>
      </c>
      <c r="AC283">
        <v>4.03</v>
      </c>
      <c r="AD283">
        <v>3.6254209229657199</v>
      </c>
      <c r="AE283">
        <v>-0.40457907703427498</v>
      </c>
      <c r="AH283" s="1">
        <v>41730</v>
      </c>
      <c r="AI283" s="1">
        <v>41760</v>
      </c>
      <c r="AJ283" s="1">
        <v>41791</v>
      </c>
      <c r="AK283">
        <v>4.2479999999999896</v>
      </c>
      <c r="AL283">
        <v>-0.39922456871995299</v>
      </c>
      <c r="AM283">
        <v>3.84877543128004</v>
      </c>
      <c r="AP283" s="1">
        <v>41671</v>
      </c>
      <c r="AQ283" s="1">
        <v>41699</v>
      </c>
      <c r="AR283" s="1">
        <v>41730</v>
      </c>
      <c r="AS283">
        <v>4.2274999999999903</v>
      </c>
      <c r="AT283">
        <v>-0.46496813078316102</v>
      </c>
      <c r="AU283">
        <v>3.7625318692168301</v>
      </c>
    </row>
    <row r="284" spans="1:47" x14ac:dyDescent="0.25">
      <c r="A284" s="1">
        <v>41699</v>
      </c>
      <c r="B284">
        <v>4.7050466724548903</v>
      </c>
      <c r="C284">
        <v>14652371972</v>
      </c>
      <c r="D284">
        <v>4.6710253793280101</v>
      </c>
      <c r="E284">
        <v>6787195109</v>
      </c>
      <c r="F284">
        <v>4.2133994094223803</v>
      </c>
      <c r="G284">
        <v>16746015580</v>
      </c>
      <c r="H284">
        <v>4.6942764384552902</v>
      </c>
      <c r="I284">
        <v>4.2133994094223803</v>
      </c>
      <c r="J284">
        <v>-0.48087702903291002</v>
      </c>
      <c r="W284" s="1">
        <v>41852</v>
      </c>
      <c r="X284">
        <v>-0.38228174998756198</v>
      </c>
      <c r="Y284">
        <v>-0.33118416850287902</v>
      </c>
      <c r="AB284" s="1">
        <v>41852</v>
      </c>
      <c r="AC284">
        <v>4.00875</v>
      </c>
      <c r="AD284">
        <v>3.6264682500124299</v>
      </c>
      <c r="AE284">
        <v>-0.38228174998756198</v>
      </c>
      <c r="AH284" s="1">
        <v>41760</v>
      </c>
      <c r="AI284" s="1">
        <v>41791</v>
      </c>
      <c r="AJ284" s="1">
        <v>41821</v>
      </c>
      <c r="AK284">
        <v>4.0674999999999999</v>
      </c>
      <c r="AL284">
        <v>-0.39112085768537802</v>
      </c>
      <c r="AM284">
        <v>3.6763791423146199</v>
      </c>
      <c r="AP284" s="1">
        <v>41699</v>
      </c>
      <c r="AQ284" s="1">
        <v>41730</v>
      </c>
      <c r="AR284" s="1">
        <v>41760</v>
      </c>
      <c r="AS284">
        <v>4.2487500000000002</v>
      </c>
      <c r="AT284">
        <v>-0.48087702903291002</v>
      </c>
      <c r="AU284">
        <v>3.76787297096709</v>
      </c>
    </row>
    <row r="285" spans="1:47" x14ac:dyDescent="0.25">
      <c r="A285" s="1">
        <v>41730</v>
      </c>
      <c r="B285">
        <v>4.6283514747392598</v>
      </c>
      <c r="C285">
        <v>18137178175</v>
      </c>
      <c r="D285">
        <v>4.5671003761456497</v>
      </c>
      <c r="E285">
        <v>18887034313.849998</v>
      </c>
      <c r="F285">
        <v>4.3452771159086598</v>
      </c>
      <c r="G285">
        <v>11955109149</v>
      </c>
      <c r="H285">
        <v>4.5971056622524502</v>
      </c>
      <c r="I285">
        <v>4.3452771159086598</v>
      </c>
      <c r="J285">
        <v>-0.25182854634378798</v>
      </c>
      <c r="W285" s="1">
        <v>41883</v>
      </c>
      <c r="X285">
        <v>-0.359914837998767</v>
      </c>
      <c r="Y285">
        <v>-0.34667555710013898</v>
      </c>
      <c r="AB285" s="1">
        <v>41883</v>
      </c>
      <c r="AC285">
        <v>4.0374999999999996</v>
      </c>
      <c r="AD285">
        <v>3.6775851620012299</v>
      </c>
      <c r="AE285">
        <v>-0.359914837998767</v>
      </c>
      <c r="AH285" s="1">
        <v>41791</v>
      </c>
      <c r="AI285" s="1">
        <v>41821</v>
      </c>
      <c r="AJ285" s="1">
        <v>41852</v>
      </c>
      <c r="AK285">
        <v>4.05</v>
      </c>
      <c r="AL285">
        <v>-0.376088403981793</v>
      </c>
      <c r="AM285">
        <v>3.6739115960182001</v>
      </c>
      <c r="AP285" s="1">
        <v>41730</v>
      </c>
      <c r="AQ285" s="1">
        <v>41760</v>
      </c>
      <c r="AR285" s="1">
        <v>41791</v>
      </c>
      <c r="AS285">
        <v>4.2479999999999896</v>
      </c>
      <c r="AT285">
        <v>-0.25182854634378798</v>
      </c>
      <c r="AU285">
        <v>3.9961714536562098</v>
      </c>
    </row>
    <row r="286" spans="1:47" x14ac:dyDescent="0.25">
      <c r="A286" s="1">
        <v>41760</v>
      </c>
      <c r="B286">
        <v>4.6611533522994497</v>
      </c>
      <c r="C286">
        <v>18921646101</v>
      </c>
      <c r="D286">
        <v>4.6490391871536696</v>
      </c>
      <c r="E286">
        <v>12141232046</v>
      </c>
      <c r="F286">
        <v>4.2157614137886297</v>
      </c>
      <c r="G286">
        <v>19961878110</v>
      </c>
      <c r="H286">
        <v>4.6564184114680698</v>
      </c>
      <c r="I286">
        <v>4.2157614137886297</v>
      </c>
      <c r="J286">
        <v>-0.440656997679436</v>
      </c>
      <c r="W286" s="1">
        <v>41913</v>
      </c>
      <c r="X286">
        <v>-0.37333159528716597</v>
      </c>
      <c r="Y286">
        <v>-0.33232909007418698</v>
      </c>
      <c r="AB286" s="1">
        <v>41913</v>
      </c>
      <c r="AC286">
        <v>3.9060000000000001</v>
      </c>
      <c r="AD286">
        <v>3.5326684047128301</v>
      </c>
      <c r="AE286">
        <v>-0.37333159528716597</v>
      </c>
      <c r="AH286" s="1">
        <v>41821</v>
      </c>
      <c r="AI286" s="1">
        <v>41852</v>
      </c>
      <c r="AJ286" s="1">
        <v>41883</v>
      </c>
      <c r="AK286">
        <v>4.03</v>
      </c>
      <c r="AL286">
        <v>-0.40993358534859797</v>
      </c>
      <c r="AM286">
        <v>3.6200664146513999</v>
      </c>
      <c r="AP286" s="1">
        <v>41760</v>
      </c>
      <c r="AQ286" s="1">
        <v>41791</v>
      </c>
      <c r="AR286" s="1">
        <v>41821</v>
      </c>
      <c r="AS286">
        <v>4.0674999999999999</v>
      </c>
      <c r="AT286">
        <v>-0.440656997679436</v>
      </c>
      <c r="AU286">
        <v>3.6268430023205598</v>
      </c>
    </row>
    <row r="287" spans="1:47" x14ac:dyDescent="0.25">
      <c r="A287" s="1">
        <v>41791</v>
      </c>
      <c r="B287">
        <v>4.6032207988720897</v>
      </c>
      <c r="C287">
        <v>20918202010</v>
      </c>
      <c r="D287">
        <v>4.5422820595087003</v>
      </c>
      <c r="E287">
        <v>11520203202.41</v>
      </c>
      <c r="F287">
        <v>4.1457992944981097</v>
      </c>
      <c r="G287">
        <v>21787080877</v>
      </c>
      <c r="H287">
        <v>4.5815789624202701</v>
      </c>
      <c r="I287">
        <v>4.1457992944981097</v>
      </c>
      <c r="J287">
        <v>-0.435779667922154</v>
      </c>
      <c r="W287" s="1">
        <v>41944</v>
      </c>
      <c r="X287">
        <v>-0.39232810844465799</v>
      </c>
      <c r="Y287">
        <v>-0.55463607662438397</v>
      </c>
      <c r="AB287" s="1">
        <v>41944</v>
      </c>
      <c r="AC287">
        <v>3.8725000000000001</v>
      </c>
      <c r="AD287">
        <v>3.4801718915553401</v>
      </c>
      <c r="AE287">
        <v>-0.39232810844465799</v>
      </c>
      <c r="AH287" s="1">
        <v>41852</v>
      </c>
      <c r="AI287" s="1">
        <v>41883</v>
      </c>
      <c r="AJ287" s="1">
        <v>41913</v>
      </c>
      <c r="AK287">
        <v>4.00875</v>
      </c>
      <c r="AL287">
        <v>-0.373442642289746</v>
      </c>
      <c r="AM287">
        <v>3.6353073577102499</v>
      </c>
      <c r="AP287" s="1">
        <v>41791</v>
      </c>
      <c r="AQ287" s="1">
        <v>41821</v>
      </c>
      <c r="AR287" s="1">
        <v>41852</v>
      </c>
      <c r="AS287">
        <v>4.05</v>
      </c>
      <c r="AT287">
        <v>-0.435779667922154</v>
      </c>
      <c r="AU287">
        <v>3.6142203320778399</v>
      </c>
    </row>
    <row r="288" spans="1:47" x14ac:dyDescent="0.25">
      <c r="A288" s="1">
        <v>41821</v>
      </c>
      <c r="B288">
        <v>4.4693207602237903</v>
      </c>
      <c r="C288">
        <v>25932174347</v>
      </c>
      <c r="D288">
        <v>4.4397162960376999</v>
      </c>
      <c r="E288">
        <v>19359482136</v>
      </c>
      <c r="F288">
        <v>4.1033025268300598</v>
      </c>
      <c r="G288">
        <v>23942462635</v>
      </c>
      <c r="H288">
        <v>4.4566666172742702</v>
      </c>
      <c r="I288">
        <v>4.1033025268300598</v>
      </c>
      <c r="J288">
        <v>-0.35336409044420403</v>
      </c>
      <c r="W288" s="1">
        <v>41974</v>
      </c>
      <c r="X288">
        <v>-0.38106436319209602</v>
      </c>
      <c r="Y288">
        <v>-0.368197196406781</v>
      </c>
      <c r="AB288" s="1">
        <v>41974</v>
      </c>
      <c r="AC288">
        <v>3.754</v>
      </c>
      <c r="AD288">
        <v>3.3729356368079002</v>
      </c>
      <c r="AE288">
        <v>-0.38106436319209602</v>
      </c>
      <c r="AH288" s="1">
        <v>41883</v>
      </c>
      <c r="AI288" s="1">
        <v>41913</v>
      </c>
      <c r="AJ288" s="1">
        <v>41944</v>
      </c>
      <c r="AK288">
        <v>4.0374999999999996</v>
      </c>
      <c r="AL288">
        <v>-0.34374127201574101</v>
      </c>
      <c r="AM288">
        <v>3.6937587279842501</v>
      </c>
      <c r="AP288" s="1">
        <v>41821</v>
      </c>
      <c r="AQ288" s="1">
        <v>41852</v>
      </c>
      <c r="AR288" s="1">
        <v>41883</v>
      </c>
      <c r="AS288">
        <v>4.03</v>
      </c>
      <c r="AT288">
        <v>-0.35336409044420403</v>
      </c>
      <c r="AU288">
        <v>3.6766359095557899</v>
      </c>
    </row>
    <row r="289" spans="1:47" x14ac:dyDescent="0.25">
      <c r="A289" s="1">
        <v>41852</v>
      </c>
      <c r="B289">
        <v>4.4600534914437597</v>
      </c>
      <c r="C289">
        <v>22884607031</v>
      </c>
      <c r="D289">
        <v>4.3693488555297799</v>
      </c>
      <c r="E289">
        <v>21428890831.169998</v>
      </c>
      <c r="F289">
        <v>4.0850068468409901</v>
      </c>
      <c r="G289">
        <v>21770433261</v>
      </c>
      <c r="H289">
        <v>4.4161910153438697</v>
      </c>
      <c r="I289">
        <v>4.0850068468409901</v>
      </c>
      <c r="J289">
        <v>-0.33118416850287902</v>
      </c>
      <c r="W289" s="1">
        <v>42005</v>
      </c>
      <c r="X289">
        <v>-0.40109688171327101</v>
      </c>
      <c r="Y289">
        <v>-0.47355920157125497</v>
      </c>
      <c r="AB289" s="1">
        <v>42005</v>
      </c>
      <c r="AC289">
        <v>3.5762499999999999</v>
      </c>
      <c r="AD289">
        <v>3.1751531182867199</v>
      </c>
      <c r="AE289">
        <v>-0.40109688171327101</v>
      </c>
      <c r="AH289" s="1">
        <v>41913</v>
      </c>
      <c r="AI289" s="1">
        <v>41944</v>
      </c>
      <c r="AJ289" s="1">
        <v>41974</v>
      </c>
      <c r="AK289">
        <v>3.9060000000000001</v>
      </c>
      <c r="AL289">
        <v>-0.33672960522573497</v>
      </c>
      <c r="AM289">
        <v>3.5692703947742599</v>
      </c>
      <c r="AP289" s="1">
        <v>41852</v>
      </c>
      <c r="AQ289" s="1">
        <v>41883</v>
      </c>
      <c r="AR289" s="1">
        <v>41913</v>
      </c>
      <c r="AS289">
        <v>4.00875</v>
      </c>
      <c r="AT289">
        <v>-0.33118416850287902</v>
      </c>
      <c r="AU289">
        <v>3.67756583149712</v>
      </c>
    </row>
    <row r="290" spans="1:47" x14ac:dyDescent="0.25">
      <c r="A290" s="1">
        <v>41883</v>
      </c>
      <c r="B290">
        <v>4.4478651185622002</v>
      </c>
      <c r="C290">
        <v>22121953123</v>
      </c>
      <c r="D290">
        <v>4.4056933080364296</v>
      </c>
      <c r="E290">
        <v>16649209202</v>
      </c>
      <c r="F290">
        <v>4.0830800374301299</v>
      </c>
      <c r="G290">
        <v>22701756591</v>
      </c>
      <c r="H290">
        <v>4.4297555945302696</v>
      </c>
      <c r="I290">
        <v>4.0830800374301299</v>
      </c>
      <c r="J290">
        <v>-0.34667555710013898</v>
      </c>
      <c r="W290" s="1">
        <v>42036</v>
      </c>
      <c r="X290">
        <v>-0.38268466454926098</v>
      </c>
      <c r="Y290">
        <v>-0.22071086551881799</v>
      </c>
      <c r="AB290" s="1">
        <v>42036</v>
      </c>
      <c r="AC290">
        <v>3.61625</v>
      </c>
      <c r="AD290">
        <v>3.2335653354507299</v>
      </c>
      <c r="AE290">
        <v>-0.38268466454926098</v>
      </c>
      <c r="AH290" s="1">
        <v>41944</v>
      </c>
      <c r="AI290" s="1">
        <v>41974</v>
      </c>
      <c r="AJ290" s="1">
        <v>42005</v>
      </c>
      <c r="AK290">
        <v>3.8725000000000001</v>
      </c>
      <c r="AL290">
        <v>-0.41121357459956998</v>
      </c>
      <c r="AM290">
        <v>3.4612864254004201</v>
      </c>
      <c r="AP290" s="1">
        <v>41883</v>
      </c>
      <c r="AQ290" s="1">
        <v>41913</v>
      </c>
      <c r="AR290" s="1">
        <v>41944</v>
      </c>
      <c r="AS290">
        <v>4.0374999999999996</v>
      </c>
      <c r="AT290">
        <v>-0.34667555710013898</v>
      </c>
      <c r="AU290">
        <v>3.69082444289986</v>
      </c>
    </row>
    <row r="291" spans="1:47" x14ac:dyDescent="0.25">
      <c r="A291" s="1">
        <v>41913</v>
      </c>
      <c r="B291">
        <v>4.4489633399153297</v>
      </c>
      <c r="C291">
        <v>26059853562</v>
      </c>
      <c r="D291">
        <v>4.37666094786508</v>
      </c>
      <c r="E291">
        <v>16955295971</v>
      </c>
      <c r="F291">
        <v>4.08813479162857</v>
      </c>
      <c r="G291">
        <v>20073261853</v>
      </c>
      <c r="H291">
        <v>4.4204638817027604</v>
      </c>
      <c r="I291">
        <v>4.08813479162857</v>
      </c>
      <c r="J291">
        <v>-0.33232909007418698</v>
      </c>
      <c r="W291" s="1">
        <v>42064</v>
      </c>
      <c r="X291">
        <v>-0.36104317685735599</v>
      </c>
      <c r="Y291">
        <v>-0.21682663094871199</v>
      </c>
      <c r="AB291" s="1">
        <v>42064</v>
      </c>
      <c r="AC291">
        <v>3.67</v>
      </c>
      <c r="AD291">
        <v>3.3089568231426401</v>
      </c>
      <c r="AE291">
        <v>-0.36104317685735599</v>
      </c>
      <c r="AH291" s="1">
        <v>41974</v>
      </c>
      <c r="AI291" s="1">
        <v>42005</v>
      </c>
      <c r="AJ291" s="1">
        <v>42036</v>
      </c>
      <c r="AK291">
        <v>3.754</v>
      </c>
      <c r="AL291">
        <v>-0.41838745436845098</v>
      </c>
      <c r="AM291">
        <v>3.3356125456315402</v>
      </c>
      <c r="AP291" s="1">
        <v>41913</v>
      </c>
      <c r="AQ291" s="1">
        <v>41944</v>
      </c>
      <c r="AR291" s="1">
        <v>41974</v>
      </c>
      <c r="AS291">
        <v>3.9060000000000001</v>
      </c>
      <c r="AT291">
        <v>-0.33232909007418698</v>
      </c>
      <c r="AU291">
        <v>3.5736709099258102</v>
      </c>
    </row>
    <row r="292" spans="1:47" x14ac:dyDescent="0.25">
      <c r="A292" s="1">
        <v>41944</v>
      </c>
      <c r="B292">
        <v>4.4257852901161998</v>
      </c>
      <c r="C292">
        <v>25008347520</v>
      </c>
      <c r="D292">
        <v>4.3862736323024798</v>
      </c>
      <c r="E292">
        <v>12481919828</v>
      </c>
      <c r="F292">
        <v>3.8579942967630498</v>
      </c>
      <c r="G292">
        <v>17086285712</v>
      </c>
      <c r="H292">
        <v>4.4126303733874304</v>
      </c>
      <c r="I292">
        <v>3.8579942967630498</v>
      </c>
      <c r="J292">
        <v>-0.55463607662438397</v>
      </c>
      <c r="W292" s="1">
        <v>42095</v>
      </c>
      <c r="X292">
        <v>-0.35524167355329</v>
      </c>
      <c r="Y292">
        <v>-0.29752007024978899</v>
      </c>
      <c r="AB292" s="1">
        <v>42095</v>
      </c>
      <c r="AC292">
        <v>3.577</v>
      </c>
      <c r="AD292">
        <v>3.2217583264466998</v>
      </c>
      <c r="AE292">
        <v>-0.35524167355329</v>
      </c>
      <c r="AH292" s="1">
        <v>42005</v>
      </c>
      <c r="AI292" s="1">
        <v>42036</v>
      </c>
      <c r="AJ292" s="1">
        <v>42064</v>
      </c>
      <c r="AK292">
        <v>3.5762499999999999</v>
      </c>
      <c r="AL292">
        <v>-0.465464158200807</v>
      </c>
      <c r="AM292">
        <v>3.1107858417991898</v>
      </c>
      <c r="AP292" s="1">
        <v>41944</v>
      </c>
      <c r="AQ292" s="1">
        <v>41974</v>
      </c>
      <c r="AR292" s="1">
        <v>42005</v>
      </c>
      <c r="AS292">
        <v>3.8725000000000001</v>
      </c>
      <c r="AT292">
        <v>-0.55463607662438397</v>
      </c>
      <c r="AU292">
        <v>3.3178639233756102</v>
      </c>
    </row>
    <row r="293" spans="1:47" x14ac:dyDescent="0.25">
      <c r="A293" s="1">
        <v>41974</v>
      </c>
      <c r="B293">
        <v>4.3110709162777496</v>
      </c>
      <c r="C293">
        <v>21703690319</v>
      </c>
      <c r="D293">
        <v>4.2785067067910099</v>
      </c>
      <c r="E293">
        <v>15115114938</v>
      </c>
      <c r="F293">
        <v>3.9295052315177599</v>
      </c>
      <c r="G293">
        <v>22264482835</v>
      </c>
      <c r="H293">
        <v>4.2977024279245404</v>
      </c>
      <c r="I293">
        <v>3.9295052315177599</v>
      </c>
      <c r="J293">
        <v>-0.368197196406781</v>
      </c>
      <c r="W293" s="1">
        <v>42125</v>
      </c>
      <c r="X293">
        <v>-0.28511893602939797</v>
      </c>
      <c r="Y293">
        <v>-0.133899651481035</v>
      </c>
      <c r="AB293" s="1">
        <v>42125</v>
      </c>
      <c r="AC293">
        <v>3.7462499999999999</v>
      </c>
      <c r="AD293">
        <v>3.4611310639705999</v>
      </c>
      <c r="AE293">
        <v>-0.28511893602939797</v>
      </c>
      <c r="AH293" s="1">
        <v>42036</v>
      </c>
      <c r="AI293" s="1">
        <v>42064</v>
      </c>
      <c r="AJ293" s="1">
        <v>42095</v>
      </c>
      <c r="AK293">
        <v>3.61625</v>
      </c>
      <c r="AL293">
        <v>-0.35415575449895198</v>
      </c>
      <c r="AM293">
        <v>3.2620942455010402</v>
      </c>
      <c r="AP293" s="1">
        <v>41974</v>
      </c>
      <c r="AQ293" s="1">
        <v>42005</v>
      </c>
      <c r="AR293" s="1">
        <v>42036</v>
      </c>
      <c r="AS293">
        <v>3.754</v>
      </c>
      <c r="AT293">
        <v>-0.368197196406781</v>
      </c>
      <c r="AU293">
        <v>3.3858028035932102</v>
      </c>
    </row>
    <row r="294" spans="1:47" x14ac:dyDescent="0.25">
      <c r="A294" s="1">
        <v>42005</v>
      </c>
      <c r="B294">
        <v>4.28509366014561</v>
      </c>
      <c r="C294">
        <v>26030733820</v>
      </c>
      <c r="D294">
        <v>4.2125946332127198</v>
      </c>
      <c r="E294">
        <v>18038309947</v>
      </c>
      <c r="F294">
        <v>3.7818592079475</v>
      </c>
      <c r="G294">
        <v>16616737725</v>
      </c>
      <c r="H294">
        <v>4.2554184095187599</v>
      </c>
      <c r="I294">
        <v>3.7818592079475</v>
      </c>
      <c r="J294">
        <v>-0.47355920157125497</v>
      </c>
      <c r="W294" s="1">
        <v>42156</v>
      </c>
      <c r="X294">
        <v>-0.27953371466190102</v>
      </c>
      <c r="Y294">
        <v>-0.33468586820179702</v>
      </c>
      <c r="AB294" s="1">
        <v>42156</v>
      </c>
      <c r="AC294">
        <v>3.895</v>
      </c>
      <c r="AD294">
        <v>3.6154662853380901</v>
      </c>
      <c r="AE294">
        <v>-0.27953371466190102</v>
      </c>
      <c r="AH294" s="1">
        <v>42064</v>
      </c>
      <c r="AI294" s="1">
        <v>42095</v>
      </c>
      <c r="AJ294" s="1">
        <v>42125</v>
      </c>
      <c r="AK294">
        <v>3.67</v>
      </c>
      <c r="AL294">
        <v>-0.30369889934626199</v>
      </c>
      <c r="AM294">
        <v>3.3663011006537298</v>
      </c>
      <c r="AP294" s="1">
        <v>42005</v>
      </c>
      <c r="AQ294" s="1">
        <v>42036</v>
      </c>
      <c r="AR294" s="1">
        <v>42064</v>
      </c>
      <c r="AS294">
        <v>3.5762499999999999</v>
      </c>
      <c r="AT294">
        <v>-0.47355920157125497</v>
      </c>
      <c r="AU294">
        <v>3.10269079842874</v>
      </c>
    </row>
    <row r="295" spans="1:47" x14ac:dyDescent="0.25">
      <c r="A295" s="1">
        <v>42036</v>
      </c>
      <c r="B295">
        <v>4.1431160344874902</v>
      </c>
      <c r="C295">
        <v>21225978209</v>
      </c>
      <c r="D295">
        <v>4.0957857656020096</v>
      </c>
      <c r="E295">
        <v>11029827983.42</v>
      </c>
      <c r="F295">
        <v>3.9062206494715701</v>
      </c>
      <c r="G295">
        <v>13092454740</v>
      </c>
      <c r="H295">
        <v>4.1269315149903898</v>
      </c>
      <c r="I295">
        <v>3.9062206494715701</v>
      </c>
      <c r="J295">
        <v>-0.22071086551881799</v>
      </c>
      <c r="W295" s="1">
        <v>42186</v>
      </c>
      <c r="X295">
        <v>-0.23473148702336999</v>
      </c>
      <c r="Y295">
        <v>-0.204745835740066</v>
      </c>
      <c r="AB295" s="1">
        <v>42186</v>
      </c>
      <c r="AC295">
        <v>3.9460000000000002</v>
      </c>
      <c r="AD295">
        <v>3.7112685129766301</v>
      </c>
      <c r="AE295">
        <v>-0.23473148702336999</v>
      </c>
      <c r="AH295" s="1">
        <v>42095</v>
      </c>
      <c r="AI295" s="1">
        <v>42125</v>
      </c>
      <c r="AJ295" s="1">
        <v>42156</v>
      </c>
      <c r="AK295">
        <v>3.577</v>
      </c>
      <c r="AL295">
        <v>-0.24501918890577301</v>
      </c>
      <c r="AM295">
        <v>3.33198081109422</v>
      </c>
      <c r="AP295" s="1">
        <v>42036</v>
      </c>
      <c r="AQ295" s="1">
        <v>42064</v>
      </c>
      <c r="AR295" s="1">
        <v>42095</v>
      </c>
      <c r="AS295">
        <v>3.61625</v>
      </c>
      <c r="AT295">
        <v>-0.22071086551881799</v>
      </c>
      <c r="AU295">
        <v>3.3955391344811798</v>
      </c>
    </row>
    <row r="296" spans="1:47" x14ac:dyDescent="0.25">
      <c r="A296" s="1">
        <v>42064</v>
      </c>
      <c r="B296">
        <v>3.9848906268391202</v>
      </c>
      <c r="C296">
        <v>30091558238</v>
      </c>
      <c r="D296">
        <v>3.88931402713684</v>
      </c>
      <c r="E296">
        <v>17304063447.02</v>
      </c>
      <c r="F296">
        <v>3.73316913669245</v>
      </c>
      <c r="G296">
        <v>28212015535</v>
      </c>
      <c r="H296">
        <v>3.9499957676411599</v>
      </c>
      <c r="I296">
        <v>3.73316913669245</v>
      </c>
      <c r="J296">
        <v>-0.21682663094871199</v>
      </c>
      <c r="W296" s="1">
        <v>42217</v>
      </c>
      <c r="X296">
        <v>-0.23441720958891099</v>
      </c>
      <c r="Y296">
        <v>-0.218825200912067</v>
      </c>
      <c r="AB296" s="1">
        <v>42217</v>
      </c>
      <c r="AC296">
        <v>3.8050000000000002</v>
      </c>
      <c r="AD296">
        <v>3.5705827904110801</v>
      </c>
      <c r="AE296">
        <v>-0.23441720958891099</v>
      </c>
      <c r="AH296" s="1">
        <v>42125</v>
      </c>
      <c r="AI296" s="1">
        <v>42156</v>
      </c>
      <c r="AJ296" s="1">
        <v>42186</v>
      </c>
      <c r="AK296">
        <v>3.7462499999999999</v>
      </c>
      <c r="AL296">
        <v>-0.21608211755984499</v>
      </c>
      <c r="AM296">
        <v>3.5301678824401499</v>
      </c>
      <c r="AP296" s="1">
        <v>42064</v>
      </c>
      <c r="AQ296" s="1">
        <v>42095</v>
      </c>
      <c r="AR296" s="1">
        <v>42125</v>
      </c>
      <c r="AS296">
        <v>3.67</v>
      </c>
      <c r="AT296">
        <v>-0.21682663094871199</v>
      </c>
      <c r="AU296">
        <v>3.4531733690512798</v>
      </c>
    </row>
    <row r="297" spans="1:47" x14ac:dyDescent="0.25">
      <c r="A297" s="1">
        <v>42095</v>
      </c>
      <c r="B297">
        <v>4.0155646576576602</v>
      </c>
      <c r="C297">
        <v>33545996637</v>
      </c>
      <c r="D297">
        <v>3.93507802928948</v>
      </c>
      <c r="E297">
        <v>26170907119.299999</v>
      </c>
      <c r="F297">
        <v>3.6827713575035599</v>
      </c>
      <c r="G297">
        <v>44601709722</v>
      </c>
      <c r="H297">
        <v>3.9802914277533499</v>
      </c>
      <c r="I297">
        <v>3.6827713575035599</v>
      </c>
      <c r="J297">
        <v>-0.29752007024978899</v>
      </c>
      <c r="W297" s="1">
        <v>42248</v>
      </c>
      <c r="X297">
        <v>-0.25075517919184498</v>
      </c>
      <c r="Y297">
        <v>-0.31485444856631301</v>
      </c>
      <c r="AB297" s="1">
        <v>42248</v>
      </c>
      <c r="AC297">
        <v>3.7869999999999999</v>
      </c>
      <c r="AD297">
        <v>3.5362448208081498</v>
      </c>
      <c r="AE297">
        <v>-0.25075517919184498</v>
      </c>
      <c r="AH297" s="1">
        <v>42156</v>
      </c>
      <c r="AI297" s="1">
        <v>42186</v>
      </c>
      <c r="AJ297" s="1">
        <v>42217</v>
      </c>
      <c r="AK297">
        <v>3.895</v>
      </c>
      <c r="AL297">
        <v>-0.25536852997754</v>
      </c>
      <c r="AM297">
        <v>3.6396314700224499</v>
      </c>
      <c r="AP297" s="1">
        <v>42095</v>
      </c>
      <c r="AQ297" s="1">
        <v>42125</v>
      </c>
      <c r="AR297" s="1">
        <v>42156</v>
      </c>
      <c r="AS297">
        <v>3.577</v>
      </c>
      <c r="AT297">
        <v>-0.29752007024978899</v>
      </c>
      <c r="AU297">
        <v>3.27947992975021</v>
      </c>
    </row>
    <row r="298" spans="1:47" x14ac:dyDescent="0.25">
      <c r="A298" s="1">
        <v>42125</v>
      </c>
      <c r="B298">
        <v>4.05542762769507</v>
      </c>
      <c r="C298">
        <v>27823665941</v>
      </c>
      <c r="D298">
        <v>4.0415479603671196</v>
      </c>
      <c r="E298">
        <v>19488812427.029999</v>
      </c>
      <c r="F298">
        <v>3.91581070579333</v>
      </c>
      <c r="G298">
        <v>20190336309</v>
      </c>
      <c r="H298">
        <v>4.0497103572743596</v>
      </c>
      <c r="I298">
        <v>3.91581070579333</v>
      </c>
      <c r="J298">
        <v>-0.133899651481035</v>
      </c>
      <c r="W298" s="1">
        <v>42278</v>
      </c>
      <c r="X298">
        <v>-0.262544366835059</v>
      </c>
      <c r="Y298">
        <v>-0.36825519610907498</v>
      </c>
      <c r="AB298" s="1">
        <v>42278</v>
      </c>
      <c r="AC298">
        <v>3.6825000000000001</v>
      </c>
      <c r="AD298">
        <v>3.4199556331649399</v>
      </c>
      <c r="AE298">
        <v>-0.262544366835059</v>
      </c>
      <c r="AH298" s="1">
        <v>42186</v>
      </c>
      <c r="AI298" s="1">
        <v>42217</v>
      </c>
      <c r="AJ298" s="1">
        <v>42248</v>
      </c>
      <c r="AK298">
        <v>3.9460000000000002</v>
      </c>
      <c r="AL298">
        <v>-0.224443785140966</v>
      </c>
      <c r="AM298">
        <v>3.7215562148590302</v>
      </c>
      <c r="AP298" s="1">
        <v>42125</v>
      </c>
      <c r="AQ298" s="1">
        <v>42156</v>
      </c>
      <c r="AR298" s="1">
        <v>42186</v>
      </c>
      <c r="AS298">
        <v>3.7462499999999999</v>
      </c>
      <c r="AT298">
        <v>-0.133899651481035</v>
      </c>
      <c r="AU298">
        <v>3.6123503485189601</v>
      </c>
    </row>
    <row r="299" spans="1:47" x14ac:dyDescent="0.25">
      <c r="A299" s="1">
        <v>42156</v>
      </c>
      <c r="B299">
        <v>4.0131944931949901</v>
      </c>
      <c r="C299">
        <v>32402740210</v>
      </c>
      <c r="D299">
        <v>3.98213793498816</v>
      </c>
      <c r="E299">
        <v>24849512424</v>
      </c>
      <c r="F299">
        <v>3.6650289749619298</v>
      </c>
      <c r="G299">
        <v>47130436024</v>
      </c>
      <c r="H299">
        <v>3.9997148431637299</v>
      </c>
      <c r="I299">
        <v>3.6650289749619298</v>
      </c>
      <c r="J299">
        <v>-0.33468586820179702</v>
      </c>
      <c r="W299" s="1">
        <v>42309</v>
      </c>
      <c r="X299">
        <v>-0.29900812560009699</v>
      </c>
      <c r="Y299">
        <v>-0.352682204071262</v>
      </c>
      <c r="AB299" s="1">
        <v>42309</v>
      </c>
      <c r="AC299">
        <v>3.8487499999999999</v>
      </c>
      <c r="AD299">
        <v>3.5497418743999001</v>
      </c>
      <c r="AE299">
        <v>-0.29900812560009699</v>
      </c>
      <c r="AH299" s="1">
        <v>42217</v>
      </c>
      <c r="AI299" s="1">
        <v>42248</v>
      </c>
      <c r="AJ299" s="1">
        <v>42278</v>
      </c>
      <c r="AK299">
        <v>3.8050000000000002</v>
      </c>
      <c r="AL299">
        <v>-0.25275230161797702</v>
      </c>
      <c r="AM299">
        <v>3.5522476983820201</v>
      </c>
      <c r="AP299" s="1">
        <v>42156</v>
      </c>
      <c r="AQ299" s="1">
        <v>42186</v>
      </c>
      <c r="AR299" s="1">
        <v>42217</v>
      </c>
      <c r="AS299">
        <v>3.895</v>
      </c>
      <c r="AT299">
        <v>-0.33468586820179702</v>
      </c>
      <c r="AU299">
        <v>3.5603141317981999</v>
      </c>
    </row>
    <row r="300" spans="1:47" x14ac:dyDescent="0.25">
      <c r="A300" s="1">
        <v>42186</v>
      </c>
      <c r="B300">
        <v>4.1406085045957202</v>
      </c>
      <c r="C300">
        <v>29194384816</v>
      </c>
      <c r="D300">
        <v>4.1140629382096696</v>
      </c>
      <c r="E300">
        <v>22624582858.240002</v>
      </c>
      <c r="F300">
        <v>3.9242726586108398</v>
      </c>
      <c r="G300">
        <v>36790637401</v>
      </c>
      <c r="H300">
        <v>4.1290184943509098</v>
      </c>
      <c r="I300">
        <v>3.9242726586108398</v>
      </c>
      <c r="J300">
        <v>-0.204745835740066</v>
      </c>
      <c r="W300" s="1">
        <v>42339</v>
      </c>
      <c r="X300">
        <v>-0.29432808060713</v>
      </c>
      <c r="Y300">
        <v>-0.30660559824399602</v>
      </c>
      <c r="AB300" s="1">
        <v>42339</v>
      </c>
      <c r="AC300">
        <v>3.8639999999999999</v>
      </c>
      <c r="AD300">
        <v>3.5696719193928601</v>
      </c>
      <c r="AE300">
        <v>-0.29432808060713</v>
      </c>
      <c r="AH300" s="1">
        <v>42248</v>
      </c>
      <c r="AI300" s="1">
        <v>42278</v>
      </c>
      <c r="AJ300" s="1">
        <v>42309</v>
      </c>
      <c r="AK300">
        <v>3.7869999999999999</v>
      </c>
      <c r="AL300">
        <v>-0.24614182840614901</v>
      </c>
      <c r="AM300">
        <v>3.5408581715938499</v>
      </c>
      <c r="AP300" s="1">
        <v>42186</v>
      </c>
      <c r="AQ300" s="1">
        <v>42217</v>
      </c>
      <c r="AR300" s="1">
        <v>42248</v>
      </c>
      <c r="AS300">
        <v>3.9460000000000002</v>
      </c>
      <c r="AT300">
        <v>-0.204745835740066</v>
      </c>
      <c r="AU300">
        <v>3.7412541642599302</v>
      </c>
    </row>
    <row r="301" spans="1:47" x14ac:dyDescent="0.25">
      <c r="A301" s="1">
        <v>42217</v>
      </c>
      <c r="B301">
        <v>4.2896438383088897</v>
      </c>
      <c r="C301">
        <v>31259138639</v>
      </c>
      <c r="D301">
        <v>4.2448763200569797</v>
      </c>
      <c r="E301">
        <v>26782066563.77</v>
      </c>
      <c r="F301">
        <v>4.0501614741017402</v>
      </c>
      <c r="G301">
        <v>30675585661</v>
      </c>
      <c r="H301">
        <v>4.2689866750138004</v>
      </c>
      <c r="I301">
        <v>4.0501614741017402</v>
      </c>
      <c r="J301">
        <v>-0.218825200912067</v>
      </c>
      <c r="W301" s="1">
        <v>42370</v>
      </c>
      <c r="X301">
        <v>-0.32468312589238102</v>
      </c>
      <c r="Y301">
        <v>-0.38687610745156997</v>
      </c>
      <c r="AB301" s="1">
        <v>42370</v>
      </c>
      <c r="AC301">
        <v>3.7725</v>
      </c>
      <c r="AD301">
        <v>3.4478168741076098</v>
      </c>
      <c r="AE301">
        <v>-0.32468312589238102</v>
      </c>
      <c r="AH301" s="1">
        <v>42278</v>
      </c>
      <c r="AI301" s="1">
        <v>42309</v>
      </c>
      <c r="AJ301" s="1">
        <v>42339</v>
      </c>
      <c r="AK301">
        <v>3.6825000000000001</v>
      </c>
      <c r="AL301">
        <v>-0.30064494852915202</v>
      </c>
      <c r="AM301">
        <v>3.3818550514708399</v>
      </c>
      <c r="AP301" s="1">
        <v>42217</v>
      </c>
      <c r="AQ301" s="1">
        <v>42248</v>
      </c>
      <c r="AR301" s="1">
        <v>42278</v>
      </c>
      <c r="AS301">
        <v>3.8050000000000002</v>
      </c>
      <c r="AT301">
        <v>-0.218825200912067</v>
      </c>
      <c r="AU301">
        <v>3.5861747990879298</v>
      </c>
    </row>
    <row r="302" spans="1:47" x14ac:dyDescent="0.25">
      <c r="A302" s="1">
        <v>42248</v>
      </c>
      <c r="B302">
        <v>4.2987296481790098</v>
      </c>
      <c r="C302">
        <v>28854255250</v>
      </c>
      <c r="D302">
        <v>4.3157966541882899</v>
      </c>
      <c r="E302">
        <v>13130360374.049999</v>
      </c>
      <c r="F302">
        <v>3.9892127723420598</v>
      </c>
      <c r="G302">
        <v>33781488572</v>
      </c>
      <c r="H302">
        <v>4.3040672209083803</v>
      </c>
      <c r="I302">
        <v>3.9892127723420598</v>
      </c>
      <c r="J302">
        <v>-0.31485444856631301</v>
      </c>
      <c r="W302" s="1">
        <v>42401</v>
      </c>
      <c r="X302">
        <v>-0.35980718263344003</v>
      </c>
      <c r="Y302">
        <v>-0.42956954135842501</v>
      </c>
      <c r="AB302" s="1">
        <v>42401</v>
      </c>
      <c r="AC302">
        <v>3.5474999999999999</v>
      </c>
      <c r="AD302">
        <v>3.1876928173665502</v>
      </c>
      <c r="AE302">
        <v>-0.35980718263344003</v>
      </c>
      <c r="AH302" s="1">
        <v>42309</v>
      </c>
      <c r="AI302" s="1">
        <v>42339</v>
      </c>
      <c r="AJ302" s="1">
        <v>42370</v>
      </c>
      <c r="AK302">
        <v>3.8487499999999999</v>
      </c>
      <c r="AL302">
        <v>-0.34526394958221701</v>
      </c>
      <c r="AM302">
        <v>3.5034860504177798</v>
      </c>
      <c r="AP302" s="1">
        <v>42248</v>
      </c>
      <c r="AQ302" s="1">
        <v>42278</v>
      </c>
      <c r="AR302" s="1">
        <v>42309</v>
      </c>
      <c r="AS302">
        <v>3.7869999999999999</v>
      </c>
      <c r="AT302">
        <v>-0.31485444856631301</v>
      </c>
      <c r="AU302">
        <v>3.4721455514336799</v>
      </c>
    </row>
    <row r="303" spans="1:47" x14ac:dyDescent="0.25">
      <c r="A303" s="1">
        <v>42278</v>
      </c>
      <c r="B303">
        <v>4.2401567590892304</v>
      </c>
      <c r="C303">
        <v>27681814632</v>
      </c>
      <c r="D303">
        <v>4.2424085122422799</v>
      </c>
      <c r="E303">
        <v>15928686275.120001</v>
      </c>
      <c r="F303">
        <v>3.8727240132799201</v>
      </c>
      <c r="G303">
        <v>25616695702</v>
      </c>
      <c r="H303">
        <v>4.24097920938899</v>
      </c>
      <c r="I303">
        <v>3.8727240132799201</v>
      </c>
      <c r="J303">
        <v>-0.36825519610907498</v>
      </c>
      <c r="W303" s="1">
        <v>42430</v>
      </c>
      <c r="X303">
        <v>-0.34949687472352903</v>
      </c>
      <c r="Y303">
        <v>-0.25299260110684801</v>
      </c>
      <c r="AB303" s="1">
        <v>42430</v>
      </c>
      <c r="AC303">
        <v>3.569</v>
      </c>
      <c r="AD303">
        <v>3.2195031252764701</v>
      </c>
      <c r="AE303">
        <v>-0.34949687472352903</v>
      </c>
      <c r="AH303" s="1">
        <v>42339</v>
      </c>
      <c r="AI303" s="1">
        <v>42370</v>
      </c>
      <c r="AJ303" s="1">
        <v>42401</v>
      </c>
      <c r="AK303">
        <v>3.8639999999999999</v>
      </c>
      <c r="AL303">
        <v>-0.342514332808111</v>
      </c>
      <c r="AM303">
        <v>3.5214856671918802</v>
      </c>
      <c r="AP303" s="1">
        <v>42278</v>
      </c>
      <c r="AQ303" s="1">
        <v>42309</v>
      </c>
      <c r="AR303" s="1">
        <v>42339</v>
      </c>
      <c r="AS303">
        <v>3.6825000000000001</v>
      </c>
      <c r="AT303">
        <v>-0.36825519610907498</v>
      </c>
      <c r="AU303">
        <v>3.31424480389092</v>
      </c>
    </row>
    <row r="304" spans="1:47" x14ac:dyDescent="0.25">
      <c r="A304" s="1">
        <v>42309</v>
      </c>
      <c r="B304">
        <v>4.1866641471771597</v>
      </c>
      <c r="C304">
        <v>26529191709</v>
      </c>
      <c r="D304">
        <v>4.1762881897673898</v>
      </c>
      <c r="E304">
        <v>22669190343</v>
      </c>
      <c r="F304">
        <v>3.8292010022760898</v>
      </c>
      <c r="G304">
        <v>22302517375</v>
      </c>
      <c r="H304">
        <v>4.1818832063473499</v>
      </c>
      <c r="I304">
        <v>3.8292010022760898</v>
      </c>
      <c r="J304">
        <v>-0.352682204071262</v>
      </c>
      <c r="W304" s="1">
        <v>42461</v>
      </c>
      <c r="X304">
        <v>-0.33686194817797899</v>
      </c>
      <c r="Y304">
        <v>-0.29244563683577202</v>
      </c>
      <c r="AB304" s="1">
        <v>42461</v>
      </c>
      <c r="AC304">
        <v>3.4925000000000002</v>
      </c>
      <c r="AD304">
        <v>3.1556380518220202</v>
      </c>
      <c r="AE304">
        <v>-0.33686194817797899</v>
      </c>
      <c r="AH304" s="1">
        <v>42370</v>
      </c>
      <c r="AI304" s="1">
        <v>42401</v>
      </c>
      <c r="AJ304" s="1">
        <v>42430</v>
      </c>
      <c r="AK304">
        <v>3.7725</v>
      </c>
      <c r="AL304">
        <v>-0.34872130325560902</v>
      </c>
      <c r="AM304">
        <v>3.4237786967443902</v>
      </c>
      <c r="AP304" s="1">
        <v>42309</v>
      </c>
      <c r="AQ304" s="1">
        <v>42339</v>
      </c>
      <c r="AR304" s="1">
        <v>42370</v>
      </c>
      <c r="AS304">
        <v>3.8487499999999999</v>
      </c>
      <c r="AT304">
        <v>-0.352682204071262</v>
      </c>
      <c r="AU304">
        <v>3.4960677959287301</v>
      </c>
    </row>
    <row r="305" spans="1:47" x14ac:dyDescent="0.25">
      <c r="A305" s="1">
        <v>42339</v>
      </c>
      <c r="B305">
        <v>4.1530116901523702</v>
      </c>
      <c r="C305">
        <v>19845530890</v>
      </c>
      <c r="D305">
        <v>4.0760322969442102</v>
      </c>
      <c r="E305">
        <v>14984061177</v>
      </c>
      <c r="F305">
        <v>3.8132887377062201</v>
      </c>
      <c r="G305">
        <v>22593247783</v>
      </c>
      <c r="H305">
        <v>4.1198943359502103</v>
      </c>
      <c r="I305">
        <v>3.8132887377062201</v>
      </c>
      <c r="J305">
        <v>-0.30660559824399602</v>
      </c>
      <c r="W305" s="1">
        <v>42491</v>
      </c>
      <c r="X305">
        <v>-0.33381432101082098</v>
      </c>
      <c r="Y305">
        <v>-0.33439644106831801</v>
      </c>
      <c r="AB305" s="1">
        <v>42491</v>
      </c>
      <c r="AC305">
        <v>3.4874999999999998</v>
      </c>
      <c r="AD305">
        <v>3.1536856789891701</v>
      </c>
      <c r="AE305">
        <v>-0.33381432101082098</v>
      </c>
      <c r="AH305" s="1">
        <v>42401</v>
      </c>
      <c r="AI305" s="1">
        <v>42430</v>
      </c>
      <c r="AJ305" s="1">
        <v>42461</v>
      </c>
      <c r="AK305">
        <v>3.5474999999999999</v>
      </c>
      <c r="AL305">
        <v>-0.37435041568466398</v>
      </c>
      <c r="AM305">
        <v>3.1731495843153299</v>
      </c>
      <c r="AP305" s="1">
        <v>42339</v>
      </c>
      <c r="AQ305" s="1">
        <v>42370</v>
      </c>
      <c r="AR305" s="1">
        <v>42401</v>
      </c>
      <c r="AS305">
        <v>3.8639999999999999</v>
      </c>
      <c r="AT305">
        <v>-0.30660559824399602</v>
      </c>
      <c r="AU305">
        <v>3.557394401756</v>
      </c>
    </row>
    <row r="306" spans="1:47" x14ac:dyDescent="0.25">
      <c r="A306" s="1">
        <v>42370</v>
      </c>
      <c r="B306">
        <v>4.2015041186555404</v>
      </c>
      <c r="C306">
        <v>25519399682</v>
      </c>
      <c r="D306">
        <v>4.25441775490631</v>
      </c>
      <c r="E306">
        <v>16502697926</v>
      </c>
      <c r="F306">
        <v>3.8354079771009202</v>
      </c>
      <c r="G306">
        <v>21866360170</v>
      </c>
      <c r="H306">
        <v>4.2222840845524896</v>
      </c>
      <c r="I306">
        <v>3.8354079771009202</v>
      </c>
      <c r="J306">
        <v>-0.38687610745156997</v>
      </c>
      <c r="W306" s="1">
        <v>42522</v>
      </c>
      <c r="X306">
        <v>-0.33036098210154202</v>
      </c>
      <c r="Y306">
        <v>-0.285885564788319</v>
      </c>
      <c r="AB306" s="1">
        <v>42522</v>
      </c>
      <c r="AC306">
        <v>3.448</v>
      </c>
      <c r="AD306">
        <v>3.1176390178984499</v>
      </c>
      <c r="AE306">
        <v>-0.33036098210154202</v>
      </c>
      <c r="AH306" s="1">
        <v>42430</v>
      </c>
      <c r="AI306" s="1">
        <v>42461</v>
      </c>
      <c r="AJ306" s="1">
        <v>42491</v>
      </c>
      <c r="AK306">
        <v>3.569</v>
      </c>
      <c r="AL306">
        <v>-0.356479416638948</v>
      </c>
      <c r="AM306">
        <v>3.2125205833610502</v>
      </c>
      <c r="AP306" s="1">
        <v>42370</v>
      </c>
      <c r="AQ306" s="1">
        <v>42401</v>
      </c>
      <c r="AR306" s="1">
        <v>42430</v>
      </c>
      <c r="AS306">
        <v>3.7725</v>
      </c>
      <c r="AT306">
        <v>-0.38687610745156997</v>
      </c>
      <c r="AU306">
        <v>3.3856238925484199</v>
      </c>
    </row>
    <row r="307" spans="1:47" x14ac:dyDescent="0.25">
      <c r="A307" s="1">
        <v>42401</v>
      </c>
      <c r="B307">
        <v>4.2544376843676304</v>
      </c>
      <c r="C307">
        <v>20490488592</v>
      </c>
      <c r="D307">
        <v>4.2105924701349</v>
      </c>
      <c r="E307">
        <v>18236195824</v>
      </c>
      <c r="F307">
        <v>3.8042216579111199</v>
      </c>
      <c r="G307">
        <v>24288574600</v>
      </c>
      <c r="H307">
        <v>4.2337911992695396</v>
      </c>
      <c r="I307">
        <v>3.8042216579111199</v>
      </c>
      <c r="J307">
        <v>-0.42956954135842501</v>
      </c>
      <c r="W307" s="1">
        <v>42552</v>
      </c>
      <c r="X307">
        <v>-0.31647782776899103</v>
      </c>
      <c r="Y307">
        <v>-0.303577181456263</v>
      </c>
      <c r="AB307" s="1">
        <v>42552</v>
      </c>
      <c r="AC307">
        <v>3.3149999999999999</v>
      </c>
      <c r="AD307">
        <v>2.998522172231</v>
      </c>
      <c r="AE307">
        <v>-0.31647782776899103</v>
      </c>
      <c r="AH307" s="1">
        <v>42461</v>
      </c>
      <c r="AI307" s="1">
        <v>42491</v>
      </c>
      <c r="AJ307" s="1">
        <v>42522</v>
      </c>
      <c r="AK307">
        <v>3.4925000000000002</v>
      </c>
      <c r="AL307">
        <v>-0.32500259310034801</v>
      </c>
      <c r="AM307">
        <v>3.16749740689965</v>
      </c>
      <c r="AP307" s="1">
        <v>42401</v>
      </c>
      <c r="AQ307" s="1">
        <v>42430</v>
      </c>
      <c r="AR307" s="1">
        <v>42461</v>
      </c>
      <c r="AS307">
        <v>3.5474999999999999</v>
      </c>
      <c r="AT307">
        <v>-0.42956954135842501</v>
      </c>
      <c r="AU307">
        <v>3.1179304586415699</v>
      </c>
    </row>
    <row r="308" spans="1:47" x14ac:dyDescent="0.25">
      <c r="A308" s="1">
        <v>42430</v>
      </c>
      <c r="B308">
        <v>4.1548469197554097</v>
      </c>
      <c r="C308">
        <v>23262471423</v>
      </c>
      <c r="D308">
        <v>4.1685780303512603</v>
      </c>
      <c r="E308">
        <v>10536468344</v>
      </c>
      <c r="F308">
        <v>3.9061348497278998</v>
      </c>
      <c r="G308">
        <v>17211418014</v>
      </c>
      <c r="H308">
        <v>4.1591274508347498</v>
      </c>
      <c r="I308">
        <v>3.9061348497278998</v>
      </c>
      <c r="J308">
        <v>-0.25299260110684801</v>
      </c>
      <c r="W308" s="1">
        <v>42583</v>
      </c>
      <c r="X308">
        <v>-0.28396555166623699</v>
      </c>
      <c r="Y308">
        <v>-0.234495884741902</v>
      </c>
      <c r="AB308" s="1">
        <v>42583</v>
      </c>
      <c r="AC308">
        <v>3.32</v>
      </c>
      <c r="AD308">
        <v>3.0360344483337598</v>
      </c>
      <c r="AE308">
        <v>-0.28396555166623699</v>
      </c>
      <c r="AH308" s="1">
        <v>42491</v>
      </c>
      <c r="AI308" s="1">
        <v>42522</v>
      </c>
      <c r="AJ308" s="1">
        <v>42552</v>
      </c>
      <c r="AK308">
        <v>3.4874999999999998</v>
      </c>
      <c r="AL308">
        <v>-0.29327822633697898</v>
      </c>
      <c r="AM308">
        <v>3.1942217736630201</v>
      </c>
      <c r="AP308" s="1">
        <v>42430</v>
      </c>
      <c r="AQ308" s="1">
        <v>42461</v>
      </c>
      <c r="AR308" s="1">
        <v>42491</v>
      </c>
      <c r="AS308">
        <v>3.569</v>
      </c>
      <c r="AT308">
        <v>-0.25299260110684801</v>
      </c>
      <c r="AU308">
        <v>3.31600739889315</v>
      </c>
    </row>
    <row r="309" spans="1:47" x14ac:dyDescent="0.25">
      <c r="A309" s="1">
        <v>42461</v>
      </c>
      <c r="B309">
        <v>3.9680454553643498</v>
      </c>
      <c r="C309">
        <v>33496712030</v>
      </c>
      <c r="D309">
        <v>4.0055023787836204</v>
      </c>
      <c r="E309">
        <v>20222940033</v>
      </c>
      <c r="F309">
        <v>3.6897006007756401</v>
      </c>
      <c r="G309">
        <v>31009443829</v>
      </c>
      <c r="H309">
        <v>3.9821462376114098</v>
      </c>
      <c r="I309">
        <v>3.6897006007756401</v>
      </c>
      <c r="J309">
        <v>-0.29244563683577202</v>
      </c>
      <c r="W309" s="1">
        <v>42614</v>
      </c>
      <c r="X309">
        <v>-0.279893678080122</v>
      </c>
      <c r="Y309">
        <v>-0.228561359590156</v>
      </c>
      <c r="AB309" s="1">
        <v>42614</v>
      </c>
      <c r="AC309">
        <v>3.3475000000000001</v>
      </c>
      <c r="AD309">
        <v>3.0676063219198699</v>
      </c>
      <c r="AE309">
        <v>-0.279893678080122</v>
      </c>
      <c r="AH309" s="1">
        <v>42522</v>
      </c>
      <c r="AI309" s="1">
        <v>42552</v>
      </c>
      <c r="AJ309" s="1">
        <v>42583</v>
      </c>
      <c r="AK309">
        <v>3.448</v>
      </c>
      <c r="AL309">
        <v>-0.30424254756413599</v>
      </c>
      <c r="AM309">
        <v>3.1437574524358598</v>
      </c>
      <c r="AP309" s="1">
        <v>42461</v>
      </c>
      <c r="AQ309" s="1">
        <v>42491</v>
      </c>
      <c r="AR309" s="1">
        <v>42522</v>
      </c>
      <c r="AS309">
        <v>3.4925000000000002</v>
      </c>
      <c r="AT309">
        <v>-0.29244563683577202</v>
      </c>
      <c r="AU309">
        <v>3.2000543631642202</v>
      </c>
    </row>
    <row r="310" spans="1:47" x14ac:dyDescent="0.25">
      <c r="A310" s="1">
        <v>42491</v>
      </c>
      <c r="B310">
        <v>4.0131505814452799</v>
      </c>
      <c r="C310">
        <v>27660642619</v>
      </c>
      <c r="D310">
        <v>3.9758587523820901</v>
      </c>
      <c r="E310">
        <v>22437706045</v>
      </c>
      <c r="F310">
        <v>3.6620521308154901</v>
      </c>
      <c r="G310">
        <v>32818178842</v>
      </c>
      <c r="H310">
        <v>3.9964485718838101</v>
      </c>
      <c r="I310">
        <v>3.6620521308154901</v>
      </c>
      <c r="J310">
        <v>-0.33439644106831801</v>
      </c>
      <c r="W310" s="1">
        <v>42644</v>
      </c>
      <c r="X310">
        <v>-0.276190534491358</v>
      </c>
      <c r="Y310">
        <v>-0.270226775303188</v>
      </c>
      <c r="AB310" s="1">
        <v>42644</v>
      </c>
      <c r="AC310">
        <v>3.3574999999999999</v>
      </c>
      <c r="AD310">
        <v>3.0813094655086402</v>
      </c>
      <c r="AE310">
        <v>-0.276190534491358</v>
      </c>
      <c r="AH310" s="1">
        <v>42552</v>
      </c>
      <c r="AI310" s="1">
        <v>42583</v>
      </c>
      <c r="AJ310" s="1">
        <v>42614</v>
      </c>
      <c r="AK310">
        <v>3.3149999999999999</v>
      </c>
      <c r="AL310">
        <v>-0.30795306243763299</v>
      </c>
      <c r="AM310">
        <v>3.0070469375623601</v>
      </c>
      <c r="AP310" s="1">
        <v>42491</v>
      </c>
      <c r="AQ310" s="1">
        <v>42522</v>
      </c>
      <c r="AR310" s="1">
        <v>42552</v>
      </c>
      <c r="AS310">
        <v>3.4874999999999998</v>
      </c>
      <c r="AT310">
        <v>-0.33439644106831801</v>
      </c>
      <c r="AU310">
        <v>3.1531035589316798</v>
      </c>
    </row>
    <row r="311" spans="1:47" x14ac:dyDescent="0.25">
      <c r="A311" s="1">
        <v>42522</v>
      </c>
      <c r="B311">
        <v>3.9502448725529899</v>
      </c>
      <c r="C311">
        <v>35299312293</v>
      </c>
      <c r="D311">
        <v>3.9102166679899</v>
      </c>
      <c r="E311">
        <v>21530735537</v>
      </c>
      <c r="F311">
        <v>3.64919414920195</v>
      </c>
      <c r="G311">
        <v>35364949193</v>
      </c>
      <c r="H311">
        <v>3.93507971399027</v>
      </c>
      <c r="I311">
        <v>3.64919414920195</v>
      </c>
      <c r="J311">
        <v>-0.285885564788319</v>
      </c>
      <c r="W311" s="1">
        <v>42675</v>
      </c>
      <c r="X311">
        <v>-0.26102928213216497</v>
      </c>
      <c r="Y311">
        <v>-0.24342892691316201</v>
      </c>
      <c r="AB311" s="1">
        <v>42675</v>
      </c>
      <c r="AC311">
        <v>3.7069999999999901</v>
      </c>
      <c r="AD311">
        <v>3.44597071786783</v>
      </c>
      <c r="AE311">
        <v>-0.26102928213216497</v>
      </c>
      <c r="AH311" s="1">
        <v>42583</v>
      </c>
      <c r="AI311" s="1">
        <v>42614</v>
      </c>
      <c r="AJ311" s="1">
        <v>42644</v>
      </c>
      <c r="AK311">
        <v>3.32</v>
      </c>
      <c r="AL311">
        <v>-0.27465287699549501</v>
      </c>
      <c r="AM311">
        <v>3.0453471230044999</v>
      </c>
      <c r="AP311" s="1">
        <v>42522</v>
      </c>
      <c r="AQ311" s="1">
        <v>42552</v>
      </c>
      <c r="AR311" s="1">
        <v>42583</v>
      </c>
      <c r="AS311">
        <v>3.448</v>
      </c>
      <c r="AT311">
        <v>-0.285885564788319</v>
      </c>
      <c r="AU311">
        <v>3.1621144352116799</v>
      </c>
    </row>
    <row r="312" spans="1:47" x14ac:dyDescent="0.25">
      <c r="A312" s="1">
        <v>42552</v>
      </c>
      <c r="B312">
        <v>3.9044547290812099</v>
      </c>
      <c r="C312">
        <v>35643026082</v>
      </c>
      <c r="D312">
        <v>3.9338222954071398</v>
      </c>
      <c r="E312">
        <v>30442777877</v>
      </c>
      <c r="F312">
        <v>3.61440587360253</v>
      </c>
      <c r="G312">
        <v>38369159109</v>
      </c>
      <c r="H312">
        <v>3.9179830550588002</v>
      </c>
      <c r="I312">
        <v>3.61440587360253</v>
      </c>
      <c r="J312">
        <v>-0.303577181456263</v>
      </c>
      <c r="W312" s="1">
        <v>42705</v>
      </c>
      <c r="X312">
        <v>-0.25251942663892801</v>
      </c>
      <c r="Y312">
        <v>-0.23482643182889801</v>
      </c>
      <c r="AB312" s="1">
        <v>42705</v>
      </c>
      <c r="AC312">
        <v>4.1025</v>
      </c>
      <c r="AD312">
        <v>3.8499805733610701</v>
      </c>
      <c r="AE312">
        <v>-0.25251942663892801</v>
      </c>
      <c r="AH312" s="1">
        <v>42614</v>
      </c>
      <c r="AI312" s="1">
        <v>42644</v>
      </c>
      <c r="AJ312" s="1">
        <v>42675</v>
      </c>
      <c r="AK312">
        <v>3.3475000000000001</v>
      </c>
      <c r="AL312">
        <v>-0.25554480859610701</v>
      </c>
      <c r="AM312">
        <v>3.0919551914038901</v>
      </c>
      <c r="AP312" s="1">
        <v>42552</v>
      </c>
      <c r="AQ312" s="1">
        <v>42583</v>
      </c>
      <c r="AR312" s="1">
        <v>42614</v>
      </c>
      <c r="AS312">
        <v>3.3149999999999999</v>
      </c>
      <c r="AT312">
        <v>-0.303577181456263</v>
      </c>
      <c r="AU312">
        <v>3.0114228185437302</v>
      </c>
    </row>
    <row r="313" spans="1:47" x14ac:dyDescent="0.25">
      <c r="A313" s="1">
        <v>42583</v>
      </c>
      <c r="B313">
        <v>3.8091411030615401</v>
      </c>
      <c r="C313">
        <v>38583210821</v>
      </c>
      <c r="D313">
        <v>3.82924913262528</v>
      </c>
      <c r="E313">
        <v>28189896036</v>
      </c>
      <c r="F313">
        <v>3.5831343135493201</v>
      </c>
      <c r="G313">
        <v>36555750539</v>
      </c>
      <c r="H313">
        <v>3.8176301982912202</v>
      </c>
      <c r="I313">
        <v>3.5831343135493201</v>
      </c>
      <c r="J313">
        <v>-0.234495884741902</v>
      </c>
      <c r="W313" s="1">
        <v>42736</v>
      </c>
      <c r="X313">
        <v>-0.27123191027451599</v>
      </c>
      <c r="Y313">
        <v>-0.41585208326978901</v>
      </c>
      <c r="AB313" s="1">
        <v>42736</v>
      </c>
      <c r="AC313">
        <v>4.0187499999999998</v>
      </c>
      <c r="AD313">
        <v>3.7475180897254798</v>
      </c>
      <c r="AE313">
        <v>-0.27123191027451599</v>
      </c>
      <c r="AH313" s="1">
        <v>42644</v>
      </c>
      <c r="AI313" s="1">
        <v>42675</v>
      </c>
      <c r="AJ313" s="1">
        <v>42705</v>
      </c>
      <c r="AK313">
        <v>3.3574999999999999</v>
      </c>
      <c r="AL313">
        <v>-0.24442800654508201</v>
      </c>
      <c r="AM313">
        <v>3.11307199345491</v>
      </c>
      <c r="AP313" s="1">
        <v>42583</v>
      </c>
      <c r="AQ313" s="1">
        <v>42614</v>
      </c>
      <c r="AR313" s="1">
        <v>42644</v>
      </c>
      <c r="AS313">
        <v>3.32</v>
      </c>
      <c r="AT313">
        <v>-0.234495884741902</v>
      </c>
      <c r="AU313">
        <v>3.08550411525809</v>
      </c>
    </row>
    <row r="314" spans="1:47" x14ac:dyDescent="0.25">
      <c r="A314" s="1">
        <v>42614</v>
      </c>
      <c r="B314">
        <v>3.7076985106625502</v>
      </c>
      <c r="C314">
        <v>43278053263</v>
      </c>
      <c r="D314">
        <v>3.7341671723726799</v>
      </c>
      <c r="E314">
        <v>37595447447</v>
      </c>
      <c r="F314">
        <v>3.4914415668770702</v>
      </c>
      <c r="G314">
        <v>42319490639</v>
      </c>
      <c r="H314">
        <v>3.7200029264672301</v>
      </c>
      <c r="I314">
        <v>3.4914415668770702</v>
      </c>
      <c r="J314">
        <v>-0.228561359590156</v>
      </c>
      <c r="W314" s="1">
        <v>42767</v>
      </c>
      <c r="X314">
        <v>-0.25148599499188101</v>
      </c>
      <c r="Y314">
        <v>-0.116020393046095</v>
      </c>
      <c r="AB314" s="1"/>
      <c r="AH314" s="1">
        <v>42675</v>
      </c>
      <c r="AI314" s="1">
        <v>42705</v>
      </c>
      <c r="AJ314" s="1">
        <v>42736</v>
      </c>
      <c r="AK314">
        <v>3.7069999999999901</v>
      </c>
      <c r="AL314">
        <v>-0.24740568726883599</v>
      </c>
      <c r="AM314">
        <v>3.4595943127311601</v>
      </c>
      <c r="AP314" s="1">
        <v>42614</v>
      </c>
      <c r="AQ314" s="1">
        <v>42644</v>
      </c>
      <c r="AR314" s="1">
        <v>42675</v>
      </c>
      <c r="AS314">
        <v>3.3475000000000001</v>
      </c>
      <c r="AT314">
        <v>-0.228561359590156</v>
      </c>
      <c r="AU314">
        <v>3.1189386404098398</v>
      </c>
    </row>
    <row r="315" spans="1:47" x14ac:dyDescent="0.25">
      <c r="A315" s="1">
        <v>42644</v>
      </c>
      <c r="B315">
        <v>3.6911117089480698</v>
      </c>
      <c r="C315">
        <v>42897726714</v>
      </c>
      <c r="D315">
        <v>3.7575688207972902</v>
      </c>
      <c r="E315">
        <v>29048741895</v>
      </c>
      <c r="F315">
        <v>3.4477173206475902</v>
      </c>
      <c r="G315">
        <v>43190876759</v>
      </c>
      <c r="H315">
        <v>3.7179440959507799</v>
      </c>
      <c r="I315">
        <v>3.4477173206475902</v>
      </c>
      <c r="J315">
        <v>-0.270226775303188</v>
      </c>
      <c r="W315" s="1"/>
      <c r="AB315" s="1"/>
      <c r="AH315" s="1">
        <v>42705</v>
      </c>
      <c r="AI315" s="1">
        <v>42736</v>
      </c>
      <c r="AJ315" s="1">
        <v>42767</v>
      </c>
      <c r="AK315">
        <v>4.1025</v>
      </c>
      <c r="AL315">
        <v>-0.24949404468174899</v>
      </c>
      <c r="AM315">
        <v>3.8530059553182499</v>
      </c>
      <c r="AP315" s="1">
        <v>42644</v>
      </c>
      <c r="AQ315" s="1">
        <v>42675</v>
      </c>
      <c r="AR315" s="1">
        <v>42705</v>
      </c>
      <c r="AS315">
        <v>3.3574999999999999</v>
      </c>
      <c r="AT315">
        <v>-0.270226775303188</v>
      </c>
      <c r="AU315">
        <v>3.0872732246968102</v>
      </c>
    </row>
    <row r="316" spans="1:47" x14ac:dyDescent="0.25">
      <c r="A316" s="1">
        <v>42675</v>
      </c>
      <c r="B316">
        <v>3.7211804819464001</v>
      </c>
      <c r="C316">
        <v>43228569751</v>
      </c>
      <c r="D316">
        <v>3.7490336784036198</v>
      </c>
      <c r="E316">
        <v>27803754579</v>
      </c>
      <c r="F316">
        <v>3.4886539638427698</v>
      </c>
      <c r="G316">
        <v>41590021137</v>
      </c>
      <c r="H316">
        <v>3.7320828907559398</v>
      </c>
      <c r="I316">
        <v>3.4886539638427698</v>
      </c>
      <c r="J316">
        <v>-0.24342892691316201</v>
      </c>
      <c r="W316" s="1"/>
      <c r="AB316" s="1"/>
      <c r="AH316" s="1">
        <v>42736</v>
      </c>
      <c r="AI316" s="1">
        <v>42767</v>
      </c>
      <c r="AJ316" s="1">
        <v>42795</v>
      </c>
      <c r="AK316">
        <v>4.0187499999999998</v>
      </c>
      <c r="AL316">
        <v>-0.29803581400395002</v>
      </c>
      <c r="AM316">
        <v>3.7207141859960502</v>
      </c>
      <c r="AP316" s="1">
        <v>42675</v>
      </c>
      <c r="AQ316" s="1">
        <v>42705</v>
      </c>
      <c r="AR316" s="1">
        <v>42736</v>
      </c>
      <c r="AS316">
        <v>3.7069999999999901</v>
      </c>
      <c r="AT316">
        <v>-0.24342892691316201</v>
      </c>
      <c r="AU316">
        <v>3.4635710730868299</v>
      </c>
    </row>
    <row r="317" spans="1:47" x14ac:dyDescent="0.25">
      <c r="A317" s="1">
        <v>42705</v>
      </c>
      <c r="B317">
        <v>3.7553639648622101</v>
      </c>
      <c r="C317">
        <v>36418934439</v>
      </c>
      <c r="D317">
        <v>3.7561808923381199</v>
      </c>
      <c r="E317">
        <v>27760950674</v>
      </c>
      <c r="F317">
        <v>3.5208908942667101</v>
      </c>
      <c r="G317">
        <v>42355710290</v>
      </c>
      <c r="H317">
        <v>3.7557173260956098</v>
      </c>
      <c r="I317">
        <v>3.5208908942667101</v>
      </c>
      <c r="J317">
        <v>-0.23482643182889801</v>
      </c>
      <c r="W317" s="1"/>
      <c r="AB317" s="1"/>
      <c r="AP317" s="1">
        <v>42705</v>
      </c>
      <c r="AQ317" s="1">
        <v>42736</v>
      </c>
      <c r="AR317" s="1">
        <v>42767</v>
      </c>
      <c r="AS317">
        <v>4.1025</v>
      </c>
      <c r="AT317">
        <v>-0.23482643182889801</v>
      </c>
      <c r="AU317">
        <v>3.8676735681710999</v>
      </c>
    </row>
    <row r="318" spans="1:47" x14ac:dyDescent="0.25">
      <c r="A318" s="1">
        <v>42736</v>
      </c>
      <c r="B318">
        <v>4.0785315313573403</v>
      </c>
      <c r="C318">
        <v>31450899521</v>
      </c>
      <c r="D318">
        <v>4.0889058244146002</v>
      </c>
      <c r="E318">
        <v>20948545705</v>
      </c>
      <c r="F318">
        <v>3.6668269414690098</v>
      </c>
      <c r="G318">
        <v>46154471435</v>
      </c>
      <c r="H318">
        <v>4.0826790247388001</v>
      </c>
      <c r="I318">
        <v>3.6668269414690098</v>
      </c>
      <c r="J318">
        <v>-0.41585208326978901</v>
      </c>
      <c r="W318" s="1"/>
      <c r="AB318" s="1"/>
      <c r="AP318" s="1">
        <v>42736</v>
      </c>
      <c r="AQ318" s="1">
        <v>42767</v>
      </c>
      <c r="AR318" s="1">
        <v>42795</v>
      </c>
      <c r="AS318">
        <v>4.0187499999999998</v>
      </c>
      <c r="AT318">
        <v>-0.41585208326978901</v>
      </c>
      <c r="AU318">
        <v>3.60289791673021</v>
      </c>
    </row>
    <row r="319" spans="1:47" x14ac:dyDescent="0.25">
      <c r="A319" s="1">
        <v>42767</v>
      </c>
      <c r="B319">
        <v>4.4798343204599798</v>
      </c>
      <c r="C319">
        <v>10076448485</v>
      </c>
      <c r="D319">
        <v>4.36285520247388</v>
      </c>
      <c r="E319">
        <v>9226916097.0499992</v>
      </c>
      <c r="F319">
        <v>4.3078984675894096</v>
      </c>
      <c r="G319">
        <v>1829078862</v>
      </c>
      <c r="H319">
        <v>4.42391886063551</v>
      </c>
      <c r="I319">
        <v>4.3078984675894096</v>
      </c>
      <c r="J319">
        <v>-0.116020393046095</v>
      </c>
      <c r="W319" s="1"/>
      <c r="AB319" s="1"/>
    </row>
    <row r="320" spans="1:47" x14ac:dyDescent="0.25">
      <c r="A320" s="1"/>
      <c r="W320" s="1"/>
      <c r="AB320" s="1"/>
    </row>
    <row r="321" spans="1:28" x14ac:dyDescent="0.25">
      <c r="A321" s="1"/>
      <c r="W321" s="1"/>
      <c r="AB321" s="1"/>
    </row>
    <row r="322" spans="1:28" x14ac:dyDescent="0.25">
      <c r="A322" s="1"/>
      <c r="W322" s="1"/>
    </row>
    <row r="323" spans="1:28" x14ac:dyDescent="0.25">
      <c r="A323" s="1"/>
    </row>
    <row r="324" spans="1:28" x14ac:dyDescent="0.25">
      <c r="A324" s="1"/>
    </row>
    <row r="325" spans="1:28" x14ac:dyDescent="0.25">
      <c r="A325" s="1"/>
    </row>
    <row r="326" spans="1:28" x14ac:dyDescent="0.25">
      <c r="A326" s="1"/>
    </row>
    <row r="327" spans="1:28" x14ac:dyDescent="0.25">
      <c r="A32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9"/>
  <sheetViews>
    <sheetView workbookViewId="0">
      <selection activeCell="R29" sqref="R29"/>
    </sheetView>
  </sheetViews>
  <sheetFormatPr defaultRowHeight="15" x14ac:dyDescent="0.25"/>
  <cols>
    <col min="1" max="1" width="10.7109375" bestFit="1" customWidth="1"/>
    <col min="5" max="5" width="13.140625" bestFit="1" customWidth="1"/>
    <col min="6" max="6" width="26.42578125" bestFit="1" customWidth="1"/>
  </cols>
  <sheetData>
    <row r="1" spans="1:24" x14ac:dyDescent="0.25">
      <c r="A1" t="s">
        <v>15</v>
      </c>
      <c r="B1" t="s">
        <v>16</v>
      </c>
      <c r="C1" t="s">
        <v>17</v>
      </c>
      <c r="E1" s="2" t="s">
        <v>18</v>
      </c>
      <c r="F1" t="s">
        <v>21</v>
      </c>
      <c r="K1" t="s">
        <v>24</v>
      </c>
      <c r="L1" t="s">
        <v>22</v>
      </c>
      <c r="M1" t="s">
        <v>23</v>
      </c>
      <c r="R1" t="str">
        <f>L1</f>
        <v>Wells FHA Rate</v>
      </c>
      <c r="S1" t="s">
        <v>25</v>
      </c>
      <c r="T1" t="s">
        <v>27</v>
      </c>
      <c r="U1" t="s">
        <v>26</v>
      </c>
    </row>
    <row r="2" spans="1:24" x14ac:dyDescent="0.25">
      <c r="A2" s="1">
        <v>42066</v>
      </c>
      <c r="B2">
        <v>4.0036250000000004</v>
      </c>
      <c r="C2" s="1">
        <f>A2-DAY(A2)+1</f>
        <v>42064</v>
      </c>
      <c r="E2" s="3">
        <v>42064</v>
      </c>
      <c r="F2" s="5">
        <v>3.9443452380952366</v>
      </c>
      <c r="J2" s="3">
        <v>42064</v>
      </c>
      <c r="K2" s="5">
        <v>3.9443452380952366</v>
      </c>
      <c r="L2" s="5">
        <f>K2-$N$26</f>
        <v>3.267625347345696</v>
      </c>
      <c r="M2">
        <f>VLOOKUP(J2,Sheet5!AB:AD,3,0)</f>
        <v>3.3089568231426401</v>
      </c>
      <c r="N2">
        <f>K2-M2</f>
        <v>0.63538841495259657</v>
      </c>
      <c r="Q2" s="3">
        <v>42064</v>
      </c>
      <c r="R2" s="5">
        <v>3.9443452380952366</v>
      </c>
      <c r="S2">
        <f t="shared" ref="S2:S25" si="0">M2</f>
        <v>3.3089568231426401</v>
      </c>
      <c r="T2">
        <f>VLOOKUP(Q2,Sheet5!AH:AM,6,0)</f>
        <v>3.3663011006537298</v>
      </c>
      <c r="U2">
        <f>VLOOKUP(Q2,Sheet5!AP:AU,6,0)</f>
        <v>3.4531733690512798</v>
      </c>
      <c r="V2">
        <f>($R2-S2)^2</f>
        <v>0.40371843785597306</v>
      </c>
      <c r="W2">
        <f t="shared" ref="W2:X2" si="1">($R2-T2)^2</f>
        <v>0.33413502483049567</v>
      </c>
      <c r="X2">
        <f t="shared" si="1"/>
        <v>0.24124980494013387</v>
      </c>
    </row>
    <row r="3" spans="1:24" x14ac:dyDescent="0.25">
      <c r="A3" s="1">
        <v>42067</v>
      </c>
      <c r="B3">
        <v>4.0036250000000004</v>
      </c>
      <c r="C3" s="1">
        <f t="shared" ref="C3:C66" si="2">A3-DAY(A3)+1</f>
        <v>42064</v>
      </c>
      <c r="E3" s="3">
        <v>42095</v>
      </c>
      <c r="F3" s="5">
        <v>3.9530624999999997</v>
      </c>
      <c r="J3" s="3">
        <v>42095</v>
      </c>
      <c r="K3" s="5">
        <v>3.9530624999999997</v>
      </c>
      <c r="L3" s="5">
        <f t="shared" ref="L3:L25" si="3">K3-$N$26</f>
        <v>3.2763426092504595</v>
      </c>
      <c r="M3">
        <f>VLOOKUP(J3,Sheet5!AB:AD,3,0)</f>
        <v>3.2217583264466998</v>
      </c>
      <c r="N3">
        <f t="shared" ref="N3:N25" si="4">K3-M3</f>
        <v>0.73130417355329991</v>
      </c>
      <c r="Q3" s="3">
        <v>42095</v>
      </c>
      <c r="R3" s="5">
        <v>3.9530624999999997</v>
      </c>
      <c r="S3">
        <f t="shared" si="0"/>
        <v>3.2217583264466998</v>
      </c>
      <c r="T3">
        <f>VLOOKUP(Q3,Sheet5!AH:AM,6,0)</f>
        <v>3.33198081109422</v>
      </c>
      <c r="U3">
        <f>VLOOKUP(Q3,Sheet5!AP:AU,6,0)</f>
        <v>3.27947992975021</v>
      </c>
      <c r="V3">
        <f t="shared" ref="V3:V25" si="5">($R3-S3)^2</f>
        <v>0.53480579425647501</v>
      </c>
      <c r="W3">
        <f t="shared" ref="W3:W25" si="6">($R3-T3)^2</f>
        <v>0.38574246429405579</v>
      </c>
      <c r="X3">
        <f t="shared" ref="X3:X25" si="7">($R3-U3)^2</f>
        <v>0.45371347894431291</v>
      </c>
    </row>
    <row r="4" spans="1:24" x14ac:dyDescent="0.25">
      <c r="A4" s="1">
        <v>42068</v>
      </c>
      <c r="B4">
        <v>3.9717500000000001</v>
      </c>
      <c r="C4" s="1">
        <f t="shared" si="2"/>
        <v>42064</v>
      </c>
      <c r="E4" s="3">
        <v>42125</v>
      </c>
      <c r="F4" s="5">
        <v>4.1166124999999996</v>
      </c>
      <c r="J4" s="3">
        <v>42125</v>
      </c>
      <c r="K4" s="5">
        <v>4.1166124999999996</v>
      </c>
      <c r="L4" s="5">
        <f t="shared" si="3"/>
        <v>3.4398926092504594</v>
      </c>
      <c r="M4">
        <f>VLOOKUP(J4,Sheet5!AB:AD,3,0)</f>
        <v>3.4611310639705999</v>
      </c>
      <c r="N4">
        <f t="shared" si="4"/>
        <v>0.65548143602939968</v>
      </c>
      <c r="Q4" s="3">
        <v>42125</v>
      </c>
      <c r="R4" s="5">
        <v>4.1166124999999996</v>
      </c>
      <c r="S4">
        <f t="shared" si="0"/>
        <v>3.4611310639705999</v>
      </c>
      <c r="T4">
        <f>VLOOKUP(Q4,Sheet5!AH:AM,6,0)</f>
        <v>3.5301678824401499</v>
      </c>
      <c r="U4">
        <f>VLOOKUP(Q4,Sheet5!AP:AU,6,0)</f>
        <v>3.6123503485189601</v>
      </c>
      <c r="V4">
        <f t="shared" si="5"/>
        <v>0.429655912979164</v>
      </c>
      <c r="W4">
        <f t="shared" si="6"/>
        <v>0.34391728946491834</v>
      </c>
      <c r="X4">
        <f t="shared" si="7"/>
        <v>0.25428031741628682</v>
      </c>
    </row>
    <row r="5" spans="1:24" x14ac:dyDescent="0.25">
      <c r="A5" s="1">
        <v>42069</v>
      </c>
      <c r="B5">
        <v>4.0676249999999996</v>
      </c>
      <c r="C5" s="1">
        <f t="shared" si="2"/>
        <v>42064</v>
      </c>
      <c r="E5" s="3">
        <v>42156</v>
      </c>
      <c r="F5" s="5">
        <v>4.2489374999999994</v>
      </c>
      <c r="J5" s="3">
        <v>42156</v>
      </c>
      <c r="K5" s="5">
        <v>4.2489374999999994</v>
      </c>
      <c r="L5" s="5">
        <f t="shared" si="3"/>
        <v>3.5722176092504592</v>
      </c>
      <c r="M5">
        <f>VLOOKUP(J5,Sheet5!AB:AD,3,0)</f>
        <v>3.6154662853380901</v>
      </c>
      <c r="N5">
        <f t="shared" si="4"/>
        <v>0.63347121466190925</v>
      </c>
      <c r="Q5" s="3">
        <v>42156</v>
      </c>
      <c r="R5" s="5">
        <v>4.2489374999999994</v>
      </c>
      <c r="S5">
        <f t="shared" si="0"/>
        <v>3.6154662853380901</v>
      </c>
      <c r="T5">
        <f>VLOOKUP(Q5,Sheet5!AH:AM,6,0)</f>
        <v>3.6396314700224499</v>
      </c>
      <c r="U5">
        <f>VLOOKUP(Q5,Sheet5!AP:AU,6,0)</f>
        <v>3.5603141317981999</v>
      </c>
      <c r="V5">
        <f t="shared" si="5"/>
        <v>0.40128577980523472</v>
      </c>
      <c r="W5">
        <f t="shared" si="6"/>
        <v>0.37125383816700241</v>
      </c>
      <c r="X5">
        <f t="shared" si="7"/>
        <v>0.47420214323359111</v>
      </c>
    </row>
    <row r="6" spans="1:24" x14ac:dyDescent="0.25">
      <c r="A6" s="1">
        <v>42072</v>
      </c>
      <c r="B6">
        <v>4.0353750000000002</v>
      </c>
      <c r="C6" s="1">
        <f t="shared" si="2"/>
        <v>42064</v>
      </c>
      <c r="E6" s="3">
        <v>42186</v>
      </c>
      <c r="F6" s="5">
        <v>4.2807386363636377</v>
      </c>
      <c r="J6" s="3">
        <v>42186</v>
      </c>
      <c r="K6" s="5">
        <v>4.2807386363636377</v>
      </c>
      <c r="L6" s="5">
        <f t="shared" si="3"/>
        <v>3.6040187456140975</v>
      </c>
      <c r="M6">
        <f>VLOOKUP(J6,Sheet5!AB:AD,3,0)</f>
        <v>3.7112685129766301</v>
      </c>
      <c r="N6">
        <f t="shared" si="4"/>
        <v>0.56947012338700764</v>
      </c>
      <c r="Q6" s="3">
        <v>42186</v>
      </c>
      <c r="R6" s="5">
        <v>4.2807386363636377</v>
      </c>
      <c r="S6">
        <f t="shared" si="0"/>
        <v>3.7112685129766301</v>
      </c>
      <c r="T6">
        <f>VLOOKUP(Q6,Sheet5!AH:AM,6,0)</f>
        <v>3.7215562148590302</v>
      </c>
      <c r="U6">
        <f>VLOOKUP(Q6,Sheet5!AP:AU,6,0)</f>
        <v>3.7412541642599302</v>
      </c>
      <c r="V6">
        <f t="shared" si="5"/>
        <v>0.3242962214304137</v>
      </c>
      <c r="W6">
        <f t="shared" si="6"/>
        <v>0.31268498051975652</v>
      </c>
      <c r="X6">
        <f t="shared" si="7"/>
        <v>0.291043495641016</v>
      </c>
    </row>
    <row r="7" spans="1:24" x14ac:dyDescent="0.25">
      <c r="A7" s="1">
        <v>42073</v>
      </c>
      <c r="B7">
        <v>4.0353750000000002</v>
      </c>
      <c r="C7" s="1">
        <f t="shared" si="2"/>
        <v>42064</v>
      </c>
      <c r="E7" s="3">
        <v>42217</v>
      </c>
      <c r="F7" s="5">
        <v>4.1768035714285716</v>
      </c>
      <c r="J7" s="3">
        <v>42217</v>
      </c>
      <c r="K7" s="5">
        <v>4.1768035714285716</v>
      </c>
      <c r="L7" s="5">
        <f t="shared" si="3"/>
        <v>3.5000836806790314</v>
      </c>
      <c r="M7">
        <f>VLOOKUP(J7,Sheet5!AB:AD,3,0)</f>
        <v>3.5705827904110801</v>
      </c>
      <c r="N7">
        <f t="shared" si="4"/>
        <v>0.60622078101749155</v>
      </c>
      <c r="Q7" s="3">
        <v>42217</v>
      </c>
      <c r="R7" s="5">
        <v>4.1768035714285716</v>
      </c>
      <c r="S7">
        <f t="shared" si="0"/>
        <v>3.5705827904110801</v>
      </c>
      <c r="T7">
        <f>VLOOKUP(Q7,Sheet5!AH:AM,6,0)</f>
        <v>3.5522476983820201</v>
      </c>
      <c r="U7">
        <f>VLOOKUP(Q7,Sheet5!AP:AU,6,0)</f>
        <v>3.5861747990879298</v>
      </c>
      <c r="V7">
        <f t="shared" si="5"/>
        <v>0.36750363533745745</v>
      </c>
      <c r="W7">
        <f t="shared" si="6"/>
        <v>0.39007003855694011</v>
      </c>
      <c r="X7">
        <f t="shared" si="7"/>
        <v>0.34884234671661368</v>
      </c>
    </row>
    <row r="8" spans="1:24" x14ac:dyDescent="0.25">
      <c r="A8" s="1">
        <v>42074</v>
      </c>
      <c r="B8">
        <v>4.0036250000000004</v>
      </c>
      <c r="C8" s="1">
        <f t="shared" si="2"/>
        <v>42064</v>
      </c>
      <c r="E8" s="3">
        <v>42248</v>
      </c>
      <c r="F8" s="5">
        <v>4.1210297619047624</v>
      </c>
      <c r="J8" s="3">
        <v>42248</v>
      </c>
      <c r="K8" s="5">
        <v>4.1210297619047624</v>
      </c>
      <c r="L8" s="5">
        <f t="shared" si="3"/>
        <v>3.4443098711552222</v>
      </c>
      <c r="M8">
        <f>VLOOKUP(J8,Sheet5!AB:AD,3,0)</f>
        <v>3.5362448208081498</v>
      </c>
      <c r="N8">
        <f t="shared" si="4"/>
        <v>0.58478494109661261</v>
      </c>
      <c r="Q8" s="3">
        <v>42248</v>
      </c>
      <c r="R8" s="5">
        <v>4.1210297619047624</v>
      </c>
      <c r="S8">
        <f t="shared" si="0"/>
        <v>3.5362448208081498</v>
      </c>
      <c r="T8">
        <f>VLOOKUP(Q8,Sheet5!AH:AM,6,0)</f>
        <v>3.5408581715938499</v>
      </c>
      <c r="U8">
        <f>VLOOKUP(Q8,Sheet5!AP:AU,6,0)</f>
        <v>3.4721455514336799</v>
      </c>
      <c r="V8">
        <f t="shared" si="5"/>
        <v>0.34197342733336866</v>
      </c>
      <c r="W8">
        <f t="shared" si="6"/>
        <v>0.3365990742038934</v>
      </c>
      <c r="X8">
        <f t="shared" si="7"/>
        <v>0.42105071859868021</v>
      </c>
    </row>
    <row r="9" spans="1:24" x14ac:dyDescent="0.25">
      <c r="A9" s="1">
        <v>42075</v>
      </c>
      <c r="B9">
        <v>3.9717500000000001</v>
      </c>
      <c r="C9" s="1">
        <f t="shared" si="2"/>
        <v>42064</v>
      </c>
      <c r="E9" s="3">
        <v>42278</v>
      </c>
      <c r="F9" s="5">
        <v>4.0260059523809524</v>
      </c>
      <c r="J9" s="3">
        <v>42278</v>
      </c>
      <c r="K9" s="5">
        <v>4.0260059523809524</v>
      </c>
      <c r="L9" s="5">
        <f t="shared" si="3"/>
        <v>3.3492860616314122</v>
      </c>
      <c r="M9">
        <f>VLOOKUP(J9,Sheet5!AB:AD,3,0)</f>
        <v>3.4199556331649399</v>
      </c>
      <c r="N9">
        <f t="shared" si="4"/>
        <v>0.60605031921601249</v>
      </c>
      <c r="Q9" s="3">
        <v>42278</v>
      </c>
      <c r="R9" s="5">
        <v>4.0260059523809524</v>
      </c>
      <c r="S9">
        <f t="shared" si="0"/>
        <v>3.4199556331649399</v>
      </c>
      <c r="T9">
        <f>VLOOKUP(Q9,Sheet5!AH:AM,6,0)</f>
        <v>3.3818550514708399</v>
      </c>
      <c r="U9">
        <f>VLOOKUP(Q9,Sheet5!AP:AU,6,0)</f>
        <v>3.31424480389092</v>
      </c>
      <c r="V9">
        <f t="shared" si="5"/>
        <v>0.36729698942183064</v>
      </c>
      <c r="W9">
        <f t="shared" si="6"/>
        <v>0.4149303831433096</v>
      </c>
      <c r="X9">
        <f t="shared" si="7"/>
        <v>0.50660393249984992</v>
      </c>
    </row>
    <row r="10" spans="1:24" x14ac:dyDescent="0.25">
      <c r="A10" s="1">
        <v>42076</v>
      </c>
      <c r="B10">
        <v>4.0036250000000004</v>
      </c>
      <c r="C10" s="1">
        <f t="shared" si="2"/>
        <v>42064</v>
      </c>
      <c r="E10" s="3">
        <v>42309</v>
      </c>
      <c r="F10" s="5">
        <v>4.2404210526315795</v>
      </c>
      <c r="J10" s="3">
        <v>42309</v>
      </c>
      <c r="K10" s="5">
        <v>4.2404210526315795</v>
      </c>
      <c r="L10" s="5">
        <f t="shared" si="3"/>
        <v>3.5637011618820393</v>
      </c>
      <c r="M10">
        <f>VLOOKUP(J10,Sheet5!AB:AD,3,0)</f>
        <v>3.5497418743999001</v>
      </c>
      <c r="N10">
        <f t="shared" si="4"/>
        <v>0.69067917823167946</v>
      </c>
      <c r="Q10" s="3">
        <v>42309</v>
      </c>
      <c r="R10" s="5">
        <v>4.2404210526315795</v>
      </c>
      <c r="S10">
        <f t="shared" si="0"/>
        <v>3.5497418743999001</v>
      </c>
      <c r="T10">
        <f>VLOOKUP(Q10,Sheet5!AH:AM,6,0)</f>
        <v>3.5034860504177798</v>
      </c>
      <c r="U10">
        <f>VLOOKUP(Q10,Sheet5!AP:AU,6,0)</f>
        <v>3.4960677959287301</v>
      </c>
      <c r="V10">
        <f t="shared" si="5"/>
        <v>0.47703772724278803</v>
      </c>
      <c r="W10">
        <f t="shared" si="6"/>
        <v>0.54307319748785299</v>
      </c>
      <c r="X10">
        <f t="shared" si="7"/>
        <v>0.5540617707641381</v>
      </c>
    </row>
    <row r="11" spans="1:24" x14ac:dyDescent="0.25">
      <c r="A11" s="1">
        <v>42079</v>
      </c>
      <c r="B11">
        <v>3.9717500000000001</v>
      </c>
      <c r="C11" s="1">
        <f t="shared" si="2"/>
        <v>42064</v>
      </c>
      <c r="E11" s="3">
        <v>42339</v>
      </c>
      <c r="F11" s="5">
        <v>4.2584821428571438</v>
      </c>
      <c r="J11" s="3">
        <v>42339</v>
      </c>
      <c r="K11" s="5">
        <v>4.2584821428571438</v>
      </c>
      <c r="L11" s="5">
        <f t="shared" si="3"/>
        <v>3.5817622521076036</v>
      </c>
      <c r="M11">
        <f>VLOOKUP(J11,Sheet5!AB:AD,3,0)</f>
        <v>3.5696719193928601</v>
      </c>
      <c r="N11">
        <f t="shared" si="4"/>
        <v>0.68881022346428367</v>
      </c>
      <c r="Q11" s="3">
        <v>42339</v>
      </c>
      <c r="R11" s="5">
        <v>4.2584821428571438</v>
      </c>
      <c r="S11">
        <f t="shared" si="0"/>
        <v>3.5696719193928601</v>
      </c>
      <c r="T11">
        <f>VLOOKUP(Q11,Sheet5!AH:AM,6,0)</f>
        <v>3.5214856671918802</v>
      </c>
      <c r="U11">
        <f>VLOOKUP(Q11,Sheet5!AP:AU,6,0)</f>
        <v>3.557394401756</v>
      </c>
      <c r="V11">
        <f t="shared" si="5"/>
        <v>0.47445952394891638</v>
      </c>
      <c r="W11">
        <f t="shared" si="6"/>
        <v>0.54316380514301954</v>
      </c>
      <c r="X11">
        <f t="shared" si="7"/>
        <v>0.49152402072230444</v>
      </c>
    </row>
    <row r="12" spans="1:24" x14ac:dyDescent="0.25">
      <c r="A12" s="1">
        <v>42080</v>
      </c>
      <c r="B12">
        <v>3.9717500000000001</v>
      </c>
      <c r="C12" s="1">
        <f t="shared" si="2"/>
        <v>42064</v>
      </c>
      <c r="E12" s="3">
        <v>42370</v>
      </c>
      <c r="F12" s="5">
        <v>4.1598750000000013</v>
      </c>
      <c r="J12" s="3">
        <v>42370</v>
      </c>
      <c r="K12" s="5">
        <v>4.1598750000000013</v>
      </c>
      <c r="L12" s="5">
        <f t="shared" si="3"/>
        <v>3.4831551092504611</v>
      </c>
      <c r="M12">
        <f>VLOOKUP(J12,Sheet5!AB:AD,3,0)</f>
        <v>3.4478168741076098</v>
      </c>
      <c r="N12">
        <f t="shared" si="4"/>
        <v>0.71205812589239148</v>
      </c>
      <c r="Q12" s="3">
        <v>42370</v>
      </c>
      <c r="R12" s="5">
        <v>4.1598750000000013</v>
      </c>
      <c r="S12">
        <f t="shared" si="0"/>
        <v>3.4478168741076098</v>
      </c>
      <c r="T12">
        <f>VLOOKUP(Q12,Sheet5!AH:AM,6,0)</f>
        <v>3.4237786967443902</v>
      </c>
      <c r="U12">
        <f>VLOOKUP(Q12,Sheet5!AP:AU,6,0)</f>
        <v>3.3856238925484199</v>
      </c>
      <c r="V12">
        <f t="shared" si="5"/>
        <v>0.50702677464938484</v>
      </c>
      <c r="W12">
        <f t="shared" si="6"/>
        <v>0.54183776766657665</v>
      </c>
      <c r="X12">
        <f t="shared" si="7"/>
        <v>0.59946477739000026</v>
      </c>
    </row>
    <row r="13" spans="1:24" x14ac:dyDescent="0.25">
      <c r="A13" s="1">
        <v>42081</v>
      </c>
      <c r="B13">
        <v>3.8759999999999901</v>
      </c>
      <c r="C13" s="1">
        <f t="shared" si="2"/>
        <v>42064</v>
      </c>
      <c r="E13" s="3">
        <v>42401</v>
      </c>
      <c r="F13" s="5">
        <v>4.0800394736842103</v>
      </c>
      <c r="J13" s="3">
        <v>42401</v>
      </c>
      <c r="K13" s="5">
        <v>4.0800394736842103</v>
      </c>
      <c r="L13" s="5">
        <f t="shared" si="3"/>
        <v>3.4033195829346701</v>
      </c>
      <c r="M13">
        <f>VLOOKUP(J13,Sheet5!AB:AD,3,0)</f>
        <v>3.1876928173665502</v>
      </c>
      <c r="N13">
        <f t="shared" si="4"/>
        <v>0.89234665631766008</v>
      </c>
      <c r="Q13" s="3">
        <v>42401</v>
      </c>
      <c r="R13" s="5">
        <v>4.0800394736842103</v>
      </c>
      <c r="S13">
        <f t="shared" si="0"/>
        <v>3.1876928173665502</v>
      </c>
      <c r="T13">
        <f>VLOOKUP(Q13,Sheet5!AH:AM,6,0)</f>
        <v>3.1731495843153299</v>
      </c>
      <c r="U13">
        <f>VLOOKUP(Q13,Sheet5!AP:AU,6,0)</f>
        <v>3.1179304586415699</v>
      </c>
      <c r="V13">
        <f t="shared" si="5"/>
        <v>0.79628255504130818</v>
      </c>
      <c r="W13">
        <f t="shared" si="6"/>
        <v>0.82244927143950008</v>
      </c>
      <c r="X13">
        <f t="shared" si="7"/>
        <v>0.92565375682631956</v>
      </c>
    </row>
    <row r="14" spans="1:24" x14ac:dyDescent="0.25">
      <c r="A14" s="1">
        <v>42082</v>
      </c>
      <c r="B14">
        <v>3.844125</v>
      </c>
      <c r="C14" s="1">
        <f t="shared" si="2"/>
        <v>42064</v>
      </c>
      <c r="E14" s="3">
        <v>42430</v>
      </c>
      <c r="F14" s="5">
        <v>3.9947738095238088</v>
      </c>
      <c r="J14" s="3">
        <v>42430</v>
      </c>
      <c r="K14" s="5">
        <v>3.9947738095238088</v>
      </c>
      <c r="L14" s="5">
        <f t="shared" si="3"/>
        <v>3.3180539187742681</v>
      </c>
      <c r="M14">
        <f>VLOOKUP(J14,Sheet5!AB:AD,3,0)</f>
        <v>3.2195031252764701</v>
      </c>
      <c r="N14">
        <f t="shared" si="4"/>
        <v>0.77527068424733869</v>
      </c>
      <c r="Q14" s="3">
        <v>42430</v>
      </c>
      <c r="R14" s="5">
        <v>3.9947738095238088</v>
      </c>
      <c r="S14">
        <f t="shared" si="0"/>
        <v>3.2195031252764701</v>
      </c>
      <c r="T14">
        <f>VLOOKUP(Q14,Sheet5!AH:AM,6,0)</f>
        <v>3.2125205833610502</v>
      </c>
      <c r="U14">
        <f>VLOOKUP(Q14,Sheet5!AP:AU,6,0)</f>
        <v>3.31600739889315</v>
      </c>
      <c r="V14">
        <f t="shared" si="5"/>
        <v>0.60104463385333673</v>
      </c>
      <c r="W14">
        <f t="shared" si="6"/>
        <v>0.61192010984204392</v>
      </c>
      <c r="X14">
        <f t="shared" si="7"/>
        <v>0.46072384020042811</v>
      </c>
    </row>
    <row r="15" spans="1:24" x14ac:dyDescent="0.25">
      <c r="A15" s="1">
        <v>42083</v>
      </c>
      <c r="B15">
        <v>3.9077500000000001</v>
      </c>
      <c r="C15" s="1">
        <f t="shared" si="2"/>
        <v>42064</v>
      </c>
      <c r="E15" s="3">
        <v>42461</v>
      </c>
      <c r="F15" s="5">
        <v>3.8633095238095256</v>
      </c>
      <c r="J15" s="3">
        <v>42461</v>
      </c>
      <c r="K15" s="5">
        <v>3.8633095238095256</v>
      </c>
      <c r="L15" s="5">
        <f t="shared" si="3"/>
        <v>3.1865896330599854</v>
      </c>
      <c r="M15">
        <f>VLOOKUP(J15,Sheet5!AB:AD,3,0)</f>
        <v>3.1556380518220202</v>
      </c>
      <c r="N15">
        <f t="shared" si="4"/>
        <v>0.70767147198750546</v>
      </c>
      <c r="Q15" s="3">
        <v>42461</v>
      </c>
      <c r="R15" s="5">
        <v>3.8633095238095256</v>
      </c>
      <c r="S15">
        <f t="shared" si="0"/>
        <v>3.1556380518220202</v>
      </c>
      <c r="T15">
        <f>VLOOKUP(Q15,Sheet5!AH:AM,6,0)</f>
        <v>3.16749740689965</v>
      </c>
      <c r="U15">
        <f>VLOOKUP(Q15,Sheet5!AP:AU,6,0)</f>
        <v>3.2000543631642202</v>
      </c>
      <c r="V15">
        <f t="shared" si="5"/>
        <v>0.50079891226496276</v>
      </c>
      <c r="W15">
        <f t="shared" si="6"/>
        <v>0.48415450203860244</v>
      </c>
      <c r="X15">
        <f t="shared" si="7"/>
        <v>0.43990740812262991</v>
      </c>
    </row>
    <row r="16" spans="1:24" x14ac:dyDescent="0.25">
      <c r="A16" s="1">
        <v>42086</v>
      </c>
      <c r="B16">
        <v>3.8759999999999901</v>
      </c>
      <c r="C16" s="1">
        <f t="shared" si="2"/>
        <v>42064</v>
      </c>
      <c r="E16" s="3">
        <v>42491</v>
      </c>
      <c r="F16" s="5">
        <v>3.8917749999999982</v>
      </c>
      <c r="J16" s="3">
        <v>42491</v>
      </c>
      <c r="K16" s="5">
        <v>3.8917749999999982</v>
      </c>
      <c r="L16" s="5">
        <f t="shared" si="3"/>
        <v>3.215055109250458</v>
      </c>
      <c r="M16">
        <f>VLOOKUP(J16,Sheet5!AB:AD,3,0)</f>
        <v>3.1536856789891701</v>
      </c>
      <c r="N16">
        <f t="shared" si="4"/>
        <v>0.73808932101082814</v>
      </c>
      <c r="Q16" s="3">
        <v>42491</v>
      </c>
      <c r="R16" s="5">
        <v>3.8917749999999982</v>
      </c>
      <c r="S16">
        <f t="shared" si="0"/>
        <v>3.1536856789891701</v>
      </c>
      <c r="T16">
        <f>VLOOKUP(Q16,Sheet5!AH:AM,6,0)</f>
        <v>3.1942217736630201</v>
      </c>
      <c r="U16">
        <f>VLOOKUP(Q16,Sheet5!AP:AU,6,0)</f>
        <v>3.1531035589316798</v>
      </c>
      <c r="V16">
        <f t="shared" si="5"/>
        <v>0.54477584579022531</v>
      </c>
      <c r="W16">
        <f t="shared" si="6"/>
        <v>0.48658050357312743</v>
      </c>
      <c r="X16">
        <f t="shared" si="7"/>
        <v>0.54563549784994614</v>
      </c>
    </row>
    <row r="17" spans="1:24" x14ac:dyDescent="0.25">
      <c r="A17" s="1">
        <v>42087</v>
      </c>
      <c r="B17">
        <v>3.844125</v>
      </c>
      <c r="C17" s="1">
        <f t="shared" si="2"/>
        <v>42064</v>
      </c>
      <c r="E17" s="3">
        <v>42522</v>
      </c>
      <c r="F17" s="5">
        <v>3.8896306818181809</v>
      </c>
      <c r="J17" s="3">
        <v>42522</v>
      </c>
      <c r="K17" s="5">
        <v>3.8896306818181809</v>
      </c>
      <c r="L17" s="5">
        <f t="shared" si="3"/>
        <v>3.2129107910686407</v>
      </c>
      <c r="M17">
        <f>VLOOKUP(J17,Sheet5!AB:AD,3,0)</f>
        <v>3.1176390178984499</v>
      </c>
      <c r="N17">
        <f t="shared" si="4"/>
        <v>0.77199166391973106</v>
      </c>
      <c r="Q17" s="3">
        <v>42522</v>
      </c>
      <c r="R17" s="5">
        <v>3.8896306818181809</v>
      </c>
      <c r="S17">
        <f t="shared" si="0"/>
        <v>3.1176390178984499</v>
      </c>
      <c r="T17">
        <f>VLOOKUP(Q17,Sheet5!AH:AM,6,0)</f>
        <v>3.1437574524358598</v>
      </c>
      <c r="U17">
        <f>VLOOKUP(Q17,Sheet5!AP:AU,6,0)</f>
        <v>3.1621144352116799</v>
      </c>
      <c r="V17">
        <f t="shared" si="5"/>
        <v>0.59597112916155504</v>
      </c>
      <c r="W17">
        <f t="shared" si="6"/>
        <v>0.55632687430921268</v>
      </c>
      <c r="X17">
        <f t="shared" si="7"/>
        <v>0.52927988907641121</v>
      </c>
    </row>
    <row r="18" spans="1:24" x14ac:dyDescent="0.25">
      <c r="A18" s="1">
        <v>42088</v>
      </c>
      <c r="B18">
        <v>3.844125</v>
      </c>
      <c r="C18" s="1">
        <f t="shared" si="2"/>
        <v>42064</v>
      </c>
      <c r="E18" s="3">
        <v>42552</v>
      </c>
      <c r="F18" s="5">
        <v>3.7379342105263138</v>
      </c>
      <c r="J18" s="3">
        <v>42552</v>
      </c>
      <c r="K18" s="5">
        <v>3.7379342105263138</v>
      </c>
      <c r="L18" s="5">
        <f t="shared" si="3"/>
        <v>3.0612143197767736</v>
      </c>
      <c r="M18">
        <f>VLOOKUP(J18,Sheet5!AB:AD,3,0)</f>
        <v>2.998522172231</v>
      </c>
      <c r="N18">
        <f t="shared" si="4"/>
        <v>0.73941203829531377</v>
      </c>
      <c r="Q18" s="3">
        <v>42552</v>
      </c>
      <c r="R18" s="5">
        <v>3.7379342105263138</v>
      </c>
      <c r="S18">
        <f t="shared" si="0"/>
        <v>2.998522172231</v>
      </c>
      <c r="T18">
        <f>VLOOKUP(Q18,Sheet5!AH:AM,6,0)</f>
        <v>3.0070469375623601</v>
      </c>
      <c r="U18">
        <f>VLOOKUP(Q18,Sheet5!AP:AU,6,0)</f>
        <v>3.0114228185437302</v>
      </c>
      <c r="V18">
        <f t="shared" si="5"/>
        <v>0.54673016237603056</v>
      </c>
      <c r="W18">
        <f t="shared" si="6"/>
        <v>0.53419620578068505</v>
      </c>
      <c r="X18">
        <f t="shared" si="7"/>
        <v>0.52781880268047132</v>
      </c>
    </row>
    <row r="19" spans="1:24" x14ac:dyDescent="0.25">
      <c r="A19" s="1">
        <v>42089</v>
      </c>
      <c r="B19">
        <v>3.9077500000000001</v>
      </c>
      <c r="C19" s="1">
        <f t="shared" si="2"/>
        <v>42064</v>
      </c>
      <c r="E19" s="3">
        <v>42583</v>
      </c>
      <c r="F19" s="5">
        <v>3.6964473684210519</v>
      </c>
      <c r="J19" s="3">
        <v>42583</v>
      </c>
      <c r="K19" s="5">
        <v>3.6964473684210519</v>
      </c>
      <c r="L19" s="5">
        <f t="shared" si="3"/>
        <v>3.0197274776715117</v>
      </c>
      <c r="M19">
        <f>VLOOKUP(J19,Sheet5!AB:AD,3,0)</f>
        <v>3.0360344483337598</v>
      </c>
      <c r="N19">
        <f t="shared" si="4"/>
        <v>0.66041292008729213</v>
      </c>
      <c r="Q19" s="3">
        <v>42583</v>
      </c>
      <c r="R19" s="5">
        <v>3.6964473684210519</v>
      </c>
      <c r="S19">
        <f t="shared" si="0"/>
        <v>3.0360344483337598</v>
      </c>
      <c r="T19">
        <f>VLOOKUP(Q19,Sheet5!AH:AM,6,0)</f>
        <v>3.0453471230044999</v>
      </c>
      <c r="U19">
        <f>VLOOKUP(Q19,Sheet5!AP:AU,6,0)</f>
        <v>3.08550411525809</v>
      </c>
      <c r="V19">
        <f t="shared" si="5"/>
        <v>0.43614522501822411</v>
      </c>
      <c r="W19">
        <f t="shared" si="6"/>
        <v>0.42393152958149422</v>
      </c>
      <c r="X19">
        <f t="shared" si="7"/>
        <v>0.37325165858534298</v>
      </c>
    </row>
    <row r="20" spans="1:24" x14ac:dyDescent="0.25">
      <c r="A20" s="1">
        <v>42090</v>
      </c>
      <c r="B20">
        <v>3.9077500000000001</v>
      </c>
      <c r="C20" s="1">
        <f t="shared" si="2"/>
        <v>42064</v>
      </c>
      <c r="E20" s="3">
        <v>42614</v>
      </c>
      <c r="F20" s="5">
        <v>3.6933819444444445</v>
      </c>
      <c r="J20" s="3">
        <v>42614</v>
      </c>
      <c r="K20" s="5">
        <v>3.6933819444444445</v>
      </c>
      <c r="L20" s="5">
        <f t="shared" si="3"/>
        <v>3.0166620536949038</v>
      </c>
      <c r="M20">
        <f>VLOOKUP(J20,Sheet5!AB:AD,3,0)</f>
        <v>3.0676063219198699</v>
      </c>
      <c r="N20">
        <f t="shared" si="4"/>
        <v>0.62577562252457453</v>
      </c>
      <c r="Q20" s="3">
        <v>42614</v>
      </c>
      <c r="R20" s="5">
        <v>3.6933819444444445</v>
      </c>
      <c r="S20">
        <f t="shared" si="0"/>
        <v>3.0676063219198699</v>
      </c>
      <c r="T20">
        <f>VLOOKUP(Q20,Sheet5!AH:AM,6,0)</f>
        <v>3.0919551914038901</v>
      </c>
      <c r="U20">
        <f>VLOOKUP(Q20,Sheet5!AP:AU,6,0)</f>
        <v>3.1189386404098398</v>
      </c>
      <c r="V20">
        <f t="shared" si="5"/>
        <v>0.39159512974601879</v>
      </c>
      <c r="W20">
        <f t="shared" si="6"/>
        <v>0.36171413927290397</v>
      </c>
      <c r="X20">
        <f t="shared" si="7"/>
        <v>0.32998510955019322</v>
      </c>
    </row>
    <row r="21" spans="1:24" x14ac:dyDescent="0.25">
      <c r="A21" s="1">
        <v>42093</v>
      </c>
      <c r="B21">
        <v>3.9077500000000001</v>
      </c>
      <c r="C21" s="1">
        <f t="shared" si="2"/>
        <v>42064</v>
      </c>
      <c r="E21" s="3">
        <v>42644</v>
      </c>
      <c r="F21" s="5">
        <v>3.7279374999999981</v>
      </c>
      <c r="J21" s="3">
        <v>42644</v>
      </c>
      <c r="K21" s="5">
        <v>3.7279374999999981</v>
      </c>
      <c r="L21" s="5">
        <f t="shared" si="3"/>
        <v>3.0512176092504575</v>
      </c>
      <c r="M21">
        <f>VLOOKUP(J21,Sheet5!AB:AD,3,0)</f>
        <v>3.0813094655086402</v>
      </c>
      <c r="N21">
        <f t="shared" si="4"/>
        <v>0.64662803449135797</v>
      </c>
      <c r="Q21" s="3">
        <v>42644</v>
      </c>
      <c r="R21" s="5">
        <v>3.7279374999999981</v>
      </c>
      <c r="S21">
        <f t="shared" si="0"/>
        <v>3.0813094655086402</v>
      </c>
      <c r="T21">
        <f>VLOOKUP(Q21,Sheet5!AH:AM,6,0)</f>
        <v>3.11307199345491</v>
      </c>
      <c r="U21">
        <f>VLOOKUP(Q21,Sheet5!AP:AU,6,0)</f>
        <v>3.0872732246968102</v>
      </c>
      <c r="V21">
        <f t="shared" si="5"/>
        <v>0.41812781499015683</v>
      </c>
      <c r="W21">
        <f t="shared" si="6"/>
        <v>0.37805959113894777</v>
      </c>
      <c r="X21">
        <f t="shared" si="7"/>
        <v>0.41045071364975899</v>
      </c>
    </row>
    <row r="22" spans="1:24" x14ac:dyDescent="0.25">
      <c r="A22" s="1">
        <v>42094</v>
      </c>
      <c r="B22">
        <v>3.8759999999999901</v>
      </c>
      <c r="C22" s="1">
        <f t="shared" si="2"/>
        <v>42064</v>
      </c>
      <c r="E22" s="3">
        <v>42675</v>
      </c>
      <c r="F22" s="5">
        <v>4.1211999999999991</v>
      </c>
      <c r="J22" s="3">
        <v>42675</v>
      </c>
      <c r="K22" s="5">
        <v>4.1211999999999991</v>
      </c>
      <c r="L22" s="5">
        <f t="shared" si="3"/>
        <v>3.4444801092504589</v>
      </c>
      <c r="M22">
        <f>VLOOKUP(J22,Sheet5!AB:AD,3,0)</f>
        <v>3.44597071786783</v>
      </c>
      <c r="N22">
        <f t="shared" si="4"/>
        <v>0.67522928213216904</v>
      </c>
      <c r="Q22" s="3">
        <v>42675</v>
      </c>
      <c r="R22" s="5">
        <v>4.1211999999999991</v>
      </c>
      <c r="S22">
        <f t="shared" si="0"/>
        <v>3.44597071786783</v>
      </c>
      <c r="T22">
        <f>VLOOKUP(Q22,Sheet5!AH:AM,6,0)</f>
        <v>3.4595943127311601</v>
      </c>
      <c r="U22">
        <f>VLOOKUP(Q22,Sheet5!AP:AU,6,0)</f>
        <v>3.4635710730868299</v>
      </c>
      <c r="V22">
        <f t="shared" si="5"/>
        <v>0.45593458344872434</v>
      </c>
      <c r="W22">
        <f t="shared" si="6"/>
        <v>0.43772208542647273</v>
      </c>
      <c r="X22">
        <f t="shared" si="7"/>
        <v>0.43247580551296644</v>
      </c>
    </row>
    <row r="23" spans="1:24" x14ac:dyDescent="0.25">
      <c r="A23" s="1">
        <v>42095</v>
      </c>
      <c r="B23">
        <v>3.8123749999999998</v>
      </c>
      <c r="C23" s="1">
        <f t="shared" si="2"/>
        <v>42095</v>
      </c>
      <c r="E23" s="3">
        <v>42705</v>
      </c>
      <c r="F23" s="5">
        <v>4.3841845238095232</v>
      </c>
      <c r="J23" s="3">
        <v>42705</v>
      </c>
      <c r="K23" s="5">
        <v>4.3841845238095232</v>
      </c>
      <c r="L23" s="5">
        <f t="shared" si="3"/>
        <v>3.707464633059983</v>
      </c>
      <c r="M23">
        <f>VLOOKUP(J23,Sheet5!AB:AD,3,0)</f>
        <v>3.8499805733610701</v>
      </c>
      <c r="N23">
        <f t="shared" si="4"/>
        <v>0.53420395044845304</v>
      </c>
      <c r="Q23" s="3">
        <v>42705</v>
      </c>
      <c r="R23" s="5">
        <v>4.3841845238095232</v>
      </c>
      <c r="S23">
        <f t="shared" si="0"/>
        <v>3.8499805733610701</v>
      </c>
      <c r="T23">
        <f>VLOOKUP(Q23,Sheet5!AH:AM,6,0)</f>
        <v>3.8530059553182499</v>
      </c>
      <c r="U23">
        <f>VLOOKUP(Q23,Sheet5!AP:AU,6,0)</f>
        <v>3.8676735681710999</v>
      </c>
      <c r="V23">
        <f t="shared" si="5"/>
        <v>0.28537386067473325</v>
      </c>
      <c r="W23">
        <f t="shared" si="6"/>
        <v>0.28215067162443835</v>
      </c>
      <c r="X23">
        <f t="shared" si="7"/>
        <v>0.2667835672945173</v>
      </c>
    </row>
    <row r="24" spans="1:24" x14ac:dyDescent="0.25">
      <c r="A24" s="1">
        <v>42096</v>
      </c>
      <c r="B24">
        <v>3.7805</v>
      </c>
      <c r="C24" s="1">
        <f t="shared" si="2"/>
        <v>42095</v>
      </c>
      <c r="E24" s="3">
        <v>42736</v>
      </c>
      <c r="F24" s="5">
        <v>4.4313250000000002</v>
      </c>
      <c r="J24" s="3">
        <v>42736</v>
      </c>
      <c r="K24" s="5">
        <v>4.4313250000000002</v>
      </c>
      <c r="L24" s="5">
        <f t="shared" si="3"/>
        <v>3.75460510925046</v>
      </c>
      <c r="M24">
        <f>VLOOKUP(J24,Sheet5!AB:AD,3,0)</f>
        <v>3.7475180897254798</v>
      </c>
      <c r="N24">
        <f t="shared" si="4"/>
        <v>0.68380691027452034</v>
      </c>
      <c r="Q24" s="3">
        <v>42736</v>
      </c>
      <c r="R24" s="5">
        <v>4.4313250000000002</v>
      </c>
      <c r="S24">
        <f t="shared" si="0"/>
        <v>3.7475180897254798</v>
      </c>
      <c r="T24">
        <f>VLOOKUP(Q24,Sheet5!AH:AM,6,0)</f>
        <v>3.7207141859960502</v>
      </c>
      <c r="U24">
        <f>VLOOKUP(Q24,Sheet5!AP:AU,6,0)</f>
        <v>3.60289791673021</v>
      </c>
      <c r="V24">
        <f t="shared" si="5"/>
        <v>0.46759189053918593</v>
      </c>
      <c r="W24">
        <f t="shared" si="6"/>
        <v>0.50496772897935638</v>
      </c>
      <c r="X24">
        <f t="shared" si="7"/>
        <v>0.68629143229489187</v>
      </c>
    </row>
    <row r="25" spans="1:24" x14ac:dyDescent="0.25">
      <c r="A25" s="1">
        <v>42097</v>
      </c>
      <c r="B25">
        <v>3.7805</v>
      </c>
      <c r="C25" s="1">
        <f t="shared" si="2"/>
        <v>42095</v>
      </c>
      <c r="E25" s="3">
        <v>42767</v>
      </c>
      <c r="F25" s="5">
        <v>4.4312916666666657</v>
      </c>
      <c r="J25" s="3"/>
      <c r="K25" s="5"/>
      <c r="L25" s="5"/>
      <c r="Q25" s="3"/>
      <c r="R25" s="5"/>
      <c r="V25">
        <f>(AVERAGE(V2:V24))^0.5</f>
        <v>0.68109349314062506</v>
      </c>
      <c r="W25">
        <f t="shared" ref="W25:X25" si="8">(AVERAGE(W2:W24))^0.5</f>
        <v>0.67248989248860136</v>
      </c>
      <c r="X25">
        <f t="shared" si="8"/>
        <v>0.67772940247471236</v>
      </c>
    </row>
    <row r="26" spans="1:24" x14ac:dyDescent="0.25">
      <c r="A26" s="1">
        <v>42100</v>
      </c>
      <c r="B26">
        <v>3.964</v>
      </c>
      <c r="C26" s="1">
        <f t="shared" si="2"/>
        <v>42095</v>
      </c>
      <c r="E26" s="3">
        <v>42795</v>
      </c>
      <c r="F26" s="5">
        <v>4.4951249999999998</v>
      </c>
      <c r="N26">
        <f>AVERAGE(N2:N24)</f>
        <v>0.67671989074954042</v>
      </c>
    </row>
    <row r="27" spans="1:24" x14ac:dyDescent="0.25">
      <c r="A27" s="1">
        <v>42101</v>
      </c>
      <c r="B27">
        <v>3.964</v>
      </c>
      <c r="C27" s="1">
        <f t="shared" si="2"/>
        <v>42095</v>
      </c>
      <c r="E27" s="4" t="s">
        <v>19</v>
      </c>
      <c r="F27" s="5"/>
    </row>
    <row r="28" spans="1:24" x14ac:dyDescent="0.25">
      <c r="A28" s="1">
        <v>42102</v>
      </c>
      <c r="B28">
        <v>4.0271249999999998</v>
      </c>
      <c r="C28" s="1">
        <f t="shared" si="2"/>
        <v>42095</v>
      </c>
      <c r="E28" s="4" t="s">
        <v>20</v>
      </c>
      <c r="F28" s="5">
        <v>4.0640074282786882</v>
      </c>
    </row>
    <row r="29" spans="1:24" x14ac:dyDescent="0.25">
      <c r="A29" s="1">
        <v>42103</v>
      </c>
      <c r="B29">
        <v>3.9634999999999998</v>
      </c>
      <c r="C29" s="1">
        <f t="shared" si="2"/>
        <v>42095</v>
      </c>
    </row>
    <row r="30" spans="1:24" x14ac:dyDescent="0.25">
      <c r="A30" s="1">
        <v>42104</v>
      </c>
      <c r="B30">
        <v>4.0271249999999998</v>
      </c>
      <c r="C30" s="1">
        <f t="shared" si="2"/>
        <v>42095</v>
      </c>
    </row>
    <row r="31" spans="1:24" x14ac:dyDescent="0.25">
      <c r="A31" s="1">
        <v>42107</v>
      </c>
      <c r="B31">
        <v>4.0271249999999998</v>
      </c>
      <c r="C31" s="1">
        <f t="shared" si="2"/>
        <v>42095</v>
      </c>
    </row>
    <row r="32" spans="1:24" x14ac:dyDescent="0.25">
      <c r="A32" s="1">
        <v>42108</v>
      </c>
      <c r="B32">
        <v>3.8995000000000002</v>
      </c>
      <c r="C32" s="1">
        <f t="shared" si="2"/>
        <v>42095</v>
      </c>
    </row>
    <row r="33" spans="1:3" x14ac:dyDescent="0.25">
      <c r="A33" s="1">
        <v>42109</v>
      </c>
      <c r="B33">
        <v>3.8995000000000002</v>
      </c>
      <c r="C33" s="1">
        <f t="shared" si="2"/>
        <v>42095</v>
      </c>
    </row>
    <row r="34" spans="1:3" x14ac:dyDescent="0.25">
      <c r="A34" s="1">
        <v>42110</v>
      </c>
      <c r="B34">
        <v>3.9634999999999998</v>
      </c>
      <c r="C34" s="1">
        <f t="shared" si="2"/>
        <v>42095</v>
      </c>
    </row>
    <row r="35" spans="1:3" x14ac:dyDescent="0.25">
      <c r="A35" s="1">
        <v>42111</v>
      </c>
      <c r="B35">
        <v>3.9634999999999998</v>
      </c>
      <c r="C35" s="1">
        <f t="shared" si="2"/>
        <v>42095</v>
      </c>
    </row>
    <row r="36" spans="1:3" x14ac:dyDescent="0.25">
      <c r="A36" s="1">
        <v>42114</v>
      </c>
      <c r="B36">
        <v>3.8995000000000002</v>
      </c>
      <c r="C36" s="1">
        <f t="shared" si="2"/>
        <v>42095</v>
      </c>
    </row>
    <row r="37" spans="1:3" x14ac:dyDescent="0.25">
      <c r="A37" s="1">
        <v>42115</v>
      </c>
      <c r="B37">
        <v>3.9634999999999998</v>
      </c>
      <c r="C37" s="1">
        <f t="shared" si="2"/>
        <v>42095</v>
      </c>
    </row>
    <row r="38" spans="1:3" x14ac:dyDescent="0.25">
      <c r="A38" s="1">
        <v>42116</v>
      </c>
      <c r="B38">
        <v>4.0271249999999998</v>
      </c>
      <c r="C38" s="1">
        <f t="shared" si="2"/>
        <v>42095</v>
      </c>
    </row>
    <row r="39" spans="1:3" x14ac:dyDescent="0.25">
      <c r="A39" s="1">
        <v>42117</v>
      </c>
      <c r="B39">
        <v>4.0271249999999998</v>
      </c>
      <c r="C39" s="1">
        <f t="shared" si="2"/>
        <v>42095</v>
      </c>
    </row>
    <row r="40" spans="1:3" x14ac:dyDescent="0.25">
      <c r="A40" s="1">
        <v>42118</v>
      </c>
      <c r="B40">
        <v>3.9953750000000001</v>
      </c>
      <c r="C40" s="1">
        <f t="shared" si="2"/>
        <v>42095</v>
      </c>
    </row>
    <row r="41" spans="1:3" x14ac:dyDescent="0.25">
      <c r="A41" s="1">
        <v>42121</v>
      </c>
      <c r="B41">
        <v>4.0271249999999998</v>
      </c>
      <c r="C41" s="1">
        <f t="shared" si="2"/>
        <v>42095</v>
      </c>
    </row>
    <row r="42" spans="1:3" x14ac:dyDescent="0.25">
      <c r="A42" s="1">
        <v>42122</v>
      </c>
      <c r="B42">
        <v>3.9321250000000001</v>
      </c>
      <c r="C42" s="1">
        <f t="shared" si="2"/>
        <v>42095</v>
      </c>
    </row>
    <row r="43" spans="1:3" x14ac:dyDescent="0.25">
      <c r="A43" s="1">
        <v>42123</v>
      </c>
      <c r="B43">
        <v>4.0274999999999999</v>
      </c>
      <c r="C43" s="1">
        <f t="shared" si="2"/>
        <v>42095</v>
      </c>
    </row>
    <row r="44" spans="1:3" x14ac:dyDescent="0.25">
      <c r="A44" s="1">
        <v>42124</v>
      </c>
      <c r="B44">
        <v>3.9957500000000001</v>
      </c>
      <c r="C44" s="1">
        <f t="shared" si="2"/>
        <v>42095</v>
      </c>
    </row>
    <row r="45" spans="1:3" x14ac:dyDescent="0.25">
      <c r="A45" s="1">
        <v>42125</v>
      </c>
      <c r="B45">
        <v>3.9957500000000001</v>
      </c>
      <c r="C45" s="1">
        <f t="shared" si="2"/>
        <v>42125</v>
      </c>
    </row>
    <row r="46" spans="1:3" x14ac:dyDescent="0.25">
      <c r="A46" s="1">
        <v>42128</v>
      </c>
      <c r="B46">
        <v>4.0593750000000002</v>
      </c>
      <c r="C46" s="1">
        <f t="shared" si="2"/>
        <v>42125</v>
      </c>
    </row>
    <row r="47" spans="1:3" x14ac:dyDescent="0.25">
      <c r="A47" s="1">
        <v>42129</v>
      </c>
      <c r="B47">
        <v>4.0911249999999999</v>
      </c>
      <c r="C47" s="1">
        <f t="shared" si="2"/>
        <v>42125</v>
      </c>
    </row>
    <row r="48" spans="1:3" x14ac:dyDescent="0.25">
      <c r="A48" s="1">
        <v>42130</v>
      </c>
      <c r="B48">
        <v>4.1547499999999999</v>
      </c>
      <c r="C48" s="1">
        <f t="shared" si="2"/>
        <v>42125</v>
      </c>
    </row>
    <row r="49" spans="1:3" x14ac:dyDescent="0.25">
      <c r="A49" s="1">
        <v>42131</v>
      </c>
      <c r="B49">
        <v>4.1547499999999999</v>
      </c>
      <c r="C49" s="1">
        <f t="shared" si="2"/>
        <v>42125</v>
      </c>
    </row>
    <row r="50" spans="1:3" x14ac:dyDescent="0.25">
      <c r="A50" s="1">
        <v>42132</v>
      </c>
      <c r="B50">
        <v>4.0274999999999999</v>
      </c>
      <c r="C50" s="1">
        <f t="shared" si="2"/>
        <v>42125</v>
      </c>
    </row>
    <row r="51" spans="1:3" x14ac:dyDescent="0.25">
      <c r="A51" s="1">
        <v>42135</v>
      </c>
      <c r="B51">
        <v>4.1229999999999896</v>
      </c>
      <c r="C51" s="1">
        <f t="shared" si="2"/>
        <v>42125</v>
      </c>
    </row>
    <row r="52" spans="1:3" x14ac:dyDescent="0.25">
      <c r="A52" s="1">
        <v>42136</v>
      </c>
      <c r="B52">
        <v>4.1229999999999896</v>
      </c>
      <c r="C52" s="1">
        <f t="shared" si="2"/>
        <v>42125</v>
      </c>
    </row>
    <row r="53" spans="1:3" x14ac:dyDescent="0.25">
      <c r="A53" s="1">
        <v>42137</v>
      </c>
      <c r="B53">
        <v>4.1547499999999999</v>
      </c>
      <c r="C53" s="1">
        <f t="shared" si="2"/>
        <v>42125</v>
      </c>
    </row>
    <row r="54" spans="1:3" x14ac:dyDescent="0.25">
      <c r="A54" s="1">
        <v>42138</v>
      </c>
      <c r="B54">
        <v>4.1547499999999999</v>
      </c>
      <c r="C54" s="1">
        <f t="shared" si="2"/>
        <v>42125</v>
      </c>
    </row>
    <row r="55" spans="1:3" x14ac:dyDescent="0.25">
      <c r="A55" s="1">
        <v>42139</v>
      </c>
      <c r="B55">
        <v>4.0593750000000002</v>
      </c>
      <c r="C55" s="1">
        <f t="shared" si="2"/>
        <v>42125</v>
      </c>
    </row>
    <row r="56" spans="1:3" x14ac:dyDescent="0.25">
      <c r="A56" s="1">
        <v>42142</v>
      </c>
      <c r="B56">
        <v>4.0911249999999999</v>
      </c>
      <c r="C56" s="1">
        <f t="shared" si="2"/>
        <v>42125</v>
      </c>
    </row>
    <row r="57" spans="1:3" x14ac:dyDescent="0.25">
      <c r="A57" s="1">
        <v>42143</v>
      </c>
      <c r="B57">
        <v>4.1547499999999999</v>
      </c>
      <c r="C57" s="1">
        <f t="shared" si="2"/>
        <v>42125</v>
      </c>
    </row>
    <row r="58" spans="1:3" x14ac:dyDescent="0.25">
      <c r="A58" s="1">
        <v>42144</v>
      </c>
      <c r="B58">
        <v>4.1547499999999999</v>
      </c>
      <c r="C58" s="1">
        <f t="shared" si="2"/>
        <v>42125</v>
      </c>
    </row>
    <row r="59" spans="1:3" x14ac:dyDescent="0.25">
      <c r="A59" s="1">
        <v>42145</v>
      </c>
      <c r="B59">
        <v>4.1547499999999999</v>
      </c>
      <c r="C59" s="1">
        <f t="shared" si="2"/>
        <v>42125</v>
      </c>
    </row>
    <row r="60" spans="1:3" x14ac:dyDescent="0.25">
      <c r="A60" s="1">
        <v>42146</v>
      </c>
      <c r="B60">
        <v>4.1547499999999999</v>
      </c>
      <c r="C60" s="1">
        <f t="shared" si="2"/>
        <v>42125</v>
      </c>
    </row>
    <row r="61" spans="1:3" x14ac:dyDescent="0.25">
      <c r="A61" s="1">
        <v>42150</v>
      </c>
      <c r="B61">
        <v>4.155125</v>
      </c>
      <c r="C61" s="1">
        <f t="shared" si="2"/>
        <v>42125</v>
      </c>
    </row>
    <row r="62" spans="1:3" x14ac:dyDescent="0.25">
      <c r="A62" s="1">
        <v>42151</v>
      </c>
      <c r="B62">
        <v>4.1547499999999999</v>
      </c>
      <c r="C62" s="1">
        <f t="shared" si="2"/>
        <v>42125</v>
      </c>
    </row>
    <row r="63" spans="1:3" x14ac:dyDescent="0.25">
      <c r="A63" s="1">
        <v>42152</v>
      </c>
      <c r="B63">
        <v>4.1229999999999896</v>
      </c>
      <c r="C63" s="1">
        <f t="shared" si="2"/>
        <v>42125</v>
      </c>
    </row>
    <row r="64" spans="1:3" x14ac:dyDescent="0.25">
      <c r="A64" s="1">
        <v>42153</v>
      </c>
      <c r="B64">
        <v>4.0911249999999999</v>
      </c>
      <c r="C64" s="1">
        <f t="shared" si="2"/>
        <v>42125</v>
      </c>
    </row>
    <row r="65" spans="1:3" x14ac:dyDescent="0.25">
      <c r="A65" s="1">
        <v>42156</v>
      </c>
      <c r="B65">
        <v>4.0993750000000002</v>
      </c>
      <c r="C65" s="1">
        <f t="shared" si="2"/>
        <v>42156</v>
      </c>
    </row>
    <row r="66" spans="1:3" x14ac:dyDescent="0.25">
      <c r="A66" s="1">
        <v>42157</v>
      </c>
      <c r="B66">
        <v>4.0993750000000002</v>
      </c>
      <c r="C66" s="1">
        <f t="shared" si="2"/>
        <v>42156</v>
      </c>
    </row>
    <row r="67" spans="1:3" x14ac:dyDescent="0.25">
      <c r="A67" s="1">
        <v>42158</v>
      </c>
      <c r="B67">
        <v>4.2910000000000004</v>
      </c>
      <c r="C67" s="1">
        <f t="shared" ref="C67:C130" si="9">A67-DAY(A67)+1</f>
        <v>42156</v>
      </c>
    </row>
    <row r="68" spans="1:3" x14ac:dyDescent="0.25">
      <c r="A68" s="1">
        <v>42159</v>
      </c>
      <c r="B68">
        <v>4.2588749999999997</v>
      </c>
      <c r="C68" s="1">
        <f t="shared" si="9"/>
        <v>42156</v>
      </c>
    </row>
    <row r="69" spans="1:3" x14ac:dyDescent="0.25">
      <c r="A69" s="1">
        <v>42160</v>
      </c>
      <c r="B69">
        <v>4.2592499999999998</v>
      </c>
      <c r="C69" s="1">
        <f t="shared" si="9"/>
        <v>42156</v>
      </c>
    </row>
    <row r="70" spans="1:3" x14ac:dyDescent="0.25">
      <c r="A70" s="1">
        <v>42163</v>
      </c>
      <c r="B70">
        <v>4.2275</v>
      </c>
      <c r="C70" s="1">
        <f t="shared" si="9"/>
        <v>42156</v>
      </c>
    </row>
    <row r="71" spans="1:3" x14ac:dyDescent="0.25">
      <c r="A71" s="1">
        <v>42164</v>
      </c>
      <c r="B71">
        <v>4.1956249999999997</v>
      </c>
      <c r="C71" s="1">
        <f t="shared" si="9"/>
        <v>42156</v>
      </c>
    </row>
    <row r="72" spans="1:3" x14ac:dyDescent="0.25">
      <c r="A72" s="1">
        <v>42165</v>
      </c>
      <c r="B72">
        <v>4.2275</v>
      </c>
      <c r="C72" s="1">
        <f t="shared" si="9"/>
        <v>42156</v>
      </c>
    </row>
    <row r="73" spans="1:3" x14ac:dyDescent="0.25">
      <c r="A73" s="1">
        <v>42166</v>
      </c>
      <c r="B73">
        <v>4.1956249999999997</v>
      </c>
      <c r="C73" s="1">
        <f t="shared" si="9"/>
        <v>42156</v>
      </c>
    </row>
    <row r="74" spans="1:3" x14ac:dyDescent="0.25">
      <c r="A74" s="1">
        <v>42167</v>
      </c>
      <c r="B74">
        <v>4.2906250000000004</v>
      </c>
      <c r="C74" s="1">
        <f t="shared" si="9"/>
        <v>42156</v>
      </c>
    </row>
    <row r="75" spans="1:3" x14ac:dyDescent="0.25">
      <c r="A75" s="1">
        <v>42170</v>
      </c>
      <c r="B75">
        <v>4.2906250000000004</v>
      </c>
      <c r="C75" s="1">
        <f t="shared" si="9"/>
        <v>42156</v>
      </c>
    </row>
    <row r="76" spans="1:3" x14ac:dyDescent="0.25">
      <c r="A76" s="1">
        <v>42171</v>
      </c>
      <c r="B76">
        <v>4.2275</v>
      </c>
      <c r="C76" s="1">
        <f t="shared" si="9"/>
        <v>42156</v>
      </c>
    </row>
    <row r="77" spans="1:3" x14ac:dyDescent="0.25">
      <c r="A77" s="1">
        <v>42172</v>
      </c>
      <c r="B77">
        <v>4.2275</v>
      </c>
      <c r="C77" s="1">
        <f t="shared" si="9"/>
        <v>42156</v>
      </c>
    </row>
    <row r="78" spans="1:3" x14ac:dyDescent="0.25">
      <c r="A78" s="1">
        <v>42173</v>
      </c>
      <c r="B78">
        <v>4.2588749999999997</v>
      </c>
      <c r="C78" s="1">
        <f t="shared" si="9"/>
        <v>42156</v>
      </c>
    </row>
    <row r="79" spans="1:3" x14ac:dyDescent="0.25">
      <c r="A79" s="1">
        <v>42174</v>
      </c>
      <c r="B79">
        <v>4.2270000000000003</v>
      </c>
      <c r="C79" s="1">
        <f t="shared" si="9"/>
        <v>42156</v>
      </c>
    </row>
    <row r="80" spans="1:3" x14ac:dyDescent="0.25">
      <c r="A80" s="1">
        <v>42177</v>
      </c>
      <c r="B80">
        <v>4.2906250000000004</v>
      </c>
      <c r="C80" s="1">
        <f t="shared" si="9"/>
        <v>42156</v>
      </c>
    </row>
    <row r="81" spans="1:3" x14ac:dyDescent="0.25">
      <c r="A81" s="1">
        <v>42178</v>
      </c>
      <c r="B81">
        <v>4.3228749999999998</v>
      </c>
      <c r="C81" s="1">
        <f t="shared" si="9"/>
        <v>42156</v>
      </c>
    </row>
    <row r="82" spans="1:3" x14ac:dyDescent="0.25">
      <c r="A82" s="1">
        <v>42179</v>
      </c>
      <c r="B82">
        <v>4.2910000000000004</v>
      </c>
      <c r="C82" s="1">
        <f t="shared" si="9"/>
        <v>42156</v>
      </c>
    </row>
    <row r="83" spans="1:3" x14ac:dyDescent="0.25">
      <c r="A83" s="1">
        <v>42180</v>
      </c>
      <c r="B83">
        <v>4.2910000000000004</v>
      </c>
      <c r="C83" s="1">
        <f t="shared" si="9"/>
        <v>42156</v>
      </c>
    </row>
    <row r="84" spans="1:3" x14ac:dyDescent="0.25">
      <c r="A84" s="1">
        <v>42181</v>
      </c>
      <c r="B84">
        <v>4.3546250000000004</v>
      </c>
      <c r="C84" s="1">
        <f t="shared" si="9"/>
        <v>42156</v>
      </c>
    </row>
    <row r="85" spans="1:3" x14ac:dyDescent="0.25">
      <c r="A85" s="1">
        <v>42184</v>
      </c>
      <c r="B85">
        <v>4.2910000000000004</v>
      </c>
      <c r="C85" s="1">
        <f t="shared" si="9"/>
        <v>42156</v>
      </c>
    </row>
    <row r="86" spans="1:3" x14ac:dyDescent="0.25">
      <c r="A86" s="1">
        <v>42185</v>
      </c>
      <c r="B86">
        <v>4.2592499999999998</v>
      </c>
      <c r="C86" s="1">
        <f t="shared" si="9"/>
        <v>42156</v>
      </c>
    </row>
    <row r="87" spans="1:3" x14ac:dyDescent="0.25">
      <c r="A87" s="1">
        <v>42186</v>
      </c>
      <c r="B87">
        <v>4.3228749999999998</v>
      </c>
      <c r="C87" s="1">
        <f t="shared" si="9"/>
        <v>42186</v>
      </c>
    </row>
    <row r="88" spans="1:3" x14ac:dyDescent="0.25">
      <c r="A88" s="1">
        <v>42187</v>
      </c>
      <c r="B88">
        <v>4.2910000000000004</v>
      </c>
      <c r="C88" s="1">
        <f t="shared" si="9"/>
        <v>42186</v>
      </c>
    </row>
    <row r="89" spans="1:3" x14ac:dyDescent="0.25">
      <c r="A89" s="1">
        <v>42191</v>
      </c>
      <c r="B89">
        <v>4.2592499999999998</v>
      </c>
      <c r="C89" s="1">
        <f t="shared" si="9"/>
        <v>42186</v>
      </c>
    </row>
    <row r="90" spans="1:3" x14ac:dyDescent="0.25">
      <c r="A90" s="1">
        <v>42192</v>
      </c>
      <c r="B90">
        <v>4.2906250000000004</v>
      </c>
      <c r="C90" s="1">
        <f t="shared" si="9"/>
        <v>42186</v>
      </c>
    </row>
    <row r="91" spans="1:3" x14ac:dyDescent="0.25">
      <c r="A91" s="1">
        <v>42193</v>
      </c>
      <c r="B91">
        <v>4.2910000000000004</v>
      </c>
      <c r="C91" s="1">
        <f t="shared" si="9"/>
        <v>42186</v>
      </c>
    </row>
    <row r="92" spans="1:3" x14ac:dyDescent="0.25">
      <c r="A92" s="1">
        <v>42194</v>
      </c>
      <c r="B92">
        <v>4.2592499999999998</v>
      </c>
      <c r="C92" s="1">
        <f t="shared" si="9"/>
        <v>42186</v>
      </c>
    </row>
    <row r="93" spans="1:3" x14ac:dyDescent="0.25">
      <c r="A93" s="1">
        <v>42195</v>
      </c>
      <c r="B93">
        <v>4.3228749999999998</v>
      </c>
      <c r="C93" s="1">
        <f t="shared" si="9"/>
        <v>42186</v>
      </c>
    </row>
    <row r="94" spans="1:3" x14ac:dyDescent="0.25">
      <c r="A94" s="1">
        <v>42198</v>
      </c>
      <c r="B94">
        <v>4.3864999999999998</v>
      </c>
      <c r="C94" s="1">
        <f t="shared" si="9"/>
        <v>42186</v>
      </c>
    </row>
    <row r="95" spans="1:3" x14ac:dyDescent="0.25">
      <c r="A95" s="1">
        <v>42199</v>
      </c>
      <c r="B95">
        <v>4.2910000000000004</v>
      </c>
      <c r="C95" s="1">
        <f t="shared" si="9"/>
        <v>42186</v>
      </c>
    </row>
    <row r="96" spans="1:3" x14ac:dyDescent="0.25">
      <c r="A96" s="1">
        <v>42200</v>
      </c>
      <c r="B96">
        <v>4.2592499999999998</v>
      </c>
      <c r="C96" s="1">
        <f t="shared" si="9"/>
        <v>42186</v>
      </c>
    </row>
    <row r="97" spans="1:3" x14ac:dyDescent="0.25">
      <c r="A97" s="1">
        <v>42201</v>
      </c>
      <c r="B97">
        <v>4.2592499999999998</v>
      </c>
      <c r="C97" s="1">
        <f t="shared" si="9"/>
        <v>42186</v>
      </c>
    </row>
    <row r="98" spans="1:3" x14ac:dyDescent="0.25">
      <c r="A98" s="1">
        <v>42202</v>
      </c>
      <c r="B98">
        <v>4.2592499999999998</v>
      </c>
      <c r="C98" s="1">
        <f t="shared" si="9"/>
        <v>42186</v>
      </c>
    </row>
    <row r="99" spans="1:3" x14ac:dyDescent="0.25">
      <c r="A99" s="1">
        <v>42205</v>
      </c>
      <c r="B99">
        <v>4.2910000000000004</v>
      </c>
      <c r="C99" s="1">
        <f t="shared" si="9"/>
        <v>42186</v>
      </c>
    </row>
    <row r="100" spans="1:3" x14ac:dyDescent="0.25">
      <c r="A100" s="1">
        <v>42206</v>
      </c>
      <c r="B100">
        <v>4.2906250000000004</v>
      </c>
      <c r="C100" s="1">
        <f t="shared" si="9"/>
        <v>42186</v>
      </c>
    </row>
    <row r="101" spans="1:3" x14ac:dyDescent="0.25">
      <c r="A101" s="1">
        <v>42207</v>
      </c>
      <c r="B101">
        <v>4.2906250000000004</v>
      </c>
      <c r="C101" s="1">
        <f t="shared" si="9"/>
        <v>42186</v>
      </c>
    </row>
    <row r="102" spans="1:3" x14ac:dyDescent="0.25">
      <c r="A102" s="1">
        <v>42208</v>
      </c>
      <c r="B102">
        <v>4.2592499999999998</v>
      </c>
      <c r="C102" s="1">
        <f t="shared" si="9"/>
        <v>42186</v>
      </c>
    </row>
    <row r="103" spans="1:3" x14ac:dyDescent="0.25">
      <c r="A103" s="1">
        <v>42209</v>
      </c>
      <c r="B103">
        <v>4.2588749999999997</v>
      </c>
      <c r="C103" s="1">
        <f t="shared" si="9"/>
        <v>42186</v>
      </c>
    </row>
    <row r="104" spans="1:3" x14ac:dyDescent="0.25">
      <c r="A104" s="1">
        <v>42212</v>
      </c>
      <c r="B104">
        <v>4.2588749999999997</v>
      </c>
      <c r="C104" s="1">
        <f t="shared" si="9"/>
        <v>42186</v>
      </c>
    </row>
    <row r="105" spans="1:3" x14ac:dyDescent="0.25">
      <c r="A105" s="1">
        <v>42213</v>
      </c>
      <c r="B105">
        <v>4.2906250000000004</v>
      </c>
      <c r="C105" s="1">
        <f t="shared" si="9"/>
        <v>42186</v>
      </c>
    </row>
    <row r="106" spans="1:3" x14ac:dyDescent="0.25">
      <c r="A106" s="1">
        <v>42214</v>
      </c>
      <c r="B106">
        <v>4.2906250000000004</v>
      </c>
      <c r="C106" s="1">
        <f t="shared" si="9"/>
        <v>42186</v>
      </c>
    </row>
    <row r="107" spans="1:3" x14ac:dyDescent="0.25">
      <c r="A107" s="1">
        <v>42215</v>
      </c>
      <c r="B107">
        <v>4.2906250000000004</v>
      </c>
      <c r="C107" s="1">
        <f t="shared" si="9"/>
        <v>42186</v>
      </c>
    </row>
    <row r="108" spans="1:3" x14ac:dyDescent="0.25">
      <c r="A108" s="1">
        <v>42216</v>
      </c>
      <c r="B108">
        <v>4.1630000000000003</v>
      </c>
      <c r="C108" s="1">
        <f t="shared" si="9"/>
        <v>42186</v>
      </c>
    </row>
    <row r="109" spans="1:3" x14ac:dyDescent="0.25">
      <c r="A109" s="1">
        <v>42219</v>
      </c>
      <c r="B109">
        <v>4.1312499999999996</v>
      </c>
      <c r="C109" s="1">
        <f t="shared" si="9"/>
        <v>42217</v>
      </c>
    </row>
    <row r="110" spans="1:3" x14ac:dyDescent="0.25">
      <c r="A110" s="1">
        <v>42220</v>
      </c>
      <c r="B110">
        <v>4.2588749999999997</v>
      </c>
      <c r="C110" s="1">
        <f t="shared" si="9"/>
        <v>42217</v>
      </c>
    </row>
    <row r="111" spans="1:3" x14ac:dyDescent="0.25">
      <c r="A111" s="1">
        <v>42221</v>
      </c>
      <c r="B111">
        <v>4.2906250000000004</v>
      </c>
      <c r="C111" s="1">
        <f t="shared" si="9"/>
        <v>42217</v>
      </c>
    </row>
    <row r="112" spans="1:3" x14ac:dyDescent="0.25">
      <c r="A112" s="1">
        <v>42222</v>
      </c>
      <c r="B112">
        <v>4.2588749999999997</v>
      </c>
      <c r="C112" s="1">
        <f t="shared" si="9"/>
        <v>42217</v>
      </c>
    </row>
    <row r="113" spans="1:3" x14ac:dyDescent="0.25">
      <c r="A113" s="1">
        <v>42223</v>
      </c>
      <c r="B113">
        <v>4.2270000000000003</v>
      </c>
      <c r="C113" s="1">
        <f t="shared" si="9"/>
        <v>42217</v>
      </c>
    </row>
    <row r="114" spans="1:3" x14ac:dyDescent="0.25">
      <c r="A114" s="1">
        <v>42226</v>
      </c>
      <c r="B114">
        <v>4.2588749999999997</v>
      </c>
      <c r="C114" s="1">
        <f t="shared" si="9"/>
        <v>42217</v>
      </c>
    </row>
    <row r="115" spans="1:3" x14ac:dyDescent="0.25">
      <c r="A115" s="1">
        <v>42227</v>
      </c>
      <c r="B115">
        <v>4.1312499999999996</v>
      </c>
      <c r="C115" s="1">
        <f t="shared" si="9"/>
        <v>42217</v>
      </c>
    </row>
    <row r="116" spans="1:3" x14ac:dyDescent="0.25">
      <c r="A116" s="1">
        <v>42228</v>
      </c>
      <c r="B116">
        <v>4.0993750000000002</v>
      </c>
      <c r="C116" s="1">
        <f t="shared" si="9"/>
        <v>42217</v>
      </c>
    </row>
    <row r="117" spans="1:3" x14ac:dyDescent="0.25">
      <c r="A117" s="1">
        <v>42229</v>
      </c>
      <c r="B117">
        <v>4.0993750000000002</v>
      </c>
      <c r="C117" s="1">
        <f t="shared" si="9"/>
        <v>42217</v>
      </c>
    </row>
    <row r="118" spans="1:3" x14ac:dyDescent="0.25">
      <c r="A118" s="1">
        <v>42230</v>
      </c>
      <c r="B118">
        <v>4.1630000000000003</v>
      </c>
      <c r="C118" s="1">
        <f t="shared" si="9"/>
        <v>42217</v>
      </c>
    </row>
    <row r="119" spans="1:3" x14ac:dyDescent="0.25">
      <c r="A119" s="1">
        <v>42233</v>
      </c>
      <c r="B119">
        <v>4.2270000000000003</v>
      </c>
      <c r="C119" s="1">
        <f t="shared" si="9"/>
        <v>42217</v>
      </c>
    </row>
    <row r="120" spans="1:3" x14ac:dyDescent="0.25">
      <c r="A120" s="1">
        <v>42234</v>
      </c>
      <c r="B120">
        <v>4.2588749999999997</v>
      </c>
      <c r="C120" s="1">
        <f t="shared" si="9"/>
        <v>42217</v>
      </c>
    </row>
    <row r="121" spans="1:3" x14ac:dyDescent="0.25">
      <c r="A121" s="1">
        <v>42235</v>
      </c>
      <c r="B121">
        <v>4.1630000000000003</v>
      </c>
      <c r="C121" s="1">
        <f t="shared" si="9"/>
        <v>42217</v>
      </c>
    </row>
    <row r="122" spans="1:3" x14ac:dyDescent="0.25">
      <c r="A122" s="1">
        <v>42236</v>
      </c>
      <c r="B122">
        <v>4.1312499999999996</v>
      </c>
      <c r="C122" s="1">
        <f t="shared" si="9"/>
        <v>42217</v>
      </c>
    </row>
    <row r="123" spans="1:3" x14ac:dyDescent="0.25">
      <c r="A123" s="1">
        <v>42237</v>
      </c>
      <c r="B123">
        <v>4.0993750000000002</v>
      </c>
      <c r="C123" s="1">
        <f t="shared" si="9"/>
        <v>42217</v>
      </c>
    </row>
    <row r="124" spans="1:3" x14ac:dyDescent="0.25">
      <c r="A124" s="1">
        <v>42240</v>
      </c>
      <c r="B124">
        <v>4.0353750000000002</v>
      </c>
      <c r="C124" s="1">
        <f t="shared" si="9"/>
        <v>42217</v>
      </c>
    </row>
    <row r="125" spans="1:3" x14ac:dyDescent="0.25">
      <c r="A125" s="1">
        <v>42241</v>
      </c>
      <c r="B125">
        <v>4.1630000000000003</v>
      </c>
      <c r="C125" s="1">
        <f t="shared" si="9"/>
        <v>42217</v>
      </c>
    </row>
    <row r="126" spans="1:3" x14ac:dyDescent="0.25">
      <c r="A126" s="1">
        <v>42242</v>
      </c>
      <c r="B126">
        <v>4.2270000000000003</v>
      </c>
      <c r="C126" s="1">
        <f t="shared" si="9"/>
        <v>42217</v>
      </c>
    </row>
    <row r="127" spans="1:3" x14ac:dyDescent="0.25">
      <c r="A127" s="1">
        <v>42243</v>
      </c>
      <c r="B127">
        <v>4.2270000000000003</v>
      </c>
      <c r="C127" s="1">
        <f t="shared" si="9"/>
        <v>42217</v>
      </c>
    </row>
    <row r="128" spans="1:3" x14ac:dyDescent="0.25">
      <c r="A128" s="1">
        <v>42244</v>
      </c>
      <c r="B128">
        <v>4.1312499999999996</v>
      </c>
      <c r="C128" s="1">
        <f t="shared" si="9"/>
        <v>42217</v>
      </c>
    </row>
    <row r="129" spans="1:3" x14ac:dyDescent="0.25">
      <c r="A129" s="1">
        <v>42247</v>
      </c>
      <c r="B129">
        <v>4.1312499999999996</v>
      </c>
      <c r="C129" s="1">
        <f t="shared" si="9"/>
        <v>42217</v>
      </c>
    </row>
    <row r="130" spans="1:3" x14ac:dyDescent="0.25">
      <c r="A130" s="1">
        <v>42248</v>
      </c>
      <c r="B130">
        <v>4.1312499999999996</v>
      </c>
      <c r="C130" s="1">
        <f t="shared" si="9"/>
        <v>42248</v>
      </c>
    </row>
    <row r="131" spans="1:3" x14ac:dyDescent="0.25">
      <c r="A131" s="1">
        <v>42249</v>
      </c>
      <c r="B131">
        <v>4.2270000000000003</v>
      </c>
      <c r="C131" s="1">
        <f t="shared" ref="C131:C194" si="10">A131-DAY(A131)+1</f>
        <v>42248</v>
      </c>
    </row>
    <row r="132" spans="1:3" x14ac:dyDescent="0.25">
      <c r="A132" s="1">
        <v>42250</v>
      </c>
      <c r="B132">
        <v>4.1630000000000003</v>
      </c>
      <c r="C132" s="1">
        <f t="shared" si="10"/>
        <v>42248</v>
      </c>
    </row>
    <row r="133" spans="1:3" x14ac:dyDescent="0.25">
      <c r="A133" s="1">
        <v>42251</v>
      </c>
      <c r="B133">
        <v>4.1312499999999996</v>
      </c>
      <c r="C133" s="1">
        <f t="shared" si="10"/>
        <v>42248</v>
      </c>
    </row>
    <row r="134" spans="1:3" x14ac:dyDescent="0.25">
      <c r="A134" s="1">
        <v>42255</v>
      </c>
      <c r="B134">
        <v>4.1630000000000003</v>
      </c>
      <c r="C134" s="1">
        <f t="shared" si="10"/>
        <v>42248</v>
      </c>
    </row>
    <row r="135" spans="1:3" x14ac:dyDescent="0.25">
      <c r="A135" s="1">
        <v>42256</v>
      </c>
      <c r="B135">
        <v>4.1312499999999996</v>
      </c>
      <c r="C135" s="1">
        <f t="shared" si="10"/>
        <v>42248</v>
      </c>
    </row>
    <row r="136" spans="1:3" x14ac:dyDescent="0.25">
      <c r="A136" s="1">
        <v>42257</v>
      </c>
      <c r="B136">
        <v>4.0993750000000002</v>
      </c>
      <c r="C136" s="1">
        <f t="shared" si="10"/>
        <v>42248</v>
      </c>
    </row>
    <row r="137" spans="1:3" x14ac:dyDescent="0.25">
      <c r="A137" s="1">
        <v>42258</v>
      </c>
      <c r="B137">
        <v>4.0676249999999996</v>
      </c>
      <c r="C137" s="1">
        <f t="shared" si="10"/>
        <v>42248</v>
      </c>
    </row>
    <row r="138" spans="1:3" x14ac:dyDescent="0.25">
      <c r="A138" s="1">
        <v>42261</v>
      </c>
      <c r="B138">
        <v>4.0763749999999996</v>
      </c>
      <c r="C138" s="1">
        <f t="shared" si="10"/>
        <v>42248</v>
      </c>
    </row>
    <row r="139" spans="1:3" x14ac:dyDescent="0.25">
      <c r="A139" s="1">
        <v>42262</v>
      </c>
      <c r="B139">
        <v>4.2357500000000003</v>
      </c>
      <c r="C139" s="1">
        <f t="shared" si="10"/>
        <v>42248</v>
      </c>
    </row>
    <row r="140" spans="1:3" x14ac:dyDescent="0.25">
      <c r="A140" s="1">
        <v>42263</v>
      </c>
      <c r="B140">
        <v>4.2676249999999998</v>
      </c>
      <c r="C140" s="1">
        <f t="shared" si="10"/>
        <v>42248</v>
      </c>
    </row>
    <row r="141" spans="1:3" x14ac:dyDescent="0.25">
      <c r="A141" s="1">
        <v>42264</v>
      </c>
      <c r="B141">
        <v>4.1717499999999896</v>
      </c>
      <c r="C141" s="1">
        <f t="shared" si="10"/>
        <v>42248</v>
      </c>
    </row>
    <row r="142" spans="1:3" x14ac:dyDescent="0.25">
      <c r="A142" s="1">
        <v>42265</v>
      </c>
      <c r="B142">
        <v>4.0123749999999996</v>
      </c>
      <c r="C142" s="1">
        <f t="shared" si="10"/>
        <v>42248</v>
      </c>
    </row>
    <row r="143" spans="1:3" x14ac:dyDescent="0.25">
      <c r="A143" s="1">
        <v>42268</v>
      </c>
      <c r="B143">
        <v>4.0441250000000002</v>
      </c>
      <c r="C143" s="1">
        <f t="shared" si="10"/>
        <v>42248</v>
      </c>
    </row>
    <row r="144" spans="1:3" x14ac:dyDescent="0.25">
      <c r="A144" s="1">
        <v>42269</v>
      </c>
      <c r="B144">
        <v>4.0441250000000002</v>
      </c>
      <c r="C144" s="1">
        <f t="shared" si="10"/>
        <v>42248</v>
      </c>
    </row>
    <row r="145" spans="1:3" x14ac:dyDescent="0.25">
      <c r="A145" s="1">
        <v>42270</v>
      </c>
      <c r="B145">
        <v>4.0123749999999996</v>
      </c>
      <c r="C145" s="1">
        <f t="shared" si="10"/>
        <v>42248</v>
      </c>
    </row>
    <row r="146" spans="1:3" x14ac:dyDescent="0.25">
      <c r="A146" s="1">
        <v>42271</v>
      </c>
      <c r="B146">
        <v>4.0123749999999996</v>
      </c>
      <c r="C146" s="1">
        <f t="shared" si="10"/>
        <v>42248</v>
      </c>
    </row>
    <row r="147" spans="1:3" x14ac:dyDescent="0.25">
      <c r="A147" s="1">
        <v>42272</v>
      </c>
      <c r="B147">
        <v>4.0763749999999996</v>
      </c>
      <c r="C147" s="1">
        <f t="shared" si="10"/>
        <v>42248</v>
      </c>
    </row>
    <row r="148" spans="1:3" x14ac:dyDescent="0.25">
      <c r="A148" s="1">
        <v>42275</v>
      </c>
      <c r="B148">
        <v>4.1901250000000001</v>
      </c>
      <c r="C148" s="1">
        <f t="shared" si="10"/>
        <v>42248</v>
      </c>
    </row>
    <row r="149" spans="1:3" x14ac:dyDescent="0.25">
      <c r="A149" s="1">
        <v>42276</v>
      </c>
      <c r="B149">
        <v>4.1583750000000004</v>
      </c>
      <c r="C149" s="1">
        <f t="shared" si="10"/>
        <v>42248</v>
      </c>
    </row>
    <row r="150" spans="1:3" x14ac:dyDescent="0.25">
      <c r="A150" s="1">
        <v>42277</v>
      </c>
      <c r="B150">
        <v>4.126125</v>
      </c>
      <c r="C150" s="1">
        <f t="shared" si="10"/>
        <v>42248</v>
      </c>
    </row>
    <row r="151" spans="1:3" x14ac:dyDescent="0.25">
      <c r="A151" s="1">
        <v>42278</v>
      </c>
      <c r="B151">
        <v>4.0625</v>
      </c>
      <c r="C151" s="1">
        <f t="shared" si="10"/>
        <v>42278</v>
      </c>
    </row>
    <row r="152" spans="1:3" x14ac:dyDescent="0.25">
      <c r="A152" s="1">
        <v>42279</v>
      </c>
      <c r="B152">
        <v>3.9348749999999999</v>
      </c>
      <c r="C152" s="1">
        <f t="shared" si="10"/>
        <v>42278</v>
      </c>
    </row>
    <row r="153" spans="1:3" x14ac:dyDescent="0.25">
      <c r="A153" s="1">
        <v>42282</v>
      </c>
      <c r="B153">
        <v>4.0307500000000003</v>
      </c>
      <c r="C153" s="1">
        <f t="shared" si="10"/>
        <v>42278</v>
      </c>
    </row>
    <row r="154" spans="1:3" x14ac:dyDescent="0.25">
      <c r="A154" s="1">
        <v>42283</v>
      </c>
      <c r="B154">
        <v>4.0625</v>
      </c>
      <c r="C154" s="1">
        <f t="shared" si="10"/>
        <v>42278</v>
      </c>
    </row>
    <row r="155" spans="1:3" x14ac:dyDescent="0.25">
      <c r="A155" s="1">
        <v>42284</v>
      </c>
      <c r="B155">
        <v>4.0625</v>
      </c>
      <c r="C155" s="1">
        <f t="shared" si="10"/>
        <v>42278</v>
      </c>
    </row>
    <row r="156" spans="1:3" x14ac:dyDescent="0.25">
      <c r="A156" s="1">
        <v>42285</v>
      </c>
      <c r="B156">
        <v>4.0307500000000003</v>
      </c>
      <c r="C156" s="1">
        <f t="shared" si="10"/>
        <v>42278</v>
      </c>
    </row>
    <row r="157" spans="1:3" x14ac:dyDescent="0.25">
      <c r="A157" s="1">
        <v>42286</v>
      </c>
      <c r="B157">
        <v>4.0943750000000003</v>
      </c>
      <c r="C157" s="1">
        <f t="shared" si="10"/>
        <v>42278</v>
      </c>
    </row>
    <row r="158" spans="1:3" x14ac:dyDescent="0.25">
      <c r="A158" s="1">
        <v>42290</v>
      </c>
      <c r="B158">
        <v>4.0307500000000003</v>
      </c>
      <c r="C158" s="1">
        <f t="shared" si="10"/>
        <v>42278</v>
      </c>
    </row>
    <row r="159" spans="1:3" x14ac:dyDescent="0.25">
      <c r="A159" s="1">
        <v>42291</v>
      </c>
      <c r="B159">
        <v>3.9984999999999999</v>
      </c>
      <c r="C159" s="1">
        <f t="shared" si="10"/>
        <v>42278</v>
      </c>
    </row>
    <row r="160" spans="1:3" x14ac:dyDescent="0.25">
      <c r="A160" s="1">
        <v>42292</v>
      </c>
      <c r="B160">
        <v>3.9984999999999999</v>
      </c>
      <c r="C160" s="1">
        <f t="shared" si="10"/>
        <v>42278</v>
      </c>
    </row>
    <row r="161" spans="1:3" x14ac:dyDescent="0.25">
      <c r="A161" s="1">
        <v>42293</v>
      </c>
      <c r="B161">
        <v>3.9667500000000002</v>
      </c>
      <c r="C161" s="1">
        <f t="shared" si="10"/>
        <v>42278</v>
      </c>
    </row>
    <row r="162" spans="1:3" x14ac:dyDescent="0.25">
      <c r="A162" s="1">
        <v>42296</v>
      </c>
      <c r="B162">
        <v>3.9984999999999999</v>
      </c>
      <c r="C162" s="1">
        <f t="shared" si="10"/>
        <v>42278</v>
      </c>
    </row>
    <row r="163" spans="1:3" x14ac:dyDescent="0.25">
      <c r="A163" s="1">
        <v>42297</v>
      </c>
      <c r="B163">
        <v>4.0307500000000003</v>
      </c>
      <c r="C163" s="1">
        <f t="shared" si="10"/>
        <v>42278</v>
      </c>
    </row>
    <row r="164" spans="1:3" x14ac:dyDescent="0.25">
      <c r="A164" s="1">
        <v>42298</v>
      </c>
      <c r="B164">
        <v>4.0307500000000003</v>
      </c>
      <c r="C164" s="1">
        <f t="shared" si="10"/>
        <v>42278</v>
      </c>
    </row>
    <row r="165" spans="1:3" x14ac:dyDescent="0.25">
      <c r="A165" s="1">
        <v>42299</v>
      </c>
      <c r="B165">
        <v>3.9984999999999999</v>
      </c>
      <c r="C165" s="1">
        <f t="shared" si="10"/>
        <v>42278</v>
      </c>
    </row>
    <row r="166" spans="1:3" x14ac:dyDescent="0.25">
      <c r="A166" s="1">
        <v>42300</v>
      </c>
      <c r="B166">
        <v>3.9984999999999999</v>
      </c>
      <c r="C166" s="1">
        <f t="shared" si="10"/>
        <v>42278</v>
      </c>
    </row>
    <row r="167" spans="1:3" x14ac:dyDescent="0.25">
      <c r="A167" s="1">
        <v>42303</v>
      </c>
      <c r="B167">
        <v>3.998875</v>
      </c>
      <c r="C167" s="1">
        <f t="shared" si="10"/>
        <v>42278</v>
      </c>
    </row>
    <row r="168" spans="1:3" x14ac:dyDescent="0.25">
      <c r="A168" s="1">
        <v>42304</v>
      </c>
      <c r="B168">
        <v>3.9984999999999999</v>
      </c>
      <c r="C168" s="1">
        <f t="shared" si="10"/>
        <v>42278</v>
      </c>
    </row>
    <row r="169" spans="1:3" x14ac:dyDescent="0.25">
      <c r="A169" s="1">
        <v>42305</v>
      </c>
      <c r="B169">
        <v>3.9984999999999999</v>
      </c>
      <c r="C169" s="1">
        <f t="shared" si="10"/>
        <v>42278</v>
      </c>
    </row>
    <row r="170" spans="1:3" x14ac:dyDescent="0.25">
      <c r="A170" s="1">
        <v>42306</v>
      </c>
      <c r="B170">
        <v>4.0943750000000003</v>
      </c>
      <c r="C170" s="1">
        <f t="shared" si="10"/>
        <v>42278</v>
      </c>
    </row>
    <row r="171" spans="1:3" x14ac:dyDescent="0.25">
      <c r="A171" s="1">
        <v>42307</v>
      </c>
      <c r="B171">
        <v>4.126125</v>
      </c>
      <c r="C171" s="1">
        <f t="shared" si="10"/>
        <v>42278</v>
      </c>
    </row>
    <row r="172" spans="1:3" x14ac:dyDescent="0.25">
      <c r="A172" s="1">
        <v>42310</v>
      </c>
      <c r="B172">
        <v>4.0943750000000003</v>
      </c>
      <c r="C172" s="1">
        <f t="shared" si="10"/>
        <v>42309</v>
      </c>
    </row>
    <row r="173" spans="1:3" x14ac:dyDescent="0.25">
      <c r="A173" s="1">
        <v>42311</v>
      </c>
      <c r="B173">
        <v>4.0943750000000003</v>
      </c>
      <c r="C173" s="1">
        <f t="shared" si="10"/>
        <v>42309</v>
      </c>
    </row>
    <row r="174" spans="1:3" x14ac:dyDescent="0.25">
      <c r="A174" s="1">
        <v>42312</v>
      </c>
      <c r="B174">
        <v>4.126125</v>
      </c>
      <c r="C174" s="1">
        <f t="shared" si="10"/>
        <v>42309</v>
      </c>
    </row>
    <row r="175" spans="1:3" x14ac:dyDescent="0.25">
      <c r="A175" s="1">
        <v>42313</v>
      </c>
      <c r="B175">
        <v>4.1583750000000004</v>
      </c>
      <c r="C175" s="1">
        <f t="shared" si="10"/>
        <v>42309</v>
      </c>
    </row>
    <row r="176" spans="1:3" x14ac:dyDescent="0.25">
      <c r="A176" s="1">
        <v>42314</v>
      </c>
      <c r="B176">
        <v>4.2537500000000001</v>
      </c>
      <c r="C176" s="1">
        <f t="shared" si="10"/>
        <v>42309</v>
      </c>
    </row>
    <row r="177" spans="1:3" x14ac:dyDescent="0.25">
      <c r="A177" s="1">
        <v>42317</v>
      </c>
      <c r="B177">
        <v>4.2537500000000001</v>
      </c>
      <c r="C177" s="1">
        <f t="shared" si="10"/>
        <v>42309</v>
      </c>
    </row>
    <row r="178" spans="1:3" x14ac:dyDescent="0.25">
      <c r="A178" s="1">
        <v>42318</v>
      </c>
      <c r="B178">
        <v>4.3496249999999996</v>
      </c>
      <c r="C178" s="1">
        <f t="shared" si="10"/>
        <v>42309</v>
      </c>
    </row>
    <row r="179" spans="1:3" x14ac:dyDescent="0.25">
      <c r="A179" s="1">
        <v>42320</v>
      </c>
      <c r="B179">
        <v>4.3496249999999996</v>
      </c>
      <c r="C179" s="1">
        <f t="shared" si="10"/>
        <v>42309</v>
      </c>
    </row>
    <row r="180" spans="1:3" x14ac:dyDescent="0.25">
      <c r="A180" s="1">
        <v>42321</v>
      </c>
      <c r="B180">
        <v>4.2537500000000001</v>
      </c>
      <c r="C180" s="1">
        <f t="shared" si="10"/>
        <v>42309</v>
      </c>
    </row>
    <row r="181" spans="1:3" x14ac:dyDescent="0.25">
      <c r="A181" s="1">
        <v>42324</v>
      </c>
      <c r="B181">
        <v>4.2220000000000004</v>
      </c>
      <c r="C181" s="1">
        <f t="shared" si="10"/>
        <v>42309</v>
      </c>
    </row>
    <row r="182" spans="1:3" x14ac:dyDescent="0.25">
      <c r="A182" s="1">
        <v>42325</v>
      </c>
      <c r="B182">
        <v>4.2537500000000001</v>
      </c>
      <c r="C182" s="1">
        <f t="shared" si="10"/>
        <v>42309</v>
      </c>
    </row>
    <row r="183" spans="1:3" x14ac:dyDescent="0.25">
      <c r="A183" s="1">
        <v>42326</v>
      </c>
      <c r="B183">
        <v>4.2537500000000001</v>
      </c>
      <c r="C183" s="1">
        <f t="shared" si="10"/>
        <v>42309</v>
      </c>
    </row>
    <row r="184" spans="1:3" x14ac:dyDescent="0.25">
      <c r="A184" s="1">
        <v>42327</v>
      </c>
      <c r="B184">
        <v>4.2220000000000004</v>
      </c>
      <c r="C184" s="1">
        <f t="shared" si="10"/>
        <v>42309</v>
      </c>
    </row>
    <row r="185" spans="1:3" x14ac:dyDescent="0.25">
      <c r="A185" s="1">
        <v>42328</v>
      </c>
      <c r="B185">
        <v>4.2537500000000001</v>
      </c>
      <c r="C185" s="1">
        <f t="shared" si="10"/>
        <v>42309</v>
      </c>
    </row>
    <row r="186" spans="1:3" x14ac:dyDescent="0.25">
      <c r="A186" s="1">
        <v>42331</v>
      </c>
      <c r="B186">
        <v>4.3177500000000002</v>
      </c>
      <c r="C186" s="1">
        <f t="shared" si="10"/>
        <v>42309</v>
      </c>
    </row>
    <row r="187" spans="1:3" x14ac:dyDescent="0.25">
      <c r="A187" s="1">
        <v>42332</v>
      </c>
      <c r="B187">
        <v>4.3177500000000002</v>
      </c>
      <c r="C187" s="1">
        <f t="shared" si="10"/>
        <v>42309</v>
      </c>
    </row>
    <row r="188" spans="1:3" x14ac:dyDescent="0.25">
      <c r="A188" s="1">
        <v>42333</v>
      </c>
      <c r="B188">
        <v>4.3177500000000002</v>
      </c>
      <c r="C188" s="1">
        <f t="shared" si="10"/>
        <v>42309</v>
      </c>
    </row>
    <row r="189" spans="1:3" x14ac:dyDescent="0.25">
      <c r="A189" s="1">
        <v>42335</v>
      </c>
      <c r="B189">
        <v>4.2537500000000001</v>
      </c>
      <c r="C189" s="1">
        <f t="shared" si="10"/>
        <v>42309</v>
      </c>
    </row>
    <row r="190" spans="1:3" x14ac:dyDescent="0.25">
      <c r="A190" s="1">
        <v>42338</v>
      </c>
      <c r="B190">
        <v>4.2220000000000004</v>
      </c>
      <c r="C190" s="1">
        <f t="shared" si="10"/>
        <v>42309</v>
      </c>
    </row>
    <row r="191" spans="1:3" x14ac:dyDescent="0.25">
      <c r="A191" s="1">
        <v>42339</v>
      </c>
      <c r="B191">
        <v>4.1583750000000004</v>
      </c>
      <c r="C191" s="1">
        <f t="shared" si="10"/>
        <v>42339</v>
      </c>
    </row>
    <row r="192" spans="1:3" x14ac:dyDescent="0.25">
      <c r="A192" s="1">
        <v>42340</v>
      </c>
      <c r="B192">
        <v>4.1901250000000001</v>
      </c>
      <c r="C192" s="1">
        <f t="shared" si="10"/>
        <v>42339</v>
      </c>
    </row>
    <row r="193" spans="1:3" x14ac:dyDescent="0.25">
      <c r="A193" s="1">
        <v>42341</v>
      </c>
      <c r="B193">
        <v>4.3813750000000002</v>
      </c>
      <c r="C193" s="1">
        <f t="shared" si="10"/>
        <v>42339</v>
      </c>
    </row>
    <row r="194" spans="1:3" x14ac:dyDescent="0.25">
      <c r="A194" s="1">
        <v>42342</v>
      </c>
      <c r="B194">
        <v>4.3177500000000002</v>
      </c>
      <c r="C194" s="1">
        <f t="shared" si="10"/>
        <v>42339</v>
      </c>
    </row>
    <row r="195" spans="1:3" x14ac:dyDescent="0.25">
      <c r="A195" s="1">
        <v>42345</v>
      </c>
      <c r="B195">
        <v>4.1901250000000001</v>
      </c>
      <c r="C195" s="1">
        <f t="shared" ref="C195:C258" si="11">A195-DAY(A195)+1</f>
        <v>42339</v>
      </c>
    </row>
    <row r="196" spans="1:3" x14ac:dyDescent="0.25">
      <c r="A196" s="1">
        <v>42346</v>
      </c>
      <c r="B196">
        <v>4.1583750000000004</v>
      </c>
      <c r="C196" s="1">
        <f t="shared" si="11"/>
        <v>42339</v>
      </c>
    </row>
    <row r="197" spans="1:3" x14ac:dyDescent="0.25">
      <c r="A197" s="1">
        <v>42347</v>
      </c>
      <c r="B197">
        <v>4.1901250000000001</v>
      </c>
      <c r="C197" s="1">
        <f t="shared" si="11"/>
        <v>42339</v>
      </c>
    </row>
    <row r="198" spans="1:3" x14ac:dyDescent="0.25">
      <c r="A198" s="1">
        <v>42348</v>
      </c>
      <c r="B198">
        <v>4.1901250000000001</v>
      </c>
      <c r="C198" s="1">
        <f t="shared" si="11"/>
        <v>42339</v>
      </c>
    </row>
    <row r="199" spans="1:3" x14ac:dyDescent="0.25">
      <c r="A199" s="1">
        <v>42349</v>
      </c>
      <c r="B199">
        <v>4.1901250000000001</v>
      </c>
      <c r="C199" s="1">
        <f t="shared" si="11"/>
        <v>42339</v>
      </c>
    </row>
    <row r="200" spans="1:3" x14ac:dyDescent="0.25">
      <c r="A200" s="1">
        <v>42352</v>
      </c>
      <c r="B200">
        <v>4.2220000000000004</v>
      </c>
      <c r="C200" s="1">
        <f t="shared" si="11"/>
        <v>42339</v>
      </c>
    </row>
    <row r="201" spans="1:3" x14ac:dyDescent="0.25">
      <c r="A201" s="1">
        <v>42353</v>
      </c>
      <c r="B201">
        <v>4.3496249999999996</v>
      </c>
      <c r="C201" s="1">
        <f t="shared" si="11"/>
        <v>42339</v>
      </c>
    </row>
    <row r="202" spans="1:3" x14ac:dyDescent="0.25">
      <c r="A202" s="1">
        <v>42354</v>
      </c>
      <c r="B202">
        <v>4.3496249999999996</v>
      </c>
      <c r="C202" s="1">
        <f t="shared" si="11"/>
        <v>42339</v>
      </c>
    </row>
    <row r="203" spans="1:3" x14ac:dyDescent="0.25">
      <c r="A203" s="1">
        <v>42355</v>
      </c>
      <c r="B203">
        <v>4.2537500000000001</v>
      </c>
      <c r="C203" s="1">
        <f t="shared" si="11"/>
        <v>42339</v>
      </c>
    </row>
    <row r="204" spans="1:3" x14ac:dyDescent="0.25">
      <c r="A204" s="1">
        <v>42356</v>
      </c>
      <c r="B204">
        <v>4.2220000000000004</v>
      </c>
      <c r="C204" s="1">
        <f t="shared" si="11"/>
        <v>42339</v>
      </c>
    </row>
    <row r="205" spans="1:3" x14ac:dyDescent="0.25">
      <c r="A205" s="1">
        <v>42359</v>
      </c>
      <c r="B205">
        <v>4.1901250000000001</v>
      </c>
      <c r="C205" s="1">
        <f t="shared" si="11"/>
        <v>42339</v>
      </c>
    </row>
    <row r="206" spans="1:3" x14ac:dyDescent="0.25">
      <c r="A206" s="1">
        <v>42360</v>
      </c>
      <c r="B206">
        <v>4.2220000000000004</v>
      </c>
      <c r="C206" s="1">
        <f t="shared" si="11"/>
        <v>42339</v>
      </c>
    </row>
    <row r="207" spans="1:3" x14ac:dyDescent="0.25">
      <c r="A207" s="1">
        <v>42361</v>
      </c>
      <c r="B207">
        <v>4.3496249999999996</v>
      </c>
      <c r="C207" s="1">
        <f t="shared" si="11"/>
        <v>42339</v>
      </c>
    </row>
    <row r="208" spans="1:3" x14ac:dyDescent="0.25">
      <c r="A208" s="1">
        <v>42362</v>
      </c>
      <c r="B208">
        <v>4.3177500000000002</v>
      </c>
      <c r="C208" s="1">
        <f t="shared" si="11"/>
        <v>42339</v>
      </c>
    </row>
    <row r="209" spans="1:3" x14ac:dyDescent="0.25">
      <c r="A209" s="1">
        <v>42366</v>
      </c>
      <c r="B209">
        <v>4.3496249999999996</v>
      </c>
      <c r="C209" s="1">
        <f t="shared" si="11"/>
        <v>42339</v>
      </c>
    </row>
    <row r="210" spans="1:3" x14ac:dyDescent="0.25">
      <c r="A210" s="1">
        <v>42367</v>
      </c>
      <c r="B210">
        <v>4.3177500000000002</v>
      </c>
      <c r="C210" s="1">
        <f t="shared" si="11"/>
        <v>42339</v>
      </c>
    </row>
    <row r="211" spans="1:3" x14ac:dyDescent="0.25">
      <c r="A211" s="1">
        <v>42369</v>
      </c>
      <c r="B211">
        <v>4.3177500000000002</v>
      </c>
      <c r="C211" s="1">
        <f t="shared" si="11"/>
        <v>42339</v>
      </c>
    </row>
    <row r="212" spans="1:3" x14ac:dyDescent="0.25">
      <c r="A212" s="1">
        <v>42373</v>
      </c>
      <c r="B212">
        <v>4.2220000000000004</v>
      </c>
      <c r="C212" s="1">
        <f t="shared" si="11"/>
        <v>42370</v>
      </c>
    </row>
    <row r="213" spans="1:3" x14ac:dyDescent="0.25">
      <c r="A213" s="1">
        <v>42374</v>
      </c>
      <c r="B213">
        <v>4.2220000000000004</v>
      </c>
      <c r="C213" s="1">
        <f t="shared" si="11"/>
        <v>42370</v>
      </c>
    </row>
    <row r="214" spans="1:3" x14ac:dyDescent="0.25">
      <c r="A214" s="1">
        <v>42375</v>
      </c>
      <c r="B214">
        <v>4.2537500000000001</v>
      </c>
      <c r="C214" s="1">
        <f t="shared" si="11"/>
        <v>42370</v>
      </c>
    </row>
    <row r="215" spans="1:3" x14ac:dyDescent="0.25">
      <c r="A215" s="1">
        <v>42376</v>
      </c>
      <c r="B215">
        <v>4.1901250000000001</v>
      </c>
      <c r="C215" s="1">
        <f t="shared" si="11"/>
        <v>42370</v>
      </c>
    </row>
    <row r="216" spans="1:3" x14ac:dyDescent="0.25">
      <c r="A216" s="1">
        <v>42377</v>
      </c>
      <c r="B216">
        <v>4.1583750000000004</v>
      </c>
      <c r="C216" s="1">
        <f t="shared" si="11"/>
        <v>42370</v>
      </c>
    </row>
    <row r="217" spans="1:3" x14ac:dyDescent="0.25">
      <c r="A217" s="1">
        <v>42380</v>
      </c>
      <c r="B217">
        <v>4.1901250000000001</v>
      </c>
      <c r="C217" s="1">
        <f t="shared" si="11"/>
        <v>42370</v>
      </c>
    </row>
    <row r="218" spans="1:3" x14ac:dyDescent="0.25">
      <c r="A218" s="1">
        <v>42381</v>
      </c>
      <c r="B218">
        <v>4.126125</v>
      </c>
      <c r="C218" s="1">
        <f t="shared" si="11"/>
        <v>42370</v>
      </c>
    </row>
    <row r="219" spans="1:3" x14ac:dyDescent="0.25">
      <c r="A219" s="1">
        <v>42382</v>
      </c>
      <c r="B219">
        <v>4.1901250000000001</v>
      </c>
      <c r="C219" s="1">
        <f t="shared" si="11"/>
        <v>42370</v>
      </c>
    </row>
    <row r="220" spans="1:3" x14ac:dyDescent="0.25">
      <c r="A220" s="1">
        <v>42383</v>
      </c>
      <c r="B220">
        <v>4.1901250000000001</v>
      </c>
      <c r="C220" s="1">
        <f t="shared" si="11"/>
        <v>42370</v>
      </c>
    </row>
    <row r="221" spans="1:3" x14ac:dyDescent="0.25">
      <c r="A221" s="1">
        <v>42384</v>
      </c>
      <c r="B221">
        <v>4.0943750000000003</v>
      </c>
      <c r="C221" s="1">
        <f t="shared" si="11"/>
        <v>42370</v>
      </c>
    </row>
    <row r="222" spans="1:3" x14ac:dyDescent="0.25">
      <c r="A222" s="1">
        <v>42388</v>
      </c>
      <c r="B222">
        <v>4.1583750000000004</v>
      </c>
      <c r="C222" s="1">
        <f t="shared" si="11"/>
        <v>42370</v>
      </c>
    </row>
    <row r="223" spans="1:3" x14ac:dyDescent="0.25">
      <c r="A223" s="1">
        <v>42389</v>
      </c>
      <c r="B223">
        <v>4.0943750000000003</v>
      </c>
      <c r="C223" s="1">
        <f t="shared" si="11"/>
        <v>42370</v>
      </c>
    </row>
    <row r="224" spans="1:3" x14ac:dyDescent="0.25">
      <c r="A224" s="1">
        <v>42390</v>
      </c>
      <c r="B224">
        <v>4.126125</v>
      </c>
      <c r="C224" s="1">
        <f t="shared" si="11"/>
        <v>42370</v>
      </c>
    </row>
    <row r="225" spans="1:3" x14ac:dyDescent="0.25">
      <c r="A225" s="1">
        <v>42391</v>
      </c>
      <c r="B225">
        <v>4.1901250000000001</v>
      </c>
      <c r="C225" s="1">
        <f t="shared" si="11"/>
        <v>42370</v>
      </c>
    </row>
    <row r="226" spans="1:3" x14ac:dyDescent="0.25">
      <c r="A226" s="1">
        <v>42394</v>
      </c>
      <c r="B226">
        <v>4.1583750000000004</v>
      </c>
      <c r="C226" s="1">
        <f t="shared" si="11"/>
        <v>42370</v>
      </c>
    </row>
    <row r="227" spans="1:3" x14ac:dyDescent="0.25">
      <c r="A227" s="1">
        <v>42395</v>
      </c>
      <c r="B227">
        <v>4.126125</v>
      </c>
      <c r="C227" s="1">
        <f t="shared" si="11"/>
        <v>42370</v>
      </c>
    </row>
    <row r="228" spans="1:3" x14ac:dyDescent="0.25">
      <c r="A228" s="1">
        <v>42396</v>
      </c>
      <c r="B228">
        <v>4.1583750000000004</v>
      </c>
      <c r="C228" s="1">
        <f t="shared" si="11"/>
        <v>42370</v>
      </c>
    </row>
    <row r="229" spans="1:3" x14ac:dyDescent="0.25">
      <c r="A229" s="1">
        <v>42397</v>
      </c>
      <c r="B229">
        <v>4.126125</v>
      </c>
      <c r="C229" s="1">
        <f t="shared" si="11"/>
        <v>42370</v>
      </c>
    </row>
    <row r="230" spans="1:3" x14ac:dyDescent="0.25">
      <c r="A230" s="1">
        <v>42398</v>
      </c>
      <c r="B230">
        <v>4.0625</v>
      </c>
      <c r="C230" s="1">
        <f t="shared" si="11"/>
        <v>42370</v>
      </c>
    </row>
    <row r="231" spans="1:3" x14ac:dyDescent="0.25">
      <c r="A231" s="1">
        <v>42401</v>
      </c>
      <c r="B231">
        <v>4.0943750000000003</v>
      </c>
      <c r="C231" s="1">
        <f t="shared" si="11"/>
        <v>42401</v>
      </c>
    </row>
    <row r="232" spans="1:3" x14ac:dyDescent="0.25">
      <c r="A232" s="1">
        <v>42402</v>
      </c>
      <c r="B232">
        <v>4.0943750000000003</v>
      </c>
      <c r="C232" s="1">
        <f t="shared" si="11"/>
        <v>42401</v>
      </c>
    </row>
    <row r="233" spans="1:3" x14ac:dyDescent="0.25">
      <c r="A233" s="1">
        <v>42403</v>
      </c>
      <c r="B233">
        <v>4.0943750000000003</v>
      </c>
      <c r="C233" s="1">
        <f t="shared" si="11"/>
        <v>42401</v>
      </c>
    </row>
    <row r="234" spans="1:3" x14ac:dyDescent="0.25">
      <c r="A234" s="1">
        <v>42404</v>
      </c>
      <c r="B234">
        <v>4.0943750000000003</v>
      </c>
      <c r="C234" s="1">
        <f t="shared" si="11"/>
        <v>42401</v>
      </c>
    </row>
    <row r="235" spans="1:3" x14ac:dyDescent="0.25">
      <c r="A235" s="1">
        <v>42405</v>
      </c>
      <c r="B235">
        <v>4.126125</v>
      </c>
      <c r="C235" s="1">
        <f t="shared" si="11"/>
        <v>42401</v>
      </c>
    </row>
    <row r="236" spans="1:3" x14ac:dyDescent="0.25">
      <c r="A236" s="1">
        <v>42408</v>
      </c>
      <c r="B236">
        <v>4.0943750000000003</v>
      </c>
      <c r="C236" s="1">
        <f t="shared" si="11"/>
        <v>42401</v>
      </c>
    </row>
    <row r="237" spans="1:3" x14ac:dyDescent="0.25">
      <c r="A237" s="1">
        <v>42409</v>
      </c>
      <c r="B237">
        <v>4.0625</v>
      </c>
      <c r="C237" s="1">
        <f t="shared" si="11"/>
        <v>42401</v>
      </c>
    </row>
    <row r="238" spans="1:3" x14ac:dyDescent="0.25">
      <c r="A238" s="1">
        <v>42410</v>
      </c>
      <c r="B238">
        <v>4.0943750000000003</v>
      </c>
      <c r="C238" s="1">
        <f t="shared" si="11"/>
        <v>42401</v>
      </c>
    </row>
    <row r="239" spans="1:3" x14ac:dyDescent="0.25">
      <c r="A239" s="1">
        <v>42411</v>
      </c>
      <c r="B239">
        <v>4.0307500000000003</v>
      </c>
      <c r="C239" s="1">
        <f t="shared" si="11"/>
        <v>42401</v>
      </c>
    </row>
    <row r="240" spans="1:3" x14ac:dyDescent="0.25">
      <c r="A240" s="1">
        <v>42412</v>
      </c>
      <c r="B240">
        <v>4.126125</v>
      </c>
      <c r="C240" s="1">
        <f t="shared" si="11"/>
        <v>42401</v>
      </c>
    </row>
    <row r="241" spans="1:3" x14ac:dyDescent="0.25">
      <c r="A241" s="1">
        <v>42416</v>
      </c>
      <c r="B241">
        <v>4.126125</v>
      </c>
      <c r="C241" s="1">
        <f t="shared" si="11"/>
        <v>42401</v>
      </c>
    </row>
    <row r="242" spans="1:3" x14ac:dyDescent="0.25">
      <c r="A242" s="1">
        <v>42417</v>
      </c>
      <c r="B242">
        <v>4.126125</v>
      </c>
      <c r="C242" s="1">
        <f t="shared" si="11"/>
        <v>42401</v>
      </c>
    </row>
    <row r="243" spans="1:3" x14ac:dyDescent="0.25">
      <c r="A243" s="1">
        <v>42418</v>
      </c>
      <c r="B243">
        <v>4.0943750000000003</v>
      </c>
      <c r="C243" s="1">
        <f t="shared" si="11"/>
        <v>42401</v>
      </c>
    </row>
    <row r="244" spans="1:3" x14ac:dyDescent="0.25">
      <c r="A244" s="1">
        <v>42419</v>
      </c>
      <c r="B244">
        <v>4.0943750000000003</v>
      </c>
      <c r="C244" s="1">
        <f t="shared" si="11"/>
        <v>42401</v>
      </c>
    </row>
    <row r="245" spans="1:3" x14ac:dyDescent="0.25">
      <c r="A245" s="1">
        <v>42422</v>
      </c>
      <c r="B245">
        <v>4.0943750000000003</v>
      </c>
      <c r="C245" s="1">
        <f t="shared" si="11"/>
        <v>42401</v>
      </c>
    </row>
    <row r="246" spans="1:3" x14ac:dyDescent="0.25">
      <c r="A246" s="1">
        <v>42423</v>
      </c>
      <c r="B246">
        <v>4.0943750000000003</v>
      </c>
      <c r="C246" s="1">
        <f t="shared" si="11"/>
        <v>42401</v>
      </c>
    </row>
    <row r="247" spans="1:3" x14ac:dyDescent="0.25">
      <c r="A247" s="1">
        <v>42425</v>
      </c>
      <c r="B247">
        <v>4.0625</v>
      </c>
      <c r="C247" s="1">
        <f t="shared" si="11"/>
        <v>42401</v>
      </c>
    </row>
    <row r="248" spans="1:3" x14ac:dyDescent="0.25">
      <c r="A248" s="1">
        <v>42426</v>
      </c>
      <c r="B248">
        <v>3.9742500000000001</v>
      </c>
      <c r="C248" s="1">
        <f t="shared" si="11"/>
        <v>42401</v>
      </c>
    </row>
    <row r="249" spans="1:3" x14ac:dyDescent="0.25">
      <c r="A249" s="1">
        <v>42429</v>
      </c>
      <c r="B249">
        <v>3.9424999999999999</v>
      </c>
      <c r="C249" s="1">
        <f t="shared" si="11"/>
        <v>42401</v>
      </c>
    </row>
    <row r="250" spans="1:3" x14ac:dyDescent="0.25">
      <c r="A250" s="1">
        <v>42430</v>
      </c>
      <c r="B250">
        <v>4.1820000000000004</v>
      </c>
      <c r="C250" s="1">
        <f t="shared" si="11"/>
        <v>42430</v>
      </c>
    </row>
    <row r="251" spans="1:3" x14ac:dyDescent="0.25">
      <c r="A251" s="1">
        <v>42431</v>
      </c>
      <c r="B251">
        <v>3.9742500000000001</v>
      </c>
      <c r="C251" s="1">
        <f t="shared" si="11"/>
        <v>42430</v>
      </c>
    </row>
    <row r="252" spans="1:3" x14ac:dyDescent="0.25">
      <c r="A252" s="1">
        <v>42432</v>
      </c>
      <c r="B252">
        <v>3.9742500000000001</v>
      </c>
      <c r="C252" s="1">
        <f t="shared" si="11"/>
        <v>42430</v>
      </c>
    </row>
    <row r="253" spans="1:3" x14ac:dyDescent="0.25">
      <c r="A253" s="1">
        <v>42433</v>
      </c>
      <c r="B253">
        <v>3.9742500000000001</v>
      </c>
      <c r="C253" s="1">
        <f t="shared" si="11"/>
        <v>42430</v>
      </c>
    </row>
    <row r="254" spans="1:3" x14ac:dyDescent="0.25">
      <c r="A254" s="1">
        <v>42436</v>
      </c>
      <c r="B254">
        <v>4.0061249999999999</v>
      </c>
      <c r="C254" s="1">
        <f t="shared" si="11"/>
        <v>42430</v>
      </c>
    </row>
    <row r="255" spans="1:3" x14ac:dyDescent="0.25">
      <c r="A255" s="1">
        <v>42437</v>
      </c>
      <c r="B255">
        <v>3.9742500000000001</v>
      </c>
      <c r="C255" s="1">
        <f t="shared" si="11"/>
        <v>42430</v>
      </c>
    </row>
    <row r="256" spans="1:3" x14ac:dyDescent="0.25">
      <c r="A256" s="1">
        <v>42438</v>
      </c>
      <c r="B256">
        <v>4.0061249999999999</v>
      </c>
      <c r="C256" s="1">
        <f t="shared" si="11"/>
        <v>42430</v>
      </c>
    </row>
    <row r="257" spans="1:3" x14ac:dyDescent="0.25">
      <c r="A257" s="1">
        <v>42439</v>
      </c>
      <c r="B257">
        <v>4.0061249999999999</v>
      </c>
      <c r="C257" s="1">
        <f t="shared" si="11"/>
        <v>42430</v>
      </c>
    </row>
    <row r="258" spans="1:3" x14ac:dyDescent="0.25">
      <c r="A258" s="1">
        <v>42440</v>
      </c>
      <c r="B258">
        <v>4.0378749999999997</v>
      </c>
      <c r="C258" s="1">
        <f t="shared" si="11"/>
        <v>42430</v>
      </c>
    </row>
    <row r="259" spans="1:3" x14ac:dyDescent="0.25">
      <c r="A259" s="1">
        <v>42443</v>
      </c>
      <c r="B259">
        <v>4.0378749999999997</v>
      </c>
      <c r="C259" s="1">
        <f t="shared" ref="C259:C322" si="12">A259-DAY(A259)+1</f>
        <v>42430</v>
      </c>
    </row>
    <row r="260" spans="1:3" x14ac:dyDescent="0.25">
      <c r="A260" s="1">
        <v>42444</v>
      </c>
      <c r="B260">
        <v>3.9742500000000001</v>
      </c>
      <c r="C260" s="1">
        <f t="shared" si="12"/>
        <v>42430</v>
      </c>
    </row>
    <row r="261" spans="1:3" x14ac:dyDescent="0.25">
      <c r="A261" s="1">
        <v>42445</v>
      </c>
      <c r="B261">
        <v>4.070125</v>
      </c>
      <c r="C261" s="1">
        <f t="shared" si="12"/>
        <v>42430</v>
      </c>
    </row>
    <row r="262" spans="1:3" x14ac:dyDescent="0.25">
      <c r="A262" s="1">
        <v>42446</v>
      </c>
      <c r="B262">
        <v>3.91025</v>
      </c>
      <c r="C262" s="1">
        <f t="shared" si="12"/>
        <v>42430</v>
      </c>
    </row>
    <row r="263" spans="1:3" x14ac:dyDescent="0.25">
      <c r="A263" s="1">
        <v>42447</v>
      </c>
      <c r="B263">
        <v>3.91025</v>
      </c>
      <c r="C263" s="1">
        <f t="shared" si="12"/>
        <v>42430</v>
      </c>
    </row>
    <row r="264" spans="1:3" x14ac:dyDescent="0.25">
      <c r="A264" s="1">
        <v>42450</v>
      </c>
      <c r="B264">
        <v>3.9742500000000001</v>
      </c>
      <c r="C264" s="1">
        <f t="shared" si="12"/>
        <v>42430</v>
      </c>
    </row>
    <row r="265" spans="1:3" x14ac:dyDescent="0.25">
      <c r="A265" s="1">
        <v>42451</v>
      </c>
      <c r="B265">
        <v>3.9742500000000001</v>
      </c>
      <c r="C265" s="1">
        <f t="shared" si="12"/>
        <v>42430</v>
      </c>
    </row>
    <row r="266" spans="1:3" x14ac:dyDescent="0.25">
      <c r="A266" s="1">
        <v>42452</v>
      </c>
      <c r="B266">
        <v>4.0061249999999999</v>
      </c>
      <c r="C266" s="1">
        <f t="shared" si="12"/>
        <v>42430</v>
      </c>
    </row>
    <row r="267" spans="1:3" x14ac:dyDescent="0.25">
      <c r="A267" s="1">
        <v>42457</v>
      </c>
      <c r="B267">
        <v>4.070125</v>
      </c>
      <c r="C267" s="1">
        <f t="shared" si="12"/>
        <v>42430</v>
      </c>
    </row>
    <row r="268" spans="1:3" x14ac:dyDescent="0.25">
      <c r="A268" s="1">
        <v>42458</v>
      </c>
      <c r="B268">
        <v>3.9424999999999999</v>
      </c>
      <c r="C268" s="1">
        <f t="shared" si="12"/>
        <v>42430</v>
      </c>
    </row>
    <row r="269" spans="1:3" x14ac:dyDescent="0.25">
      <c r="A269" s="1">
        <v>42459</v>
      </c>
      <c r="B269">
        <v>3.9424999999999999</v>
      </c>
      <c r="C269" s="1">
        <f t="shared" si="12"/>
        <v>42430</v>
      </c>
    </row>
    <row r="270" spans="1:3" x14ac:dyDescent="0.25">
      <c r="A270" s="1">
        <v>42460</v>
      </c>
      <c r="B270">
        <v>3.9424999999999999</v>
      </c>
      <c r="C270" s="1">
        <f t="shared" si="12"/>
        <v>42430</v>
      </c>
    </row>
    <row r="271" spans="1:3" x14ac:dyDescent="0.25">
      <c r="A271" s="1">
        <v>42461</v>
      </c>
      <c r="B271">
        <v>3.8784999999999998</v>
      </c>
      <c r="C271" s="1">
        <f t="shared" si="12"/>
        <v>42461</v>
      </c>
    </row>
    <row r="272" spans="1:3" x14ac:dyDescent="0.25">
      <c r="A272" s="1">
        <v>42464</v>
      </c>
      <c r="B272">
        <v>3.8784999999999998</v>
      </c>
      <c r="C272" s="1">
        <f t="shared" si="12"/>
        <v>42461</v>
      </c>
    </row>
    <row r="273" spans="1:3" x14ac:dyDescent="0.25">
      <c r="A273" s="1">
        <v>42465</v>
      </c>
      <c r="B273">
        <v>3.8784999999999998</v>
      </c>
      <c r="C273" s="1">
        <f t="shared" si="12"/>
        <v>42461</v>
      </c>
    </row>
    <row r="274" spans="1:3" x14ac:dyDescent="0.25">
      <c r="A274" s="1">
        <v>42466</v>
      </c>
      <c r="B274">
        <v>3.91025</v>
      </c>
      <c r="C274" s="1">
        <f t="shared" si="12"/>
        <v>42461</v>
      </c>
    </row>
    <row r="275" spans="1:3" x14ac:dyDescent="0.25">
      <c r="A275" s="1">
        <v>42467</v>
      </c>
      <c r="B275">
        <v>3.91025</v>
      </c>
      <c r="C275" s="1">
        <f t="shared" si="12"/>
        <v>42461</v>
      </c>
    </row>
    <row r="276" spans="1:3" x14ac:dyDescent="0.25">
      <c r="A276" s="1">
        <v>42468</v>
      </c>
      <c r="B276">
        <v>3.846625</v>
      </c>
      <c r="C276" s="1">
        <f t="shared" si="12"/>
        <v>42461</v>
      </c>
    </row>
    <row r="277" spans="1:3" x14ac:dyDescent="0.25">
      <c r="A277" s="1">
        <v>42471</v>
      </c>
      <c r="B277">
        <v>3.846625</v>
      </c>
      <c r="C277" s="1">
        <f t="shared" si="12"/>
        <v>42461</v>
      </c>
    </row>
    <row r="278" spans="1:3" x14ac:dyDescent="0.25">
      <c r="A278" s="1">
        <v>42472</v>
      </c>
      <c r="B278">
        <v>3.846625</v>
      </c>
      <c r="C278" s="1">
        <f t="shared" si="12"/>
        <v>42461</v>
      </c>
    </row>
    <row r="279" spans="1:3" x14ac:dyDescent="0.25">
      <c r="A279" s="1">
        <v>42473</v>
      </c>
      <c r="B279">
        <v>3.846625</v>
      </c>
      <c r="C279" s="1">
        <f t="shared" si="12"/>
        <v>42461</v>
      </c>
    </row>
    <row r="280" spans="1:3" x14ac:dyDescent="0.25">
      <c r="A280" s="1">
        <v>42474</v>
      </c>
      <c r="B280">
        <v>3.846625</v>
      </c>
      <c r="C280" s="1">
        <f t="shared" si="12"/>
        <v>42461</v>
      </c>
    </row>
    <row r="281" spans="1:3" x14ac:dyDescent="0.25">
      <c r="A281" s="1">
        <v>42475</v>
      </c>
      <c r="B281">
        <v>3.846625</v>
      </c>
      <c r="C281" s="1">
        <f t="shared" si="12"/>
        <v>42461</v>
      </c>
    </row>
    <row r="282" spans="1:3" x14ac:dyDescent="0.25">
      <c r="A282" s="1">
        <v>42478</v>
      </c>
      <c r="B282">
        <v>3.846625</v>
      </c>
      <c r="C282" s="1">
        <f t="shared" si="12"/>
        <v>42461</v>
      </c>
    </row>
    <row r="283" spans="1:3" x14ac:dyDescent="0.25">
      <c r="A283" s="1">
        <v>42479</v>
      </c>
      <c r="B283">
        <v>3.846625</v>
      </c>
      <c r="C283" s="1">
        <f t="shared" si="12"/>
        <v>42461</v>
      </c>
    </row>
    <row r="284" spans="1:3" x14ac:dyDescent="0.25">
      <c r="A284" s="1">
        <v>42480</v>
      </c>
      <c r="B284">
        <v>3.846625</v>
      </c>
      <c r="C284" s="1">
        <f t="shared" si="12"/>
        <v>42461</v>
      </c>
    </row>
    <row r="285" spans="1:3" x14ac:dyDescent="0.25">
      <c r="A285" s="1">
        <v>42481</v>
      </c>
      <c r="B285">
        <v>3.846625</v>
      </c>
      <c r="C285" s="1">
        <f t="shared" si="12"/>
        <v>42461</v>
      </c>
    </row>
    <row r="286" spans="1:3" x14ac:dyDescent="0.25">
      <c r="A286" s="1">
        <v>42482</v>
      </c>
      <c r="B286">
        <v>3.846625</v>
      </c>
      <c r="C286" s="1">
        <f t="shared" si="12"/>
        <v>42461</v>
      </c>
    </row>
    <row r="287" spans="1:3" x14ac:dyDescent="0.25">
      <c r="A287" s="1">
        <v>42485</v>
      </c>
      <c r="B287">
        <v>3.846625</v>
      </c>
      <c r="C287" s="1">
        <f t="shared" si="12"/>
        <v>42461</v>
      </c>
    </row>
    <row r="288" spans="1:3" x14ac:dyDescent="0.25">
      <c r="A288" s="1">
        <v>42486</v>
      </c>
      <c r="B288">
        <v>3.8784999999999998</v>
      </c>
      <c r="C288" s="1">
        <f t="shared" si="12"/>
        <v>42461</v>
      </c>
    </row>
    <row r="289" spans="1:3" x14ac:dyDescent="0.25">
      <c r="A289" s="1">
        <v>42487</v>
      </c>
      <c r="B289">
        <v>3.8784999999999998</v>
      </c>
      <c r="C289" s="1">
        <f t="shared" si="12"/>
        <v>42461</v>
      </c>
    </row>
    <row r="290" spans="1:3" x14ac:dyDescent="0.25">
      <c r="A290" s="1">
        <v>42488</v>
      </c>
      <c r="B290">
        <v>3.8784999999999998</v>
      </c>
      <c r="C290" s="1">
        <f t="shared" si="12"/>
        <v>42461</v>
      </c>
    </row>
    <row r="291" spans="1:3" x14ac:dyDescent="0.25">
      <c r="A291" s="1">
        <v>42489</v>
      </c>
      <c r="B291">
        <v>3.8784999999999998</v>
      </c>
      <c r="C291" s="1">
        <f t="shared" si="12"/>
        <v>42461</v>
      </c>
    </row>
    <row r="292" spans="1:3" x14ac:dyDescent="0.25">
      <c r="A292" s="1">
        <v>42493</v>
      </c>
      <c r="B292">
        <v>3.81487499999999</v>
      </c>
      <c r="C292" s="1">
        <f t="shared" si="12"/>
        <v>42491</v>
      </c>
    </row>
    <row r="293" spans="1:3" x14ac:dyDescent="0.25">
      <c r="A293" s="1">
        <v>42494</v>
      </c>
      <c r="B293">
        <v>3.846625</v>
      </c>
      <c r="C293" s="1">
        <f t="shared" si="12"/>
        <v>42491</v>
      </c>
    </row>
    <row r="294" spans="1:3" x14ac:dyDescent="0.25">
      <c r="A294" s="1">
        <v>42495</v>
      </c>
      <c r="B294">
        <v>3.846625</v>
      </c>
      <c r="C294" s="1">
        <f t="shared" si="12"/>
        <v>42491</v>
      </c>
    </row>
    <row r="295" spans="1:3" x14ac:dyDescent="0.25">
      <c r="A295" s="1">
        <v>42496</v>
      </c>
      <c r="B295">
        <v>3.81487499999999</v>
      </c>
      <c r="C295" s="1">
        <f t="shared" si="12"/>
        <v>42491</v>
      </c>
    </row>
    <row r="296" spans="1:3" x14ac:dyDescent="0.25">
      <c r="A296" s="1">
        <v>42499</v>
      </c>
      <c r="B296">
        <v>3.7829999999999999</v>
      </c>
      <c r="C296" s="1">
        <f t="shared" si="12"/>
        <v>42491</v>
      </c>
    </row>
    <row r="297" spans="1:3" x14ac:dyDescent="0.25">
      <c r="A297" s="1">
        <v>42500</v>
      </c>
      <c r="B297">
        <v>4.2052500000000004</v>
      </c>
      <c r="C297" s="1">
        <f t="shared" si="12"/>
        <v>42491</v>
      </c>
    </row>
    <row r="298" spans="1:3" x14ac:dyDescent="0.25">
      <c r="A298" s="1">
        <v>42501</v>
      </c>
      <c r="B298">
        <v>3.7829999999999999</v>
      </c>
      <c r="C298" s="1">
        <f t="shared" si="12"/>
        <v>42491</v>
      </c>
    </row>
    <row r="299" spans="1:3" x14ac:dyDescent="0.25">
      <c r="A299" s="1">
        <v>42502</v>
      </c>
      <c r="B299">
        <v>3.7829999999999999</v>
      </c>
      <c r="C299" s="1">
        <f t="shared" si="12"/>
        <v>42491</v>
      </c>
    </row>
    <row r="300" spans="1:3" x14ac:dyDescent="0.25">
      <c r="A300" s="1">
        <v>42503</v>
      </c>
      <c r="B300">
        <v>3.7829999999999999</v>
      </c>
      <c r="C300" s="1">
        <f t="shared" si="12"/>
        <v>42491</v>
      </c>
    </row>
    <row r="301" spans="1:3" x14ac:dyDescent="0.25">
      <c r="A301" s="1">
        <v>42506</v>
      </c>
      <c r="B301">
        <v>3.81487499999999</v>
      </c>
      <c r="C301" s="1">
        <f t="shared" si="12"/>
        <v>42491</v>
      </c>
    </row>
    <row r="302" spans="1:3" x14ac:dyDescent="0.25">
      <c r="A302" s="1">
        <v>42507</v>
      </c>
      <c r="B302">
        <v>3.846625</v>
      </c>
      <c r="C302" s="1">
        <f t="shared" si="12"/>
        <v>42491</v>
      </c>
    </row>
    <row r="303" spans="1:3" x14ac:dyDescent="0.25">
      <c r="A303" s="1">
        <v>42508</v>
      </c>
      <c r="B303">
        <v>3.91025</v>
      </c>
      <c r="C303" s="1">
        <f t="shared" si="12"/>
        <v>42491</v>
      </c>
    </row>
    <row r="304" spans="1:3" x14ac:dyDescent="0.25">
      <c r="A304" s="1">
        <v>42509</v>
      </c>
      <c r="B304">
        <v>3.9742500000000001</v>
      </c>
      <c r="C304" s="1">
        <f t="shared" si="12"/>
        <v>42491</v>
      </c>
    </row>
    <row r="305" spans="1:3" x14ac:dyDescent="0.25">
      <c r="A305" s="1">
        <v>42510</v>
      </c>
      <c r="B305">
        <v>3.9424999999999999</v>
      </c>
      <c r="C305" s="1">
        <f t="shared" si="12"/>
        <v>42491</v>
      </c>
    </row>
    <row r="306" spans="1:3" x14ac:dyDescent="0.25">
      <c r="A306" s="1">
        <v>42513</v>
      </c>
      <c r="B306">
        <v>3.9424999999999999</v>
      </c>
      <c r="C306" s="1">
        <f t="shared" si="12"/>
        <v>42491</v>
      </c>
    </row>
    <row r="307" spans="1:3" x14ac:dyDescent="0.25">
      <c r="A307" s="1">
        <v>42514</v>
      </c>
      <c r="B307">
        <v>3.9424999999999999</v>
      </c>
      <c r="C307" s="1">
        <f t="shared" si="12"/>
        <v>42491</v>
      </c>
    </row>
    <row r="308" spans="1:3" x14ac:dyDescent="0.25">
      <c r="A308" s="1">
        <v>42515</v>
      </c>
      <c r="B308">
        <v>3.9424999999999999</v>
      </c>
      <c r="C308" s="1">
        <f t="shared" si="12"/>
        <v>42491</v>
      </c>
    </row>
    <row r="309" spans="1:3" x14ac:dyDescent="0.25">
      <c r="A309" s="1">
        <v>42516</v>
      </c>
      <c r="B309">
        <v>3.9424999999999999</v>
      </c>
      <c r="C309" s="1">
        <f t="shared" si="12"/>
        <v>42491</v>
      </c>
    </row>
    <row r="310" spans="1:3" x14ac:dyDescent="0.25">
      <c r="A310" s="1">
        <v>42517</v>
      </c>
      <c r="B310">
        <v>3.9424999999999999</v>
      </c>
      <c r="C310" s="1">
        <f t="shared" si="12"/>
        <v>42491</v>
      </c>
    </row>
    <row r="311" spans="1:3" x14ac:dyDescent="0.25">
      <c r="A311" s="1">
        <v>42521</v>
      </c>
      <c r="B311">
        <v>3.9742500000000001</v>
      </c>
      <c r="C311" s="1">
        <f t="shared" si="12"/>
        <v>42491</v>
      </c>
    </row>
    <row r="312" spans="1:3" x14ac:dyDescent="0.25">
      <c r="A312" s="1">
        <v>42522</v>
      </c>
      <c r="B312">
        <v>3.91025</v>
      </c>
      <c r="C312" s="1">
        <f t="shared" si="12"/>
        <v>42522</v>
      </c>
    </row>
    <row r="313" spans="1:3" x14ac:dyDescent="0.25">
      <c r="A313" s="1">
        <v>42523</v>
      </c>
      <c r="B313">
        <v>3.9742500000000001</v>
      </c>
      <c r="C313" s="1">
        <f t="shared" si="12"/>
        <v>42522</v>
      </c>
    </row>
    <row r="314" spans="1:3" x14ac:dyDescent="0.25">
      <c r="A314" s="1">
        <v>42524</v>
      </c>
      <c r="B314">
        <v>3.91025</v>
      </c>
      <c r="C314" s="1">
        <f t="shared" si="12"/>
        <v>42522</v>
      </c>
    </row>
    <row r="315" spans="1:3" x14ac:dyDescent="0.25">
      <c r="A315" s="1">
        <v>42527</v>
      </c>
      <c r="B315">
        <v>3.8784999999999998</v>
      </c>
      <c r="C315" s="1">
        <f t="shared" si="12"/>
        <v>42522</v>
      </c>
    </row>
    <row r="316" spans="1:3" x14ac:dyDescent="0.25">
      <c r="A316" s="1">
        <v>42528</v>
      </c>
      <c r="B316">
        <v>3.8784999999999998</v>
      </c>
      <c r="C316" s="1">
        <f t="shared" si="12"/>
        <v>42522</v>
      </c>
    </row>
    <row r="317" spans="1:3" x14ac:dyDescent="0.25">
      <c r="A317" s="1">
        <v>42529</v>
      </c>
      <c r="B317">
        <v>4.2359999999999998</v>
      </c>
      <c r="C317" s="1">
        <f t="shared" si="12"/>
        <v>42522</v>
      </c>
    </row>
    <row r="318" spans="1:3" x14ac:dyDescent="0.25">
      <c r="A318" s="1">
        <v>42530</v>
      </c>
      <c r="B318">
        <v>3.8784999999999998</v>
      </c>
      <c r="C318" s="1">
        <f t="shared" si="12"/>
        <v>42522</v>
      </c>
    </row>
    <row r="319" spans="1:3" x14ac:dyDescent="0.25">
      <c r="A319" s="1">
        <v>42531</v>
      </c>
      <c r="B319">
        <v>3.8784999999999998</v>
      </c>
      <c r="C319" s="1">
        <f t="shared" si="12"/>
        <v>42522</v>
      </c>
    </row>
    <row r="320" spans="1:3" x14ac:dyDescent="0.25">
      <c r="A320" s="1">
        <v>42534</v>
      </c>
      <c r="B320">
        <v>3.8784999999999998</v>
      </c>
      <c r="C320" s="1">
        <f t="shared" si="12"/>
        <v>42522</v>
      </c>
    </row>
    <row r="321" spans="1:3" x14ac:dyDescent="0.25">
      <c r="A321" s="1">
        <v>42535</v>
      </c>
      <c r="B321">
        <v>3.8784999999999998</v>
      </c>
      <c r="C321" s="1">
        <f t="shared" si="12"/>
        <v>42522</v>
      </c>
    </row>
    <row r="322" spans="1:3" x14ac:dyDescent="0.25">
      <c r="A322" s="1">
        <v>42536</v>
      </c>
      <c r="B322">
        <v>4.1180000000000003</v>
      </c>
      <c r="C322" s="1">
        <f t="shared" si="12"/>
        <v>42522</v>
      </c>
    </row>
    <row r="323" spans="1:3" x14ac:dyDescent="0.25">
      <c r="A323" s="1">
        <v>42537</v>
      </c>
      <c r="B323">
        <v>3.846625</v>
      </c>
      <c r="C323" s="1">
        <f t="shared" ref="C323:C386" si="13">A323-DAY(A323)+1</f>
        <v>42522</v>
      </c>
    </row>
    <row r="324" spans="1:3" x14ac:dyDescent="0.25">
      <c r="A324" s="1">
        <v>42538</v>
      </c>
      <c r="B324">
        <v>3.846625</v>
      </c>
      <c r="C324" s="1">
        <f t="shared" si="13"/>
        <v>42522</v>
      </c>
    </row>
    <row r="325" spans="1:3" x14ac:dyDescent="0.25">
      <c r="A325" s="1">
        <v>42541</v>
      </c>
      <c r="B325">
        <v>3.8784999999999998</v>
      </c>
      <c r="C325" s="1">
        <f t="shared" si="13"/>
        <v>42522</v>
      </c>
    </row>
    <row r="326" spans="1:3" x14ac:dyDescent="0.25">
      <c r="A326" s="1">
        <v>42542</v>
      </c>
      <c r="B326">
        <v>3.91025</v>
      </c>
      <c r="C326" s="1">
        <f t="shared" si="13"/>
        <v>42522</v>
      </c>
    </row>
    <row r="327" spans="1:3" x14ac:dyDescent="0.25">
      <c r="A327" s="1">
        <v>42543</v>
      </c>
      <c r="B327">
        <v>3.91025</v>
      </c>
      <c r="C327" s="1">
        <f t="shared" si="13"/>
        <v>42522</v>
      </c>
    </row>
    <row r="328" spans="1:3" x14ac:dyDescent="0.25">
      <c r="A328" s="1">
        <v>42544</v>
      </c>
      <c r="B328">
        <v>3.91025</v>
      </c>
      <c r="C328" s="1">
        <f t="shared" si="13"/>
        <v>42522</v>
      </c>
    </row>
    <row r="329" spans="1:3" x14ac:dyDescent="0.25">
      <c r="A329" s="1">
        <v>42545</v>
      </c>
      <c r="B329">
        <v>3.7826249999999999</v>
      </c>
      <c r="C329" s="1">
        <f t="shared" si="13"/>
        <v>42522</v>
      </c>
    </row>
    <row r="330" spans="1:3" x14ac:dyDescent="0.25">
      <c r="A330" s="1">
        <v>42548</v>
      </c>
      <c r="B330">
        <v>3.7508750000000002</v>
      </c>
      <c r="C330" s="1">
        <f t="shared" si="13"/>
        <v>42522</v>
      </c>
    </row>
    <row r="331" spans="1:3" x14ac:dyDescent="0.25">
      <c r="A331" s="1">
        <v>42549</v>
      </c>
      <c r="B331">
        <v>3.7508750000000002</v>
      </c>
      <c r="C331" s="1">
        <f t="shared" si="13"/>
        <v>42522</v>
      </c>
    </row>
    <row r="332" spans="1:3" x14ac:dyDescent="0.25">
      <c r="A332" s="1">
        <v>42550</v>
      </c>
      <c r="B332">
        <v>3.7826249999999999</v>
      </c>
      <c r="C332" s="1">
        <f t="shared" si="13"/>
        <v>42522</v>
      </c>
    </row>
    <row r="333" spans="1:3" x14ac:dyDescent="0.25">
      <c r="A333" s="1">
        <v>42551</v>
      </c>
      <c r="B333">
        <v>3.7826249999999999</v>
      </c>
      <c r="C333" s="1">
        <f t="shared" si="13"/>
        <v>42522</v>
      </c>
    </row>
    <row r="334" spans="1:3" x14ac:dyDescent="0.25">
      <c r="A334" s="1">
        <v>42552</v>
      </c>
      <c r="B334">
        <v>3.7189999999999999</v>
      </c>
      <c r="C334" s="1">
        <f t="shared" si="13"/>
        <v>42552</v>
      </c>
    </row>
    <row r="335" spans="1:3" x14ac:dyDescent="0.25">
      <c r="A335" s="1">
        <v>42556</v>
      </c>
      <c r="B335">
        <v>3.6549999999999998</v>
      </c>
      <c r="C335" s="1">
        <f t="shared" si="13"/>
        <v>42552</v>
      </c>
    </row>
    <row r="336" spans="1:3" x14ac:dyDescent="0.25">
      <c r="A336" s="1">
        <v>42557</v>
      </c>
      <c r="B336">
        <v>3.6232500000000001</v>
      </c>
      <c r="C336" s="1">
        <f t="shared" si="13"/>
        <v>42552</v>
      </c>
    </row>
    <row r="337" spans="1:3" x14ac:dyDescent="0.25">
      <c r="A337" s="1">
        <v>42558</v>
      </c>
      <c r="B337">
        <v>3.7189999999999999</v>
      </c>
      <c r="C337" s="1">
        <f t="shared" si="13"/>
        <v>42552</v>
      </c>
    </row>
    <row r="338" spans="1:3" x14ac:dyDescent="0.25">
      <c r="A338" s="1">
        <v>42562</v>
      </c>
      <c r="B338">
        <v>3.7189999999999999</v>
      </c>
      <c r="C338" s="1">
        <f t="shared" si="13"/>
        <v>42552</v>
      </c>
    </row>
    <row r="339" spans="1:3" x14ac:dyDescent="0.25">
      <c r="A339" s="1">
        <v>42563</v>
      </c>
      <c r="B339">
        <v>3.7508750000000002</v>
      </c>
      <c r="C339" s="1">
        <f t="shared" si="13"/>
        <v>42552</v>
      </c>
    </row>
    <row r="340" spans="1:3" x14ac:dyDescent="0.25">
      <c r="A340" s="1">
        <v>42564</v>
      </c>
      <c r="B340">
        <v>3.7189999999999999</v>
      </c>
      <c r="C340" s="1">
        <f t="shared" si="13"/>
        <v>42552</v>
      </c>
    </row>
    <row r="341" spans="1:3" x14ac:dyDescent="0.25">
      <c r="A341" s="1">
        <v>42565</v>
      </c>
      <c r="B341">
        <v>3.7508750000000002</v>
      </c>
      <c r="C341" s="1">
        <f t="shared" si="13"/>
        <v>42552</v>
      </c>
    </row>
    <row r="342" spans="1:3" x14ac:dyDescent="0.25">
      <c r="A342" s="1">
        <v>42566</v>
      </c>
      <c r="B342">
        <v>3.7508750000000002</v>
      </c>
      <c r="C342" s="1">
        <f t="shared" si="13"/>
        <v>42552</v>
      </c>
    </row>
    <row r="343" spans="1:3" x14ac:dyDescent="0.25">
      <c r="A343" s="1">
        <v>42569</v>
      </c>
      <c r="B343">
        <v>3.7518750000000001</v>
      </c>
      <c r="C343" s="1">
        <f t="shared" si="13"/>
        <v>42552</v>
      </c>
    </row>
    <row r="344" spans="1:3" x14ac:dyDescent="0.25">
      <c r="A344" s="1">
        <v>42570</v>
      </c>
      <c r="B344">
        <v>3.7518750000000001</v>
      </c>
      <c r="C344" s="1">
        <f t="shared" si="13"/>
        <v>42552</v>
      </c>
    </row>
    <row r="345" spans="1:3" x14ac:dyDescent="0.25">
      <c r="A345" s="1">
        <v>42571</v>
      </c>
      <c r="B345">
        <v>3.72</v>
      </c>
      <c r="C345" s="1">
        <f t="shared" si="13"/>
        <v>42552</v>
      </c>
    </row>
    <row r="346" spans="1:3" x14ac:dyDescent="0.25">
      <c r="A346" s="1">
        <v>42572</v>
      </c>
      <c r="B346">
        <v>3.7518750000000001</v>
      </c>
      <c r="C346" s="1">
        <f t="shared" si="13"/>
        <v>42552</v>
      </c>
    </row>
    <row r="347" spans="1:3" x14ac:dyDescent="0.25">
      <c r="A347" s="1">
        <v>42573</v>
      </c>
      <c r="B347">
        <v>3.78362499999999</v>
      </c>
      <c r="C347" s="1">
        <f t="shared" si="13"/>
        <v>42552</v>
      </c>
    </row>
    <row r="348" spans="1:3" x14ac:dyDescent="0.25">
      <c r="A348" s="1">
        <v>42576</v>
      </c>
      <c r="B348">
        <v>3.78362499999999</v>
      </c>
      <c r="C348" s="1">
        <f t="shared" si="13"/>
        <v>42552</v>
      </c>
    </row>
    <row r="349" spans="1:3" x14ac:dyDescent="0.25">
      <c r="A349" s="1">
        <v>42577</v>
      </c>
      <c r="B349">
        <v>3.78362499999999</v>
      </c>
      <c r="C349" s="1">
        <f t="shared" si="13"/>
        <v>42552</v>
      </c>
    </row>
    <row r="350" spans="1:3" x14ac:dyDescent="0.25">
      <c r="A350" s="1">
        <v>42578</v>
      </c>
      <c r="B350">
        <v>3.8795000000000002</v>
      </c>
      <c r="C350" s="1">
        <f t="shared" si="13"/>
        <v>42552</v>
      </c>
    </row>
    <row r="351" spans="1:3" x14ac:dyDescent="0.25">
      <c r="A351" s="1">
        <v>42579</v>
      </c>
      <c r="B351">
        <v>3.7518750000000001</v>
      </c>
      <c r="C351" s="1">
        <f t="shared" si="13"/>
        <v>42552</v>
      </c>
    </row>
    <row r="352" spans="1:3" x14ac:dyDescent="0.25">
      <c r="A352" s="1">
        <v>42580</v>
      </c>
      <c r="B352">
        <v>3.6560000000000001</v>
      </c>
      <c r="C352" s="1">
        <f t="shared" si="13"/>
        <v>42552</v>
      </c>
    </row>
    <row r="353" spans="1:3" x14ac:dyDescent="0.25">
      <c r="A353" s="1">
        <v>42583</v>
      </c>
      <c r="B353">
        <v>3.62425</v>
      </c>
      <c r="C353" s="1">
        <f t="shared" si="13"/>
        <v>42583</v>
      </c>
    </row>
    <row r="354" spans="1:3" x14ac:dyDescent="0.25">
      <c r="A354" s="1">
        <v>42584</v>
      </c>
      <c r="B354">
        <v>3.72</v>
      </c>
      <c r="C354" s="1">
        <f t="shared" si="13"/>
        <v>42583</v>
      </c>
    </row>
    <row r="355" spans="1:3" x14ac:dyDescent="0.25">
      <c r="A355" s="1">
        <v>42585</v>
      </c>
      <c r="B355">
        <v>3.72</v>
      </c>
      <c r="C355" s="1">
        <f t="shared" si="13"/>
        <v>42583</v>
      </c>
    </row>
    <row r="356" spans="1:3" x14ac:dyDescent="0.25">
      <c r="A356" s="1">
        <v>42586</v>
      </c>
      <c r="B356">
        <v>3.6560000000000001</v>
      </c>
      <c r="C356" s="1">
        <f t="shared" si="13"/>
        <v>42583</v>
      </c>
    </row>
    <row r="357" spans="1:3" x14ac:dyDescent="0.25">
      <c r="A357" s="1">
        <v>42587</v>
      </c>
      <c r="B357">
        <v>3.62425</v>
      </c>
      <c r="C357" s="1">
        <f t="shared" si="13"/>
        <v>42583</v>
      </c>
    </row>
    <row r="358" spans="1:3" x14ac:dyDescent="0.25">
      <c r="A358" s="1">
        <v>42590</v>
      </c>
      <c r="B358">
        <v>3.72</v>
      </c>
      <c r="C358" s="1">
        <f t="shared" si="13"/>
        <v>42583</v>
      </c>
    </row>
    <row r="359" spans="1:3" x14ac:dyDescent="0.25">
      <c r="A359" s="1">
        <v>42591</v>
      </c>
      <c r="B359">
        <v>3.72</v>
      </c>
      <c r="C359" s="1">
        <f t="shared" si="13"/>
        <v>42583</v>
      </c>
    </row>
    <row r="360" spans="1:3" x14ac:dyDescent="0.25">
      <c r="A360" s="1">
        <v>42592</v>
      </c>
      <c r="B360">
        <v>3.62425</v>
      </c>
      <c r="C360" s="1">
        <f t="shared" si="13"/>
        <v>42583</v>
      </c>
    </row>
    <row r="361" spans="1:3" x14ac:dyDescent="0.25">
      <c r="A361" s="1">
        <v>42597</v>
      </c>
      <c r="B361">
        <v>3.62425</v>
      </c>
      <c r="C361" s="1">
        <f t="shared" si="13"/>
        <v>42583</v>
      </c>
    </row>
    <row r="362" spans="1:3" x14ac:dyDescent="0.25">
      <c r="A362" s="1">
        <v>42598</v>
      </c>
      <c r="B362">
        <v>3.6560000000000001</v>
      </c>
      <c r="C362" s="1">
        <f t="shared" si="13"/>
        <v>42583</v>
      </c>
    </row>
    <row r="363" spans="1:3" x14ac:dyDescent="0.25">
      <c r="A363" s="1">
        <v>42599</v>
      </c>
      <c r="B363">
        <v>3.7518750000000001</v>
      </c>
      <c r="C363" s="1">
        <f t="shared" si="13"/>
        <v>42583</v>
      </c>
    </row>
    <row r="364" spans="1:3" x14ac:dyDescent="0.25">
      <c r="A364" s="1">
        <v>42600</v>
      </c>
      <c r="B364">
        <v>3.6560000000000001</v>
      </c>
      <c r="C364" s="1">
        <f t="shared" si="13"/>
        <v>42583</v>
      </c>
    </row>
    <row r="365" spans="1:3" x14ac:dyDescent="0.25">
      <c r="A365" s="1">
        <v>42601</v>
      </c>
      <c r="B365">
        <v>3.72</v>
      </c>
      <c r="C365" s="1">
        <f t="shared" si="13"/>
        <v>42583</v>
      </c>
    </row>
    <row r="366" spans="1:3" x14ac:dyDescent="0.25">
      <c r="A366" s="1">
        <v>42604</v>
      </c>
      <c r="B366">
        <v>3.7518750000000001</v>
      </c>
      <c r="C366" s="1">
        <f t="shared" si="13"/>
        <v>42583</v>
      </c>
    </row>
    <row r="367" spans="1:3" x14ac:dyDescent="0.25">
      <c r="A367" s="1">
        <v>42605</v>
      </c>
      <c r="B367">
        <v>3.72</v>
      </c>
      <c r="C367" s="1">
        <f t="shared" si="13"/>
        <v>42583</v>
      </c>
    </row>
    <row r="368" spans="1:3" x14ac:dyDescent="0.25">
      <c r="A368" s="1">
        <v>42606</v>
      </c>
      <c r="B368">
        <v>3.72</v>
      </c>
      <c r="C368" s="1">
        <f t="shared" si="13"/>
        <v>42583</v>
      </c>
    </row>
    <row r="369" spans="1:3" x14ac:dyDescent="0.25">
      <c r="A369" s="1">
        <v>42611</v>
      </c>
      <c r="B369">
        <v>3.7518750000000001</v>
      </c>
      <c r="C369" s="1">
        <f t="shared" si="13"/>
        <v>42583</v>
      </c>
    </row>
    <row r="370" spans="1:3" x14ac:dyDescent="0.25">
      <c r="A370" s="1">
        <v>42612</v>
      </c>
      <c r="B370">
        <v>3.72</v>
      </c>
      <c r="C370" s="1">
        <f t="shared" si="13"/>
        <v>42583</v>
      </c>
    </row>
    <row r="371" spans="1:3" x14ac:dyDescent="0.25">
      <c r="A371" s="1">
        <v>42613</v>
      </c>
      <c r="B371">
        <v>3.7518750000000001</v>
      </c>
      <c r="C371" s="1">
        <f t="shared" si="13"/>
        <v>42583</v>
      </c>
    </row>
    <row r="372" spans="1:3" x14ac:dyDescent="0.25">
      <c r="A372" s="1">
        <v>42614</v>
      </c>
      <c r="B372">
        <v>3.72</v>
      </c>
      <c r="C372" s="1">
        <f t="shared" si="13"/>
        <v>42614</v>
      </c>
    </row>
    <row r="373" spans="1:3" x14ac:dyDescent="0.25">
      <c r="A373" s="1">
        <v>42620</v>
      </c>
      <c r="B373">
        <v>3.62425</v>
      </c>
      <c r="C373" s="1">
        <f t="shared" si="13"/>
        <v>42614</v>
      </c>
    </row>
    <row r="374" spans="1:3" x14ac:dyDescent="0.25">
      <c r="A374" s="1">
        <v>42621</v>
      </c>
      <c r="B374">
        <v>3.6560000000000001</v>
      </c>
      <c r="C374" s="1">
        <f t="shared" si="13"/>
        <v>42614</v>
      </c>
    </row>
    <row r="375" spans="1:3" x14ac:dyDescent="0.25">
      <c r="A375" s="1">
        <v>42625</v>
      </c>
      <c r="B375">
        <v>3.78362499999999</v>
      </c>
      <c r="C375" s="1">
        <f t="shared" si="13"/>
        <v>42614</v>
      </c>
    </row>
    <row r="376" spans="1:3" x14ac:dyDescent="0.25">
      <c r="A376" s="1">
        <v>42626</v>
      </c>
      <c r="B376">
        <v>3.8795000000000002</v>
      </c>
      <c r="C376" s="1">
        <f t="shared" si="13"/>
        <v>42614</v>
      </c>
    </row>
    <row r="377" spans="1:3" x14ac:dyDescent="0.25">
      <c r="A377" s="1">
        <v>42627</v>
      </c>
      <c r="B377">
        <v>3.7518750000000001</v>
      </c>
      <c r="C377" s="1">
        <f t="shared" si="13"/>
        <v>42614</v>
      </c>
    </row>
    <row r="378" spans="1:3" x14ac:dyDescent="0.25">
      <c r="A378" s="1">
        <v>42628</v>
      </c>
      <c r="B378">
        <v>3.72</v>
      </c>
      <c r="C378" s="1">
        <f t="shared" si="13"/>
        <v>42614</v>
      </c>
    </row>
    <row r="379" spans="1:3" x14ac:dyDescent="0.25">
      <c r="A379" s="1">
        <v>42629</v>
      </c>
      <c r="B379">
        <v>3.72</v>
      </c>
      <c r="C379" s="1">
        <f t="shared" si="13"/>
        <v>42614</v>
      </c>
    </row>
    <row r="380" spans="1:3" x14ac:dyDescent="0.25">
      <c r="A380" s="1">
        <v>42632</v>
      </c>
      <c r="B380">
        <v>3.7518750000000001</v>
      </c>
      <c r="C380" s="1">
        <f t="shared" si="13"/>
        <v>42614</v>
      </c>
    </row>
    <row r="381" spans="1:3" x14ac:dyDescent="0.25">
      <c r="A381" s="1">
        <v>42633</v>
      </c>
      <c r="B381">
        <v>3.7518750000000001</v>
      </c>
      <c r="C381" s="1">
        <f t="shared" si="13"/>
        <v>42614</v>
      </c>
    </row>
    <row r="382" spans="1:3" x14ac:dyDescent="0.25">
      <c r="A382" s="1">
        <v>42634</v>
      </c>
      <c r="B382">
        <v>3.7518750000000001</v>
      </c>
      <c r="C382" s="1">
        <f t="shared" si="13"/>
        <v>42614</v>
      </c>
    </row>
    <row r="383" spans="1:3" x14ac:dyDescent="0.25">
      <c r="A383" s="1">
        <v>42635</v>
      </c>
      <c r="B383">
        <v>3.7518750000000001</v>
      </c>
      <c r="C383" s="1">
        <f t="shared" si="13"/>
        <v>42614</v>
      </c>
    </row>
    <row r="384" spans="1:3" x14ac:dyDescent="0.25">
      <c r="A384" s="1">
        <v>42636</v>
      </c>
      <c r="B384">
        <v>3.6560000000000001</v>
      </c>
      <c r="C384" s="1">
        <f t="shared" si="13"/>
        <v>42614</v>
      </c>
    </row>
    <row r="385" spans="1:3" x14ac:dyDescent="0.25">
      <c r="A385" s="1">
        <v>42639</v>
      </c>
      <c r="B385">
        <v>3.62425</v>
      </c>
      <c r="C385" s="1">
        <f t="shared" si="13"/>
        <v>42614</v>
      </c>
    </row>
    <row r="386" spans="1:3" x14ac:dyDescent="0.25">
      <c r="A386" s="1">
        <v>42640</v>
      </c>
      <c r="B386">
        <v>3.5606249999999999</v>
      </c>
      <c r="C386" s="1">
        <f t="shared" si="13"/>
        <v>42614</v>
      </c>
    </row>
    <row r="387" spans="1:3" x14ac:dyDescent="0.25">
      <c r="A387" s="1">
        <v>42641</v>
      </c>
      <c r="B387">
        <v>3.5606249999999999</v>
      </c>
      <c r="C387" s="1">
        <f t="shared" ref="C387:C450" si="14">A387-DAY(A387)+1</f>
        <v>42614</v>
      </c>
    </row>
    <row r="388" spans="1:3" x14ac:dyDescent="0.25">
      <c r="A388" s="1">
        <v>42642</v>
      </c>
      <c r="B388">
        <v>3.62425</v>
      </c>
      <c r="C388" s="1">
        <f t="shared" si="14"/>
        <v>42614</v>
      </c>
    </row>
    <row r="389" spans="1:3" x14ac:dyDescent="0.25">
      <c r="A389" s="1">
        <v>42643</v>
      </c>
      <c r="B389">
        <v>3.5923750000000001</v>
      </c>
      <c r="C389" s="1">
        <f t="shared" si="14"/>
        <v>42614</v>
      </c>
    </row>
    <row r="390" spans="1:3" x14ac:dyDescent="0.25">
      <c r="A390" s="1">
        <v>42646</v>
      </c>
      <c r="B390">
        <v>3.62425</v>
      </c>
      <c r="C390" s="1">
        <f t="shared" si="14"/>
        <v>42644</v>
      </c>
    </row>
    <row r="391" spans="1:3" x14ac:dyDescent="0.25">
      <c r="A391" s="1">
        <v>42647</v>
      </c>
      <c r="B391">
        <v>3.62425</v>
      </c>
      <c r="C391" s="1">
        <f t="shared" si="14"/>
        <v>42644</v>
      </c>
    </row>
    <row r="392" spans="1:3" x14ac:dyDescent="0.25">
      <c r="A392" s="1">
        <v>42648</v>
      </c>
      <c r="B392">
        <v>3.68825</v>
      </c>
      <c r="C392" s="1">
        <f t="shared" si="14"/>
        <v>42644</v>
      </c>
    </row>
    <row r="393" spans="1:3" x14ac:dyDescent="0.25">
      <c r="A393" s="1">
        <v>42649</v>
      </c>
      <c r="B393">
        <v>3.6560000000000001</v>
      </c>
      <c r="C393" s="1">
        <f t="shared" si="14"/>
        <v>42644</v>
      </c>
    </row>
    <row r="394" spans="1:3" x14ac:dyDescent="0.25">
      <c r="A394" s="1">
        <v>42650</v>
      </c>
      <c r="B394">
        <v>3.72</v>
      </c>
      <c r="C394" s="1">
        <f t="shared" si="14"/>
        <v>42644</v>
      </c>
    </row>
    <row r="395" spans="1:3" x14ac:dyDescent="0.25">
      <c r="A395" s="1">
        <v>42654</v>
      </c>
      <c r="B395">
        <v>3.7518750000000001</v>
      </c>
      <c r="C395" s="1">
        <f t="shared" si="14"/>
        <v>42644</v>
      </c>
    </row>
    <row r="396" spans="1:3" x14ac:dyDescent="0.25">
      <c r="A396" s="1">
        <v>42655</v>
      </c>
      <c r="B396">
        <v>3.7518750000000001</v>
      </c>
      <c r="C396" s="1">
        <f t="shared" si="14"/>
        <v>42644</v>
      </c>
    </row>
    <row r="397" spans="1:3" x14ac:dyDescent="0.25">
      <c r="A397" s="1">
        <v>42656</v>
      </c>
      <c r="B397">
        <v>3.72</v>
      </c>
      <c r="C397" s="1">
        <f t="shared" si="14"/>
        <v>42644</v>
      </c>
    </row>
    <row r="398" spans="1:3" x14ac:dyDescent="0.25">
      <c r="A398" s="1">
        <v>42657</v>
      </c>
      <c r="B398">
        <v>3.72</v>
      </c>
      <c r="C398" s="1">
        <f t="shared" si="14"/>
        <v>42644</v>
      </c>
    </row>
    <row r="399" spans="1:3" x14ac:dyDescent="0.25">
      <c r="A399" s="1">
        <v>42660</v>
      </c>
      <c r="B399">
        <v>3.7518750000000001</v>
      </c>
      <c r="C399" s="1">
        <f t="shared" si="14"/>
        <v>42644</v>
      </c>
    </row>
    <row r="400" spans="1:3" x14ac:dyDescent="0.25">
      <c r="A400" s="1">
        <v>42661</v>
      </c>
      <c r="B400">
        <v>3.72</v>
      </c>
      <c r="C400" s="1">
        <f t="shared" si="14"/>
        <v>42644</v>
      </c>
    </row>
    <row r="401" spans="1:3" x14ac:dyDescent="0.25">
      <c r="A401" s="1">
        <v>42662</v>
      </c>
      <c r="B401">
        <v>3.72</v>
      </c>
      <c r="C401" s="1">
        <f t="shared" si="14"/>
        <v>42644</v>
      </c>
    </row>
    <row r="402" spans="1:3" x14ac:dyDescent="0.25">
      <c r="A402" s="1">
        <v>42663</v>
      </c>
      <c r="B402">
        <v>3.72</v>
      </c>
      <c r="C402" s="1">
        <f t="shared" si="14"/>
        <v>42644</v>
      </c>
    </row>
    <row r="403" spans="1:3" x14ac:dyDescent="0.25">
      <c r="A403" s="1">
        <v>42664</v>
      </c>
      <c r="B403">
        <v>3.72</v>
      </c>
      <c r="C403" s="1">
        <f t="shared" si="14"/>
        <v>42644</v>
      </c>
    </row>
    <row r="404" spans="1:3" x14ac:dyDescent="0.25">
      <c r="A404" s="1">
        <v>42667</v>
      </c>
      <c r="B404">
        <v>3.6560000000000001</v>
      </c>
      <c r="C404" s="1">
        <f t="shared" si="14"/>
        <v>42644</v>
      </c>
    </row>
    <row r="405" spans="1:3" x14ac:dyDescent="0.25">
      <c r="A405" s="1">
        <v>42668</v>
      </c>
      <c r="B405">
        <v>3.72</v>
      </c>
      <c r="C405" s="1">
        <f t="shared" si="14"/>
        <v>42644</v>
      </c>
    </row>
    <row r="406" spans="1:3" x14ac:dyDescent="0.25">
      <c r="A406" s="1">
        <v>42669</v>
      </c>
      <c r="B406">
        <v>3.72</v>
      </c>
      <c r="C406" s="1">
        <f t="shared" si="14"/>
        <v>42644</v>
      </c>
    </row>
    <row r="407" spans="1:3" x14ac:dyDescent="0.25">
      <c r="A407" s="1">
        <v>42670</v>
      </c>
      <c r="B407">
        <v>3.9112499999999999</v>
      </c>
      <c r="C407" s="1">
        <f t="shared" si="14"/>
        <v>42644</v>
      </c>
    </row>
    <row r="408" spans="1:3" x14ac:dyDescent="0.25">
      <c r="A408" s="1">
        <v>42671</v>
      </c>
      <c r="B408">
        <v>3.8795000000000002</v>
      </c>
      <c r="C408" s="1">
        <f t="shared" si="14"/>
        <v>42644</v>
      </c>
    </row>
    <row r="409" spans="1:3" x14ac:dyDescent="0.25">
      <c r="A409" s="1">
        <v>42674</v>
      </c>
      <c r="B409">
        <v>3.78362499999999</v>
      </c>
      <c r="C409" s="1">
        <f t="shared" si="14"/>
        <v>42644</v>
      </c>
    </row>
    <row r="410" spans="1:3" x14ac:dyDescent="0.25">
      <c r="A410" s="1">
        <v>42675</v>
      </c>
      <c r="B410">
        <v>3.8795000000000002</v>
      </c>
      <c r="C410" s="1">
        <f t="shared" si="14"/>
        <v>42675</v>
      </c>
    </row>
    <row r="411" spans="1:3" x14ac:dyDescent="0.25">
      <c r="A411" s="1">
        <v>42676</v>
      </c>
      <c r="B411">
        <v>3.78362499999999</v>
      </c>
      <c r="C411" s="1">
        <f t="shared" si="14"/>
        <v>42675</v>
      </c>
    </row>
    <row r="412" spans="1:3" x14ac:dyDescent="0.25">
      <c r="A412" s="1">
        <v>42677</v>
      </c>
      <c r="B412">
        <v>3.8795000000000002</v>
      </c>
      <c r="C412" s="1">
        <f t="shared" si="14"/>
        <v>42675</v>
      </c>
    </row>
    <row r="413" spans="1:3" x14ac:dyDescent="0.25">
      <c r="A413" s="1">
        <v>42678</v>
      </c>
      <c r="B413">
        <v>3.8795000000000002</v>
      </c>
      <c r="C413" s="1">
        <f t="shared" si="14"/>
        <v>42675</v>
      </c>
    </row>
    <row r="414" spans="1:3" x14ac:dyDescent="0.25">
      <c r="A414" s="1">
        <v>42681</v>
      </c>
      <c r="B414">
        <v>3.78362499999999</v>
      </c>
      <c r="C414" s="1">
        <f t="shared" si="14"/>
        <v>42675</v>
      </c>
    </row>
    <row r="415" spans="1:3" x14ac:dyDescent="0.25">
      <c r="A415" s="1">
        <v>42682</v>
      </c>
      <c r="B415">
        <v>3.78362499999999</v>
      </c>
      <c r="C415" s="1">
        <f t="shared" si="14"/>
        <v>42675</v>
      </c>
    </row>
    <row r="416" spans="1:3" x14ac:dyDescent="0.25">
      <c r="A416" s="1">
        <v>42683</v>
      </c>
      <c r="B416">
        <v>3.9434999999999998</v>
      </c>
      <c r="C416" s="1">
        <f t="shared" si="14"/>
        <v>42675</v>
      </c>
    </row>
    <row r="417" spans="1:3" x14ac:dyDescent="0.25">
      <c r="A417" s="1">
        <v>42684</v>
      </c>
      <c r="B417">
        <v>4.0071250000000003</v>
      </c>
      <c r="C417" s="1">
        <f t="shared" si="14"/>
        <v>42675</v>
      </c>
    </row>
    <row r="418" spans="1:3" x14ac:dyDescent="0.25">
      <c r="A418" s="1">
        <v>42688</v>
      </c>
      <c r="B418">
        <v>4.1441249999999998</v>
      </c>
      <c r="C418" s="1">
        <f t="shared" si="14"/>
        <v>42675</v>
      </c>
    </row>
    <row r="419" spans="1:3" x14ac:dyDescent="0.25">
      <c r="A419" s="1">
        <v>42689</v>
      </c>
      <c r="B419">
        <v>4.1441249999999998</v>
      </c>
      <c r="C419" s="1">
        <f t="shared" si="14"/>
        <v>42675</v>
      </c>
    </row>
    <row r="420" spans="1:3" x14ac:dyDescent="0.25">
      <c r="A420" s="1">
        <v>42690</v>
      </c>
      <c r="B420">
        <v>4.1441249999999998</v>
      </c>
      <c r="C420" s="1">
        <f t="shared" si="14"/>
        <v>42675</v>
      </c>
    </row>
    <row r="421" spans="1:3" x14ac:dyDescent="0.25">
      <c r="A421" s="1">
        <v>42691</v>
      </c>
      <c r="B421">
        <v>4.1122500000000004</v>
      </c>
      <c r="C421" s="1">
        <f t="shared" si="14"/>
        <v>42675</v>
      </c>
    </row>
    <row r="422" spans="1:3" x14ac:dyDescent="0.25">
      <c r="A422" s="1">
        <v>42692</v>
      </c>
      <c r="B422">
        <v>4.3034999999999997</v>
      </c>
      <c r="C422" s="1">
        <f t="shared" si="14"/>
        <v>42675</v>
      </c>
    </row>
    <row r="423" spans="1:3" x14ac:dyDescent="0.25">
      <c r="A423" s="1">
        <v>42695</v>
      </c>
      <c r="B423">
        <v>4.3034999999999997</v>
      </c>
      <c r="C423" s="1">
        <f t="shared" si="14"/>
        <v>42675</v>
      </c>
    </row>
    <row r="424" spans="1:3" x14ac:dyDescent="0.25">
      <c r="A424" s="1">
        <v>42696</v>
      </c>
      <c r="B424">
        <v>4.3034999999999997</v>
      </c>
      <c r="C424" s="1">
        <f t="shared" si="14"/>
        <v>42675</v>
      </c>
    </row>
    <row r="425" spans="1:3" x14ac:dyDescent="0.25">
      <c r="A425" s="1">
        <v>42697</v>
      </c>
      <c r="B425">
        <v>4.4633750000000001</v>
      </c>
      <c r="C425" s="1">
        <f t="shared" si="14"/>
        <v>42675</v>
      </c>
    </row>
    <row r="426" spans="1:3" x14ac:dyDescent="0.25">
      <c r="A426" s="1">
        <v>42699</v>
      </c>
      <c r="B426">
        <v>4.4311249999999998</v>
      </c>
      <c r="C426" s="1">
        <f t="shared" si="14"/>
        <v>42675</v>
      </c>
    </row>
    <row r="427" spans="1:3" x14ac:dyDescent="0.25">
      <c r="A427" s="1">
        <v>42702</v>
      </c>
      <c r="B427">
        <v>4.399375</v>
      </c>
      <c r="C427" s="1">
        <f t="shared" si="14"/>
        <v>42675</v>
      </c>
    </row>
    <row r="428" spans="1:3" x14ac:dyDescent="0.25">
      <c r="A428" s="1">
        <v>42703</v>
      </c>
      <c r="B428">
        <v>4.3674999999999997</v>
      </c>
      <c r="C428" s="1">
        <f t="shared" si="14"/>
        <v>42675</v>
      </c>
    </row>
    <row r="429" spans="1:3" x14ac:dyDescent="0.25">
      <c r="A429" s="1">
        <v>42704</v>
      </c>
      <c r="B429">
        <v>4.3674999999999997</v>
      </c>
      <c r="C429" s="1">
        <f t="shared" si="14"/>
        <v>42675</v>
      </c>
    </row>
    <row r="430" spans="1:3" x14ac:dyDescent="0.25">
      <c r="A430" s="1">
        <v>42705</v>
      </c>
      <c r="B430">
        <v>4.4314999999999998</v>
      </c>
      <c r="C430" s="1">
        <f t="shared" si="14"/>
        <v>42705</v>
      </c>
    </row>
    <row r="431" spans="1:3" x14ac:dyDescent="0.25">
      <c r="A431" s="1">
        <v>42706</v>
      </c>
      <c r="B431">
        <v>4.2717499999999999</v>
      </c>
      <c r="C431" s="1">
        <f t="shared" si="14"/>
        <v>42705</v>
      </c>
    </row>
    <row r="432" spans="1:3" x14ac:dyDescent="0.25">
      <c r="A432" s="1">
        <v>42709</v>
      </c>
      <c r="B432">
        <v>4.399375</v>
      </c>
      <c r="C432" s="1">
        <f t="shared" si="14"/>
        <v>42705</v>
      </c>
    </row>
    <row r="433" spans="1:3" x14ac:dyDescent="0.25">
      <c r="A433" s="1">
        <v>42710</v>
      </c>
      <c r="B433">
        <v>4.3034999999999997</v>
      </c>
      <c r="C433" s="1">
        <f t="shared" si="14"/>
        <v>42705</v>
      </c>
    </row>
    <row r="434" spans="1:3" x14ac:dyDescent="0.25">
      <c r="A434" s="1">
        <v>42711</v>
      </c>
      <c r="B434">
        <v>4.3034999999999997</v>
      </c>
      <c r="C434" s="1">
        <f t="shared" si="14"/>
        <v>42705</v>
      </c>
    </row>
    <row r="435" spans="1:3" x14ac:dyDescent="0.25">
      <c r="A435" s="1">
        <v>42712</v>
      </c>
      <c r="B435">
        <v>4.3034999999999997</v>
      </c>
      <c r="C435" s="1">
        <f t="shared" si="14"/>
        <v>42705</v>
      </c>
    </row>
    <row r="436" spans="1:3" x14ac:dyDescent="0.25">
      <c r="A436" s="1">
        <v>42713</v>
      </c>
      <c r="B436">
        <v>4.2717499999999999</v>
      </c>
      <c r="C436" s="1">
        <f t="shared" si="14"/>
        <v>42705</v>
      </c>
    </row>
    <row r="437" spans="1:3" x14ac:dyDescent="0.25">
      <c r="A437" s="1">
        <v>42716</v>
      </c>
      <c r="B437">
        <v>4.3674999999999997</v>
      </c>
      <c r="C437" s="1">
        <f t="shared" si="14"/>
        <v>42705</v>
      </c>
    </row>
    <row r="438" spans="1:3" x14ac:dyDescent="0.25">
      <c r="A438" s="1">
        <v>42717</v>
      </c>
      <c r="B438">
        <v>4.2398749999999996</v>
      </c>
      <c r="C438" s="1">
        <f t="shared" si="14"/>
        <v>42705</v>
      </c>
    </row>
    <row r="439" spans="1:3" x14ac:dyDescent="0.25">
      <c r="A439" s="1">
        <v>42718</v>
      </c>
      <c r="B439">
        <v>4.3034999999999997</v>
      </c>
      <c r="C439" s="1">
        <f t="shared" si="14"/>
        <v>42705</v>
      </c>
    </row>
    <row r="440" spans="1:3" x14ac:dyDescent="0.25">
      <c r="A440" s="1">
        <v>42719</v>
      </c>
      <c r="B440">
        <v>4.4311249999999998</v>
      </c>
      <c r="C440" s="1">
        <f t="shared" si="14"/>
        <v>42705</v>
      </c>
    </row>
    <row r="441" spans="1:3" x14ac:dyDescent="0.25">
      <c r="A441" s="1">
        <v>42720</v>
      </c>
      <c r="B441">
        <v>4.4314999999999998</v>
      </c>
      <c r="C441" s="1">
        <f t="shared" si="14"/>
        <v>42705</v>
      </c>
    </row>
    <row r="442" spans="1:3" x14ac:dyDescent="0.25">
      <c r="A442" s="1">
        <v>42723</v>
      </c>
      <c r="B442">
        <v>4.4633750000000001</v>
      </c>
      <c r="C442" s="1">
        <f t="shared" si="14"/>
        <v>42705</v>
      </c>
    </row>
    <row r="443" spans="1:3" x14ac:dyDescent="0.25">
      <c r="A443" s="1">
        <v>42724</v>
      </c>
      <c r="B443">
        <v>4.4951249999999998</v>
      </c>
      <c r="C443" s="1">
        <f t="shared" si="14"/>
        <v>42705</v>
      </c>
    </row>
    <row r="444" spans="1:3" x14ac:dyDescent="0.25">
      <c r="A444" s="1">
        <v>42725</v>
      </c>
      <c r="B444">
        <v>4.4633750000000001</v>
      </c>
      <c r="C444" s="1">
        <f t="shared" si="14"/>
        <v>42705</v>
      </c>
    </row>
    <row r="445" spans="1:3" x14ac:dyDescent="0.25">
      <c r="A445" s="1">
        <v>42726</v>
      </c>
      <c r="B445">
        <v>4.4633750000000001</v>
      </c>
      <c r="C445" s="1">
        <f t="shared" si="14"/>
        <v>42705</v>
      </c>
    </row>
    <row r="446" spans="1:3" x14ac:dyDescent="0.25">
      <c r="A446" s="1">
        <v>42727</v>
      </c>
      <c r="B446">
        <v>4.4311249999999998</v>
      </c>
      <c r="C446" s="1">
        <f t="shared" si="14"/>
        <v>42705</v>
      </c>
    </row>
    <row r="447" spans="1:3" x14ac:dyDescent="0.25">
      <c r="A447" s="1">
        <v>42731</v>
      </c>
      <c r="B447">
        <v>4.4951249999999998</v>
      </c>
      <c r="C447" s="1">
        <f t="shared" si="14"/>
        <v>42705</v>
      </c>
    </row>
    <row r="448" spans="1:3" x14ac:dyDescent="0.25">
      <c r="A448" s="1">
        <v>42732</v>
      </c>
      <c r="B448">
        <v>4.4311249999999998</v>
      </c>
      <c r="C448" s="1">
        <f t="shared" si="14"/>
        <v>42705</v>
      </c>
    </row>
    <row r="449" spans="1:3" x14ac:dyDescent="0.25">
      <c r="A449" s="1">
        <v>42733</v>
      </c>
      <c r="B449">
        <v>4.399375</v>
      </c>
      <c r="C449" s="1">
        <f t="shared" si="14"/>
        <v>42705</v>
      </c>
    </row>
    <row r="450" spans="1:3" x14ac:dyDescent="0.25">
      <c r="A450" s="1">
        <v>42734</v>
      </c>
      <c r="B450">
        <v>4.3674999999999997</v>
      </c>
      <c r="C450" s="1">
        <f t="shared" si="14"/>
        <v>42705</v>
      </c>
    </row>
    <row r="451" spans="1:3" x14ac:dyDescent="0.25">
      <c r="A451" s="1">
        <v>42738</v>
      </c>
      <c r="B451">
        <v>4.399375</v>
      </c>
      <c r="C451" s="1">
        <f t="shared" ref="C451:C489" si="15">A451-DAY(A451)+1</f>
        <v>42736</v>
      </c>
    </row>
    <row r="452" spans="1:3" x14ac:dyDescent="0.25">
      <c r="A452" s="1">
        <v>42739</v>
      </c>
      <c r="B452">
        <v>4.3674999999999997</v>
      </c>
      <c r="C452" s="1">
        <f t="shared" si="15"/>
        <v>42736</v>
      </c>
    </row>
    <row r="453" spans="1:3" x14ac:dyDescent="0.25">
      <c r="A453" s="1">
        <v>42740</v>
      </c>
      <c r="B453">
        <v>4.2717499999999999</v>
      </c>
      <c r="C453" s="1">
        <f t="shared" si="15"/>
        <v>42736</v>
      </c>
    </row>
    <row r="454" spans="1:3" x14ac:dyDescent="0.25">
      <c r="A454" s="1">
        <v>42741</v>
      </c>
      <c r="B454">
        <v>4.33575</v>
      </c>
      <c r="C454" s="1">
        <f t="shared" si="15"/>
        <v>42736</v>
      </c>
    </row>
    <row r="455" spans="1:3" x14ac:dyDescent="0.25">
      <c r="A455" s="1">
        <v>42744</v>
      </c>
      <c r="B455">
        <v>4.4311249999999998</v>
      </c>
      <c r="C455" s="1">
        <f t="shared" si="15"/>
        <v>42736</v>
      </c>
    </row>
    <row r="456" spans="1:3" x14ac:dyDescent="0.25">
      <c r="A456" s="1">
        <v>42745</v>
      </c>
      <c r="B456">
        <v>4.3674999999999997</v>
      </c>
      <c r="C456" s="1">
        <f t="shared" si="15"/>
        <v>42736</v>
      </c>
    </row>
    <row r="457" spans="1:3" x14ac:dyDescent="0.25">
      <c r="A457" s="1">
        <v>42746</v>
      </c>
      <c r="B457">
        <v>4.4311249999999998</v>
      </c>
      <c r="C457" s="1">
        <f t="shared" si="15"/>
        <v>42736</v>
      </c>
    </row>
    <row r="458" spans="1:3" x14ac:dyDescent="0.25">
      <c r="A458" s="1">
        <v>42747</v>
      </c>
      <c r="B458">
        <v>4.3674999999999997</v>
      </c>
      <c r="C458" s="1">
        <f t="shared" si="15"/>
        <v>42736</v>
      </c>
    </row>
    <row r="459" spans="1:3" x14ac:dyDescent="0.25">
      <c r="A459" s="1">
        <v>42748</v>
      </c>
      <c r="B459">
        <v>4.4951249999999998</v>
      </c>
      <c r="C459" s="1">
        <f t="shared" si="15"/>
        <v>42736</v>
      </c>
    </row>
    <row r="460" spans="1:3" x14ac:dyDescent="0.25">
      <c r="A460" s="1">
        <v>42752</v>
      </c>
      <c r="B460">
        <v>4.4633750000000001</v>
      </c>
      <c r="C460" s="1">
        <f t="shared" si="15"/>
        <v>42736</v>
      </c>
    </row>
    <row r="461" spans="1:3" x14ac:dyDescent="0.25">
      <c r="A461" s="1">
        <v>42753</v>
      </c>
      <c r="B461">
        <v>4.4633750000000001</v>
      </c>
      <c r="C461" s="1">
        <f t="shared" si="15"/>
        <v>42736</v>
      </c>
    </row>
    <row r="462" spans="1:3" x14ac:dyDescent="0.25">
      <c r="A462" s="1">
        <v>42754</v>
      </c>
      <c r="B462">
        <v>4.4951249999999998</v>
      </c>
      <c r="C462" s="1">
        <f t="shared" si="15"/>
        <v>42736</v>
      </c>
    </row>
    <row r="463" spans="1:3" x14ac:dyDescent="0.25">
      <c r="A463" s="1">
        <v>42755</v>
      </c>
      <c r="B463">
        <v>4.5270000000000001</v>
      </c>
      <c r="C463" s="1">
        <f t="shared" si="15"/>
        <v>42736</v>
      </c>
    </row>
    <row r="464" spans="1:3" x14ac:dyDescent="0.25">
      <c r="A464" s="1">
        <v>42758</v>
      </c>
      <c r="B464">
        <v>4.4311249999999998</v>
      </c>
      <c r="C464" s="1">
        <f t="shared" si="15"/>
        <v>42736</v>
      </c>
    </row>
    <row r="465" spans="1:3" x14ac:dyDescent="0.25">
      <c r="A465" s="1">
        <v>42759</v>
      </c>
      <c r="B465">
        <v>4.4311249999999998</v>
      </c>
      <c r="C465" s="1">
        <f t="shared" si="15"/>
        <v>42736</v>
      </c>
    </row>
    <row r="466" spans="1:3" x14ac:dyDescent="0.25">
      <c r="A466" s="1">
        <v>42760</v>
      </c>
      <c r="B466">
        <v>4.4633750000000001</v>
      </c>
      <c r="C466" s="1">
        <f t="shared" si="15"/>
        <v>42736</v>
      </c>
    </row>
    <row r="467" spans="1:3" x14ac:dyDescent="0.25">
      <c r="A467" s="1">
        <v>42761</v>
      </c>
      <c r="B467">
        <v>4.4633750000000001</v>
      </c>
      <c r="C467" s="1">
        <f t="shared" si="15"/>
        <v>42736</v>
      </c>
    </row>
    <row r="468" spans="1:3" x14ac:dyDescent="0.25">
      <c r="A468" s="1">
        <v>42762</v>
      </c>
      <c r="B468">
        <v>4.4951249999999998</v>
      </c>
      <c r="C468" s="1">
        <f t="shared" si="15"/>
        <v>42736</v>
      </c>
    </row>
    <row r="469" spans="1:3" x14ac:dyDescent="0.25">
      <c r="A469" s="1">
        <v>42765</v>
      </c>
      <c r="B469">
        <v>4.4633750000000001</v>
      </c>
      <c r="C469" s="1">
        <f t="shared" si="15"/>
        <v>42736</v>
      </c>
    </row>
    <row r="470" spans="1:3" x14ac:dyDescent="0.25">
      <c r="A470" s="1">
        <v>42766</v>
      </c>
      <c r="B470">
        <v>4.4633750000000001</v>
      </c>
      <c r="C470" s="1">
        <f t="shared" si="15"/>
        <v>42736</v>
      </c>
    </row>
    <row r="471" spans="1:3" x14ac:dyDescent="0.25">
      <c r="A471" s="1">
        <v>42767</v>
      </c>
      <c r="B471">
        <v>4.4951249999999998</v>
      </c>
      <c r="C471" s="1">
        <f t="shared" si="15"/>
        <v>42767</v>
      </c>
    </row>
    <row r="472" spans="1:3" x14ac:dyDescent="0.25">
      <c r="A472" s="1">
        <v>42768</v>
      </c>
      <c r="B472">
        <v>4.4633750000000001</v>
      </c>
      <c r="C472" s="1">
        <f t="shared" si="15"/>
        <v>42767</v>
      </c>
    </row>
    <row r="473" spans="1:3" x14ac:dyDescent="0.25">
      <c r="A473" s="1">
        <v>42769</v>
      </c>
      <c r="B473">
        <v>4.4311249999999998</v>
      </c>
      <c r="C473" s="1">
        <f t="shared" si="15"/>
        <v>42767</v>
      </c>
    </row>
    <row r="474" spans="1:3" x14ac:dyDescent="0.25">
      <c r="A474" s="1">
        <v>42772</v>
      </c>
      <c r="B474">
        <v>4.4311249999999998</v>
      </c>
      <c r="C474" s="1">
        <f t="shared" si="15"/>
        <v>42767</v>
      </c>
    </row>
    <row r="475" spans="1:3" x14ac:dyDescent="0.25">
      <c r="A475" s="1">
        <v>42773</v>
      </c>
      <c r="B475">
        <v>4.4311249999999998</v>
      </c>
      <c r="C475" s="1">
        <f t="shared" si="15"/>
        <v>42767</v>
      </c>
    </row>
    <row r="476" spans="1:3" x14ac:dyDescent="0.25">
      <c r="A476" s="1">
        <v>42774</v>
      </c>
      <c r="B476">
        <v>4.399375</v>
      </c>
      <c r="C476" s="1">
        <f t="shared" si="15"/>
        <v>42767</v>
      </c>
    </row>
    <row r="477" spans="1:3" x14ac:dyDescent="0.25">
      <c r="A477" s="1">
        <v>42776</v>
      </c>
      <c r="B477">
        <v>4.4314999999999998</v>
      </c>
      <c r="C477" s="1">
        <f t="shared" si="15"/>
        <v>42767</v>
      </c>
    </row>
    <row r="478" spans="1:3" x14ac:dyDescent="0.25">
      <c r="A478" s="1">
        <v>42779</v>
      </c>
      <c r="B478">
        <v>4.4311249999999998</v>
      </c>
      <c r="C478" s="1">
        <f t="shared" si="15"/>
        <v>42767</v>
      </c>
    </row>
    <row r="479" spans="1:3" x14ac:dyDescent="0.25">
      <c r="A479" s="1">
        <v>42780</v>
      </c>
      <c r="B479">
        <v>4.4951249999999998</v>
      </c>
      <c r="C479" s="1">
        <f t="shared" si="15"/>
        <v>42767</v>
      </c>
    </row>
    <row r="480" spans="1:3" x14ac:dyDescent="0.25">
      <c r="A480" s="1">
        <v>42781</v>
      </c>
      <c r="B480">
        <v>4.4951249999999998</v>
      </c>
      <c r="C480" s="1">
        <f t="shared" si="15"/>
        <v>42767</v>
      </c>
    </row>
    <row r="481" spans="1:3" x14ac:dyDescent="0.25">
      <c r="A481" s="1">
        <v>42782</v>
      </c>
      <c r="B481">
        <v>4.4633750000000001</v>
      </c>
      <c r="C481" s="1">
        <f t="shared" si="15"/>
        <v>42767</v>
      </c>
    </row>
    <row r="482" spans="1:3" x14ac:dyDescent="0.25">
      <c r="A482" s="1">
        <v>42783</v>
      </c>
      <c r="B482">
        <v>4.399375</v>
      </c>
      <c r="C482" s="1">
        <f t="shared" si="15"/>
        <v>42767</v>
      </c>
    </row>
    <row r="483" spans="1:3" x14ac:dyDescent="0.25">
      <c r="A483" s="1">
        <v>42787</v>
      </c>
      <c r="B483">
        <v>4.4633750000000001</v>
      </c>
      <c r="C483" s="1">
        <f t="shared" si="15"/>
        <v>42767</v>
      </c>
    </row>
    <row r="484" spans="1:3" x14ac:dyDescent="0.25">
      <c r="A484" s="1">
        <v>42788</v>
      </c>
      <c r="B484">
        <v>4.4314999999999998</v>
      </c>
      <c r="C484" s="1">
        <f t="shared" si="15"/>
        <v>42767</v>
      </c>
    </row>
    <row r="485" spans="1:3" x14ac:dyDescent="0.25">
      <c r="A485" s="1">
        <v>42789</v>
      </c>
      <c r="B485">
        <v>4.399375</v>
      </c>
      <c r="C485" s="1">
        <f t="shared" si="15"/>
        <v>42767</v>
      </c>
    </row>
    <row r="486" spans="1:3" x14ac:dyDescent="0.25">
      <c r="A486" s="1">
        <v>42790</v>
      </c>
      <c r="B486">
        <v>4.3034999999999997</v>
      </c>
      <c r="C486" s="1">
        <f t="shared" si="15"/>
        <v>42767</v>
      </c>
    </row>
    <row r="487" spans="1:3" x14ac:dyDescent="0.25">
      <c r="A487" s="1">
        <v>42793</v>
      </c>
      <c r="B487">
        <v>4.3674999999999997</v>
      </c>
      <c r="C487" s="1">
        <f t="shared" si="15"/>
        <v>42767</v>
      </c>
    </row>
    <row r="488" spans="1:3" x14ac:dyDescent="0.25">
      <c r="A488" s="1">
        <v>42794</v>
      </c>
      <c r="B488">
        <v>4.4311249999999998</v>
      </c>
      <c r="C488" s="1">
        <f t="shared" si="15"/>
        <v>42767</v>
      </c>
    </row>
    <row r="489" spans="1:3" x14ac:dyDescent="0.25">
      <c r="A489" s="1">
        <v>42795</v>
      </c>
      <c r="B489">
        <v>4.4951249999999998</v>
      </c>
      <c r="C489" s="1">
        <f t="shared" si="15"/>
        <v>42795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workbookViewId="0">
      <selection activeCell="N17" sqref="N17"/>
    </sheetView>
  </sheetViews>
  <sheetFormatPr defaultRowHeight="15" x14ac:dyDescent="0.25"/>
  <cols>
    <col min="1" max="1" width="10.85546875" customWidth="1"/>
  </cols>
  <sheetData>
    <row r="1" spans="1:12" x14ac:dyDescent="0.25">
      <c r="A1" t="s">
        <v>10</v>
      </c>
      <c r="B1" t="s">
        <v>11</v>
      </c>
      <c r="C1" t="s">
        <v>9</v>
      </c>
      <c r="F1" t="s">
        <v>29</v>
      </c>
      <c r="G1" t="s">
        <v>10</v>
      </c>
      <c r="H1" t="s">
        <v>12</v>
      </c>
      <c r="I1" t="s">
        <v>13</v>
      </c>
      <c r="J1" t="s">
        <v>14</v>
      </c>
      <c r="K1" t="s">
        <v>11</v>
      </c>
      <c r="L1" t="s">
        <v>14</v>
      </c>
    </row>
    <row r="2" spans="1:12" x14ac:dyDescent="0.25">
      <c r="A2" s="1">
        <v>33178</v>
      </c>
      <c r="B2">
        <v>-2.31474110592375E-2</v>
      </c>
      <c r="C2">
        <v>-2.0842521615323299E-2</v>
      </c>
      <c r="G2" s="1">
        <v>33178</v>
      </c>
      <c r="H2" s="1">
        <v>33208</v>
      </c>
      <c r="I2" s="1">
        <v>33239</v>
      </c>
      <c r="J2">
        <v>10.279</v>
      </c>
      <c r="K2">
        <v>-2.31474110592375E-2</v>
      </c>
      <c r="L2">
        <v>10.2558525889407</v>
      </c>
    </row>
    <row r="3" spans="1:12" x14ac:dyDescent="0.25">
      <c r="A3" s="1">
        <v>33208</v>
      </c>
      <c r="B3">
        <v>-2.14098088386242E-2</v>
      </c>
      <c r="C3">
        <v>-6.10487059428165E-2</v>
      </c>
      <c r="G3" s="1">
        <v>33208</v>
      </c>
      <c r="H3" s="1">
        <v>33239</v>
      </c>
      <c r="I3" s="1">
        <v>33270</v>
      </c>
      <c r="J3">
        <v>9.9037500000000005</v>
      </c>
      <c r="K3">
        <v>-2.14098088386242E-2</v>
      </c>
      <c r="L3">
        <v>9.8823401911613704</v>
      </c>
    </row>
    <row r="4" spans="1:12" x14ac:dyDescent="0.25">
      <c r="A4" s="1">
        <v>33239</v>
      </c>
      <c r="B4">
        <v>-8.8520624232705403E-2</v>
      </c>
      <c r="C4">
        <v>-0.183670645139976</v>
      </c>
      <c r="G4" s="1">
        <v>33239</v>
      </c>
      <c r="H4" s="1">
        <v>33270</v>
      </c>
      <c r="I4" s="1">
        <v>33298</v>
      </c>
      <c r="J4">
        <v>9.8819999999999997</v>
      </c>
      <c r="K4">
        <v>-8.8520624232705403E-2</v>
      </c>
      <c r="L4">
        <v>9.7934793757672907</v>
      </c>
    </row>
    <row r="5" spans="1:12" x14ac:dyDescent="0.25">
      <c r="A5" s="1">
        <v>33270</v>
      </c>
      <c r="B5">
        <v>-0.133638783020987</v>
      </c>
      <c r="C5">
        <v>-0.15619699798016801</v>
      </c>
      <c r="G5" s="1">
        <v>33270</v>
      </c>
      <c r="H5" s="1">
        <v>33298</v>
      </c>
      <c r="I5" s="1">
        <v>33329</v>
      </c>
      <c r="J5">
        <v>9.5812500000000007</v>
      </c>
      <c r="K5">
        <v>-0.133638783020987</v>
      </c>
      <c r="L5">
        <v>9.4476112169790092</v>
      </c>
    </row>
    <row r="6" spans="1:12" x14ac:dyDescent="0.25">
      <c r="A6" s="1">
        <v>33298</v>
      </c>
      <c r="B6">
        <v>-0.21574414447708801</v>
      </c>
      <c r="C6">
        <v>-0.30736479031112002</v>
      </c>
      <c r="G6" s="1">
        <v>33298</v>
      </c>
      <c r="H6" s="1">
        <v>33329</v>
      </c>
      <c r="I6" s="1">
        <v>33359</v>
      </c>
      <c r="J6">
        <v>9.7937499999999993</v>
      </c>
      <c r="K6">
        <v>-0.21574414447708801</v>
      </c>
      <c r="L6">
        <v>9.5780058555229104</v>
      </c>
    </row>
    <row r="7" spans="1:12" x14ac:dyDescent="0.25">
      <c r="A7" s="1">
        <v>33329</v>
      </c>
      <c r="B7">
        <v>-0.21980706365435199</v>
      </c>
      <c r="C7">
        <v>-0.19585940267176899</v>
      </c>
      <c r="G7" s="1">
        <v>33329</v>
      </c>
      <c r="H7" s="1">
        <v>33359</v>
      </c>
      <c r="I7" s="1">
        <v>33390</v>
      </c>
      <c r="J7">
        <v>9.7487499999999994</v>
      </c>
      <c r="K7">
        <v>-0.21980706365435199</v>
      </c>
      <c r="L7">
        <v>9.5289429363456399</v>
      </c>
    </row>
    <row r="8" spans="1:12" x14ac:dyDescent="0.25">
      <c r="A8" s="1">
        <v>33359</v>
      </c>
      <c r="B8">
        <v>-0.22581991847102201</v>
      </c>
      <c r="C8">
        <v>-0.17423556243017699</v>
      </c>
      <c r="G8" s="1">
        <v>33359</v>
      </c>
      <c r="H8" s="1">
        <v>33390</v>
      </c>
      <c r="I8" s="1">
        <v>33420</v>
      </c>
      <c r="J8">
        <v>9.7119999999999997</v>
      </c>
      <c r="K8">
        <v>-0.22581991847102201</v>
      </c>
      <c r="L8">
        <v>9.4861800815289694</v>
      </c>
    </row>
    <row r="9" spans="1:12" x14ac:dyDescent="0.25">
      <c r="A9" s="1">
        <v>33390</v>
      </c>
      <c r="B9">
        <v>-0.183830753127247</v>
      </c>
      <c r="C9">
        <v>-0.18139729427979301</v>
      </c>
      <c r="G9" s="1">
        <v>33390</v>
      </c>
      <c r="H9" s="1">
        <v>33420</v>
      </c>
      <c r="I9" s="1">
        <v>33451</v>
      </c>
      <c r="J9">
        <v>9.8837499999999991</v>
      </c>
      <c r="K9">
        <v>-0.183830753127247</v>
      </c>
      <c r="L9">
        <v>9.6999192468727493</v>
      </c>
    </row>
    <row r="10" spans="1:12" x14ac:dyDescent="0.25">
      <c r="A10" s="1">
        <v>33420</v>
      </c>
      <c r="B10">
        <v>-0.149909449972364</v>
      </c>
      <c r="C10">
        <v>-9.4095493207123099E-2</v>
      </c>
      <c r="G10" s="1">
        <v>33420</v>
      </c>
      <c r="H10" s="1">
        <v>33451</v>
      </c>
      <c r="I10" s="1">
        <v>33482</v>
      </c>
      <c r="J10">
        <v>9.8187499999999996</v>
      </c>
      <c r="K10">
        <v>-0.149909449972364</v>
      </c>
      <c r="L10">
        <v>9.66884055002763</v>
      </c>
    </row>
    <row r="11" spans="1:12" x14ac:dyDescent="0.25">
      <c r="A11" s="1">
        <v>33451</v>
      </c>
      <c r="B11">
        <v>-0.13301768116064799</v>
      </c>
      <c r="C11">
        <v>-0.123560255995029</v>
      </c>
      <c r="G11" s="1">
        <v>33451</v>
      </c>
      <c r="H11" s="1">
        <v>33482</v>
      </c>
      <c r="I11" s="1">
        <v>33512</v>
      </c>
      <c r="J11">
        <v>9.4689999999999994</v>
      </c>
      <c r="K11">
        <v>-0.13301768116064799</v>
      </c>
      <c r="L11">
        <v>9.3359823188393491</v>
      </c>
    </row>
    <row r="12" spans="1:12" x14ac:dyDescent="0.25">
      <c r="A12" s="1">
        <v>33482</v>
      </c>
      <c r="B12">
        <v>-0.108552317478445</v>
      </c>
      <c r="C12">
        <v>-0.108001203233183</v>
      </c>
      <c r="G12" s="1">
        <v>33482</v>
      </c>
      <c r="H12" s="1">
        <v>33512</v>
      </c>
      <c r="I12" s="1">
        <v>33543</v>
      </c>
      <c r="J12">
        <v>9.2262499999999896</v>
      </c>
      <c r="K12">
        <v>-0.108552317478445</v>
      </c>
      <c r="L12">
        <v>9.1176976825215501</v>
      </c>
    </row>
    <row r="13" spans="1:12" x14ac:dyDescent="0.25">
      <c r="A13" s="1">
        <v>33512</v>
      </c>
      <c r="B13">
        <v>-0.122418919049971</v>
      </c>
      <c r="C13">
        <v>-0.13569529792170101</v>
      </c>
      <c r="G13" s="1">
        <v>33512</v>
      </c>
      <c r="H13" s="1">
        <v>33543</v>
      </c>
      <c r="I13" s="1">
        <v>33573</v>
      </c>
      <c r="J13">
        <v>9.0499999999999901</v>
      </c>
      <c r="K13">
        <v>-0.122418919049971</v>
      </c>
      <c r="L13">
        <v>8.92758108095002</v>
      </c>
    </row>
    <row r="14" spans="1:12" x14ac:dyDescent="0.25">
      <c r="A14" s="1">
        <v>33543</v>
      </c>
      <c r="B14">
        <v>-0.152653430822911</v>
      </c>
      <c r="C14">
        <v>-0.21426379131385001</v>
      </c>
      <c r="G14" s="1">
        <v>33543</v>
      </c>
      <c r="H14" s="1">
        <v>33573</v>
      </c>
      <c r="I14" s="1">
        <v>33604</v>
      </c>
      <c r="J14">
        <v>8.8949999999999996</v>
      </c>
      <c r="K14">
        <v>-0.152653430822911</v>
      </c>
      <c r="L14">
        <v>8.7423465691770801</v>
      </c>
    </row>
    <row r="15" spans="1:12" x14ac:dyDescent="0.25">
      <c r="A15" s="1">
        <v>33573</v>
      </c>
      <c r="B15">
        <v>-0.17054021619190099</v>
      </c>
      <c r="C15">
        <v>-0.161661559340151</v>
      </c>
      <c r="G15" s="1">
        <v>33573</v>
      </c>
      <c r="H15" s="1">
        <v>33604</v>
      </c>
      <c r="I15" s="1">
        <v>33635</v>
      </c>
      <c r="J15">
        <v>8.6912499999999895</v>
      </c>
      <c r="K15">
        <v>-0.17054021619190099</v>
      </c>
      <c r="L15">
        <v>8.5207097838080905</v>
      </c>
    </row>
    <row r="16" spans="1:12" x14ac:dyDescent="0.25">
      <c r="A16" s="1">
        <v>33604</v>
      </c>
      <c r="B16">
        <v>-0.195340431311533</v>
      </c>
      <c r="C16">
        <v>-0.210095943280599</v>
      </c>
      <c r="G16" s="1">
        <v>33604</v>
      </c>
      <c r="H16" s="1">
        <v>33635</v>
      </c>
      <c r="I16" s="1">
        <v>33664</v>
      </c>
      <c r="J16">
        <v>8.6319999999999997</v>
      </c>
      <c r="K16">
        <v>-0.195340431311533</v>
      </c>
      <c r="L16">
        <v>8.4366595686884605</v>
      </c>
    </row>
    <row r="17" spans="1:12" x14ac:dyDescent="0.25">
      <c r="A17" s="1">
        <v>33635</v>
      </c>
      <c r="B17">
        <v>-0.18690605247575201</v>
      </c>
      <c r="C17">
        <v>-0.188960654806508</v>
      </c>
      <c r="G17" s="1">
        <v>33635</v>
      </c>
      <c r="H17" s="1">
        <v>33664</v>
      </c>
      <c r="I17" s="1">
        <v>33695</v>
      </c>
      <c r="J17">
        <v>8.96875</v>
      </c>
      <c r="K17">
        <v>-0.18690605247575201</v>
      </c>
      <c r="L17">
        <v>8.7818439475242407</v>
      </c>
    </row>
    <row r="18" spans="1:12" x14ac:dyDescent="0.25">
      <c r="A18" s="1">
        <v>33664</v>
      </c>
      <c r="B18">
        <v>-0.18293676791847799</v>
      </c>
      <c r="C18">
        <v>-0.14975370566832699</v>
      </c>
      <c r="G18" s="1">
        <v>33664</v>
      </c>
      <c r="H18" s="1">
        <v>33695</v>
      </c>
      <c r="I18" s="1">
        <v>33725</v>
      </c>
      <c r="J18">
        <v>9.1474999999999902</v>
      </c>
      <c r="K18">
        <v>-0.18293676791847799</v>
      </c>
      <c r="L18">
        <v>8.9645632320815203</v>
      </c>
    </row>
    <row r="19" spans="1:12" x14ac:dyDescent="0.25">
      <c r="A19" s="1">
        <v>33695</v>
      </c>
      <c r="B19">
        <v>-0.15913157832199001</v>
      </c>
      <c r="C19">
        <v>-0.13868037449113399</v>
      </c>
      <c r="G19" s="1">
        <v>33695</v>
      </c>
      <c r="H19" s="1">
        <v>33725</v>
      </c>
      <c r="I19" s="1">
        <v>33756</v>
      </c>
      <c r="J19">
        <v>9.0250000000000004</v>
      </c>
      <c r="K19">
        <v>-0.15913157832199001</v>
      </c>
      <c r="L19">
        <v>8.8658684216780106</v>
      </c>
    </row>
    <row r="20" spans="1:12" x14ac:dyDescent="0.25">
      <c r="A20" s="1">
        <v>33725</v>
      </c>
      <c r="B20">
        <v>-0.13501820449174101</v>
      </c>
      <c r="C20">
        <v>-0.116620533315761</v>
      </c>
      <c r="G20" s="1">
        <v>33725</v>
      </c>
      <c r="H20" s="1">
        <v>33756</v>
      </c>
      <c r="I20" s="1">
        <v>33786</v>
      </c>
      <c r="J20">
        <v>8.7925000000000004</v>
      </c>
      <c r="K20">
        <v>-0.13501820449174101</v>
      </c>
      <c r="L20">
        <v>8.6574817955082501</v>
      </c>
    </row>
    <row r="21" spans="1:12" x14ac:dyDescent="0.25">
      <c r="A21" s="1">
        <v>33756</v>
      </c>
      <c r="B21">
        <v>-0.114955509546682</v>
      </c>
      <c r="C21">
        <v>-8.9565620833150297E-2</v>
      </c>
      <c r="G21" s="1">
        <v>33756</v>
      </c>
      <c r="H21" s="1">
        <v>33786</v>
      </c>
      <c r="I21" s="1">
        <v>33817</v>
      </c>
      <c r="J21">
        <v>8.6724999999999994</v>
      </c>
      <c r="K21">
        <v>-0.114955509546682</v>
      </c>
      <c r="L21">
        <v>8.55754449045331</v>
      </c>
    </row>
    <row r="22" spans="1:12" x14ac:dyDescent="0.25">
      <c r="A22" s="1">
        <v>33786</v>
      </c>
      <c r="B22">
        <v>-0.101984606127273</v>
      </c>
      <c r="C22">
        <v>-9.9767664232907394E-2</v>
      </c>
      <c r="G22" s="1">
        <v>33786</v>
      </c>
      <c r="H22" s="1">
        <v>33817</v>
      </c>
      <c r="I22" s="1">
        <v>33848</v>
      </c>
      <c r="J22">
        <v>8.2729999999999997</v>
      </c>
      <c r="K22">
        <v>-0.101984606127273</v>
      </c>
      <c r="L22">
        <v>8.1710153938727199</v>
      </c>
    </row>
    <row r="23" spans="1:12" x14ac:dyDescent="0.25">
      <c r="A23" s="1">
        <v>33817</v>
      </c>
      <c r="B23">
        <v>-8.7237549020172805E-2</v>
      </c>
      <c r="C23">
        <v>-7.2379361994460698E-2</v>
      </c>
      <c r="G23" s="1">
        <v>33817</v>
      </c>
      <c r="H23" s="1">
        <v>33848</v>
      </c>
      <c r="I23" s="1">
        <v>33878</v>
      </c>
      <c r="J23">
        <v>8.1437500000000007</v>
      </c>
      <c r="K23">
        <v>-8.7237549020172805E-2</v>
      </c>
      <c r="L23">
        <v>8.0565124509798203</v>
      </c>
    </row>
    <row r="24" spans="1:12" x14ac:dyDescent="0.25">
      <c r="A24" s="1">
        <v>33848</v>
      </c>
      <c r="B24">
        <v>-7.4095749374627803E-2</v>
      </c>
      <c r="C24">
        <v>-5.0140221896515402E-2</v>
      </c>
      <c r="G24" s="1">
        <v>33848</v>
      </c>
      <c r="H24" s="1">
        <v>33878</v>
      </c>
      <c r="I24" s="1">
        <v>33909</v>
      </c>
      <c r="J24">
        <v>8.0912500000000005</v>
      </c>
      <c r="K24">
        <v>-7.4095749374627803E-2</v>
      </c>
      <c r="L24">
        <v>8.0171542506253708</v>
      </c>
    </row>
    <row r="25" spans="1:12" x14ac:dyDescent="0.25">
      <c r="A25" s="1">
        <v>33878</v>
      </c>
      <c r="B25">
        <v>-5.7103894955873799E-2</v>
      </c>
      <c r="C25">
        <v>-4.8792100976645297E-2</v>
      </c>
      <c r="G25" s="1">
        <v>33878</v>
      </c>
      <c r="H25" s="1">
        <v>33909</v>
      </c>
      <c r="I25" s="1">
        <v>33939</v>
      </c>
      <c r="J25">
        <v>8.2880000000000003</v>
      </c>
      <c r="K25">
        <v>-5.7103894955873799E-2</v>
      </c>
      <c r="L25">
        <v>8.2308961050441205</v>
      </c>
    </row>
    <row r="26" spans="1:12" x14ac:dyDescent="0.25">
      <c r="A26" s="1">
        <v>33909</v>
      </c>
      <c r="B26">
        <v>-5.5284976863996298E-2</v>
      </c>
      <c r="C26">
        <v>-6.6922607718828395E-2</v>
      </c>
      <c r="G26" s="1">
        <v>33909</v>
      </c>
      <c r="H26" s="1">
        <v>33939</v>
      </c>
      <c r="I26" s="1">
        <v>33970</v>
      </c>
      <c r="J26">
        <v>8.5299999999999994</v>
      </c>
      <c r="K26">
        <v>-5.5284976863996298E-2</v>
      </c>
      <c r="L26">
        <v>8.4747150231359996</v>
      </c>
    </row>
    <row r="27" spans="1:12" x14ac:dyDescent="0.25">
      <c r="A27" s="1">
        <v>33939</v>
      </c>
      <c r="B27">
        <v>-2.23257415894174E-2</v>
      </c>
      <c r="C27">
        <v>4.8737483927221298E-2</v>
      </c>
      <c r="G27" s="1">
        <v>33939</v>
      </c>
      <c r="H27" s="1">
        <v>33970</v>
      </c>
      <c r="I27" s="1">
        <v>34001</v>
      </c>
      <c r="J27">
        <v>8.3610000000000007</v>
      </c>
      <c r="K27">
        <v>-2.23257415894174E-2</v>
      </c>
      <c r="L27">
        <v>8.3386742584105793</v>
      </c>
    </row>
    <row r="28" spans="1:12" x14ac:dyDescent="0.25">
      <c r="A28" s="1">
        <v>33970</v>
      </c>
      <c r="B28">
        <v>1.54448242702165E-3</v>
      </c>
      <c r="C28">
        <v>2.2818571072672E-2</v>
      </c>
      <c r="G28" s="1">
        <v>33970</v>
      </c>
      <c r="H28" s="1">
        <v>34001</v>
      </c>
      <c r="I28" s="1">
        <v>34029</v>
      </c>
      <c r="J28">
        <v>8.1425000000000001</v>
      </c>
      <c r="K28">
        <v>1.54448242702165E-3</v>
      </c>
      <c r="L28">
        <v>8.1440444824270202</v>
      </c>
    </row>
    <row r="29" spans="1:12" x14ac:dyDescent="0.25">
      <c r="A29" s="1">
        <v>34001</v>
      </c>
      <c r="B29">
        <v>4.4336974994556903E-2</v>
      </c>
      <c r="C29">
        <v>6.1454869983777298E-2</v>
      </c>
      <c r="G29" s="1">
        <v>34001</v>
      </c>
      <c r="H29" s="1">
        <v>34029</v>
      </c>
      <c r="I29" s="1">
        <v>34060</v>
      </c>
      <c r="J29">
        <v>7.8137499999999998</v>
      </c>
      <c r="K29">
        <v>4.4336974994556903E-2</v>
      </c>
      <c r="L29">
        <v>7.8580869749945501</v>
      </c>
    </row>
    <row r="30" spans="1:12" x14ac:dyDescent="0.25">
      <c r="A30" s="1">
        <v>34029</v>
      </c>
      <c r="B30">
        <v>4.9516841473520097E-2</v>
      </c>
      <c r="C30">
        <v>6.4277083364110907E-2</v>
      </c>
      <c r="G30" s="1">
        <v>34029</v>
      </c>
      <c r="H30" s="1">
        <v>34060</v>
      </c>
      <c r="I30" s="1">
        <v>34090</v>
      </c>
      <c r="J30">
        <v>7.6512500000000001</v>
      </c>
      <c r="K30">
        <v>4.9516841473520097E-2</v>
      </c>
      <c r="L30">
        <v>7.70076684147352</v>
      </c>
    </row>
    <row r="31" spans="1:12" x14ac:dyDescent="0.25">
      <c r="A31" s="1">
        <v>34060</v>
      </c>
      <c r="B31">
        <v>7.7110361500004998E-2</v>
      </c>
      <c r="C31">
        <v>0.10559913115212601</v>
      </c>
      <c r="G31" s="1">
        <v>34060</v>
      </c>
      <c r="H31" s="1">
        <v>34090</v>
      </c>
      <c r="I31" s="1">
        <v>34121</v>
      </c>
      <c r="J31">
        <v>7.6470000000000002</v>
      </c>
      <c r="K31">
        <v>7.7110361500004998E-2</v>
      </c>
      <c r="L31">
        <v>7.7241103615000002</v>
      </c>
    </row>
    <row r="32" spans="1:12" x14ac:dyDescent="0.25">
      <c r="A32" s="1">
        <v>34090</v>
      </c>
      <c r="B32">
        <v>9.2246393945702707E-2</v>
      </c>
      <c r="C32">
        <v>0.10686296732087</v>
      </c>
      <c r="G32" s="1">
        <v>34090</v>
      </c>
      <c r="H32" s="1">
        <v>34121</v>
      </c>
      <c r="I32" s="1">
        <v>34151</v>
      </c>
      <c r="J32">
        <v>7.6587500000000004</v>
      </c>
      <c r="K32">
        <v>9.2246393945702707E-2</v>
      </c>
      <c r="L32">
        <v>7.7509963939456998</v>
      </c>
    </row>
    <row r="33" spans="1:12" x14ac:dyDescent="0.25">
      <c r="A33" s="1">
        <v>34121</v>
      </c>
      <c r="B33">
        <v>0.12773401836307</v>
      </c>
      <c r="C33">
        <v>0.17073995661621399</v>
      </c>
      <c r="G33" s="1">
        <v>34121</v>
      </c>
      <c r="H33" s="1">
        <v>34151</v>
      </c>
      <c r="I33" s="1">
        <v>34182</v>
      </c>
      <c r="J33">
        <v>7.5737500000000004</v>
      </c>
      <c r="K33">
        <v>0.12773401836307</v>
      </c>
      <c r="L33">
        <v>7.7014840183630699</v>
      </c>
    </row>
    <row r="34" spans="1:12" x14ac:dyDescent="0.25">
      <c r="A34" s="1">
        <v>34151</v>
      </c>
      <c r="B34">
        <v>0.14755557847574199</v>
      </c>
      <c r="C34">
        <v>0.16506381149014299</v>
      </c>
      <c r="G34" s="1">
        <v>34151</v>
      </c>
      <c r="H34" s="1">
        <v>34182</v>
      </c>
      <c r="I34" s="1">
        <v>34213</v>
      </c>
      <c r="J34">
        <v>7.3609999999999998</v>
      </c>
      <c r="K34">
        <v>0.14755557847574199</v>
      </c>
      <c r="L34">
        <v>7.5085555784757396</v>
      </c>
    </row>
    <row r="35" spans="1:12" x14ac:dyDescent="0.25">
      <c r="A35" s="1">
        <v>34182</v>
      </c>
      <c r="B35">
        <v>0.171950613611318</v>
      </c>
      <c r="C35">
        <v>0.18004807272759701</v>
      </c>
      <c r="G35" s="1">
        <v>34182</v>
      </c>
      <c r="H35" s="1">
        <v>34213</v>
      </c>
      <c r="I35" s="1">
        <v>34243</v>
      </c>
      <c r="J35">
        <v>7.2312500000000002</v>
      </c>
      <c r="K35">
        <v>0.171950613611318</v>
      </c>
      <c r="L35">
        <v>7.4032006136113102</v>
      </c>
    </row>
    <row r="36" spans="1:12" x14ac:dyDescent="0.25">
      <c r="A36" s="1">
        <v>34213</v>
      </c>
      <c r="B36">
        <v>0.16624202392961099</v>
      </c>
      <c r="C36">
        <v>0.15361418757109499</v>
      </c>
      <c r="G36" s="1">
        <v>34213</v>
      </c>
      <c r="H36" s="1">
        <v>34243</v>
      </c>
      <c r="I36" s="1">
        <v>34274</v>
      </c>
      <c r="J36">
        <v>7.0349999999999904</v>
      </c>
      <c r="K36">
        <v>0.16624202392961099</v>
      </c>
      <c r="L36">
        <v>7.20124202392961</v>
      </c>
    </row>
    <row r="37" spans="1:12" x14ac:dyDescent="0.25">
      <c r="A37" s="1">
        <v>34243</v>
      </c>
      <c r="B37">
        <v>0.15356584634194201</v>
      </c>
      <c r="C37">
        <v>0.12703527872713499</v>
      </c>
      <c r="G37" s="1">
        <v>34243</v>
      </c>
      <c r="H37" s="1">
        <v>34274</v>
      </c>
      <c r="I37" s="1">
        <v>34304</v>
      </c>
      <c r="J37">
        <v>6.9450000000000003</v>
      </c>
      <c r="K37">
        <v>0.15356584634194201</v>
      </c>
      <c r="L37">
        <v>7.0985658463419403</v>
      </c>
    </row>
    <row r="38" spans="1:12" x14ac:dyDescent="0.25">
      <c r="A38" s="1">
        <v>34274</v>
      </c>
      <c r="B38">
        <v>0.151084075363388</v>
      </c>
      <c r="C38">
        <v>0.17260275979193501</v>
      </c>
      <c r="G38" s="1">
        <v>34274</v>
      </c>
      <c r="H38" s="1">
        <v>34304</v>
      </c>
      <c r="I38" s="1">
        <v>34335</v>
      </c>
      <c r="J38">
        <v>7.2925000000000004</v>
      </c>
      <c r="K38">
        <v>0.151084075363388</v>
      </c>
      <c r="L38">
        <v>7.4435840753633897</v>
      </c>
    </row>
    <row r="39" spans="1:12" x14ac:dyDescent="0.25">
      <c r="A39" s="1">
        <v>34304</v>
      </c>
      <c r="B39">
        <v>0.16437640030751499</v>
      </c>
      <c r="C39">
        <v>0.193491162403475</v>
      </c>
      <c r="G39" s="1">
        <v>34304</v>
      </c>
      <c r="H39" s="1">
        <v>34335</v>
      </c>
      <c r="I39" s="1">
        <v>34366</v>
      </c>
      <c r="J39">
        <v>7.33699999999999</v>
      </c>
      <c r="K39">
        <v>0.16437640030751499</v>
      </c>
      <c r="L39">
        <v>7.5013764003075103</v>
      </c>
    </row>
    <row r="40" spans="1:12" x14ac:dyDescent="0.25">
      <c r="A40" s="1">
        <v>34335</v>
      </c>
      <c r="B40">
        <v>0.207932331489529</v>
      </c>
      <c r="C40">
        <v>0.25770307227317701</v>
      </c>
      <c r="G40" s="1">
        <v>34335</v>
      </c>
      <c r="H40" s="1">
        <v>34366</v>
      </c>
      <c r="I40" s="1">
        <v>34394</v>
      </c>
      <c r="J40">
        <v>7.2287499999999998</v>
      </c>
      <c r="K40">
        <v>0.207932331489529</v>
      </c>
      <c r="L40">
        <v>7.4366823314895303</v>
      </c>
    </row>
    <row r="41" spans="1:12" x14ac:dyDescent="0.25">
      <c r="A41" s="1">
        <v>34366</v>
      </c>
      <c r="B41">
        <v>0.234710574223222</v>
      </c>
      <c r="C41">
        <v>0.25293748799301302</v>
      </c>
      <c r="G41" s="1">
        <v>34366</v>
      </c>
      <c r="H41" s="1">
        <v>34394</v>
      </c>
      <c r="I41" s="1">
        <v>34425</v>
      </c>
      <c r="J41">
        <v>7.34</v>
      </c>
      <c r="K41">
        <v>0.234710574223222</v>
      </c>
      <c r="L41">
        <v>7.5747105742232197</v>
      </c>
    </row>
    <row r="42" spans="1:12" x14ac:dyDescent="0.25">
      <c r="A42" s="1">
        <v>34394</v>
      </c>
      <c r="B42">
        <v>0.24186516900466601</v>
      </c>
      <c r="C42">
        <v>0.21495494674780899</v>
      </c>
      <c r="G42" s="1">
        <v>34394</v>
      </c>
      <c r="H42" s="1">
        <v>34425</v>
      </c>
      <c r="I42" s="1">
        <v>34455</v>
      </c>
      <c r="J42">
        <v>7.9180000000000001</v>
      </c>
      <c r="K42">
        <v>0.24186516900466601</v>
      </c>
      <c r="L42">
        <v>8.1598651690046609</v>
      </c>
    </row>
    <row r="43" spans="1:12" x14ac:dyDescent="0.25">
      <c r="A43" s="1">
        <v>34425</v>
      </c>
      <c r="B43">
        <v>0.248926665096705</v>
      </c>
      <c r="C43">
        <v>0.27888756054929498</v>
      </c>
      <c r="G43" s="1">
        <v>34425</v>
      </c>
      <c r="H43" s="1">
        <v>34455</v>
      </c>
      <c r="I43" s="1">
        <v>34486</v>
      </c>
      <c r="J43">
        <v>8.5787499999999994</v>
      </c>
      <c r="K43">
        <v>0.248926665096705</v>
      </c>
      <c r="L43">
        <v>8.8276766650966998</v>
      </c>
    </row>
    <row r="44" spans="1:12" x14ac:dyDescent="0.25">
      <c r="A44" s="1">
        <v>34455</v>
      </c>
      <c r="B44">
        <v>0.293221424370463</v>
      </c>
      <c r="C44">
        <v>0.38582176581428601</v>
      </c>
      <c r="G44" s="1">
        <v>34455</v>
      </c>
      <c r="H44" s="1">
        <v>34486</v>
      </c>
      <c r="I44" s="1">
        <v>34516</v>
      </c>
      <c r="J44">
        <v>8.7974999999999905</v>
      </c>
      <c r="K44">
        <v>0.293221424370463</v>
      </c>
      <c r="L44">
        <v>9.0907214243704608</v>
      </c>
    </row>
    <row r="45" spans="1:12" x14ac:dyDescent="0.25">
      <c r="A45" s="1">
        <v>34486</v>
      </c>
      <c r="B45">
        <v>0.35760115769062001</v>
      </c>
      <c r="C45">
        <v>0.40809414670827898</v>
      </c>
      <c r="G45" s="1">
        <v>34486</v>
      </c>
      <c r="H45" s="1">
        <v>34516</v>
      </c>
      <c r="I45" s="1">
        <v>34547</v>
      </c>
      <c r="J45">
        <v>8.6270000000000007</v>
      </c>
      <c r="K45">
        <v>0.35760115769062001</v>
      </c>
      <c r="L45">
        <v>8.9846011576906193</v>
      </c>
    </row>
    <row r="46" spans="1:12" x14ac:dyDescent="0.25">
      <c r="A46" s="1">
        <v>34516</v>
      </c>
      <c r="B46">
        <v>0.35888184949306501</v>
      </c>
      <c r="C46">
        <v>0.28272963595663098</v>
      </c>
      <c r="G46" s="1">
        <v>34516</v>
      </c>
      <c r="H46" s="1">
        <v>34547</v>
      </c>
      <c r="I46" s="1">
        <v>34578</v>
      </c>
      <c r="J46">
        <v>8.8312499999999901</v>
      </c>
      <c r="K46">
        <v>0.35888184949306501</v>
      </c>
      <c r="L46">
        <v>9.1901318494930599</v>
      </c>
    </row>
    <row r="47" spans="1:12" x14ac:dyDescent="0.25">
      <c r="A47" s="1">
        <v>34547</v>
      </c>
      <c r="B47">
        <v>0.27823928668578501</v>
      </c>
      <c r="C47">
        <v>0.143894077392445</v>
      </c>
      <c r="G47" s="1">
        <v>34547</v>
      </c>
      <c r="H47" s="1">
        <v>34578</v>
      </c>
      <c r="I47" s="1">
        <v>34608</v>
      </c>
      <c r="J47">
        <v>8.7125000000000004</v>
      </c>
      <c r="K47">
        <v>0.27823928668578501</v>
      </c>
      <c r="L47">
        <v>8.9907392866857805</v>
      </c>
    </row>
    <row r="48" spans="1:12" x14ac:dyDescent="0.25">
      <c r="A48" s="1">
        <v>34578</v>
      </c>
      <c r="B48">
        <v>0.200361686449125</v>
      </c>
      <c r="C48">
        <v>0.17446134599829999</v>
      </c>
      <c r="G48" s="1">
        <v>34578</v>
      </c>
      <c r="H48" s="1">
        <v>34608</v>
      </c>
      <c r="I48" s="1">
        <v>34639</v>
      </c>
      <c r="J48">
        <v>8.84</v>
      </c>
      <c r="K48">
        <v>0.200361686449125</v>
      </c>
      <c r="L48">
        <v>9.0403616864491205</v>
      </c>
    </row>
    <row r="49" spans="1:12" x14ac:dyDescent="0.25">
      <c r="A49" s="1">
        <v>34608</v>
      </c>
      <c r="B49">
        <v>0.16713740067722799</v>
      </c>
      <c r="C49">
        <v>0.183056778640938</v>
      </c>
      <c r="G49" s="1">
        <v>34608</v>
      </c>
      <c r="H49" s="1">
        <v>34639</v>
      </c>
      <c r="I49" s="1">
        <v>34669</v>
      </c>
      <c r="J49">
        <v>9.1249999999999893</v>
      </c>
      <c r="K49">
        <v>0.16713740067722799</v>
      </c>
      <c r="L49">
        <v>9.2921374006772197</v>
      </c>
    </row>
    <row r="50" spans="1:12" x14ac:dyDescent="0.25">
      <c r="A50" s="1">
        <v>34639</v>
      </c>
      <c r="B50">
        <v>0.19400492467816099</v>
      </c>
      <c r="C50">
        <v>0.224496649395246</v>
      </c>
      <c r="G50" s="1">
        <v>34639</v>
      </c>
      <c r="H50" s="1">
        <v>34669</v>
      </c>
      <c r="I50" s="1">
        <v>34700</v>
      </c>
      <c r="J50">
        <v>9.37624999999999</v>
      </c>
      <c r="K50">
        <v>0.19400492467816099</v>
      </c>
      <c r="L50">
        <v>9.5702549246781601</v>
      </c>
    </row>
    <row r="51" spans="1:12" x14ac:dyDescent="0.25">
      <c r="A51" s="1">
        <v>34669</v>
      </c>
      <c r="B51">
        <v>0.22732229245081401</v>
      </c>
      <c r="C51">
        <v>0.274413449316258</v>
      </c>
      <c r="G51" s="1">
        <v>34669</v>
      </c>
      <c r="H51" s="1">
        <v>34700</v>
      </c>
      <c r="I51" s="1">
        <v>34731</v>
      </c>
      <c r="J51">
        <v>9.3979999999999997</v>
      </c>
      <c r="K51">
        <v>0.22732229245081401</v>
      </c>
      <c r="L51">
        <v>9.6253222924508108</v>
      </c>
    </row>
    <row r="52" spans="1:12" x14ac:dyDescent="0.25">
      <c r="A52" s="1">
        <v>34700</v>
      </c>
      <c r="B52">
        <v>0.223689721425223</v>
      </c>
      <c r="C52">
        <v>0.17215906556416399</v>
      </c>
      <c r="G52" s="1">
        <v>34700</v>
      </c>
      <c r="H52" s="1">
        <v>34731</v>
      </c>
      <c r="I52" s="1">
        <v>34759</v>
      </c>
      <c r="J52">
        <v>9.3537499999999998</v>
      </c>
      <c r="K52">
        <v>0.223689721425223</v>
      </c>
      <c r="L52">
        <v>9.57743972142522</v>
      </c>
    </row>
    <row r="53" spans="1:12" x14ac:dyDescent="0.25">
      <c r="A53" s="1">
        <v>34731</v>
      </c>
      <c r="B53">
        <v>0.18679355262758399</v>
      </c>
      <c r="C53">
        <v>0.11380814300233</v>
      </c>
      <c r="G53" s="1">
        <v>34731</v>
      </c>
      <c r="H53" s="1">
        <v>34759</v>
      </c>
      <c r="I53" s="1">
        <v>34790</v>
      </c>
      <c r="J53">
        <v>9.0462499999999899</v>
      </c>
      <c r="K53">
        <v>0.18679355262758399</v>
      </c>
      <c r="L53">
        <v>9.2330435526275796</v>
      </c>
    </row>
    <row r="54" spans="1:12" x14ac:dyDescent="0.25">
      <c r="A54" s="1">
        <v>34759</v>
      </c>
      <c r="B54">
        <v>0.10025240861445001</v>
      </c>
      <c r="C54">
        <v>1.47900172768579E-2</v>
      </c>
      <c r="G54" s="1">
        <v>34759</v>
      </c>
      <c r="H54" s="1">
        <v>34790</v>
      </c>
      <c r="I54" s="1">
        <v>34820</v>
      </c>
      <c r="J54">
        <v>8.6669999999999892</v>
      </c>
      <c r="K54">
        <v>0.10025240861445001</v>
      </c>
      <c r="L54">
        <v>8.7672524086144392</v>
      </c>
    </row>
    <row r="55" spans="1:12" x14ac:dyDescent="0.25">
      <c r="A55" s="1">
        <v>34790</v>
      </c>
      <c r="B55">
        <v>6.7805466684252594E-2</v>
      </c>
      <c r="C55">
        <v>7.4818239773569703E-2</v>
      </c>
      <c r="G55" s="1">
        <v>34790</v>
      </c>
      <c r="H55" s="1">
        <v>34820</v>
      </c>
      <c r="I55" s="1">
        <v>34851</v>
      </c>
      <c r="J55">
        <v>8.5449999999999893</v>
      </c>
      <c r="K55">
        <v>6.7805466684252594E-2</v>
      </c>
      <c r="L55">
        <v>8.6128054666842502</v>
      </c>
    </row>
    <row r="56" spans="1:12" x14ac:dyDescent="0.25">
      <c r="A56" s="1">
        <v>34820</v>
      </c>
      <c r="B56">
        <v>3.9040615454115898E-2</v>
      </c>
      <c r="C56">
        <v>2.7513589311920099E-2</v>
      </c>
      <c r="G56" s="1">
        <v>34820</v>
      </c>
      <c r="H56" s="1">
        <v>34851</v>
      </c>
      <c r="I56" s="1">
        <v>34881</v>
      </c>
      <c r="J56">
        <v>8.1612499999999901</v>
      </c>
      <c r="K56">
        <v>3.9040615454115898E-2</v>
      </c>
      <c r="L56">
        <v>8.2002906154541098</v>
      </c>
    </row>
    <row r="57" spans="1:12" x14ac:dyDescent="0.25">
      <c r="A57" s="1">
        <v>34851</v>
      </c>
      <c r="B57">
        <v>2.0868317810662999E-2</v>
      </c>
      <c r="C57">
        <v>-3.9726875653500797E-2</v>
      </c>
      <c r="G57" s="1">
        <v>34851</v>
      </c>
      <c r="H57" s="1">
        <v>34881</v>
      </c>
      <c r="I57" s="1">
        <v>34912</v>
      </c>
      <c r="J57">
        <v>7.7610000000000001</v>
      </c>
      <c r="K57">
        <v>2.0868317810662999E-2</v>
      </c>
      <c r="L57">
        <v>7.7818683178106598</v>
      </c>
    </row>
    <row r="58" spans="1:12" x14ac:dyDescent="0.25">
      <c r="A58" s="1">
        <v>34881</v>
      </c>
      <c r="B58">
        <v>-1.6177819025725699E-2</v>
      </c>
      <c r="C58">
        <v>-3.6320170735596402E-2</v>
      </c>
      <c r="G58" s="1">
        <v>34881</v>
      </c>
      <c r="H58" s="1">
        <v>34912</v>
      </c>
      <c r="I58" s="1">
        <v>34943</v>
      </c>
      <c r="J58">
        <v>7.7949999999999999</v>
      </c>
      <c r="K58">
        <v>-1.6177819025725699E-2</v>
      </c>
      <c r="L58">
        <v>7.7788221809742701</v>
      </c>
    </row>
    <row r="59" spans="1:12" x14ac:dyDescent="0.25">
      <c r="A59" s="1">
        <v>34912</v>
      </c>
      <c r="B59">
        <v>-5.98195094705593E-3</v>
      </c>
      <c r="C59">
        <v>5.8101193547929503E-2</v>
      </c>
      <c r="G59" s="1">
        <v>34912</v>
      </c>
      <c r="H59" s="1">
        <v>34943</v>
      </c>
      <c r="I59" s="1">
        <v>34973</v>
      </c>
      <c r="J59">
        <v>8.0449999999999999</v>
      </c>
      <c r="K59">
        <v>-5.98195094705593E-3</v>
      </c>
      <c r="L59">
        <v>8.0390180490529399</v>
      </c>
    </row>
    <row r="60" spans="1:12" x14ac:dyDescent="0.25">
      <c r="A60" s="1">
        <v>34943</v>
      </c>
      <c r="B60">
        <v>5.6924990641940898E-2</v>
      </c>
      <c r="C60">
        <v>0.14899394911348901</v>
      </c>
      <c r="G60" s="1">
        <v>34943</v>
      </c>
      <c r="H60" s="1">
        <v>34973</v>
      </c>
      <c r="I60" s="1">
        <v>35004</v>
      </c>
      <c r="J60">
        <v>7.8049999999999997</v>
      </c>
      <c r="K60">
        <v>5.6924990641940898E-2</v>
      </c>
      <c r="L60">
        <v>7.8619249906419402</v>
      </c>
    </row>
    <row r="61" spans="1:12" x14ac:dyDescent="0.25">
      <c r="A61" s="1">
        <v>34973</v>
      </c>
      <c r="B61">
        <v>0.124925710024683</v>
      </c>
      <c r="C61">
        <v>0.16768198741263099</v>
      </c>
      <c r="G61" s="1">
        <v>34973</v>
      </c>
      <c r="H61" s="1">
        <v>35004</v>
      </c>
      <c r="I61" s="1">
        <v>35034</v>
      </c>
      <c r="J61">
        <v>7.6875</v>
      </c>
      <c r="K61">
        <v>0.124925710024683</v>
      </c>
      <c r="L61">
        <v>7.8124257100246801</v>
      </c>
    </row>
    <row r="62" spans="1:12" x14ac:dyDescent="0.25">
      <c r="A62" s="1">
        <v>35004</v>
      </c>
      <c r="B62">
        <v>0.13824136829508099</v>
      </c>
      <c r="C62">
        <v>9.8048168359123805E-2</v>
      </c>
      <c r="G62" s="1">
        <v>35004</v>
      </c>
      <c r="H62" s="1">
        <v>35034</v>
      </c>
      <c r="I62" s="1">
        <v>35065</v>
      </c>
      <c r="J62">
        <v>7.5730000000000004</v>
      </c>
      <c r="K62">
        <v>0.13824136829508099</v>
      </c>
      <c r="L62">
        <v>7.71124136829508</v>
      </c>
    </row>
    <row r="63" spans="1:12" x14ac:dyDescent="0.25">
      <c r="A63" s="1">
        <v>35034</v>
      </c>
      <c r="B63">
        <v>0.115428198024169</v>
      </c>
      <c r="C63">
        <v>8.0554438300751902E-2</v>
      </c>
      <c r="G63" s="1">
        <v>35034</v>
      </c>
      <c r="H63" s="1">
        <v>35065</v>
      </c>
      <c r="I63" s="1">
        <v>35096</v>
      </c>
      <c r="J63">
        <v>7.3612500000000001</v>
      </c>
      <c r="K63">
        <v>0.115428198024169</v>
      </c>
      <c r="L63">
        <v>7.4766781980241603</v>
      </c>
    </row>
    <row r="64" spans="1:12" x14ac:dyDescent="0.25">
      <c r="A64" s="1">
        <v>35065</v>
      </c>
      <c r="B64">
        <v>6.8813002943495502E-2</v>
      </c>
      <c r="C64">
        <v>2.7836402170610699E-2</v>
      </c>
      <c r="G64" s="1">
        <v>35065</v>
      </c>
      <c r="H64" s="1">
        <v>35096</v>
      </c>
      <c r="I64" s="1">
        <v>35125</v>
      </c>
      <c r="J64">
        <v>7.2174999999999896</v>
      </c>
      <c r="K64">
        <v>6.8813002943495502E-2</v>
      </c>
      <c r="L64">
        <v>7.2863130029434897</v>
      </c>
    </row>
    <row r="65" spans="1:12" x14ac:dyDescent="0.25">
      <c r="A65" s="1">
        <v>35096</v>
      </c>
      <c r="B65">
        <v>5.6816265706177399E-2</v>
      </c>
      <c r="C65">
        <v>6.20579566471696E-2</v>
      </c>
      <c r="G65" s="1">
        <v>35096</v>
      </c>
      <c r="H65" s="1">
        <v>35125</v>
      </c>
      <c r="I65" s="1">
        <v>35156</v>
      </c>
      <c r="J65">
        <v>7.327</v>
      </c>
      <c r="K65">
        <v>5.6816265706177399E-2</v>
      </c>
      <c r="L65">
        <v>7.3838162657061703</v>
      </c>
    </row>
    <row r="66" spans="1:12" x14ac:dyDescent="0.25">
      <c r="A66" s="1">
        <v>35125</v>
      </c>
      <c r="B66">
        <v>4.4573735213079599E-2</v>
      </c>
      <c r="C66">
        <v>4.3826846821458598E-2</v>
      </c>
      <c r="G66" s="1">
        <v>35125</v>
      </c>
      <c r="H66" s="1">
        <v>35156</v>
      </c>
      <c r="I66" s="1">
        <v>35186</v>
      </c>
      <c r="J66">
        <v>7.8650000000000002</v>
      </c>
      <c r="K66">
        <v>4.4573735213079599E-2</v>
      </c>
      <c r="L66">
        <v>7.9095737352130797</v>
      </c>
    </row>
    <row r="67" spans="1:12" x14ac:dyDescent="0.25">
      <c r="A67" s="1">
        <v>35156</v>
      </c>
      <c r="B67">
        <v>0.10259411110041899</v>
      </c>
      <c r="C67">
        <v>0.20189752983262901</v>
      </c>
      <c r="G67" s="1">
        <v>35156</v>
      </c>
      <c r="H67" s="1">
        <v>35186</v>
      </c>
      <c r="I67" s="1">
        <v>35217</v>
      </c>
      <c r="J67">
        <v>8.1187499999999897</v>
      </c>
      <c r="K67">
        <v>0.10259411110041899</v>
      </c>
      <c r="L67">
        <v>8.2213441111004109</v>
      </c>
    </row>
    <row r="68" spans="1:12" x14ac:dyDescent="0.25">
      <c r="A68" s="1">
        <v>35186</v>
      </c>
      <c r="B68">
        <v>0.18108444167135199</v>
      </c>
      <c r="C68">
        <v>0.29752894835997001</v>
      </c>
      <c r="G68" s="1">
        <v>35186</v>
      </c>
      <c r="H68" s="1">
        <v>35217</v>
      </c>
      <c r="I68" s="1">
        <v>35247</v>
      </c>
      <c r="J68">
        <v>8.2549999999999901</v>
      </c>
      <c r="K68">
        <v>0.18108444167135199</v>
      </c>
      <c r="L68">
        <v>8.4360844416713494</v>
      </c>
    </row>
    <row r="69" spans="1:12" x14ac:dyDescent="0.25">
      <c r="A69" s="1">
        <v>35217</v>
      </c>
      <c r="B69">
        <v>0.24321501263539699</v>
      </c>
      <c r="C69">
        <v>0.23021855971359301</v>
      </c>
      <c r="G69" s="1">
        <v>35217</v>
      </c>
      <c r="H69" s="1">
        <v>35247</v>
      </c>
      <c r="I69" s="1">
        <v>35278</v>
      </c>
      <c r="J69">
        <v>8.4949999999999992</v>
      </c>
      <c r="K69">
        <v>0.24321501263539699</v>
      </c>
      <c r="L69">
        <v>8.7382150126353899</v>
      </c>
    </row>
    <row r="70" spans="1:12" x14ac:dyDescent="0.25">
      <c r="A70" s="1">
        <v>35247</v>
      </c>
      <c r="B70">
        <v>0.23073467301157499</v>
      </c>
      <c r="C70">
        <v>0.16445651096116101</v>
      </c>
      <c r="G70" s="1">
        <v>35247</v>
      </c>
      <c r="H70" s="1">
        <v>35278</v>
      </c>
      <c r="I70" s="1">
        <v>35309</v>
      </c>
      <c r="J70">
        <v>8.4324999999999992</v>
      </c>
      <c r="K70">
        <v>0.23073467301157499</v>
      </c>
      <c r="L70">
        <v>8.6632346730115692</v>
      </c>
    </row>
    <row r="71" spans="1:12" x14ac:dyDescent="0.25">
      <c r="A71" s="1">
        <v>35278</v>
      </c>
      <c r="B71">
        <v>0.181835592384536</v>
      </c>
      <c r="C71">
        <v>0.15083170647885299</v>
      </c>
      <c r="G71" s="1">
        <v>35278</v>
      </c>
      <c r="H71" s="1">
        <v>35309</v>
      </c>
      <c r="I71" s="1">
        <v>35339</v>
      </c>
      <c r="J71">
        <v>8.1769999999999996</v>
      </c>
      <c r="K71">
        <v>0.181835592384536</v>
      </c>
      <c r="L71">
        <v>8.3588355923845299</v>
      </c>
    </row>
    <row r="72" spans="1:12" x14ac:dyDescent="0.25">
      <c r="A72" s="1">
        <v>35309</v>
      </c>
      <c r="B72">
        <v>0.14975710468379599</v>
      </c>
      <c r="C72">
        <v>0.133983096611373</v>
      </c>
      <c r="G72" s="1">
        <v>35309</v>
      </c>
      <c r="H72" s="1">
        <v>35339</v>
      </c>
      <c r="I72" s="1">
        <v>35370</v>
      </c>
      <c r="J72">
        <v>8.4049999999999994</v>
      </c>
      <c r="K72">
        <v>0.14975710468379599</v>
      </c>
      <c r="L72">
        <v>8.5547571046837891</v>
      </c>
    </row>
    <row r="73" spans="1:12" x14ac:dyDescent="0.25">
      <c r="A73" s="1">
        <v>35339</v>
      </c>
      <c r="B73">
        <v>0.15066753002420699</v>
      </c>
      <c r="C73">
        <v>0.167187786982394</v>
      </c>
      <c r="G73" s="1">
        <v>35339</v>
      </c>
      <c r="H73" s="1">
        <v>35370</v>
      </c>
      <c r="I73" s="1">
        <v>35400</v>
      </c>
      <c r="J73">
        <v>8.0730000000000004</v>
      </c>
      <c r="K73">
        <v>0.15066753002420699</v>
      </c>
      <c r="L73">
        <v>8.2236675300241995</v>
      </c>
    </row>
    <row r="74" spans="1:12" x14ac:dyDescent="0.25">
      <c r="A74" s="1">
        <v>35370</v>
      </c>
      <c r="B74">
        <v>0.16473952040383499</v>
      </c>
      <c r="C74">
        <v>0.193047677617737</v>
      </c>
      <c r="G74" s="1">
        <v>35370</v>
      </c>
      <c r="H74" s="1">
        <v>35400</v>
      </c>
      <c r="I74" s="1">
        <v>35431</v>
      </c>
      <c r="J74">
        <v>7.7712500000000002</v>
      </c>
      <c r="K74">
        <v>0.16473952040383499</v>
      </c>
      <c r="L74">
        <v>7.9359895204038304</v>
      </c>
    </row>
    <row r="75" spans="1:12" x14ac:dyDescent="0.25">
      <c r="A75" s="1">
        <v>35400</v>
      </c>
      <c r="B75">
        <v>0.18116693837502101</v>
      </c>
      <c r="C75">
        <v>0.18326535052493201</v>
      </c>
      <c r="G75" s="1">
        <v>35400</v>
      </c>
      <c r="H75" s="1">
        <v>35431</v>
      </c>
      <c r="I75" s="1">
        <v>35462</v>
      </c>
      <c r="J75">
        <v>7.7787499999999996</v>
      </c>
      <c r="K75">
        <v>0.18116693837502101</v>
      </c>
      <c r="L75">
        <v>7.9599169383750201</v>
      </c>
    </row>
    <row r="76" spans="1:12" x14ac:dyDescent="0.25">
      <c r="A76" s="1">
        <v>35431</v>
      </c>
      <c r="B76">
        <v>0.16550956980946499</v>
      </c>
      <c r="C76">
        <v>0.120215681285727</v>
      </c>
      <c r="G76" s="1">
        <v>35431</v>
      </c>
      <c r="H76" s="1">
        <v>35462</v>
      </c>
      <c r="I76" s="1">
        <v>35490</v>
      </c>
      <c r="J76">
        <v>8.0190000000000001</v>
      </c>
      <c r="K76">
        <v>0.16550956980946499</v>
      </c>
      <c r="L76">
        <v>8.1845095698094603</v>
      </c>
    </row>
    <row r="77" spans="1:12" x14ac:dyDescent="0.25">
      <c r="A77" s="1">
        <v>35462</v>
      </c>
      <c r="B77">
        <v>0.170661315439086</v>
      </c>
      <c r="C77">
        <v>0.208502914506599</v>
      </c>
      <c r="G77" s="1">
        <v>35462</v>
      </c>
      <c r="H77" s="1">
        <v>35490</v>
      </c>
      <c r="I77" s="1">
        <v>35521</v>
      </c>
      <c r="J77">
        <v>7.8250000000000002</v>
      </c>
      <c r="K77">
        <v>0.170661315439086</v>
      </c>
      <c r="L77">
        <v>7.9956613154390803</v>
      </c>
    </row>
    <row r="78" spans="1:12" x14ac:dyDescent="0.25">
      <c r="A78" s="1">
        <v>35490</v>
      </c>
      <c r="B78">
        <v>0.163680085380003</v>
      </c>
      <c r="C78">
        <v>0.162321660347682</v>
      </c>
      <c r="G78" s="1">
        <v>35490</v>
      </c>
      <c r="H78" s="1">
        <v>35521</v>
      </c>
      <c r="I78" s="1">
        <v>35551</v>
      </c>
      <c r="J78">
        <v>8.0850000000000009</v>
      </c>
      <c r="K78">
        <v>0.163680085380003</v>
      </c>
      <c r="L78">
        <v>8.2486800853800002</v>
      </c>
    </row>
    <row r="79" spans="1:12" x14ac:dyDescent="0.25">
      <c r="A79" s="1">
        <v>35521</v>
      </c>
      <c r="B79">
        <v>0.18385058996937201</v>
      </c>
      <c r="C79">
        <v>0.180727195053836</v>
      </c>
      <c r="G79" s="1">
        <v>35521</v>
      </c>
      <c r="H79" s="1">
        <v>35551</v>
      </c>
      <c r="I79" s="1">
        <v>35582</v>
      </c>
      <c r="J79">
        <v>8.3237500000000004</v>
      </c>
      <c r="K79">
        <v>0.18385058996937201</v>
      </c>
      <c r="L79">
        <v>8.5076005899693694</v>
      </c>
    </row>
    <row r="80" spans="1:12" x14ac:dyDescent="0.25">
      <c r="A80" s="1">
        <v>35551</v>
      </c>
      <c r="B80">
        <v>0.20319845911281001</v>
      </c>
      <c r="C80">
        <v>0.26654652193691297</v>
      </c>
      <c r="G80" s="1">
        <v>35551</v>
      </c>
      <c r="H80" s="1">
        <v>35582</v>
      </c>
      <c r="I80" s="1">
        <v>35612</v>
      </c>
      <c r="J80">
        <v>8.109</v>
      </c>
      <c r="K80">
        <v>0.20319845911281001</v>
      </c>
      <c r="L80">
        <v>8.3121984591128104</v>
      </c>
    </row>
    <row r="81" spans="1:12" x14ac:dyDescent="0.25">
      <c r="A81" s="1">
        <v>35582</v>
      </c>
      <c r="B81">
        <v>0.215360966580462</v>
      </c>
      <c r="C81">
        <v>0.198809182750638</v>
      </c>
      <c r="G81" s="1">
        <v>35582</v>
      </c>
      <c r="H81" s="1">
        <v>35612</v>
      </c>
      <c r="I81" s="1">
        <v>35643</v>
      </c>
      <c r="J81">
        <v>7.8649999999999904</v>
      </c>
      <c r="K81">
        <v>0.215360966580462</v>
      </c>
      <c r="L81">
        <v>8.0803609665804608</v>
      </c>
    </row>
    <row r="82" spans="1:12" x14ac:dyDescent="0.25">
      <c r="A82" s="1">
        <v>35612</v>
      </c>
      <c r="B82">
        <v>0.20444792003631901</v>
      </c>
      <c r="C82">
        <v>0.147988055421407</v>
      </c>
      <c r="G82" s="1">
        <v>35612</v>
      </c>
      <c r="H82" s="1">
        <v>35643</v>
      </c>
      <c r="I82" s="1">
        <v>35674</v>
      </c>
      <c r="J82">
        <v>7.6599999999999904</v>
      </c>
      <c r="K82">
        <v>0.20444792003631901</v>
      </c>
      <c r="L82">
        <v>7.8644479200363104</v>
      </c>
    </row>
    <row r="83" spans="1:12" x14ac:dyDescent="0.25">
      <c r="A83" s="1">
        <v>35643</v>
      </c>
      <c r="B83">
        <v>0.15287647881723099</v>
      </c>
      <c r="C83">
        <v>0.11183219827964801</v>
      </c>
      <c r="G83" s="1">
        <v>35643</v>
      </c>
      <c r="H83" s="1">
        <v>35674</v>
      </c>
      <c r="I83" s="1">
        <v>35704</v>
      </c>
      <c r="J83">
        <v>7.6912499999999904</v>
      </c>
      <c r="K83">
        <v>0.15287647881723099</v>
      </c>
      <c r="L83">
        <v>7.8441264788172296</v>
      </c>
    </row>
    <row r="84" spans="1:12" x14ac:dyDescent="0.25">
      <c r="A84" s="1">
        <v>35674</v>
      </c>
      <c r="B84">
        <v>0.13271495970731501</v>
      </c>
      <c r="C84">
        <v>0.13832462542089</v>
      </c>
      <c r="G84" s="1">
        <v>35674</v>
      </c>
      <c r="H84" s="1">
        <v>35704</v>
      </c>
      <c r="I84" s="1">
        <v>35735</v>
      </c>
      <c r="J84">
        <v>7.6050000000000004</v>
      </c>
      <c r="K84">
        <v>0.13271495970731501</v>
      </c>
      <c r="L84">
        <v>7.7377149597073096</v>
      </c>
    </row>
    <row r="85" spans="1:12" x14ac:dyDescent="0.25">
      <c r="A85" s="1">
        <v>35704</v>
      </c>
      <c r="B85">
        <v>0.13477368914716001</v>
      </c>
      <c r="C85">
        <v>0.15416424374094301</v>
      </c>
      <c r="G85" s="1">
        <v>35704</v>
      </c>
      <c r="H85" s="1">
        <v>35735</v>
      </c>
      <c r="I85" s="1">
        <v>35765</v>
      </c>
      <c r="J85">
        <v>7.4739999999999904</v>
      </c>
      <c r="K85">
        <v>0.13477368914716001</v>
      </c>
      <c r="L85">
        <v>7.60877368914716</v>
      </c>
    </row>
    <row r="86" spans="1:12" x14ac:dyDescent="0.25">
      <c r="A86" s="1">
        <v>35735</v>
      </c>
      <c r="B86">
        <v>0.14257813840375</v>
      </c>
      <c r="C86">
        <v>0.13524554604941699</v>
      </c>
      <c r="G86" s="1">
        <v>35735</v>
      </c>
      <c r="H86" s="1">
        <v>35765</v>
      </c>
      <c r="I86" s="1">
        <v>35796</v>
      </c>
      <c r="J86">
        <v>7.3862500000000004</v>
      </c>
      <c r="K86">
        <v>0.14257813840375</v>
      </c>
      <c r="L86">
        <v>7.5288281384037496</v>
      </c>
    </row>
    <row r="87" spans="1:12" x14ac:dyDescent="0.25">
      <c r="A87" s="1">
        <v>35765</v>
      </c>
      <c r="B87">
        <v>0.148380780839447</v>
      </c>
      <c r="C87">
        <v>0.15573255272797901</v>
      </c>
      <c r="G87" s="1">
        <v>35765</v>
      </c>
      <c r="H87" s="1">
        <v>35796</v>
      </c>
      <c r="I87" s="1">
        <v>35827</v>
      </c>
      <c r="J87">
        <v>7.2949999999999999</v>
      </c>
      <c r="K87">
        <v>0.148380780839447</v>
      </c>
      <c r="L87">
        <v>7.4433807808394397</v>
      </c>
    </row>
    <row r="88" spans="1:12" x14ac:dyDescent="0.25">
      <c r="A88" s="1">
        <v>35796</v>
      </c>
      <c r="B88">
        <v>0.15556409540186</v>
      </c>
      <c r="C88">
        <v>0.17571418742818201</v>
      </c>
      <c r="G88" s="1">
        <v>35796</v>
      </c>
      <c r="H88" s="1">
        <v>35827</v>
      </c>
      <c r="I88" s="1">
        <v>35855</v>
      </c>
      <c r="J88">
        <v>7.0890000000000004</v>
      </c>
      <c r="K88">
        <v>0.15556409540186</v>
      </c>
      <c r="L88">
        <v>7.2445640954018602</v>
      </c>
    </row>
    <row r="89" spans="1:12" x14ac:dyDescent="0.25">
      <c r="A89" s="1">
        <v>35827</v>
      </c>
      <c r="B89">
        <v>0.14320401380041201</v>
      </c>
      <c r="C89">
        <v>9.8165301245074096E-2</v>
      </c>
      <c r="G89" s="1">
        <v>35827</v>
      </c>
      <c r="H89" s="1">
        <v>35855</v>
      </c>
      <c r="I89" s="1">
        <v>35886</v>
      </c>
      <c r="J89">
        <v>7.0987499999999999</v>
      </c>
      <c r="K89">
        <v>0.14320401380041201</v>
      </c>
      <c r="L89">
        <v>7.2419540138004104</v>
      </c>
    </row>
    <row r="90" spans="1:12" x14ac:dyDescent="0.25">
      <c r="A90" s="1">
        <v>35855</v>
      </c>
      <c r="B90">
        <v>0.139519801397196</v>
      </c>
      <c r="C90">
        <v>0.14467991551833201</v>
      </c>
      <c r="G90" s="1">
        <v>35855</v>
      </c>
      <c r="H90" s="1">
        <v>35886</v>
      </c>
      <c r="I90" s="1">
        <v>35916</v>
      </c>
      <c r="J90">
        <v>7.165</v>
      </c>
      <c r="K90">
        <v>0.139519801397196</v>
      </c>
      <c r="L90">
        <v>7.3045198013971904</v>
      </c>
    </row>
    <row r="91" spans="1:12" x14ac:dyDescent="0.25">
      <c r="A91" s="1">
        <v>35886</v>
      </c>
      <c r="B91">
        <v>0.15176513275695699</v>
      </c>
      <c r="C91">
        <v>0.212450181507466</v>
      </c>
      <c r="G91" s="1">
        <v>35886</v>
      </c>
      <c r="H91" s="1">
        <v>35916</v>
      </c>
      <c r="I91" s="1">
        <v>35947</v>
      </c>
      <c r="J91">
        <v>7.1660000000000004</v>
      </c>
      <c r="K91">
        <v>0.15176513275695699</v>
      </c>
      <c r="L91">
        <v>7.31776513275695</v>
      </c>
    </row>
    <row r="92" spans="1:12" x14ac:dyDescent="0.25">
      <c r="A92" s="1">
        <v>35916</v>
      </c>
      <c r="B92">
        <v>0.18695191227666599</v>
      </c>
      <c r="C92">
        <v>0.203725639804202</v>
      </c>
      <c r="G92" s="1">
        <v>35916</v>
      </c>
      <c r="H92" s="1">
        <v>35947</v>
      </c>
      <c r="I92" s="1">
        <v>35977</v>
      </c>
      <c r="J92">
        <v>7.1375000000000002</v>
      </c>
      <c r="K92">
        <v>0.18695191227666599</v>
      </c>
      <c r="L92">
        <v>7.3244519122766603</v>
      </c>
    </row>
    <row r="93" spans="1:12" x14ac:dyDescent="0.25">
      <c r="A93" s="1">
        <v>35947</v>
      </c>
      <c r="B93">
        <v>0.19790695075491499</v>
      </c>
      <c r="C93">
        <v>0.177545030953078</v>
      </c>
      <c r="G93" s="1">
        <v>35947</v>
      </c>
      <c r="H93" s="1">
        <v>35977</v>
      </c>
      <c r="I93" s="1">
        <v>36008</v>
      </c>
      <c r="J93">
        <v>6.9974999999999996</v>
      </c>
      <c r="K93">
        <v>0.19790695075491499</v>
      </c>
      <c r="L93">
        <v>7.1954069507549097</v>
      </c>
    </row>
    <row r="94" spans="1:12" x14ac:dyDescent="0.25">
      <c r="A94" s="1">
        <v>35977</v>
      </c>
      <c r="B94">
        <v>0.19411400098020201</v>
      </c>
      <c r="C94">
        <v>0.20107133218332601</v>
      </c>
      <c r="G94" s="1">
        <v>35977</v>
      </c>
      <c r="H94" s="1">
        <v>36008</v>
      </c>
      <c r="I94" s="1">
        <v>36039</v>
      </c>
      <c r="J94">
        <v>6.9720000000000004</v>
      </c>
      <c r="K94">
        <v>0.19411400098020201</v>
      </c>
      <c r="L94">
        <v>7.1661140009802002</v>
      </c>
    </row>
    <row r="95" spans="1:12" x14ac:dyDescent="0.25">
      <c r="A95" s="1">
        <v>36008</v>
      </c>
      <c r="B95">
        <v>0.182704059797618</v>
      </c>
      <c r="C95">
        <v>0.16949581625644999</v>
      </c>
      <c r="G95" s="1">
        <v>36008</v>
      </c>
      <c r="H95" s="1">
        <v>36039</v>
      </c>
      <c r="I95" s="1">
        <v>36069</v>
      </c>
      <c r="J95">
        <v>6.9474999999999998</v>
      </c>
      <c r="K95">
        <v>0.182704059797618</v>
      </c>
      <c r="L95">
        <v>7.1302040597976104</v>
      </c>
    </row>
    <row r="96" spans="1:12" x14ac:dyDescent="0.25">
      <c r="A96" s="1">
        <v>36039</v>
      </c>
      <c r="B96">
        <v>0.17988583926412399</v>
      </c>
      <c r="C96">
        <v>0.169090369352596</v>
      </c>
      <c r="G96" s="1">
        <v>36039</v>
      </c>
      <c r="H96" s="1">
        <v>36069</v>
      </c>
      <c r="I96" s="1">
        <v>36100</v>
      </c>
      <c r="J96">
        <v>6.7162499999999996</v>
      </c>
      <c r="K96">
        <v>0.17988583926412399</v>
      </c>
      <c r="L96">
        <v>6.8961358392641197</v>
      </c>
    </row>
    <row r="97" spans="1:12" x14ac:dyDescent="0.25">
      <c r="A97" s="1">
        <v>36069</v>
      </c>
      <c r="B97">
        <v>0.151584646316306</v>
      </c>
      <c r="C97">
        <v>0.116167753339872</v>
      </c>
      <c r="G97" s="1">
        <v>36069</v>
      </c>
      <c r="H97" s="1">
        <v>36100</v>
      </c>
      <c r="I97" s="1">
        <v>36130</v>
      </c>
      <c r="J97">
        <v>6.6950000000000003</v>
      </c>
      <c r="K97">
        <v>0.151584646316306</v>
      </c>
      <c r="L97">
        <v>6.8465846463163</v>
      </c>
    </row>
    <row r="98" spans="1:12" x14ac:dyDescent="0.25">
      <c r="A98" s="1">
        <v>36100</v>
      </c>
      <c r="B98">
        <v>0.109586891613625</v>
      </c>
      <c r="C98">
        <v>4.3502552148407703E-2</v>
      </c>
      <c r="G98" s="1">
        <v>36100</v>
      </c>
      <c r="H98" s="1">
        <v>36130</v>
      </c>
      <c r="I98" s="1">
        <v>36161</v>
      </c>
      <c r="J98">
        <v>6.8462500000000004</v>
      </c>
      <c r="K98">
        <v>0.109586891613625</v>
      </c>
      <c r="L98">
        <v>6.95583689161362</v>
      </c>
    </row>
    <row r="99" spans="1:12" x14ac:dyDescent="0.25">
      <c r="A99" s="1">
        <v>36130</v>
      </c>
      <c r="B99">
        <v>9.8060657207825794E-2</v>
      </c>
      <c r="C99">
        <v>0.134511666135196</v>
      </c>
      <c r="G99" s="1">
        <v>36130</v>
      </c>
      <c r="H99" s="1">
        <v>36161</v>
      </c>
      <c r="I99" s="1">
        <v>36192</v>
      </c>
      <c r="J99">
        <v>6.7279999999999998</v>
      </c>
      <c r="K99">
        <v>9.8060657207825794E-2</v>
      </c>
      <c r="L99">
        <v>6.8260606572078197</v>
      </c>
    </row>
    <row r="100" spans="1:12" x14ac:dyDescent="0.25">
      <c r="A100" s="1">
        <v>36161</v>
      </c>
      <c r="B100">
        <v>0.106647638850755</v>
      </c>
      <c r="C100">
        <v>0.141928698268661</v>
      </c>
      <c r="G100" s="1">
        <v>36161</v>
      </c>
      <c r="H100" s="1">
        <v>36192</v>
      </c>
      <c r="I100" s="1">
        <v>36220</v>
      </c>
      <c r="J100">
        <v>6.7662499999999897</v>
      </c>
      <c r="K100">
        <v>0.106647638850755</v>
      </c>
      <c r="L100">
        <v>6.8728976388507501</v>
      </c>
    </row>
    <row r="101" spans="1:12" x14ac:dyDescent="0.25">
      <c r="A101" s="1">
        <v>36192</v>
      </c>
      <c r="B101">
        <v>0.13660748878204601</v>
      </c>
      <c r="C101">
        <v>0.13338210194228001</v>
      </c>
      <c r="G101" s="1">
        <v>36192</v>
      </c>
      <c r="H101" s="1">
        <v>36220</v>
      </c>
      <c r="I101" s="1">
        <v>36251</v>
      </c>
      <c r="J101">
        <v>6.8075000000000001</v>
      </c>
      <c r="K101">
        <v>0.13660748878204601</v>
      </c>
      <c r="L101">
        <v>6.9441074887820404</v>
      </c>
    </row>
    <row r="102" spans="1:12" x14ac:dyDescent="0.25">
      <c r="A102" s="1">
        <v>36220</v>
      </c>
      <c r="B102">
        <v>0.150282074569381</v>
      </c>
      <c r="C102">
        <v>0.175535423497202</v>
      </c>
      <c r="G102" s="1">
        <v>36220</v>
      </c>
      <c r="H102" s="1">
        <v>36251</v>
      </c>
      <c r="I102" s="1">
        <v>36281</v>
      </c>
      <c r="J102">
        <v>7.0149999999999997</v>
      </c>
      <c r="K102">
        <v>0.150282074569381</v>
      </c>
      <c r="L102">
        <v>7.1652820745693804</v>
      </c>
    </row>
    <row r="103" spans="1:12" x14ac:dyDescent="0.25">
      <c r="A103" s="1">
        <v>36251</v>
      </c>
      <c r="B103">
        <v>0.17516233043006599</v>
      </c>
      <c r="C103">
        <v>0.21656946585071701</v>
      </c>
      <c r="G103" s="1">
        <v>36251</v>
      </c>
      <c r="H103" s="1">
        <v>36281</v>
      </c>
      <c r="I103" s="1">
        <v>36312</v>
      </c>
      <c r="J103">
        <v>6.9109999999999996</v>
      </c>
      <c r="K103">
        <v>0.17516233043006599</v>
      </c>
      <c r="L103">
        <v>7.0861623304300601</v>
      </c>
    </row>
    <row r="104" spans="1:12" x14ac:dyDescent="0.25">
      <c r="A104" s="1">
        <v>36281</v>
      </c>
      <c r="B104">
        <v>0.20275611071483099</v>
      </c>
      <c r="C104">
        <v>0.21616344279657601</v>
      </c>
      <c r="G104" s="1">
        <v>36281</v>
      </c>
      <c r="H104" s="1">
        <v>36312</v>
      </c>
      <c r="I104" s="1">
        <v>36342</v>
      </c>
      <c r="J104">
        <v>7.1449999999999996</v>
      </c>
      <c r="K104">
        <v>0.20275611071483099</v>
      </c>
      <c r="L104">
        <v>7.3477561107148297</v>
      </c>
    </row>
    <row r="105" spans="1:12" x14ac:dyDescent="0.25">
      <c r="A105" s="1">
        <v>36312</v>
      </c>
      <c r="B105">
        <v>0.23415952795337899</v>
      </c>
      <c r="C105">
        <v>0.26974567521284498</v>
      </c>
      <c r="G105" s="1">
        <v>36312</v>
      </c>
      <c r="H105" s="1">
        <v>36342</v>
      </c>
      <c r="I105" s="1">
        <v>36373</v>
      </c>
      <c r="J105">
        <v>7.55</v>
      </c>
      <c r="K105">
        <v>0.23415952795337899</v>
      </c>
      <c r="L105">
        <v>7.7841595279533804</v>
      </c>
    </row>
    <row r="106" spans="1:12" x14ac:dyDescent="0.25">
      <c r="A106" s="1">
        <v>36342</v>
      </c>
      <c r="B106">
        <v>0.29967686032787499</v>
      </c>
      <c r="C106">
        <v>0.41312146297420299</v>
      </c>
      <c r="G106" s="1">
        <v>36342</v>
      </c>
      <c r="H106" s="1">
        <v>36373</v>
      </c>
      <c r="I106" s="1">
        <v>36404</v>
      </c>
      <c r="J106">
        <v>7.6319999999999997</v>
      </c>
      <c r="K106">
        <v>0.29967686032787499</v>
      </c>
      <c r="L106">
        <v>7.9316768603278698</v>
      </c>
    </row>
    <row r="107" spans="1:12" x14ac:dyDescent="0.25">
      <c r="A107" s="1">
        <v>36373</v>
      </c>
      <c r="B107">
        <v>0.36663140278926598</v>
      </c>
      <c r="C107">
        <v>0.41702707018075102</v>
      </c>
      <c r="G107" s="1">
        <v>36373</v>
      </c>
      <c r="H107" s="1">
        <v>36404</v>
      </c>
      <c r="I107" s="1">
        <v>36434</v>
      </c>
      <c r="J107">
        <v>7.9424999999999999</v>
      </c>
      <c r="K107">
        <v>0.36663140278926598</v>
      </c>
      <c r="L107">
        <v>8.3091314027892604</v>
      </c>
    </row>
    <row r="108" spans="1:12" x14ac:dyDescent="0.25">
      <c r="A108" s="1">
        <v>36404</v>
      </c>
      <c r="B108">
        <v>0.41787899426608699</v>
      </c>
      <c r="C108">
        <v>0.42348844964330801</v>
      </c>
      <c r="G108" s="1">
        <v>36404</v>
      </c>
      <c r="H108" s="1">
        <v>36434</v>
      </c>
      <c r="I108" s="1">
        <v>36465</v>
      </c>
      <c r="J108">
        <v>7.7930000000000001</v>
      </c>
      <c r="K108">
        <v>0.41787899426608699</v>
      </c>
      <c r="L108">
        <v>8.2108789942660891</v>
      </c>
    </row>
    <row r="109" spans="1:12" x14ac:dyDescent="0.25">
      <c r="A109" s="1">
        <v>36434</v>
      </c>
      <c r="B109">
        <v>0.39239930236179499</v>
      </c>
      <c r="C109">
        <v>0.33668238726132699</v>
      </c>
      <c r="G109" s="1">
        <v>36434</v>
      </c>
      <c r="H109" s="1">
        <v>36465</v>
      </c>
      <c r="I109" s="1">
        <v>36495</v>
      </c>
      <c r="J109">
        <v>7.89</v>
      </c>
      <c r="K109">
        <v>0.39239930236179499</v>
      </c>
      <c r="L109">
        <v>8.2823993023617906</v>
      </c>
    </row>
    <row r="110" spans="1:12" x14ac:dyDescent="0.25">
      <c r="A110" s="1">
        <v>36465</v>
      </c>
      <c r="B110">
        <v>0.338902151847428</v>
      </c>
      <c r="C110">
        <v>0.25653561863764901</v>
      </c>
      <c r="G110" s="1">
        <v>36465</v>
      </c>
      <c r="H110" s="1">
        <v>36495</v>
      </c>
      <c r="I110" s="1">
        <v>36526</v>
      </c>
      <c r="J110">
        <v>7.7374999999999998</v>
      </c>
      <c r="K110">
        <v>0.338902151847428</v>
      </c>
      <c r="L110">
        <v>8.0764021518474198</v>
      </c>
    </row>
    <row r="111" spans="1:12" x14ac:dyDescent="0.25">
      <c r="A111" s="1">
        <v>36495</v>
      </c>
      <c r="B111">
        <v>0.29724497852432202</v>
      </c>
      <c r="C111">
        <v>0.29851692967399202</v>
      </c>
      <c r="G111" s="1">
        <v>36495</v>
      </c>
      <c r="H111" s="1">
        <v>36526</v>
      </c>
      <c r="I111" s="1">
        <v>36557</v>
      </c>
      <c r="J111">
        <v>7.9119999999999999</v>
      </c>
      <c r="K111">
        <v>0.29724497852432202</v>
      </c>
      <c r="L111">
        <v>8.2092449785243193</v>
      </c>
    </row>
    <row r="112" spans="1:12" x14ac:dyDescent="0.25">
      <c r="A112" s="1">
        <v>36526</v>
      </c>
      <c r="B112">
        <v>0.29734838335111002</v>
      </c>
      <c r="C112">
        <v>0.33699260174168899</v>
      </c>
      <c r="G112" s="1">
        <v>36526</v>
      </c>
      <c r="H112" s="1">
        <v>36557</v>
      </c>
      <c r="I112" s="1">
        <v>36586</v>
      </c>
      <c r="J112">
        <v>8.2099999999999902</v>
      </c>
      <c r="K112">
        <v>0.29734838335111002</v>
      </c>
      <c r="L112">
        <v>8.5073483833511094</v>
      </c>
    </row>
    <row r="113" spans="1:12" x14ac:dyDescent="0.25">
      <c r="A113" s="1">
        <v>36557</v>
      </c>
      <c r="B113">
        <v>0.35918877287788398</v>
      </c>
      <c r="C113">
        <v>0.44205678721797198</v>
      </c>
      <c r="G113" s="1">
        <v>36557</v>
      </c>
      <c r="H113" s="1">
        <v>36586</v>
      </c>
      <c r="I113" s="1">
        <v>36617</v>
      </c>
      <c r="J113">
        <v>8.3187499999999996</v>
      </c>
      <c r="K113">
        <v>0.35918877287788398</v>
      </c>
      <c r="L113">
        <v>8.6779387728778801</v>
      </c>
    </row>
    <row r="114" spans="1:12" x14ac:dyDescent="0.25">
      <c r="A114" s="1">
        <v>36586</v>
      </c>
      <c r="B114">
        <v>0.37332239682260898</v>
      </c>
      <c r="C114">
        <v>0.34091780150816497</v>
      </c>
      <c r="G114" s="1">
        <v>36586</v>
      </c>
      <c r="H114" s="1">
        <v>36617</v>
      </c>
      <c r="I114" s="1">
        <v>36647</v>
      </c>
      <c r="J114">
        <v>8.2349999999999994</v>
      </c>
      <c r="K114">
        <v>0.37332239682260898</v>
      </c>
      <c r="L114">
        <v>8.6083223968226097</v>
      </c>
    </row>
    <row r="115" spans="1:12" x14ac:dyDescent="0.25">
      <c r="A115" s="1">
        <v>36617</v>
      </c>
      <c r="B115">
        <v>0.31530223140135999</v>
      </c>
      <c r="C115">
        <v>0.16293210547794401</v>
      </c>
      <c r="G115" s="1">
        <v>36617</v>
      </c>
      <c r="H115" s="1">
        <v>36647</v>
      </c>
      <c r="I115" s="1">
        <v>36678</v>
      </c>
      <c r="J115">
        <v>8.1462500000000002</v>
      </c>
      <c r="K115">
        <v>0.31530223140135999</v>
      </c>
      <c r="L115">
        <v>8.4615522314013596</v>
      </c>
    </row>
    <row r="116" spans="1:12" x14ac:dyDescent="0.25">
      <c r="A116" s="1">
        <v>36647</v>
      </c>
      <c r="B116">
        <v>0.22533589576629401</v>
      </c>
      <c r="C116">
        <v>0.17215778031277201</v>
      </c>
      <c r="G116" s="1">
        <v>36647</v>
      </c>
      <c r="H116" s="1">
        <v>36678</v>
      </c>
      <c r="I116" s="1">
        <v>36708</v>
      </c>
      <c r="J116">
        <v>8.5149999999999899</v>
      </c>
      <c r="K116">
        <v>0.22533589576629401</v>
      </c>
      <c r="L116">
        <v>8.7403358957662896</v>
      </c>
    </row>
    <row r="117" spans="1:12" x14ac:dyDescent="0.25">
      <c r="A117" s="1">
        <v>36678</v>
      </c>
      <c r="B117">
        <v>0.16366682393783399</v>
      </c>
      <c r="C117">
        <v>0.15591058602278601</v>
      </c>
      <c r="G117" s="1">
        <v>36678</v>
      </c>
      <c r="H117" s="1">
        <v>36708</v>
      </c>
      <c r="I117" s="1">
        <v>36739</v>
      </c>
      <c r="J117">
        <v>8.2729999999999997</v>
      </c>
      <c r="K117">
        <v>0.16366682393783399</v>
      </c>
      <c r="L117">
        <v>8.4366668239378306</v>
      </c>
    </row>
    <row r="118" spans="1:12" x14ac:dyDescent="0.25">
      <c r="A118" s="1">
        <v>36708</v>
      </c>
      <c r="B118">
        <v>0.158077473570436</v>
      </c>
      <c r="C118">
        <v>0.146164054375749</v>
      </c>
      <c r="G118" s="1">
        <v>36708</v>
      </c>
      <c r="H118" s="1">
        <v>36739</v>
      </c>
      <c r="I118" s="1">
        <v>36770</v>
      </c>
      <c r="J118">
        <v>8.1287500000000001</v>
      </c>
      <c r="K118">
        <v>0.158077473570436</v>
      </c>
      <c r="L118">
        <v>8.2868274735704297</v>
      </c>
    </row>
    <row r="119" spans="1:12" x14ac:dyDescent="0.25">
      <c r="A119" s="1">
        <v>36739</v>
      </c>
      <c r="B119">
        <v>0.112800245596545</v>
      </c>
      <c r="C119">
        <v>3.6326096391101403E-2</v>
      </c>
      <c r="G119" s="1">
        <v>36739</v>
      </c>
      <c r="H119" s="1">
        <v>36770</v>
      </c>
      <c r="I119" s="1">
        <v>36800</v>
      </c>
      <c r="J119">
        <v>8.0090000000000003</v>
      </c>
      <c r="K119">
        <v>0.112800245596545</v>
      </c>
      <c r="L119">
        <v>8.1218002455965408</v>
      </c>
    </row>
    <row r="120" spans="1:12" x14ac:dyDescent="0.25">
      <c r="A120" s="1">
        <v>36770</v>
      </c>
      <c r="B120">
        <v>0.111702443645638</v>
      </c>
      <c r="C120">
        <v>0.15261718017006301</v>
      </c>
      <c r="G120" s="1">
        <v>36770</v>
      </c>
      <c r="H120" s="1">
        <v>36800</v>
      </c>
      <c r="I120" s="1">
        <v>36831</v>
      </c>
      <c r="J120">
        <v>7.9</v>
      </c>
      <c r="K120">
        <v>0.111702443645638</v>
      </c>
      <c r="L120">
        <v>8.0117024436456301</v>
      </c>
    </row>
    <row r="121" spans="1:12" x14ac:dyDescent="0.25">
      <c r="A121" s="1">
        <v>36800</v>
      </c>
      <c r="B121">
        <v>0.132035112485555</v>
      </c>
      <c r="C121">
        <v>0.20716206089549999</v>
      </c>
      <c r="G121" s="1">
        <v>36800</v>
      </c>
      <c r="H121" s="1">
        <v>36831</v>
      </c>
      <c r="I121" s="1">
        <v>36861</v>
      </c>
      <c r="J121">
        <v>7.7887500000000003</v>
      </c>
      <c r="K121">
        <v>0.132035112485555</v>
      </c>
      <c r="L121">
        <v>7.9207851124855502</v>
      </c>
    </row>
    <row r="122" spans="1:12" x14ac:dyDescent="0.25">
      <c r="A122" s="1">
        <v>36831</v>
      </c>
      <c r="B122">
        <v>0.18871788813641899</v>
      </c>
      <c r="C122">
        <v>0.20637442334369399</v>
      </c>
      <c r="G122" s="1">
        <v>36831</v>
      </c>
      <c r="H122" s="1">
        <v>36861</v>
      </c>
      <c r="I122" s="1">
        <v>36892</v>
      </c>
      <c r="J122">
        <v>7.7009999999999899</v>
      </c>
      <c r="K122">
        <v>0.18871788813641899</v>
      </c>
      <c r="L122">
        <v>7.8897178881364098</v>
      </c>
    </row>
    <row r="123" spans="1:12" x14ac:dyDescent="0.25">
      <c r="A123" s="1">
        <v>36861</v>
      </c>
      <c r="B123">
        <v>0.20932713320475599</v>
      </c>
      <c r="C123">
        <v>0.21444491537507401</v>
      </c>
      <c r="G123" s="1">
        <v>36861</v>
      </c>
      <c r="H123" s="1">
        <v>36892</v>
      </c>
      <c r="I123" s="1">
        <v>36923</v>
      </c>
      <c r="J123">
        <v>7.3087499999999901</v>
      </c>
      <c r="K123">
        <v>0.20932713320475599</v>
      </c>
      <c r="L123">
        <v>7.5180771332047502</v>
      </c>
    </row>
    <row r="124" spans="1:12" x14ac:dyDescent="0.25">
      <c r="A124" s="1">
        <v>36892</v>
      </c>
      <c r="B124">
        <v>0.22605996769557801</v>
      </c>
      <c r="C124">
        <v>0.25736056436796501</v>
      </c>
      <c r="G124" s="1">
        <v>36892</v>
      </c>
      <c r="H124" s="1">
        <v>36923</v>
      </c>
      <c r="I124" s="1">
        <v>36951</v>
      </c>
      <c r="J124">
        <v>7.0075000000000003</v>
      </c>
      <c r="K124">
        <v>0.22605996769557801</v>
      </c>
      <c r="L124">
        <v>7.2335599676955704</v>
      </c>
    </row>
    <row r="125" spans="1:12" x14ac:dyDescent="0.25">
      <c r="A125" s="1">
        <v>36923</v>
      </c>
      <c r="B125">
        <v>0.22309811595137399</v>
      </c>
      <c r="C125">
        <v>0.19748886811108399</v>
      </c>
      <c r="G125" s="1">
        <v>36923</v>
      </c>
      <c r="H125" s="1">
        <v>36951</v>
      </c>
      <c r="I125" s="1">
        <v>36982</v>
      </c>
      <c r="J125">
        <v>7.0374999999999996</v>
      </c>
      <c r="K125">
        <v>0.22309811595137399</v>
      </c>
      <c r="L125">
        <v>7.2605981159513702</v>
      </c>
    </row>
    <row r="126" spans="1:12" x14ac:dyDescent="0.25">
      <c r="A126" s="1">
        <v>36951</v>
      </c>
      <c r="B126">
        <v>0.196176081008853</v>
      </c>
      <c r="C126">
        <v>0.13367881054751099</v>
      </c>
      <c r="G126" s="1">
        <v>36951</v>
      </c>
      <c r="H126" s="1">
        <v>36982</v>
      </c>
      <c r="I126" s="1">
        <v>37012</v>
      </c>
      <c r="J126">
        <v>6.9320000000000004</v>
      </c>
      <c r="K126">
        <v>0.196176081008853</v>
      </c>
      <c r="L126">
        <v>7.1281760810088501</v>
      </c>
    </row>
    <row r="127" spans="1:12" x14ac:dyDescent="0.25">
      <c r="A127" s="1">
        <v>36982</v>
      </c>
      <c r="B127">
        <v>0.16049124393711101</v>
      </c>
      <c r="C127">
        <v>0.15030605315273801</v>
      </c>
      <c r="G127" s="1">
        <v>36982</v>
      </c>
      <c r="H127" s="1">
        <v>37012</v>
      </c>
      <c r="I127" s="1">
        <v>37043</v>
      </c>
      <c r="J127">
        <v>7.0525000000000002</v>
      </c>
      <c r="K127">
        <v>0.16049124393711101</v>
      </c>
      <c r="L127">
        <v>7.2129912439371102</v>
      </c>
    </row>
    <row r="128" spans="1:12" x14ac:dyDescent="0.25">
      <c r="A128" s="1">
        <v>37012</v>
      </c>
      <c r="B128">
        <v>0.15482787531599199</v>
      </c>
      <c r="C128">
        <v>0.18049876224772701</v>
      </c>
      <c r="G128" s="1">
        <v>37012</v>
      </c>
      <c r="H128" s="1">
        <v>37043</v>
      </c>
      <c r="I128" s="1">
        <v>37073</v>
      </c>
      <c r="J128">
        <v>7.1489999999999903</v>
      </c>
      <c r="K128">
        <v>0.15482787531599199</v>
      </c>
      <c r="L128">
        <v>7.3038278753159904</v>
      </c>
    </row>
    <row r="129" spans="1:12" x14ac:dyDescent="0.25">
      <c r="A129" s="1">
        <v>37043</v>
      </c>
      <c r="B129">
        <v>0.15330185542042901</v>
      </c>
      <c r="C129">
        <v>0.12910075086082301</v>
      </c>
      <c r="G129" s="1">
        <v>37043</v>
      </c>
      <c r="H129" s="1">
        <v>37073</v>
      </c>
      <c r="I129" s="1">
        <v>37104</v>
      </c>
      <c r="J129">
        <v>7.13375</v>
      </c>
      <c r="K129">
        <v>0.15330185542042901</v>
      </c>
      <c r="L129">
        <v>7.2870518554204304</v>
      </c>
    </row>
    <row r="130" spans="1:12" x14ac:dyDescent="0.25">
      <c r="A130" s="1">
        <v>37073</v>
      </c>
      <c r="B130">
        <v>0.136716862168518</v>
      </c>
      <c r="C130">
        <v>0.100551073397003</v>
      </c>
      <c r="G130" s="1">
        <v>37073</v>
      </c>
      <c r="H130" s="1">
        <v>37104</v>
      </c>
      <c r="I130" s="1">
        <v>37135</v>
      </c>
      <c r="J130">
        <v>7.1025</v>
      </c>
      <c r="K130">
        <v>0.136716862168518</v>
      </c>
      <c r="L130">
        <v>7.2392168621685098</v>
      </c>
    </row>
    <row r="131" spans="1:12" x14ac:dyDescent="0.25">
      <c r="A131" s="1">
        <v>37104</v>
      </c>
      <c r="B131">
        <v>0.104488037029296</v>
      </c>
      <c r="C131">
        <v>8.3812286830060895E-2</v>
      </c>
      <c r="G131" s="1">
        <v>37104</v>
      </c>
      <c r="H131" s="1">
        <v>37135</v>
      </c>
      <c r="I131" s="1">
        <v>37165</v>
      </c>
      <c r="J131">
        <v>6.9249999999999998</v>
      </c>
      <c r="K131">
        <v>0.104488037029296</v>
      </c>
      <c r="L131">
        <v>7.0294880370292896</v>
      </c>
    </row>
    <row r="132" spans="1:12" x14ac:dyDescent="0.25">
      <c r="A132" s="1">
        <v>37135</v>
      </c>
      <c r="B132">
        <v>9.2671553243737603E-2</v>
      </c>
      <c r="C132">
        <v>9.3651299504148106E-2</v>
      </c>
      <c r="G132" s="1">
        <v>37135</v>
      </c>
      <c r="H132" s="1">
        <v>37165</v>
      </c>
      <c r="I132" s="1">
        <v>37196</v>
      </c>
      <c r="J132">
        <v>6.7925000000000004</v>
      </c>
      <c r="K132">
        <v>9.2671553243737603E-2</v>
      </c>
      <c r="L132">
        <v>6.8851715532437296</v>
      </c>
    </row>
    <row r="133" spans="1:12" x14ac:dyDescent="0.25">
      <c r="A133" s="1">
        <v>37165</v>
      </c>
      <c r="B133">
        <v>9.1941875195351394E-2</v>
      </c>
      <c r="C133">
        <v>9.8362039251845099E-2</v>
      </c>
      <c r="G133" s="1">
        <v>37165</v>
      </c>
      <c r="H133" s="1">
        <v>37196</v>
      </c>
      <c r="I133" s="1">
        <v>37226</v>
      </c>
      <c r="J133">
        <v>6.58</v>
      </c>
      <c r="K133">
        <v>9.1941875195351394E-2</v>
      </c>
      <c r="L133">
        <v>6.6719418751953503</v>
      </c>
    </row>
    <row r="134" spans="1:12" x14ac:dyDescent="0.25">
      <c r="A134" s="1">
        <v>37196</v>
      </c>
      <c r="B134">
        <v>0.103238231378841</v>
      </c>
      <c r="C134">
        <v>0.117701355380532</v>
      </c>
      <c r="G134" s="1">
        <v>37196</v>
      </c>
      <c r="H134" s="1">
        <v>37226</v>
      </c>
      <c r="I134" s="1">
        <v>37257</v>
      </c>
      <c r="J134">
        <v>6.6079999999999997</v>
      </c>
      <c r="K134">
        <v>0.103238231378841</v>
      </c>
      <c r="L134">
        <v>6.7112382313788403</v>
      </c>
    </row>
    <row r="135" spans="1:12" x14ac:dyDescent="0.25">
      <c r="A135" s="1">
        <v>37226</v>
      </c>
      <c r="B135">
        <v>0.118529528596013</v>
      </c>
      <c r="C135">
        <v>0.139525191155664</v>
      </c>
      <c r="G135" s="1">
        <v>37226</v>
      </c>
      <c r="H135" s="1">
        <v>37257</v>
      </c>
      <c r="I135" s="1">
        <v>37288</v>
      </c>
      <c r="J135">
        <v>7.0025000000000004</v>
      </c>
      <c r="K135">
        <v>0.118529528596013</v>
      </c>
      <c r="L135">
        <v>7.1210295285960097</v>
      </c>
    </row>
    <row r="136" spans="1:12" x14ac:dyDescent="0.25">
      <c r="A136" s="1">
        <v>37257</v>
      </c>
      <c r="B136">
        <v>0.113658907523345</v>
      </c>
      <c r="C136">
        <v>8.3750176033839704E-2</v>
      </c>
      <c r="G136" s="1">
        <v>37257</v>
      </c>
      <c r="H136" s="1">
        <v>37288</v>
      </c>
      <c r="I136" s="1">
        <v>37316</v>
      </c>
      <c r="J136">
        <v>6.9370000000000003</v>
      </c>
      <c r="K136">
        <v>0.113658907523345</v>
      </c>
      <c r="L136">
        <v>7.0506589075233403</v>
      </c>
    </row>
    <row r="137" spans="1:12" x14ac:dyDescent="0.25">
      <c r="A137" s="1">
        <v>37288</v>
      </c>
      <c r="B137">
        <v>0.116380875671419</v>
      </c>
      <c r="C137">
        <v>0.125867259824754</v>
      </c>
      <c r="G137" s="1">
        <v>37288</v>
      </c>
      <c r="H137" s="1">
        <v>37316</v>
      </c>
      <c r="I137" s="1">
        <v>37347</v>
      </c>
      <c r="J137">
        <v>6.7624999999999904</v>
      </c>
      <c r="K137">
        <v>0.116380875671419</v>
      </c>
      <c r="L137">
        <v>6.8788808756714097</v>
      </c>
    </row>
    <row r="138" spans="1:12" x14ac:dyDescent="0.25">
      <c r="A138" s="1">
        <v>37316</v>
      </c>
      <c r="B138">
        <v>0.101401649497048</v>
      </c>
      <c r="C138">
        <v>9.4587512632551801E-2</v>
      </c>
      <c r="G138" s="1">
        <v>37316</v>
      </c>
      <c r="H138" s="1">
        <v>37347</v>
      </c>
      <c r="I138" s="1">
        <v>37377</v>
      </c>
      <c r="J138">
        <v>6.9924999999999997</v>
      </c>
      <c r="K138">
        <v>0.101401649497048</v>
      </c>
      <c r="L138">
        <v>7.0939016494970399</v>
      </c>
    </row>
    <row r="139" spans="1:12" x14ac:dyDescent="0.25">
      <c r="A139" s="1">
        <v>37347</v>
      </c>
      <c r="B139">
        <v>0.132384887960978</v>
      </c>
      <c r="C139">
        <v>0.176699891425629</v>
      </c>
      <c r="G139" s="1">
        <v>37347</v>
      </c>
      <c r="H139" s="1">
        <v>37377</v>
      </c>
      <c r="I139" s="1">
        <v>37408</v>
      </c>
      <c r="J139">
        <v>6.9162499999999998</v>
      </c>
      <c r="K139">
        <v>0.132384887960978</v>
      </c>
      <c r="L139">
        <v>7.0486348879609704</v>
      </c>
    </row>
    <row r="140" spans="1:12" x14ac:dyDescent="0.25">
      <c r="A140" s="1">
        <v>37377</v>
      </c>
      <c r="B140">
        <v>0.13008397949658501</v>
      </c>
      <c r="C140">
        <v>0.11896453443157499</v>
      </c>
      <c r="G140" s="1">
        <v>37377</v>
      </c>
      <c r="H140" s="1">
        <v>37408</v>
      </c>
      <c r="I140" s="1">
        <v>37438</v>
      </c>
      <c r="J140">
        <v>6.7359999999999998</v>
      </c>
      <c r="K140">
        <v>0.13008397949658501</v>
      </c>
      <c r="L140">
        <v>6.8660839794965796</v>
      </c>
    </row>
    <row r="141" spans="1:12" x14ac:dyDescent="0.25">
      <c r="A141" s="1">
        <v>37408</v>
      </c>
      <c r="B141">
        <v>0.15100513621293801</v>
      </c>
      <c r="C141">
        <v>0.157350982781609</v>
      </c>
      <c r="G141" s="1">
        <v>37408</v>
      </c>
      <c r="H141" s="1">
        <v>37438</v>
      </c>
      <c r="I141" s="1">
        <v>37469</v>
      </c>
      <c r="J141">
        <v>6.55</v>
      </c>
      <c r="K141">
        <v>0.15100513621293801</v>
      </c>
      <c r="L141">
        <v>6.7010051362129301</v>
      </c>
    </row>
    <row r="142" spans="1:12" x14ac:dyDescent="0.25">
      <c r="A142" s="1">
        <v>37438</v>
      </c>
      <c r="B142">
        <v>0.16458019676516999</v>
      </c>
      <c r="C142">
        <v>0.217425073082326</v>
      </c>
      <c r="G142" s="1">
        <v>37438</v>
      </c>
      <c r="H142" s="1">
        <v>37469</v>
      </c>
      <c r="I142" s="1">
        <v>37500</v>
      </c>
      <c r="J142">
        <v>6.3724999999999996</v>
      </c>
      <c r="K142">
        <v>0.16458019676516999</v>
      </c>
      <c r="L142">
        <v>6.5370801967651699</v>
      </c>
    </row>
    <row r="143" spans="1:12" x14ac:dyDescent="0.25">
      <c r="A143" s="1">
        <v>37469</v>
      </c>
      <c r="B143">
        <v>0.20456965600006</v>
      </c>
      <c r="C143">
        <v>0.23893291213624501</v>
      </c>
      <c r="G143" s="1">
        <v>37469</v>
      </c>
      <c r="H143" s="1">
        <v>37500</v>
      </c>
      <c r="I143" s="1">
        <v>37530</v>
      </c>
      <c r="J143">
        <v>6.2</v>
      </c>
      <c r="K143">
        <v>0.20456965600006</v>
      </c>
      <c r="L143">
        <v>6.40456965600006</v>
      </c>
    </row>
    <row r="144" spans="1:12" x14ac:dyDescent="0.25">
      <c r="A144" s="1">
        <v>37500</v>
      </c>
      <c r="B144">
        <v>0.198827789153627</v>
      </c>
      <c r="C144">
        <v>0.14012538224231</v>
      </c>
      <c r="G144" s="1">
        <v>37500</v>
      </c>
      <c r="H144" s="1">
        <v>37530</v>
      </c>
      <c r="I144" s="1">
        <v>37561</v>
      </c>
      <c r="J144">
        <v>5.9987500000000002</v>
      </c>
      <c r="K144">
        <v>0.198827789153627</v>
      </c>
      <c r="L144">
        <v>6.1975777891536197</v>
      </c>
    </row>
    <row r="145" spans="1:12" x14ac:dyDescent="0.25">
      <c r="A145" s="1">
        <v>37530</v>
      </c>
      <c r="B145">
        <v>0.163806862829807</v>
      </c>
      <c r="C145">
        <v>0.112362294110866</v>
      </c>
      <c r="G145" s="1">
        <v>37530</v>
      </c>
      <c r="H145" s="1">
        <v>37561</v>
      </c>
      <c r="I145" s="1">
        <v>37591</v>
      </c>
      <c r="J145">
        <v>6.0060000000000002</v>
      </c>
      <c r="K145">
        <v>0.163806862829807</v>
      </c>
      <c r="L145">
        <v>6.1698068628298</v>
      </c>
    </row>
    <row r="146" spans="1:12" x14ac:dyDescent="0.25">
      <c r="A146" s="1">
        <v>37561</v>
      </c>
      <c r="B146">
        <v>0.116343695329179</v>
      </c>
      <c r="C146">
        <v>9.6543409634362698E-2</v>
      </c>
      <c r="G146" s="1">
        <v>37561</v>
      </c>
      <c r="H146" s="1">
        <v>37591</v>
      </c>
      <c r="I146" s="1">
        <v>37622</v>
      </c>
      <c r="J146">
        <v>5.9524999999999997</v>
      </c>
      <c r="K146">
        <v>0.116343695329179</v>
      </c>
      <c r="L146">
        <v>6.0688436953291802</v>
      </c>
    </row>
    <row r="147" spans="1:12" x14ac:dyDescent="0.25">
      <c r="A147" s="1">
        <v>37591</v>
      </c>
      <c r="B147">
        <v>0.108533636908171</v>
      </c>
      <c r="C147">
        <v>0.116695206979286</v>
      </c>
      <c r="G147" s="1">
        <v>37591</v>
      </c>
      <c r="H147" s="1">
        <v>37622</v>
      </c>
      <c r="I147" s="1">
        <v>37653</v>
      </c>
      <c r="J147">
        <v>5.9349999999999996</v>
      </c>
      <c r="K147">
        <v>0.108533636908171</v>
      </c>
      <c r="L147">
        <v>6.0435336369081698</v>
      </c>
    </row>
    <row r="148" spans="1:12" x14ac:dyDescent="0.25">
      <c r="A148" s="1">
        <v>37622</v>
      </c>
      <c r="B148">
        <v>9.9581421405558396E-2</v>
      </c>
      <c r="C148">
        <v>8.5505647603026202E-2</v>
      </c>
      <c r="G148" s="1">
        <v>37622</v>
      </c>
      <c r="H148" s="1">
        <v>37653</v>
      </c>
      <c r="I148" s="1">
        <v>37681</v>
      </c>
      <c r="J148">
        <v>5.8109999999999999</v>
      </c>
      <c r="K148">
        <v>9.9581421405558396E-2</v>
      </c>
      <c r="L148">
        <v>5.9105814214055501</v>
      </c>
    </row>
    <row r="149" spans="1:12" x14ac:dyDescent="0.25">
      <c r="A149" s="1">
        <v>37653</v>
      </c>
      <c r="B149">
        <v>0.10100637792387999</v>
      </c>
      <c r="C149">
        <v>0.10081827918932899</v>
      </c>
      <c r="G149" s="1">
        <v>37653</v>
      </c>
      <c r="H149" s="1">
        <v>37681</v>
      </c>
      <c r="I149" s="1">
        <v>37712</v>
      </c>
      <c r="J149">
        <v>5.7487500000000002</v>
      </c>
      <c r="K149">
        <v>0.10100637792387999</v>
      </c>
      <c r="L149">
        <v>5.8497563779238799</v>
      </c>
    </row>
    <row r="150" spans="1:12" x14ac:dyDescent="0.25">
      <c r="A150" s="1">
        <v>37681</v>
      </c>
      <c r="B150">
        <v>0.106661205006282</v>
      </c>
      <c r="C150">
        <v>0.13365968822648999</v>
      </c>
      <c r="G150" s="1">
        <v>37681</v>
      </c>
      <c r="H150" s="1">
        <v>37712</v>
      </c>
      <c r="I150" s="1">
        <v>37742</v>
      </c>
      <c r="J150">
        <v>5.6449999999999996</v>
      </c>
      <c r="K150">
        <v>0.106661205006282</v>
      </c>
      <c r="L150">
        <v>5.7516612050062799</v>
      </c>
    </row>
    <row r="151" spans="1:12" x14ac:dyDescent="0.25">
      <c r="A151" s="1">
        <v>37712</v>
      </c>
      <c r="B151">
        <v>0.10454466666161399</v>
      </c>
      <c r="C151">
        <v>7.9156032569022497E-2</v>
      </c>
      <c r="G151" s="1">
        <v>37712</v>
      </c>
      <c r="H151" s="1">
        <v>37742</v>
      </c>
      <c r="I151" s="1">
        <v>37773</v>
      </c>
      <c r="J151">
        <v>5.7125000000000004</v>
      </c>
      <c r="K151">
        <v>0.10454466666161399</v>
      </c>
      <c r="L151">
        <v>5.8170446666616096</v>
      </c>
    </row>
    <row r="152" spans="1:12" x14ac:dyDescent="0.25">
      <c r="A152" s="1">
        <v>37742</v>
      </c>
      <c r="B152">
        <v>0.10327328894072101</v>
      </c>
      <c r="C152">
        <v>9.7004146026652097E-2</v>
      </c>
      <c r="G152" s="1">
        <v>37742</v>
      </c>
      <c r="H152" s="1">
        <v>37773</v>
      </c>
      <c r="I152" s="1">
        <v>37803</v>
      </c>
      <c r="J152">
        <v>5.3940000000000001</v>
      </c>
      <c r="K152">
        <v>0.10327328894072101</v>
      </c>
      <c r="L152">
        <v>5.4972732889407201</v>
      </c>
    </row>
    <row r="153" spans="1:12" x14ac:dyDescent="0.25">
      <c r="A153" s="1">
        <v>37773</v>
      </c>
      <c r="B153">
        <v>7.7098864216828294E-2</v>
      </c>
      <c r="C153">
        <v>5.5136414054810498E-2</v>
      </c>
      <c r="G153" s="1">
        <v>37773</v>
      </c>
      <c r="H153" s="1">
        <v>37803</v>
      </c>
      <c r="I153" s="1">
        <v>37834</v>
      </c>
      <c r="J153">
        <v>5.1174999999999997</v>
      </c>
      <c r="K153">
        <v>7.7098864216828294E-2</v>
      </c>
      <c r="L153">
        <v>5.1945988642168199</v>
      </c>
    </row>
    <row r="154" spans="1:12" x14ac:dyDescent="0.25">
      <c r="A154" s="1">
        <v>37803</v>
      </c>
      <c r="B154">
        <v>5.42932322910743E-2</v>
      </c>
      <c r="C154">
        <v>1.07391367917604E-2</v>
      </c>
      <c r="G154" s="1">
        <v>37803</v>
      </c>
      <c r="H154" s="1">
        <v>37834</v>
      </c>
      <c r="I154" s="1">
        <v>37865</v>
      </c>
      <c r="J154">
        <v>5.609</v>
      </c>
      <c r="K154">
        <v>5.42932322910743E-2</v>
      </c>
      <c r="L154">
        <v>5.6632932322910703</v>
      </c>
    </row>
    <row r="155" spans="1:12" x14ac:dyDescent="0.25">
      <c r="A155" s="1">
        <v>37834</v>
      </c>
      <c r="B155">
        <v>6.5028772968357504E-2</v>
      </c>
      <c r="C155">
        <v>0.12921076805850101</v>
      </c>
      <c r="G155" s="1">
        <v>37834</v>
      </c>
      <c r="H155" s="1">
        <v>37865</v>
      </c>
      <c r="I155" s="1">
        <v>37895</v>
      </c>
      <c r="J155">
        <v>6.2262500000000003</v>
      </c>
      <c r="K155">
        <v>6.5028772968357504E-2</v>
      </c>
      <c r="L155">
        <v>6.2912787729683499</v>
      </c>
    </row>
    <row r="156" spans="1:12" x14ac:dyDescent="0.25">
      <c r="A156" s="1">
        <v>37865</v>
      </c>
      <c r="B156">
        <v>9.80869626275616E-2</v>
      </c>
      <c r="C156">
        <v>0.15431098303242199</v>
      </c>
      <c r="G156" s="1">
        <v>37865</v>
      </c>
      <c r="H156" s="1">
        <v>37895</v>
      </c>
      <c r="I156" s="1">
        <v>37926</v>
      </c>
      <c r="J156">
        <v>6.0412499999999998</v>
      </c>
      <c r="K156">
        <v>9.80869626275616E-2</v>
      </c>
      <c r="L156">
        <v>6.13933696262756</v>
      </c>
    </row>
    <row r="157" spans="1:12" x14ac:dyDescent="0.25">
      <c r="A157" s="1">
        <v>37895</v>
      </c>
      <c r="B157">
        <v>0.14121815241475699</v>
      </c>
      <c r="C157">
        <v>0.140132706153349</v>
      </c>
      <c r="G157" s="1">
        <v>37895</v>
      </c>
      <c r="H157" s="1">
        <v>37926</v>
      </c>
      <c r="I157" s="1">
        <v>37956</v>
      </c>
      <c r="J157">
        <v>5.8520000000000003</v>
      </c>
      <c r="K157">
        <v>0.14121815241475699</v>
      </c>
      <c r="L157">
        <v>5.9932181524147499</v>
      </c>
    </row>
    <row r="158" spans="1:12" x14ac:dyDescent="0.25">
      <c r="A158" s="1">
        <v>37926</v>
      </c>
      <c r="B158">
        <v>0.14713844727776501</v>
      </c>
      <c r="C158">
        <v>0.14697165264752299</v>
      </c>
      <c r="G158" s="1">
        <v>37926</v>
      </c>
      <c r="H158" s="1">
        <v>37956</v>
      </c>
      <c r="I158" s="1">
        <v>37987</v>
      </c>
      <c r="J158">
        <v>5.8387500000000001</v>
      </c>
      <c r="K158">
        <v>0.14713844727776501</v>
      </c>
      <c r="L158">
        <v>5.9858884472777598</v>
      </c>
    </row>
    <row r="159" spans="1:12" x14ac:dyDescent="0.25">
      <c r="A159" s="1">
        <v>37956</v>
      </c>
      <c r="B159">
        <v>0.11940187739951801</v>
      </c>
      <c r="C159">
        <v>7.1101273397681103E-2</v>
      </c>
      <c r="G159" s="1">
        <v>37956</v>
      </c>
      <c r="H159" s="1">
        <v>37987</v>
      </c>
      <c r="I159" s="1">
        <v>38018</v>
      </c>
      <c r="J159">
        <v>5.7959999999999896</v>
      </c>
      <c r="K159">
        <v>0.11940187739951801</v>
      </c>
      <c r="L159">
        <v>5.9154018773995096</v>
      </c>
    </row>
    <row r="160" spans="1:12" x14ac:dyDescent="0.25">
      <c r="A160" s="1">
        <v>37987</v>
      </c>
      <c r="B160">
        <v>0.105464031785675</v>
      </c>
      <c r="C160">
        <v>9.83191693118214E-2</v>
      </c>
      <c r="G160" s="1">
        <v>37987</v>
      </c>
      <c r="H160" s="1">
        <v>38018</v>
      </c>
      <c r="I160" s="1">
        <v>38047</v>
      </c>
      <c r="J160">
        <v>5.625</v>
      </c>
      <c r="K160">
        <v>0.105464031785675</v>
      </c>
      <c r="L160">
        <v>5.7304640317856697</v>
      </c>
    </row>
    <row r="161" spans="1:12" x14ac:dyDescent="0.25">
      <c r="A161" s="1">
        <v>38018</v>
      </c>
      <c r="B161">
        <v>8.2018354475754202E-2</v>
      </c>
      <c r="C161">
        <v>7.6634620717760199E-2</v>
      </c>
      <c r="G161" s="1">
        <v>38018</v>
      </c>
      <c r="H161" s="1">
        <v>38047</v>
      </c>
      <c r="I161" s="1">
        <v>38078</v>
      </c>
      <c r="J161">
        <v>5.5475000000000003</v>
      </c>
      <c r="K161">
        <v>8.2018354475754202E-2</v>
      </c>
      <c r="L161">
        <v>5.6295183544757501</v>
      </c>
    </row>
    <row r="162" spans="1:12" x14ac:dyDescent="0.25">
      <c r="A162" s="1">
        <v>38047</v>
      </c>
      <c r="B162">
        <v>9.3129644665273695E-2</v>
      </c>
      <c r="C162">
        <v>0.104435143966239</v>
      </c>
      <c r="G162" s="1">
        <v>38047</v>
      </c>
      <c r="H162" s="1">
        <v>38078</v>
      </c>
      <c r="I162" s="1">
        <v>38108</v>
      </c>
      <c r="J162">
        <v>5.375</v>
      </c>
      <c r="K162">
        <v>9.3129644665273695E-2</v>
      </c>
      <c r="L162">
        <v>5.4681296446652699</v>
      </c>
    </row>
    <row r="163" spans="1:12" x14ac:dyDescent="0.25">
      <c r="A163" s="1">
        <v>38078</v>
      </c>
      <c r="B163">
        <v>9.6914101720730103E-2</v>
      </c>
      <c r="C163">
        <v>0.10967254047819</v>
      </c>
      <c r="G163" s="1">
        <v>38078</v>
      </c>
      <c r="H163" s="1">
        <v>38108</v>
      </c>
      <c r="I163" s="1">
        <v>38139</v>
      </c>
      <c r="J163">
        <v>5.8262499999999902</v>
      </c>
      <c r="K163">
        <v>9.6914101720730103E-2</v>
      </c>
      <c r="L163">
        <v>5.9231641017207304</v>
      </c>
    </row>
    <row r="164" spans="1:12" x14ac:dyDescent="0.25">
      <c r="A164" s="1">
        <v>38108</v>
      </c>
      <c r="B164">
        <v>0.15026699796972101</v>
      </c>
      <c r="C164">
        <v>0.23669330946473399</v>
      </c>
      <c r="G164" s="1">
        <v>38108</v>
      </c>
      <c r="H164" s="1">
        <v>38139</v>
      </c>
      <c r="I164" s="1">
        <v>38169</v>
      </c>
      <c r="J164">
        <v>6.18874999999999</v>
      </c>
      <c r="K164">
        <v>0.15026699796972101</v>
      </c>
      <c r="L164">
        <v>6.3390169979697202</v>
      </c>
    </row>
    <row r="165" spans="1:12" x14ac:dyDescent="0.25">
      <c r="A165" s="1">
        <v>38139</v>
      </c>
      <c r="B165">
        <v>0.16338483389855299</v>
      </c>
      <c r="C165">
        <v>0.143788651752736</v>
      </c>
      <c r="G165" s="1">
        <v>38139</v>
      </c>
      <c r="H165" s="1">
        <v>38169</v>
      </c>
      <c r="I165" s="1">
        <v>38200</v>
      </c>
      <c r="J165">
        <v>6.1769999999999996</v>
      </c>
      <c r="K165">
        <v>0.16338483389855299</v>
      </c>
      <c r="L165">
        <v>6.3403848338985496</v>
      </c>
    </row>
    <row r="166" spans="1:12" x14ac:dyDescent="0.25">
      <c r="A166" s="1">
        <v>38169</v>
      </c>
      <c r="B166">
        <v>0.155619487930659</v>
      </c>
      <c r="C166">
        <v>8.6376502574507699E-2</v>
      </c>
      <c r="G166" s="1">
        <v>38169</v>
      </c>
      <c r="H166" s="1">
        <v>38200</v>
      </c>
      <c r="I166" s="1">
        <v>38231</v>
      </c>
      <c r="J166">
        <v>5.9175000000000004</v>
      </c>
      <c r="K166">
        <v>0.155619487930659</v>
      </c>
      <c r="L166">
        <v>6.0731194879306596</v>
      </c>
    </row>
    <row r="167" spans="1:12" x14ac:dyDescent="0.25">
      <c r="A167" s="1">
        <v>38200</v>
      </c>
      <c r="B167">
        <v>0.110573066893059</v>
      </c>
      <c r="C167">
        <v>0.10155404635193301</v>
      </c>
      <c r="G167" s="1">
        <v>38200</v>
      </c>
      <c r="H167" s="1">
        <v>38231</v>
      </c>
      <c r="I167" s="1">
        <v>38261</v>
      </c>
      <c r="J167">
        <v>5.7862499999999999</v>
      </c>
      <c r="K167">
        <v>0.110573066893059</v>
      </c>
      <c r="L167">
        <v>5.8968230668930497</v>
      </c>
    </row>
    <row r="168" spans="1:12" x14ac:dyDescent="0.25">
      <c r="A168" s="1">
        <v>38231</v>
      </c>
      <c r="B168">
        <v>9.7524205047659795E-2</v>
      </c>
      <c r="C168">
        <v>0.104642066216538</v>
      </c>
      <c r="G168" s="1">
        <v>38231</v>
      </c>
      <c r="H168" s="1">
        <v>38261</v>
      </c>
      <c r="I168" s="1">
        <v>38292</v>
      </c>
      <c r="J168">
        <v>5.6890000000000001</v>
      </c>
      <c r="K168">
        <v>9.7524205047659795E-2</v>
      </c>
      <c r="L168">
        <v>5.7865242050476597</v>
      </c>
    </row>
    <row r="169" spans="1:12" x14ac:dyDescent="0.25">
      <c r="A169" s="1">
        <v>38261</v>
      </c>
      <c r="B169">
        <v>0.111632580471201</v>
      </c>
      <c r="C169">
        <v>0.128701628845132</v>
      </c>
      <c r="G169" s="1">
        <v>38261</v>
      </c>
      <c r="H169" s="1">
        <v>38292</v>
      </c>
      <c r="I169" s="1">
        <v>38322</v>
      </c>
      <c r="J169">
        <v>5.6349999999999998</v>
      </c>
      <c r="K169">
        <v>0.111632580471201</v>
      </c>
      <c r="L169">
        <v>5.7466325804712</v>
      </c>
    </row>
    <row r="170" spans="1:12" x14ac:dyDescent="0.25">
      <c r="A170" s="1">
        <v>38292</v>
      </c>
      <c r="B170">
        <v>0.109413431572097</v>
      </c>
      <c r="C170">
        <v>9.4896599654619995E-2</v>
      </c>
      <c r="G170" s="1">
        <v>38292</v>
      </c>
      <c r="H170" s="1">
        <v>38322</v>
      </c>
      <c r="I170" s="1">
        <v>38353</v>
      </c>
      <c r="J170">
        <v>5.6362500000000004</v>
      </c>
      <c r="K170">
        <v>0.109413431572097</v>
      </c>
      <c r="L170">
        <v>5.7456634315720896</v>
      </c>
    </row>
    <row r="171" spans="1:12" x14ac:dyDescent="0.25">
      <c r="A171" s="1">
        <v>38322</v>
      </c>
      <c r="B171">
        <v>0.114216763561964</v>
      </c>
      <c r="C171">
        <v>0.11905206218614001</v>
      </c>
      <c r="G171" s="1">
        <v>38322</v>
      </c>
      <c r="H171" s="1">
        <v>38353</v>
      </c>
      <c r="I171" s="1">
        <v>38384</v>
      </c>
      <c r="J171">
        <v>5.6569999999999903</v>
      </c>
      <c r="K171">
        <v>0.114216763561964</v>
      </c>
      <c r="L171">
        <v>5.7712167635619602</v>
      </c>
    </row>
    <row r="172" spans="1:12" x14ac:dyDescent="0.25">
      <c r="A172" s="1">
        <v>38353</v>
      </c>
      <c r="B172">
        <v>9.5339708454664093E-2</v>
      </c>
      <c r="C172">
        <v>7.2070463523231404E-2</v>
      </c>
      <c r="G172" s="1">
        <v>38353</v>
      </c>
      <c r="H172" s="1">
        <v>38384</v>
      </c>
      <c r="I172" s="1">
        <v>38412</v>
      </c>
      <c r="J172">
        <v>5.6224999999999996</v>
      </c>
      <c r="K172">
        <v>9.5339708454664093E-2</v>
      </c>
      <c r="L172">
        <v>5.7178397084546599</v>
      </c>
    </row>
    <row r="173" spans="1:12" x14ac:dyDescent="0.25">
      <c r="A173" s="1">
        <v>38384</v>
      </c>
      <c r="B173">
        <v>8.4183201538760299E-2</v>
      </c>
      <c r="C173">
        <v>6.1427078906908503E-2</v>
      </c>
      <c r="G173" s="1">
        <v>38384</v>
      </c>
      <c r="H173" s="1">
        <v>38412</v>
      </c>
      <c r="I173" s="1">
        <v>38443</v>
      </c>
      <c r="J173">
        <v>5.5587499999999999</v>
      </c>
      <c r="K173">
        <v>8.4183201538760299E-2</v>
      </c>
      <c r="L173">
        <v>5.6429332015387601</v>
      </c>
    </row>
    <row r="174" spans="1:12" x14ac:dyDescent="0.25">
      <c r="A174" s="1">
        <v>38412</v>
      </c>
      <c r="B174">
        <v>6.2725884275310798E-2</v>
      </c>
      <c r="C174">
        <v>5.4680110395792597E-2</v>
      </c>
      <c r="G174" s="1">
        <v>38412</v>
      </c>
      <c r="H174" s="1">
        <v>38443</v>
      </c>
      <c r="I174" s="1">
        <v>38473</v>
      </c>
      <c r="J174">
        <v>5.8479999999999999</v>
      </c>
      <c r="K174">
        <v>6.2725884275310798E-2</v>
      </c>
      <c r="L174">
        <v>5.9107258842753101</v>
      </c>
    </row>
    <row r="175" spans="1:12" x14ac:dyDescent="0.25">
      <c r="A175" s="1">
        <v>38443</v>
      </c>
      <c r="B175">
        <v>5.2266822398781103E-2</v>
      </c>
      <c r="C175">
        <v>4.0693277893642001E-2</v>
      </c>
      <c r="G175" s="1">
        <v>38443</v>
      </c>
      <c r="H175" s="1">
        <v>38473</v>
      </c>
      <c r="I175" s="1">
        <v>38504</v>
      </c>
      <c r="J175">
        <v>5.7612500000000004</v>
      </c>
      <c r="K175">
        <v>5.2266822398781103E-2</v>
      </c>
      <c r="L175">
        <v>5.8135168223987801</v>
      </c>
    </row>
    <row r="176" spans="1:12" x14ac:dyDescent="0.25">
      <c r="A176" s="1">
        <v>38473</v>
      </c>
      <c r="B176">
        <v>2.5688145834506401E-2</v>
      </c>
      <c r="C176">
        <v>-1.83089507859154E-2</v>
      </c>
      <c r="G176" s="1">
        <v>38473</v>
      </c>
      <c r="H176" s="1">
        <v>38504</v>
      </c>
      <c r="I176" s="1">
        <v>38534</v>
      </c>
      <c r="J176">
        <v>5.62</v>
      </c>
      <c r="K176">
        <v>2.5688145834506401E-2</v>
      </c>
      <c r="L176">
        <v>5.6456881458344998</v>
      </c>
    </row>
    <row r="177" spans="1:12" x14ac:dyDescent="0.25">
      <c r="A177" s="1">
        <v>38504</v>
      </c>
      <c r="B177">
        <v>6.2190935223258399E-3</v>
      </c>
      <c r="C177">
        <v>-3.72704654074906E-3</v>
      </c>
      <c r="G177" s="1">
        <v>38504</v>
      </c>
      <c r="H177" s="1">
        <v>38534</v>
      </c>
      <c r="I177" s="1">
        <v>38565</v>
      </c>
      <c r="J177">
        <v>5.4769999999999897</v>
      </c>
      <c r="K177">
        <v>6.2190935223258399E-3</v>
      </c>
      <c r="L177">
        <v>5.4832190935223197</v>
      </c>
    </row>
    <row r="178" spans="1:12" x14ac:dyDescent="0.25">
      <c r="A178" s="1">
        <v>38534</v>
      </c>
      <c r="B178">
        <v>-4.55008608425301E-3</v>
      </c>
      <c r="C178">
        <v>8.3857390739055203E-3</v>
      </c>
      <c r="G178" s="1">
        <v>38534</v>
      </c>
      <c r="H178" s="1">
        <v>38565</v>
      </c>
      <c r="I178" s="1">
        <v>38596</v>
      </c>
      <c r="J178">
        <v>5.5762499999999999</v>
      </c>
      <c r="K178">
        <v>-4.55008608425301E-3</v>
      </c>
      <c r="L178">
        <v>5.5716999139157402</v>
      </c>
    </row>
    <row r="179" spans="1:12" x14ac:dyDescent="0.25">
      <c r="A179" s="1">
        <v>38565</v>
      </c>
      <c r="B179">
        <v>1.95199617885893E-2</v>
      </c>
      <c r="C179">
        <v>5.3901192832611397E-2</v>
      </c>
      <c r="G179" s="1">
        <v>38565</v>
      </c>
      <c r="H179" s="1">
        <v>38596</v>
      </c>
      <c r="I179" s="1">
        <v>38626</v>
      </c>
      <c r="J179">
        <v>5.6829999999999998</v>
      </c>
      <c r="K179">
        <v>1.95199617885893E-2</v>
      </c>
      <c r="L179">
        <v>5.70251996178858</v>
      </c>
    </row>
    <row r="180" spans="1:12" x14ac:dyDescent="0.25">
      <c r="A180" s="1">
        <v>38596</v>
      </c>
      <c r="B180">
        <v>2.19984499450025E-2</v>
      </c>
      <c r="C180">
        <v>3.7084179284905001E-3</v>
      </c>
      <c r="G180" s="1">
        <v>38596</v>
      </c>
      <c r="H180" s="1">
        <v>38626</v>
      </c>
      <c r="I180" s="1">
        <v>38657</v>
      </c>
      <c r="J180">
        <v>5.6837499999999999</v>
      </c>
      <c r="K180">
        <v>2.19984499450025E-2</v>
      </c>
      <c r="L180">
        <v>5.7057484499450002</v>
      </c>
    </row>
    <row r="181" spans="1:12" x14ac:dyDescent="0.25">
      <c r="A181" s="1">
        <v>38626</v>
      </c>
      <c r="B181">
        <v>2.1843782991542299E-2</v>
      </c>
      <c r="C181">
        <v>7.9217382135251899E-3</v>
      </c>
      <c r="G181" s="1">
        <v>38626</v>
      </c>
      <c r="H181" s="1">
        <v>38657</v>
      </c>
      <c r="I181" s="1">
        <v>38687</v>
      </c>
      <c r="J181">
        <v>5.9462499999999903</v>
      </c>
      <c r="K181">
        <v>2.1843782991542299E-2</v>
      </c>
      <c r="L181">
        <v>5.9680937829915397</v>
      </c>
    </row>
    <row r="182" spans="1:12" x14ac:dyDescent="0.25">
      <c r="A182" s="1">
        <v>38657</v>
      </c>
      <c r="B182">
        <v>4.2435029078618401E-3</v>
      </c>
      <c r="C182">
        <v>1.10035258156983E-3</v>
      </c>
      <c r="G182" s="1">
        <v>38657</v>
      </c>
      <c r="H182" s="1">
        <v>38687</v>
      </c>
      <c r="I182" s="1">
        <v>38718</v>
      </c>
      <c r="J182">
        <v>6.2009999999999996</v>
      </c>
      <c r="K182">
        <v>4.2435029078618401E-3</v>
      </c>
      <c r="L182">
        <v>6.2052435029078596</v>
      </c>
    </row>
    <row r="183" spans="1:12" x14ac:dyDescent="0.25">
      <c r="A183" s="1">
        <v>38687</v>
      </c>
      <c r="B183">
        <v>-5.5310357553058596E-3</v>
      </c>
      <c r="C183">
        <v>-2.56151980610126E-2</v>
      </c>
      <c r="G183" s="1">
        <v>38687</v>
      </c>
      <c r="H183" s="1">
        <v>38718</v>
      </c>
      <c r="I183" s="1">
        <v>38749</v>
      </c>
      <c r="J183">
        <v>6.1624999999999996</v>
      </c>
      <c r="K183">
        <v>-5.5310357553058596E-3</v>
      </c>
      <c r="L183">
        <v>6.1569689642446903</v>
      </c>
    </row>
    <row r="184" spans="1:12" x14ac:dyDescent="0.25">
      <c r="A184" s="1">
        <v>38718</v>
      </c>
      <c r="B184">
        <v>-6.3947127766341205E-2</v>
      </c>
      <c r="C184">
        <v>-0.16732653781958101</v>
      </c>
      <c r="G184" s="1">
        <v>38718</v>
      </c>
      <c r="H184" s="1">
        <v>38749</v>
      </c>
      <c r="I184" s="1">
        <v>38777</v>
      </c>
      <c r="J184">
        <v>6.0262500000000001</v>
      </c>
      <c r="K184">
        <v>-6.3947127766341205E-2</v>
      </c>
      <c r="L184">
        <v>5.96230287223365</v>
      </c>
    </row>
    <row r="185" spans="1:12" x14ac:dyDescent="0.25">
      <c r="A185" s="1">
        <v>38749</v>
      </c>
      <c r="B185">
        <v>-0.11505255398212701</v>
      </c>
      <c r="C185">
        <v>-0.15221592606578899</v>
      </c>
      <c r="G185" s="1">
        <v>38749</v>
      </c>
      <c r="H185" s="1">
        <v>38777</v>
      </c>
      <c r="I185" s="1">
        <v>38808</v>
      </c>
      <c r="J185">
        <v>6.14</v>
      </c>
      <c r="K185">
        <v>-0.11505255398212701</v>
      </c>
      <c r="L185">
        <v>6.0249474460178698</v>
      </c>
    </row>
    <row r="186" spans="1:12" x14ac:dyDescent="0.25">
      <c r="A186" s="1">
        <v>38777</v>
      </c>
      <c r="B186">
        <v>-0.15831295384490901</v>
      </c>
      <c r="C186">
        <v>-0.155396397649358</v>
      </c>
      <c r="G186" s="1">
        <v>38777</v>
      </c>
      <c r="H186" s="1">
        <v>38808</v>
      </c>
      <c r="I186" s="1">
        <v>38838</v>
      </c>
      <c r="J186">
        <v>6.2240000000000002</v>
      </c>
      <c r="K186">
        <v>-0.15831295384490901</v>
      </c>
      <c r="L186">
        <v>6.06568704615509</v>
      </c>
    </row>
    <row r="187" spans="1:12" x14ac:dyDescent="0.25">
      <c r="A187" s="1">
        <v>38808</v>
      </c>
      <c r="B187">
        <v>-0.14947931894306901</v>
      </c>
      <c r="C187">
        <v>-0.14082563311405999</v>
      </c>
      <c r="G187" s="1">
        <v>38808</v>
      </c>
      <c r="H187" s="1">
        <v>38838</v>
      </c>
      <c r="I187" s="1">
        <v>38869</v>
      </c>
      <c r="J187">
        <v>6.4012500000000001</v>
      </c>
      <c r="K187">
        <v>-0.14947931894306901</v>
      </c>
      <c r="L187">
        <v>6.2517706810569296</v>
      </c>
    </row>
    <row r="188" spans="1:12" x14ac:dyDescent="0.25">
      <c r="A188" s="1">
        <v>38838</v>
      </c>
      <c r="B188">
        <v>-0.131389701125083</v>
      </c>
      <c r="C188">
        <v>-9.7947072611831998E-2</v>
      </c>
      <c r="G188" s="1">
        <v>38838</v>
      </c>
      <c r="H188" s="1">
        <v>38869</v>
      </c>
      <c r="I188" s="1">
        <v>38899</v>
      </c>
      <c r="J188">
        <v>6.4819999999999904</v>
      </c>
      <c r="K188">
        <v>-0.131389701125083</v>
      </c>
      <c r="L188">
        <v>6.3506102988749102</v>
      </c>
    </row>
    <row r="189" spans="1:12" x14ac:dyDescent="0.25">
      <c r="A189" s="1">
        <v>38869</v>
      </c>
      <c r="B189">
        <v>-0.10555983577360099</v>
      </c>
      <c r="C189">
        <v>-7.7906801594913297E-2</v>
      </c>
      <c r="G189" s="1">
        <v>38869</v>
      </c>
      <c r="H189" s="1">
        <v>38899</v>
      </c>
      <c r="I189" s="1">
        <v>38930</v>
      </c>
      <c r="J189">
        <v>6.56</v>
      </c>
      <c r="K189">
        <v>-0.10555983577360099</v>
      </c>
      <c r="L189">
        <v>6.4544401642263898</v>
      </c>
    </row>
    <row r="190" spans="1:12" x14ac:dyDescent="0.25">
      <c r="A190" s="1">
        <v>38899</v>
      </c>
      <c r="B190">
        <v>-7.08860825298228E-2</v>
      </c>
      <c r="C190">
        <v>-3.6804373382723202E-2</v>
      </c>
      <c r="G190" s="1">
        <v>38899</v>
      </c>
      <c r="H190" s="1">
        <v>38930</v>
      </c>
      <c r="I190" s="1">
        <v>38961</v>
      </c>
      <c r="J190">
        <v>6.6312499999999996</v>
      </c>
      <c r="K190">
        <v>-7.08860825298228E-2</v>
      </c>
      <c r="L190">
        <v>6.5603639174701698</v>
      </c>
    </row>
    <row r="191" spans="1:12" x14ac:dyDescent="0.25">
      <c r="A191" s="1">
        <v>38930</v>
      </c>
      <c r="B191">
        <v>-5.3003232381026701E-2</v>
      </c>
      <c r="C191">
        <v>-4.4298522165443797E-2</v>
      </c>
      <c r="G191" s="1">
        <v>38930</v>
      </c>
      <c r="H191" s="1">
        <v>38961</v>
      </c>
      <c r="I191" s="1">
        <v>38991</v>
      </c>
      <c r="J191">
        <v>6.3639999999999999</v>
      </c>
      <c r="K191">
        <v>-5.3003232381026701E-2</v>
      </c>
      <c r="L191">
        <v>6.3109967676189704</v>
      </c>
    </row>
    <row r="192" spans="1:12" x14ac:dyDescent="0.25">
      <c r="A192" s="1">
        <v>38961</v>
      </c>
      <c r="B192">
        <v>-3.3099010418685897E-2</v>
      </c>
      <c r="C192">
        <v>-1.8194135707890802E-2</v>
      </c>
      <c r="G192" s="1">
        <v>38961</v>
      </c>
      <c r="H192" s="1">
        <v>38991</v>
      </c>
      <c r="I192" s="1">
        <v>39022</v>
      </c>
      <c r="J192">
        <v>6.2649999999999997</v>
      </c>
      <c r="K192">
        <v>-3.3099010418685897E-2</v>
      </c>
      <c r="L192">
        <v>6.2319009895813098</v>
      </c>
    </row>
    <row r="193" spans="1:12" x14ac:dyDescent="0.25">
      <c r="A193" s="1">
        <v>38991</v>
      </c>
      <c r="B193">
        <v>-2.54665240039775E-2</v>
      </c>
      <c r="C193">
        <v>-1.3906914138598001E-2</v>
      </c>
      <c r="G193" s="1">
        <v>38991</v>
      </c>
      <c r="H193" s="1">
        <v>39022</v>
      </c>
      <c r="I193" s="1">
        <v>39052</v>
      </c>
      <c r="J193">
        <v>6.2137500000000001</v>
      </c>
      <c r="K193">
        <v>-2.54665240039775E-2</v>
      </c>
      <c r="L193">
        <v>6.1882834759960197</v>
      </c>
    </row>
    <row r="194" spans="1:12" x14ac:dyDescent="0.25">
      <c r="A194" s="1">
        <v>39022</v>
      </c>
      <c r="B194">
        <v>-5.2959314706394096E-3</v>
      </c>
      <c r="C194">
        <v>1.62132554345705E-2</v>
      </c>
      <c r="G194" s="1">
        <v>39022</v>
      </c>
      <c r="H194" s="1">
        <v>39052</v>
      </c>
      <c r="I194" s="1">
        <v>39083</v>
      </c>
      <c r="J194">
        <v>6.11</v>
      </c>
      <c r="K194">
        <v>-5.2959314706394096E-3</v>
      </c>
      <c r="L194">
        <v>6.1047040685293599</v>
      </c>
    </row>
    <row r="195" spans="1:12" x14ac:dyDescent="0.25">
      <c r="A195" s="1">
        <v>39052</v>
      </c>
      <c r="B195">
        <v>4.9739517850209396E-3</v>
      </c>
      <c r="C195">
        <v>1.2615514059090199E-2</v>
      </c>
      <c r="G195" s="1">
        <v>39052</v>
      </c>
      <c r="H195" s="1">
        <v>39083</v>
      </c>
      <c r="I195" s="1">
        <v>39114</v>
      </c>
      <c r="J195">
        <v>5.9912499999999902</v>
      </c>
      <c r="K195">
        <v>4.9739517850209396E-3</v>
      </c>
      <c r="L195">
        <v>5.9962239517850202</v>
      </c>
    </row>
    <row r="196" spans="1:12" x14ac:dyDescent="0.25">
      <c r="A196" s="1">
        <v>39083</v>
      </c>
      <c r="B196">
        <v>4.6516762416295002E-2</v>
      </c>
      <c r="C196">
        <v>0.110721517755224</v>
      </c>
      <c r="G196" s="1">
        <v>39083</v>
      </c>
      <c r="H196" s="1">
        <v>39114</v>
      </c>
      <c r="I196" s="1">
        <v>39142</v>
      </c>
      <c r="J196">
        <v>6.0919999999999996</v>
      </c>
      <c r="K196">
        <v>4.6516762416295002E-2</v>
      </c>
      <c r="L196">
        <v>6.1385167624162902</v>
      </c>
    </row>
    <row r="197" spans="1:12" x14ac:dyDescent="0.25">
      <c r="A197" s="1">
        <v>39114</v>
      </c>
      <c r="B197">
        <v>6.2385197643235003E-2</v>
      </c>
      <c r="C197">
        <v>6.3818561115390596E-2</v>
      </c>
      <c r="G197" s="1">
        <v>39114</v>
      </c>
      <c r="H197" s="1">
        <v>39142</v>
      </c>
      <c r="I197" s="1">
        <v>39173</v>
      </c>
      <c r="J197">
        <v>6.09499999999999</v>
      </c>
      <c r="K197">
        <v>6.2385197643235003E-2</v>
      </c>
      <c r="L197">
        <v>6.1573851976432303</v>
      </c>
    </row>
    <row r="198" spans="1:12" x14ac:dyDescent="0.25">
      <c r="A198" s="1">
        <v>39142</v>
      </c>
      <c r="B198">
        <v>6.5195553132396597E-2</v>
      </c>
      <c r="C198">
        <v>2.10465805265749E-2</v>
      </c>
      <c r="G198" s="1">
        <v>39142</v>
      </c>
      <c r="H198" s="1">
        <v>39173</v>
      </c>
      <c r="I198" s="1">
        <v>39203</v>
      </c>
      <c r="J198">
        <v>6.0062499999999996</v>
      </c>
      <c r="K198">
        <v>6.5195553132396597E-2</v>
      </c>
      <c r="L198">
        <v>6.0714455531323903</v>
      </c>
    </row>
    <row r="199" spans="1:12" x14ac:dyDescent="0.25">
      <c r="A199" s="1">
        <v>39173</v>
      </c>
      <c r="B199">
        <v>5.2174588719290503E-2</v>
      </c>
      <c r="C199">
        <v>7.16586245159061E-2</v>
      </c>
      <c r="G199" s="1">
        <v>39173</v>
      </c>
      <c r="H199" s="1">
        <v>39203</v>
      </c>
      <c r="I199" s="1">
        <v>39234</v>
      </c>
      <c r="J199">
        <v>6.0425000000000004</v>
      </c>
      <c r="K199">
        <v>5.2174588719290503E-2</v>
      </c>
      <c r="L199">
        <v>6.0946745887192897</v>
      </c>
    </row>
    <row r="200" spans="1:12" x14ac:dyDescent="0.25">
      <c r="A200" s="1">
        <v>39203</v>
      </c>
      <c r="B200">
        <v>5.2331817253047801E-2</v>
      </c>
      <c r="C200">
        <v>6.4290246716662294E-2</v>
      </c>
      <c r="G200" s="1">
        <v>39203</v>
      </c>
      <c r="H200" s="1">
        <v>39234</v>
      </c>
      <c r="I200" s="1">
        <v>39264</v>
      </c>
      <c r="J200">
        <v>6.1219999999999999</v>
      </c>
      <c r="K200">
        <v>5.2331817253047801E-2</v>
      </c>
      <c r="L200">
        <v>6.1743318172530399</v>
      </c>
    </row>
    <row r="201" spans="1:12" x14ac:dyDescent="0.25">
      <c r="A201" s="1">
        <v>39234</v>
      </c>
      <c r="B201">
        <v>5.9258418583418501E-2</v>
      </c>
      <c r="C201">
        <v>4.1826384517687103E-2</v>
      </c>
      <c r="G201" s="1">
        <v>39234</v>
      </c>
      <c r="H201" s="1">
        <v>39264</v>
      </c>
      <c r="I201" s="1">
        <v>39295</v>
      </c>
      <c r="J201">
        <v>6.5137499999999999</v>
      </c>
      <c r="K201">
        <v>5.9258418583418501E-2</v>
      </c>
      <c r="L201">
        <v>6.5730084185834103</v>
      </c>
    </row>
    <row r="202" spans="1:12" x14ac:dyDescent="0.25">
      <c r="A202" s="1">
        <v>39264</v>
      </c>
      <c r="B202">
        <v>5.0788534341692899E-2</v>
      </c>
      <c r="C202">
        <v>4.6248971790729301E-2</v>
      </c>
      <c r="G202" s="1">
        <v>39264</v>
      </c>
      <c r="H202" s="1">
        <v>39295</v>
      </c>
      <c r="I202" s="1">
        <v>39326</v>
      </c>
      <c r="J202">
        <v>6.5449999999999999</v>
      </c>
      <c r="K202">
        <v>5.0788534341692899E-2</v>
      </c>
      <c r="L202">
        <v>6.5957885343416898</v>
      </c>
    </row>
    <row r="203" spans="1:12" x14ac:dyDescent="0.25">
      <c r="A203" s="1">
        <v>39295</v>
      </c>
      <c r="B203">
        <v>1.3462805885310101E-2</v>
      </c>
      <c r="C203">
        <v>-4.76869386524858E-2</v>
      </c>
      <c r="G203" s="1">
        <v>39295</v>
      </c>
      <c r="H203" s="1">
        <v>39326</v>
      </c>
      <c r="I203" s="1">
        <v>39356</v>
      </c>
      <c r="J203">
        <v>6.4219999999999997</v>
      </c>
      <c r="K203">
        <v>1.3462805885310101E-2</v>
      </c>
      <c r="L203">
        <v>6.4354628058853098</v>
      </c>
    </row>
    <row r="204" spans="1:12" x14ac:dyDescent="0.25">
      <c r="A204" s="1">
        <v>39326</v>
      </c>
      <c r="B204">
        <v>-9.5138765641466592E-3</v>
      </c>
      <c r="C204">
        <v>-2.7103662830683401E-2</v>
      </c>
      <c r="G204" s="1">
        <v>39326</v>
      </c>
      <c r="H204" s="1">
        <v>39356</v>
      </c>
      <c r="I204" s="1">
        <v>39387</v>
      </c>
      <c r="J204">
        <v>6.2575000000000003</v>
      </c>
      <c r="K204">
        <v>-9.5138765641466592E-3</v>
      </c>
      <c r="L204">
        <v>6.24798612343585</v>
      </c>
    </row>
    <row r="205" spans="1:12" x14ac:dyDescent="0.25">
      <c r="A205" s="1">
        <v>39356</v>
      </c>
      <c r="B205">
        <v>-3.3015536226656497E-2</v>
      </c>
      <c r="C205">
        <v>-2.4256007196800301E-2</v>
      </c>
      <c r="G205" s="1">
        <v>39356</v>
      </c>
      <c r="H205" s="1">
        <v>39387</v>
      </c>
      <c r="I205" s="1">
        <v>39417</v>
      </c>
      <c r="J205">
        <v>6.2169999999999996</v>
      </c>
      <c r="K205">
        <v>-3.3015536226656497E-2</v>
      </c>
      <c r="L205">
        <v>6.1839844637733403</v>
      </c>
    </row>
    <row r="206" spans="1:12" x14ac:dyDescent="0.25">
      <c r="A206" s="1">
        <v>39387</v>
      </c>
      <c r="B206">
        <v>-1.5037015303053999E-2</v>
      </c>
      <c r="C206">
        <v>6.2486241183215604E-3</v>
      </c>
      <c r="G206" s="1">
        <v>39387</v>
      </c>
      <c r="H206" s="1">
        <v>39417</v>
      </c>
      <c r="I206" s="1">
        <v>39448</v>
      </c>
      <c r="J206">
        <v>6.0574999999999903</v>
      </c>
      <c r="K206">
        <v>-1.5037015303053999E-2</v>
      </c>
      <c r="L206">
        <v>6.0424629846969404</v>
      </c>
    </row>
    <row r="207" spans="1:12" x14ac:dyDescent="0.25">
      <c r="A207" s="1">
        <v>39417</v>
      </c>
      <c r="B207">
        <v>-1.92828166917068E-3</v>
      </c>
      <c r="C207">
        <v>1.2222538070966699E-2</v>
      </c>
      <c r="G207" s="1">
        <v>39417</v>
      </c>
      <c r="H207" s="1">
        <v>39448</v>
      </c>
      <c r="I207" s="1">
        <v>39479</v>
      </c>
      <c r="J207">
        <v>5.9574999999999996</v>
      </c>
      <c r="K207">
        <v>-1.92828166917068E-3</v>
      </c>
      <c r="L207">
        <v>5.9555717183308197</v>
      </c>
    </row>
    <row r="208" spans="1:12" x14ac:dyDescent="0.25">
      <c r="A208" s="1">
        <v>39448</v>
      </c>
      <c r="B208">
        <v>8.6219741786681906E-3</v>
      </c>
      <c r="C208">
        <v>7.3947603467163E-3</v>
      </c>
      <c r="G208" s="1">
        <v>39448</v>
      </c>
      <c r="H208" s="1">
        <v>39479</v>
      </c>
      <c r="I208" s="1">
        <v>39508</v>
      </c>
      <c r="J208">
        <v>5.6180000000000003</v>
      </c>
      <c r="K208">
        <v>8.6219741786681906E-3</v>
      </c>
      <c r="L208">
        <v>5.6266219741786596</v>
      </c>
    </row>
    <row r="209" spans="1:12" x14ac:dyDescent="0.25">
      <c r="A209" s="1">
        <v>39479</v>
      </c>
      <c r="B209">
        <v>2.4260235165021099E-2</v>
      </c>
      <c r="C209">
        <v>5.3163407077380397E-2</v>
      </c>
      <c r="G209" s="1">
        <v>39479</v>
      </c>
      <c r="H209" s="1">
        <v>39508</v>
      </c>
      <c r="I209" s="1">
        <v>39539</v>
      </c>
      <c r="J209">
        <v>5.7862499999999999</v>
      </c>
      <c r="K209">
        <v>2.4260235165021099E-2</v>
      </c>
      <c r="L209">
        <v>5.8105102351650197</v>
      </c>
    </row>
    <row r="210" spans="1:12" x14ac:dyDescent="0.25">
      <c r="A210" s="1">
        <v>39508</v>
      </c>
      <c r="B210">
        <v>5.63973537474525E-2</v>
      </c>
      <c r="C210">
        <v>0.10863389381826</v>
      </c>
      <c r="G210" s="1">
        <v>39508</v>
      </c>
      <c r="H210" s="1">
        <v>39539</v>
      </c>
      <c r="I210" s="1">
        <v>39569</v>
      </c>
      <c r="J210">
        <v>5.8387500000000001</v>
      </c>
      <c r="K210">
        <v>5.63973537474525E-2</v>
      </c>
      <c r="L210">
        <v>5.8951473537474497</v>
      </c>
    </row>
    <row r="211" spans="1:12" x14ac:dyDescent="0.25">
      <c r="A211" s="1">
        <v>39539</v>
      </c>
      <c r="B211">
        <v>6.3613155113105793E-2</v>
      </c>
      <c r="C211">
        <v>2.9042164443676299E-2</v>
      </c>
      <c r="G211" s="1">
        <v>39539</v>
      </c>
      <c r="H211" s="1">
        <v>39569</v>
      </c>
      <c r="I211" s="1">
        <v>39600</v>
      </c>
      <c r="J211">
        <v>5.8010000000000002</v>
      </c>
      <c r="K211">
        <v>6.3613155113105793E-2</v>
      </c>
      <c r="L211">
        <v>5.8646131551131004</v>
      </c>
    </row>
    <row r="212" spans="1:12" x14ac:dyDescent="0.25">
      <c r="A212" s="1">
        <v>39569</v>
      </c>
      <c r="B212">
        <v>4.7002908470268799E-2</v>
      </c>
      <c r="C212">
        <v>3.3326671488694598E-3</v>
      </c>
      <c r="G212" s="1">
        <v>39569</v>
      </c>
      <c r="H212" s="1">
        <v>39600</v>
      </c>
      <c r="I212" s="1">
        <v>39630</v>
      </c>
      <c r="J212">
        <v>5.9050000000000002</v>
      </c>
      <c r="K212">
        <v>4.7002908470268799E-2</v>
      </c>
      <c r="L212">
        <v>5.9520029084702601</v>
      </c>
    </row>
    <row r="213" spans="1:12" x14ac:dyDescent="0.25">
      <c r="A213" s="1">
        <v>39600</v>
      </c>
      <c r="B213">
        <v>3.2541039404674899E-2</v>
      </c>
      <c r="C213">
        <v>6.5248286621478996E-2</v>
      </c>
      <c r="G213" s="1">
        <v>39600</v>
      </c>
      <c r="H213" s="1">
        <v>39630</v>
      </c>
      <c r="I213" s="1">
        <v>39661</v>
      </c>
      <c r="J213">
        <v>6.2324999999999999</v>
      </c>
      <c r="K213">
        <v>3.2541039404674899E-2</v>
      </c>
      <c r="L213">
        <v>6.2650410394046698</v>
      </c>
    </row>
    <row r="214" spans="1:12" x14ac:dyDescent="0.25">
      <c r="A214" s="1">
        <v>39630</v>
      </c>
      <c r="B214">
        <v>4.1505789023238697E-2</v>
      </c>
      <c r="C214">
        <v>5.5936413299367702E-2</v>
      </c>
      <c r="G214" s="1">
        <v>39630</v>
      </c>
      <c r="H214" s="1">
        <v>39661</v>
      </c>
      <c r="I214" s="1">
        <v>39692</v>
      </c>
      <c r="J214">
        <v>6.3310000000000004</v>
      </c>
      <c r="K214">
        <v>4.1505789023238697E-2</v>
      </c>
      <c r="L214">
        <v>6.3725057890232302</v>
      </c>
    </row>
    <row r="215" spans="1:12" x14ac:dyDescent="0.25">
      <c r="A215" s="1">
        <v>39661</v>
      </c>
      <c r="B215">
        <v>4.8603697656165103E-2</v>
      </c>
      <c r="C215">
        <v>2.46263930476485E-2</v>
      </c>
      <c r="G215" s="1">
        <v>39661</v>
      </c>
      <c r="H215" s="1">
        <v>39692</v>
      </c>
      <c r="I215" s="1">
        <v>39722</v>
      </c>
      <c r="J215">
        <v>6.3962499999999904</v>
      </c>
      <c r="K215">
        <v>4.8603697656165103E-2</v>
      </c>
      <c r="L215">
        <v>6.4448536976561597</v>
      </c>
    </row>
    <row r="216" spans="1:12" x14ac:dyDescent="0.25">
      <c r="A216" s="1">
        <v>39692</v>
      </c>
      <c r="B216">
        <v>2.1689932967922699E-2</v>
      </c>
      <c r="C216">
        <v>-1.5493007443248099E-2</v>
      </c>
      <c r="G216" s="1">
        <v>39692</v>
      </c>
      <c r="H216" s="1">
        <v>39722</v>
      </c>
      <c r="I216" s="1">
        <v>39753</v>
      </c>
      <c r="J216">
        <v>5.9562499999999998</v>
      </c>
      <c r="K216">
        <v>2.1689932967922699E-2</v>
      </c>
      <c r="L216">
        <v>5.9779399329679199</v>
      </c>
    </row>
    <row r="217" spans="1:12" x14ac:dyDescent="0.25">
      <c r="A217" s="1">
        <v>39722</v>
      </c>
      <c r="B217">
        <v>3.9194601276195701E-2</v>
      </c>
      <c r="C217">
        <v>0.108450418224186</v>
      </c>
      <c r="G217" s="1">
        <v>39722</v>
      </c>
      <c r="H217" s="1">
        <v>39753</v>
      </c>
      <c r="I217" s="1">
        <v>39783</v>
      </c>
      <c r="J217">
        <v>6.1050000000000004</v>
      </c>
      <c r="K217">
        <v>3.9194601276195701E-2</v>
      </c>
      <c r="L217">
        <v>6.1441946012761903</v>
      </c>
    </row>
    <row r="218" spans="1:12" x14ac:dyDescent="0.25">
      <c r="A218" s="1">
        <v>39753</v>
      </c>
      <c r="B218">
        <v>7.3997182217705307E-2</v>
      </c>
      <c r="C218">
        <v>0.12903413587217699</v>
      </c>
      <c r="G218" s="1">
        <v>39753</v>
      </c>
      <c r="H218" s="1">
        <v>39783</v>
      </c>
      <c r="I218" s="1">
        <v>39814</v>
      </c>
      <c r="J218">
        <v>6.0125000000000002</v>
      </c>
      <c r="K218">
        <v>7.3997182217705307E-2</v>
      </c>
      <c r="L218">
        <v>6.0864971822177001</v>
      </c>
    </row>
    <row r="219" spans="1:12" x14ac:dyDescent="0.25">
      <c r="A219" s="1">
        <v>39783</v>
      </c>
      <c r="B219">
        <v>0.12555627902154401</v>
      </c>
      <c r="C219">
        <v>0.13918428296826901</v>
      </c>
      <c r="G219" s="1">
        <v>39783</v>
      </c>
      <c r="H219" s="1">
        <v>39814</v>
      </c>
      <c r="I219" s="1">
        <v>39845</v>
      </c>
      <c r="J219">
        <v>5.2159999999999904</v>
      </c>
      <c r="K219">
        <v>0.12555627902154401</v>
      </c>
      <c r="L219">
        <v>5.3415562790215398</v>
      </c>
    </row>
    <row r="220" spans="1:12" x14ac:dyDescent="0.25">
      <c r="A220" s="1">
        <v>39814</v>
      </c>
      <c r="B220">
        <v>0.17221098123463</v>
      </c>
      <c r="C220">
        <v>0.24841452486344401</v>
      </c>
      <c r="G220" s="1">
        <v>39814</v>
      </c>
      <c r="H220" s="1">
        <v>39845</v>
      </c>
      <c r="I220" s="1">
        <v>39873</v>
      </c>
      <c r="J220">
        <v>4.9662499999999996</v>
      </c>
      <c r="K220">
        <v>0.17221098123463</v>
      </c>
      <c r="L220">
        <v>5.1384609812346298</v>
      </c>
    </row>
    <row r="221" spans="1:12" x14ac:dyDescent="0.25">
      <c r="A221" s="1">
        <v>39845</v>
      </c>
      <c r="B221">
        <v>0.21394945057748199</v>
      </c>
      <c r="C221">
        <v>0.25424954390073501</v>
      </c>
      <c r="G221" s="1">
        <v>39845</v>
      </c>
      <c r="H221" s="1">
        <v>39873</v>
      </c>
      <c r="I221" s="1">
        <v>39904</v>
      </c>
      <c r="J221">
        <v>5.0612500000000002</v>
      </c>
      <c r="K221">
        <v>0.21394945057748199</v>
      </c>
      <c r="L221">
        <v>5.27519945057748</v>
      </c>
    </row>
    <row r="222" spans="1:12" x14ac:dyDescent="0.25">
      <c r="A222" s="1">
        <v>39873</v>
      </c>
      <c r="B222">
        <v>0.26185578555018701</v>
      </c>
      <c r="C222">
        <v>0.28290328788638303</v>
      </c>
      <c r="G222" s="1">
        <v>39873</v>
      </c>
      <c r="H222" s="1">
        <v>39904</v>
      </c>
      <c r="I222" s="1">
        <v>39934</v>
      </c>
      <c r="J222">
        <v>4.9275000000000002</v>
      </c>
      <c r="K222">
        <v>0.26185578555018701</v>
      </c>
      <c r="L222">
        <v>5.1893557855501804</v>
      </c>
    </row>
    <row r="223" spans="1:12" x14ac:dyDescent="0.25">
      <c r="A223" s="1">
        <v>39904</v>
      </c>
      <c r="B223">
        <v>0.26015465022535</v>
      </c>
      <c r="C223">
        <v>0.243311118888932</v>
      </c>
      <c r="G223" s="1">
        <v>39904</v>
      </c>
      <c r="H223" s="1">
        <v>39934</v>
      </c>
      <c r="I223" s="1">
        <v>39965</v>
      </c>
      <c r="J223">
        <v>4.7300000000000004</v>
      </c>
      <c r="K223">
        <v>0.26015465022535</v>
      </c>
      <c r="L223">
        <v>4.9901546502253504</v>
      </c>
    </row>
    <row r="224" spans="1:12" x14ac:dyDescent="0.25">
      <c r="A224" s="1">
        <v>39934</v>
      </c>
      <c r="B224">
        <v>0.26909373004472098</v>
      </c>
      <c r="C224">
        <v>0.28106678335884899</v>
      </c>
      <c r="G224" s="1">
        <v>39934</v>
      </c>
      <c r="H224" s="1">
        <v>39965</v>
      </c>
      <c r="I224" s="1">
        <v>39995</v>
      </c>
      <c r="J224">
        <v>4.7762500000000001</v>
      </c>
      <c r="K224">
        <v>0.26909373004472098</v>
      </c>
      <c r="L224">
        <v>5.0453437300447197</v>
      </c>
    </row>
    <row r="225" spans="1:12" x14ac:dyDescent="0.25">
      <c r="A225" s="1">
        <v>39965</v>
      </c>
      <c r="B225">
        <v>0.23710164741518999</v>
      </c>
      <c r="C225">
        <v>0.18692703999778801</v>
      </c>
      <c r="G225" s="1">
        <v>39965</v>
      </c>
      <c r="H225" s="1">
        <v>39995</v>
      </c>
      <c r="I225" s="1">
        <v>40026</v>
      </c>
      <c r="J225">
        <v>5.3449999999999998</v>
      </c>
      <c r="K225">
        <v>0.23710164741518999</v>
      </c>
      <c r="L225">
        <v>5.5821016474151897</v>
      </c>
    </row>
    <row r="226" spans="1:12" x14ac:dyDescent="0.25">
      <c r="A226" s="1">
        <v>39995</v>
      </c>
      <c r="B226">
        <v>0.19478959803875101</v>
      </c>
      <c r="C226">
        <v>0.116374970759616</v>
      </c>
      <c r="G226" s="1">
        <v>39995</v>
      </c>
      <c r="H226" s="1">
        <v>40026</v>
      </c>
      <c r="I226" s="1">
        <v>40057</v>
      </c>
      <c r="J226">
        <v>5.1470000000000002</v>
      </c>
      <c r="K226">
        <v>0.19478959803875101</v>
      </c>
      <c r="L226">
        <v>5.3417895980387504</v>
      </c>
    </row>
    <row r="227" spans="1:12" x14ac:dyDescent="0.25">
      <c r="A227" s="1">
        <v>40026</v>
      </c>
      <c r="B227">
        <v>0.21799326167101599</v>
      </c>
      <c r="C227">
        <v>0.350677774255643</v>
      </c>
      <c r="G227" s="1">
        <v>40026</v>
      </c>
      <c r="H227" s="1">
        <v>40057</v>
      </c>
      <c r="I227" s="1">
        <v>40087</v>
      </c>
      <c r="J227">
        <v>5.1112500000000001</v>
      </c>
      <c r="K227">
        <v>0.21799326167101599</v>
      </c>
      <c r="L227">
        <v>5.3292432616710101</v>
      </c>
    </row>
    <row r="228" spans="1:12" x14ac:dyDescent="0.25">
      <c r="A228" s="1">
        <v>40057</v>
      </c>
      <c r="B228">
        <v>0.21592928721419299</v>
      </c>
      <c r="C228">
        <v>0.180735116627319</v>
      </c>
      <c r="G228" s="1">
        <v>40057</v>
      </c>
      <c r="H228" s="1">
        <v>40087</v>
      </c>
      <c r="I228" s="1">
        <v>40118</v>
      </c>
      <c r="J228">
        <v>4.9539999999999997</v>
      </c>
      <c r="K228">
        <v>0.21592928721419299</v>
      </c>
      <c r="L228">
        <v>5.16992928721419</v>
      </c>
    </row>
    <row r="229" spans="1:12" x14ac:dyDescent="0.25">
      <c r="A229" s="1">
        <v>40087</v>
      </c>
      <c r="B229">
        <v>0.20410703780810099</v>
      </c>
      <c r="C229">
        <v>8.0908222541341002E-2</v>
      </c>
      <c r="G229" s="1">
        <v>40087</v>
      </c>
      <c r="H229" s="1">
        <v>40118</v>
      </c>
      <c r="I229" s="1">
        <v>40148</v>
      </c>
      <c r="J229">
        <v>4.88</v>
      </c>
      <c r="K229">
        <v>0.20410703780810099</v>
      </c>
      <c r="L229">
        <v>5.0841070378081001</v>
      </c>
    </row>
    <row r="230" spans="1:12" x14ac:dyDescent="0.25">
      <c r="A230" s="1">
        <v>40118</v>
      </c>
      <c r="B230">
        <v>0.122739582408722</v>
      </c>
      <c r="C230">
        <v>0.106575408057505</v>
      </c>
      <c r="G230" s="1">
        <v>40118</v>
      </c>
      <c r="H230" s="1">
        <v>40148</v>
      </c>
      <c r="I230" s="1">
        <v>40179</v>
      </c>
      <c r="J230">
        <v>4.8</v>
      </c>
      <c r="K230">
        <v>0.122739582408722</v>
      </c>
      <c r="L230">
        <v>4.9227395824087203</v>
      </c>
    </row>
    <row r="231" spans="1:12" x14ac:dyDescent="0.25">
      <c r="A231" s="1">
        <v>40148</v>
      </c>
      <c r="B231">
        <v>8.7770351740770303E-2</v>
      </c>
      <c r="C231">
        <v>7.5827424623464298E-2</v>
      </c>
      <c r="G231" s="1">
        <v>40148</v>
      </c>
      <c r="H231" s="1">
        <v>40179</v>
      </c>
      <c r="I231" s="1">
        <v>40210</v>
      </c>
      <c r="J231">
        <v>4.8550000000000004</v>
      </c>
      <c r="K231">
        <v>8.7770351740770303E-2</v>
      </c>
      <c r="L231">
        <v>4.9427703517407702</v>
      </c>
    </row>
    <row r="232" spans="1:12" x14ac:dyDescent="0.25">
      <c r="A232" s="1">
        <v>40179</v>
      </c>
      <c r="B232">
        <v>9.6743350418376201E-2</v>
      </c>
      <c r="C232">
        <v>0.107827218574158</v>
      </c>
      <c r="G232" s="1">
        <v>40179</v>
      </c>
      <c r="H232" s="1">
        <v>40210</v>
      </c>
      <c r="I232" s="1">
        <v>40238</v>
      </c>
      <c r="J232">
        <v>4.9487500000000004</v>
      </c>
      <c r="K232">
        <v>9.6743350418376201E-2</v>
      </c>
      <c r="L232">
        <v>5.0454933504183703</v>
      </c>
    </row>
    <row r="233" spans="1:12" x14ac:dyDescent="0.25">
      <c r="A233" s="1">
        <v>40210</v>
      </c>
      <c r="B233">
        <v>8.74383933673549E-2</v>
      </c>
      <c r="C233">
        <v>7.8660536904441594E-2</v>
      </c>
      <c r="G233" s="1">
        <v>40210</v>
      </c>
      <c r="H233" s="1">
        <v>40238</v>
      </c>
      <c r="I233" s="1">
        <v>40269</v>
      </c>
      <c r="J233">
        <v>4.9149999999999903</v>
      </c>
      <c r="K233">
        <v>8.74383933673549E-2</v>
      </c>
      <c r="L233">
        <v>5.00243839336735</v>
      </c>
    </row>
    <row r="234" spans="1:12" x14ac:dyDescent="0.25">
      <c r="A234" s="1">
        <v>40238</v>
      </c>
      <c r="B234">
        <v>5.3610914454335599E-2</v>
      </c>
      <c r="C234">
        <v>-2.56550121155933E-2</v>
      </c>
      <c r="G234" s="1">
        <v>40238</v>
      </c>
      <c r="H234" s="1">
        <v>40269</v>
      </c>
      <c r="I234" s="1">
        <v>40299</v>
      </c>
      <c r="J234">
        <v>4.91</v>
      </c>
      <c r="K234">
        <v>5.3610914454335599E-2</v>
      </c>
      <c r="L234">
        <v>4.9636109144543301</v>
      </c>
    </row>
    <row r="235" spans="1:12" x14ac:dyDescent="0.25">
      <c r="A235" s="1">
        <v>40269</v>
      </c>
      <c r="B235">
        <v>3.7850520209918102E-2</v>
      </c>
      <c r="C235">
        <v>6.05460358409061E-2</v>
      </c>
      <c r="G235" s="1">
        <v>40269</v>
      </c>
      <c r="H235" s="1">
        <v>40299</v>
      </c>
      <c r="I235" s="1">
        <v>40330</v>
      </c>
      <c r="J235">
        <v>5.0149999999999997</v>
      </c>
      <c r="K235">
        <v>3.7850520209918102E-2</v>
      </c>
      <c r="L235">
        <v>5.0528505202099101</v>
      </c>
    </row>
    <row r="236" spans="1:12" x14ac:dyDescent="0.25">
      <c r="A236" s="1">
        <v>40299</v>
      </c>
      <c r="B236">
        <v>-1.7777467896121901E-3</v>
      </c>
      <c r="C236">
        <v>-4.0224264094149302E-2</v>
      </c>
      <c r="G236" s="1">
        <v>40299</v>
      </c>
      <c r="H236" s="1">
        <v>40330</v>
      </c>
      <c r="I236" s="1">
        <v>40360</v>
      </c>
      <c r="J236">
        <v>4.8125</v>
      </c>
      <c r="K236">
        <v>-1.7777467896121901E-3</v>
      </c>
      <c r="L236">
        <v>4.8107222532103799</v>
      </c>
    </row>
    <row r="237" spans="1:12" x14ac:dyDescent="0.25">
      <c r="A237" s="1">
        <v>40330</v>
      </c>
      <c r="B237">
        <v>8.6900654443682196E-3</v>
      </c>
      <c r="C237">
        <v>5.7484245863478698E-3</v>
      </c>
      <c r="G237" s="1">
        <v>40330</v>
      </c>
      <c r="H237" s="1">
        <v>40360</v>
      </c>
      <c r="I237" s="1">
        <v>40391</v>
      </c>
      <c r="J237">
        <v>4.6359999999999904</v>
      </c>
      <c r="K237">
        <v>8.6900654443682196E-3</v>
      </c>
      <c r="L237">
        <v>4.6446900654443599</v>
      </c>
    </row>
    <row r="238" spans="1:12" x14ac:dyDescent="0.25">
      <c r="A238" s="1">
        <v>40360</v>
      </c>
      <c r="B238">
        <v>-2.53926637321291E-2</v>
      </c>
      <c r="C238">
        <v>-4.1702151688586001E-2</v>
      </c>
      <c r="G238" s="1">
        <v>40360</v>
      </c>
      <c r="H238" s="1">
        <v>40391</v>
      </c>
      <c r="I238" s="1">
        <v>40422</v>
      </c>
      <c r="J238">
        <v>4.4849999999999897</v>
      </c>
      <c r="K238">
        <v>-2.53926637321291E-2</v>
      </c>
      <c r="L238">
        <v>4.4596073362678696</v>
      </c>
    </row>
    <row r="239" spans="1:12" x14ac:dyDescent="0.25">
      <c r="A239" s="1">
        <v>40391</v>
      </c>
      <c r="B239">
        <v>-3.1534105896979199E-2</v>
      </c>
      <c r="C239">
        <v>-5.8648590588699603E-2</v>
      </c>
      <c r="G239" s="1">
        <v>40391</v>
      </c>
      <c r="H239" s="1">
        <v>40422</v>
      </c>
      <c r="I239" s="1">
        <v>40452</v>
      </c>
      <c r="J239">
        <v>4.3525</v>
      </c>
      <c r="K239">
        <v>-3.1534105896979199E-2</v>
      </c>
      <c r="L239">
        <v>4.3209658941030202</v>
      </c>
    </row>
    <row r="240" spans="1:12" x14ac:dyDescent="0.25">
      <c r="A240" s="1">
        <v>40422</v>
      </c>
      <c r="B240">
        <v>-4.5853998459887697E-2</v>
      </c>
      <c r="C240">
        <v>-3.7211253102377502E-2</v>
      </c>
      <c r="G240" s="1">
        <v>40422</v>
      </c>
      <c r="H240" s="1">
        <v>40452</v>
      </c>
      <c r="I240" s="1">
        <v>40483</v>
      </c>
      <c r="J240">
        <v>4.2759999999999998</v>
      </c>
      <c r="K240">
        <v>-4.5853998459887697E-2</v>
      </c>
      <c r="L240">
        <v>4.2301460015401098</v>
      </c>
    </row>
    <row r="241" spans="1:12" x14ac:dyDescent="0.25">
      <c r="A241" s="1">
        <v>40452</v>
      </c>
      <c r="B241">
        <v>-4.2429965140538699E-2</v>
      </c>
      <c r="C241">
        <v>-3.1430051730538901E-2</v>
      </c>
      <c r="G241" s="1">
        <v>40452</v>
      </c>
      <c r="H241" s="1">
        <v>40483</v>
      </c>
      <c r="I241" s="1">
        <v>40513</v>
      </c>
      <c r="J241">
        <v>4.1749999999999998</v>
      </c>
      <c r="K241">
        <v>-4.2429965140538699E-2</v>
      </c>
      <c r="L241">
        <v>4.1325700348594596</v>
      </c>
    </row>
    <row r="242" spans="1:12" x14ac:dyDescent="0.25">
      <c r="A242" s="1">
        <v>40483</v>
      </c>
      <c r="B242">
        <v>-3.8278351743038203E-2</v>
      </c>
      <c r="C242">
        <v>-4.6193750396198101E-2</v>
      </c>
      <c r="G242" s="1">
        <v>40483</v>
      </c>
      <c r="H242" s="1">
        <v>40513</v>
      </c>
      <c r="I242" s="1">
        <v>40544</v>
      </c>
      <c r="J242">
        <v>4.2562499999999996</v>
      </c>
      <c r="K242">
        <v>-3.8278351743038203E-2</v>
      </c>
      <c r="L242">
        <v>4.2179716482569596</v>
      </c>
    </row>
    <row r="243" spans="1:12" x14ac:dyDescent="0.25">
      <c r="A243" s="1">
        <v>40513</v>
      </c>
      <c r="B243">
        <v>-3.1900605429063297E-2</v>
      </c>
      <c r="C243">
        <v>-1.8078014160452901E-2</v>
      </c>
      <c r="G243" s="1">
        <v>40513</v>
      </c>
      <c r="H243" s="1">
        <v>40544</v>
      </c>
      <c r="I243" s="1">
        <v>40575</v>
      </c>
      <c r="J243">
        <v>4.6489999999999903</v>
      </c>
      <c r="K243">
        <v>-3.1900605429063297E-2</v>
      </c>
      <c r="L243">
        <v>4.6170993945709302</v>
      </c>
    </row>
    <row r="244" spans="1:12" x14ac:dyDescent="0.25">
      <c r="A244" s="1">
        <v>40544</v>
      </c>
      <c r="B244">
        <v>-4.3143662737850801E-2</v>
      </c>
      <c r="C244">
        <v>-6.5159223656901494E-2</v>
      </c>
      <c r="G244" s="1">
        <v>40544</v>
      </c>
      <c r="H244" s="1">
        <v>40575</v>
      </c>
      <c r="I244" s="1">
        <v>40603</v>
      </c>
      <c r="J244">
        <v>4.6987500000000004</v>
      </c>
      <c r="K244">
        <v>-4.3143662737850801E-2</v>
      </c>
      <c r="L244">
        <v>4.6556063372621503</v>
      </c>
    </row>
    <row r="245" spans="1:12" x14ac:dyDescent="0.25">
      <c r="A245" s="1">
        <v>40575</v>
      </c>
      <c r="B245">
        <v>-6.1294910741643102E-2</v>
      </c>
      <c r="C245">
        <v>-0.10064749440757401</v>
      </c>
      <c r="G245" s="1">
        <v>40575</v>
      </c>
      <c r="H245" s="1">
        <v>40603</v>
      </c>
      <c r="I245" s="1">
        <v>40634</v>
      </c>
      <c r="J245">
        <v>4.8775000000000004</v>
      </c>
      <c r="K245">
        <v>-6.1294910741643102E-2</v>
      </c>
      <c r="L245">
        <v>4.8162050892583501</v>
      </c>
    </row>
    <row r="246" spans="1:12" x14ac:dyDescent="0.25">
      <c r="A246" s="1">
        <v>40603</v>
      </c>
      <c r="B246">
        <v>-0.120023755950802</v>
      </c>
      <c r="C246">
        <v>-0.19426454978793001</v>
      </c>
      <c r="G246" s="1">
        <v>40603</v>
      </c>
      <c r="H246" s="1">
        <v>40634</v>
      </c>
      <c r="I246" s="1">
        <v>40664</v>
      </c>
      <c r="J246">
        <v>4.7610000000000001</v>
      </c>
      <c r="K246">
        <v>-0.120023755950802</v>
      </c>
      <c r="L246">
        <v>4.64097624404919</v>
      </c>
    </row>
    <row r="247" spans="1:12" x14ac:dyDescent="0.25">
      <c r="A247" s="1">
        <v>40634</v>
      </c>
      <c r="B247">
        <v>-0.148445108470833</v>
      </c>
      <c r="C247">
        <v>-0.150423281216995</v>
      </c>
      <c r="G247" s="1">
        <v>40634</v>
      </c>
      <c r="H247" s="1">
        <v>40664</v>
      </c>
      <c r="I247" s="1">
        <v>40695</v>
      </c>
      <c r="J247">
        <v>4.75875</v>
      </c>
      <c r="K247">
        <v>-0.148445108470833</v>
      </c>
      <c r="L247">
        <v>4.61030489152916</v>
      </c>
    </row>
    <row r="248" spans="1:12" x14ac:dyDescent="0.25">
      <c r="A248" s="1">
        <v>40664</v>
      </c>
      <c r="B248">
        <v>-0.18710151773011999</v>
      </c>
      <c r="C248">
        <v>-0.21661672218543501</v>
      </c>
      <c r="G248" s="1">
        <v>40664</v>
      </c>
      <c r="H248" s="1">
        <v>40695</v>
      </c>
      <c r="I248" s="1">
        <v>40725</v>
      </c>
      <c r="J248">
        <v>4.5625</v>
      </c>
      <c r="K248">
        <v>-0.18710151773011999</v>
      </c>
      <c r="L248">
        <v>4.3753984822698797</v>
      </c>
    </row>
    <row r="249" spans="1:12" x14ac:dyDescent="0.25">
      <c r="A249" s="1">
        <v>40695</v>
      </c>
      <c r="B249">
        <v>-0.18433885876335501</v>
      </c>
      <c r="C249">
        <v>-0.185976572887635</v>
      </c>
      <c r="G249" s="1">
        <v>40695</v>
      </c>
      <c r="H249" s="1">
        <v>40725</v>
      </c>
      <c r="I249" s="1">
        <v>40756</v>
      </c>
      <c r="J249">
        <v>4.4349999999999996</v>
      </c>
      <c r="K249">
        <v>-0.18433885876335501</v>
      </c>
      <c r="L249">
        <v>4.2506611412366402</v>
      </c>
    </row>
    <row r="250" spans="1:12" x14ac:dyDescent="0.25">
      <c r="A250" s="1">
        <v>40725</v>
      </c>
      <c r="B250">
        <v>-0.205195736520145</v>
      </c>
      <c r="C250">
        <v>-0.21299391448736499</v>
      </c>
      <c r="G250" s="1">
        <v>40725</v>
      </c>
      <c r="H250" s="1">
        <v>40756</v>
      </c>
      <c r="I250" s="1">
        <v>40787</v>
      </c>
      <c r="J250">
        <v>4.4762499999999896</v>
      </c>
      <c r="K250">
        <v>-0.205195736520145</v>
      </c>
      <c r="L250">
        <v>4.2710542634798498</v>
      </c>
    </row>
    <row r="251" spans="1:12" x14ac:dyDescent="0.25">
      <c r="A251" s="1">
        <v>40756</v>
      </c>
      <c r="B251">
        <v>-0.23244179945087701</v>
      </c>
      <c r="C251">
        <v>-0.298354910977632</v>
      </c>
      <c r="G251" s="1">
        <v>40756</v>
      </c>
      <c r="H251" s="1">
        <v>40787</v>
      </c>
      <c r="I251" s="1">
        <v>40817</v>
      </c>
      <c r="J251">
        <v>4.1900000000000004</v>
      </c>
      <c r="K251">
        <v>-0.23244179945087701</v>
      </c>
      <c r="L251">
        <v>3.9575582005491201</v>
      </c>
    </row>
    <row r="252" spans="1:12" x14ac:dyDescent="0.25">
      <c r="A252" s="1">
        <v>40787</v>
      </c>
      <c r="B252">
        <v>-0.27803632506321202</v>
      </c>
      <c r="C252">
        <v>-0.32276014972464001</v>
      </c>
      <c r="G252" s="1">
        <v>40787</v>
      </c>
      <c r="H252" s="1">
        <v>40817</v>
      </c>
      <c r="I252" s="1">
        <v>40848</v>
      </c>
      <c r="J252">
        <v>4.0025000000000004</v>
      </c>
      <c r="K252">
        <v>-0.27803632506321202</v>
      </c>
      <c r="L252">
        <v>3.7244636749367799</v>
      </c>
    </row>
    <row r="253" spans="1:12" x14ac:dyDescent="0.25">
      <c r="A253" s="1">
        <v>40817</v>
      </c>
      <c r="B253">
        <v>-0.27884476375758899</v>
      </c>
      <c r="C253">
        <v>-0.215419230570494</v>
      </c>
      <c r="G253" s="1">
        <v>40817</v>
      </c>
      <c r="H253" s="1">
        <v>40848</v>
      </c>
      <c r="I253" s="1">
        <v>40878</v>
      </c>
      <c r="J253">
        <v>4.0175000000000001</v>
      </c>
      <c r="K253">
        <v>-0.27884476375758899</v>
      </c>
      <c r="L253">
        <v>3.7386552362424101</v>
      </c>
    </row>
    <row r="254" spans="1:12" x14ac:dyDescent="0.25">
      <c r="A254" s="1">
        <v>40848</v>
      </c>
      <c r="B254">
        <v>-0.241108748114569</v>
      </c>
      <c r="C254">
        <v>-0.185146864048573</v>
      </c>
      <c r="G254" s="1">
        <v>40848</v>
      </c>
      <c r="H254" s="1">
        <v>40878</v>
      </c>
      <c r="I254" s="1">
        <v>40909</v>
      </c>
      <c r="J254">
        <v>3.919</v>
      </c>
      <c r="K254">
        <v>-0.241108748114569</v>
      </c>
      <c r="L254">
        <v>3.6778912518854301</v>
      </c>
    </row>
    <row r="255" spans="1:12" x14ac:dyDescent="0.25">
      <c r="A255" s="1">
        <v>40878</v>
      </c>
      <c r="B255">
        <v>-0.19926931635195599</v>
      </c>
      <c r="C255">
        <v>-0.19724185443680201</v>
      </c>
      <c r="G255" s="1">
        <v>40878</v>
      </c>
      <c r="H255" s="1">
        <v>40909</v>
      </c>
      <c r="I255" s="1">
        <v>40940</v>
      </c>
      <c r="J255">
        <v>3.8787500000000001</v>
      </c>
      <c r="K255">
        <v>-0.19926931635195599</v>
      </c>
      <c r="L255">
        <v>3.6794806836480398</v>
      </c>
    </row>
    <row r="256" spans="1:12" x14ac:dyDescent="0.25">
      <c r="A256" s="1">
        <v>40909</v>
      </c>
      <c r="B256">
        <v>-0.180042988528262</v>
      </c>
      <c r="C256">
        <v>-0.15774024709941201</v>
      </c>
      <c r="G256" s="1">
        <v>40909</v>
      </c>
      <c r="H256" s="1">
        <v>40940</v>
      </c>
      <c r="I256" s="1">
        <v>40969</v>
      </c>
      <c r="J256">
        <v>3.8525</v>
      </c>
      <c r="K256">
        <v>-0.180042988528262</v>
      </c>
      <c r="L256">
        <v>3.6724570114717299</v>
      </c>
    </row>
    <row r="257" spans="1:12" x14ac:dyDescent="0.25">
      <c r="A257" s="1">
        <v>40940</v>
      </c>
      <c r="B257">
        <v>-0.18106173818635199</v>
      </c>
      <c r="C257">
        <v>-0.18820311302284301</v>
      </c>
      <c r="G257" s="1">
        <v>40940</v>
      </c>
      <c r="H257" s="1">
        <v>40969</v>
      </c>
      <c r="I257" s="1">
        <v>41000</v>
      </c>
      <c r="J257">
        <v>3.8420000000000001</v>
      </c>
      <c r="K257">
        <v>-0.18106173818635199</v>
      </c>
      <c r="L257">
        <v>3.6609382618136399</v>
      </c>
    </row>
    <row r="258" spans="1:12" x14ac:dyDescent="0.25">
      <c r="A258" s="1">
        <v>40969</v>
      </c>
      <c r="B258">
        <v>-0.189751087400473</v>
      </c>
      <c r="C258">
        <v>-0.22330990207916299</v>
      </c>
      <c r="G258" s="1">
        <v>40969</v>
      </c>
      <c r="H258" s="1">
        <v>41000</v>
      </c>
      <c r="I258" s="1">
        <v>41030</v>
      </c>
      <c r="J258">
        <v>3.9112499999999999</v>
      </c>
      <c r="K258">
        <v>-0.189751087400473</v>
      </c>
      <c r="L258">
        <v>3.7214989125995199</v>
      </c>
    </row>
    <row r="259" spans="1:12" x14ac:dyDescent="0.25">
      <c r="A259" s="1">
        <v>41000</v>
      </c>
      <c r="B259">
        <v>-0.13184204729200899</v>
      </c>
      <c r="C259">
        <v>1.5986873225976701E-2</v>
      </c>
      <c r="G259" s="1">
        <v>41000</v>
      </c>
      <c r="H259" s="1">
        <v>41030</v>
      </c>
      <c r="I259" s="1">
        <v>41061</v>
      </c>
      <c r="J259">
        <v>3.8412500000000001</v>
      </c>
      <c r="K259">
        <v>-0.13184204729200899</v>
      </c>
      <c r="L259">
        <v>3.70940795270799</v>
      </c>
    </row>
    <row r="260" spans="1:12" x14ac:dyDescent="0.25">
      <c r="A260" s="1">
        <v>41030</v>
      </c>
      <c r="B260">
        <v>-0.155875520774166</v>
      </c>
      <c r="C260">
        <v>-0.26030353346931401</v>
      </c>
      <c r="G260" s="1">
        <v>41030</v>
      </c>
      <c r="H260" s="1">
        <v>41061</v>
      </c>
      <c r="I260" s="1">
        <v>41091</v>
      </c>
      <c r="J260">
        <v>3.738</v>
      </c>
      <c r="K260">
        <v>-0.155875520774166</v>
      </c>
      <c r="L260">
        <v>3.58212447922583</v>
      </c>
    </row>
    <row r="261" spans="1:12" x14ac:dyDescent="0.25">
      <c r="A261" s="1">
        <v>41061</v>
      </c>
      <c r="B261">
        <v>-0.147220224124646</v>
      </c>
      <c r="C261">
        <v>-0.19734401213060199</v>
      </c>
      <c r="G261" s="1">
        <v>41061</v>
      </c>
      <c r="H261" s="1">
        <v>41091</v>
      </c>
      <c r="I261" s="1">
        <v>41122</v>
      </c>
      <c r="J261">
        <v>3.6</v>
      </c>
      <c r="K261">
        <v>-0.147220224124646</v>
      </c>
      <c r="L261">
        <v>3.4527797758753498</v>
      </c>
    </row>
    <row r="262" spans="1:12" x14ac:dyDescent="0.25">
      <c r="A262" s="1">
        <v>41091</v>
      </c>
      <c r="B262">
        <v>-0.208924303814188</v>
      </c>
      <c r="C262">
        <v>-0.16912536584264901</v>
      </c>
      <c r="G262" s="1">
        <v>41091</v>
      </c>
      <c r="H262" s="1">
        <v>41122</v>
      </c>
      <c r="I262" s="1">
        <v>41153</v>
      </c>
      <c r="J262">
        <v>3.4812500000000002</v>
      </c>
      <c r="K262">
        <v>-0.208924303814188</v>
      </c>
      <c r="L262">
        <v>3.2723256961858098</v>
      </c>
    </row>
    <row r="263" spans="1:12" x14ac:dyDescent="0.25">
      <c r="A263" s="1">
        <v>41122</v>
      </c>
      <c r="B263">
        <v>-0.17028532486650599</v>
      </c>
      <c r="C263">
        <v>-0.14438659662626799</v>
      </c>
      <c r="G263" s="1">
        <v>41122</v>
      </c>
      <c r="H263" s="1">
        <v>41153</v>
      </c>
      <c r="I263" s="1">
        <v>41183</v>
      </c>
      <c r="J263">
        <v>3.512</v>
      </c>
      <c r="K263">
        <v>-0.17028532486650599</v>
      </c>
      <c r="L263">
        <v>3.3417146751334901</v>
      </c>
    </row>
    <row r="264" spans="1:12" x14ac:dyDescent="0.25">
      <c r="A264" s="1">
        <v>41153</v>
      </c>
      <c r="B264">
        <v>-0.17830628631308201</v>
      </c>
      <c r="C264">
        <v>-0.22140689647033099</v>
      </c>
      <c r="G264" s="1">
        <v>41153</v>
      </c>
      <c r="H264" s="1">
        <v>41183</v>
      </c>
      <c r="I264" s="1">
        <v>41214</v>
      </c>
      <c r="J264">
        <v>3.4037500000000001</v>
      </c>
      <c r="K264">
        <v>-0.17830628631308201</v>
      </c>
      <c r="L264">
        <v>3.2254437136869099</v>
      </c>
    </row>
    <row r="265" spans="1:12" x14ac:dyDescent="0.25">
      <c r="A265" s="1">
        <v>41183</v>
      </c>
      <c r="B265">
        <v>-0.14599483276227099</v>
      </c>
      <c r="C265">
        <v>-7.2191005190214499E-2</v>
      </c>
      <c r="G265" s="1">
        <v>41183</v>
      </c>
      <c r="H265" s="1">
        <v>41214</v>
      </c>
      <c r="I265" s="1">
        <v>41244</v>
      </c>
      <c r="J265">
        <v>3.3039999999999998</v>
      </c>
      <c r="K265">
        <v>-0.14599483276227099</v>
      </c>
      <c r="L265">
        <v>3.1580051672377198</v>
      </c>
    </row>
    <row r="266" spans="1:12" x14ac:dyDescent="0.25">
      <c r="A266" s="1">
        <v>41214</v>
      </c>
      <c r="B266">
        <v>-0.13399020053671401</v>
      </c>
      <c r="C266">
        <v>-0.108372699949596</v>
      </c>
      <c r="G266" s="1">
        <v>41214</v>
      </c>
      <c r="H266" s="1">
        <v>41244</v>
      </c>
      <c r="I266" s="1">
        <v>41275</v>
      </c>
      <c r="J266">
        <v>3.2737500000000002</v>
      </c>
      <c r="K266">
        <v>-0.13399020053671401</v>
      </c>
      <c r="L266">
        <v>3.1397597994632802</v>
      </c>
    </row>
    <row r="267" spans="1:12" x14ac:dyDescent="0.25">
      <c r="A267" s="1">
        <v>41244</v>
      </c>
      <c r="B267">
        <v>-0.117839469381497</v>
      </c>
      <c r="C267">
        <v>-0.17295470300468099</v>
      </c>
      <c r="G267" s="1">
        <v>41244</v>
      </c>
      <c r="H267" s="1">
        <v>41275</v>
      </c>
      <c r="I267" s="1">
        <v>41306</v>
      </c>
      <c r="J267">
        <v>3.27</v>
      </c>
      <c r="K267">
        <v>-0.117839469381497</v>
      </c>
      <c r="L267">
        <v>3.1521605306185001</v>
      </c>
    </row>
    <row r="268" spans="1:12" x14ac:dyDescent="0.25">
      <c r="A268" s="1">
        <v>41275</v>
      </c>
      <c r="B268">
        <v>-0.16922946238838399</v>
      </c>
      <c r="C268">
        <v>-0.226360984210875</v>
      </c>
      <c r="G268" s="1">
        <v>41275</v>
      </c>
      <c r="H268" s="1">
        <v>41306</v>
      </c>
      <c r="I268" s="1">
        <v>41334</v>
      </c>
      <c r="J268">
        <v>3.339</v>
      </c>
      <c r="K268">
        <v>-0.16922946238838399</v>
      </c>
      <c r="L268">
        <v>3.1697705376116101</v>
      </c>
    </row>
    <row r="269" spans="1:12" x14ac:dyDescent="0.25">
      <c r="A269" s="1">
        <v>41306</v>
      </c>
      <c r="B269">
        <v>-0.19393949199267299</v>
      </c>
      <c r="C269">
        <v>-0.18250278876246301</v>
      </c>
      <c r="G269" s="1">
        <v>41306</v>
      </c>
      <c r="H269" s="1">
        <v>41334</v>
      </c>
      <c r="I269" s="1">
        <v>41365</v>
      </c>
      <c r="J269">
        <v>3.4824999999999999</v>
      </c>
      <c r="K269">
        <v>-0.19393949199267299</v>
      </c>
      <c r="L269">
        <v>3.2885605080073201</v>
      </c>
    </row>
    <row r="270" spans="1:12" x14ac:dyDescent="0.25">
      <c r="A270" s="1">
        <v>41334</v>
      </c>
      <c r="B270">
        <v>-0.22830741598516099</v>
      </c>
      <c r="C270">
        <v>-0.27605847498214398</v>
      </c>
      <c r="G270" s="1">
        <v>41334</v>
      </c>
      <c r="H270" s="1">
        <v>41365</v>
      </c>
      <c r="I270" s="1">
        <v>41395</v>
      </c>
      <c r="J270">
        <v>3.50875</v>
      </c>
      <c r="K270">
        <v>-0.22830741598516099</v>
      </c>
      <c r="L270">
        <v>3.2804425840148301</v>
      </c>
    </row>
    <row r="271" spans="1:12" x14ac:dyDescent="0.25">
      <c r="A271" s="1">
        <v>41365</v>
      </c>
      <c r="B271">
        <v>-0.18322346782263099</v>
      </c>
      <c r="C271">
        <v>-9.1109139723287394E-2</v>
      </c>
      <c r="G271" s="1">
        <v>41365</v>
      </c>
      <c r="H271" s="1">
        <v>41395</v>
      </c>
      <c r="I271" s="1">
        <v>41426</v>
      </c>
      <c r="J271">
        <v>3.3887499999999999</v>
      </c>
      <c r="K271">
        <v>-0.18322346782263099</v>
      </c>
      <c r="L271">
        <v>3.2055265321773598</v>
      </c>
    </row>
    <row r="272" spans="1:12" x14ac:dyDescent="0.25">
      <c r="A272" s="1">
        <v>41395</v>
      </c>
      <c r="B272">
        <v>-0.19305925291106801</v>
      </c>
      <c r="C272">
        <v>-0.21201014402777199</v>
      </c>
      <c r="G272" s="1">
        <v>41395</v>
      </c>
      <c r="H272" s="1">
        <v>41426</v>
      </c>
      <c r="I272" s="1">
        <v>41456</v>
      </c>
      <c r="J272">
        <v>3.4660000000000002</v>
      </c>
      <c r="K272">
        <v>-0.19305925291106801</v>
      </c>
      <c r="L272">
        <v>3.27294074708893</v>
      </c>
    </row>
    <row r="273" spans="1:12" x14ac:dyDescent="0.25">
      <c r="A273" s="1">
        <v>41426</v>
      </c>
      <c r="B273">
        <v>-0.20014492245412399</v>
      </c>
      <c r="C273">
        <v>-0.29731548361131399</v>
      </c>
      <c r="G273" s="1">
        <v>41426</v>
      </c>
      <c r="H273" s="1">
        <v>41456</v>
      </c>
      <c r="I273" s="1">
        <v>41487</v>
      </c>
      <c r="J273">
        <v>4.0075000000000003</v>
      </c>
      <c r="K273">
        <v>-0.20014492245412399</v>
      </c>
      <c r="L273">
        <v>3.80735507754587</v>
      </c>
    </row>
    <row r="274" spans="1:12" x14ac:dyDescent="0.25">
      <c r="A274" s="1">
        <v>41456</v>
      </c>
      <c r="B274">
        <v>-0.26169209594998999</v>
      </c>
      <c r="C274">
        <v>-0.27575066021088301</v>
      </c>
      <c r="G274" s="1">
        <v>41456</v>
      </c>
      <c r="H274" s="1">
        <v>41487</v>
      </c>
      <c r="I274" s="1">
        <v>41518</v>
      </c>
      <c r="J274">
        <v>4.3090000000000002</v>
      </c>
      <c r="K274">
        <v>-0.26169209594998999</v>
      </c>
      <c r="L274">
        <v>4.04730790405001</v>
      </c>
    </row>
    <row r="275" spans="1:12" x14ac:dyDescent="0.25">
      <c r="A275" s="1">
        <v>41487</v>
      </c>
      <c r="B275">
        <v>-0.27845713057126098</v>
      </c>
      <c r="C275">
        <v>-0.26230524789158699</v>
      </c>
      <c r="G275" s="1">
        <v>41487</v>
      </c>
      <c r="H275" s="1">
        <v>41518</v>
      </c>
      <c r="I275" s="1">
        <v>41548</v>
      </c>
      <c r="J275">
        <v>4.4037499999999996</v>
      </c>
      <c r="K275">
        <v>-0.27845713057126098</v>
      </c>
      <c r="L275">
        <v>4.1252928694287299</v>
      </c>
    </row>
    <row r="276" spans="1:12" x14ac:dyDescent="0.25">
      <c r="A276" s="1">
        <v>41518</v>
      </c>
      <c r="B276">
        <v>-0.29846875402906697</v>
      </c>
      <c r="C276">
        <v>-0.35735035398473097</v>
      </c>
      <c r="G276" s="1">
        <v>41518</v>
      </c>
      <c r="H276" s="1">
        <v>41548</v>
      </c>
      <c r="I276" s="1">
        <v>41579</v>
      </c>
      <c r="J276">
        <v>4.4212499999999997</v>
      </c>
      <c r="K276">
        <v>-0.29846875402906697</v>
      </c>
      <c r="L276">
        <v>4.1227812459709297</v>
      </c>
    </row>
    <row r="277" spans="1:12" x14ac:dyDescent="0.25">
      <c r="A277" s="1">
        <v>41548</v>
      </c>
      <c r="B277">
        <v>-0.34666698572208698</v>
      </c>
      <c r="C277">
        <v>-0.42034535528994199</v>
      </c>
      <c r="G277" s="1">
        <v>41548</v>
      </c>
      <c r="H277" s="1">
        <v>41579</v>
      </c>
      <c r="I277" s="1">
        <v>41609</v>
      </c>
      <c r="J277">
        <v>4.1219999999999999</v>
      </c>
      <c r="K277">
        <v>-0.34666698572208698</v>
      </c>
      <c r="L277">
        <v>3.7753330142779098</v>
      </c>
    </row>
    <row r="278" spans="1:12" x14ac:dyDescent="0.25">
      <c r="A278" s="1">
        <v>41579</v>
      </c>
      <c r="B278">
        <v>-0.42424828952082499</v>
      </c>
      <c r="C278">
        <v>-0.49504915928780102</v>
      </c>
      <c r="G278" s="1">
        <v>41579</v>
      </c>
      <c r="H278" s="1">
        <v>41609</v>
      </c>
      <c r="I278" s="1">
        <v>41640</v>
      </c>
      <c r="J278">
        <v>4.1862499999999896</v>
      </c>
      <c r="K278">
        <v>-0.42424828952082499</v>
      </c>
      <c r="L278">
        <v>3.7620017104791699</v>
      </c>
    </row>
    <row r="279" spans="1:12" x14ac:dyDescent="0.25">
      <c r="A279" s="1">
        <v>41609</v>
      </c>
      <c r="B279">
        <v>-0.426522108935039</v>
      </c>
      <c r="C279">
        <v>-0.36417181222737299</v>
      </c>
      <c r="G279" s="1">
        <v>41609</v>
      </c>
      <c r="H279" s="1">
        <v>41640</v>
      </c>
      <c r="I279" s="1">
        <v>41671</v>
      </c>
      <c r="J279">
        <v>4.37</v>
      </c>
      <c r="K279">
        <v>-0.426522108935039</v>
      </c>
      <c r="L279">
        <v>3.9434778910649602</v>
      </c>
    </row>
    <row r="280" spans="1:12" x14ac:dyDescent="0.25">
      <c r="A280" s="1">
        <v>41640</v>
      </c>
      <c r="B280">
        <v>-0.40302368516595699</v>
      </c>
      <c r="C280">
        <v>-0.34985008398269601</v>
      </c>
      <c r="G280" s="1">
        <v>41640</v>
      </c>
      <c r="H280" s="1">
        <v>41671</v>
      </c>
      <c r="I280" s="1">
        <v>41699</v>
      </c>
      <c r="J280">
        <v>4.3620000000000001</v>
      </c>
      <c r="K280">
        <v>-0.40302368516595699</v>
      </c>
      <c r="L280">
        <v>3.95897631483404</v>
      </c>
    </row>
    <row r="281" spans="1:12" x14ac:dyDescent="0.25">
      <c r="A281" s="1">
        <v>41671</v>
      </c>
      <c r="B281">
        <v>-0.39299667566440999</v>
      </c>
      <c r="C281">
        <v>-0.46496813078316102</v>
      </c>
      <c r="G281" s="1">
        <v>41671</v>
      </c>
      <c r="H281" s="1">
        <v>41699</v>
      </c>
      <c r="I281" s="1">
        <v>41730</v>
      </c>
      <c r="J281">
        <v>4.2274999999999903</v>
      </c>
      <c r="K281">
        <v>-0.39299667566440999</v>
      </c>
      <c r="L281">
        <v>3.8345033243355799</v>
      </c>
    </row>
    <row r="282" spans="1:12" x14ac:dyDescent="0.25">
      <c r="A282" s="1">
        <v>41699</v>
      </c>
      <c r="B282">
        <v>-0.431898414599589</v>
      </c>
      <c r="C282">
        <v>-0.48087702903291002</v>
      </c>
      <c r="G282" s="1">
        <v>41699</v>
      </c>
      <c r="H282" s="1">
        <v>41730</v>
      </c>
      <c r="I282" s="1">
        <v>41760</v>
      </c>
      <c r="J282">
        <v>4.2487500000000002</v>
      </c>
      <c r="K282">
        <v>-0.431898414599589</v>
      </c>
      <c r="L282">
        <v>3.8168515854004101</v>
      </c>
    </row>
    <row r="283" spans="1:12" x14ac:dyDescent="0.25">
      <c r="A283" s="1">
        <v>41730</v>
      </c>
      <c r="B283">
        <v>-0.39922456871995299</v>
      </c>
      <c r="C283">
        <v>-0.25182854634378798</v>
      </c>
      <c r="G283" s="1">
        <v>41730</v>
      </c>
      <c r="H283" s="1">
        <v>41760</v>
      </c>
      <c r="I283" s="1">
        <v>41791</v>
      </c>
      <c r="J283">
        <v>4.2479999999999896</v>
      </c>
      <c r="K283">
        <v>-0.39922456871995299</v>
      </c>
      <c r="L283">
        <v>3.84877543128004</v>
      </c>
    </row>
    <row r="284" spans="1:12" x14ac:dyDescent="0.25">
      <c r="A284" s="1">
        <v>41760</v>
      </c>
      <c r="B284">
        <v>-0.39112085768537802</v>
      </c>
      <c r="C284">
        <v>-0.440656997679436</v>
      </c>
      <c r="G284" s="1">
        <v>41760</v>
      </c>
      <c r="H284" s="1">
        <v>41791</v>
      </c>
      <c r="I284" s="1">
        <v>41821</v>
      </c>
      <c r="J284">
        <v>4.0674999999999999</v>
      </c>
      <c r="K284">
        <v>-0.39112085768537802</v>
      </c>
      <c r="L284">
        <v>3.6763791423146199</v>
      </c>
    </row>
    <row r="285" spans="1:12" x14ac:dyDescent="0.25">
      <c r="A285" s="1">
        <v>41791</v>
      </c>
      <c r="B285">
        <v>-0.376088403981793</v>
      </c>
      <c r="C285">
        <v>-0.435779667922154</v>
      </c>
      <c r="G285" s="1">
        <v>41791</v>
      </c>
      <c r="H285" s="1">
        <v>41821</v>
      </c>
      <c r="I285" s="1">
        <v>41852</v>
      </c>
      <c r="J285">
        <v>4.05</v>
      </c>
      <c r="K285">
        <v>-0.376088403981793</v>
      </c>
      <c r="L285">
        <v>3.6739115960182001</v>
      </c>
    </row>
    <row r="286" spans="1:12" x14ac:dyDescent="0.25">
      <c r="A286" s="1">
        <v>41821</v>
      </c>
      <c r="B286">
        <v>-0.40993358534859797</v>
      </c>
      <c r="C286">
        <v>-0.35336409044420403</v>
      </c>
      <c r="G286" s="1">
        <v>41821</v>
      </c>
      <c r="H286" s="1">
        <v>41852</v>
      </c>
      <c r="I286" s="1">
        <v>41883</v>
      </c>
      <c r="J286">
        <v>4.03</v>
      </c>
      <c r="K286">
        <v>-0.40993358534859797</v>
      </c>
      <c r="L286">
        <v>3.6200664146513999</v>
      </c>
    </row>
    <row r="287" spans="1:12" x14ac:dyDescent="0.25">
      <c r="A287" s="1">
        <v>41852</v>
      </c>
      <c r="B287">
        <v>-0.373442642289746</v>
      </c>
      <c r="C287">
        <v>-0.33118416850287902</v>
      </c>
      <c r="G287" s="1">
        <v>41852</v>
      </c>
      <c r="H287" s="1">
        <v>41883</v>
      </c>
      <c r="I287" s="1">
        <v>41913</v>
      </c>
      <c r="J287">
        <v>4.00875</v>
      </c>
      <c r="K287">
        <v>-0.373442642289746</v>
      </c>
      <c r="L287">
        <v>3.6353073577102499</v>
      </c>
    </row>
    <row r="288" spans="1:12" x14ac:dyDescent="0.25">
      <c r="A288" s="1">
        <v>41883</v>
      </c>
      <c r="B288">
        <v>-0.34374127201574101</v>
      </c>
      <c r="C288">
        <v>-0.34667555710013898</v>
      </c>
      <c r="G288" s="1">
        <v>41883</v>
      </c>
      <c r="H288" s="1">
        <v>41913</v>
      </c>
      <c r="I288" s="1">
        <v>41944</v>
      </c>
      <c r="J288">
        <v>4.0374999999999996</v>
      </c>
      <c r="K288">
        <v>-0.34374127201574101</v>
      </c>
      <c r="L288">
        <v>3.6937587279842501</v>
      </c>
    </row>
    <row r="289" spans="1:12" x14ac:dyDescent="0.25">
      <c r="A289" s="1">
        <v>41913</v>
      </c>
      <c r="B289">
        <v>-0.33672960522573497</v>
      </c>
      <c r="C289">
        <v>-0.33232909007418698</v>
      </c>
      <c r="G289" s="1">
        <v>41913</v>
      </c>
      <c r="H289" s="1">
        <v>41944</v>
      </c>
      <c r="I289" s="1">
        <v>41974</v>
      </c>
      <c r="J289">
        <v>3.9060000000000001</v>
      </c>
      <c r="K289">
        <v>-0.33672960522573497</v>
      </c>
      <c r="L289">
        <v>3.5692703947742599</v>
      </c>
    </row>
    <row r="290" spans="1:12" x14ac:dyDescent="0.25">
      <c r="A290" s="1">
        <v>41944</v>
      </c>
      <c r="B290">
        <v>-0.41121357459956998</v>
      </c>
      <c r="C290">
        <v>-0.55463607662438397</v>
      </c>
      <c r="G290" s="1">
        <v>41944</v>
      </c>
      <c r="H290" s="1">
        <v>41974</v>
      </c>
      <c r="I290" s="1">
        <v>42005</v>
      </c>
      <c r="J290">
        <v>3.8725000000000001</v>
      </c>
      <c r="K290">
        <v>-0.41121357459956998</v>
      </c>
      <c r="L290">
        <v>3.4612864254004201</v>
      </c>
    </row>
    <row r="291" spans="1:12" x14ac:dyDescent="0.25">
      <c r="A291" s="1">
        <v>41974</v>
      </c>
      <c r="B291">
        <v>-0.41838745436845098</v>
      </c>
      <c r="C291">
        <v>-0.368197196406781</v>
      </c>
      <c r="G291" s="1">
        <v>41974</v>
      </c>
      <c r="H291" s="1">
        <v>42005</v>
      </c>
      <c r="I291" s="1">
        <v>42036</v>
      </c>
      <c r="J291">
        <v>3.754</v>
      </c>
      <c r="K291">
        <v>-0.41838745436845098</v>
      </c>
      <c r="L291">
        <v>3.3356125456315402</v>
      </c>
    </row>
    <row r="292" spans="1:12" x14ac:dyDescent="0.25">
      <c r="A292" s="1">
        <v>42005</v>
      </c>
      <c r="B292">
        <v>-0.465464158200807</v>
      </c>
      <c r="C292">
        <v>-0.47355920157125497</v>
      </c>
      <c r="G292" s="1">
        <v>42005</v>
      </c>
      <c r="H292" s="1">
        <v>42036</v>
      </c>
      <c r="I292" s="1">
        <v>42064</v>
      </c>
      <c r="J292">
        <v>3.5762499999999999</v>
      </c>
      <c r="K292">
        <v>-0.465464158200807</v>
      </c>
      <c r="L292">
        <v>3.1107858417991898</v>
      </c>
    </row>
    <row r="293" spans="1:12" x14ac:dyDescent="0.25">
      <c r="A293" s="1">
        <v>42036</v>
      </c>
      <c r="B293">
        <v>-0.35415575449895198</v>
      </c>
      <c r="C293">
        <v>-0.22071086551881799</v>
      </c>
      <c r="G293" s="1">
        <v>42036</v>
      </c>
      <c r="H293" s="1">
        <v>42064</v>
      </c>
      <c r="I293" s="1">
        <v>42095</v>
      </c>
      <c r="J293">
        <v>3.61625</v>
      </c>
      <c r="K293">
        <v>-0.35415575449895198</v>
      </c>
      <c r="L293">
        <v>3.2620942455010402</v>
      </c>
    </row>
    <row r="294" spans="1:12" x14ac:dyDescent="0.25">
      <c r="A294" s="1">
        <v>42064</v>
      </c>
      <c r="B294">
        <v>-0.30369889934626199</v>
      </c>
      <c r="C294">
        <v>-0.21682663094871199</v>
      </c>
      <c r="G294" s="1">
        <v>42064</v>
      </c>
      <c r="H294" s="1">
        <v>42095</v>
      </c>
      <c r="I294" s="1">
        <v>42125</v>
      </c>
      <c r="J294">
        <v>3.67</v>
      </c>
      <c r="K294">
        <v>-0.30369889934626199</v>
      </c>
      <c r="L294">
        <v>3.3663011006537298</v>
      </c>
    </row>
    <row r="295" spans="1:12" x14ac:dyDescent="0.25">
      <c r="A295" s="1">
        <v>42095</v>
      </c>
      <c r="B295">
        <v>-0.24501918890577301</v>
      </c>
      <c r="C295">
        <v>-0.29752007024978899</v>
      </c>
      <c r="G295" s="1">
        <v>42095</v>
      </c>
      <c r="H295" s="1">
        <v>42125</v>
      </c>
      <c r="I295" s="1">
        <v>42156</v>
      </c>
      <c r="J295">
        <v>3.577</v>
      </c>
      <c r="K295">
        <v>-0.24501918890577301</v>
      </c>
      <c r="L295">
        <v>3.33198081109422</v>
      </c>
    </row>
    <row r="296" spans="1:12" x14ac:dyDescent="0.25">
      <c r="A296" s="1">
        <v>42125</v>
      </c>
      <c r="B296">
        <v>-0.21608211755984499</v>
      </c>
      <c r="C296">
        <v>-0.133899651481035</v>
      </c>
      <c r="G296" s="1">
        <v>42125</v>
      </c>
      <c r="H296" s="1">
        <v>42156</v>
      </c>
      <c r="I296" s="1">
        <v>42186</v>
      </c>
      <c r="J296">
        <v>3.7462499999999999</v>
      </c>
      <c r="K296">
        <v>-0.21608211755984499</v>
      </c>
      <c r="L296">
        <v>3.5301678824401499</v>
      </c>
    </row>
    <row r="297" spans="1:12" x14ac:dyDescent="0.25">
      <c r="A297" s="1">
        <v>42156</v>
      </c>
      <c r="B297">
        <v>-0.25536852997754</v>
      </c>
      <c r="C297">
        <v>-0.33468586820179702</v>
      </c>
      <c r="G297" s="1">
        <v>42156</v>
      </c>
      <c r="H297" s="1">
        <v>42186</v>
      </c>
      <c r="I297" s="1">
        <v>42217</v>
      </c>
      <c r="J297">
        <v>3.895</v>
      </c>
      <c r="K297">
        <v>-0.25536852997754</v>
      </c>
      <c r="L297">
        <v>3.6396314700224499</v>
      </c>
    </row>
    <row r="298" spans="1:12" x14ac:dyDescent="0.25">
      <c r="A298" s="1">
        <v>42186</v>
      </c>
      <c r="B298">
        <v>-0.224443785140966</v>
      </c>
      <c r="C298">
        <v>-0.204745835740066</v>
      </c>
      <c r="G298" s="1">
        <v>42186</v>
      </c>
      <c r="H298" s="1">
        <v>42217</v>
      </c>
      <c r="I298" s="1">
        <v>42248</v>
      </c>
      <c r="J298">
        <v>3.9460000000000002</v>
      </c>
      <c r="K298">
        <v>-0.224443785140966</v>
      </c>
      <c r="L298">
        <v>3.7215562148590302</v>
      </c>
    </row>
    <row r="299" spans="1:12" x14ac:dyDescent="0.25">
      <c r="A299" s="1">
        <v>42217</v>
      </c>
      <c r="B299">
        <v>-0.25275230161797702</v>
      </c>
      <c r="C299">
        <v>-0.218825200912067</v>
      </c>
      <c r="G299" s="1">
        <v>42217</v>
      </c>
      <c r="H299" s="1">
        <v>42248</v>
      </c>
      <c r="I299" s="1">
        <v>42278</v>
      </c>
      <c r="J299">
        <v>3.8050000000000002</v>
      </c>
      <c r="K299">
        <v>-0.25275230161797702</v>
      </c>
      <c r="L299">
        <v>3.5522476983820201</v>
      </c>
    </row>
    <row r="300" spans="1:12" x14ac:dyDescent="0.25">
      <c r="A300" s="1">
        <v>42248</v>
      </c>
      <c r="B300">
        <v>-0.24614182840614901</v>
      </c>
      <c r="C300">
        <v>-0.31485444856631301</v>
      </c>
      <c r="G300" s="1">
        <v>42248</v>
      </c>
      <c r="H300" s="1">
        <v>42278</v>
      </c>
      <c r="I300" s="1">
        <v>42309</v>
      </c>
      <c r="J300">
        <v>3.7869999999999999</v>
      </c>
      <c r="K300">
        <v>-0.24614182840614901</v>
      </c>
      <c r="L300">
        <v>3.5408581715938499</v>
      </c>
    </row>
    <row r="301" spans="1:12" x14ac:dyDescent="0.25">
      <c r="A301" s="1">
        <v>42278</v>
      </c>
      <c r="B301">
        <v>-0.30064494852915202</v>
      </c>
      <c r="C301">
        <v>-0.36825519610907498</v>
      </c>
      <c r="G301" s="1">
        <v>42278</v>
      </c>
      <c r="H301" s="1">
        <v>42309</v>
      </c>
      <c r="I301" s="1">
        <v>42339</v>
      </c>
      <c r="J301">
        <v>3.6825000000000001</v>
      </c>
      <c r="K301">
        <v>-0.30064494852915202</v>
      </c>
      <c r="L301">
        <v>3.3818550514708399</v>
      </c>
    </row>
    <row r="302" spans="1:12" x14ac:dyDescent="0.25">
      <c r="A302" s="1">
        <v>42309</v>
      </c>
      <c r="B302">
        <v>-0.34526394958221701</v>
      </c>
      <c r="C302">
        <v>-0.352682204071262</v>
      </c>
      <c r="G302" s="1">
        <v>42309</v>
      </c>
      <c r="H302" s="1">
        <v>42339</v>
      </c>
      <c r="I302" s="1">
        <v>42370</v>
      </c>
      <c r="J302">
        <v>3.8487499999999999</v>
      </c>
      <c r="K302">
        <v>-0.34526394958221701</v>
      </c>
      <c r="L302">
        <v>3.5034860504177798</v>
      </c>
    </row>
    <row r="303" spans="1:12" x14ac:dyDescent="0.25">
      <c r="A303" s="1">
        <v>42339</v>
      </c>
      <c r="B303">
        <v>-0.342514332808111</v>
      </c>
      <c r="C303">
        <v>-0.30660559824399602</v>
      </c>
      <c r="G303" s="1">
        <v>42339</v>
      </c>
      <c r="H303" s="1">
        <v>42370</v>
      </c>
      <c r="I303" s="1">
        <v>42401</v>
      </c>
      <c r="J303">
        <v>3.8639999999999999</v>
      </c>
      <c r="K303">
        <v>-0.342514332808111</v>
      </c>
      <c r="L303">
        <v>3.5214856671918802</v>
      </c>
    </row>
    <row r="304" spans="1:12" x14ac:dyDescent="0.25">
      <c r="A304" s="1">
        <v>42370</v>
      </c>
      <c r="B304">
        <v>-0.34872130325560902</v>
      </c>
      <c r="C304">
        <v>-0.38687610745156997</v>
      </c>
      <c r="G304" s="1">
        <v>42370</v>
      </c>
      <c r="H304" s="1">
        <v>42401</v>
      </c>
      <c r="I304" s="1">
        <v>42430</v>
      </c>
      <c r="J304">
        <v>3.7725</v>
      </c>
      <c r="K304">
        <v>-0.34872130325560902</v>
      </c>
      <c r="L304">
        <v>3.4237786967443902</v>
      </c>
    </row>
    <row r="305" spans="1:12" x14ac:dyDescent="0.25">
      <c r="A305" s="1">
        <v>42401</v>
      </c>
      <c r="B305">
        <v>-0.37435041568466398</v>
      </c>
      <c r="C305">
        <v>-0.42956954135842501</v>
      </c>
      <c r="G305" s="1">
        <v>42401</v>
      </c>
      <c r="H305" s="1">
        <v>42430</v>
      </c>
      <c r="I305" s="1">
        <v>42461</v>
      </c>
      <c r="J305">
        <v>3.5474999999999999</v>
      </c>
      <c r="K305">
        <v>-0.37435041568466398</v>
      </c>
      <c r="L305">
        <v>3.1731495843153299</v>
      </c>
    </row>
    <row r="306" spans="1:12" x14ac:dyDescent="0.25">
      <c r="A306" s="1">
        <v>42430</v>
      </c>
      <c r="B306">
        <v>-0.356479416638948</v>
      </c>
      <c r="C306">
        <v>-0.25299260110684801</v>
      </c>
      <c r="G306" s="1">
        <v>42430</v>
      </c>
      <c r="H306" s="1">
        <v>42461</v>
      </c>
      <c r="I306" s="1">
        <v>42491</v>
      </c>
      <c r="J306">
        <v>3.569</v>
      </c>
      <c r="K306">
        <v>-0.356479416638948</v>
      </c>
      <c r="L306">
        <v>3.2125205833610502</v>
      </c>
    </row>
    <row r="307" spans="1:12" x14ac:dyDescent="0.25">
      <c r="A307" s="1">
        <v>42461</v>
      </c>
      <c r="B307">
        <v>-0.32500259310034801</v>
      </c>
      <c r="C307">
        <v>-0.29244563683577202</v>
      </c>
      <c r="G307" s="1">
        <v>42461</v>
      </c>
      <c r="H307" s="1">
        <v>42491</v>
      </c>
      <c r="I307" s="1">
        <v>42522</v>
      </c>
      <c r="J307">
        <v>3.4925000000000002</v>
      </c>
      <c r="K307">
        <v>-0.32500259310034801</v>
      </c>
      <c r="L307">
        <v>3.16749740689965</v>
      </c>
    </row>
    <row r="308" spans="1:12" x14ac:dyDescent="0.25">
      <c r="A308" s="1">
        <v>42491</v>
      </c>
      <c r="B308">
        <v>-0.29327822633697898</v>
      </c>
      <c r="C308">
        <v>-0.33439644106831801</v>
      </c>
      <c r="G308" s="1">
        <v>42491</v>
      </c>
      <c r="H308" s="1">
        <v>42522</v>
      </c>
      <c r="I308" s="1">
        <v>42552</v>
      </c>
      <c r="J308">
        <v>3.4874999999999998</v>
      </c>
      <c r="K308">
        <v>-0.29327822633697898</v>
      </c>
      <c r="L308">
        <v>3.1942217736630201</v>
      </c>
    </row>
    <row r="309" spans="1:12" x14ac:dyDescent="0.25">
      <c r="A309" s="1">
        <v>42522</v>
      </c>
      <c r="B309">
        <v>-0.30424254756413599</v>
      </c>
      <c r="C309">
        <v>-0.285885564788319</v>
      </c>
      <c r="G309" s="1">
        <v>42522</v>
      </c>
      <c r="H309" s="1">
        <v>42552</v>
      </c>
      <c r="I309" s="1">
        <v>42583</v>
      </c>
      <c r="J309">
        <v>3.448</v>
      </c>
      <c r="K309">
        <v>-0.30424254756413599</v>
      </c>
      <c r="L309">
        <v>3.1437574524358598</v>
      </c>
    </row>
    <row r="310" spans="1:12" x14ac:dyDescent="0.25">
      <c r="A310" s="1">
        <v>42552</v>
      </c>
      <c r="B310">
        <v>-0.30795306243763299</v>
      </c>
      <c r="C310">
        <v>-0.303577181456263</v>
      </c>
      <c r="G310" s="1">
        <v>42552</v>
      </c>
      <c r="H310" s="1">
        <v>42583</v>
      </c>
      <c r="I310" s="1">
        <v>42614</v>
      </c>
      <c r="J310">
        <v>3.3149999999999999</v>
      </c>
      <c r="K310">
        <v>-0.30795306243763299</v>
      </c>
      <c r="L310">
        <v>3.0070469375623601</v>
      </c>
    </row>
    <row r="311" spans="1:12" x14ac:dyDescent="0.25">
      <c r="A311" s="1">
        <v>42583</v>
      </c>
      <c r="B311">
        <v>-0.27465287699549501</v>
      </c>
      <c r="C311">
        <v>-0.234495884741902</v>
      </c>
      <c r="G311" s="1">
        <v>42583</v>
      </c>
      <c r="H311" s="1">
        <v>42614</v>
      </c>
      <c r="I311" s="1">
        <v>42644</v>
      </c>
      <c r="J311">
        <v>3.32</v>
      </c>
      <c r="K311">
        <v>-0.27465287699549501</v>
      </c>
      <c r="L311">
        <v>3.0453471230044999</v>
      </c>
    </row>
    <row r="312" spans="1:12" x14ac:dyDescent="0.25">
      <c r="A312" s="1">
        <v>42614</v>
      </c>
      <c r="B312">
        <v>-0.25554480859610701</v>
      </c>
      <c r="C312">
        <v>-0.228561359590156</v>
      </c>
      <c r="G312" s="1">
        <v>42614</v>
      </c>
      <c r="H312" s="1">
        <v>42644</v>
      </c>
      <c r="I312" s="1">
        <v>42675</v>
      </c>
      <c r="J312">
        <v>3.3475000000000001</v>
      </c>
      <c r="K312">
        <v>-0.25554480859610701</v>
      </c>
      <c r="L312">
        <v>3.0919551914038901</v>
      </c>
    </row>
    <row r="313" spans="1:12" x14ac:dyDescent="0.25">
      <c r="A313" s="1">
        <v>42644</v>
      </c>
      <c r="B313">
        <v>-0.24442800654508201</v>
      </c>
      <c r="C313">
        <v>-0.270226775303188</v>
      </c>
      <c r="G313" s="1">
        <v>42644</v>
      </c>
      <c r="H313" s="1">
        <v>42675</v>
      </c>
      <c r="I313" s="1">
        <v>42705</v>
      </c>
      <c r="J313">
        <v>3.3574999999999999</v>
      </c>
      <c r="K313">
        <v>-0.24442800654508201</v>
      </c>
      <c r="L313">
        <v>3.11307199345491</v>
      </c>
    </row>
    <row r="314" spans="1:12" x14ac:dyDescent="0.25">
      <c r="A314" s="1">
        <v>42675</v>
      </c>
      <c r="B314">
        <v>-0.24740568726883599</v>
      </c>
      <c r="C314">
        <v>-0.24342892691316201</v>
      </c>
      <c r="G314" s="1">
        <v>42675</v>
      </c>
      <c r="H314" s="1">
        <v>42705</v>
      </c>
      <c r="I314" s="1">
        <v>42736</v>
      </c>
      <c r="J314">
        <v>3.7069999999999901</v>
      </c>
      <c r="K314">
        <v>-0.24740568726883599</v>
      </c>
      <c r="L314">
        <v>3.4595943127311601</v>
      </c>
    </row>
    <row r="315" spans="1:12" x14ac:dyDescent="0.25">
      <c r="A315" s="1">
        <v>42705</v>
      </c>
      <c r="B315">
        <v>-0.24949404468174899</v>
      </c>
      <c r="C315">
        <v>-0.23482643182889801</v>
      </c>
      <c r="G315" s="1">
        <v>42705</v>
      </c>
      <c r="H315" s="1">
        <v>42736</v>
      </c>
      <c r="I315" s="1">
        <v>42767</v>
      </c>
      <c r="J315">
        <v>4.1025</v>
      </c>
      <c r="K315">
        <v>-0.24949404468174899</v>
      </c>
      <c r="L315">
        <v>3.8530059553182499</v>
      </c>
    </row>
    <row r="316" spans="1:12" x14ac:dyDescent="0.25">
      <c r="A316" s="1">
        <v>42736</v>
      </c>
      <c r="B316">
        <v>-0.29803581400395002</v>
      </c>
      <c r="C316">
        <v>-0.41585208326978901</v>
      </c>
      <c r="G316" s="1">
        <v>42736</v>
      </c>
      <c r="H316" s="1">
        <v>42767</v>
      </c>
      <c r="I316" s="1">
        <v>42795</v>
      </c>
      <c r="J316">
        <v>4.0187499999999998</v>
      </c>
      <c r="K316">
        <v>-0.29803581400395002</v>
      </c>
      <c r="L316">
        <v>3.7207141859960502</v>
      </c>
    </row>
    <row r="317" spans="1:12" x14ac:dyDescent="0.25">
      <c r="A317" s="1">
        <v>42767</v>
      </c>
      <c r="B317">
        <v>-0.25706940237852899</v>
      </c>
      <c r="C317">
        <v>-0.116020393046095</v>
      </c>
    </row>
    <row r="318" spans="1:12" x14ac:dyDescent="0.25">
      <c r="A318" s="1">
        <v>42795</v>
      </c>
      <c r="B318">
        <v>-0.32294823627118402</v>
      </c>
      <c r="C318">
        <v>-0.30132313026422097</v>
      </c>
    </row>
    <row r="319" spans="1:12" x14ac:dyDescent="0.25">
      <c r="C319">
        <v>-0.23601585762027799</v>
      </c>
    </row>
    <row r="320" spans="1:12" x14ac:dyDescent="0.25">
      <c r="C320">
        <v>-0.23021021620436599</v>
      </c>
    </row>
    <row r="321" spans="3:3" x14ac:dyDescent="0.25">
      <c r="C321">
        <v>-0.27044344692126099</v>
      </c>
    </row>
    <row r="322" spans="3:3" x14ac:dyDescent="0.25">
      <c r="C322">
        <v>-0.174682104340735</v>
      </c>
    </row>
    <row r="323" spans="3:3" x14ac:dyDescent="0.25">
      <c r="C323">
        <v>-0.23648176101127599</v>
      </c>
    </row>
    <row r="324" spans="3:3" x14ac:dyDescent="0.25">
      <c r="C324">
        <v>-0.415930791644398</v>
      </c>
    </row>
    <row r="325" spans="3:3" x14ac:dyDescent="0.25">
      <c r="C325">
        <v>-0.116020393046095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daily</vt:lpstr>
      <vt:lpstr>3m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2017-02-22T22:38:25Z</dcterms:created>
  <dcterms:modified xsi:type="dcterms:W3CDTF">2017-03-02T14:57:59Z</dcterms:modified>
</cp:coreProperties>
</file>