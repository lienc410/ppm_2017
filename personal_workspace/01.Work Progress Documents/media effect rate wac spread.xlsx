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60" windowWidth="30195" windowHeight="189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K2" i="1" l="1"/>
  <c r="D6" i="1"/>
  <c r="D18" i="1"/>
  <c r="D26" i="1"/>
  <c r="D28" i="1"/>
  <c r="D34" i="1"/>
  <c r="D44" i="1"/>
  <c r="D52" i="1"/>
  <c r="D54" i="1"/>
  <c r="D60" i="1"/>
  <c r="D66" i="1"/>
  <c r="D84" i="1"/>
  <c r="D92" i="1"/>
  <c r="C3" i="1"/>
  <c r="D3" i="1" s="1"/>
  <c r="C4" i="1"/>
  <c r="D4" i="1" s="1"/>
  <c r="C5" i="1"/>
  <c r="D5" i="1" s="1"/>
  <c r="C6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C27" i="1"/>
  <c r="D27" i="1" s="1"/>
  <c r="C28" i="1"/>
  <c r="C29" i="1"/>
  <c r="D29" i="1" s="1"/>
  <c r="C30" i="1"/>
  <c r="D30" i="1" s="1"/>
  <c r="C31" i="1"/>
  <c r="D31" i="1" s="1"/>
  <c r="C32" i="1"/>
  <c r="D32" i="1" s="1"/>
  <c r="C33" i="1"/>
  <c r="D33" i="1" s="1"/>
  <c r="C34" i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C53" i="1"/>
  <c r="D53" i="1" s="1"/>
  <c r="C54" i="1"/>
  <c r="C55" i="1"/>
  <c r="D55" i="1" s="1"/>
  <c r="C56" i="1"/>
  <c r="D56" i="1" s="1"/>
  <c r="C57" i="1"/>
  <c r="D57" i="1" s="1"/>
  <c r="C58" i="1"/>
  <c r="D58" i="1" s="1"/>
  <c r="C59" i="1"/>
  <c r="D59" i="1" s="1"/>
  <c r="C60" i="1"/>
  <c r="C61" i="1"/>
  <c r="D61" i="1" s="1"/>
  <c r="C62" i="1"/>
  <c r="D62" i="1" s="1"/>
  <c r="C63" i="1"/>
  <c r="D63" i="1" s="1"/>
  <c r="C64" i="1"/>
  <c r="D64" i="1" s="1"/>
  <c r="C65" i="1"/>
  <c r="D65" i="1" s="1"/>
  <c r="C66" i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2" i="1"/>
  <c r="D2" i="1" s="1"/>
  <c r="C1" i="1"/>
</calcChain>
</file>

<file path=xl/sharedStrings.xml><?xml version="1.0" encoding="utf-8"?>
<sst xmlns="http://schemas.openxmlformats.org/spreadsheetml/2006/main" count="574" uniqueCount="8">
  <si>
    <t>originationDate</t>
  </si>
  <si>
    <t>WAC</t>
  </si>
  <si>
    <t>SeriesName</t>
  </si>
  <si>
    <t>asof</t>
  </si>
  <si>
    <t>MtgRate</t>
  </si>
  <si>
    <t>CONVENTIONAL_30YR</t>
  </si>
  <si>
    <t>Diff</t>
  </si>
  <si>
    <t>WA_Diff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</si>
</sst>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WAC</c:v>
                </c:pt>
              </c:strCache>
            </c:strRef>
          </c:tx>
          <c:marker>
            <c:symbol val="none"/>
          </c:marker>
          <c:cat>
            <c:numRef>
              <c:f>Sheet1!$A$2:$A$111</c:f>
              <c:numCache>
                <c:formatCode>m/d/yyyy</c:formatCode>
                <c:ptCount val="110"/>
                <c:pt idx="0">
                  <c:v>43344</c:v>
                </c:pt>
                <c:pt idx="1">
                  <c:v>43313</c:v>
                </c:pt>
                <c:pt idx="2">
                  <c:v>43282</c:v>
                </c:pt>
                <c:pt idx="3">
                  <c:v>43252</c:v>
                </c:pt>
                <c:pt idx="4">
                  <c:v>43221</c:v>
                </c:pt>
                <c:pt idx="5">
                  <c:v>43191</c:v>
                </c:pt>
                <c:pt idx="6">
                  <c:v>43160</c:v>
                </c:pt>
                <c:pt idx="7">
                  <c:v>43132</c:v>
                </c:pt>
                <c:pt idx="8">
                  <c:v>43101</c:v>
                </c:pt>
                <c:pt idx="9">
                  <c:v>43070</c:v>
                </c:pt>
                <c:pt idx="10">
                  <c:v>43040</c:v>
                </c:pt>
                <c:pt idx="11">
                  <c:v>43009</c:v>
                </c:pt>
                <c:pt idx="12">
                  <c:v>42979</c:v>
                </c:pt>
                <c:pt idx="13">
                  <c:v>42948</c:v>
                </c:pt>
                <c:pt idx="14">
                  <c:v>42917</c:v>
                </c:pt>
                <c:pt idx="15">
                  <c:v>42887</c:v>
                </c:pt>
                <c:pt idx="16">
                  <c:v>42856</c:v>
                </c:pt>
                <c:pt idx="17">
                  <c:v>42826</c:v>
                </c:pt>
                <c:pt idx="18">
                  <c:v>42795</c:v>
                </c:pt>
                <c:pt idx="19">
                  <c:v>42767</c:v>
                </c:pt>
                <c:pt idx="20">
                  <c:v>42736</c:v>
                </c:pt>
                <c:pt idx="21">
                  <c:v>42705</c:v>
                </c:pt>
                <c:pt idx="22">
                  <c:v>42675</c:v>
                </c:pt>
                <c:pt idx="23">
                  <c:v>42644</c:v>
                </c:pt>
                <c:pt idx="24">
                  <c:v>42614</c:v>
                </c:pt>
                <c:pt idx="25">
                  <c:v>42583</c:v>
                </c:pt>
                <c:pt idx="26">
                  <c:v>42552</c:v>
                </c:pt>
                <c:pt idx="27">
                  <c:v>42522</c:v>
                </c:pt>
                <c:pt idx="28">
                  <c:v>42491</c:v>
                </c:pt>
                <c:pt idx="29">
                  <c:v>42461</c:v>
                </c:pt>
                <c:pt idx="30">
                  <c:v>42430</c:v>
                </c:pt>
                <c:pt idx="31">
                  <c:v>42401</c:v>
                </c:pt>
                <c:pt idx="32">
                  <c:v>42370</c:v>
                </c:pt>
                <c:pt idx="33">
                  <c:v>42339</c:v>
                </c:pt>
                <c:pt idx="34">
                  <c:v>42309</c:v>
                </c:pt>
                <c:pt idx="35">
                  <c:v>42278</c:v>
                </c:pt>
                <c:pt idx="36">
                  <c:v>42248</c:v>
                </c:pt>
                <c:pt idx="37">
                  <c:v>42217</c:v>
                </c:pt>
                <c:pt idx="38">
                  <c:v>42186</c:v>
                </c:pt>
                <c:pt idx="39">
                  <c:v>42156</c:v>
                </c:pt>
                <c:pt idx="40">
                  <c:v>42125</c:v>
                </c:pt>
                <c:pt idx="41">
                  <c:v>42095</c:v>
                </c:pt>
                <c:pt idx="42">
                  <c:v>42064</c:v>
                </c:pt>
                <c:pt idx="43">
                  <c:v>42036</c:v>
                </c:pt>
                <c:pt idx="44">
                  <c:v>42005</c:v>
                </c:pt>
                <c:pt idx="45">
                  <c:v>41974</c:v>
                </c:pt>
                <c:pt idx="46">
                  <c:v>41944</c:v>
                </c:pt>
                <c:pt idx="47">
                  <c:v>41913</c:v>
                </c:pt>
                <c:pt idx="48">
                  <c:v>41883</c:v>
                </c:pt>
                <c:pt idx="49">
                  <c:v>41852</c:v>
                </c:pt>
                <c:pt idx="50">
                  <c:v>41821</c:v>
                </c:pt>
                <c:pt idx="51">
                  <c:v>41791</c:v>
                </c:pt>
                <c:pt idx="52">
                  <c:v>41760</c:v>
                </c:pt>
                <c:pt idx="53">
                  <c:v>41730</c:v>
                </c:pt>
                <c:pt idx="54">
                  <c:v>41699</c:v>
                </c:pt>
                <c:pt idx="55">
                  <c:v>41671</c:v>
                </c:pt>
                <c:pt idx="56">
                  <c:v>41640</c:v>
                </c:pt>
                <c:pt idx="57">
                  <c:v>41609</c:v>
                </c:pt>
                <c:pt idx="58">
                  <c:v>41579</c:v>
                </c:pt>
                <c:pt idx="59">
                  <c:v>41548</c:v>
                </c:pt>
                <c:pt idx="60">
                  <c:v>41518</c:v>
                </c:pt>
                <c:pt idx="61">
                  <c:v>41487</c:v>
                </c:pt>
                <c:pt idx="62">
                  <c:v>41456</c:v>
                </c:pt>
                <c:pt idx="63">
                  <c:v>41426</c:v>
                </c:pt>
                <c:pt idx="64">
                  <c:v>41395</c:v>
                </c:pt>
                <c:pt idx="65">
                  <c:v>41365</c:v>
                </c:pt>
                <c:pt idx="66">
                  <c:v>41334</c:v>
                </c:pt>
                <c:pt idx="67">
                  <c:v>41306</c:v>
                </c:pt>
                <c:pt idx="68">
                  <c:v>41275</c:v>
                </c:pt>
                <c:pt idx="69">
                  <c:v>41244</c:v>
                </c:pt>
                <c:pt idx="70">
                  <c:v>41214</c:v>
                </c:pt>
                <c:pt idx="71">
                  <c:v>41183</c:v>
                </c:pt>
                <c:pt idx="72">
                  <c:v>41153</c:v>
                </c:pt>
                <c:pt idx="73">
                  <c:v>41122</c:v>
                </c:pt>
                <c:pt idx="74">
                  <c:v>41091</c:v>
                </c:pt>
                <c:pt idx="75">
                  <c:v>41061</c:v>
                </c:pt>
                <c:pt idx="76">
                  <c:v>41030</c:v>
                </c:pt>
                <c:pt idx="77">
                  <c:v>41000</c:v>
                </c:pt>
                <c:pt idx="78">
                  <c:v>40969</c:v>
                </c:pt>
                <c:pt idx="79">
                  <c:v>40940</c:v>
                </c:pt>
                <c:pt idx="80">
                  <c:v>40909</c:v>
                </c:pt>
                <c:pt idx="81">
                  <c:v>40878</c:v>
                </c:pt>
                <c:pt idx="82">
                  <c:v>40848</c:v>
                </c:pt>
                <c:pt idx="83">
                  <c:v>40817</c:v>
                </c:pt>
                <c:pt idx="84">
                  <c:v>40787</c:v>
                </c:pt>
                <c:pt idx="85">
                  <c:v>40756</c:v>
                </c:pt>
                <c:pt idx="86">
                  <c:v>40725</c:v>
                </c:pt>
                <c:pt idx="87">
                  <c:v>40695</c:v>
                </c:pt>
                <c:pt idx="88">
                  <c:v>40664</c:v>
                </c:pt>
                <c:pt idx="89">
                  <c:v>40634</c:v>
                </c:pt>
                <c:pt idx="90">
                  <c:v>40603</c:v>
                </c:pt>
                <c:pt idx="91">
                  <c:v>40575</c:v>
                </c:pt>
                <c:pt idx="92">
                  <c:v>40544</c:v>
                </c:pt>
                <c:pt idx="93">
                  <c:v>40513</c:v>
                </c:pt>
                <c:pt idx="94">
                  <c:v>40483</c:v>
                </c:pt>
                <c:pt idx="95">
                  <c:v>40452</c:v>
                </c:pt>
                <c:pt idx="96">
                  <c:v>40422</c:v>
                </c:pt>
                <c:pt idx="97">
                  <c:v>40391</c:v>
                </c:pt>
                <c:pt idx="98">
                  <c:v>40360</c:v>
                </c:pt>
                <c:pt idx="99">
                  <c:v>40330</c:v>
                </c:pt>
                <c:pt idx="100">
                  <c:v>40299</c:v>
                </c:pt>
                <c:pt idx="101">
                  <c:v>40269</c:v>
                </c:pt>
                <c:pt idx="102">
                  <c:v>40238</c:v>
                </c:pt>
                <c:pt idx="103">
                  <c:v>40210</c:v>
                </c:pt>
                <c:pt idx="104">
                  <c:v>40179</c:v>
                </c:pt>
                <c:pt idx="105">
                  <c:v>40148</c:v>
                </c:pt>
                <c:pt idx="106">
                  <c:v>40118</c:v>
                </c:pt>
                <c:pt idx="107">
                  <c:v>40087</c:v>
                </c:pt>
                <c:pt idx="108">
                  <c:v>40057</c:v>
                </c:pt>
                <c:pt idx="109">
                  <c:v>40026</c:v>
                </c:pt>
              </c:numCache>
            </c:numRef>
          </c:cat>
          <c:val>
            <c:numRef>
              <c:f>Sheet1!$B$2:$B$111</c:f>
              <c:numCache>
                <c:formatCode>General</c:formatCode>
                <c:ptCount val="110"/>
                <c:pt idx="0">
                  <c:v>5.1077902621722799</c:v>
                </c:pt>
                <c:pt idx="1">
                  <c:v>4.83713351677281</c:v>
                </c:pt>
                <c:pt idx="2">
                  <c:v>4.7836025127399502</c:v>
                </c:pt>
                <c:pt idx="3">
                  <c:v>4.7055174726811302</c:v>
                </c:pt>
                <c:pt idx="4">
                  <c:v>4.6480330432998196</c:v>
                </c:pt>
                <c:pt idx="5">
                  <c:v>4.55432336140779</c:v>
                </c:pt>
                <c:pt idx="6">
                  <c:v>4.3286324954527204</c:v>
                </c:pt>
                <c:pt idx="7">
                  <c:v>4.1969684298964598</c:v>
                </c:pt>
                <c:pt idx="8">
                  <c:v>4.1638172419125903</c:v>
                </c:pt>
                <c:pt idx="9">
                  <c:v>4.1362270297380803</c:v>
                </c:pt>
                <c:pt idx="10">
                  <c:v>4.0780024501104899</c:v>
                </c:pt>
                <c:pt idx="11">
                  <c:v>4.0982418104861802</c:v>
                </c:pt>
                <c:pt idx="12">
                  <c:v>4.1573329277444602</c:v>
                </c:pt>
                <c:pt idx="13">
                  <c:v>4.1710463256241299</c:v>
                </c:pt>
                <c:pt idx="14">
                  <c:v>4.2203095725492501</c:v>
                </c:pt>
                <c:pt idx="15">
                  <c:v>4.2995476469423499</c:v>
                </c:pt>
                <c:pt idx="16">
                  <c:v>4.4083389953254404</c:v>
                </c:pt>
                <c:pt idx="17">
                  <c:v>4.3880630464617001</c:v>
                </c:pt>
                <c:pt idx="18">
                  <c:v>4.3377890988420802</c:v>
                </c:pt>
                <c:pt idx="19">
                  <c:v>4.2115315601971401</c:v>
                </c:pt>
                <c:pt idx="20">
                  <c:v>3.9188781439331102</c:v>
                </c:pt>
                <c:pt idx="21">
                  <c:v>3.7132991931680501</c:v>
                </c:pt>
                <c:pt idx="22">
                  <c:v>3.6943285451891201</c:v>
                </c:pt>
                <c:pt idx="23">
                  <c:v>3.6968873562832401</c:v>
                </c:pt>
                <c:pt idx="24">
                  <c:v>3.69706950228669</c:v>
                </c:pt>
                <c:pt idx="25">
                  <c:v>3.7799746885410199</c:v>
                </c:pt>
                <c:pt idx="26">
                  <c:v>3.8335953979318802</c:v>
                </c:pt>
                <c:pt idx="27">
                  <c:v>3.8539971961716701</c:v>
                </c:pt>
                <c:pt idx="28">
                  <c:v>3.8814110204587302</c:v>
                </c:pt>
                <c:pt idx="29">
                  <c:v>3.8950441942611702</c:v>
                </c:pt>
                <c:pt idx="30">
                  <c:v>4.0658790959564097</c:v>
                </c:pt>
                <c:pt idx="31">
                  <c:v>4.1810395102244504</c:v>
                </c:pt>
                <c:pt idx="32">
                  <c:v>4.1276608857322401</c:v>
                </c:pt>
                <c:pt idx="33">
                  <c:v>4.0537542539929703</c:v>
                </c:pt>
                <c:pt idx="34">
                  <c:v>4.1123923705473704</c:v>
                </c:pt>
                <c:pt idx="35">
                  <c:v>4.1530921749094301</c:v>
                </c:pt>
                <c:pt idx="36">
                  <c:v>4.21067267304237</c:v>
                </c:pt>
                <c:pt idx="37">
                  <c:v>4.1775941212024303</c:v>
                </c:pt>
                <c:pt idx="38">
                  <c:v>4.0155487307765299</c:v>
                </c:pt>
                <c:pt idx="39">
                  <c:v>3.9137865834176799</c:v>
                </c:pt>
                <c:pt idx="40">
                  <c:v>3.9330704043627098</c:v>
                </c:pt>
                <c:pt idx="41">
                  <c:v>3.8678500646510501</c:v>
                </c:pt>
                <c:pt idx="42">
                  <c:v>3.8274489901794202</c:v>
                </c:pt>
                <c:pt idx="43">
                  <c:v>4.0203855440046903</c:v>
                </c:pt>
                <c:pt idx="44">
                  <c:v>4.1442838795717298</c:v>
                </c:pt>
                <c:pt idx="45">
                  <c:v>4.1676163232130099</c:v>
                </c:pt>
                <c:pt idx="46">
                  <c:v>4.29193724556775</c:v>
                </c:pt>
                <c:pt idx="47">
                  <c:v>4.3013558809015002</c:v>
                </c:pt>
                <c:pt idx="48">
                  <c:v>4.3137623561902299</c:v>
                </c:pt>
                <c:pt idx="49">
                  <c:v>4.3247860835284904</c:v>
                </c:pt>
                <c:pt idx="50">
                  <c:v>4.3562170013626096</c:v>
                </c:pt>
                <c:pt idx="51">
                  <c:v>4.4814843108828697</c:v>
                </c:pt>
                <c:pt idx="52">
                  <c:v>4.5328012821073997</c:v>
                </c:pt>
                <c:pt idx="53">
                  <c:v>4.5138785989286196</c:v>
                </c:pt>
                <c:pt idx="54">
                  <c:v>4.5670135417452196</c:v>
                </c:pt>
                <c:pt idx="55">
                  <c:v>4.5969659370226097</c:v>
                </c:pt>
                <c:pt idx="56">
                  <c:v>4.46754927599721</c:v>
                </c:pt>
                <c:pt idx="57">
                  <c:v>4.40877124833988</c:v>
                </c:pt>
                <c:pt idx="58">
                  <c:v>4.5517970373547598</c:v>
                </c:pt>
                <c:pt idx="59">
                  <c:v>4.5511049444407998</c:v>
                </c:pt>
                <c:pt idx="60">
                  <c:v>4.3848705493413096</c:v>
                </c:pt>
                <c:pt idx="61">
                  <c:v>4.0457757657679796</c:v>
                </c:pt>
                <c:pt idx="62">
                  <c:v>3.7310143645154201</c:v>
                </c:pt>
                <c:pt idx="63">
                  <c:v>3.6817085009636901</c:v>
                </c:pt>
                <c:pt idx="64">
                  <c:v>3.75573676815468</c:v>
                </c:pt>
                <c:pt idx="65">
                  <c:v>3.7013522058547399</c:v>
                </c:pt>
                <c:pt idx="66">
                  <c:v>3.5921353093354198</c:v>
                </c:pt>
                <c:pt idx="67">
                  <c:v>3.5518501952159802</c:v>
                </c:pt>
                <c:pt idx="68">
                  <c:v>3.5728315096485201</c:v>
                </c:pt>
                <c:pt idx="69">
                  <c:v>3.5915490317028498</c:v>
                </c:pt>
                <c:pt idx="70">
                  <c:v>3.6550387276889298</c:v>
                </c:pt>
                <c:pt idx="71">
                  <c:v>3.6962135501169802</c:v>
                </c:pt>
                <c:pt idx="72">
                  <c:v>3.7137997624758898</c:v>
                </c:pt>
                <c:pt idx="73">
                  <c:v>3.81640652697202</c:v>
                </c:pt>
                <c:pt idx="74">
                  <c:v>3.8977841709406</c:v>
                </c:pt>
                <c:pt idx="75">
                  <c:v>3.9898825850309798</c:v>
                </c:pt>
                <c:pt idx="76">
                  <c:v>4.02853244142241</c:v>
                </c:pt>
                <c:pt idx="77">
                  <c:v>3.9764398640748801</c:v>
                </c:pt>
                <c:pt idx="78">
                  <c:v>3.9837258275849998</c:v>
                </c:pt>
                <c:pt idx="79">
                  <c:v>4.0488977949739402</c:v>
                </c:pt>
                <c:pt idx="80">
                  <c:v>4.1093174754425297</c:v>
                </c:pt>
                <c:pt idx="81">
                  <c:v>4.1177321004853598</c:v>
                </c:pt>
                <c:pt idx="82">
                  <c:v>4.14588835179703</c:v>
                </c:pt>
                <c:pt idx="83">
                  <c:v>4.28013500522695</c:v>
                </c:pt>
                <c:pt idx="84">
                  <c:v>4.5312131090615004</c:v>
                </c:pt>
                <c:pt idx="85">
                  <c:v>4.6621201740967004</c:v>
                </c:pt>
                <c:pt idx="86">
                  <c:v>4.7411164536081802</c:v>
                </c:pt>
                <c:pt idx="87">
                  <c:v>4.9125692748572796</c:v>
                </c:pt>
                <c:pt idx="88">
                  <c:v>4.9463166135726997</c:v>
                </c:pt>
                <c:pt idx="89">
                  <c:v>4.9392647744074898</c:v>
                </c:pt>
                <c:pt idx="90">
                  <c:v>4.8254678723607096</c:v>
                </c:pt>
                <c:pt idx="91">
                  <c:v>4.6725563750578303</c:v>
                </c:pt>
                <c:pt idx="92">
                  <c:v>4.4305772850143601</c:v>
                </c:pt>
                <c:pt idx="93">
                  <c:v>4.3706789595047599</c:v>
                </c:pt>
                <c:pt idx="94">
                  <c:v>4.4514730926694304</c:v>
                </c:pt>
                <c:pt idx="95">
                  <c:v>4.52772142656542</c:v>
                </c:pt>
                <c:pt idx="96">
                  <c:v>4.6505019714499101</c:v>
                </c:pt>
                <c:pt idx="97">
                  <c:v>4.8161467007423502</c:v>
                </c:pt>
                <c:pt idx="98">
                  <c:v>4.9547298501410202</c:v>
                </c:pt>
                <c:pt idx="99">
                  <c:v>5.1153386269345598</c:v>
                </c:pt>
                <c:pt idx="100">
                  <c:v>5.0889259982281896</c:v>
                </c:pt>
                <c:pt idx="101">
                  <c:v>5.0782873807845998</c:v>
                </c:pt>
                <c:pt idx="102">
                  <c:v>5.06845820339199</c:v>
                </c:pt>
                <c:pt idx="103">
                  <c:v>5.0023104850472304</c:v>
                </c:pt>
                <c:pt idx="104">
                  <c:v>4.9596629169487603</c:v>
                </c:pt>
                <c:pt idx="105">
                  <c:v>5.0111940514204001</c:v>
                </c:pt>
                <c:pt idx="106">
                  <c:v>5.0294783965424701</c:v>
                </c:pt>
                <c:pt idx="107">
                  <c:v>5.1668336109047601</c:v>
                </c:pt>
                <c:pt idx="108">
                  <c:v>5.1736285035927203</c:v>
                </c:pt>
                <c:pt idx="109">
                  <c:v>5.0609556931400803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MtgRate</c:v>
                </c:pt>
              </c:strCache>
            </c:strRef>
          </c:tx>
          <c:marker>
            <c:symbol val="none"/>
          </c:marker>
          <c:cat>
            <c:numRef>
              <c:f>Sheet1!$A$2:$A$111</c:f>
              <c:numCache>
                <c:formatCode>m/d/yyyy</c:formatCode>
                <c:ptCount val="110"/>
                <c:pt idx="0">
                  <c:v>43344</c:v>
                </c:pt>
                <c:pt idx="1">
                  <c:v>43313</c:v>
                </c:pt>
                <c:pt idx="2">
                  <c:v>43282</c:v>
                </c:pt>
                <c:pt idx="3">
                  <c:v>43252</c:v>
                </c:pt>
                <c:pt idx="4">
                  <c:v>43221</c:v>
                </c:pt>
                <c:pt idx="5">
                  <c:v>43191</c:v>
                </c:pt>
                <c:pt idx="6">
                  <c:v>43160</c:v>
                </c:pt>
                <c:pt idx="7">
                  <c:v>43132</c:v>
                </c:pt>
                <c:pt idx="8">
                  <c:v>43101</c:v>
                </c:pt>
                <c:pt idx="9">
                  <c:v>43070</c:v>
                </c:pt>
                <c:pt idx="10">
                  <c:v>43040</c:v>
                </c:pt>
                <c:pt idx="11">
                  <c:v>43009</c:v>
                </c:pt>
                <c:pt idx="12">
                  <c:v>42979</c:v>
                </c:pt>
                <c:pt idx="13">
                  <c:v>42948</c:v>
                </c:pt>
                <c:pt idx="14">
                  <c:v>42917</c:v>
                </c:pt>
                <c:pt idx="15">
                  <c:v>42887</c:v>
                </c:pt>
                <c:pt idx="16">
                  <c:v>42856</c:v>
                </c:pt>
                <c:pt idx="17">
                  <c:v>42826</c:v>
                </c:pt>
                <c:pt idx="18">
                  <c:v>42795</c:v>
                </c:pt>
                <c:pt idx="19">
                  <c:v>42767</c:v>
                </c:pt>
                <c:pt idx="20">
                  <c:v>42736</c:v>
                </c:pt>
                <c:pt idx="21">
                  <c:v>42705</c:v>
                </c:pt>
                <c:pt idx="22">
                  <c:v>42675</c:v>
                </c:pt>
                <c:pt idx="23">
                  <c:v>42644</c:v>
                </c:pt>
                <c:pt idx="24">
                  <c:v>42614</c:v>
                </c:pt>
                <c:pt idx="25">
                  <c:v>42583</c:v>
                </c:pt>
                <c:pt idx="26">
                  <c:v>42552</c:v>
                </c:pt>
                <c:pt idx="27">
                  <c:v>42522</c:v>
                </c:pt>
                <c:pt idx="28">
                  <c:v>42491</c:v>
                </c:pt>
                <c:pt idx="29">
                  <c:v>42461</c:v>
                </c:pt>
                <c:pt idx="30">
                  <c:v>42430</c:v>
                </c:pt>
                <c:pt idx="31">
                  <c:v>42401</c:v>
                </c:pt>
                <c:pt idx="32">
                  <c:v>42370</c:v>
                </c:pt>
                <c:pt idx="33">
                  <c:v>42339</c:v>
                </c:pt>
                <c:pt idx="34">
                  <c:v>42309</c:v>
                </c:pt>
                <c:pt idx="35">
                  <c:v>42278</c:v>
                </c:pt>
                <c:pt idx="36">
                  <c:v>42248</c:v>
                </c:pt>
                <c:pt idx="37">
                  <c:v>42217</c:v>
                </c:pt>
                <c:pt idx="38">
                  <c:v>42186</c:v>
                </c:pt>
                <c:pt idx="39">
                  <c:v>42156</c:v>
                </c:pt>
                <c:pt idx="40">
                  <c:v>42125</c:v>
                </c:pt>
                <c:pt idx="41">
                  <c:v>42095</c:v>
                </c:pt>
                <c:pt idx="42">
                  <c:v>42064</c:v>
                </c:pt>
                <c:pt idx="43">
                  <c:v>42036</c:v>
                </c:pt>
                <c:pt idx="44">
                  <c:v>42005</c:v>
                </c:pt>
                <c:pt idx="45">
                  <c:v>41974</c:v>
                </c:pt>
                <c:pt idx="46">
                  <c:v>41944</c:v>
                </c:pt>
                <c:pt idx="47">
                  <c:v>41913</c:v>
                </c:pt>
                <c:pt idx="48">
                  <c:v>41883</c:v>
                </c:pt>
                <c:pt idx="49">
                  <c:v>41852</c:v>
                </c:pt>
                <c:pt idx="50">
                  <c:v>41821</c:v>
                </c:pt>
                <c:pt idx="51">
                  <c:v>41791</c:v>
                </c:pt>
                <c:pt idx="52">
                  <c:v>41760</c:v>
                </c:pt>
                <c:pt idx="53">
                  <c:v>41730</c:v>
                </c:pt>
                <c:pt idx="54">
                  <c:v>41699</c:v>
                </c:pt>
                <c:pt idx="55">
                  <c:v>41671</c:v>
                </c:pt>
                <c:pt idx="56">
                  <c:v>41640</c:v>
                </c:pt>
                <c:pt idx="57">
                  <c:v>41609</c:v>
                </c:pt>
                <c:pt idx="58">
                  <c:v>41579</c:v>
                </c:pt>
                <c:pt idx="59">
                  <c:v>41548</c:v>
                </c:pt>
                <c:pt idx="60">
                  <c:v>41518</c:v>
                </c:pt>
                <c:pt idx="61">
                  <c:v>41487</c:v>
                </c:pt>
                <c:pt idx="62">
                  <c:v>41456</c:v>
                </c:pt>
                <c:pt idx="63">
                  <c:v>41426</c:v>
                </c:pt>
                <c:pt idx="64">
                  <c:v>41395</c:v>
                </c:pt>
                <c:pt idx="65">
                  <c:v>41365</c:v>
                </c:pt>
                <c:pt idx="66">
                  <c:v>41334</c:v>
                </c:pt>
                <c:pt idx="67">
                  <c:v>41306</c:v>
                </c:pt>
                <c:pt idx="68">
                  <c:v>41275</c:v>
                </c:pt>
                <c:pt idx="69">
                  <c:v>41244</c:v>
                </c:pt>
                <c:pt idx="70">
                  <c:v>41214</c:v>
                </c:pt>
                <c:pt idx="71">
                  <c:v>41183</c:v>
                </c:pt>
                <c:pt idx="72">
                  <c:v>41153</c:v>
                </c:pt>
                <c:pt idx="73">
                  <c:v>41122</c:v>
                </c:pt>
                <c:pt idx="74">
                  <c:v>41091</c:v>
                </c:pt>
                <c:pt idx="75">
                  <c:v>41061</c:v>
                </c:pt>
                <c:pt idx="76">
                  <c:v>41030</c:v>
                </c:pt>
                <c:pt idx="77">
                  <c:v>41000</c:v>
                </c:pt>
                <c:pt idx="78">
                  <c:v>40969</c:v>
                </c:pt>
                <c:pt idx="79">
                  <c:v>40940</c:v>
                </c:pt>
                <c:pt idx="80">
                  <c:v>40909</c:v>
                </c:pt>
                <c:pt idx="81">
                  <c:v>40878</c:v>
                </c:pt>
                <c:pt idx="82">
                  <c:v>40848</c:v>
                </c:pt>
                <c:pt idx="83">
                  <c:v>40817</c:v>
                </c:pt>
                <c:pt idx="84">
                  <c:v>40787</c:v>
                </c:pt>
                <c:pt idx="85">
                  <c:v>40756</c:v>
                </c:pt>
                <c:pt idx="86">
                  <c:v>40725</c:v>
                </c:pt>
                <c:pt idx="87">
                  <c:v>40695</c:v>
                </c:pt>
                <c:pt idx="88">
                  <c:v>40664</c:v>
                </c:pt>
                <c:pt idx="89">
                  <c:v>40634</c:v>
                </c:pt>
                <c:pt idx="90">
                  <c:v>40603</c:v>
                </c:pt>
                <c:pt idx="91">
                  <c:v>40575</c:v>
                </c:pt>
                <c:pt idx="92">
                  <c:v>40544</c:v>
                </c:pt>
                <c:pt idx="93">
                  <c:v>40513</c:v>
                </c:pt>
                <c:pt idx="94">
                  <c:v>40483</c:v>
                </c:pt>
                <c:pt idx="95">
                  <c:v>40452</c:v>
                </c:pt>
                <c:pt idx="96">
                  <c:v>40422</c:v>
                </c:pt>
                <c:pt idx="97">
                  <c:v>40391</c:v>
                </c:pt>
                <c:pt idx="98">
                  <c:v>40360</c:v>
                </c:pt>
                <c:pt idx="99">
                  <c:v>40330</c:v>
                </c:pt>
                <c:pt idx="100">
                  <c:v>40299</c:v>
                </c:pt>
                <c:pt idx="101">
                  <c:v>40269</c:v>
                </c:pt>
                <c:pt idx="102">
                  <c:v>40238</c:v>
                </c:pt>
                <c:pt idx="103">
                  <c:v>40210</c:v>
                </c:pt>
                <c:pt idx="104">
                  <c:v>40179</c:v>
                </c:pt>
                <c:pt idx="105">
                  <c:v>40148</c:v>
                </c:pt>
                <c:pt idx="106">
                  <c:v>40118</c:v>
                </c:pt>
                <c:pt idx="107">
                  <c:v>40087</c:v>
                </c:pt>
                <c:pt idx="108">
                  <c:v>40057</c:v>
                </c:pt>
                <c:pt idx="109">
                  <c:v>40026</c:v>
                </c:pt>
              </c:numCache>
            </c:numRef>
          </c:cat>
          <c:val>
            <c:numRef>
              <c:f>Sheet1!$C$2:$C$111</c:f>
              <c:numCache>
                <c:formatCode>General</c:formatCode>
                <c:ptCount val="110"/>
                <c:pt idx="0">
                  <c:v>#N/A</c:v>
                </c:pt>
                <c:pt idx="1">
                  <c:v>4.4143749999999997</c:v>
                </c:pt>
                <c:pt idx="2">
                  <c:v>4.4423750000000002</c:v>
                </c:pt>
                <c:pt idx="3">
                  <c:v>4.3911249999999997</c:v>
                </c:pt>
                <c:pt idx="4">
                  <c:v>4.3293749999999998</c:v>
                </c:pt>
                <c:pt idx="5">
                  <c:v>4.2962499999999997</c:v>
                </c:pt>
                <c:pt idx="6">
                  <c:v>4.1099999999999897</c:v>
                </c:pt>
                <c:pt idx="7">
                  <c:v>3.8875000000000002</c:v>
                </c:pt>
                <c:pt idx="8">
                  <c:v>3.8085</c:v>
                </c:pt>
                <c:pt idx="9">
                  <c:v>3.7810000000000001</c:v>
                </c:pt>
                <c:pt idx="10">
                  <c:v>3.7281249999999999</c:v>
                </c:pt>
                <c:pt idx="11">
                  <c:v>3.7181250000000001</c:v>
                </c:pt>
                <c:pt idx="12">
                  <c:v>3.8025000000000002</c:v>
                </c:pt>
                <c:pt idx="13">
                  <c:v>3.8125</c:v>
                </c:pt>
                <c:pt idx="14">
                  <c:v>3.8205</c:v>
                </c:pt>
                <c:pt idx="15">
                  <c:v>3.8955000000000002</c:v>
                </c:pt>
                <c:pt idx="16">
                  <c:v>3.9954999999999998</c:v>
                </c:pt>
                <c:pt idx="17">
                  <c:v>4.0536250000000003</c:v>
                </c:pt>
                <c:pt idx="18">
                  <c:v>4.0274999999999999</c:v>
                </c:pt>
                <c:pt idx="19">
                  <c:v>4.0606249999999999</c:v>
                </c:pt>
                <c:pt idx="20">
                  <c:v>3.9047499999999999</c:v>
                </c:pt>
                <c:pt idx="21">
                  <c:v>3.5322499999999999</c:v>
                </c:pt>
                <c:pt idx="22">
                  <c:v>3.3525</c:v>
                </c:pt>
                <c:pt idx="23">
                  <c:v>3.3337500000000002</c:v>
                </c:pt>
                <c:pt idx="24">
                  <c:v>3.3174999999999999</c:v>
                </c:pt>
                <c:pt idx="25">
                  <c:v>3.3815</c:v>
                </c:pt>
                <c:pt idx="26">
                  <c:v>3.4677500000000001</c:v>
                </c:pt>
                <c:pt idx="27">
                  <c:v>3.49</c:v>
                </c:pt>
                <c:pt idx="28">
                  <c:v>3.5307499999999998</c:v>
                </c:pt>
                <c:pt idx="29">
                  <c:v>3.5582500000000001</c:v>
                </c:pt>
                <c:pt idx="30">
                  <c:v>3.66</c:v>
                </c:pt>
                <c:pt idx="31">
                  <c:v>3.8182499999999999</c:v>
                </c:pt>
                <c:pt idx="32">
                  <c:v>3.8563749999999999</c:v>
                </c:pt>
                <c:pt idx="33">
                  <c:v>3.765625</c:v>
                </c:pt>
                <c:pt idx="34">
                  <c:v>3.73475</c:v>
                </c:pt>
                <c:pt idx="35">
                  <c:v>3.7959999999999998</c:v>
                </c:pt>
                <c:pt idx="36">
                  <c:v>3.8755000000000002</c:v>
                </c:pt>
                <c:pt idx="37">
                  <c:v>3.9205000000000001</c:v>
                </c:pt>
                <c:pt idx="38">
                  <c:v>3.8206250000000002</c:v>
                </c:pt>
                <c:pt idx="39">
                  <c:v>3.6616249999999999</c:v>
                </c:pt>
                <c:pt idx="40">
                  <c:v>3.6234999999999999</c:v>
                </c:pt>
                <c:pt idx="41">
                  <c:v>3.6431249999999999</c:v>
                </c:pt>
                <c:pt idx="42">
                  <c:v>3.5962499999999999</c:v>
                </c:pt>
                <c:pt idx="43">
                  <c:v>3.6651250000000002</c:v>
                </c:pt>
                <c:pt idx="44">
                  <c:v>3.81325</c:v>
                </c:pt>
                <c:pt idx="45">
                  <c:v>3.8892500000000001</c:v>
                </c:pt>
                <c:pt idx="46">
                  <c:v>3.9717500000000001</c:v>
                </c:pt>
                <c:pt idx="47">
                  <c:v>4.0231250000000003</c:v>
                </c:pt>
                <c:pt idx="48">
                  <c:v>4.0193750000000001</c:v>
                </c:pt>
                <c:pt idx="49">
                  <c:v>4.04</c:v>
                </c:pt>
                <c:pt idx="50">
                  <c:v>4.0587499999999999</c:v>
                </c:pt>
                <c:pt idx="51">
                  <c:v>4.1577500000000001</c:v>
                </c:pt>
                <c:pt idx="52">
                  <c:v>4.2483750000000002</c:v>
                </c:pt>
                <c:pt idx="53">
                  <c:v>4.2381250000000001</c:v>
                </c:pt>
                <c:pt idx="54">
                  <c:v>4.2947499999999996</c:v>
                </c:pt>
                <c:pt idx="55">
                  <c:v>4.3659999999999997</c:v>
                </c:pt>
                <c:pt idx="56">
                  <c:v>4.2781250000000002</c:v>
                </c:pt>
                <c:pt idx="57">
                  <c:v>4.1541249999999996</c:v>
                </c:pt>
                <c:pt idx="58">
                  <c:v>4.2716250000000002</c:v>
                </c:pt>
                <c:pt idx="59">
                  <c:v>4.4124999999999996</c:v>
                </c:pt>
                <c:pt idx="60">
                  <c:v>4.3563749999999999</c:v>
                </c:pt>
                <c:pt idx="61">
                  <c:v>4.1582499999999998</c:v>
                </c:pt>
                <c:pt idx="62">
                  <c:v>3.7367499999999998</c:v>
                </c:pt>
                <c:pt idx="63">
                  <c:v>3.4273750000000001</c:v>
                </c:pt>
                <c:pt idx="64">
                  <c:v>3.44875</c:v>
                </c:pt>
                <c:pt idx="65">
                  <c:v>3.495625</c:v>
                </c:pt>
                <c:pt idx="66">
                  <c:v>3.4107500000000002</c:v>
                </c:pt>
                <c:pt idx="67">
                  <c:v>3.3045</c:v>
                </c:pt>
                <c:pt idx="68">
                  <c:v>3.2718750000000001</c:v>
                </c:pt>
                <c:pt idx="69">
                  <c:v>3.288875</c:v>
                </c:pt>
                <c:pt idx="70">
                  <c:v>3.3538749999999999</c:v>
                </c:pt>
                <c:pt idx="71">
                  <c:v>3.457875</c:v>
                </c:pt>
                <c:pt idx="72">
                  <c:v>3.4966249999999999</c:v>
                </c:pt>
                <c:pt idx="73">
                  <c:v>3.5406249999999999</c:v>
                </c:pt>
                <c:pt idx="74">
                  <c:v>3.669</c:v>
                </c:pt>
                <c:pt idx="75">
                  <c:v>3.789625</c:v>
                </c:pt>
                <c:pt idx="76">
                  <c:v>3.8762500000000002</c:v>
                </c:pt>
                <c:pt idx="77">
                  <c:v>3.8766250000000002</c:v>
                </c:pt>
                <c:pt idx="78">
                  <c:v>3.8472499999999998</c:v>
                </c:pt>
                <c:pt idx="79">
                  <c:v>3.8656250000000001</c:v>
                </c:pt>
                <c:pt idx="80">
                  <c:v>3.8988749999999999</c:v>
                </c:pt>
                <c:pt idx="81">
                  <c:v>3.9682499999999998</c:v>
                </c:pt>
                <c:pt idx="82">
                  <c:v>4.01</c:v>
                </c:pt>
                <c:pt idx="83">
                  <c:v>4.0962500000000004</c:v>
                </c:pt>
                <c:pt idx="84">
                  <c:v>4.3331249999999999</c:v>
                </c:pt>
                <c:pt idx="85">
                  <c:v>4.4556250000000004</c:v>
                </c:pt>
                <c:pt idx="86">
                  <c:v>4.4987499999999896</c:v>
                </c:pt>
                <c:pt idx="87">
                  <c:v>4.6606249999999996</c:v>
                </c:pt>
                <c:pt idx="88">
                  <c:v>4.7598750000000001</c:v>
                </c:pt>
                <c:pt idx="89">
                  <c:v>4.8192500000000003</c:v>
                </c:pt>
                <c:pt idx="90">
                  <c:v>4.788125</c:v>
                </c:pt>
                <c:pt idx="91">
                  <c:v>4.6738749999999998</c:v>
                </c:pt>
                <c:pt idx="92">
                  <c:v>4.4526249999999896</c:v>
                </c:pt>
                <c:pt idx="93">
                  <c:v>4.2156249999999904</c:v>
                </c:pt>
                <c:pt idx="94">
                  <c:v>4.2255000000000003</c:v>
                </c:pt>
                <c:pt idx="95">
                  <c:v>4.3142500000000004</c:v>
                </c:pt>
                <c:pt idx="96">
                  <c:v>4.4187500000000002</c:v>
                </c:pt>
                <c:pt idx="97">
                  <c:v>4.5605000000000002</c:v>
                </c:pt>
                <c:pt idx="98">
                  <c:v>4.7242499999999996</c:v>
                </c:pt>
                <c:pt idx="99">
                  <c:v>4.9137500000000003</c:v>
                </c:pt>
                <c:pt idx="100">
                  <c:v>4.9625000000000004</c:v>
                </c:pt>
                <c:pt idx="101">
                  <c:v>4.9124999999999996</c:v>
                </c:pt>
                <c:pt idx="102">
                  <c:v>4.9318749999999998</c:v>
                </c:pt>
                <c:pt idx="103">
                  <c:v>4.9018750000000004</c:v>
                </c:pt>
                <c:pt idx="104">
                  <c:v>4.8274999999999997</c:v>
                </c:pt>
                <c:pt idx="105">
                  <c:v>4.84</c:v>
                </c:pt>
                <c:pt idx="106">
                  <c:v>4.9169999999999998</c:v>
                </c:pt>
                <c:pt idx="107">
                  <c:v>5.0326250000000003</c:v>
                </c:pt>
                <c:pt idx="108">
                  <c:v>5.1291250000000002</c:v>
                </c:pt>
                <c:pt idx="109">
                  <c:v>5.2460000000000004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565760"/>
        <c:axId val="334567296"/>
      </c:lineChart>
      <c:dateAx>
        <c:axId val="334565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4567296"/>
        <c:crosses val="autoZero"/>
        <c:auto val="1"/>
        <c:lblOffset val="100"/>
        <c:baseTimeUnit val="months"/>
      </c:dateAx>
      <c:valAx>
        <c:axId val="334567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345657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304799</xdr:colOff>
      <xdr:row>1</xdr:row>
      <xdr:rowOff>152400</xdr:rowOff>
    </xdr:from>
    <xdr:to>
      <xdr:col>23</xdr:col>
      <xdr:colOff>581024</xdr:colOff>
      <xdr:row>21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352425</xdr:colOff>
      <xdr:row>22</xdr:row>
      <xdr:rowOff>38099</xdr:rowOff>
    </xdr:from>
    <xdr:to>
      <xdr:col>23</xdr:col>
      <xdr:colOff>561975</xdr:colOff>
      <xdr:row>63</xdr:row>
      <xdr:rowOff>9524</xdr:rowOff>
    </xdr:to>
    <xdr:sp macro="" textlink="">
      <xdr:nvSpPr>
        <xdr:cNvPr id="5" name="TextBox 4"/>
        <xdr:cNvSpPr txBox="1"/>
      </xdr:nvSpPr>
      <xdr:spPr>
        <a:xfrm>
          <a:off x="8096250" y="4229099"/>
          <a:ext cx="6305550" cy="778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originationDate,</a:t>
          </a:r>
        </a:p>
        <a:p>
          <a:r>
            <a:rPr lang="en-US" sz="1100"/>
            <a:t>    WAC = sum(origNoteRate * origLoanSize) / sum(origLoanSize)</a:t>
          </a:r>
        </a:p>
        <a:p>
          <a:r>
            <a:rPr lang="en-US" sz="1100"/>
            <a:t>FROM scale.FHL_Loan_Dev sl</a:t>
          </a:r>
        </a:p>
        <a:p>
          <a:r>
            <a:rPr lang="en-US" sz="1100"/>
            <a:t>WHERE marketTicker in ('FGLMC')</a:t>
          </a:r>
        </a:p>
        <a:p>
          <a:r>
            <a:rPr lang="en-US" sz="1100"/>
            <a:t>AND sl.version = '2.70'</a:t>
          </a:r>
        </a:p>
        <a:p>
          <a:r>
            <a:rPr lang="en-US" sz="1100"/>
            <a:t>AND originationDate &gt;= '2009-07-01'</a:t>
          </a:r>
        </a:p>
        <a:p>
          <a:r>
            <a:rPr lang="en-US" sz="1100"/>
            <a:t>AND sl.origFICO &gt;= 740</a:t>
          </a:r>
        </a:p>
        <a:p>
          <a:r>
            <a:rPr lang="en-US" sz="1100"/>
            <a:t>AND origLTV &lt;= 75</a:t>
          </a:r>
        </a:p>
        <a:p>
          <a:r>
            <a:rPr lang="en-US" sz="1100"/>
            <a:t>GROUP BY originationDate</a:t>
          </a:r>
        </a:p>
        <a:p>
          <a:r>
            <a:rPr lang="en-US" sz="1100"/>
            <a:t>ORDER BY originationDate</a:t>
          </a:r>
        </a:p>
        <a:p>
          <a:r>
            <a:rPr lang="en-US" sz="1100"/>
            <a:t>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-- Creates the 30 YR FRM Rate (point adjusted)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+1, AsOfDate)) as asOf_lag1,</a:t>
          </a:r>
        </a:p>
        <a:p>
          <a:r>
            <a:rPr lang="en-US" sz="1100"/>
            <a:t>    convert(date, dateadd(month, +2, AsOfDate)) as asOf_lag2,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TickerName = 'CONVENTIONAL_30YR'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DROP TABLE IF EXISTS #Mtg30YrRates_monthly_refi;</a:t>
          </a:r>
        </a:p>
        <a:p>
          <a:r>
            <a:rPr lang="en-US" sz="1100"/>
            <a:t>-- one and half month lagged</a:t>
          </a:r>
        </a:p>
        <a:p>
          <a:r>
            <a:rPr lang="en-US" sz="1100"/>
            <a:t>SELECT</a:t>
          </a:r>
        </a:p>
        <a:p>
          <a:r>
            <a:rPr lang="en-US" sz="1100"/>
            <a:t>lag1.SeriesName,</a:t>
          </a:r>
        </a:p>
        <a:p>
          <a:r>
            <a:rPr lang="en-US" sz="1100"/>
            <a:t>asof = lag1.asOf_lag1,</a:t>
          </a:r>
        </a:p>
        <a:p>
          <a:r>
            <a:rPr lang="en-US" sz="1100"/>
            <a:t>MtgRate = lag1.MtgRate * 0.5 + lag2.MtgRate * 0.5</a:t>
          </a:r>
        </a:p>
        <a:p>
          <a:r>
            <a:rPr lang="en-US" sz="1100"/>
            <a:t>--INTO #Mtg30YrRates_monthly_refi</a:t>
          </a:r>
        </a:p>
        <a:p>
          <a:r>
            <a:rPr lang="en-US" sz="1100"/>
            <a:t>FROM #Mtg30YrRates_monthly lag1</a:t>
          </a:r>
        </a:p>
        <a:p>
          <a:r>
            <a:rPr lang="en-US" sz="1100"/>
            <a:t>JOIN #Mtg30YrRates_monthly lag2 ON lag1.asOf_lag1 = lag2.asOf_lag2 AND lag1.SeriesName = lag2.SeriesName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8"/>
  <sheetViews>
    <sheetView tabSelected="1" workbookViewId="0">
      <selection activeCell="K12" sqref="K12"/>
    </sheetView>
  </sheetViews>
  <sheetFormatPr defaultRowHeight="15" x14ac:dyDescent="0.25"/>
  <cols>
    <col min="1" max="1" width="15" bestFit="1" customWidth="1"/>
    <col min="8" max="8" width="9.7109375" bestFit="1" customWidth="1"/>
  </cols>
  <sheetData>
    <row r="1" spans="1:26" x14ac:dyDescent="0.25">
      <c r="A1" t="s">
        <v>0</v>
      </c>
      <c r="B1" t="s">
        <v>1</v>
      </c>
      <c r="C1" t="str">
        <f>I1</f>
        <v>MtgRate</v>
      </c>
      <c r="D1" t="s">
        <v>6</v>
      </c>
      <c r="G1" t="s">
        <v>2</v>
      </c>
      <c r="H1" t="s">
        <v>3</v>
      </c>
      <c r="I1" t="s">
        <v>4</v>
      </c>
      <c r="K1" t="s">
        <v>7</v>
      </c>
    </row>
    <row r="2" spans="1:26" x14ac:dyDescent="0.25">
      <c r="A2" s="1">
        <v>43344</v>
      </c>
      <c r="B2">
        <v>5.1077902621722799</v>
      </c>
      <c r="C2" t="e">
        <f>VLOOKUP(A2,H:I,2,0)</f>
        <v>#N/A</v>
      </c>
      <c r="D2" s="2" t="e">
        <f>(C2-B2)*100</f>
        <v>#N/A</v>
      </c>
      <c r="G2" t="s">
        <v>5</v>
      </c>
      <c r="H2" s="1">
        <v>26085</v>
      </c>
      <c r="I2">
        <v>7.1487499999999997</v>
      </c>
      <c r="K2" s="2">
        <f>AVERAGE(D3:D8)</f>
        <v>-31.229040039237191</v>
      </c>
    </row>
    <row r="3" spans="1:26" x14ac:dyDescent="0.25">
      <c r="A3" s="1">
        <v>43313</v>
      </c>
      <c r="B3">
        <v>4.83713351677281</v>
      </c>
      <c r="C3">
        <f t="shared" ref="C3:C66" si="0">VLOOKUP(A3,H:I,2,0)</f>
        <v>4.4143749999999997</v>
      </c>
      <c r="D3" s="2">
        <f t="shared" ref="D3:D66" si="1">(C3-B3)*100</f>
        <v>-42.275851677281025</v>
      </c>
      <c r="G3" t="s">
        <v>5</v>
      </c>
      <c r="H3" s="1">
        <v>26115</v>
      </c>
      <c r="I3">
        <v>7.2962499999999997</v>
      </c>
    </row>
    <row r="4" spans="1:26" x14ac:dyDescent="0.25">
      <c r="A4" s="1">
        <v>43282</v>
      </c>
      <c r="B4">
        <v>4.7836025127399502</v>
      </c>
      <c r="C4">
        <f t="shared" si="0"/>
        <v>4.4423750000000002</v>
      </c>
      <c r="D4" s="2">
        <f t="shared" si="1"/>
        <v>-34.122751273995</v>
      </c>
      <c r="G4" t="s">
        <v>5</v>
      </c>
      <c r="H4" s="1">
        <v>26146</v>
      </c>
      <c r="I4">
        <v>7.3845000000000001</v>
      </c>
    </row>
    <row r="5" spans="1:26" x14ac:dyDescent="0.25">
      <c r="A5" s="1">
        <v>43252</v>
      </c>
      <c r="B5">
        <v>4.7055174726811302</v>
      </c>
      <c r="C5">
        <f t="shared" si="0"/>
        <v>4.3911249999999997</v>
      </c>
      <c r="D5" s="2">
        <f t="shared" si="1"/>
        <v>-31.439247268113046</v>
      </c>
      <c r="G5" t="s">
        <v>5</v>
      </c>
      <c r="H5" s="1">
        <v>26177</v>
      </c>
      <c r="I5">
        <v>7.4713750000000001</v>
      </c>
    </row>
    <row r="6" spans="1:26" x14ac:dyDescent="0.25">
      <c r="A6" s="1">
        <v>43221</v>
      </c>
      <c r="B6">
        <v>4.6480330432998196</v>
      </c>
      <c r="C6">
        <f t="shared" si="0"/>
        <v>4.3293749999999998</v>
      </c>
      <c r="D6" s="2">
        <f t="shared" si="1"/>
        <v>-31.865804329981984</v>
      </c>
      <c r="G6" t="s">
        <v>5</v>
      </c>
      <c r="H6" s="1">
        <v>26207</v>
      </c>
      <c r="I6">
        <v>7.5088749999999997</v>
      </c>
      <c r="Y6" s="3"/>
      <c r="Z6" s="3"/>
    </row>
    <row r="7" spans="1:26" x14ac:dyDescent="0.25">
      <c r="A7" s="1">
        <v>43191</v>
      </c>
      <c r="B7">
        <v>4.55432336140779</v>
      </c>
      <c r="C7">
        <f t="shared" si="0"/>
        <v>4.2962499999999997</v>
      </c>
      <c r="D7" s="2">
        <f t="shared" si="1"/>
        <v>-25.807336140779036</v>
      </c>
      <c r="G7" t="s">
        <v>5</v>
      </c>
      <c r="H7" s="1">
        <v>26238</v>
      </c>
      <c r="I7">
        <v>7.4626250000000001</v>
      </c>
    </row>
    <row r="8" spans="1:26" x14ac:dyDescent="0.25">
      <c r="A8" s="1">
        <v>43160</v>
      </c>
      <c r="B8">
        <v>4.3286324954527204</v>
      </c>
      <c r="C8">
        <f t="shared" si="0"/>
        <v>4.1099999999999897</v>
      </c>
      <c r="D8" s="2">
        <f t="shared" si="1"/>
        <v>-21.863249545273078</v>
      </c>
      <c r="G8" t="s">
        <v>5</v>
      </c>
      <c r="H8" s="1">
        <v>26268</v>
      </c>
      <c r="I8">
        <v>7.399375</v>
      </c>
    </row>
    <row r="9" spans="1:26" x14ac:dyDescent="0.25">
      <c r="A9" s="1">
        <v>43132</v>
      </c>
      <c r="B9">
        <v>4.1969684298964598</v>
      </c>
      <c r="C9">
        <f t="shared" si="0"/>
        <v>3.8875000000000002</v>
      </c>
      <c r="D9" s="2">
        <f t="shared" si="1"/>
        <v>-30.946842989645962</v>
      </c>
      <c r="G9" t="s">
        <v>5</v>
      </c>
      <c r="H9" s="1">
        <v>26299</v>
      </c>
      <c r="I9">
        <v>7.32125</v>
      </c>
    </row>
    <row r="10" spans="1:26" x14ac:dyDescent="0.25">
      <c r="A10" s="1">
        <v>43101</v>
      </c>
      <c r="B10">
        <v>4.1638172419125903</v>
      </c>
      <c r="C10">
        <f t="shared" si="0"/>
        <v>3.8085</v>
      </c>
      <c r="D10" s="2">
        <f t="shared" si="1"/>
        <v>-35.53172419125903</v>
      </c>
      <c r="G10" t="s">
        <v>5</v>
      </c>
      <c r="H10" s="1">
        <v>26330</v>
      </c>
      <c r="I10">
        <v>7.3525</v>
      </c>
    </row>
    <row r="11" spans="1:26" x14ac:dyDescent="0.25">
      <c r="A11" s="1">
        <v>43070</v>
      </c>
      <c r="B11">
        <v>4.1362270297380803</v>
      </c>
      <c r="C11">
        <f t="shared" si="0"/>
        <v>3.7810000000000001</v>
      </c>
      <c r="D11" s="2">
        <f t="shared" si="1"/>
        <v>-35.522702973808016</v>
      </c>
      <c r="G11" t="s">
        <v>5</v>
      </c>
      <c r="H11" s="1">
        <v>26359</v>
      </c>
      <c r="I11">
        <v>7.3624999999999998</v>
      </c>
    </row>
    <row r="12" spans="1:26" x14ac:dyDescent="0.25">
      <c r="A12" s="1">
        <v>43040</v>
      </c>
      <c r="B12">
        <v>4.0780024501104899</v>
      </c>
      <c r="C12">
        <f t="shared" si="0"/>
        <v>3.7281249999999999</v>
      </c>
      <c r="D12" s="2">
        <f t="shared" si="1"/>
        <v>-34.987745011049</v>
      </c>
      <c r="G12" t="s">
        <v>5</v>
      </c>
      <c r="H12" s="1">
        <v>26390</v>
      </c>
      <c r="I12">
        <v>7.2889999999999997</v>
      </c>
    </row>
    <row r="13" spans="1:26" x14ac:dyDescent="0.25">
      <c r="A13" s="1">
        <v>43009</v>
      </c>
      <c r="B13">
        <v>4.0982418104861802</v>
      </c>
      <c r="C13">
        <f t="shared" si="0"/>
        <v>3.7181250000000001</v>
      </c>
      <c r="D13" s="2">
        <f t="shared" si="1"/>
        <v>-38.011681048618009</v>
      </c>
      <c r="G13" t="s">
        <v>5</v>
      </c>
      <c r="H13" s="1">
        <v>26420</v>
      </c>
      <c r="I13">
        <v>7.2746250000000003</v>
      </c>
    </row>
    <row r="14" spans="1:26" x14ac:dyDescent="0.25">
      <c r="A14" s="1">
        <v>42979</v>
      </c>
      <c r="B14">
        <v>4.1573329277444602</v>
      </c>
      <c r="C14">
        <f t="shared" si="0"/>
        <v>3.8025000000000002</v>
      </c>
      <c r="D14" s="2">
        <f t="shared" si="1"/>
        <v>-35.483292774445999</v>
      </c>
      <c r="G14" t="s">
        <v>5</v>
      </c>
      <c r="H14" s="1">
        <v>26451</v>
      </c>
      <c r="I14">
        <v>7.3062500000000004</v>
      </c>
    </row>
    <row r="15" spans="1:26" x14ac:dyDescent="0.25">
      <c r="A15" s="1">
        <v>42948</v>
      </c>
      <c r="B15">
        <v>4.1710463256241299</v>
      </c>
      <c r="C15">
        <f t="shared" si="0"/>
        <v>3.8125</v>
      </c>
      <c r="D15" s="2">
        <f t="shared" si="1"/>
        <v>-35.854632562412988</v>
      </c>
      <c r="G15" t="s">
        <v>5</v>
      </c>
      <c r="H15" s="1">
        <v>26481</v>
      </c>
      <c r="I15">
        <v>7.3466250000000004</v>
      </c>
    </row>
    <row r="16" spans="1:26" x14ac:dyDescent="0.25">
      <c r="A16" s="1">
        <v>42917</v>
      </c>
      <c r="B16">
        <v>4.2203095725492501</v>
      </c>
      <c r="C16">
        <f t="shared" si="0"/>
        <v>3.8205</v>
      </c>
      <c r="D16" s="2">
        <f t="shared" si="1"/>
        <v>-39.980957254925009</v>
      </c>
      <c r="G16" t="s">
        <v>5</v>
      </c>
      <c r="H16" s="1">
        <v>26512</v>
      </c>
      <c r="I16">
        <v>7.3641249999999996</v>
      </c>
    </row>
    <row r="17" spans="1:9" x14ac:dyDescent="0.25">
      <c r="A17" s="1">
        <v>42887</v>
      </c>
      <c r="B17">
        <v>4.2995476469423499</v>
      </c>
      <c r="C17">
        <f t="shared" si="0"/>
        <v>3.8955000000000002</v>
      </c>
      <c r="D17" s="2">
        <f t="shared" si="1"/>
        <v>-40.40476469423497</v>
      </c>
      <c r="G17" t="s">
        <v>5</v>
      </c>
      <c r="H17" s="1">
        <v>26543</v>
      </c>
      <c r="I17">
        <v>7.3801249999999996</v>
      </c>
    </row>
    <row r="18" spans="1:9" x14ac:dyDescent="0.25">
      <c r="A18" s="1">
        <v>42856</v>
      </c>
      <c r="B18">
        <v>4.4083389953254404</v>
      </c>
      <c r="C18">
        <f t="shared" si="0"/>
        <v>3.9954999999999998</v>
      </c>
      <c r="D18" s="2">
        <f t="shared" si="1"/>
        <v>-41.283899532544055</v>
      </c>
      <c r="G18" t="s">
        <v>5</v>
      </c>
      <c r="H18" s="1">
        <v>26573</v>
      </c>
      <c r="I18">
        <v>7.3957499999999996</v>
      </c>
    </row>
    <row r="19" spans="1:9" x14ac:dyDescent="0.25">
      <c r="A19" s="1">
        <v>42826</v>
      </c>
      <c r="B19">
        <v>4.3880630464617001</v>
      </c>
      <c r="C19">
        <f t="shared" si="0"/>
        <v>4.0536250000000003</v>
      </c>
      <c r="D19" s="2">
        <f t="shared" si="1"/>
        <v>-33.44380464616998</v>
      </c>
      <c r="G19" t="s">
        <v>5</v>
      </c>
      <c r="H19" s="1">
        <v>26604</v>
      </c>
      <c r="I19">
        <v>7.4074999999999998</v>
      </c>
    </row>
    <row r="20" spans="1:9" x14ac:dyDescent="0.25">
      <c r="A20" s="1">
        <v>42795</v>
      </c>
      <c r="B20">
        <v>4.3377890988420802</v>
      </c>
      <c r="C20">
        <f t="shared" si="0"/>
        <v>4.0274999999999999</v>
      </c>
      <c r="D20" s="2">
        <f t="shared" si="1"/>
        <v>-31.028909884208034</v>
      </c>
      <c r="G20" t="s">
        <v>5</v>
      </c>
      <c r="H20" s="1">
        <v>26634</v>
      </c>
      <c r="I20">
        <v>7.4172499999999904</v>
      </c>
    </row>
    <row r="21" spans="1:9" x14ac:dyDescent="0.25">
      <c r="A21" s="1">
        <v>42767</v>
      </c>
      <c r="B21">
        <v>4.2115315601971401</v>
      </c>
      <c r="C21">
        <f t="shared" si="0"/>
        <v>4.0606249999999999</v>
      </c>
      <c r="D21" s="2">
        <f t="shared" si="1"/>
        <v>-15.090656019714022</v>
      </c>
      <c r="G21" t="s">
        <v>5</v>
      </c>
      <c r="H21" s="1">
        <v>26665</v>
      </c>
      <c r="I21">
        <v>7.4303749999999997</v>
      </c>
    </row>
    <row r="22" spans="1:9" x14ac:dyDescent="0.25">
      <c r="A22" s="1">
        <v>42736</v>
      </c>
      <c r="B22">
        <v>3.9188781439331102</v>
      </c>
      <c r="C22">
        <f t="shared" si="0"/>
        <v>3.9047499999999999</v>
      </c>
      <c r="D22" s="2">
        <f t="shared" si="1"/>
        <v>-1.4128143933110238</v>
      </c>
      <c r="G22" t="s">
        <v>5</v>
      </c>
      <c r="H22" s="1">
        <v>26696</v>
      </c>
      <c r="I22">
        <v>7.4231249999999998</v>
      </c>
    </row>
    <row r="23" spans="1:9" x14ac:dyDescent="0.25">
      <c r="A23" s="1">
        <v>42705</v>
      </c>
      <c r="B23">
        <v>3.7132991931680501</v>
      </c>
      <c r="C23">
        <f t="shared" si="0"/>
        <v>3.5322499999999999</v>
      </c>
      <c r="D23" s="2">
        <f t="shared" si="1"/>
        <v>-18.104919316805024</v>
      </c>
      <c r="G23" t="s">
        <v>5</v>
      </c>
      <c r="H23" s="1">
        <v>26724</v>
      </c>
      <c r="I23">
        <v>7.42</v>
      </c>
    </row>
    <row r="24" spans="1:9" x14ac:dyDescent="0.25">
      <c r="A24" s="1">
        <v>42675</v>
      </c>
      <c r="B24">
        <v>3.6943285451891201</v>
      </c>
      <c r="C24">
        <f t="shared" si="0"/>
        <v>3.3525</v>
      </c>
      <c r="D24" s="2">
        <f t="shared" si="1"/>
        <v>-34.182854518912009</v>
      </c>
      <c r="G24" t="s">
        <v>5</v>
      </c>
      <c r="H24" s="1">
        <v>26755</v>
      </c>
      <c r="I24">
        <v>7.4327500000000004</v>
      </c>
    </row>
    <row r="25" spans="1:9" x14ac:dyDescent="0.25">
      <c r="A25" s="1">
        <v>42644</v>
      </c>
      <c r="B25">
        <v>3.6968873562832401</v>
      </c>
      <c r="C25">
        <f t="shared" si="0"/>
        <v>3.3337500000000002</v>
      </c>
      <c r="D25" s="2">
        <f t="shared" si="1"/>
        <v>-36.313735628323982</v>
      </c>
      <c r="G25" t="s">
        <v>5</v>
      </c>
      <c r="H25" s="1">
        <v>26785</v>
      </c>
      <c r="I25">
        <v>7.4808749999999904</v>
      </c>
    </row>
    <row r="26" spans="1:9" x14ac:dyDescent="0.25">
      <c r="A26" s="1">
        <v>42614</v>
      </c>
      <c r="B26">
        <v>3.69706950228669</v>
      </c>
      <c r="C26">
        <f t="shared" si="0"/>
        <v>3.3174999999999999</v>
      </c>
      <c r="D26" s="2">
        <f t="shared" si="1"/>
        <v>-37.956950228669008</v>
      </c>
      <c r="G26" t="s">
        <v>5</v>
      </c>
      <c r="H26" s="1">
        <v>26816</v>
      </c>
      <c r="I26">
        <v>7.5803750000000001</v>
      </c>
    </row>
    <row r="27" spans="1:9" x14ac:dyDescent="0.25">
      <c r="A27" s="1">
        <v>42583</v>
      </c>
      <c r="B27">
        <v>3.7799746885410199</v>
      </c>
      <c r="C27">
        <f t="shared" si="0"/>
        <v>3.3815</v>
      </c>
      <c r="D27" s="2">
        <f t="shared" si="1"/>
        <v>-39.847468854101997</v>
      </c>
      <c r="G27" t="s">
        <v>5</v>
      </c>
      <c r="H27" s="1">
        <v>26846</v>
      </c>
      <c r="I27">
        <v>7.6772499999999999</v>
      </c>
    </row>
    <row r="28" spans="1:9" x14ac:dyDescent="0.25">
      <c r="A28" s="1">
        <v>42552</v>
      </c>
      <c r="B28">
        <v>3.8335953979318802</v>
      </c>
      <c r="C28">
        <f t="shared" si="0"/>
        <v>3.4677500000000001</v>
      </c>
      <c r="D28" s="2">
        <f t="shared" si="1"/>
        <v>-36.584539793188007</v>
      </c>
      <c r="G28" t="s">
        <v>5</v>
      </c>
      <c r="H28" s="1">
        <v>26877</v>
      </c>
      <c r="I28">
        <v>7.8775000000000004</v>
      </c>
    </row>
    <row r="29" spans="1:9" x14ac:dyDescent="0.25">
      <c r="A29" s="1">
        <v>42522</v>
      </c>
      <c r="B29">
        <v>3.8539971961716701</v>
      </c>
      <c r="C29">
        <f t="shared" si="0"/>
        <v>3.49</v>
      </c>
      <c r="D29" s="2">
        <f t="shared" si="1"/>
        <v>-36.399719617166994</v>
      </c>
      <c r="G29" t="s">
        <v>5</v>
      </c>
      <c r="H29" s="1">
        <v>26908</v>
      </c>
      <c r="I29">
        <v>8.2717500000000008</v>
      </c>
    </row>
    <row r="30" spans="1:9" x14ac:dyDescent="0.25">
      <c r="A30" s="1">
        <v>42491</v>
      </c>
      <c r="B30">
        <v>3.8814110204587302</v>
      </c>
      <c r="C30">
        <f t="shared" si="0"/>
        <v>3.5307499999999998</v>
      </c>
      <c r="D30" s="2">
        <f t="shared" si="1"/>
        <v>-35.066102045873038</v>
      </c>
      <c r="G30" t="s">
        <v>5</v>
      </c>
      <c r="H30" s="1">
        <v>26938</v>
      </c>
      <c r="I30">
        <v>8.673</v>
      </c>
    </row>
    <row r="31" spans="1:9" x14ac:dyDescent="0.25">
      <c r="A31" s="1">
        <v>42461</v>
      </c>
      <c r="B31">
        <v>3.8950441942611702</v>
      </c>
      <c r="C31">
        <f t="shared" si="0"/>
        <v>3.5582500000000001</v>
      </c>
      <c r="D31" s="2">
        <f t="shared" si="1"/>
        <v>-33.679419426117008</v>
      </c>
      <c r="G31" t="s">
        <v>5</v>
      </c>
      <c r="H31" s="1">
        <v>26969</v>
      </c>
      <c r="I31">
        <v>8.8112499999999994</v>
      </c>
    </row>
    <row r="32" spans="1:9" x14ac:dyDescent="0.25">
      <c r="A32" s="1">
        <v>42430</v>
      </c>
      <c r="B32">
        <v>4.0658790959564097</v>
      </c>
      <c r="C32">
        <f t="shared" si="0"/>
        <v>3.66</v>
      </c>
      <c r="D32" s="2">
        <f t="shared" si="1"/>
        <v>-40.587909595640959</v>
      </c>
      <c r="G32" t="s">
        <v>5</v>
      </c>
      <c r="H32" s="1">
        <v>26999</v>
      </c>
      <c r="I32">
        <v>8.6822499999999998</v>
      </c>
    </row>
    <row r="33" spans="1:9" x14ac:dyDescent="0.25">
      <c r="A33" s="1">
        <v>42401</v>
      </c>
      <c r="B33">
        <v>4.1810395102244504</v>
      </c>
      <c r="C33">
        <f t="shared" si="0"/>
        <v>3.8182499999999999</v>
      </c>
      <c r="D33" s="2">
        <f t="shared" si="1"/>
        <v>-36.27895102244505</v>
      </c>
      <c r="G33" t="s">
        <v>5</v>
      </c>
      <c r="H33" s="1">
        <v>27030</v>
      </c>
      <c r="I33">
        <v>8.5597499999999993</v>
      </c>
    </row>
    <row r="34" spans="1:9" x14ac:dyDescent="0.25">
      <c r="A34" s="1">
        <v>42370</v>
      </c>
      <c r="B34">
        <v>4.1276608857322401</v>
      </c>
      <c r="C34">
        <f t="shared" si="0"/>
        <v>3.8563749999999999</v>
      </c>
      <c r="D34" s="2">
        <f t="shared" si="1"/>
        <v>-27.128588573224022</v>
      </c>
      <c r="G34" t="s">
        <v>5</v>
      </c>
      <c r="H34" s="1">
        <v>27061</v>
      </c>
      <c r="I34">
        <v>8.5327500000000001</v>
      </c>
    </row>
    <row r="35" spans="1:9" x14ac:dyDescent="0.25">
      <c r="A35" s="1">
        <v>42339</v>
      </c>
      <c r="B35">
        <v>4.0537542539929703</v>
      </c>
      <c r="C35">
        <f t="shared" si="0"/>
        <v>3.765625</v>
      </c>
      <c r="D35" s="2">
        <f t="shared" si="1"/>
        <v>-28.812925399297029</v>
      </c>
      <c r="G35" t="s">
        <v>5</v>
      </c>
      <c r="H35" s="1">
        <v>27089</v>
      </c>
      <c r="I35">
        <v>8.4827499999999993</v>
      </c>
    </row>
    <row r="36" spans="1:9" x14ac:dyDescent="0.25">
      <c r="A36" s="1">
        <v>42309</v>
      </c>
      <c r="B36">
        <v>4.1123923705473704</v>
      </c>
      <c r="C36">
        <f t="shared" si="0"/>
        <v>3.73475</v>
      </c>
      <c r="D36" s="2">
        <f t="shared" si="1"/>
        <v>-37.764237054737038</v>
      </c>
      <c r="G36" t="s">
        <v>5</v>
      </c>
      <c r="H36" s="1">
        <v>27120</v>
      </c>
      <c r="I36">
        <v>8.4212500000000006</v>
      </c>
    </row>
    <row r="37" spans="1:9" x14ac:dyDescent="0.25">
      <c r="A37" s="1">
        <v>42278</v>
      </c>
      <c r="B37">
        <v>4.1530921749094301</v>
      </c>
      <c r="C37">
        <f t="shared" si="0"/>
        <v>3.7959999999999998</v>
      </c>
      <c r="D37" s="2">
        <f t="shared" si="1"/>
        <v>-35.709217490943026</v>
      </c>
      <c r="G37" t="s">
        <v>5</v>
      </c>
      <c r="H37" s="1">
        <v>27150</v>
      </c>
      <c r="I37">
        <v>8.4937499999999897</v>
      </c>
    </row>
    <row r="38" spans="1:9" x14ac:dyDescent="0.25">
      <c r="A38" s="1">
        <v>42248</v>
      </c>
      <c r="B38">
        <v>4.21067267304237</v>
      </c>
      <c r="C38">
        <f t="shared" si="0"/>
        <v>3.8755000000000002</v>
      </c>
      <c r="D38" s="2">
        <f t="shared" si="1"/>
        <v>-33.517267304236988</v>
      </c>
      <c r="G38" t="s">
        <v>5</v>
      </c>
      <c r="H38" s="1">
        <v>27181</v>
      </c>
      <c r="I38">
        <v>8.7872500000000002</v>
      </c>
    </row>
    <row r="39" spans="1:9" x14ac:dyDescent="0.25">
      <c r="A39" s="1">
        <v>42217</v>
      </c>
      <c r="B39">
        <v>4.1775941212024303</v>
      </c>
      <c r="C39">
        <f t="shared" si="0"/>
        <v>3.9205000000000001</v>
      </c>
      <c r="D39" s="2">
        <f t="shared" si="1"/>
        <v>-25.709412120243023</v>
      </c>
      <c r="G39" t="s">
        <v>5</v>
      </c>
      <c r="H39" s="1">
        <v>27211</v>
      </c>
      <c r="I39">
        <v>9.0634999999999994</v>
      </c>
    </row>
    <row r="40" spans="1:9" x14ac:dyDescent="0.25">
      <c r="A40" s="1">
        <v>42186</v>
      </c>
      <c r="B40">
        <v>4.0155487307765299</v>
      </c>
      <c r="C40">
        <f t="shared" si="0"/>
        <v>3.8206250000000002</v>
      </c>
      <c r="D40" s="2">
        <f t="shared" si="1"/>
        <v>-19.492373077652971</v>
      </c>
      <c r="G40" t="s">
        <v>5</v>
      </c>
      <c r="H40" s="1">
        <v>27242</v>
      </c>
      <c r="I40">
        <v>9.2387499999999996</v>
      </c>
    </row>
    <row r="41" spans="1:9" x14ac:dyDescent="0.25">
      <c r="A41" s="1">
        <v>42156</v>
      </c>
      <c r="B41">
        <v>3.9137865834176799</v>
      </c>
      <c r="C41">
        <f t="shared" si="0"/>
        <v>3.6616249999999999</v>
      </c>
      <c r="D41" s="2">
        <f t="shared" si="1"/>
        <v>-25.216158341768001</v>
      </c>
      <c r="G41" t="s">
        <v>5</v>
      </c>
      <c r="H41" s="1">
        <v>27273</v>
      </c>
      <c r="I41">
        <v>9.49925</v>
      </c>
    </row>
    <row r="42" spans="1:9" x14ac:dyDescent="0.25">
      <c r="A42" s="1">
        <v>42125</v>
      </c>
      <c r="B42">
        <v>3.9330704043627098</v>
      </c>
      <c r="C42">
        <f t="shared" si="0"/>
        <v>3.6234999999999999</v>
      </c>
      <c r="D42" s="2">
        <f t="shared" si="1"/>
        <v>-30.957040436270987</v>
      </c>
      <c r="G42" t="s">
        <v>5</v>
      </c>
      <c r="H42" s="1">
        <v>27303</v>
      </c>
      <c r="I42">
        <v>9.8567499999999999</v>
      </c>
    </row>
    <row r="43" spans="1:9" x14ac:dyDescent="0.25">
      <c r="A43" s="1">
        <v>42095</v>
      </c>
      <c r="B43">
        <v>3.8678500646510501</v>
      </c>
      <c r="C43">
        <f t="shared" si="0"/>
        <v>3.6431249999999999</v>
      </c>
      <c r="D43" s="2">
        <f t="shared" si="1"/>
        <v>-22.472506465105013</v>
      </c>
      <c r="G43" t="s">
        <v>5</v>
      </c>
      <c r="H43" s="1">
        <v>27334</v>
      </c>
      <c r="I43">
        <v>10.06925</v>
      </c>
    </row>
    <row r="44" spans="1:9" x14ac:dyDescent="0.25">
      <c r="A44" s="1">
        <v>42064</v>
      </c>
      <c r="B44">
        <v>3.8274489901794202</v>
      </c>
      <c r="C44">
        <f t="shared" si="0"/>
        <v>3.5962499999999999</v>
      </c>
      <c r="D44" s="2">
        <f t="shared" si="1"/>
        <v>-23.119899017942025</v>
      </c>
      <c r="G44" t="s">
        <v>5</v>
      </c>
      <c r="H44" s="1">
        <v>27364</v>
      </c>
      <c r="I44">
        <v>9.968</v>
      </c>
    </row>
    <row r="45" spans="1:9" x14ac:dyDescent="0.25">
      <c r="A45" s="1">
        <v>42036</v>
      </c>
      <c r="B45">
        <v>4.0203855440046903</v>
      </c>
      <c r="C45">
        <f t="shared" si="0"/>
        <v>3.6651250000000002</v>
      </c>
      <c r="D45" s="2">
        <f t="shared" si="1"/>
        <v>-35.526054400469008</v>
      </c>
      <c r="G45" t="s">
        <v>5</v>
      </c>
      <c r="H45" s="1">
        <v>27395</v>
      </c>
      <c r="I45">
        <v>9.7693750000000001</v>
      </c>
    </row>
    <row r="46" spans="1:9" x14ac:dyDescent="0.25">
      <c r="A46" s="1">
        <v>42005</v>
      </c>
      <c r="B46">
        <v>4.1442838795717298</v>
      </c>
      <c r="C46">
        <f t="shared" si="0"/>
        <v>3.81325</v>
      </c>
      <c r="D46" s="2">
        <f t="shared" si="1"/>
        <v>-33.103387957172984</v>
      </c>
      <c r="G46" t="s">
        <v>5</v>
      </c>
      <c r="H46" s="1">
        <v>27426</v>
      </c>
      <c r="I46">
        <v>9.5853749999999902</v>
      </c>
    </row>
    <row r="47" spans="1:9" x14ac:dyDescent="0.25">
      <c r="A47" s="1">
        <v>41974</v>
      </c>
      <c r="B47">
        <v>4.1676163232130099</v>
      </c>
      <c r="C47">
        <f t="shared" si="0"/>
        <v>3.8892500000000001</v>
      </c>
      <c r="D47" s="2">
        <f t="shared" si="1"/>
        <v>-27.836632321300982</v>
      </c>
      <c r="G47" t="s">
        <v>5</v>
      </c>
      <c r="H47" s="1">
        <v>27454</v>
      </c>
      <c r="I47">
        <v>9.3209999999999997</v>
      </c>
    </row>
    <row r="48" spans="1:9" x14ac:dyDescent="0.25">
      <c r="A48" s="1">
        <v>41944</v>
      </c>
      <c r="B48">
        <v>4.29193724556775</v>
      </c>
      <c r="C48">
        <f t="shared" si="0"/>
        <v>3.9717500000000001</v>
      </c>
      <c r="D48" s="2">
        <f t="shared" si="1"/>
        <v>-32.018724556774991</v>
      </c>
      <c r="G48" t="s">
        <v>5</v>
      </c>
      <c r="H48" s="1">
        <v>27485</v>
      </c>
      <c r="I48">
        <v>9.0412499999999998</v>
      </c>
    </row>
    <row r="49" spans="1:9" x14ac:dyDescent="0.25">
      <c r="A49" s="1">
        <v>41913</v>
      </c>
      <c r="B49">
        <v>4.3013558809015002</v>
      </c>
      <c r="C49">
        <f t="shared" si="0"/>
        <v>4.0231250000000003</v>
      </c>
      <c r="D49" s="2">
        <f t="shared" si="1"/>
        <v>-27.823088090149994</v>
      </c>
      <c r="G49" t="s">
        <v>5</v>
      </c>
      <c r="H49" s="1">
        <v>27515</v>
      </c>
      <c r="I49">
        <v>8.8737499999999994</v>
      </c>
    </row>
    <row r="50" spans="1:9" x14ac:dyDescent="0.25">
      <c r="A50" s="1">
        <v>41883</v>
      </c>
      <c r="B50">
        <v>4.3137623561902299</v>
      </c>
      <c r="C50">
        <f t="shared" si="0"/>
        <v>4.0193750000000001</v>
      </c>
      <c r="D50" s="2">
        <f t="shared" si="1"/>
        <v>-29.438735619022971</v>
      </c>
      <c r="G50" t="s">
        <v>5</v>
      </c>
      <c r="H50" s="1">
        <v>27546</v>
      </c>
      <c r="I50">
        <v>8.8729999999999993</v>
      </c>
    </row>
    <row r="51" spans="1:9" x14ac:dyDescent="0.25">
      <c r="A51" s="1">
        <v>41852</v>
      </c>
      <c r="B51">
        <v>4.3247860835284904</v>
      </c>
      <c r="C51">
        <f t="shared" si="0"/>
        <v>4.04</v>
      </c>
      <c r="D51" s="2">
        <f t="shared" si="1"/>
        <v>-28.478608352849033</v>
      </c>
      <c r="G51" t="s">
        <v>5</v>
      </c>
      <c r="H51" s="1">
        <v>27576</v>
      </c>
      <c r="I51">
        <v>8.9123750000000008</v>
      </c>
    </row>
    <row r="52" spans="1:9" x14ac:dyDescent="0.25">
      <c r="A52" s="1">
        <v>41821</v>
      </c>
      <c r="B52">
        <v>4.3562170013626096</v>
      </c>
      <c r="C52">
        <f t="shared" si="0"/>
        <v>4.0587499999999999</v>
      </c>
      <c r="D52" s="2">
        <f t="shared" si="1"/>
        <v>-29.746700136260973</v>
      </c>
      <c r="G52" t="s">
        <v>5</v>
      </c>
      <c r="H52" s="1">
        <v>27607</v>
      </c>
      <c r="I52">
        <v>8.9068749999999994</v>
      </c>
    </row>
    <row r="53" spans="1:9" x14ac:dyDescent="0.25">
      <c r="A53" s="1">
        <v>41791</v>
      </c>
      <c r="B53">
        <v>4.4814843108828697</v>
      </c>
      <c r="C53">
        <f t="shared" si="0"/>
        <v>4.1577500000000001</v>
      </c>
      <c r="D53" s="2">
        <f t="shared" si="1"/>
        <v>-32.373431088286964</v>
      </c>
      <c r="G53" t="s">
        <v>5</v>
      </c>
      <c r="H53" s="1">
        <v>27638</v>
      </c>
      <c r="I53">
        <v>8.9474999999999998</v>
      </c>
    </row>
    <row r="54" spans="1:9" x14ac:dyDescent="0.25">
      <c r="A54" s="1">
        <v>41760</v>
      </c>
      <c r="B54">
        <v>4.5328012821073997</v>
      </c>
      <c r="C54">
        <f t="shared" si="0"/>
        <v>4.2483750000000002</v>
      </c>
      <c r="D54" s="2">
        <f t="shared" si="1"/>
        <v>-28.442628210739951</v>
      </c>
      <c r="G54" t="s">
        <v>5</v>
      </c>
      <c r="H54" s="1">
        <v>27668</v>
      </c>
      <c r="I54">
        <v>9.0706249999999997</v>
      </c>
    </row>
    <row r="55" spans="1:9" x14ac:dyDescent="0.25">
      <c r="A55" s="1">
        <v>41730</v>
      </c>
      <c r="B55">
        <v>4.5138785989286196</v>
      </c>
      <c r="C55">
        <f t="shared" si="0"/>
        <v>4.2381250000000001</v>
      </c>
      <c r="D55" s="2">
        <f t="shared" si="1"/>
        <v>-27.57535989286195</v>
      </c>
      <c r="G55" t="s">
        <v>5</v>
      </c>
      <c r="H55" s="1">
        <v>27699</v>
      </c>
      <c r="I55">
        <v>9.2076250000000002</v>
      </c>
    </row>
    <row r="56" spans="1:9" x14ac:dyDescent="0.25">
      <c r="A56" s="1">
        <v>41699</v>
      </c>
      <c r="B56">
        <v>4.5670135417452196</v>
      </c>
      <c r="C56">
        <f t="shared" si="0"/>
        <v>4.2947499999999996</v>
      </c>
      <c r="D56" s="2">
        <f t="shared" si="1"/>
        <v>-27.226354174521994</v>
      </c>
      <c r="G56" t="s">
        <v>5</v>
      </c>
      <c r="H56" s="1">
        <v>27729</v>
      </c>
      <c r="I56">
        <v>9.2151250000000005</v>
      </c>
    </row>
    <row r="57" spans="1:9" x14ac:dyDescent="0.25">
      <c r="A57" s="1">
        <v>41671</v>
      </c>
      <c r="B57">
        <v>4.5969659370226097</v>
      </c>
      <c r="C57">
        <f t="shared" si="0"/>
        <v>4.3659999999999997</v>
      </c>
      <c r="D57" s="2">
        <f t="shared" si="1"/>
        <v>-23.096593702261004</v>
      </c>
      <c r="G57" t="s">
        <v>5</v>
      </c>
      <c r="H57" s="1">
        <v>27760</v>
      </c>
      <c r="I57">
        <v>9.1493749999999991</v>
      </c>
    </row>
    <row r="58" spans="1:9" x14ac:dyDescent="0.25">
      <c r="A58" s="1">
        <v>41640</v>
      </c>
      <c r="B58">
        <v>4.46754927599721</v>
      </c>
      <c r="C58">
        <f t="shared" si="0"/>
        <v>4.2781250000000002</v>
      </c>
      <c r="D58" s="2">
        <f t="shared" si="1"/>
        <v>-18.942427599720979</v>
      </c>
      <c r="G58" t="s">
        <v>5</v>
      </c>
      <c r="H58" s="1">
        <v>27791</v>
      </c>
      <c r="I58">
        <v>9.07925</v>
      </c>
    </row>
    <row r="59" spans="1:9" x14ac:dyDescent="0.25">
      <c r="A59" s="1">
        <v>41609</v>
      </c>
      <c r="B59">
        <v>4.40877124833988</v>
      </c>
      <c r="C59">
        <f t="shared" si="0"/>
        <v>4.1541249999999996</v>
      </c>
      <c r="D59" s="2">
        <f t="shared" si="1"/>
        <v>-25.464624833988037</v>
      </c>
      <c r="G59" t="s">
        <v>5</v>
      </c>
      <c r="H59" s="1">
        <v>27820</v>
      </c>
      <c r="I59">
        <v>8.9179999999999993</v>
      </c>
    </row>
    <row r="60" spans="1:9" x14ac:dyDescent="0.25">
      <c r="A60" s="1">
        <v>41579</v>
      </c>
      <c r="B60">
        <v>4.5517970373547598</v>
      </c>
      <c r="C60">
        <f t="shared" si="0"/>
        <v>4.2716250000000002</v>
      </c>
      <c r="D60" s="2">
        <f t="shared" si="1"/>
        <v>-28.01720373547596</v>
      </c>
      <c r="G60" t="s">
        <v>5</v>
      </c>
      <c r="H60" s="1">
        <v>27851</v>
      </c>
      <c r="I60">
        <v>8.8149999999999995</v>
      </c>
    </row>
    <row r="61" spans="1:9" x14ac:dyDescent="0.25">
      <c r="A61" s="1">
        <v>41548</v>
      </c>
      <c r="B61">
        <v>4.5511049444407998</v>
      </c>
      <c r="C61">
        <f t="shared" si="0"/>
        <v>4.4124999999999996</v>
      </c>
      <c r="D61" s="2">
        <f t="shared" si="1"/>
        <v>-13.860494444080018</v>
      </c>
      <c r="G61" t="s">
        <v>5</v>
      </c>
      <c r="H61" s="1">
        <v>27881</v>
      </c>
      <c r="I61">
        <v>8.8174999999999901</v>
      </c>
    </row>
    <row r="62" spans="1:9" x14ac:dyDescent="0.25">
      <c r="A62" s="1">
        <v>41518</v>
      </c>
      <c r="B62">
        <v>4.3848705493413096</v>
      </c>
      <c r="C62">
        <f t="shared" si="0"/>
        <v>4.3563749999999999</v>
      </c>
      <c r="D62" s="2">
        <f t="shared" si="1"/>
        <v>-2.8495549341309712</v>
      </c>
      <c r="G62" t="s">
        <v>5</v>
      </c>
      <c r="H62" s="1">
        <v>27912</v>
      </c>
      <c r="I62">
        <v>8.8224999999999998</v>
      </c>
    </row>
    <row r="63" spans="1:9" x14ac:dyDescent="0.25">
      <c r="A63" s="1">
        <v>41487</v>
      </c>
      <c r="B63">
        <v>4.0457757657679796</v>
      </c>
      <c r="C63">
        <f t="shared" si="0"/>
        <v>4.1582499999999998</v>
      </c>
      <c r="D63" s="2">
        <f t="shared" si="1"/>
        <v>11.247423423202019</v>
      </c>
      <c r="G63" t="s">
        <v>5</v>
      </c>
      <c r="H63" s="1">
        <v>27942</v>
      </c>
      <c r="I63">
        <v>8.8812499999999996</v>
      </c>
    </row>
    <row r="64" spans="1:9" x14ac:dyDescent="0.25">
      <c r="A64" s="1">
        <v>41456</v>
      </c>
      <c r="B64">
        <v>3.7310143645154201</v>
      </c>
      <c r="C64">
        <f t="shared" si="0"/>
        <v>3.7367499999999998</v>
      </c>
      <c r="D64" s="2">
        <f t="shared" si="1"/>
        <v>0.57356354845796709</v>
      </c>
      <c r="G64" t="s">
        <v>5</v>
      </c>
      <c r="H64" s="1">
        <v>27973</v>
      </c>
      <c r="I64">
        <v>8.9532500000000006</v>
      </c>
    </row>
    <row r="65" spans="1:9" x14ac:dyDescent="0.25">
      <c r="A65" s="1">
        <v>41426</v>
      </c>
      <c r="B65">
        <v>3.6817085009636901</v>
      </c>
      <c r="C65">
        <f t="shared" si="0"/>
        <v>3.4273750000000001</v>
      </c>
      <c r="D65" s="2">
        <f t="shared" si="1"/>
        <v>-25.433350096369001</v>
      </c>
      <c r="G65" t="s">
        <v>5</v>
      </c>
      <c r="H65" s="1">
        <v>28004</v>
      </c>
      <c r="I65">
        <v>9.0169999999999995</v>
      </c>
    </row>
    <row r="66" spans="1:9" x14ac:dyDescent="0.25">
      <c r="A66" s="1">
        <v>41395</v>
      </c>
      <c r="B66">
        <v>3.75573676815468</v>
      </c>
      <c r="C66">
        <f t="shared" si="0"/>
        <v>3.44875</v>
      </c>
      <c r="D66" s="2">
        <f t="shared" si="1"/>
        <v>-30.698676815468005</v>
      </c>
      <c r="G66" t="s">
        <v>5</v>
      </c>
      <c r="H66" s="1">
        <v>28034</v>
      </c>
      <c r="I66">
        <v>9.0310000000000006</v>
      </c>
    </row>
    <row r="67" spans="1:9" x14ac:dyDescent="0.25">
      <c r="A67" s="1">
        <v>41365</v>
      </c>
      <c r="B67">
        <v>3.7013522058547399</v>
      </c>
      <c r="C67">
        <f>VLOOKUP(A67,H:I,2,0)</f>
        <v>3.495625</v>
      </c>
      <c r="D67" s="2">
        <f t="shared" ref="D67:D112" si="2">(C67-B67)*100</f>
        <v>-20.572720585473991</v>
      </c>
      <c r="G67" t="s">
        <v>5</v>
      </c>
      <c r="H67" s="1">
        <v>28065</v>
      </c>
      <c r="I67">
        <v>8.9934999999999992</v>
      </c>
    </row>
    <row r="68" spans="1:9" x14ac:dyDescent="0.25">
      <c r="A68" s="1">
        <v>41334</v>
      </c>
      <c r="B68">
        <v>3.5921353093354198</v>
      </c>
      <c r="C68">
        <f>VLOOKUP(A68,H:I,2,0)</f>
        <v>3.4107500000000002</v>
      </c>
      <c r="D68" s="2">
        <f t="shared" si="2"/>
        <v>-18.138530933541965</v>
      </c>
      <c r="G68" t="s">
        <v>5</v>
      </c>
      <c r="H68" s="1">
        <v>28095</v>
      </c>
      <c r="I68">
        <v>8.9312499999999897</v>
      </c>
    </row>
    <row r="69" spans="1:9" x14ac:dyDescent="0.25">
      <c r="A69" s="1">
        <v>41306</v>
      </c>
      <c r="B69">
        <v>3.5518501952159802</v>
      </c>
      <c r="C69">
        <f>VLOOKUP(A69,H:I,2,0)</f>
        <v>3.3045</v>
      </c>
      <c r="D69" s="2">
        <f t="shared" si="2"/>
        <v>-24.735019521598023</v>
      </c>
      <c r="G69" t="s">
        <v>5</v>
      </c>
      <c r="H69" s="1">
        <v>28126</v>
      </c>
      <c r="I69">
        <v>8.8672499999999896</v>
      </c>
    </row>
    <row r="70" spans="1:9" x14ac:dyDescent="0.25">
      <c r="A70" s="1">
        <v>41275</v>
      </c>
      <c r="B70">
        <v>3.5728315096485201</v>
      </c>
      <c r="C70">
        <f>VLOOKUP(A70,H:I,2,0)</f>
        <v>3.2718750000000001</v>
      </c>
      <c r="D70" s="2">
        <f t="shared" si="2"/>
        <v>-30.095650964852005</v>
      </c>
      <c r="G70" t="s">
        <v>5</v>
      </c>
      <c r="H70" s="1">
        <v>28157</v>
      </c>
      <c r="I70">
        <v>8.79725</v>
      </c>
    </row>
    <row r="71" spans="1:9" x14ac:dyDescent="0.25">
      <c r="A71" s="1">
        <v>41244</v>
      </c>
      <c r="B71">
        <v>3.5915490317028498</v>
      </c>
      <c r="C71">
        <f>VLOOKUP(A71,H:I,2,0)</f>
        <v>3.288875</v>
      </c>
      <c r="D71" s="2">
        <f t="shared" si="2"/>
        <v>-30.267403170284979</v>
      </c>
      <c r="G71" t="s">
        <v>5</v>
      </c>
      <c r="H71" s="1">
        <v>28185</v>
      </c>
      <c r="I71">
        <v>8.7243750000000002</v>
      </c>
    </row>
    <row r="72" spans="1:9" x14ac:dyDescent="0.25">
      <c r="A72" s="1">
        <v>41214</v>
      </c>
      <c r="B72">
        <v>3.6550387276889298</v>
      </c>
      <c r="C72">
        <f>VLOOKUP(A72,H:I,2,0)</f>
        <v>3.3538749999999999</v>
      </c>
      <c r="D72" s="2">
        <f t="shared" si="2"/>
        <v>-30.116372768892987</v>
      </c>
      <c r="G72" t="s">
        <v>5</v>
      </c>
      <c r="H72" s="1">
        <v>28216</v>
      </c>
      <c r="I72">
        <v>8.7181250000000006</v>
      </c>
    </row>
    <row r="73" spans="1:9" x14ac:dyDescent="0.25">
      <c r="A73" s="1">
        <v>41183</v>
      </c>
      <c r="B73">
        <v>3.6962135501169802</v>
      </c>
      <c r="C73">
        <f>VLOOKUP(A73,H:I,2,0)</f>
        <v>3.457875</v>
      </c>
      <c r="D73" s="2">
        <f t="shared" si="2"/>
        <v>-23.833855011698013</v>
      </c>
      <c r="G73" t="s">
        <v>5</v>
      </c>
      <c r="H73" s="1">
        <v>28246</v>
      </c>
      <c r="I73">
        <v>8.765625</v>
      </c>
    </row>
    <row r="74" spans="1:9" x14ac:dyDescent="0.25">
      <c r="A74" s="1">
        <v>41153</v>
      </c>
      <c r="B74">
        <v>3.7137997624758898</v>
      </c>
      <c r="C74">
        <f>VLOOKUP(A74,H:I,2,0)</f>
        <v>3.4966249999999999</v>
      </c>
      <c r="D74" s="2">
        <f t="shared" si="2"/>
        <v>-21.717476247588998</v>
      </c>
      <c r="G74" t="s">
        <v>5</v>
      </c>
      <c r="H74" s="1">
        <v>28277</v>
      </c>
      <c r="I74">
        <v>8.8275000000000006</v>
      </c>
    </row>
    <row r="75" spans="1:9" x14ac:dyDescent="0.25">
      <c r="A75" s="1">
        <v>41122</v>
      </c>
      <c r="B75">
        <v>3.81640652697202</v>
      </c>
      <c r="C75">
        <f>VLOOKUP(A75,H:I,2,0)</f>
        <v>3.5406249999999999</v>
      </c>
      <c r="D75" s="2">
        <f t="shared" si="2"/>
        <v>-27.578152697202007</v>
      </c>
      <c r="G75" t="s">
        <v>5</v>
      </c>
      <c r="H75" s="1">
        <v>28307</v>
      </c>
      <c r="I75">
        <v>8.8798750000000002</v>
      </c>
    </row>
    <row r="76" spans="1:9" x14ac:dyDescent="0.25">
      <c r="A76" s="1">
        <v>41091</v>
      </c>
      <c r="B76">
        <v>3.8977841709406</v>
      </c>
      <c r="C76">
        <f>VLOOKUP(A76,H:I,2,0)</f>
        <v>3.669</v>
      </c>
      <c r="D76" s="2">
        <f t="shared" si="2"/>
        <v>-22.878417094059998</v>
      </c>
      <c r="G76" t="s">
        <v>5</v>
      </c>
      <c r="H76" s="1">
        <v>28338</v>
      </c>
      <c r="I76">
        <v>8.9329999999999998</v>
      </c>
    </row>
    <row r="77" spans="1:9" x14ac:dyDescent="0.25">
      <c r="A77" s="1">
        <v>41061</v>
      </c>
      <c r="B77">
        <v>3.9898825850309798</v>
      </c>
      <c r="C77">
        <f>VLOOKUP(A77,H:I,2,0)</f>
        <v>3.789625</v>
      </c>
      <c r="D77" s="2">
        <f t="shared" si="2"/>
        <v>-20.025758503097979</v>
      </c>
      <c r="G77" t="s">
        <v>5</v>
      </c>
      <c r="H77" s="1">
        <v>28369</v>
      </c>
      <c r="I77">
        <v>8.9649999999999999</v>
      </c>
    </row>
    <row r="78" spans="1:9" x14ac:dyDescent="0.25">
      <c r="A78" s="1">
        <v>41030</v>
      </c>
      <c r="B78">
        <v>4.02853244142241</v>
      </c>
      <c r="C78">
        <f>VLOOKUP(A78,H:I,2,0)</f>
        <v>3.8762500000000002</v>
      </c>
      <c r="D78" s="2">
        <f t="shared" si="2"/>
        <v>-15.228244142240976</v>
      </c>
      <c r="G78" t="s">
        <v>5</v>
      </c>
      <c r="H78" s="1">
        <v>28399</v>
      </c>
      <c r="I78">
        <v>8.9454999999999991</v>
      </c>
    </row>
    <row r="79" spans="1:9" x14ac:dyDescent="0.25">
      <c r="A79" s="1">
        <v>41000</v>
      </c>
      <c r="B79">
        <v>3.9764398640748801</v>
      </c>
      <c r="C79">
        <f>VLOOKUP(A79,H:I,2,0)</f>
        <v>3.8766250000000002</v>
      </c>
      <c r="D79" s="2">
        <f t="shared" si="2"/>
        <v>-9.9814864074879939</v>
      </c>
      <c r="G79" t="s">
        <v>5</v>
      </c>
      <c r="H79" s="1">
        <v>28430</v>
      </c>
      <c r="I79">
        <v>8.9461250000000003</v>
      </c>
    </row>
    <row r="80" spans="1:9" x14ac:dyDescent="0.25">
      <c r="A80" s="1">
        <v>40969</v>
      </c>
      <c r="B80">
        <v>3.9837258275849998</v>
      </c>
      <c r="C80">
        <f>VLOOKUP(A80,H:I,2,0)</f>
        <v>3.8472499999999998</v>
      </c>
      <c r="D80" s="2">
        <f t="shared" si="2"/>
        <v>-13.647582758499999</v>
      </c>
      <c r="G80" t="s">
        <v>5</v>
      </c>
      <c r="H80" s="1">
        <v>28460</v>
      </c>
      <c r="I80">
        <v>8.9600000000000009</v>
      </c>
    </row>
    <row r="81" spans="1:9" x14ac:dyDescent="0.25">
      <c r="A81" s="1">
        <v>40940</v>
      </c>
      <c r="B81">
        <v>4.0488977949739402</v>
      </c>
      <c r="C81">
        <f>VLOOKUP(A81,H:I,2,0)</f>
        <v>3.8656250000000001</v>
      </c>
      <c r="D81" s="2">
        <f t="shared" si="2"/>
        <v>-18.327279497394009</v>
      </c>
      <c r="G81" t="s">
        <v>5</v>
      </c>
      <c r="H81" s="1">
        <v>28491</v>
      </c>
      <c r="I81">
        <v>8.984375</v>
      </c>
    </row>
    <row r="82" spans="1:9" x14ac:dyDescent="0.25">
      <c r="A82" s="1">
        <v>40909</v>
      </c>
      <c r="B82">
        <v>4.1093174754425297</v>
      </c>
      <c r="C82">
        <f>VLOOKUP(A82,H:I,2,0)</f>
        <v>3.8988749999999999</v>
      </c>
      <c r="D82" s="2">
        <f t="shared" si="2"/>
        <v>-21.044247544252983</v>
      </c>
      <c r="G82" t="s">
        <v>5</v>
      </c>
      <c r="H82" s="1">
        <v>28522</v>
      </c>
      <c r="I82">
        <v>9.0493749999999995</v>
      </c>
    </row>
    <row r="83" spans="1:9" x14ac:dyDescent="0.25">
      <c r="A83" s="1">
        <v>40878</v>
      </c>
      <c r="B83">
        <v>4.1177321004853598</v>
      </c>
      <c r="C83">
        <f>VLOOKUP(A83,H:I,2,0)</f>
        <v>3.9682499999999998</v>
      </c>
      <c r="D83" s="2">
        <f t="shared" si="2"/>
        <v>-14.948210048535993</v>
      </c>
      <c r="G83" t="s">
        <v>5</v>
      </c>
      <c r="H83" s="1">
        <v>28550</v>
      </c>
      <c r="I83">
        <v>9.1518750000000004</v>
      </c>
    </row>
    <row r="84" spans="1:9" x14ac:dyDescent="0.25">
      <c r="A84" s="1">
        <v>40848</v>
      </c>
      <c r="B84">
        <v>4.14588835179703</v>
      </c>
      <c r="C84">
        <f>VLOOKUP(A84,H:I,2,0)</f>
        <v>4.01</v>
      </c>
      <c r="D84" s="2">
        <f t="shared" si="2"/>
        <v>-13.588835179703018</v>
      </c>
      <c r="G84" t="s">
        <v>5</v>
      </c>
      <c r="H84" s="1">
        <v>28581</v>
      </c>
      <c r="I84">
        <v>9.2484999999999999</v>
      </c>
    </row>
    <row r="85" spans="1:9" x14ac:dyDescent="0.25">
      <c r="A85" s="1">
        <v>40817</v>
      </c>
      <c r="B85">
        <v>4.28013500522695</v>
      </c>
      <c r="C85">
        <f>VLOOKUP(A85,H:I,2,0)</f>
        <v>4.0962500000000004</v>
      </c>
      <c r="D85" s="2">
        <f t="shared" si="2"/>
        <v>-18.388500522694962</v>
      </c>
      <c r="G85" t="s">
        <v>5</v>
      </c>
      <c r="H85" s="1">
        <v>28611</v>
      </c>
      <c r="I85">
        <v>9.3472499999999901</v>
      </c>
    </row>
    <row r="86" spans="1:9" x14ac:dyDescent="0.25">
      <c r="A86" s="1">
        <v>40787</v>
      </c>
      <c r="B86">
        <v>4.5312131090615004</v>
      </c>
      <c r="C86">
        <f>VLOOKUP(A86,H:I,2,0)</f>
        <v>4.3331249999999999</v>
      </c>
      <c r="D86" s="2">
        <f t="shared" si="2"/>
        <v>-19.808810906150054</v>
      </c>
      <c r="G86" t="s">
        <v>5</v>
      </c>
      <c r="H86" s="1">
        <v>28642</v>
      </c>
      <c r="I86">
        <v>9.5356249999999996</v>
      </c>
    </row>
    <row r="87" spans="1:9" x14ac:dyDescent="0.25">
      <c r="A87" s="1">
        <v>40756</v>
      </c>
      <c r="B87">
        <v>4.6621201740967004</v>
      </c>
      <c r="C87">
        <f>VLOOKUP(A87,H:I,2,0)</f>
        <v>4.4556250000000004</v>
      </c>
      <c r="D87" s="2">
        <f t="shared" si="2"/>
        <v>-20.649517409670004</v>
      </c>
      <c r="G87" t="s">
        <v>5</v>
      </c>
      <c r="H87" s="1">
        <v>28672</v>
      </c>
      <c r="I87">
        <v>9.7308749999999993</v>
      </c>
    </row>
    <row r="88" spans="1:9" x14ac:dyDescent="0.25">
      <c r="A88" s="1">
        <v>40725</v>
      </c>
      <c r="B88">
        <v>4.7411164536081802</v>
      </c>
      <c r="C88">
        <f>VLOOKUP(A88,H:I,2,0)</f>
        <v>4.4987499999999896</v>
      </c>
      <c r="D88" s="2">
        <f t="shared" si="2"/>
        <v>-24.236645360819065</v>
      </c>
      <c r="G88" t="s">
        <v>5</v>
      </c>
      <c r="H88" s="1">
        <v>28703</v>
      </c>
      <c r="I88">
        <v>9.8239999999999998</v>
      </c>
    </row>
    <row r="89" spans="1:9" x14ac:dyDescent="0.25">
      <c r="A89" s="1">
        <v>40695</v>
      </c>
      <c r="B89">
        <v>4.9125692748572796</v>
      </c>
      <c r="C89">
        <f>VLOOKUP(A89,H:I,2,0)</f>
        <v>4.6606249999999996</v>
      </c>
      <c r="D89" s="2">
        <f t="shared" si="2"/>
        <v>-25.194427485727999</v>
      </c>
      <c r="G89" t="s">
        <v>5</v>
      </c>
      <c r="H89" s="1">
        <v>28734</v>
      </c>
      <c r="I89">
        <v>9.8467500000000001</v>
      </c>
    </row>
    <row r="90" spans="1:9" x14ac:dyDescent="0.25">
      <c r="A90" s="1">
        <v>40664</v>
      </c>
      <c r="B90">
        <v>4.9463166135726997</v>
      </c>
      <c r="C90">
        <f>VLOOKUP(A90,H:I,2,0)</f>
        <v>4.7598750000000001</v>
      </c>
      <c r="D90" s="2">
        <f t="shared" si="2"/>
        <v>-18.644161357269962</v>
      </c>
      <c r="G90" t="s">
        <v>5</v>
      </c>
      <c r="H90" s="1">
        <v>28764</v>
      </c>
      <c r="I90">
        <v>9.8492499999999996</v>
      </c>
    </row>
    <row r="91" spans="1:9" x14ac:dyDescent="0.25">
      <c r="A91" s="1">
        <v>40634</v>
      </c>
      <c r="B91">
        <v>4.9392647744074898</v>
      </c>
      <c r="C91">
        <f>VLOOKUP(A91,H:I,2,0)</f>
        <v>4.8192500000000003</v>
      </c>
      <c r="D91" s="2">
        <f t="shared" si="2"/>
        <v>-12.001477440748953</v>
      </c>
      <c r="G91" t="s">
        <v>5</v>
      </c>
      <c r="H91" s="1">
        <v>28795</v>
      </c>
      <c r="I91">
        <v>9.8762500000000006</v>
      </c>
    </row>
    <row r="92" spans="1:9" x14ac:dyDescent="0.25">
      <c r="A92" s="1">
        <v>40603</v>
      </c>
      <c r="B92">
        <v>4.8254678723607096</v>
      </c>
      <c r="C92">
        <f>VLOOKUP(A92,H:I,2,0)</f>
        <v>4.788125</v>
      </c>
      <c r="D92" s="2">
        <f t="shared" si="2"/>
        <v>-3.7342872360709656</v>
      </c>
      <c r="G92" t="s">
        <v>5</v>
      </c>
      <c r="H92" s="1">
        <v>28825</v>
      </c>
      <c r="I92">
        <v>10.05925</v>
      </c>
    </row>
    <row r="93" spans="1:9" x14ac:dyDescent="0.25">
      <c r="A93" s="1">
        <v>40575</v>
      </c>
      <c r="B93">
        <v>4.6725563750578303</v>
      </c>
      <c r="C93">
        <f>VLOOKUP(A93,H:I,2,0)</f>
        <v>4.6738749999999998</v>
      </c>
      <c r="D93" s="2">
        <f t="shared" si="2"/>
        <v>0.13186249421694995</v>
      </c>
      <c r="G93" t="s">
        <v>5</v>
      </c>
      <c r="H93" s="1">
        <v>28856</v>
      </c>
      <c r="I93">
        <v>10.334250000000001</v>
      </c>
    </row>
    <row r="94" spans="1:9" x14ac:dyDescent="0.25">
      <c r="A94" s="1">
        <v>40544</v>
      </c>
      <c r="B94">
        <v>4.4305772850143601</v>
      </c>
      <c r="C94">
        <f>VLOOKUP(A94,H:I,2,0)</f>
        <v>4.4526249999999896</v>
      </c>
      <c r="D94" s="2">
        <f t="shared" si="2"/>
        <v>2.2047714985629518</v>
      </c>
      <c r="G94" t="s">
        <v>5</v>
      </c>
      <c r="H94" s="1">
        <v>28887</v>
      </c>
      <c r="I94">
        <v>10.48625</v>
      </c>
    </row>
    <row r="95" spans="1:9" x14ac:dyDescent="0.25">
      <c r="A95" s="1">
        <v>40513</v>
      </c>
      <c r="B95">
        <v>4.3706789595047599</v>
      </c>
      <c r="C95">
        <f>VLOOKUP(A95,H:I,2,0)</f>
        <v>4.2156249999999904</v>
      </c>
      <c r="D95" s="2">
        <f t="shared" si="2"/>
        <v>-15.505395950476952</v>
      </c>
      <c r="G95" t="s">
        <v>5</v>
      </c>
      <c r="H95" s="1">
        <v>28915</v>
      </c>
      <c r="I95">
        <v>10.52375</v>
      </c>
    </row>
    <row r="96" spans="1:9" x14ac:dyDescent="0.25">
      <c r="A96" s="1">
        <v>40483</v>
      </c>
      <c r="B96">
        <v>4.4514730926694304</v>
      </c>
      <c r="C96">
        <f>VLOOKUP(A96,H:I,2,0)</f>
        <v>4.2255000000000003</v>
      </c>
      <c r="D96" s="2">
        <f t="shared" si="2"/>
        <v>-22.597309266943011</v>
      </c>
      <c r="G96" t="s">
        <v>5</v>
      </c>
      <c r="H96" s="1">
        <v>28946</v>
      </c>
      <c r="I96">
        <v>10.546749999999999</v>
      </c>
    </row>
    <row r="97" spans="1:9" x14ac:dyDescent="0.25">
      <c r="A97" s="1">
        <v>40452</v>
      </c>
      <c r="B97">
        <v>4.52772142656542</v>
      </c>
      <c r="C97">
        <f>VLOOKUP(A97,H:I,2,0)</f>
        <v>4.3142500000000004</v>
      </c>
      <c r="D97" s="2">
        <f t="shared" si="2"/>
        <v>-21.347142656541962</v>
      </c>
      <c r="G97" t="s">
        <v>5</v>
      </c>
      <c r="H97" s="1">
        <v>28976</v>
      </c>
      <c r="I97">
        <v>10.591749999999999</v>
      </c>
    </row>
    <row r="98" spans="1:9" x14ac:dyDescent="0.25">
      <c r="A98" s="1">
        <v>40422</v>
      </c>
      <c r="B98">
        <v>4.6505019714499101</v>
      </c>
      <c r="C98">
        <f>VLOOKUP(A98,H:I,2,0)</f>
        <v>4.4187500000000002</v>
      </c>
      <c r="D98" s="2">
        <f t="shared" si="2"/>
        <v>-23.175197144990989</v>
      </c>
      <c r="G98" t="s">
        <v>5</v>
      </c>
      <c r="H98" s="1">
        <v>29007</v>
      </c>
      <c r="I98">
        <v>10.75225</v>
      </c>
    </row>
    <row r="99" spans="1:9" x14ac:dyDescent="0.25">
      <c r="A99" s="1">
        <v>40391</v>
      </c>
      <c r="B99">
        <v>4.8161467007423502</v>
      </c>
      <c r="C99">
        <f>VLOOKUP(A99,H:I,2,0)</f>
        <v>4.5605000000000002</v>
      </c>
      <c r="D99" s="2">
        <f t="shared" si="2"/>
        <v>-25.564670074234996</v>
      </c>
      <c r="G99" t="s">
        <v>5</v>
      </c>
      <c r="H99" s="1">
        <v>29037</v>
      </c>
      <c r="I99">
        <v>11.0541249999999</v>
      </c>
    </row>
    <row r="100" spans="1:9" x14ac:dyDescent="0.25">
      <c r="A100" s="1">
        <v>40360</v>
      </c>
      <c r="B100">
        <v>4.9547298501410202</v>
      </c>
      <c r="C100">
        <f>VLOOKUP(A100,H:I,2,0)</f>
        <v>4.7242499999999996</v>
      </c>
      <c r="D100" s="2">
        <f t="shared" si="2"/>
        <v>-23.047985014102057</v>
      </c>
      <c r="G100" t="s">
        <v>5</v>
      </c>
      <c r="H100" s="1">
        <v>29068</v>
      </c>
      <c r="I100">
        <v>11.240625</v>
      </c>
    </row>
    <row r="101" spans="1:9" x14ac:dyDescent="0.25">
      <c r="A101" s="1">
        <v>40330</v>
      </c>
      <c r="B101">
        <v>5.1153386269345598</v>
      </c>
      <c r="C101">
        <f>VLOOKUP(A101,H:I,2,0)</f>
        <v>4.9137500000000003</v>
      </c>
      <c r="D101" s="2">
        <f t="shared" si="2"/>
        <v>-20.158862693455948</v>
      </c>
      <c r="G101" t="s">
        <v>5</v>
      </c>
      <c r="H101" s="1">
        <v>29099</v>
      </c>
      <c r="I101">
        <v>11.257</v>
      </c>
    </row>
    <row r="102" spans="1:9" x14ac:dyDescent="0.25">
      <c r="A102" s="1">
        <v>40299</v>
      </c>
      <c r="B102">
        <v>5.0889259982281896</v>
      </c>
      <c r="C102">
        <f>VLOOKUP(A102,H:I,2,0)</f>
        <v>4.9625000000000004</v>
      </c>
      <c r="D102" s="2">
        <f t="shared" si="2"/>
        <v>-12.642599822818923</v>
      </c>
      <c r="G102" t="s">
        <v>5</v>
      </c>
      <c r="H102" s="1">
        <v>29129</v>
      </c>
      <c r="I102">
        <v>11.357625000000001</v>
      </c>
    </row>
    <row r="103" spans="1:9" x14ac:dyDescent="0.25">
      <c r="A103" s="1">
        <v>40269</v>
      </c>
      <c r="B103">
        <v>5.0782873807845998</v>
      </c>
      <c r="C103">
        <f>VLOOKUP(A103,H:I,2,0)</f>
        <v>4.9124999999999996</v>
      </c>
      <c r="D103" s="2">
        <f t="shared" si="2"/>
        <v>-16.57873807846002</v>
      </c>
      <c r="G103" t="s">
        <v>5</v>
      </c>
      <c r="H103" s="1">
        <v>29160</v>
      </c>
      <c r="I103">
        <v>11.628125000000001</v>
      </c>
    </row>
    <row r="104" spans="1:9" x14ac:dyDescent="0.25">
      <c r="A104" s="1">
        <v>40238</v>
      </c>
      <c r="B104">
        <v>5.06845820339199</v>
      </c>
      <c r="C104">
        <f>VLOOKUP(A104,H:I,2,0)</f>
        <v>4.9318749999999998</v>
      </c>
      <c r="D104" s="2">
        <f t="shared" si="2"/>
        <v>-13.658320339199026</v>
      </c>
      <c r="G104" t="s">
        <v>5</v>
      </c>
      <c r="H104" s="1">
        <v>29190</v>
      </c>
      <c r="I104">
        <v>12.4</v>
      </c>
    </row>
    <row r="105" spans="1:9" x14ac:dyDescent="0.25">
      <c r="A105" s="1">
        <v>40210</v>
      </c>
      <c r="B105">
        <v>5.0023104850472304</v>
      </c>
      <c r="C105">
        <f>VLOOKUP(A105,H:I,2,0)</f>
        <v>4.9018750000000004</v>
      </c>
      <c r="D105" s="2">
        <f t="shared" si="2"/>
        <v>-10.043548504722999</v>
      </c>
      <c r="G105" t="s">
        <v>5</v>
      </c>
      <c r="H105" s="1">
        <v>29221</v>
      </c>
      <c r="I105">
        <v>13.025</v>
      </c>
    </row>
    <row r="106" spans="1:9" x14ac:dyDescent="0.25">
      <c r="A106" s="1">
        <v>40179</v>
      </c>
      <c r="B106">
        <v>4.9596629169487603</v>
      </c>
      <c r="C106">
        <f>VLOOKUP(A106,H:I,2,0)</f>
        <v>4.8274999999999997</v>
      </c>
      <c r="D106" s="2">
        <f t="shared" si="2"/>
        <v>-13.216291694876059</v>
      </c>
      <c r="G106" t="s">
        <v>5</v>
      </c>
      <c r="H106" s="1">
        <v>29252</v>
      </c>
      <c r="I106">
        <v>13.036</v>
      </c>
    </row>
    <row r="107" spans="1:9" x14ac:dyDescent="0.25">
      <c r="A107" s="1">
        <v>40148</v>
      </c>
      <c r="B107">
        <v>5.0111940514204001</v>
      </c>
      <c r="C107">
        <f>VLOOKUP(A107,H:I,2,0)</f>
        <v>4.84</v>
      </c>
      <c r="D107" s="2">
        <f t="shared" si="2"/>
        <v>-17.119405142040023</v>
      </c>
      <c r="G107" t="s">
        <v>5</v>
      </c>
      <c r="H107" s="1">
        <v>29281</v>
      </c>
      <c r="I107">
        <v>13.13475</v>
      </c>
    </row>
    <row r="108" spans="1:9" x14ac:dyDescent="0.25">
      <c r="A108" s="1">
        <v>40118</v>
      </c>
      <c r="B108">
        <v>5.0294783965424701</v>
      </c>
      <c r="C108">
        <f>VLOOKUP(A108,H:I,2,0)</f>
        <v>4.9169999999999998</v>
      </c>
      <c r="D108" s="2">
        <f t="shared" si="2"/>
        <v>-11.247839654247027</v>
      </c>
      <c r="G108" t="s">
        <v>5</v>
      </c>
      <c r="H108" s="1">
        <v>29312</v>
      </c>
      <c r="I108">
        <v>14.38625</v>
      </c>
    </row>
    <row r="109" spans="1:9" x14ac:dyDescent="0.25">
      <c r="A109" s="1">
        <v>40087</v>
      </c>
      <c r="B109">
        <v>5.1668336109047601</v>
      </c>
      <c r="C109">
        <f>VLOOKUP(A109,H:I,2,0)</f>
        <v>5.0326250000000003</v>
      </c>
      <c r="D109" s="2">
        <f t="shared" si="2"/>
        <v>-13.420861090475977</v>
      </c>
      <c r="G109" t="s">
        <v>5</v>
      </c>
      <c r="H109" s="1">
        <v>29342</v>
      </c>
      <c r="I109">
        <v>16.040624999999999</v>
      </c>
    </row>
    <row r="110" spans="1:9" x14ac:dyDescent="0.25">
      <c r="A110" s="1">
        <v>40057</v>
      </c>
      <c r="B110">
        <v>5.1736285035927203</v>
      </c>
      <c r="C110">
        <f>VLOOKUP(A110,H:I,2,0)</f>
        <v>5.1291250000000002</v>
      </c>
      <c r="D110" s="2">
        <f t="shared" si="2"/>
        <v>-4.4503503592720151</v>
      </c>
      <c r="G110" t="s">
        <v>5</v>
      </c>
      <c r="H110" s="1">
        <v>29373</v>
      </c>
      <c r="I110">
        <v>15.515625</v>
      </c>
    </row>
    <row r="111" spans="1:9" x14ac:dyDescent="0.25">
      <c r="A111" s="1">
        <v>40026</v>
      </c>
      <c r="B111">
        <v>5.0609556931400803</v>
      </c>
      <c r="C111">
        <f>VLOOKUP(A111,H:I,2,0)</f>
        <v>5.2460000000000004</v>
      </c>
      <c r="D111" s="2">
        <f t="shared" si="2"/>
        <v>18.504430685992013</v>
      </c>
      <c r="G111" t="s">
        <v>5</v>
      </c>
      <c r="H111" s="1">
        <v>29403</v>
      </c>
      <c r="I111">
        <v>13.691875</v>
      </c>
    </row>
    <row r="112" spans="1:9" x14ac:dyDescent="0.25">
      <c r="A112" s="1">
        <v>39995</v>
      </c>
      <c r="B112">
        <v>4.8757174966107</v>
      </c>
      <c r="C112">
        <f>VLOOKUP(A112,H:I,2,0)</f>
        <v>5.0606249999999999</v>
      </c>
      <c r="D112" s="2">
        <f t="shared" si="2"/>
        <v>18.490750338929995</v>
      </c>
      <c r="G112" t="s">
        <v>5</v>
      </c>
      <c r="H112" s="1">
        <v>29434</v>
      </c>
      <c r="I112">
        <v>12.649374999999999</v>
      </c>
    </row>
    <row r="113" spans="1:9" x14ac:dyDescent="0.25">
      <c r="A113" s="1"/>
      <c r="G113" t="s">
        <v>5</v>
      </c>
      <c r="H113" s="1">
        <v>29465</v>
      </c>
      <c r="I113">
        <v>12.604374999999999</v>
      </c>
    </row>
    <row r="114" spans="1:9" x14ac:dyDescent="0.25">
      <c r="A114" s="1"/>
      <c r="G114" t="s">
        <v>5</v>
      </c>
      <c r="H114" s="1">
        <v>29495</v>
      </c>
      <c r="I114">
        <v>13.096875000000001</v>
      </c>
    </row>
    <row r="115" spans="1:9" x14ac:dyDescent="0.25">
      <c r="A115" s="1"/>
      <c r="G115" t="s">
        <v>5</v>
      </c>
      <c r="H115" s="1">
        <v>29526</v>
      </c>
      <c r="I115">
        <v>13.675000000000001</v>
      </c>
    </row>
    <row r="116" spans="1:9" x14ac:dyDescent="0.25">
      <c r="A116" s="1"/>
      <c r="G116" t="s">
        <v>5</v>
      </c>
      <c r="H116" s="1">
        <v>29556</v>
      </c>
      <c r="I116">
        <v>14.175000000000001</v>
      </c>
    </row>
    <row r="117" spans="1:9" x14ac:dyDescent="0.25">
      <c r="A117" s="1"/>
      <c r="G117" t="s">
        <v>5</v>
      </c>
      <c r="H117" s="1">
        <v>29587</v>
      </c>
      <c r="I117">
        <v>14.668749999999999</v>
      </c>
    </row>
    <row r="118" spans="1:9" x14ac:dyDescent="0.25">
      <c r="A118" s="1"/>
      <c r="G118" t="s">
        <v>5</v>
      </c>
      <c r="H118" s="1">
        <v>29618</v>
      </c>
      <c r="I118">
        <v>15.058249999999999</v>
      </c>
    </row>
    <row r="119" spans="1:9" x14ac:dyDescent="0.25">
      <c r="A119" s="1"/>
      <c r="G119" t="s">
        <v>5</v>
      </c>
      <c r="H119" s="1">
        <v>29646</v>
      </c>
      <c r="I119">
        <v>15.26825</v>
      </c>
    </row>
    <row r="120" spans="1:9" x14ac:dyDescent="0.25">
      <c r="A120" s="1"/>
      <c r="G120" t="s">
        <v>5</v>
      </c>
      <c r="H120" s="1">
        <v>29677</v>
      </c>
      <c r="I120">
        <v>15.519375</v>
      </c>
    </row>
    <row r="121" spans="1:9" x14ac:dyDescent="0.25">
      <c r="A121" s="1"/>
      <c r="G121" t="s">
        <v>5</v>
      </c>
      <c r="H121" s="1">
        <v>29707</v>
      </c>
      <c r="I121">
        <v>15.767125</v>
      </c>
    </row>
    <row r="122" spans="1:9" x14ac:dyDescent="0.25">
      <c r="A122" s="1"/>
      <c r="G122" t="s">
        <v>5</v>
      </c>
      <c r="H122" s="1">
        <v>29738</v>
      </c>
      <c r="I122">
        <v>16.350249999999999</v>
      </c>
    </row>
    <row r="123" spans="1:9" x14ac:dyDescent="0.25">
      <c r="A123" s="1"/>
      <c r="G123" t="s">
        <v>5</v>
      </c>
      <c r="H123" s="1">
        <v>29768</v>
      </c>
      <c r="I123">
        <v>16.893125000000001</v>
      </c>
    </row>
    <row r="124" spans="1:9" x14ac:dyDescent="0.25">
      <c r="A124" s="1"/>
      <c r="G124" t="s">
        <v>5</v>
      </c>
      <c r="H124" s="1">
        <v>29799</v>
      </c>
      <c r="I124">
        <v>17.040375000000001</v>
      </c>
    </row>
    <row r="125" spans="1:9" x14ac:dyDescent="0.25">
      <c r="A125" s="1"/>
      <c r="G125" t="s">
        <v>5</v>
      </c>
      <c r="H125" s="1">
        <v>29830</v>
      </c>
      <c r="I125">
        <v>17.335374999999999</v>
      </c>
    </row>
    <row r="126" spans="1:9" x14ac:dyDescent="0.25">
      <c r="A126" s="1"/>
      <c r="G126" t="s">
        <v>5</v>
      </c>
      <c r="H126" s="1">
        <v>29860</v>
      </c>
      <c r="I126">
        <v>17.997499999999999</v>
      </c>
    </row>
    <row r="127" spans="1:9" x14ac:dyDescent="0.25">
      <c r="A127" s="1"/>
      <c r="G127" t="s">
        <v>5</v>
      </c>
      <c r="H127" s="1">
        <v>29891</v>
      </c>
      <c r="I127">
        <v>18.607624999999999</v>
      </c>
    </row>
    <row r="128" spans="1:9" x14ac:dyDescent="0.25">
      <c r="A128" s="1"/>
      <c r="G128" t="s">
        <v>5</v>
      </c>
      <c r="H128" s="1">
        <v>29921</v>
      </c>
      <c r="I128">
        <v>18.440124999999998</v>
      </c>
    </row>
    <row r="129" spans="1:9" x14ac:dyDescent="0.25">
      <c r="A129" s="1"/>
      <c r="G129" t="s">
        <v>5</v>
      </c>
      <c r="H129" s="1">
        <v>29952</v>
      </c>
      <c r="I129">
        <v>17.658625000000001</v>
      </c>
    </row>
    <row r="130" spans="1:9" x14ac:dyDescent="0.25">
      <c r="A130" s="1"/>
      <c r="G130" t="s">
        <v>5</v>
      </c>
      <c r="H130" s="1">
        <v>29983</v>
      </c>
      <c r="I130">
        <v>17.494875</v>
      </c>
    </row>
    <row r="131" spans="1:9" x14ac:dyDescent="0.25">
      <c r="A131" s="1"/>
      <c r="G131" t="s">
        <v>5</v>
      </c>
      <c r="H131" s="1">
        <v>30011</v>
      </c>
      <c r="I131">
        <v>17.841249999999999</v>
      </c>
    </row>
    <row r="132" spans="1:9" x14ac:dyDescent="0.25">
      <c r="A132" s="1"/>
      <c r="G132" t="s">
        <v>5</v>
      </c>
      <c r="H132" s="1">
        <v>30042</v>
      </c>
      <c r="I132">
        <v>17.684999999999999</v>
      </c>
    </row>
    <row r="133" spans="1:9" x14ac:dyDescent="0.25">
      <c r="A133" s="1"/>
      <c r="G133" t="s">
        <v>5</v>
      </c>
      <c r="H133" s="1">
        <v>30072</v>
      </c>
      <c r="I133">
        <v>17.341625000000001</v>
      </c>
    </row>
    <row r="134" spans="1:9" x14ac:dyDescent="0.25">
      <c r="A134" s="1"/>
      <c r="G134" t="s">
        <v>5</v>
      </c>
      <c r="H134" s="1">
        <v>30103</v>
      </c>
      <c r="I134">
        <v>17.112874999999999</v>
      </c>
    </row>
    <row r="135" spans="1:9" x14ac:dyDescent="0.25">
      <c r="A135" s="1"/>
      <c r="G135" t="s">
        <v>5</v>
      </c>
      <c r="H135" s="1">
        <v>30133</v>
      </c>
      <c r="I135">
        <v>17.003124999999901</v>
      </c>
    </row>
    <row r="136" spans="1:9" x14ac:dyDescent="0.25">
      <c r="A136" s="1"/>
      <c r="G136" t="s">
        <v>5</v>
      </c>
      <c r="H136" s="1">
        <v>30164</v>
      </c>
      <c r="I136">
        <v>17.06175</v>
      </c>
    </row>
    <row r="137" spans="1:9" x14ac:dyDescent="0.25">
      <c r="A137" s="1"/>
      <c r="G137" t="s">
        <v>5</v>
      </c>
      <c r="H137" s="1">
        <v>30195</v>
      </c>
      <c r="I137">
        <v>16.85425</v>
      </c>
    </row>
    <row r="138" spans="1:9" x14ac:dyDescent="0.25">
      <c r="A138" s="1"/>
      <c r="G138" t="s">
        <v>5</v>
      </c>
      <c r="H138" s="1">
        <v>30225</v>
      </c>
      <c r="I138">
        <v>16.133749999999999</v>
      </c>
    </row>
    <row r="139" spans="1:9" x14ac:dyDescent="0.25">
      <c r="A139" s="1"/>
      <c r="G139" t="s">
        <v>5</v>
      </c>
      <c r="H139" s="1">
        <v>30256</v>
      </c>
      <c r="I139">
        <v>15.231249999999999</v>
      </c>
    </row>
    <row r="140" spans="1:9" x14ac:dyDescent="0.25">
      <c r="A140" s="1"/>
      <c r="G140" t="s">
        <v>5</v>
      </c>
      <c r="H140" s="1">
        <v>30286</v>
      </c>
      <c r="I140">
        <v>14.448124999999999</v>
      </c>
    </row>
    <row r="141" spans="1:9" x14ac:dyDescent="0.25">
      <c r="A141" s="1"/>
      <c r="G141" t="s">
        <v>5</v>
      </c>
      <c r="H141" s="1">
        <v>30317</v>
      </c>
      <c r="I141">
        <v>14.0213749999999</v>
      </c>
    </row>
    <row r="142" spans="1:9" x14ac:dyDescent="0.25">
      <c r="A142" s="1"/>
      <c r="G142" t="s">
        <v>5</v>
      </c>
      <c r="H142" s="1">
        <v>30348</v>
      </c>
      <c r="I142">
        <v>13.7295</v>
      </c>
    </row>
    <row r="143" spans="1:9" x14ac:dyDescent="0.25">
      <c r="A143" s="1"/>
      <c r="G143" t="s">
        <v>5</v>
      </c>
      <c r="H143" s="1">
        <v>30376</v>
      </c>
      <c r="I143">
        <v>13.407499999999899</v>
      </c>
    </row>
    <row r="144" spans="1:9" x14ac:dyDescent="0.25">
      <c r="A144" s="1"/>
      <c r="G144" t="s">
        <v>5</v>
      </c>
      <c r="H144" s="1">
        <v>30407</v>
      </c>
      <c r="I144">
        <v>13.186999999999999</v>
      </c>
    </row>
    <row r="145" spans="1:9" x14ac:dyDescent="0.25">
      <c r="A145" s="1"/>
      <c r="G145" t="s">
        <v>5</v>
      </c>
      <c r="H145" s="1">
        <v>30437</v>
      </c>
      <c r="I145">
        <v>13.073874999999999</v>
      </c>
    </row>
    <row r="146" spans="1:9" x14ac:dyDescent="0.25">
      <c r="A146" s="1"/>
      <c r="G146" t="s">
        <v>5</v>
      </c>
      <c r="H146" s="1">
        <v>30468</v>
      </c>
      <c r="I146">
        <v>12.980625</v>
      </c>
    </row>
    <row r="147" spans="1:9" x14ac:dyDescent="0.25">
      <c r="A147" s="1"/>
      <c r="G147" t="s">
        <v>5</v>
      </c>
      <c r="H147" s="1">
        <v>30498</v>
      </c>
      <c r="I147">
        <v>13.04725</v>
      </c>
    </row>
    <row r="148" spans="1:9" x14ac:dyDescent="0.25">
      <c r="A148" s="1"/>
      <c r="G148" t="s">
        <v>5</v>
      </c>
      <c r="H148" s="1">
        <v>30529</v>
      </c>
      <c r="I148">
        <v>13.494125</v>
      </c>
    </row>
    <row r="149" spans="1:9" x14ac:dyDescent="0.25">
      <c r="A149" s="1"/>
      <c r="G149" t="s">
        <v>5</v>
      </c>
      <c r="H149" s="1">
        <v>30560</v>
      </c>
      <c r="I149">
        <v>13.955625</v>
      </c>
    </row>
    <row r="150" spans="1:9" x14ac:dyDescent="0.25">
      <c r="A150" s="1"/>
      <c r="G150" t="s">
        <v>5</v>
      </c>
      <c r="H150" s="1">
        <v>30590</v>
      </c>
      <c r="I150">
        <v>14.068</v>
      </c>
    </row>
    <row r="151" spans="1:9" x14ac:dyDescent="0.25">
      <c r="A151" s="1"/>
      <c r="G151" t="s">
        <v>5</v>
      </c>
      <c r="H151" s="1">
        <v>30621</v>
      </c>
      <c r="I151">
        <v>13.921125</v>
      </c>
    </row>
    <row r="152" spans="1:9" x14ac:dyDescent="0.25">
      <c r="A152" s="1"/>
      <c r="G152" t="s">
        <v>5</v>
      </c>
      <c r="H152" s="1">
        <v>30651</v>
      </c>
      <c r="I152">
        <v>13.766249999999999</v>
      </c>
    </row>
    <row r="153" spans="1:9" x14ac:dyDescent="0.25">
      <c r="A153" s="1"/>
      <c r="G153" t="s">
        <v>5</v>
      </c>
      <c r="H153" s="1">
        <v>30682</v>
      </c>
      <c r="I153">
        <v>13.713125</v>
      </c>
    </row>
    <row r="154" spans="1:9" x14ac:dyDescent="0.25">
      <c r="A154" s="1"/>
      <c r="G154" t="s">
        <v>5</v>
      </c>
      <c r="H154" s="1">
        <v>30713</v>
      </c>
      <c r="I154">
        <v>13.70125</v>
      </c>
    </row>
    <row r="155" spans="1:9" x14ac:dyDescent="0.25">
      <c r="A155" s="1"/>
      <c r="G155" t="s">
        <v>5</v>
      </c>
      <c r="H155" s="1">
        <v>30742</v>
      </c>
      <c r="I155">
        <v>13.640625</v>
      </c>
    </row>
    <row r="156" spans="1:9" x14ac:dyDescent="0.25">
      <c r="A156" s="1"/>
      <c r="G156" t="s">
        <v>5</v>
      </c>
      <c r="H156" s="1">
        <v>30773</v>
      </c>
      <c r="I156">
        <v>13.662375000000001</v>
      </c>
    </row>
    <row r="157" spans="1:9" x14ac:dyDescent="0.25">
      <c r="A157" s="1"/>
      <c r="G157" t="s">
        <v>5</v>
      </c>
      <c r="H157" s="1">
        <v>30803</v>
      </c>
      <c r="I157">
        <v>13.872375</v>
      </c>
    </row>
    <row r="158" spans="1:9" x14ac:dyDescent="0.25">
      <c r="A158" s="1"/>
      <c r="G158" t="s">
        <v>5</v>
      </c>
      <c r="H158" s="1">
        <v>30834</v>
      </c>
      <c r="I158">
        <v>14.192875000000001</v>
      </c>
    </row>
    <row r="159" spans="1:9" x14ac:dyDescent="0.25">
      <c r="A159" s="1"/>
      <c r="G159" t="s">
        <v>5</v>
      </c>
      <c r="H159" s="1">
        <v>30864</v>
      </c>
      <c r="I159">
        <v>14.59975</v>
      </c>
    </row>
    <row r="160" spans="1:9" x14ac:dyDescent="0.25">
      <c r="A160" s="1"/>
      <c r="G160" t="s">
        <v>5</v>
      </c>
      <c r="H160" s="1">
        <v>30895</v>
      </c>
      <c r="I160">
        <v>14.941875</v>
      </c>
    </row>
    <row r="161" spans="1:9" x14ac:dyDescent="0.25">
      <c r="A161" s="1"/>
      <c r="G161" t="s">
        <v>5</v>
      </c>
      <c r="H161" s="1">
        <v>30926</v>
      </c>
      <c r="I161">
        <v>14.965624999999999</v>
      </c>
    </row>
    <row r="162" spans="1:9" x14ac:dyDescent="0.25">
      <c r="A162" s="1"/>
      <c r="G162" t="s">
        <v>5</v>
      </c>
      <c r="H162" s="1">
        <v>30956</v>
      </c>
      <c r="I162">
        <v>14.806875</v>
      </c>
    </row>
    <row r="163" spans="1:9" x14ac:dyDescent="0.25">
      <c r="A163" s="1"/>
      <c r="G163" t="s">
        <v>5</v>
      </c>
      <c r="H163" s="1">
        <v>30987</v>
      </c>
      <c r="I163">
        <v>14.636875</v>
      </c>
    </row>
    <row r="164" spans="1:9" x14ac:dyDescent="0.25">
      <c r="A164" s="1"/>
      <c r="G164" t="s">
        <v>5</v>
      </c>
      <c r="H164" s="1">
        <v>31017</v>
      </c>
      <c r="I164">
        <v>14.268999999999901</v>
      </c>
    </row>
    <row r="165" spans="1:9" x14ac:dyDescent="0.25">
      <c r="A165" s="1"/>
      <c r="G165" t="s">
        <v>5</v>
      </c>
      <c r="H165" s="1">
        <v>31048</v>
      </c>
      <c r="I165">
        <v>13.784624999999901</v>
      </c>
    </row>
    <row r="166" spans="1:9" x14ac:dyDescent="0.25">
      <c r="A166" s="1"/>
      <c r="G166" t="s">
        <v>5</v>
      </c>
      <c r="H166" s="1">
        <v>31079</v>
      </c>
      <c r="I166">
        <v>13.4886249999999</v>
      </c>
    </row>
    <row r="167" spans="1:9" x14ac:dyDescent="0.25">
      <c r="A167" s="1"/>
      <c r="G167" t="s">
        <v>5</v>
      </c>
      <c r="H167" s="1">
        <v>31107</v>
      </c>
      <c r="I167">
        <v>13.3605</v>
      </c>
    </row>
    <row r="168" spans="1:9" x14ac:dyDescent="0.25">
      <c r="A168" s="1"/>
      <c r="G168" t="s">
        <v>5</v>
      </c>
      <c r="H168" s="1">
        <v>31138</v>
      </c>
      <c r="I168">
        <v>13.462499999999901</v>
      </c>
    </row>
    <row r="169" spans="1:9" x14ac:dyDescent="0.25">
      <c r="A169" s="1"/>
      <c r="G169" t="s">
        <v>5</v>
      </c>
      <c r="H169" s="1">
        <v>31168</v>
      </c>
      <c r="I169">
        <v>13.6075</v>
      </c>
    </row>
    <row r="170" spans="1:9" x14ac:dyDescent="0.25">
      <c r="A170" s="1"/>
      <c r="G170" t="s">
        <v>5</v>
      </c>
      <c r="H170" s="1">
        <v>31199</v>
      </c>
      <c r="I170">
        <v>13.446999999999999</v>
      </c>
    </row>
    <row r="171" spans="1:9" x14ac:dyDescent="0.25">
      <c r="A171" s="1"/>
      <c r="G171" t="s">
        <v>5</v>
      </c>
      <c r="H171" s="1">
        <v>31229</v>
      </c>
      <c r="I171">
        <v>12.947624999999899</v>
      </c>
    </row>
    <row r="172" spans="1:9" x14ac:dyDescent="0.25">
      <c r="A172" s="1"/>
      <c r="G172" t="s">
        <v>5</v>
      </c>
      <c r="H172" s="1">
        <v>31260</v>
      </c>
      <c r="I172">
        <v>12.5049999999999</v>
      </c>
    </row>
    <row r="173" spans="1:9" x14ac:dyDescent="0.25">
      <c r="A173" s="1"/>
      <c r="G173" t="s">
        <v>5</v>
      </c>
      <c r="H173" s="1">
        <v>31291</v>
      </c>
      <c r="I173">
        <v>12.502375000000001</v>
      </c>
    </row>
    <row r="174" spans="1:9" x14ac:dyDescent="0.25">
      <c r="A174" s="1"/>
      <c r="G174" t="s">
        <v>5</v>
      </c>
      <c r="H174" s="1">
        <v>31321</v>
      </c>
      <c r="I174">
        <v>12.5855</v>
      </c>
    </row>
    <row r="175" spans="1:9" x14ac:dyDescent="0.25">
      <c r="A175" s="1"/>
      <c r="G175" t="s">
        <v>5</v>
      </c>
      <c r="H175" s="1">
        <v>31352</v>
      </c>
      <c r="I175">
        <v>12.53</v>
      </c>
    </row>
    <row r="176" spans="1:9" x14ac:dyDescent="0.25">
      <c r="A176" s="1"/>
      <c r="G176" t="s">
        <v>5</v>
      </c>
      <c r="H176" s="1">
        <v>31382</v>
      </c>
      <c r="I176">
        <v>12.272500000000001</v>
      </c>
    </row>
    <row r="177" spans="1:9" x14ac:dyDescent="0.25">
      <c r="A177" s="1"/>
      <c r="G177" t="s">
        <v>5</v>
      </c>
      <c r="H177" s="1">
        <v>31413</v>
      </c>
      <c r="I177">
        <v>11.824999999999999</v>
      </c>
    </row>
    <row r="178" spans="1:9" x14ac:dyDescent="0.25">
      <c r="A178" s="1"/>
      <c r="G178" t="s">
        <v>5</v>
      </c>
      <c r="H178" s="1">
        <v>31444</v>
      </c>
      <c r="I178">
        <v>11.403</v>
      </c>
    </row>
    <row r="179" spans="1:9" x14ac:dyDescent="0.25">
      <c r="A179" s="1"/>
      <c r="G179" t="s">
        <v>5</v>
      </c>
      <c r="H179" s="1">
        <v>31472</v>
      </c>
      <c r="I179">
        <v>11.128</v>
      </c>
    </row>
    <row r="180" spans="1:9" x14ac:dyDescent="0.25">
      <c r="A180" s="1"/>
      <c r="G180" t="s">
        <v>5</v>
      </c>
      <c r="H180" s="1">
        <v>31503</v>
      </c>
      <c r="I180">
        <v>10.719999999999899</v>
      </c>
    </row>
    <row r="181" spans="1:9" x14ac:dyDescent="0.25">
      <c r="A181" s="1"/>
      <c r="G181" t="s">
        <v>5</v>
      </c>
      <c r="H181" s="1">
        <v>31533</v>
      </c>
      <c r="I181">
        <v>10.324375</v>
      </c>
    </row>
    <row r="182" spans="1:9" x14ac:dyDescent="0.25">
      <c r="A182" s="1"/>
      <c r="G182" t="s">
        <v>5</v>
      </c>
      <c r="H182" s="1">
        <v>31564</v>
      </c>
      <c r="I182">
        <v>10.353875</v>
      </c>
    </row>
    <row r="183" spans="1:9" x14ac:dyDescent="0.25">
      <c r="A183" s="1"/>
      <c r="G183" t="s">
        <v>5</v>
      </c>
      <c r="H183" s="1">
        <v>31594</v>
      </c>
      <c r="I183">
        <v>10.7295</v>
      </c>
    </row>
    <row r="184" spans="1:9" x14ac:dyDescent="0.25">
      <c r="A184" s="1"/>
      <c r="G184" t="s">
        <v>5</v>
      </c>
      <c r="H184" s="1">
        <v>31625</v>
      </c>
      <c r="I184">
        <v>10.888</v>
      </c>
    </row>
    <row r="185" spans="1:9" x14ac:dyDescent="0.25">
      <c r="A185" s="1"/>
      <c r="G185" t="s">
        <v>5</v>
      </c>
      <c r="H185" s="1">
        <v>31656</v>
      </c>
      <c r="I185">
        <v>10.606125</v>
      </c>
    </row>
    <row r="186" spans="1:9" x14ac:dyDescent="0.25">
      <c r="A186" s="1"/>
      <c r="G186" t="s">
        <v>5</v>
      </c>
      <c r="H186" s="1">
        <v>31686</v>
      </c>
      <c r="I186">
        <v>10.363125</v>
      </c>
    </row>
    <row r="187" spans="1:9" x14ac:dyDescent="0.25">
      <c r="A187" s="1"/>
      <c r="G187" t="s">
        <v>5</v>
      </c>
      <c r="H187" s="1">
        <v>31717</v>
      </c>
      <c r="I187">
        <v>10.2745</v>
      </c>
    </row>
    <row r="188" spans="1:9" x14ac:dyDescent="0.25">
      <c r="A188" s="1"/>
      <c r="G188" t="s">
        <v>5</v>
      </c>
      <c r="H188" s="1">
        <v>31747</v>
      </c>
      <c r="I188">
        <v>10.102625</v>
      </c>
    </row>
    <row r="189" spans="1:9" x14ac:dyDescent="0.25">
      <c r="A189" s="1"/>
      <c r="G189" t="s">
        <v>5</v>
      </c>
      <c r="H189" s="1">
        <v>31778</v>
      </c>
      <c r="I189">
        <v>9.7650000000000006</v>
      </c>
    </row>
    <row r="190" spans="1:9" x14ac:dyDescent="0.25">
      <c r="A190" s="1"/>
      <c r="G190" t="s">
        <v>5</v>
      </c>
      <c r="H190" s="1">
        <v>31809</v>
      </c>
      <c r="I190">
        <v>9.5388750000000009</v>
      </c>
    </row>
    <row r="191" spans="1:9" x14ac:dyDescent="0.25">
      <c r="A191" s="1"/>
      <c r="G191" t="s">
        <v>5</v>
      </c>
      <c r="H191" s="1">
        <v>31837</v>
      </c>
      <c r="I191">
        <v>9.4282500000000002</v>
      </c>
    </row>
    <row r="192" spans="1:9" x14ac:dyDescent="0.25">
      <c r="A192" s="1"/>
      <c r="G192" t="s">
        <v>5</v>
      </c>
      <c r="H192" s="1">
        <v>31868</v>
      </c>
      <c r="I192">
        <v>9.3275000000000006</v>
      </c>
    </row>
    <row r="193" spans="1:9" x14ac:dyDescent="0.25">
      <c r="A193" s="1"/>
      <c r="G193" t="s">
        <v>5</v>
      </c>
      <c r="H193" s="1">
        <v>31898</v>
      </c>
      <c r="I193">
        <v>9.7837499999999995</v>
      </c>
    </row>
    <row r="194" spans="1:9" x14ac:dyDescent="0.25">
      <c r="A194" s="1"/>
      <c r="G194" t="s">
        <v>5</v>
      </c>
      <c r="H194" s="1">
        <v>31929</v>
      </c>
      <c r="I194">
        <v>10.608124999999999</v>
      </c>
    </row>
    <row r="195" spans="1:9" x14ac:dyDescent="0.25">
      <c r="A195" s="1"/>
      <c r="G195" t="s">
        <v>5</v>
      </c>
      <c r="H195" s="1">
        <v>31959</v>
      </c>
      <c r="I195">
        <v>10.895</v>
      </c>
    </row>
    <row r="196" spans="1:9" x14ac:dyDescent="0.25">
      <c r="A196" s="1"/>
      <c r="G196" t="s">
        <v>5</v>
      </c>
      <c r="H196" s="1">
        <v>31990</v>
      </c>
      <c r="I196">
        <v>10.708375</v>
      </c>
    </row>
    <row r="197" spans="1:9" x14ac:dyDescent="0.25">
      <c r="A197" s="1"/>
      <c r="G197" t="s">
        <v>5</v>
      </c>
      <c r="H197" s="1">
        <v>32021</v>
      </c>
      <c r="I197">
        <v>10.585875</v>
      </c>
    </row>
    <row r="198" spans="1:9" x14ac:dyDescent="0.25">
      <c r="A198" s="1"/>
      <c r="G198" t="s">
        <v>5</v>
      </c>
      <c r="H198" s="1">
        <v>32051</v>
      </c>
      <c r="I198">
        <v>10.89625</v>
      </c>
    </row>
    <row r="199" spans="1:9" x14ac:dyDescent="0.25">
      <c r="A199" s="1"/>
      <c r="G199" t="s">
        <v>5</v>
      </c>
      <c r="H199" s="1">
        <v>32082</v>
      </c>
      <c r="I199">
        <v>11.381875000000001</v>
      </c>
    </row>
    <row r="200" spans="1:9" x14ac:dyDescent="0.25">
      <c r="A200" s="1"/>
      <c r="G200" t="s">
        <v>5</v>
      </c>
      <c r="H200" s="1">
        <v>32112</v>
      </c>
      <c r="I200">
        <v>11.241250000000001</v>
      </c>
    </row>
    <row r="201" spans="1:9" x14ac:dyDescent="0.25">
      <c r="A201" s="1"/>
      <c r="G201" t="s">
        <v>5</v>
      </c>
      <c r="H201" s="1">
        <v>32143</v>
      </c>
      <c r="I201">
        <v>10.918749999999999</v>
      </c>
    </row>
    <row r="202" spans="1:9" x14ac:dyDescent="0.25">
      <c r="A202" s="1"/>
      <c r="G202" t="s">
        <v>5</v>
      </c>
      <c r="H202" s="1">
        <v>32174</v>
      </c>
      <c r="I202">
        <v>10.77875</v>
      </c>
    </row>
    <row r="203" spans="1:9" x14ac:dyDescent="0.25">
      <c r="A203" s="1"/>
      <c r="G203" t="s">
        <v>5</v>
      </c>
      <c r="H203" s="1">
        <v>32203</v>
      </c>
      <c r="I203">
        <v>10.396875</v>
      </c>
    </row>
    <row r="204" spans="1:9" x14ac:dyDescent="0.25">
      <c r="A204" s="1"/>
      <c r="G204" t="s">
        <v>5</v>
      </c>
      <c r="H204" s="1">
        <v>32234</v>
      </c>
      <c r="I204">
        <v>10.187625000000001</v>
      </c>
    </row>
    <row r="205" spans="1:9" x14ac:dyDescent="0.25">
      <c r="A205" s="1"/>
      <c r="G205" t="s">
        <v>5</v>
      </c>
      <c r="H205" s="1">
        <v>32264</v>
      </c>
      <c r="I205">
        <v>10.370749999999999</v>
      </c>
    </row>
    <row r="206" spans="1:9" x14ac:dyDescent="0.25">
      <c r="A206" s="1"/>
      <c r="G206" t="s">
        <v>5</v>
      </c>
      <c r="H206" s="1">
        <v>32295</v>
      </c>
      <c r="I206">
        <v>10.631875000000001</v>
      </c>
    </row>
    <row r="207" spans="1:9" x14ac:dyDescent="0.25">
      <c r="A207" s="1"/>
      <c r="G207" t="s">
        <v>5</v>
      </c>
      <c r="H207" s="1">
        <v>32325</v>
      </c>
      <c r="I207">
        <v>10.718624999999999</v>
      </c>
    </row>
    <row r="208" spans="1:9" x14ac:dyDescent="0.25">
      <c r="A208" s="1"/>
      <c r="G208" t="s">
        <v>5</v>
      </c>
      <c r="H208" s="1">
        <v>32356</v>
      </c>
      <c r="I208">
        <v>10.702999999999999</v>
      </c>
    </row>
    <row r="209" spans="1:9" x14ac:dyDescent="0.25">
      <c r="A209" s="1"/>
      <c r="G209" t="s">
        <v>5</v>
      </c>
      <c r="H209" s="1">
        <v>32387</v>
      </c>
      <c r="I209">
        <v>10.798124999999899</v>
      </c>
    </row>
    <row r="210" spans="1:9" x14ac:dyDescent="0.25">
      <c r="A210" s="1"/>
      <c r="G210" t="s">
        <v>5</v>
      </c>
      <c r="H210" s="1">
        <v>32417</v>
      </c>
      <c r="I210">
        <v>10.825624999999899</v>
      </c>
    </row>
    <row r="211" spans="1:9" x14ac:dyDescent="0.25">
      <c r="A211" s="1"/>
      <c r="G211" t="s">
        <v>5</v>
      </c>
      <c r="H211" s="1">
        <v>32448</v>
      </c>
      <c r="I211">
        <v>10.643750000000001</v>
      </c>
    </row>
    <row r="212" spans="1:9" x14ac:dyDescent="0.25">
      <c r="A212" s="1"/>
      <c r="G212" t="s">
        <v>5</v>
      </c>
      <c r="H212" s="1">
        <v>32478</v>
      </c>
      <c r="I212">
        <v>10.5275</v>
      </c>
    </row>
    <row r="213" spans="1:9" x14ac:dyDescent="0.25">
      <c r="A213" s="1"/>
      <c r="G213" t="s">
        <v>5</v>
      </c>
      <c r="H213" s="1">
        <v>32509</v>
      </c>
      <c r="I213">
        <v>10.712249999999999</v>
      </c>
    </row>
    <row r="214" spans="1:9" x14ac:dyDescent="0.25">
      <c r="A214" s="1"/>
      <c r="G214" t="s">
        <v>5</v>
      </c>
      <c r="H214" s="1">
        <v>32540</v>
      </c>
      <c r="I214">
        <v>10.951000000000001</v>
      </c>
    </row>
    <row r="215" spans="1:9" x14ac:dyDescent="0.25">
      <c r="A215" s="1"/>
      <c r="G215" t="s">
        <v>5</v>
      </c>
      <c r="H215" s="1">
        <v>32568</v>
      </c>
      <c r="I215">
        <v>10.96875</v>
      </c>
    </row>
    <row r="216" spans="1:9" x14ac:dyDescent="0.25">
      <c r="A216" s="1"/>
      <c r="G216" t="s">
        <v>5</v>
      </c>
      <c r="H216" s="1">
        <v>32599</v>
      </c>
      <c r="I216">
        <v>11.1322499999999</v>
      </c>
    </row>
    <row r="217" spans="1:9" x14ac:dyDescent="0.25">
      <c r="A217" s="1"/>
      <c r="G217" t="s">
        <v>5</v>
      </c>
      <c r="H217" s="1">
        <v>32629</v>
      </c>
      <c r="I217">
        <v>11.33475</v>
      </c>
    </row>
    <row r="218" spans="1:9" x14ac:dyDescent="0.25">
      <c r="A218" s="1"/>
      <c r="G218" t="s">
        <v>5</v>
      </c>
      <c r="H218" s="1">
        <v>32660</v>
      </c>
      <c r="I218">
        <v>11.189375</v>
      </c>
    </row>
    <row r="219" spans="1:9" x14ac:dyDescent="0.25">
      <c r="A219" s="1"/>
      <c r="G219" t="s">
        <v>5</v>
      </c>
      <c r="H219" s="1">
        <v>32690</v>
      </c>
      <c r="I219">
        <v>10.753625</v>
      </c>
    </row>
    <row r="220" spans="1:9" x14ac:dyDescent="0.25">
      <c r="A220" s="1"/>
      <c r="G220" t="s">
        <v>5</v>
      </c>
      <c r="H220" s="1">
        <v>32721</v>
      </c>
      <c r="I220">
        <v>10.308624999999999</v>
      </c>
    </row>
    <row r="221" spans="1:9" x14ac:dyDescent="0.25">
      <c r="A221" s="1"/>
      <c r="G221" t="s">
        <v>5</v>
      </c>
      <c r="H221" s="1">
        <v>32752</v>
      </c>
      <c r="I221">
        <v>10.219125</v>
      </c>
    </row>
    <row r="222" spans="1:9" x14ac:dyDescent="0.25">
      <c r="A222" s="1"/>
      <c r="G222" t="s">
        <v>5</v>
      </c>
      <c r="H222" s="1">
        <v>32782</v>
      </c>
      <c r="I222">
        <v>10.322875</v>
      </c>
    </row>
    <row r="223" spans="1:9" x14ac:dyDescent="0.25">
      <c r="A223" s="1"/>
      <c r="G223" t="s">
        <v>5</v>
      </c>
      <c r="H223" s="1">
        <v>32813</v>
      </c>
      <c r="I223">
        <v>10.28125</v>
      </c>
    </row>
    <row r="224" spans="1:9" x14ac:dyDescent="0.25">
      <c r="A224" s="1"/>
      <c r="G224" t="s">
        <v>5</v>
      </c>
      <c r="H224" s="1">
        <v>32843</v>
      </c>
      <c r="I224">
        <v>10.105374999999899</v>
      </c>
    </row>
    <row r="225" spans="1:9" x14ac:dyDescent="0.25">
      <c r="A225" s="1"/>
      <c r="G225" t="s">
        <v>5</v>
      </c>
      <c r="H225" s="1">
        <v>32874</v>
      </c>
      <c r="I225">
        <v>9.9978750000000005</v>
      </c>
    </row>
    <row r="226" spans="1:9" x14ac:dyDescent="0.25">
      <c r="A226" s="1"/>
      <c r="G226" t="s">
        <v>5</v>
      </c>
      <c r="H226" s="1">
        <v>32905</v>
      </c>
      <c r="I226">
        <v>10.073124999999999</v>
      </c>
    </row>
    <row r="227" spans="1:9" x14ac:dyDescent="0.25">
      <c r="A227" s="1"/>
      <c r="G227" t="s">
        <v>5</v>
      </c>
      <c r="H227" s="1">
        <v>32933</v>
      </c>
      <c r="I227">
        <v>10.315</v>
      </c>
    </row>
    <row r="228" spans="1:9" x14ac:dyDescent="0.25">
      <c r="A228" s="1"/>
      <c r="G228" t="s">
        <v>5</v>
      </c>
      <c r="H228" s="1">
        <v>32964</v>
      </c>
      <c r="I228">
        <v>10.502749999999899</v>
      </c>
    </row>
    <row r="229" spans="1:9" x14ac:dyDescent="0.25">
      <c r="A229" s="1"/>
      <c r="G229" t="s">
        <v>5</v>
      </c>
      <c r="H229" s="1">
        <v>32994</v>
      </c>
      <c r="I229">
        <v>10.582750000000001</v>
      </c>
    </row>
    <row r="230" spans="1:9" x14ac:dyDescent="0.25">
      <c r="A230" s="1"/>
      <c r="G230" t="s">
        <v>5</v>
      </c>
      <c r="H230" s="1">
        <v>33025</v>
      </c>
      <c r="I230">
        <v>10.66375</v>
      </c>
    </row>
    <row r="231" spans="1:9" x14ac:dyDescent="0.25">
      <c r="A231" s="1"/>
      <c r="G231" t="s">
        <v>5</v>
      </c>
      <c r="H231" s="1">
        <v>33055</v>
      </c>
      <c r="I231">
        <v>10.53875</v>
      </c>
    </row>
    <row r="232" spans="1:9" x14ac:dyDescent="0.25">
      <c r="A232" s="1"/>
      <c r="G232" t="s">
        <v>5</v>
      </c>
      <c r="H232" s="1">
        <v>33086</v>
      </c>
      <c r="I232">
        <v>10.330625</v>
      </c>
    </row>
    <row r="233" spans="1:9" x14ac:dyDescent="0.25">
      <c r="A233" s="1"/>
      <c r="G233" t="s">
        <v>5</v>
      </c>
      <c r="H233" s="1">
        <v>33117</v>
      </c>
      <c r="I233">
        <v>10.319375000000001</v>
      </c>
    </row>
    <row r="234" spans="1:9" x14ac:dyDescent="0.25">
      <c r="A234" s="1"/>
      <c r="G234" t="s">
        <v>5</v>
      </c>
      <c r="H234" s="1">
        <v>33147</v>
      </c>
      <c r="I234">
        <v>10.401875</v>
      </c>
    </row>
    <row r="235" spans="1:9" x14ac:dyDescent="0.25">
      <c r="A235" s="1"/>
      <c r="G235" t="s">
        <v>5</v>
      </c>
      <c r="H235" s="1">
        <v>33178</v>
      </c>
      <c r="I235">
        <v>10.454374999999899</v>
      </c>
    </row>
    <row r="236" spans="1:9" x14ac:dyDescent="0.25">
      <c r="A236" s="1"/>
      <c r="G236" t="s">
        <v>5</v>
      </c>
      <c r="H236" s="1">
        <v>33208</v>
      </c>
      <c r="I236">
        <v>10.372</v>
      </c>
    </row>
    <row r="237" spans="1:9" x14ac:dyDescent="0.25">
      <c r="A237" s="1"/>
      <c r="G237" t="s">
        <v>5</v>
      </c>
      <c r="H237" s="1">
        <v>33239</v>
      </c>
      <c r="I237">
        <v>10.091374999999999</v>
      </c>
    </row>
    <row r="238" spans="1:9" x14ac:dyDescent="0.25">
      <c r="A238" s="1"/>
      <c r="G238" t="s">
        <v>5</v>
      </c>
      <c r="H238" s="1">
        <v>33270</v>
      </c>
      <c r="I238">
        <v>9.8928750000000001</v>
      </c>
    </row>
    <row r="239" spans="1:9" x14ac:dyDescent="0.25">
      <c r="A239" s="1"/>
      <c r="G239" t="s">
        <v>5</v>
      </c>
      <c r="H239" s="1">
        <v>33298</v>
      </c>
      <c r="I239">
        <v>9.7316249999999993</v>
      </c>
    </row>
    <row r="240" spans="1:9" x14ac:dyDescent="0.25">
      <c r="A240" s="1"/>
      <c r="G240" t="s">
        <v>5</v>
      </c>
      <c r="H240" s="1">
        <v>33329</v>
      </c>
      <c r="I240">
        <v>9.6875</v>
      </c>
    </row>
    <row r="241" spans="1:9" x14ac:dyDescent="0.25">
      <c r="A241" s="1"/>
      <c r="G241" t="s">
        <v>5</v>
      </c>
      <c r="H241" s="1">
        <v>33359</v>
      </c>
      <c r="I241">
        <v>9.7712499999999896</v>
      </c>
    </row>
    <row r="242" spans="1:9" x14ac:dyDescent="0.25">
      <c r="A242" s="1"/>
      <c r="G242" t="s">
        <v>5</v>
      </c>
      <c r="H242" s="1">
        <v>33390</v>
      </c>
      <c r="I242">
        <v>9.7303749999999898</v>
      </c>
    </row>
    <row r="243" spans="1:9" x14ac:dyDescent="0.25">
      <c r="A243" s="1"/>
      <c r="G243" t="s">
        <v>5</v>
      </c>
      <c r="H243" s="1">
        <v>33420</v>
      </c>
      <c r="I243">
        <v>9.7978749999999994</v>
      </c>
    </row>
    <row r="244" spans="1:9" x14ac:dyDescent="0.25">
      <c r="A244" s="1"/>
      <c r="G244" t="s">
        <v>5</v>
      </c>
      <c r="H244" s="1">
        <v>33451</v>
      </c>
      <c r="I244">
        <v>9.8512500000000003</v>
      </c>
    </row>
    <row r="245" spans="1:9" x14ac:dyDescent="0.25">
      <c r="A245" s="1"/>
      <c r="G245" t="s">
        <v>5</v>
      </c>
      <c r="H245" s="1">
        <v>33482</v>
      </c>
      <c r="I245">
        <v>9.6438749999999995</v>
      </c>
    </row>
    <row r="246" spans="1:9" x14ac:dyDescent="0.25">
      <c r="A246" s="1"/>
      <c r="G246" t="s">
        <v>5</v>
      </c>
      <c r="H246" s="1">
        <v>33512</v>
      </c>
      <c r="I246">
        <v>9.3476250000000007</v>
      </c>
    </row>
    <row r="247" spans="1:9" x14ac:dyDescent="0.25">
      <c r="A247" s="1"/>
      <c r="G247" t="s">
        <v>5</v>
      </c>
      <c r="H247" s="1">
        <v>33543</v>
      </c>
      <c r="I247">
        <v>9.1381250000000005</v>
      </c>
    </row>
    <row r="248" spans="1:9" x14ac:dyDescent="0.25">
      <c r="A248" s="1"/>
      <c r="G248" t="s">
        <v>5</v>
      </c>
      <c r="H248" s="1">
        <v>33573</v>
      </c>
      <c r="I248">
        <v>8.9725000000000001</v>
      </c>
    </row>
    <row r="249" spans="1:9" x14ac:dyDescent="0.25">
      <c r="A249" s="1"/>
      <c r="G249" t="s">
        <v>5</v>
      </c>
      <c r="H249" s="1">
        <v>33604</v>
      </c>
      <c r="I249">
        <v>8.7931249999999999</v>
      </c>
    </row>
    <row r="250" spans="1:9" x14ac:dyDescent="0.25">
      <c r="A250" s="1"/>
      <c r="G250" t="s">
        <v>5</v>
      </c>
      <c r="H250" s="1">
        <v>33635</v>
      </c>
      <c r="I250">
        <v>8.6616250000000008</v>
      </c>
    </row>
    <row r="251" spans="1:9" x14ac:dyDescent="0.25">
      <c r="A251" s="1"/>
      <c r="G251" t="s">
        <v>5</v>
      </c>
      <c r="H251" s="1">
        <v>33664</v>
      </c>
      <c r="I251">
        <v>8.8003749999999901</v>
      </c>
    </row>
    <row r="252" spans="1:9" x14ac:dyDescent="0.25">
      <c r="A252" s="1"/>
      <c r="G252" t="s">
        <v>5</v>
      </c>
      <c r="H252" s="1">
        <v>33695</v>
      </c>
      <c r="I252">
        <v>9.0581250000000004</v>
      </c>
    </row>
    <row r="253" spans="1:9" x14ac:dyDescent="0.25">
      <c r="A253" s="1"/>
      <c r="G253" t="s">
        <v>5</v>
      </c>
      <c r="H253" s="1">
        <v>33725</v>
      </c>
      <c r="I253">
        <v>9.0862499999999997</v>
      </c>
    </row>
    <row r="254" spans="1:9" x14ac:dyDescent="0.25">
      <c r="A254" s="1"/>
      <c r="G254" t="s">
        <v>5</v>
      </c>
      <c r="H254" s="1">
        <v>33756</v>
      </c>
      <c r="I254">
        <v>8.9087499999999995</v>
      </c>
    </row>
    <row r="255" spans="1:9" x14ac:dyDescent="0.25">
      <c r="A255" s="1"/>
      <c r="G255" t="s">
        <v>5</v>
      </c>
      <c r="H255" s="1">
        <v>33786</v>
      </c>
      <c r="I255">
        <v>8.7324999999999999</v>
      </c>
    </row>
    <row r="256" spans="1:9" x14ac:dyDescent="0.25">
      <c r="A256" s="1"/>
      <c r="G256" t="s">
        <v>5</v>
      </c>
      <c r="H256" s="1">
        <v>33817</v>
      </c>
      <c r="I256">
        <v>8.4727499999999996</v>
      </c>
    </row>
    <row r="257" spans="1:9" x14ac:dyDescent="0.25">
      <c r="A257" s="1"/>
      <c r="G257" t="s">
        <v>5</v>
      </c>
      <c r="H257" s="1">
        <v>33848</v>
      </c>
      <c r="I257">
        <v>8.2083750000000002</v>
      </c>
    </row>
    <row r="258" spans="1:9" x14ac:dyDescent="0.25">
      <c r="A258" s="1"/>
      <c r="G258" t="s">
        <v>5</v>
      </c>
      <c r="H258" s="1">
        <v>33878</v>
      </c>
      <c r="I258">
        <v>8.1174999999999997</v>
      </c>
    </row>
    <row r="259" spans="1:9" x14ac:dyDescent="0.25">
      <c r="A259" s="1"/>
      <c r="G259" t="s">
        <v>5</v>
      </c>
      <c r="H259" s="1">
        <v>33909</v>
      </c>
      <c r="I259">
        <v>8.1896249999999995</v>
      </c>
    </row>
    <row r="260" spans="1:9" x14ac:dyDescent="0.25">
      <c r="A260" s="1"/>
      <c r="G260" t="s">
        <v>5</v>
      </c>
      <c r="H260" s="1">
        <v>33939</v>
      </c>
      <c r="I260">
        <v>8.40899999999999</v>
      </c>
    </row>
    <row r="261" spans="1:9" x14ac:dyDescent="0.25">
      <c r="A261" s="1"/>
      <c r="G261" t="s">
        <v>5</v>
      </c>
      <c r="H261" s="1">
        <v>33970</v>
      </c>
      <c r="I261">
        <v>8.4454999999999991</v>
      </c>
    </row>
    <row r="262" spans="1:9" x14ac:dyDescent="0.25">
      <c r="A262" s="1"/>
      <c r="G262" t="s">
        <v>5</v>
      </c>
      <c r="H262" s="1">
        <v>34001</v>
      </c>
      <c r="I262">
        <v>8.2517499999999995</v>
      </c>
    </row>
    <row r="263" spans="1:9" x14ac:dyDescent="0.25">
      <c r="A263" s="1"/>
      <c r="G263" t="s">
        <v>5</v>
      </c>
      <c r="H263" s="1">
        <v>34029</v>
      </c>
      <c r="I263">
        <v>7.9781250000000004</v>
      </c>
    </row>
    <row r="264" spans="1:9" x14ac:dyDescent="0.25">
      <c r="A264" s="1"/>
      <c r="G264" t="s">
        <v>5</v>
      </c>
      <c r="H264" s="1">
        <v>34060</v>
      </c>
      <c r="I264">
        <v>7.7324999999999999</v>
      </c>
    </row>
    <row r="265" spans="1:9" x14ac:dyDescent="0.25">
      <c r="A265" s="1"/>
      <c r="G265" t="s">
        <v>5</v>
      </c>
      <c r="H265" s="1">
        <v>34090</v>
      </c>
      <c r="I265">
        <v>7.6491249999999997</v>
      </c>
    </row>
    <row r="266" spans="1:9" x14ac:dyDescent="0.25">
      <c r="A266" s="1"/>
      <c r="G266" t="s">
        <v>5</v>
      </c>
      <c r="H266" s="1">
        <v>34121</v>
      </c>
      <c r="I266">
        <v>7.6528749999999999</v>
      </c>
    </row>
    <row r="267" spans="1:9" x14ac:dyDescent="0.25">
      <c r="A267" s="1"/>
      <c r="G267" t="s">
        <v>5</v>
      </c>
      <c r="H267" s="1">
        <v>34151</v>
      </c>
      <c r="I267">
        <v>7.61625</v>
      </c>
    </row>
    <row r="268" spans="1:9" x14ac:dyDescent="0.25">
      <c r="A268" s="1"/>
      <c r="G268" t="s">
        <v>5</v>
      </c>
      <c r="H268" s="1">
        <v>34182</v>
      </c>
      <c r="I268">
        <v>7.4673749999999997</v>
      </c>
    </row>
    <row r="269" spans="1:9" x14ac:dyDescent="0.25">
      <c r="A269" s="1"/>
      <c r="G269" t="s">
        <v>5</v>
      </c>
      <c r="H269" s="1">
        <v>34213</v>
      </c>
      <c r="I269">
        <v>7.296125</v>
      </c>
    </row>
    <row r="270" spans="1:9" x14ac:dyDescent="0.25">
      <c r="A270" s="1"/>
      <c r="G270" t="s">
        <v>5</v>
      </c>
      <c r="H270" s="1">
        <v>34243</v>
      </c>
      <c r="I270">
        <v>7.1331249999999997</v>
      </c>
    </row>
    <row r="271" spans="1:9" x14ac:dyDescent="0.25">
      <c r="A271" s="1"/>
      <c r="G271" t="s">
        <v>5</v>
      </c>
      <c r="H271" s="1">
        <v>34274</v>
      </c>
      <c r="I271">
        <v>6.99</v>
      </c>
    </row>
    <row r="272" spans="1:9" x14ac:dyDescent="0.25">
      <c r="A272" s="1"/>
      <c r="G272" t="s">
        <v>5</v>
      </c>
      <c r="H272" s="1">
        <v>34304</v>
      </c>
      <c r="I272">
        <v>7.1187500000000004</v>
      </c>
    </row>
    <row r="273" spans="1:9" x14ac:dyDescent="0.25">
      <c r="A273" s="1"/>
      <c r="G273" t="s">
        <v>5</v>
      </c>
      <c r="H273" s="1">
        <v>34335</v>
      </c>
      <c r="I273">
        <v>7.3147500000000001</v>
      </c>
    </row>
    <row r="274" spans="1:9" x14ac:dyDescent="0.25">
      <c r="A274" s="1"/>
      <c r="G274" t="s">
        <v>5</v>
      </c>
      <c r="H274" s="1">
        <v>34366</v>
      </c>
      <c r="I274">
        <v>7.2828749999999998</v>
      </c>
    </row>
    <row r="275" spans="1:9" x14ac:dyDescent="0.25">
      <c r="A275" s="1"/>
      <c r="G275" t="s">
        <v>5</v>
      </c>
      <c r="H275" s="1">
        <v>34394</v>
      </c>
      <c r="I275">
        <v>7.2843749999999998</v>
      </c>
    </row>
    <row r="276" spans="1:9" x14ac:dyDescent="0.25">
      <c r="A276" s="1"/>
      <c r="G276" t="s">
        <v>5</v>
      </c>
      <c r="H276" s="1">
        <v>34425</v>
      </c>
      <c r="I276">
        <v>7.6289999999999996</v>
      </c>
    </row>
    <row r="277" spans="1:9" x14ac:dyDescent="0.25">
      <c r="A277" s="1"/>
      <c r="G277" t="s">
        <v>5</v>
      </c>
      <c r="H277" s="1">
        <v>34455</v>
      </c>
      <c r="I277">
        <v>8.2483749999999993</v>
      </c>
    </row>
    <row r="278" spans="1:9" x14ac:dyDescent="0.25">
      <c r="A278" s="1"/>
      <c r="G278" t="s">
        <v>5</v>
      </c>
      <c r="H278" s="1">
        <v>34486</v>
      </c>
      <c r="I278">
        <v>8.6881249999999994</v>
      </c>
    </row>
    <row r="279" spans="1:9" x14ac:dyDescent="0.25">
      <c r="A279" s="1"/>
      <c r="G279" t="s">
        <v>5</v>
      </c>
      <c r="H279" s="1">
        <v>34516</v>
      </c>
      <c r="I279">
        <v>8.7122499999999992</v>
      </c>
    </row>
    <row r="280" spans="1:9" x14ac:dyDescent="0.25">
      <c r="A280" s="1"/>
      <c r="G280" t="s">
        <v>5</v>
      </c>
      <c r="H280" s="1">
        <v>34547</v>
      </c>
      <c r="I280">
        <v>8.7291249999999998</v>
      </c>
    </row>
    <row r="281" spans="1:9" x14ac:dyDescent="0.25">
      <c r="A281" s="1"/>
      <c r="G281" t="s">
        <v>5</v>
      </c>
      <c r="H281" s="1">
        <v>34578</v>
      </c>
      <c r="I281">
        <v>8.7718749999999996</v>
      </c>
    </row>
    <row r="282" spans="1:9" x14ac:dyDescent="0.25">
      <c r="A282" s="1"/>
      <c r="G282" t="s">
        <v>5</v>
      </c>
      <c r="H282" s="1">
        <v>34608</v>
      </c>
      <c r="I282">
        <v>8.7762499999999992</v>
      </c>
    </row>
    <row r="283" spans="1:9" x14ac:dyDescent="0.25">
      <c r="A283" s="1"/>
      <c r="G283" t="s">
        <v>5</v>
      </c>
      <c r="H283" s="1">
        <v>34639</v>
      </c>
      <c r="I283">
        <v>8.9824999999999999</v>
      </c>
    </row>
    <row r="284" spans="1:9" x14ac:dyDescent="0.25">
      <c r="A284" s="1"/>
      <c r="G284" t="s">
        <v>5</v>
      </c>
      <c r="H284" s="1">
        <v>34669</v>
      </c>
      <c r="I284">
        <v>9.2506249999999994</v>
      </c>
    </row>
    <row r="285" spans="1:9" x14ac:dyDescent="0.25">
      <c r="A285" s="1"/>
      <c r="G285" t="s">
        <v>5</v>
      </c>
      <c r="H285" s="1">
        <v>34700</v>
      </c>
      <c r="I285">
        <v>9.3871249999999993</v>
      </c>
    </row>
    <row r="286" spans="1:9" x14ac:dyDescent="0.25">
      <c r="A286" s="1"/>
      <c r="G286" t="s">
        <v>5</v>
      </c>
      <c r="H286" s="1">
        <v>34731</v>
      </c>
      <c r="I286">
        <v>9.3758750000000006</v>
      </c>
    </row>
    <row r="287" spans="1:9" x14ac:dyDescent="0.25">
      <c r="A287" s="1"/>
      <c r="G287" t="s">
        <v>5</v>
      </c>
      <c r="H287" s="1">
        <v>34759</v>
      </c>
      <c r="I287">
        <v>9.1999999999999993</v>
      </c>
    </row>
    <row r="288" spans="1:9" x14ac:dyDescent="0.25">
      <c r="A288" s="1"/>
      <c r="G288" t="s">
        <v>5</v>
      </c>
      <c r="H288" s="1">
        <v>34790</v>
      </c>
      <c r="I288">
        <v>8.8566249999999993</v>
      </c>
    </row>
    <row r="289" spans="1:9" x14ac:dyDescent="0.25">
      <c r="A289" s="1"/>
      <c r="G289" t="s">
        <v>5</v>
      </c>
      <c r="H289" s="1">
        <v>34820</v>
      </c>
      <c r="I289">
        <v>8.6059999999999999</v>
      </c>
    </row>
    <row r="290" spans="1:9" x14ac:dyDescent="0.25">
      <c r="A290" s="1"/>
      <c r="G290" t="s">
        <v>5</v>
      </c>
      <c r="H290" s="1">
        <v>34851</v>
      </c>
      <c r="I290">
        <v>8.3531250000000004</v>
      </c>
    </row>
    <row r="291" spans="1:9" x14ac:dyDescent="0.25">
      <c r="A291" s="1"/>
      <c r="G291" t="s">
        <v>5</v>
      </c>
      <c r="H291" s="1">
        <v>34881</v>
      </c>
      <c r="I291">
        <v>7.961125</v>
      </c>
    </row>
    <row r="292" spans="1:9" x14ac:dyDescent="0.25">
      <c r="A292" s="1"/>
      <c r="G292" t="s">
        <v>5</v>
      </c>
      <c r="H292" s="1">
        <v>34912</v>
      </c>
      <c r="I292">
        <v>7.7779999999999996</v>
      </c>
    </row>
    <row r="293" spans="1:9" x14ac:dyDescent="0.25">
      <c r="A293" s="1"/>
      <c r="G293" t="s">
        <v>5</v>
      </c>
      <c r="H293" s="1">
        <v>34943</v>
      </c>
      <c r="I293">
        <v>7.92</v>
      </c>
    </row>
    <row r="294" spans="1:9" x14ac:dyDescent="0.25">
      <c r="A294" s="1"/>
      <c r="G294" t="s">
        <v>5</v>
      </c>
      <c r="H294" s="1">
        <v>34973</v>
      </c>
      <c r="I294">
        <v>7.9249999999999998</v>
      </c>
    </row>
    <row r="295" spans="1:9" x14ac:dyDescent="0.25">
      <c r="A295" s="1"/>
      <c r="G295" t="s">
        <v>5</v>
      </c>
      <c r="H295" s="1">
        <v>35004</v>
      </c>
      <c r="I295">
        <v>7.7462499999999999</v>
      </c>
    </row>
    <row r="296" spans="1:9" x14ac:dyDescent="0.25">
      <c r="A296" s="1"/>
      <c r="G296" t="s">
        <v>5</v>
      </c>
      <c r="H296" s="1">
        <v>35034</v>
      </c>
      <c r="I296">
        <v>7.6302500000000002</v>
      </c>
    </row>
    <row r="297" spans="1:9" x14ac:dyDescent="0.25">
      <c r="A297" s="1"/>
      <c r="G297" t="s">
        <v>5</v>
      </c>
      <c r="H297" s="1">
        <v>35065</v>
      </c>
      <c r="I297">
        <v>7.4671250000000002</v>
      </c>
    </row>
    <row r="298" spans="1:9" x14ac:dyDescent="0.25">
      <c r="A298" s="1"/>
      <c r="G298" t="s">
        <v>5</v>
      </c>
      <c r="H298" s="1">
        <v>35096</v>
      </c>
      <c r="I298">
        <v>7.2893749999999997</v>
      </c>
    </row>
    <row r="299" spans="1:9" x14ac:dyDescent="0.25">
      <c r="A299" s="1"/>
      <c r="G299" t="s">
        <v>5</v>
      </c>
      <c r="H299" s="1">
        <v>35125</v>
      </c>
      <c r="I299">
        <v>7.2722499999999997</v>
      </c>
    </row>
    <row r="300" spans="1:9" x14ac:dyDescent="0.25">
      <c r="A300" s="1"/>
      <c r="G300" t="s">
        <v>5</v>
      </c>
      <c r="H300" s="1">
        <v>35156</v>
      </c>
      <c r="I300">
        <v>7.5960000000000001</v>
      </c>
    </row>
    <row r="301" spans="1:9" x14ac:dyDescent="0.25">
      <c r="A301" s="1"/>
      <c r="G301" t="s">
        <v>5</v>
      </c>
      <c r="H301" s="1">
        <v>35186</v>
      </c>
      <c r="I301">
        <v>7.9918750000000003</v>
      </c>
    </row>
    <row r="302" spans="1:9" x14ac:dyDescent="0.25">
      <c r="A302" s="1"/>
      <c r="G302" t="s">
        <v>5</v>
      </c>
      <c r="H302" s="1">
        <v>35217</v>
      </c>
      <c r="I302">
        <v>8.1868750000000006</v>
      </c>
    </row>
    <row r="303" spans="1:9" x14ac:dyDescent="0.25">
      <c r="A303" s="1"/>
      <c r="G303" t="s">
        <v>5</v>
      </c>
      <c r="H303" s="1">
        <v>35247</v>
      </c>
      <c r="I303">
        <v>8.375</v>
      </c>
    </row>
    <row r="304" spans="1:9" x14ac:dyDescent="0.25">
      <c r="A304" s="1"/>
      <c r="G304" t="s">
        <v>5</v>
      </c>
      <c r="H304" s="1">
        <v>35278</v>
      </c>
      <c r="I304">
        <v>8.4637499999999992</v>
      </c>
    </row>
    <row r="305" spans="1:9" x14ac:dyDescent="0.25">
      <c r="A305" s="1"/>
      <c r="G305" t="s">
        <v>5</v>
      </c>
      <c r="H305" s="1">
        <v>35309</v>
      </c>
      <c r="I305">
        <v>8.3047499999999896</v>
      </c>
    </row>
    <row r="306" spans="1:9" x14ac:dyDescent="0.25">
      <c r="A306" s="1"/>
      <c r="G306" t="s">
        <v>5</v>
      </c>
      <c r="H306" s="1">
        <v>35339</v>
      </c>
      <c r="I306">
        <v>8.2910000000000004</v>
      </c>
    </row>
    <row r="307" spans="1:9" x14ac:dyDescent="0.25">
      <c r="A307" s="1"/>
      <c r="G307" t="s">
        <v>5</v>
      </c>
      <c r="H307" s="1">
        <v>35370</v>
      </c>
      <c r="I307">
        <v>8.2390000000000008</v>
      </c>
    </row>
    <row r="308" spans="1:9" x14ac:dyDescent="0.25">
      <c r="A308" s="1"/>
      <c r="G308" t="s">
        <v>5</v>
      </c>
      <c r="H308" s="1">
        <v>35400</v>
      </c>
      <c r="I308">
        <v>7.9221250000000003</v>
      </c>
    </row>
    <row r="309" spans="1:9" x14ac:dyDescent="0.25">
      <c r="A309" s="1"/>
      <c r="G309" t="s">
        <v>5</v>
      </c>
      <c r="H309" s="1">
        <v>35431</v>
      </c>
      <c r="I309">
        <v>7.7750000000000004</v>
      </c>
    </row>
    <row r="310" spans="1:9" x14ac:dyDescent="0.25">
      <c r="A310" s="1"/>
      <c r="G310" t="s">
        <v>5</v>
      </c>
      <c r="H310" s="1">
        <v>35462</v>
      </c>
      <c r="I310">
        <v>7.8988750000000003</v>
      </c>
    </row>
    <row r="311" spans="1:9" x14ac:dyDescent="0.25">
      <c r="A311" s="1"/>
      <c r="G311" t="s">
        <v>5</v>
      </c>
      <c r="H311" s="1">
        <v>35490</v>
      </c>
      <c r="I311">
        <v>7.9219999999999997</v>
      </c>
    </row>
    <row r="312" spans="1:9" x14ac:dyDescent="0.25">
      <c r="A312" s="1"/>
      <c r="G312" t="s">
        <v>5</v>
      </c>
      <c r="H312" s="1">
        <v>35521</v>
      </c>
      <c r="I312">
        <v>7.9550000000000001</v>
      </c>
    </row>
    <row r="313" spans="1:9" x14ac:dyDescent="0.25">
      <c r="A313" s="1"/>
      <c r="G313" t="s">
        <v>5</v>
      </c>
      <c r="H313" s="1">
        <v>35551</v>
      </c>
      <c r="I313">
        <v>8.2043750000000006</v>
      </c>
    </row>
    <row r="314" spans="1:9" x14ac:dyDescent="0.25">
      <c r="A314" s="1"/>
      <c r="G314" t="s">
        <v>5</v>
      </c>
      <c r="H314" s="1">
        <v>35582</v>
      </c>
      <c r="I314">
        <v>8.2163749999999993</v>
      </c>
    </row>
    <row r="315" spans="1:9" x14ac:dyDescent="0.25">
      <c r="A315" s="1"/>
      <c r="G315" t="s">
        <v>5</v>
      </c>
      <c r="H315" s="1">
        <v>35612</v>
      </c>
      <c r="I315">
        <v>7.9870000000000001</v>
      </c>
    </row>
    <row r="316" spans="1:9" x14ac:dyDescent="0.25">
      <c r="A316" s="1"/>
      <c r="G316" t="s">
        <v>5</v>
      </c>
      <c r="H316" s="1">
        <v>35643</v>
      </c>
      <c r="I316">
        <v>7.7625000000000002</v>
      </c>
    </row>
    <row r="317" spans="1:9" x14ac:dyDescent="0.25">
      <c r="A317" s="1"/>
      <c r="G317" t="s">
        <v>5</v>
      </c>
      <c r="H317" s="1">
        <v>35674</v>
      </c>
      <c r="I317">
        <v>7.6756250000000001</v>
      </c>
    </row>
    <row r="318" spans="1:9" x14ac:dyDescent="0.25">
      <c r="A318" s="1"/>
      <c r="G318" t="s">
        <v>5</v>
      </c>
      <c r="H318" s="1">
        <v>35704</v>
      </c>
      <c r="I318">
        <v>7.6481250000000003</v>
      </c>
    </row>
    <row r="319" spans="1:9" x14ac:dyDescent="0.25">
      <c r="A319" s="1"/>
      <c r="G319" t="s">
        <v>5</v>
      </c>
      <c r="H319" s="1">
        <v>35735</v>
      </c>
      <c r="I319">
        <v>7.5395000000000003</v>
      </c>
    </row>
    <row r="320" spans="1:9" x14ac:dyDescent="0.25">
      <c r="A320" s="1"/>
      <c r="G320" t="s">
        <v>5</v>
      </c>
      <c r="H320" s="1">
        <v>35765</v>
      </c>
      <c r="I320">
        <v>7.4301250000000003</v>
      </c>
    </row>
    <row r="321" spans="1:9" x14ac:dyDescent="0.25">
      <c r="A321" s="1"/>
      <c r="G321" t="s">
        <v>5</v>
      </c>
      <c r="H321" s="1">
        <v>35796</v>
      </c>
      <c r="I321">
        <v>7.3406250000000002</v>
      </c>
    </row>
    <row r="322" spans="1:9" x14ac:dyDescent="0.25">
      <c r="A322" s="1"/>
      <c r="G322" t="s">
        <v>5</v>
      </c>
      <c r="H322" s="1">
        <v>35827</v>
      </c>
      <c r="I322">
        <v>7.1920000000000002</v>
      </c>
    </row>
    <row r="323" spans="1:9" x14ac:dyDescent="0.25">
      <c r="A323" s="1"/>
      <c r="G323" t="s">
        <v>5</v>
      </c>
      <c r="H323" s="1">
        <v>35855</v>
      </c>
      <c r="I323">
        <v>7.0938749999999997</v>
      </c>
    </row>
    <row r="324" spans="1:9" x14ac:dyDescent="0.25">
      <c r="A324" s="1"/>
      <c r="G324" t="s">
        <v>5</v>
      </c>
      <c r="H324" s="1">
        <v>35886</v>
      </c>
      <c r="I324">
        <v>7.131875</v>
      </c>
    </row>
    <row r="325" spans="1:9" x14ac:dyDescent="0.25">
      <c r="A325" s="1"/>
      <c r="G325" t="s">
        <v>5</v>
      </c>
      <c r="H325" s="1">
        <v>35916</v>
      </c>
      <c r="I325">
        <v>7.1654999999999998</v>
      </c>
    </row>
    <row r="326" spans="1:9" x14ac:dyDescent="0.25">
      <c r="A326" s="1"/>
      <c r="G326" t="s">
        <v>5</v>
      </c>
      <c r="H326" s="1">
        <v>35947</v>
      </c>
      <c r="I326">
        <v>7.1517499999999998</v>
      </c>
    </row>
    <row r="327" spans="1:9" x14ac:dyDescent="0.25">
      <c r="A327" s="1"/>
      <c r="G327" t="s">
        <v>5</v>
      </c>
      <c r="H327" s="1">
        <v>35977</v>
      </c>
      <c r="I327">
        <v>7.0674999999999999</v>
      </c>
    </row>
    <row r="328" spans="1:9" x14ac:dyDescent="0.25">
      <c r="A328" s="1"/>
      <c r="G328" t="s">
        <v>5</v>
      </c>
      <c r="H328" s="1">
        <v>36008</v>
      </c>
      <c r="I328">
        <v>6.98475</v>
      </c>
    </row>
    <row r="329" spans="1:9" x14ac:dyDescent="0.25">
      <c r="A329" s="1"/>
      <c r="G329" t="s">
        <v>5</v>
      </c>
      <c r="H329" s="1">
        <v>36039</v>
      </c>
      <c r="I329">
        <v>6.9597499999999997</v>
      </c>
    </row>
    <row r="330" spans="1:9" x14ac:dyDescent="0.25">
      <c r="A330" s="1"/>
      <c r="G330" t="s">
        <v>5</v>
      </c>
      <c r="H330" s="1">
        <v>36069</v>
      </c>
      <c r="I330">
        <v>6.8318750000000001</v>
      </c>
    </row>
    <row r="331" spans="1:9" x14ac:dyDescent="0.25">
      <c r="A331" s="1"/>
      <c r="G331" t="s">
        <v>5</v>
      </c>
      <c r="H331" s="1">
        <v>36100</v>
      </c>
      <c r="I331">
        <v>6.7056250000000004</v>
      </c>
    </row>
    <row r="332" spans="1:9" x14ac:dyDescent="0.25">
      <c r="A332" s="1"/>
      <c r="G332" t="s">
        <v>5</v>
      </c>
      <c r="H332" s="1">
        <v>36130</v>
      </c>
      <c r="I332">
        <v>6.7706249999999999</v>
      </c>
    </row>
    <row r="333" spans="1:9" x14ac:dyDescent="0.25">
      <c r="A333" s="1"/>
      <c r="G333" t="s">
        <v>5</v>
      </c>
      <c r="H333" s="1">
        <v>36161</v>
      </c>
      <c r="I333">
        <v>6.7871249999999996</v>
      </c>
    </row>
    <row r="334" spans="1:9" x14ac:dyDescent="0.25">
      <c r="A334" s="1"/>
      <c r="G334" t="s">
        <v>5</v>
      </c>
      <c r="H334" s="1">
        <v>36192</v>
      </c>
      <c r="I334">
        <v>6.7471249999999996</v>
      </c>
    </row>
    <row r="335" spans="1:9" x14ac:dyDescent="0.25">
      <c r="A335" s="1"/>
      <c r="G335" t="s">
        <v>5</v>
      </c>
      <c r="H335" s="1">
        <v>36220</v>
      </c>
      <c r="I335">
        <v>6.7868750000000002</v>
      </c>
    </row>
    <row r="336" spans="1:9" x14ac:dyDescent="0.25">
      <c r="A336" s="1"/>
      <c r="G336" t="s">
        <v>5</v>
      </c>
      <c r="H336" s="1">
        <v>36251</v>
      </c>
      <c r="I336">
        <v>6.9112499999999999</v>
      </c>
    </row>
    <row r="337" spans="1:9" x14ac:dyDescent="0.25">
      <c r="A337" s="1"/>
      <c r="G337" t="s">
        <v>5</v>
      </c>
      <c r="H337" s="1">
        <v>36281</v>
      </c>
      <c r="I337">
        <v>6.9629999999999903</v>
      </c>
    </row>
    <row r="338" spans="1:9" x14ac:dyDescent="0.25">
      <c r="A338" s="1"/>
      <c r="G338" t="s">
        <v>5</v>
      </c>
      <c r="H338" s="1">
        <v>36312</v>
      </c>
      <c r="I338">
        <v>7.0279999999999996</v>
      </c>
    </row>
    <row r="339" spans="1:9" x14ac:dyDescent="0.25">
      <c r="A339" s="1"/>
      <c r="G339" t="s">
        <v>5</v>
      </c>
      <c r="H339" s="1">
        <v>36342</v>
      </c>
      <c r="I339">
        <v>7.3475000000000001</v>
      </c>
    </row>
    <row r="340" spans="1:9" x14ac:dyDescent="0.25">
      <c r="A340" s="1"/>
      <c r="G340" t="s">
        <v>5</v>
      </c>
      <c r="H340" s="1">
        <v>36373</v>
      </c>
      <c r="I340">
        <v>7.5909999999999904</v>
      </c>
    </row>
    <row r="341" spans="1:9" x14ac:dyDescent="0.25">
      <c r="A341" s="1"/>
      <c r="G341" t="s">
        <v>5</v>
      </c>
      <c r="H341" s="1">
        <v>36404</v>
      </c>
      <c r="I341">
        <v>7.7872500000000002</v>
      </c>
    </row>
    <row r="342" spans="1:9" x14ac:dyDescent="0.25">
      <c r="A342" s="1"/>
      <c r="G342" t="s">
        <v>5</v>
      </c>
      <c r="H342" s="1">
        <v>36434</v>
      </c>
      <c r="I342">
        <v>7.86775</v>
      </c>
    </row>
    <row r="343" spans="1:9" x14ac:dyDescent="0.25">
      <c r="A343" s="1"/>
      <c r="G343" t="s">
        <v>5</v>
      </c>
      <c r="H343" s="1">
        <v>36465</v>
      </c>
      <c r="I343">
        <v>7.8414999999999999</v>
      </c>
    </row>
    <row r="344" spans="1:9" x14ac:dyDescent="0.25">
      <c r="A344" s="1"/>
      <c r="G344" t="s">
        <v>5</v>
      </c>
      <c r="H344" s="1">
        <v>36495</v>
      </c>
      <c r="I344">
        <v>7.8137499999999998</v>
      </c>
    </row>
    <row r="345" spans="1:9" x14ac:dyDescent="0.25">
      <c r="A345" s="1"/>
      <c r="G345" t="s">
        <v>5</v>
      </c>
      <c r="H345" s="1">
        <v>36526</v>
      </c>
      <c r="I345">
        <v>7.8247499999999999</v>
      </c>
    </row>
    <row r="346" spans="1:9" x14ac:dyDescent="0.25">
      <c r="A346" s="1"/>
      <c r="G346" t="s">
        <v>5</v>
      </c>
      <c r="H346" s="1">
        <v>36557</v>
      </c>
      <c r="I346">
        <v>8.0609999999999999</v>
      </c>
    </row>
    <row r="347" spans="1:9" x14ac:dyDescent="0.25">
      <c r="A347" s="1"/>
      <c r="G347" t="s">
        <v>5</v>
      </c>
      <c r="H347" s="1">
        <v>36586</v>
      </c>
      <c r="I347">
        <v>8.2643749999999994</v>
      </c>
    </row>
    <row r="348" spans="1:9" x14ac:dyDescent="0.25">
      <c r="A348" s="1"/>
      <c r="G348" t="s">
        <v>5</v>
      </c>
      <c r="H348" s="1">
        <v>36617</v>
      </c>
      <c r="I348">
        <v>8.2768750000000004</v>
      </c>
    </row>
    <row r="349" spans="1:9" x14ac:dyDescent="0.25">
      <c r="A349" s="1"/>
      <c r="G349" t="s">
        <v>5</v>
      </c>
      <c r="H349" s="1">
        <v>36647</v>
      </c>
      <c r="I349">
        <v>8.1906250000000007</v>
      </c>
    </row>
    <row r="350" spans="1:9" x14ac:dyDescent="0.25">
      <c r="A350" s="1"/>
      <c r="G350" t="s">
        <v>5</v>
      </c>
      <c r="H350" s="1">
        <v>36678</v>
      </c>
      <c r="I350">
        <v>8.3306249999999995</v>
      </c>
    </row>
    <row r="351" spans="1:9" x14ac:dyDescent="0.25">
      <c r="A351" s="1"/>
      <c r="G351" t="s">
        <v>5</v>
      </c>
      <c r="H351" s="1">
        <v>36708</v>
      </c>
      <c r="I351">
        <v>8.3940000000000001</v>
      </c>
    </row>
    <row r="352" spans="1:9" x14ac:dyDescent="0.25">
      <c r="A352" s="1"/>
      <c r="G352" t="s">
        <v>5</v>
      </c>
      <c r="H352" s="1">
        <v>36739</v>
      </c>
      <c r="I352">
        <v>8.2008749999999999</v>
      </c>
    </row>
    <row r="353" spans="1:9" x14ac:dyDescent="0.25">
      <c r="A353" s="1"/>
      <c r="G353" t="s">
        <v>5</v>
      </c>
      <c r="H353" s="1">
        <v>36770</v>
      </c>
      <c r="I353">
        <v>8.0688750000000002</v>
      </c>
    </row>
    <row r="354" spans="1:9" x14ac:dyDescent="0.25">
      <c r="A354" s="1"/>
      <c r="G354" t="s">
        <v>5</v>
      </c>
      <c r="H354" s="1">
        <v>36800</v>
      </c>
      <c r="I354">
        <v>7.9545000000000003</v>
      </c>
    </row>
    <row r="355" spans="1:9" x14ac:dyDescent="0.25">
      <c r="A355" s="1"/>
      <c r="G355" t="s">
        <v>5</v>
      </c>
      <c r="H355" s="1">
        <v>36831</v>
      </c>
      <c r="I355">
        <v>7.8443750000000003</v>
      </c>
    </row>
    <row r="356" spans="1:9" x14ac:dyDescent="0.25">
      <c r="A356" s="1"/>
      <c r="G356" t="s">
        <v>5</v>
      </c>
      <c r="H356" s="1">
        <v>36861</v>
      </c>
      <c r="I356">
        <v>7.7448750000000004</v>
      </c>
    </row>
    <row r="357" spans="1:9" x14ac:dyDescent="0.25">
      <c r="A357" s="1"/>
      <c r="G357" t="s">
        <v>5</v>
      </c>
      <c r="H357" s="1">
        <v>36892</v>
      </c>
      <c r="I357">
        <v>7.5048750000000002</v>
      </c>
    </row>
    <row r="358" spans="1:9" x14ac:dyDescent="0.25">
      <c r="A358" s="1"/>
      <c r="G358" t="s">
        <v>5</v>
      </c>
      <c r="H358" s="1">
        <v>36923</v>
      </c>
      <c r="I358">
        <v>7.1581250000000001</v>
      </c>
    </row>
    <row r="359" spans="1:9" x14ac:dyDescent="0.25">
      <c r="A359" s="1"/>
      <c r="G359" t="s">
        <v>5</v>
      </c>
      <c r="H359" s="1">
        <v>36951</v>
      </c>
      <c r="I359">
        <v>7.0225</v>
      </c>
    </row>
    <row r="360" spans="1:9" x14ac:dyDescent="0.25">
      <c r="A360" s="1"/>
      <c r="G360" t="s">
        <v>5</v>
      </c>
      <c r="H360" s="1">
        <v>36982</v>
      </c>
      <c r="I360">
        <v>6.98475</v>
      </c>
    </row>
    <row r="361" spans="1:9" x14ac:dyDescent="0.25">
      <c r="A361" s="1"/>
      <c r="G361" t="s">
        <v>5</v>
      </c>
      <c r="H361" s="1">
        <v>37012</v>
      </c>
      <c r="I361">
        <v>6.9922500000000003</v>
      </c>
    </row>
    <row r="362" spans="1:9" x14ac:dyDescent="0.25">
      <c r="A362" s="1"/>
      <c r="G362" t="s">
        <v>5</v>
      </c>
      <c r="H362" s="1">
        <v>37043</v>
      </c>
      <c r="I362">
        <v>7.1007499999999997</v>
      </c>
    </row>
    <row r="363" spans="1:9" x14ac:dyDescent="0.25">
      <c r="A363" s="1"/>
      <c r="G363" t="s">
        <v>5</v>
      </c>
      <c r="H363" s="1">
        <v>37073</v>
      </c>
      <c r="I363">
        <v>7.141375</v>
      </c>
    </row>
    <row r="364" spans="1:9" x14ac:dyDescent="0.25">
      <c r="A364" s="1"/>
      <c r="G364" t="s">
        <v>5</v>
      </c>
      <c r="H364" s="1">
        <v>37104</v>
      </c>
      <c r="I364">
        <v>7.118125</v>
      </c>
    </row>
    <row r="365" spans="1:9" x14ac:dyDescent="0.25">
      <c r="A365" s="1"/>
      <c r="G365" t="s">
        <v>5</v>
      </c>
      <c r="H365" s="1">
        <v>37135</v>
      </c>
      <c r="I365">
        <v>7.0137499999999999</v>
      </c>
    </row>
    <row r="366" spans="1:9" x14ac:dyDescent="0.25">
      <c r="A366" s="1"/>
      <c r="G366" t="s">
        <v>5</v>
      </c>
      <c r="H366" s="1">
        <v>37165</v>
      </c>
      <c r="I366">
        <v>6.8587499999999997</v>
      </c>
    </row>
    <row r="367" spans="1:9" x14ac:dyDescent="0.25">
      <c r="A367" s="1"/>
      <c r="G367" t="s">
        <v>5</v>
      </c>
      <c r="H367" s="1">
        <v>37196</v>
      </c>
      <c r="I367">
        <v>6.6862500000000002</v>
      </c>
    </row>
    <row r="368" spans="1:9" x14ac:dyDescent="0.25">
      <c r="A368" s="1"/>
      <c r="G368" t="s">
        <v>5</v>
      </c>
      <c r="H368" s="1">
        <v>37226</v>
      </c>
      <c r="I368">
        <v>6.5939999999999896</v>
      </c>
    </row>
    <row r="369" spans="1:9" x14ac:dyDescent="0.25">
      <c r="A369" s="1"/>
      <c r="G369" t="s">
        <v>5</v>
      </c>
      <c r="H369" s="1">
        <v>37257</v>
      </c>
      <c r="I369">
        <v>6.80525</v>
      </c>
    </row>
    <row r="370" spans="1:9" x14ac:dyDescent="0.25">
      <c r="A370" s="1"/>
      <c r="G370" t="s">
        <v>5</v>
      </c>
      <c r="H370" s="1">
        <v>37288</v>
      </c>
      <c r="I370">
        <v>6.9697500000000003</v>
      </c>
    </row>
    <row r="371" spans="1:9" x14ac:dyDescent="0.25">
      <c r="A371" s="1"/>
      <c r="G371" t="s">
        <v>5</v>
      </c>
      <c r="H371" s="1">
        <v>37316</v>
      </c>
      <c r="I371">
        <v>6.8497500000000002</v>
      </c>
    </row>
    <row r="372" spans="1:9" x14ac:dyDescent="0.25">
      <c r="A372" s="1"/>
      <c r="G372" t="s">
        <v>5</v>
      </c>
      <c r="H372" s="1">
        <v>37347</v>
      </c>
      <c r="I372">
        <v>6.8775000000000004</v>
      </c>
    </row>
    <row r="373" spans="1:9" x14ac:dyDescent="0.25">
      <c r="A373" s="1"/>
      <c r="G373" t="s">
        <v>5</v>
      </c>
      <c r="H373" s="1">
        <v>37377</v>
      </c>
      <c r="I373">
        <v>6.9543749999999998</v>
      </c>
    </row>
    <row r="374" spans="1:9" x14ac:dyDescent="0.25">
      <c r="A374" s="1"/>
      <c r="G374" t="s">
        <v>5</v>
      </c>
      <c r="H374" s="1">
        <v>37408</v>
      </c>
      <c r="I374">
        <v>6.8261249999999896</v>
      </c>
    </row>
    <row r="375" spans="1:9" x14ac:dyDescent="0.25">
      <c r="A375" s="1"/>
      <c r="G375" t="s">
        <v>5</v>
      </c>
      <c r="H375" s="1">
        <v>37438</v>
      </c>
      <c r="I375">
        <v>6.6429999999999998</v>
      </c>
    </row>
    <row r="376" spans="1:9" x14ac:dyDescent="0.25">
      <c r="A376" s="1"/>
      <c r="G376" t="s">
        <v>5</v>
      </c>
      <c r="H376" s="1">
        <v>37469</v>
      </c>
      <c r="I376">
        <v>6.4612499999999997</v>
      </c>
    </row>
    <row r="377" spans="1:9" x14ac:dyDescent="0.25">
      <c r="A377" s="1"/>
      <c r="G377" t="s">
        <v>5</v>
      </c>
      <c r="H377" s="1">
        <v>37500</v>
      </c>
      <c r="I377">
        <v>6.2862499999999999</v>
      </c>
    </row>
    <row r="378" spans="1:9" x14ac:dyDescent="0.25">
      <c r="A378" s="1"/>
      <c r="G378" t="s">
        <v>5</v>
      </c>
      <c r="H378" s="1">
        <v>37530</v>
      </c>
      <c r="I378">
        <v>6.0993750000000002</v>
      </c>
    </row>
    <row r="379" spans="1:9" x14ac:dyDescent="0.25">
      <c r="A379" s="1"/>
      <c r="G379" t="s">
        <v>5</v>
      </c>
      <c r="H379" s="1">
        <v>37561</v>
      </c>
      <c r="I379">
        <v>6.0023749999999998</v>
      </c>
    </row>
    <row r="380" spans="1:9" x14ac:dyDescent="0.25">
      <c r="A380" s="1"/>
      <c r="G380" t="s">
        <v>5</v>
      </c>
      <c r="H380" s="1">
        <v>37591</v>
      </c>
      <c r="I380">
        <v>5.9792500000000004</v>
      </c>
    </row>
    <row r="381" spans="1:9" x14ac:dyDescent="0.25">
      <c r="A381" s="1"/>
      <c r="G381" t="s">
        <v>5</v>
      </c>
      <c r="H381" s="1">
        <v>37622</v>
      </c>
      <c r="I381">
        <v>5.9437499999999996</v>
      </c>
    </row>
    <row r="382" spans="1:9" x14ac:dyDescent="0.25">
      <c r="A382" s="1"/>
      <c r="G382" t="s">
        <v>5</v>
      </c>
      <c r="H382" s="1">
        <v>37653</v>
      </c>
      <c r="I382">
        <v>5.8729999999999896</v>
      </c>
    </row>
    <row r="383" spans="1:9" x14ac:dyDescent="0.25">
      <c r="A383" s="1"/>
      <c r="G383" t="s">
        <v>5</v>
      </c>
      <c r="H383" s="1">
        <v>37681</v>
      </c>
      <c r="I383">
        <v>5.7798749999999997</v>
      </c>
    </row>
    <row r="384" spans="1:9" x14ac:dyDescent="0.25">
      <c r="A384" s="1"/>
      <c r="G384" t="s">
        <v>5</v>
      </c>
      <c r="H384" s="1">
        <v>37712</v>
      </c>
      <c r="I384">
        <v>5.6968750000000004</v>
      </c>
    </row>
    <row r="385" spans="1:9" x14ac:dyDescent="0.25">
      <c r="A385" s="1"/>
      <c r="G385" t="s">
        <v>5</v>
      </c>
      <c r="H385" s="1">
        <v>37742</v>
      </c>
      <c r="I385">
        <v>5.67875</v>
      </c>
    </row>
    <row r="386" spans="1:9" x14ac:dyDescent="0.25">
      <c r="A386" s="1"/>
      <c r="G386" t="s">
        <v>5</v>
      </c>
      <c r="H386" s="1">
        <v>37773</v>
      </c>
      <c r="I386">
        <v>5.5532500000000002</v>
      </c>
    </row>
    <row r="387" spans="1:9" x14ac:dyDescent="0.25">
      <c r="A387" s="1"/>
      <c r="G387" t="s">
        <v>5</v>
      </c>
      <c r="H387" s="1">
        <v>37803</v>
      </c>
      <c r="I387">
        <v>5.2557499999999999</v>
      </c>
    </row>
    <row r="388" spans="1:9" x14ac:dyDescent="0.25">
      <c r="A388" s="1"/>
      <c r="G388" t="s">
        <v>5</v>
      </c>
      <c r="H388" s="1">
        <v>37834</v>
      </c>
      <c r="I388">
        <v>5.3632499999999999</v>
      </c>
    </row>
    <row r="389" spans="1:9" x14ac:dyDescent="0.25">
      <c r="A389" s="1"/>
      <c r="G389" t="s">
        <v>5</v>
      </c>
      <c r="H389" s="1">
        <v>37865</v>
      </c>
      <c r="I389">
        <v>5.9176250000000001</v>
      </c>
    </row>
    <row r="390" spans="1:9" x14ac:dyDescent="0.25">
      <c r="A390" s="1"/>
      <c r="G390" t="s">
        <v>5</v>
      </c>
      <c r="H390" s="1">
        <v>37895</v>
      </c>
      <c r="I390">
        <v>6.13375</v>
      </c>
    </row>
    <row r="391" spans="1:9" x14ac:dyDescent="0.25">
      <c r="G391" t="s">
        <v>5</v>
      </c>
      <c r="H391" s="1">
        <v>37926</v>
      </c>
      <c r="I391">
        <v>5.946625</v>
      </c>
    </row>
    <row r="392" spans="1:9" x14ac:dyDescent="0.25">
      <c r="G392" t="s">
        <v>5</v>
      </c>
      <c r="H392" s="1">
        <v>37956</v>
      </c>
      <c r="I392">
        <v>5.8453749999999998</v>
      </c>
    </row>
    <row r="393" spans="1:9" x14ac:dyDescent="0.25">
      <c r="G393" t="s">
        <v>5</v>
      </c>
      <c r="H393" s="1">
        <v>37987</v>
      </c>
      <c r="I393">
        <v>5.8173750000000002</v>
      </c>
    </row>
    <row r="394" spans="1:9" x14ac:dyDescent="0.25">
      <c r="G394" t="s">
        <v>5</v>
      </c>
      <c r="H394" s="1">
        <v>38018</v>
      </c>
      <c r="I394">
        <v>5.7104999999999997</v>
      </c>
    </row>
    <row r="395" spans="1:9" x14ac:dyDescent="0.25">
      <c r="G395" t="s">
        <v>5</v>
      </c>
      <c r="H395" s="1">
        <v>38047</v>
      </c>
      <c r="I395">
        <v>5.5862499999999997</v>
      </c>
    </row>
    <row r="396" spans="1:9" x14ac:dyDescent="0.25">
      <c r="G396" t="s">
        <v>5</v>
      </c>
      <c r="H396" s="1">
        <v>38078</v>
      </c>
      <c r="I396">
        <v>5.4612499999999997</v>
      </c>
    </row>
    <row r="397" spans="1:9" x14ac:dyDescent="0.25">
      <c r="G397" t="s">
        <v>5</v>
      </c>
      <c r="H397" s="1">
        <v>38108</v>
      </c>
      <c r="I397">
        <v>5.600625</v>
      </c>
    </row>
    <row r="398" spans="1:9" x14ac:dyDescent="0.25">
      <c r="G398" t="s">
        <v>5</v>
      </c>
      <c r="H398" s="1">
        <v>38139</v>
      </c>
      <c r="I398">
        <v>6.0075000000000003</v>
      </c>
    </row>
    <row r="399" spans="1:9" x14ac:dyDescent="0.25">
      <c r="G399" t="s">
        <v>5</v>
      </c>
      <c r="H399" s="1">
        <v>38169</v>
      </c>
      <c r="I399">
        <v>6.1828749999999904</v>
      </c>
    </row>
    <row r="400" spans="1:9" x14ac:dyDescent="0.25">
      <c r="G400" t="s">
        <v>5</v>
      </c>
      <c r="H400" s="1">
        <v>38200</v>
      </c>
      <c r="I400">
        <v>6.04725</v>
      </c>
    </row>
    <row r="401" spans="7:9" x14ac:dyDescent="0.25">
      <c r="G401" t="s">
        <v>5</v>
      </c>
      <c r="H401" s="1">
        <v>38231</v>
      </c>
      <c r="I401">
        <v>5.8518749999999997</v>
      </c>
    </row>
    <row r="402" spans="7:9" x14ac:dyDescent="0.25">
      <c r="G402" t="s">
        <v>5</v>
      </c>
      <c r="H402" s="1">
        <v>38261</v>
      </c>
      <c r="I402">
        <v>5.7376250000000004</v>
      </c>
    </row>
    <row r="403" spans="7:9" x14ac:dyDescent="0.25">
      <c r="G403" t="s">
        <v>5</v>
      </c>
      <c r="H403" s="1">
        <v>38292</v>
      </c>
      <c r="I403">
        <v>5.6619999999999999</v>
      </c>
    </row>
    <row r="404" spans="7:9" x14ac:dyDescent="0.25">
      <c r="G404" t="s">
        <v>5</v>
      </c>
      <c r="H404" s="1">
        <v>38322</v>
      </c>
      <c r="I404">
        <v>5.6356250000000001</v>
      </c>
    </row>
    <row r="405" spans="7:9" x14ac:dyDescent="0.25">
      <c r="G405" t="s">
        <v>5</v>
      </c>
      <c r="H405" s="1">
        <v>38353</v>
      </c>
      <c r="I405">
        <v>5.6466250000000002</v>
      </c>
    </row>
    <row r="406" spans="7:9" x14ac:dyDescent="0.25">
      <c r="G406" t="s">
        <v>5</v>
      </c>
      <c r="H406" s="1">
        <v>38384</v>
      </c>
      <c r="I406">
        <v>5.6397499999999896</v>
      </c>
    </row>
    <row r="407" spans="7:9" x14ac:dyDescent="0.25">
      <c r="G407" t="s">
        <v>5</v>
      </c>
      <c r="H407" s="1">
        <v>38412</v>
      </c>
      <c r="I407">
        <v>5.5906249999999904</v>
      </c>
    </row>
    <row r="408" spans="7:9" x14ac:dyDescent="0.25">
      <c r="G408" t="s">
        <v>5</v>
      </c>
      <c r="H408" s="1">
        <v>38443</v>
      </c>
      <c r="I408">
        <v>5.7033749999999896</v>
      </c>
    </row>
    <row r="409" spans="7:9" x14ac:dyDescent="0.25">
      <c r="G409" t="s">
        <v>5</v>
      </c>
      <c r="H409" s="1">
        <v>38473</v>
      </c>
      <c r="I409">
        <v>5.8046249999999997</v>
      </c>
    </row>
    <row r="410" spans="7:9" x14ac:dyDescent="0.25">
      <c r="G410" t="s">
        <v>5</v>
      </c>
      <c r="H410" s="1">
        <v>38504</v>
      </c>
      <c r="I410">
        <v>5.6906249999999998</v>
      </c>
    </row>
    <row r="411" spans="7:9" x14ac:dyDescent="0.25">
      <c r="G411" t="s">
        <v>5</v>
      </c>
      <c r="H411" s="1">
        <v>38534</v>
      </c>
      <c r="I411">
        <v>5.5484999999999998</v>
      </c>
    </row>
    <row r="412" spans="7:9" x14ac:dyDescent="0.25">
      <c r="G412" t="s">
        <v>5</v>
      </c>
      <c r="H412" s="1">
        <v>38565</v>
      </c>
      <c r="I412">
        <v>5.5266250000000001</v>
      </c>
    </row>
    <row r="413" spans="7:9" x14ac:dyDescent="0.25">
      <c r="G413" t="s">
        <v>5</v>
      </c>
      <c r="H413" s="1">
        <v>38596</v>
      </c>
      <c r="I413">
        <v>5.6296249999999999</v>
      </c>
    </row>
    <row r="414" spans="7:9" x14ac:dyDescent="0.25">
      <c r="G414" t="s">
        <v>5</v>
      </c>
      <c r="H414" s="1">
        <v>38626</v>
      </c>
      <c r="I414">
        <v>5.6833749999999998</v>
      </c>
    </row>
    <row r="415" spans="7:9" x14ac:dyDescent="0.25">
      <c r="G415" t="s">
        <v>5</v>
      </c>
      <c r="H415" s="1">
        <v>38657</v>
      </c>
      <c r="I415">
        <v>5.8150000000000004</v>
      </c>
    </row>
    <row r="416" spans="7:9" x14ac:dyDescent="0.25">
      <c r="G416" t="s">
        <v>5</v>
      </c>
      <c r="H416" s="1">
        <v>38687</v>
      </c>
      <c r="I416">
        <v>6.0736249999999998</v>
      </c>
    </row>
    <row r="417" spans="7:9" x14ac:dyDescent="0.25">
      <c r="G417" t="s">
        <v>5</v>
      </c>
      <c r="H417" s="1">
        <v>38718</v>
      </c>
      <c r="I417">
        <v>6.1817499999999903</v>
      </c>
    </row>
    <row r="418" spans="7:9" x14ac:dyDescent="0.25">
      <c r="G418" t="s">
        <v>5</v>
      </c>
      <c r="H418" s="1">
        <v>38749</v>
      </c>
      <c r="I418">
        <v>6.0943749999999897</v>
      </c>
    </row>
    <row r="419" spans="7:9" x14ac:dyDescent="0.25">
      <c r="G419" t="s">
        <v>5</v>
      </c>
      <c r="H419" s="1">
        <v>38777</v>
      </c>
      <c r="I419">
        <v>6.0831249999999999</v>
      </c>
    </row>
    <row r="420" spans="7:9" x14ac:dyDescent="0.25">
      <c r="G420" t="s">
        <v>5</v>
      </c>
      <c r="H420" s="1">
        <v>38808</v>
      </c>
      <c r="I420">
        <v>6.1820000000000004</v>
      </c>
    </row>
    <row r="421" spans="7:9" x14ac:dyDescent="0.25">
      <c r="G421" t="s">
        <v>5</v>
      </c>
      <c r="H421" s="1">
        <v>38838</v>
      </c>
      <c r="I421">
        <v>6.3126249999999997</v>
      </c>
    </row>
    <row r="422" spans="7:9" x14ac:dyDescent="0.25">
      <c r="G422" t="s">
        <v>5</v>
      </c>
      <c r="H422" s="1">
        <v>38869</v>
      </c>
      <c r="I422">
        <v>6.4416250000000002</v>
      </c>
    </row>
    <row r="423" spans="7:9" x14ac:dyDescent="0.25">
      <c r="G423" t="s">
        <v>5</v>
      </c>
      <c r="H423" s="1">
        <v>38899</v>
      </c>
      <c r="I423">
        <v>6.5209999999999999</v>
      </c>
    </row>
    <row r="424" spans="7:9" x14ac:dyDescent="0.25">
      <c r="G424" t="s">
        <v>5</v>
      </c>
      <c r="H424" s="1">
        <v>38930</v>
      </c>
      <c r="I424">
        <v>6.5956250000000001</v>
      </c>
    </row>
    <row r="425" spans="7:9" x14ac:dyDescent="0.25">
      <c r="G425" t="s">
        <v>5</v>
      </c>
      <c r="H425" s="1">
        <v>38961</v>
      </c>
      <c r="I425">
        <v>6.4976249999999904</v>
      </c>
    </row>
    <row r="426" spans="7:9" x14ac:dyDescent="0.25">
      <c r="G426" t="s">
        <v>5</v>
      </c>
      <c r="H426" s="1">
        <v>38991</v>
      </c>
      <c r="I426">
        <v>6.3144999999999998</v>
      </c>
    </row>
    <row r="427" spans="7:9" x14ac:dyDescent="0.25">
      <c r="G427" t="s">
        <v>5</v>
      </c>
      <c r="H427" s="1">
        <v>39022</v>
      </c>
      <c r="I427">
        <v>6.2393749999999999</v>
      </c>
    </row>
    <row r="428" spans="7:9" x14ac:dyDescent="0.25">
      <c r="G428" t="s">
        <v>5</v>
      </c>
      <c r="H428" s="1">
        <v>39052</v>
      </c>
      <c r="I428">
        <v>6.1618750000000002</v>
      </c>
    </row>
    <row r="429" spans="7:9" x14ac:dyDescent="0.25">
      <c r="G429" t="s">
        <v>5</v>
      </c>
      <c r="H429" s="1">
        <v>39083</v>
      </c>
      <c r="I429">
        <v>6.0506250000000001</v>
      </c>
    </row>
    <row r="430" spans="7:9" x14ac:dyDescent="0.25">
      <c r="G430" t="s">
        <v>5</v>
      </c>
      <c r="H430" s="1">
        <v>39114</v>
      </c>
      <c r="I430">
        <v>6.0416249999999998</v>
      </c>
    </row>
    <row r="431" spans="7:9" x14ac:dyDescent="0.25">
      <c r="G431" t="s">
        <v>5</v>
      </c>
      <c r="H431" s="1">
        <v>39142</v>
      </c>
      <c r="I431">
        <v>6.0934999999999997</v>
      </c>
    </row>
    <row r="432" spans="7:9" x14ac:dyDescent="0.25">
      <c r="G432" t="s">
        <v>5</v>
      </c>
      <c r="H432" s="1">
        <v>39173</v>
      </c>
      <c r="I432">
        <v>6.0506250000000001</v>
      </c>
    </row>
    <row r="433" spans="7:9" x14ac:dyDescent="0.25">
      <c r="G433" t="s">
        <v>5</v>
      </c>
      <c r="H433" s="1">
        <v>39203</v>
      </c>
      <c r="I433">
        <v>6.024375</v>
      </c>
    </row>
    <row r="434" spans="7:9" x14ac:dyDescent="0.25">
      <c r="G434" t="s">
        <v>5</v>
      </c>
      <c r="H434" s="1">
        <v>39234</v>
      </c>
      <c r="I434">
        <v>6.0822500000000002</v>
      </c>
    </row>
    <row r="435" spans="7:9" x14ac:dyDescent="0.25">
      <c r="G435" t="s">
        <v>5</v>
      </c>
      <c r="H435" s="1">
        <v>39264</v>
      </c>
      <c r="I435">
        <v>6.3178749999999999</v>
      </c>
    </row>
    <row r="436" spans="7:9" x14ac:dyDescent="0.25">
      <c r="G436" t="s">
        <v>5</v>
      </c>
      <c r="H436" s="1">
        <v>39295</v>
      </c>
      <c r="I436">
        <v>6.5293749999999999</v>
      </c>
    </row>
    <row r="437" spans="7:9" x14ac:dyDescent="0.25">
      <c r="G437" t="s">
        <v>5</v>
      </c>
      <c r="H437" s="1">
        <v>39326</v>
      </c>
      <c r="I437">
        <v>6.4834999999999896</v>
      </c>
    </row>
    <row r="438" spans="7:9" x14ac:dyDescent="0.25">
      <c r="G438" t="s">
        <v>5</v>
      </c>
      <c r="H438" s="1">
        <v>39356</v>
      </c>
      <c r="I438">
        <v>6.3397500000000004</v>
      </c>
    </row>
    <row r="439" spans="7:9" x14ac:dyDescent="0.25">
      <c r="G439" t="s">
        <v>5</v>
      </c>
      <c r="H439" s="1">
        <v>39387</v>
      </c>
      <c r="I439">
        <v>6.2372500000000004</v>
      </c>
    </row>
    <row r="440" spans="7:9" x14ac:dyDescent="0.25">
      <c r="G440" t="s">
        <v>5</v>
      </c>
      <c r="H440" s="1">
        <v>39417</v>
      </c>
      <c r="I440">
        <v>6.1372499999999999</v>
      </c>
    </row>
    <row r="441" spans="7:9" x14ac:dyDescent="0.25">
      <c r="G441" t="s">
        <v>5</v>
      </c>
      <c r="H441" s="1">
        <v>39448</v>
      </c>
      <c r="I441">
        <v>6.0075000000000003</v>
      </c>
    </row>
    <row r="442" spans="7:9" x14ac:dyDescent="0.25">
      <c r="G442" t="s">
        <v>5</v>
      </c>
      <c r="H442" s="1">
        <v>39479</v>
      </c>
      <c r="I442">
        <v>5.78775</v>
      </c>
    </row>
    <row r="443" spans="7:9" x14ac:dyDescent="0.25">
      <c r="G443" t="s">
        <v>5</v>
      </c>
      <c r="H443" s="1">
        <v>39508</v>
      </c>
      <c r="I443">
        <v>5.7021249999999997</v>
      </c>
    </row>
    <row r="444" spans="7:9" x14ac:dyDescent="0.25">
      <c r="G444" t="s">
        <v>5</v>
      </c>
      <c r="H444" s="1">
        <v>39539</v>
      </c>
      <c r="I444">
        <v>5.8125</v>
      </c>
    </row>
    <row r="445" spans="7:9" x14ac:dyDescent="0.25">
      <c r="G445" t="s">
        <v>5</v>
      </c>
      <c r="H445" s="1">
        <v>39569</v>
      </c>
      <c r="I445">
        <v>5.8198749999999997</v>
      </c>
    </row>
    <row r="446" spans="7:9" x14ac:dyDescent="0.25">
      <c r="G446" t="s">
        <v>5</v>
      </c>
      <c r="H446" s="1">
        <v>39600</v>
      </c>
      <c r="I446">
        <v>5.8529999999999998</v>
      </c>
    </row>
    <row r="447" spans="7:9" x14ac:dyDescent="0.25">
      <c r="G447" t="s">
        <v>5</v>
      </c>
      <c r="H447" s="1">
        <v>39630</v>
      </c>
      <c r="I447">
        <v>6.0687499999999996</v>
      </c>
    </row>
    <row r="448" spans="7:9" x14ac:dyDescent="0.25">
      <c r="G448" t="s">
        <v>5</v>
      </c>
      <c r="H448" s="1">
        <v>39661</v>
      </c>
      <c r="I448">
        <v>6.2817499999999997</v>
      </c>
    </row>
    <row r="449" spans="7:9" x14ac:dyDescent="0.25">
      <c r="G449" t="s">
        <v>5</v>
      </c>
      <c r="H449" s="1">
        <v>39692</v>
      </c>
      <c r="I449">
        <v>6.3636249999999999</v>
      </c>
    </row>
    <row r="450" spans="7:9" x14ac:dyDescent="0.25">
      <c r="G450" t="s">
        <v>5</v>
      </c>
      <c r="H450" s="1">
        <v>39722</v>
      </c>
      <c r="I450">
        <v>6.1762499999999996</v>
      </c>
    </row>
    <row r="451" spans="7:9" x14ac:dyDescent="0.25">
      <c r="G451" t="s">
        <v>5</v>
      </c>
      <c r="H451" s="1">
        <v>39753</v>
      </c>
      <c r="I451">
        <v>6.0306249999999997</v>
      </c>
    </row>
    <row r="452" spans="7:9" x14ac:dyDescent="0.25">
      <c r="G452" t="s">
        <v>5</v>
      </c>
      <c r="H452" s="1">
        <v>39783</v>
      </c>
      <c r="I452">
        <v>6.0587499999999999</v>
      </c>
    </row>
    <row r="453" spans="7:9" x14ac:dyDescent="0.25">
      <c r="G453" t="s">
        <v>5</v>
      </c>
      <c r="H453" s="1">
        <v>39814</v>
      </c>
      <c r="I453">
        <v>5.6142500000000002</v>
      </c>
    </row>
    <row r="454" spans="7:9" x14ac:dyDescent="0.25">
      <c r="G454" t="s">
        <v>5</v>
      </c>
      <c r="H454" s="1">
        <v>39845</v>
      </c>
      <c r="I454">
        <v>5.0911249999999999</v>
      </c>
    </row>
    <row r="455" spans="7:9" x14ac:dyDescent="0.25">
      <c r="G455" t="s">
        <v>5</v>
      </c>
      <c r="H455" s="1">
        <v>39873</v>
      </c>
      <c r="I455">
        <v>5.0137499999999999</v>
      </c>
    </row>
    <row r="456" spans="7:9" x14ac:dyDescent="0.25">
      <c r="G456" t="s">
        <v>5</v>
      </c>
      <c r="H456" s="1">
        <v>39904</v>
      </c>
      <c r="I456">
        <v>4.9943749999999998</v>
      </c>
    </row>
    <row r="457" spans="7:9" x14ac:dyDescent="0.25">
      <c r="G457" t="s">
        <v>5</v>
      </c>
      <c r="H457" s="1">
        <v>39934</v>
      </c>
      <c r="I457">
        <v>4.8287500000000003</v>
      </c>
    </row>
    <row r="458" spans="7:9" x14ac:dyDescent="0.25">
      <c r="G458" t="s">
        <v>5</v>
      </c>
      <c r="H458" s="1">
        <v>39965</v>
      </c>
      <c r="I458">
        <v>4.7531249999999998</v>
      </c>
    </row>
    <row r="459" spans="7:9" x14ac:dyDescent="0.25">
      <c r="G459" t="s">
        <v>5</v>
      </c>
      <c r="H459" s="1">
        <v>39995</v>
      </c>
      <c r="I459">
        <v>5.0606249999999999</v>
      </c>
    </row>
    <row r="460" spans="7:9" x14ac:dyDescent="0.25">
      <c r="G460" t="s">
        <v>5</v>
      </c>
      <c r="H460" s="1">
        <v>40026</v>
      </c>
      <c r="I460">
        <v>5.2460000000000004</v>
      </c>
    </row>
    <row r="461" spans="7:9" x14ac:dyDescent="0.25">
      <c r="G461" t="s">
        <v>5</v>
      </c>
      <c r="H461" s="1">
        <v>40057</v>
      </c>
      <c r="I461">
        <v>5.1291250000000002</v>
      </c>
    </row>
    <row r="462" spans="7:9" x14ac:dyDescent="0.25">
      <c r="G462" t="s">
        <v>5</v>
      </c>
      <c r="H462" s="1">
        <v>40087</v>
      </c>
      <c r="I462">
        <v>5.0326250000000003</v>
      </c>
    </row>
    <row r="463" spans="7:9" x14ac:dyDescent="0.25">
      <c r="G463" t="s">
        <v>5</v>
      </c>
      <c r="H463" s="1">
        <v>40118</v>
      </c>
      <c r="I463">
        <v>4.9169999999999998</v>
      </c>
    </row>
    <row r="464" spans="7:9" x14ac:dyDescent="0.25">
      <c r="G464" t="s">
        <v>5</v>
      </c>
      <c r="H464" s="1">
        <v>40148</v>
      </c>
      <c r="I464">
        <v>4.84</v>
      </c>
    </row>
    <row r="465" spans="7:9" x14ac:dyDescent="0.25">
      <c r="G465" t="s">
        <v>5</v>
      </c>
      <c r="H465" s="1">
        <v>40179</v>
      </c>
      <c r="I465">
        <v>4.8274999999999997</v>
      </c>
    </row>
    <row r="466" spans="7:9" x14ac:dyDescent="0.25">
      <c r="G466" t="s">
        <v>5</v>
      </c>
      <c r="H466" s="1">
        <v>40210</v>
      </c>
      <c r="I466">
        <v>4.9018750000000004</v>
      </c>
    </row>
    <row r="467" spans="7:9" x14ac:dyDescent="0.25">
      <c r="G467" t="s">
        <v>5</v>
      </c>
      <c r="H467" s="1">
        <v>40238</v>
      </c>
      <c r="I467">
        <v>4.9318749999999998</v>
      </c>
    </row>
    <row r="468" spans="7:9" x14ac:dyDescent="0.25">
      <c r="G468" t="s">
        <v>5</v>
      </c>
      <c r="H468" s="1">
        <v>40269</v>
      </c>
      <c r="I468">
        <v>4.9124999999999996</v>
      </c>
    </row>
    <row r="469" spans="7:9" x14ac:dyDescent="0.25">
      <c r="G469" t="s">
        <v>5</v>
      </c>
      <c r="H469" s="1">
        <v>40299</v>
      </c>
      <c r="I469">
        <v>4.9625000000000004</v>
      </c>
    </row>
    <row r="470" spans="7:9" x14ac:dyDescent="0.25">
      <c r="G470" t="s">
        <v>5</v>
      </c>
      <c r="H470" s="1">
        <v>40330</v>
      </c>
      <c r="I470">
        <v>4.9137500000000003</v>
      </c>
    </row>
    <row r="471" spans="7:9" x14ac:dyDescent="0.25">
      <c r="G471" t="s">
        <v>5</v>
      </c>
      <c r="H471" s="1">
        <v>40360</v>
      </c>
      <c r="I471">
        <v>4.7242499999999996</v>
      </c>
    </row>
    <row r="472" spans="7:9" x14ac:dyDescent="0.25">
      <c r="G472" t="s">
        <v>5</v>
      </c>
      <c r="H472" s="1">
        <v>40391</v>
      </c>
      <c r="I472">
        <v>4.5605000000000002</v>
      </c>
    </row>
    <row r="473" spans="7:9" x14ac:dyDescent="0.25">
      <c r="G473" t="s">
        <v>5</v>
      </c>
      <c r="H473" s="1">
        <v>40422</v>
      </c>
      <c r="I473">
        <v>4.4187500000000002</v>
      </c>
    </row>
    <row r="474" spans="7:9" x14ac:dyDescent="0.25">
      <c r="G474" t="s">
        <v>5</v>
      </c>
      <c r="H474" s="1">
        <v>40452</v>
      </c>
      <c r="I474">
        <v>4.3142500000000004</v>
      </c>
    </row>
    <row r="475" spans="7:9" x14ac:dyDescent="0.25">
      <c r="G475" t="s">
        <v>5</v>
      </c>
      <c r="H475" s="1">
        <v>40483</v>
      </c>
      <c r="I475">
        <v>4.2255000000000003</v>
      </c>
    </row>
    <row r="476" spans="7:9" x14ac:dyDescent="0.25">
      <c r="G476" t="s">
        <v>5</v>
      </c>
      <c r="H476" s="1">
        <v>40513</v>
      </c>
      <c r="I476">
        <v>4.2156249999999904</v>
      </c>
    </row>
    <row r="477" spans="7:9" x14ac:dyDescent="0.25">
      <c r="G477" t="s">
        <v>5</v>
      </c>
      <c r="H477" s="1">
        <v>40544</v>
      </c>
      <c r="I477">
        <v>4.4526249999999896</v>
      </c>
    </row>
    <row r="478" spans="7:9" x14ac:dyDescent="0.25">
      <c r="G478" t="s">
        <v>5</v>
      </c>
      <c r="H478" s="1">
        <v>40575</v>
      </c>
      <c r="I478">
        <v>4.6738749999999998</v>
      </c>
    </row>
    <row r="479" spans="7:9" x14ac:dyDescent="0.25">
      <c r="G479" t="s">
        <v>5</v>
      </c>
      <c r="H479" s="1">
        <v>40603</v>
      </c>
      <c r="I479">
        <v>4.788125</v>
      </c>
    </row>
    <row r="480" spans="7:9" x14ac:dyDescent="0.25">
      <c r="G480" t="s">
        <v>5</v>
      </c>
      <c r="H480" s="1">
        <v>40634</v>
      </c>
      <c r="I480">
        <v>4.8192500000000003</v>
      </c>
    </row>
    <row r="481" spans="7:9" x14ac:dyDescent="0.25">
      <c r="G481" t="s">
        <v>5</v>
      </c>
      <c r="H481" s="1">
        <v>40664</v>
      </c>
      <c r="I481">
        <v>4.7598750000000001</v>
      </c>
    </row>
    <row r="482" spans="7:9" x14ac:dyDescent="0.25">
      <c r="G482" t="s">
        <v>5</v>
      </c>
      <c r="H482" s="1">
        <v>40695</v>
      </c>
      <c r="I482">
        <v>4.6606249999999996</v>
      </c>
    </row>
    <row r="483" spans="7:9" x14ac:dyDescent="0.25">
      <c r="G483" t="s">
        <v>5</v>
      </c>
      <c r="H483" s="1">
        <v>40725</v>
      </c>
      <c r="I483">
        <v>4.4987499999999896</v>
      </c>
    </row>
    <row r="484" spans="7:9" x14ac:dyDescent="0.25">
      <c r="G484" t="s">
        <v>5</v>
      </c>
      <c r="H484" s="1">
        <v>40756</v>
      </c>
      <c r="I484">
        <v>4.4556250000000004</v>
      </c>
    </row>
    <row r="485" spans="7:9" x14ac:dyDescent="0.25">
      <c r="G485" t="s">
        <v>5</v>
      </c>
      <c r="H485" s="1">
        <v>40787</v>
      </c>
      <c r="I485">
        <v>4.3331249999999999</v>
      </c>
    </row>
    <row r="486" spans="7:9" x14ac:dyDescent="0.25">
      <c r="G486" t="s">
        <v>5</v>
      </c>
      <c r="H486" s="1">
        <v>40817</v>
      </c>
      <c r="I486">
        <v>4.0962500000000004</v>
      </c>
    </row>
    <row r="487" spans="7:9" x14ac:dyDescent="0.25">
      <c r="G487" t="s">
        <v>5</v>
      </c>
      <c r="H487" s="1">
        <v>40848</v>
      </c>
      <c r="I487">
        <v>4.01</v>
      </c>
    </row>
    <row r="488" spans="7:9" x14ac:dyDescent="0.25">
      <c r="G488" t="s">
        <v>5</v>
      </c>
      <c r="H488" s="1">
        <v>40878</v>
      </c>
      <c r="I488">
        <v>3.9682499999999998</v>
      </c>
    </row>
    <row r="489" spans="7:9" x14ac:dyDescent="0.25">
      <c r="G489" t="s">
        <v>5</v>
      </c>
      <c r="H489" s="1">
        <v>40909</v>
      </c>
      <c r="I489">
        <v>3.8988749999999999</v>
      </c>
    </row>
    <row r="490" spans="7:9" x14ac:dyDescent="0.25">
      <c r="G490" t="s">
        <v>5</v>
      </c>
      <c r="H490" s="1">
        <v>40940</v>
      </c>
      <c r="I490">
        <v>3.8656250000000001</v>
      </c>
    </row>
    <row r="491" spans="7:9" x14ac:dyDescent="0.25">
      <c r="G491" t="s">
        <v>5</v>
      </c>
      <c r="H491" s="1">
        <v>40969</v>
      </c>
      <c r="I491">
        <v>3.8472499999999998</v>
      </c>
    </row>
    <row r="492" spans="7:9" x14ac:dyDescent="0.25">
      <c r="G492" t="s">
        <v>5</v>
      </c>
      <c r="H492" s="1">
        <v>41000</v>
      </c>
      <c r="I492">
        <v>3.8766250000000002</v>
      </c>
    </row>
    <row r="493" spans="7:9" x14ac:dyDescent="0.25">
      <c r="G493" t="s">
        <v>5</v>
      </c>
      <c r="H493" s="1">
        <v>41030</v>
      </c>
      <c r="I493">
        <v>3.8762500000000002</v>
      </c>
    </row>
    <row r="494" spans="7:9" x14ac:dyDescent="0.25">
      <c r="G494" t="s">
        <v>5</v>
      </c>
      <c r="H494" s="1">
        <v>41061</v>
      </c>
      <c r="I494">
        <v>3.789625</v>
      </c>
    </row>
    <row r="495" spans="7:9" x14ac:dyDescent="0.25">
      <c r="G495" t="s">
        <v>5</v>
      </c>
      <c r="H495" s="1">
        <v>41091</v>
      </c>
      <c r="I495">
        <v>3.669</v>
      </c>
    </row>
    <row r="496" spans="7:9" x14ac:dyDescent="0.25">
      <c r="G496" t="s">
        <v>5</v>
      </c>
      <c r="H496" s="1">
        <v>41122</v>
      </c>
      <c r="I496">
        <v>3.5406249999999999</v>
      </c>
    </row>
    <row r="497" spans="7:9" x14ac:dyDescent="0.25">
      <c r="G497" t="s">
        <v>5</v>
      </c>
      <c r="H497" s="1">
        <v>41153</v>
      </c>
      <c r="I497">
        <v>3.4966249999999999</v>
      </c>
    </row>
    <row r="498" spans="7:9" x14ac:dyDescent="0.25">
      <c r="G498" t="s">
        <v>5</v>
      </c>
      <c r="H498" s="1">
        <v>41183</v>
      </c>
      <c r="I498">
        <v>3.457875</v>
      </c>
    </row>
    <row r="499" spans="7:9" x14ac:dyDescent="0.25">
      <c r="G499" t="s">
        <v>5</v>
      </c>
      <c r="H499" s="1">
        <v>41214</v>
      </c>
      <c r="I499">
        <v>3.3538749999999999</v>
      </c>
    </row>
    <row r="500" spans="7:9" x14ac:dyDescent="0.25">
      <c r="G500" t="s">
        <v>5</v>
      </c>
      <c r="H500" s="1">
        <v>41244</v>
      </c>
      <c r="I500">
        <v>3.288875</v>
      </c>
    </row>
    <row r="501" spans="7:9" x14ac:dyDescent="0.25">
      <c r="G501" t="s">
        <v>5</v>
      </c>
      <c r="H501" s="1">
        <v>41275</v>
      </c>
      <c r="I501">
        <v>3.2718750000000001</v>
      </c>
    </row>
    <row r="502" spans="7:9" x14ac:dyDescent="0.25">
      <c r="G502" t="s">
        <v>5</v>
      </c>
      <c r="H502" s="1">
        <v>41306</v>
      </c>
      <c r="I502">
        <v>3.3045</v>
      </c>
    </row>
    <row r="503" spans="7:9" x14ac:dyDescent="0.25">
      <c r="G503" t="s">
        <v>5</v>
      </c>
      <c r="H503" s="1">
        <v>41334</v>
      </c>
      <c r="I503">
        <v>3.4107500000000002</v>
      </c>
    </row>
    <row r="504" spans="7:9" x14ac:dyDescent="0.25">
      <c r="G504" t="s">
        <v>5</v>
      </c>
      <c r="H504" s="1">
        <v>41365</v>
      </c>
      <c r="I504">
        <v>3.495625</v>
      </c>
    </row>
    <row r="505" spans="7:9" x14ac:dyDescent="0.25">
      <c r="G505" t="s">
        <v>5</v>
      </c>
      <c r="H505" s="1">
        <v>41395</v>
      </c>
      <c r="I505">
        <v>3.44875</v>
      </c>
    </row>
    <row r="506" spans="7:9" x14ac:dyDescent="0.25">
      <c r="G506" t="s">
        <v>5</v>
      </c>
      <c r="H506" s="1">
        <v>41426</v>
      </c>
      <c r="I506">
        <v>3.4273750000000001</v>
      </c>
    </row>
    <row r="507" spans="7:9" x14ac:dyDescent="0.25">
      <c r="G507" t="s">
        <v>5</v>
      </c>
      <c r="H507" s="1">
        <v>41456</v>
      </c>
      <c r="I507">
        <v>3.7367499999999998</v>
      </c>
    </row>
    <row r="508" spans="7:9" x14ac:dyDescent="0.25">
      <c r="G508" t="s">
        <v>5</v>
      </c>
      <c r="H508" s="1">
        <v>41487</v>
      </c>
      <c r="I508">
        <v>4.1582499999999998</v>
      </c>
    </row>
    <row r="509" spans="7:9" x14ac:dyDescent="0.25">
      <c r="G509" t="s">
        <v>5</v>
      </c>
      <c r="H509" s="1">
        <v>41518</v>
      </c>
      <c r="I509">
        <v>4.3563749999999999</v>
      </c>
    </row>
    <row r="510" spans="7:9" x14ac:dyDescent="0.25">
      <c r="G510" t="s">
        <v>5</v>
      </c>
      <c r="H510" s="1">
        <v>41548</v>
      </c>
      <c r="I510">
        <v>4.4124999999999996</v>
      </c>
    </row>
    <row r="511" spans="7:9" x14ac:dyDescent="0.25">
      <c r="G511" t="s">
        <v>5</v>
      </c>
      <c r="H511" s="1">
        <v>41579</v>
      </c>
      <c r="I511">
        <v>4.2716250000000002</v>
      </c>
    </row>
    <row r="512" spans="7:9" x14ac:dyDescent="0.25">
      <c r="G512" t="s">
        <v>5</v>
      </c>
      <c r="H512" s="1">
        <v>41609</v>
      </c>
      <c r="I512">
        <v>4.1541249999999996</v>
      </c>
    </row>
    <row r="513" spans="7:9" x14ac:dyDescent="0.25">
      <c r="G513" t="s">
        <v>5</v>
      </c>
      <c r="H513" s="1">
        <v>41640</v>
      </c>
      <c r="I513">
        <v>4.2781250000000002</v>
      </c>
    </row>
    <row r="514" spans="7:9" x14ac:dyDescent="0.25">
      <c r="G514" t="s">
        <v>5</v>
      </c>
      <c r="H514" s="1">
        <v>41671</v>
      </c>
      <c r="I514">
        <v>4.3659999999999997</v>
      </c>
    </row>
    <row r="515" spans="7:9" x14ac:dyDescent="0.25">
      <c r="G515" t="s">
        <v>5</v>
      </c>
      <c r="H515" s="1">
        <v>41699</v>
      </c>
      <c r="I515">
        <v>4.2947499999999996</v>
      </c>
    </row>
    <row r="516" spans="7:9" x14ac:dyDescent="0.25">
      <c r="G516" t="s">
        <v>5</v>
      </c>
      <c r="H516" s="1">
        <v>41730</v>
      </c>
      <c r="I516">
        <v>4.2381250000000001</v>
      </c>
    </row>
    <row r="517" spans="7:9" x14ac:dyDescent="0.25">
      <c r="G517" t="s">
        <v>5</v>
      </c>
      <c r="H517" s="1">
        <v>41760</v>
      </c>
      <c r="I517">
        <v>4.2483750000000002</v>
      </c>
    </row>
    <row r="518" spans="7:9" x14ac:dyDescent="0.25">
      <c r="G518" t="s">
        <v>5</v>
      </c>
      <c r="H518" s="1">
        <v>41791</v>
      </c>
      <c r="I518">
        <v>4.1577500000000001</v>
      </c>
    </row>
    <row r="519" spans="7:9" x14ac:dyDescent="0.25">
      <c r="G519" t="s">
        <v>5</v>
      </c>
      <c r="H519" s="1">
        <v>41821</v>
      </c>
      <c r="I519">
        <v>4.0587499999999999</v>
      </c>
    </row>
    <row r="520" spans="7:9" x14ac:dyDescent="0.25">
      <c r="G520" t="s">
        <v>5</v>
      </c>
      <c r="H520" s="1">
        <v>41852</v>
      </c>
      <c r="I520">
        <v>4.04</v>
      </c>
    </row>
    <row r="521" spans="7:9" x14ac:dyDescent="0.25">
      <c r="G521" t="s">
        <v>5</v>
      </c>
      <c r="H521" s="1">
        <v>41883</v>
      </c>
      <c r="I521">
        <v>4.0193750000000001</v>
      </c>
    </row>
    <row r="522" spans="7:9" x14ac:dyDescent="0.25">
      <c r="G522" t="s">
        <v>5</v>
      </c>
      <c r="H522" s="1">
        <v>41913</v>
      </c>
      <c r="I522">
        <v>4.0231250000000003</v>
      </c>
    </row>
    <row r="523" spans="7:9" x14ac:dyDescent="0.25">
      <c r="G523" t="s">
        <v>5</v>
      </c>
      <c r="H523" s="1">
        <v>41944</v>
      </c>
      <c r="I523">
        <v>3.9717500000000001</v>
      </c>
    </row>
    <row r="524" spans="7:9" x14ac:dyDescent="0.25">
      <c r="G524" t="s">
        <v>5</v>
      </c>
      <c r="H524" s="1">
        <v>41974</v>
      </c>
      <c r="I524">
        <v>3.8892500000000001</v>
      </c>
    </row>
    <row r="525" spans="7:9" x14ac:dyDescent="0.25">
      <c r="G525" t="s">
        <v>5</v>
      </c>
      <c r="H525" s="1">
        <v>42005</v>
      </c>
      <c r="I525">
        <v>3.81325</v>
      </c>
    </row>
    <row r="526" spans="7:9" x14ac:dyDescent="0.25">
      <c r="G526" t="s">
        <v>5</v>
      </c>
      <c r="H526" s="1">
        <v>42036</v>
      </c>
      <c r="I526">
        <v>3.6651250000000002</v>
      </c>
    </row>
    <row r="527" spans="7:9" x14ac:dyDescent="0.25">
      <c r="G527" t="s">
        <v>5</v>
      </c>
      <c r="H527" s="1">
        <v>42064</v>
      </c>
      <c r="I527">
        <v>3.5962499999999999</v>
      </c>
    </row>
    <row r="528" spans="7:9" x14ac:dyDescent="0.25">
      <c r="G528" t="s">
        <v>5</v>
      </c>
      <c r="H528" s="1">
        <v>42095</v>
      </c>
      <c r="I528">
        <v>3.6431249999999999</v>
      </c>
    </row>
    <row r="529" spans="7:9" x14ac:dyDescent="0.25">
      <c r="G529" t="s">
        <v>5</v>
      </c>
      <c r="H529" s="1">
        <v>42125</v>
      </c>
      <c r="I529">
        <v>3.6234999999999999</v>
      </c>
    </row>
    <row r="530" spans="7:9" x14ac:dyDescent="0.25">
      <c r="G530" t="s">
        <v>5</v>
      </c>
      <c r="H530" s="1">
        <v>42156</v>
      </c>
      <c r="I530">
        <v>3.6616249999999999</v>
      </c>
    </row>
    <row r="531" spans="7:9" x14ac:dyDescent="0.25">
      <c r="G531" t="s">
        <v>5</v>
      </c>
      <c r="H531" s="1">
        <v>42186</v>
      </c>
      <c r="I531">
        <v>3.8206250000000002</v>
      </c>
    </row>
    <row r="532" spans="7:9" x14ac:dyDescent="0.25">
      <c r="G532" t="s">
        <v>5</v>
      </c>
      <c r="H532" s="1">
        <v>42217</v>
      </c>
      <c r="I532">
        <v>3.9205000000000001</v>
      </c>
    </row>
    <row r="533" spans="7:9" x14ac:dyDescent="0.25">
      <c r="G533" t="s">
        <v>5</v>
      </c>
      <c r="H533" s="1">
        <v>42248</v>
      </c>
      <c r="I533">
        <v>3.8755000000000002</v>
      </c>
    </row>
    <row r="534" spans="7:9" x14ac:dyDescent="0.25">
      <c r="G534" t="s">
        <v>5</v>
      </c>
      <c r="H534" s="1">
        <v>42278</v>
      </c>
      <c r="I534">
        <v>3.7959999999999998</v>
      </c>
    </row>
    <row r="535" spans="7:9" x14ac:dyDescent="0.25">
      <c r="G535" t="s">
        <v>5</v>
      </c>
      <c r="H535" s="1">
        <v>42309</v>
      </c>
      <c r="I535">
        <v>3.73475</v>
      </c>
    </row>
    <row r="536" spans="7:9" x14ac:dyDescent="0.25">
      <c r="G536" t="s">
        <v>5</v>
      </c>
      <c r="H536" s="1">
        <v>42339</v>
      </c>
      <c r="I536">
        <v>3.765625</v>
      </c>
    </row>
    <row r="537" spans="7:9" x14ac:dyDescent="0.25">
      <c r="G537" t="s">
        <v>5</v>
      </c>
      <c r="H537" s="1">
        <v>42370</v>
      </c>
      <c r="I537">
        <v>3.8563749999999999</v>
      </c>
    </row>
    <row r="538" spans="7:9" x14ac:dyDescent="0.25">
      <c r="G538" t="s">
        <v>5</v>
      </c>
      <c r="H538" s="1">
        <v>42401</v>
      </c>
      <c r="I538">
        <v>3.8182499999999999</v>
      </c>
    </row>
    <row r="539" spans="7:9" x14ac:dyDescent="0.25">
      <c r="G539" t="s">
        <v>5</v>
      </c>
      <c r="H539" s="1">
        <v>42430</v>
      </c>
      <c r="I539">
        <v>3.66</v>
      </c>
    </row>
    <row r="540" spans="7:9" x14ac:dyDescent="0.25">
      <c r="G540" t="s">
        <v>5</v>
      </c>
      <c r="H540" s="1">
        <v>42461</v>
      </c>
      <c r="I540">
        <v>3.5582500000000001</v>
      </c>
    </row>
    <row r="541" spans="7:9" x14ac:dyDescent="0.25">
      <c r="G541" t="s">
        <v>5</v>
      </c>
      <c r="H541" s="1">
        <v>42491</v>
      </c>
      <c r="I541">
        <v>3.5307499999999998</v>
      </c>
    </row>
    <row r="542" spans="7:9" x14ac:dyDescent="0.25">
      <c r="G542" t="s">
        <v>5</v>
      </c>
      <c r="H542" s="1">
        <v>42522</v>
      </c>
      <c r="I542">
        <v>3.49</v>
      </c>
    </row>
    <row r="543" spans="7:9" x14ac:dyDescent="0.25">
      <c r="G543" t="s">
        <v>5</v>
      </c>
      <c r="H543" s="1">
        <v>42552</v>
      </c>
      <c r="I543">
        <v>3.4677500000000001</v>
      </c>
    </row>
    <row r="544" spans="7:9" x14ac:dyDescent="0.25">
      <c r="G544" t="s">
        <v>5</v>
      </c>
      <c r="H544" s="1">
        <v>42583</v>
      </c>
      <c r="I544">
        <v>3.3815</v>
      </c>
    </row>
    <row r="545" spans="7:9" x14ac:dyDescent="0.25">
      <c r="G545" t="s">
        <v>5</v>
      </c>
      <c r="H545" s="1">
        <v>42614</v>
      </c>
      <c r="I545">
        <v>3.3174999999999999</v>
      </c>
    </row>
    <row r="546" spans="7:9" x14ac:dyDescent="0.25">
      <c r="G546" t="s">
        <v>5</v>
      </c>
      <c r="H546" s="1">
        <v>42644</v>
      </c>
      <c r="I546">
        <v>3.3337500000000002</v>
      </c>
    </row>
    <row r="547" spans="7:9" x14ac:dyDescent="0.25">
      <c r="G547" t="s">
        <v>5</v>
      </c>
      <c r="H547" s="1">
        <v>42675</v>
      </c>
      <c r="I547">
        <v>3.3525</v>
      </c>
    </row>
    <row r="548" spans="7:9" x14ac:dyDescent="0.25">
      <c r="G548" t="s">
        <v>5</v>
      </c>
      <c r="H548" s="1">
        <v>42705</v>
      </c>
      <c r="I548">
        <v>3.5322499999999999</v>
      </c>
    </row>
    <row r="549" spans="7:9" x14ac:dyDescent="0.25">
      <c r="G549" t="s">
        <v>5</v>
      </c>
      <c r="H549" s="1">
        <v>42736</v>
      </c>
      <c r="I549">
        <v>3.9047499999999999</v>
      </c>
    </row>
    <row r="550" spans="7:9" x14ac:dyDescent="0.25">
      <c r="G550" t="s">
        <v>5</v>
      </c>
      <c r="H550" s="1">
        <v>42767</v>
      </c>
      <c r="I550">
        <v>4.0606249999999999</v>
      </c>
    </row>
    <row r="551" spans="7:9" x14ac:dyDescent="0.25">
      <c r="G551" t="s">
        <v>5</v>
      </c>
      <c r="H551" s="1">
        <v>42795</v>
      </c>
      <c r="I551">
        <v>4.0274999999999999</v>
      </c>
    </row>
    <row r="552" spans="7:9" x14ac:dyDescent="0.25">
      <c r="G552" t="s">
        <v>5</v>
      </c>
      <c r="H552" s="1">
        <v>42826</v>
      </c>
      <c r="I552">
        <v>4.0536250000000003</v>
      </c>
    </row>
    <row r="553" spans="7:9" x14ac:dyDescent="0.25">
      <c r="G553" t="s">
        <v>5</v>
      </c>
      <c r="H553" s="1">
        <v>42856</v>
      </c>
      <c r="I553">
        <v>3.9954999999999998</v>
      </c>
    </row>
    <row r="554" spans="7:9" x14ac:dyDescent="0.25">
      <c r="G554" t="s">
        <v>5</v>
      </c>
      <c r="H554" s="1">
        <v>42887</v>
      </c>
      <c r="I554">
        <v>3.8955000000000002</v>
      </c>
    </row>
    <row r="555" spans="7:9" x14ac:dyDescent="0.25">
      <c r="G555" t="s">
        <v>5</v>
      </c>
      <c r="H555" s="1">
        <v>42917</v>
      </c>
      <c r="I555">
        <v>3.8205</v>
      </c>
    </row>
    <row r="556" spans="7:9" x14ac:dyDescent="0.25">
      <c r="G556" t="s">
        <v>5</v>
      </c>
      <c r="H556" s="1">
        <v>42948</v>
      </c>
      <c r="I556">
        <v>3.8125</v>
      </c>
    </row>
    <row r="557" spans="7:9" x14ac:dyDescent="0.25">
      <c r="G557" t="s">
        <v>5</v>
      </c>
      <c r="H557" s="1">
        <v>42979</v>
      </c>
      <c r="I557">
        <v>3.8025000000000002</v>
      </c>
    </row>
    <row r="558" spans="7:9" x14ac:dyDescent="0.25">
      <c r="G558" t="s">
        <v>5</v>
      </c>
      <c r="H558" s="1">
        <v>43009</v>
      </c>
      <c r="I558">
        <v>3.7181250000000001</v>
      </c>
    </row>
    <row r="559" spans="7:9" x14ac:dyDescent="0.25">
      <c r="G559" t="s">
        <v>5</v>
      </c>
      <c r="H559" s="1">
        <v>43040</v>
      </c>
      <c r="I559">
        <v>3.7281249999999999</v>
      </c>
    </row>
    <row r="560" spans="7:9" x14ac:dyDescent="0.25">
      <c r="G560" t="s">
        <v>5</v>
      </c>
      <c r="H560" s="1">
        <v>43070</v>
      </c>
      <c r="I560">
        <v>3.7810000000000001</v>
      </c>
    </row>
    <row r="561" spans="7:9" x14ac:dyDescent="0.25">
      <c r="G561" t="s">
        <v>5</v>
      </c>
      <c r="H561" s="1">
        <v>43101</v>
      </c>
      <c r="I561">
        <v>3.8085</v>
      </c>
    </row>
    <row r="562" spans="7:9" x14ac:dyDescent="0.25">
      <c r="G562" t="s">
        <v>5</v>
      </c>
      <c r="H562" s="1">
        <v>43132</v>
      </c>
      <c r="I562">
        <v>3.8875000000000002</v>
      </c>
    </row>
    <row r="563" spans="7:9" x14ac:dyDescent="0.25">
      <c r="G563" t="s">
        <v>5</v>
      </c>
      <c r="H563" s="1">
        <v>43160</v>
      </c>
      <c r="I563">
        <v>4.1099999999999897</v>
      </c>
    </row>
    <row r="564" spans="7:9" x14ac:dyDescent="0.25">
      <c r="G564" t="s">
        <v>5</v>
      </c>
      <c r="H564" s="1">
        <v>43191</v>
      </c>
      <c r="I564">
        <v>4.2962499999999997</v>
      </c>
    </row>
    <row r="565" spans="7:9" x14ac:dyDescent="0.25">
      <c r="G565" t="s">
        <v>5</v>
      </c>
      <c r="H565" s="1">
        <v>43221</v>
      </c>
      <c r="I565">
        <v>4.3293749999999998</v>
      </c>
    </row>
    <row r="566" spans="7:9" x14ac:dyDescent="0.25">
      <c r="G566" t="s">
        <v>5</v>
      </c>
      <c r="H566" s="1">
        <v>43252</v>
      </c>
      <c r="I566">
        <v>4.3911249999999997</v>
      </c>
    </row>
    <row r="567" spans="7:9" x14ac:dyDescent="0.25">
      <c r="G567" t="s">
        <v>5</v>
      </c>
      <c r="H567" s="1">
        <v>43282</v>
      </c>
      <c r="I567">
        <v>4.4423750000000002</v>
      </c>
    </row>
    <row r="568" spans="7:9" x14ac:dyDescent="0.25">
      <c r="G568" t="s">
        <v>5</v>
      </c>
      <c r="H568" s="1">
        <v>43313</v>
      </c>
      <c r="I568">
        <v>4.4143749999999997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2018-08-20T14:45:49Z</dcterms:created>
  <dcterms:modified xsi:type="dcterms:W3CDTF">2018-08-20T18:08:02Z</dcterms:modified>
</cp:coreProperties>
</file>