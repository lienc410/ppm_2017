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0675" windowHeight="18705" activeTab="1"/>
  </bookViews>
  <sheets>
    <sheet name="S-Curve" sheetId="1" r:id="rId1"/>
    <sheet name="Seasoning Ramp" sheetId="2" r:id="rId2"/>
  </sheets>
  <calcPr calcId="145621"/>
</workbook>
</file>

<file path=xl/calcChain.xml><?xml version="1.0" encoding="utf-8"?>
<calcChain xmlns="http://schemas.openxmlformats.org/spreadsheetml/2006/main">
  <c r="L276" i="2" l="1"/>
  <c r="N276" i="2" s="1"/>
  <c r="L407" i="2"/>
  <c r="N407" i="2" s="1"/>
  <c r="L620" i="2"/>
  <c r="N620" i="2" s="1"/>
  <c r="K76" i="2"/>
  <c r="M76" i="2" s="1"/>
  <c r="K396" i="2"/>
  <c r="M396" i="2" s="1"/>
  <c r="K553" i="2"/>
  <c r="M553" i="2" s="1"/>
  <c r="K692" i="2"/>
  <c r="M692" i="2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L67" i="2" s="1"/>
  <c r="N67" i="2" s="1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L98" i="2" s="1"/>
  <c r="N98" i="2" s="1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L130" i="2" s="1"/>
  <c r="N130" i="2" s="1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K159" i="2" s="1"/>
  <c r="M159" i="2" s="1"/>
  <c r="J160" i="2"/>
  <c r="K160" i="2" s="1"/>
  <c r="M160" i="2" s="1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L178" i="2" s="1"/>
  <c r="N178" i="2" s="1"/>
  <c r="J179" i="2"/>
  <c r="J180" i="2"/>
  <c r="J181" i="2"/>
  <c r="J182" i="2"/>
  <c r="J183" i="2"/>
  <c r="J184" i="2"/>
  <c r="J185" i="2"/>
  <c r="J186" i="2"/>
  <c r="L186" i="2" s="1"/>
  <c r="N186" i="2" s="1"/>
  <c r="J187" i="2"/>
  <c r="J188" i="2"/>
  <c r="J189" i="2"/>
  <c r="J190" i="2"/>
  <c r="J191" i="2"/>
  <c r="J192" i="2"/>
  <c r="J193" i="2"/>
  <c r="J194" i="2"/>
  <c r="K194" i="2" s="1"/>
  <c r="M194" i="2" s="1"/>
  <c r="J195" i="2"/>
  <c r="J196" i="2"/>
  <c r="J197" i="2"/>
  <c r="J198" i="2"/>
  <c r="J199" i="2"/>
  <c r="J200" i="2"/>
  <c r="J201" i="2"/>
  <c r="J202" i="2"/>
  <c r="K202" i="2" s="1"/>
  <c r="M202" i="2" s="1"/>
  <c r="J203" i="2"/>
  <c r="J204" i="2"/>
  <c r="J205" i="2"/>
  <c r="J206" i="2"/>
  <c r="J207" i="2"/>
  <c r="J208" i="2"/>
  <c r="J209" i="2"/>
  <c r="J210" i="2"/>
  <c r="L210" i="2" s="1"/>
  <c r="N210" i="2" s="1"/>
  <c r="J211" i="2"/>
  <c r="J212" i="2"/>
  <c r="J213" i="2"/>
  <c r="J214" i="2"/>
  <c r="J215" i="2"/>
  <c r="L215" i="2" s="1"/>
  <c r="N215" i="2" s="1"/>
  <c r="J216" i="2"/>
  <c r="J217" i="2"/>
  <c r="J218" i="2"/>
  <c r="L218" i="2" s="1"/>
  <c r="N218" i="2" s="1"/>
  <c r="J219" i="2"/>
  <c r="J220" i="2"/>
  <c r="J221" i="2"/>
  <c r="J222" i="2"/>
  <c r="J223" i="2"/>
  <c r="J224" i="2"/>
  <c r="J225" i="2"/>
  <c r="J226" i="2"/>
  <c r="L226" i="2" s="1"/>
  <c r="N226" i="2" s="1"/>
  <c r="J227" i="2"/>
  <c r="J228" i="2"/>
  <c r="J229" i="2"/>
  <c r="J230" i="2"/>
  <c r="J231" i="2"/>
  <c r="J232" i="2"/>
  <c r="J233" i="2"/>
  <c r="J234" i="2"/>
  <c r="K234" i="2" s="1"/>
  <c r="M234" i="2" s="1"/>
  <c r="J235" i="2"/>
  <c r="L235" i="2" s="1"/>
  <c r="N235" i="2" s="1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L250" i="2" s="1"/>
  <c r="N250" i="2" s="1"/>
  <c r="J251" i="2"/>
  <c r="J252" i="2"/>
  <c r="J253" i="2"/>
  <c r="J254" i="2"/>
  <c r="J255" i="2"/>
  <c r="J256" i="2"/>
  <c r="J257" i="2"/>
  <c r="J258" i="2"/>
  <c r="K258" i="2" s="1"/>
  <c r="M258" i="2" s="1"/>
  <c r="J259" i="2"/>
  <c r="J260" i="2"/>
  <c r="J261" i="2"/>
  <c r="J262" i="2"/>
  <c r="J263" i="2"/>
  <c r="J264" i="2"/>
  <c r="J265" i="2"/>
  <c r="J266" i="2"/>
  <c r="J267" i="2"/>
  <c r="L267" i="2" s="1"/>
  <c r="N267" i="2" s="1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L290" i="2" s="1"/>
  <c r="N290" i="2" s="1"/>
  <c r="J291" i="2"/>
  <c r="J292" i="2"/>
  <c r="J293" i="2"/>
  <c r="J294" i="2"/>
  <c r="J295" i="2"/>
  <c r="L295" i="2" s="1"/>
  <c r="N295" i="2" s="1"/>
  <c r="J296" i="2"/>
  <c r="J297" i="2"/>
  <c r="J298" i="2"/>
  <c r="J299" i="2"/>
  <c r="L299" i="2" s="1"/>
  <c r="N299" i="2" s="1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L331" i="2" s="1"/>
  <c r="N331" i="2" s="1"/>
  <c r="J332" i="2"/>
  <c r="J333" i="2"/>
  <c r="J334" i="2"/>
  <c r="J335" i="2"/>
  <c r="J336" i="2"/>
  <c r="J337" i="2"/>
  <c r="J338" i="2"/>
  <c r="K338" i="2" s="1"/>
  <c r="M338" i="2" s="1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L351" i="2" s="1"/>
  <c r="N351" i="2" s="1"/>
  <c r="J352" i="2"/>
  <c r="J353" i="2"/>
  <c r="J354" i="2"/>
  <c r="L354" i="2" s="1"/>
  <c r="N354" i="2" s="1"/>
  <c r="J355" i="2"/>
  <c r="J356" i="2"/>
  <c r="J357" i="2"/>
  <c r="J358" i="2"/>
  <c r="J359" i="2"/>
  <c r="J360" i="2"/>
  <c r="J361" i="2"/>
  <c r="J362" i="2"/>
  <c r="J363" i="2"/>
  <c r="L363" i="2" s="1"/>
  <c r="N363" i="2" s="1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L378" i="2" s="1"/>
  <c r="N378" i="2" s="1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K394" i="2" s="1"/>
  <c r="M394" i="2" s="1"/>
  <c r="J395" i="2"/>
  <c r="L395" i="2" s="1"/>
  <c r="N395" i="2" s="1"/>
  <c r="J396" i="2"/>
  <c r="J397" i="2"/>
  <c r="J398" i="2"/>
  <c r="J399" i="2"/>
  <c r="J400" i="2"/>
  <c r="J401" i="2"/>
  <c r="J402" i="2"/>
  <c r="J403" i="2"/>
  <c r="L403" i="2" s="1"/>
  <c r="N403" i="2" s="1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L419" i="2" s="1"/>
  <c r="N419" i="2" s="1"/>
  <c r="J420" i="2"/>
  <c r="J421" i="2"/>
  <c r="J422" i="2"/>
  <c r="J423" i="2"/>
  <c r="L423" i="2" s="1"/>
  <c r="N423" i="2" s="1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K450" i="2" s="1"/>
  <c r="M450" i="2" s="1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L466" i="2" s="1"/>
  <c r="N466" i="2" s="1"/>
  <c r="J467" i="2"/>
  <c r="L467" i="2" s="1"/>
  <c r="N467" i="2" s="1"/>
  <c r="J468" i="2"/>
  <c r="J469" i="2"/>
  <c r="J470" i="2"/>
  <c r="J471" i="2"/>
  <c r="J472" i="2"/>
  <c r="J473" i="2"/>
  <c r="J474" i="2"/>
  <c r="J475" i="2"/>
  <c r="J476" i="2"/>
  <c r="J477" i="2"/>
  <c r="J478" i="2"/>
  <c r="J479" i="2"/>
  <c r="L479" i="2" s="1"/>
  <c r="N479" i="2" s="1"/>
  <c r="J480" i="2"/>
  <c r="J481" i="2"/>
  <c r="J482" i="2"/>
  <c r="L482" i="2" s="1"/>
  <c r="N482" i="2" s="1"/>
  <c r="J483" i="2"/>
  <c r="L483" i="2" s="1"/>
  <c r="N483" i="2" s="1"/>
  <c r="J484" i="2"/>
  <c r="J485" i="2"/>
  <c r="J486" i="2"/>
  <c r="J487" i="2"/>
  <c r="J488" i="2"/>
  <c r="J489" i="2"/>
  <c r="J490" i="2"/>
  <c r="L490" i="2" s="1"/>
  <c r="N490" i="2" s="1"/>
  <c r="J491" i="2"/>
  <c r="J492" i="2"/>
  <c r="J493" i="2"/>
  <c r="J494" i="2"/>
  <c r="J495" i="2"/>
  <c r="J496" i="2"/>
  <c r="J497" i="2"/>
  <c r="J498" i="2"/>
  <c r="J499" i="2"/>
  <c r="L499" i="2" s="1"/>
  <c r="N499" i="2" s="1"/>
  <c r="J500" i="2"/>
  <c r="J501" i="2"/>
  <c r="J502" i="2"/>
  <c r="J503" i="2"/>
  <c r="J504" i="2"/>
  <c r="J505" i="2"/>
  <c r="J506" i="2"/>
  <c r="J507" i="2"/>
  <c r="J508" i="2"/>
  <c r="L508" i="2" s="1"/>
  <c r="N508" i="2" s="1"/>
  <c r="J509" i="2"/>
  <c r="J510" i="2"/>
  <c r="J511" i="2"/>
  <c r="J512" i="2"/>
  <c r="J513" i="2"/>
  <c r="J514" i="2"/>
  <c r="J515" i="2"/>
  <c r="L515" i="2" s="1"/>
  <c r="N515" i="2" s="1"/>
  <c r="J516" i="2"/>
  <c r="J517" i="2"/>
  <c r="J518" i="2"/>
  <c r="J519" i="2"/>
  <c r="J520" i="2"/>
  <c r="J521" i="2"/>
  <c r="J522" i="2"/>
  <c r="L522" i="2" s="1"/>
  <c r="N522" i="2" s="1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L535" i="2" s="1"/>
  <c r="N535" i="2" s="1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L551" i="2" s="1"/>
  <c r="N551" i="2" s="1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L564" i="2" s="1"/>
  <c r="N564" i="2" s="1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L586" i="2" s="1"/>
  <c r="N586" i="2" s="1"/>
  <c r="J587" i="2"/>
  <c r="J588" i="2"/>
  <c r="J589" i="2"/>
  <c r="J590" i="2"/>
  <c r="J591" i="2"/>
  <c r="J592" i="2"/>
  <c r="J593" i="2"/>
  <c r="J594" i="2"/>
  <c r="L594" i="2" s="1"/>
  <c r="N594" i="2" s="1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L607" i="2" s="1"/>
  <c r="N607" i="2" s="1"/>
  <c r="J608" i="2"/>
  <c r="J609" i="2"/>
  <c r="J610" i="2"/>
  <c r="L610" i="2" s="1"/>
  <c r="N610" i="2" s="1"/>
  <c r="J611" i="2"/>
  <c r="J612" i="2"/>
  <c r="J613" i="2"/>
  <c r="J614" i="2"/>
  <c r="J615" i="2"/>
  <c r="J616" i="2"/>
  <c r="J617" i="2"/>
  <c r="J618" i="2"/>
  <c r="L618" i="2" s="1"/>
  <c r="N618" i="2" s="1"/>
  <c r="J619" i="2"/>
  <c r="J620" i="2"/>
  <c r="J621" i="2"/>
  <c r="J622" i="2"/>
  <c r="J623" i="2"/>
  <c r="J624" i="2"/>
  <c r="J625" i="2"/>
  <c r="J626" i="2"/>
  <c r="L626" i="2" s="1"/>
  <c r="N626" i="2" s="1"/>
  <c r="J627" i="2"/>
  <c r="L627" i="2" s="1"/>
  <c r="N627" i="2" s="1"/>
  <c r="J628" i="2"/>
  <c r="J629" i="2"/>
  <c r="J630" i="2"/>
  <c r="J631" i="2"/>
  <c r="J632" i="2"/>
  <c r="J633" i="2"/>
  <c r="J634" i="2"/>
  <c r="J635" i="2"/>
  <c r="J636" i="2"/>
  <c r="L636" i="2" s="1"/>
  <c r="N636" i="2" s="1"/>
  <c r="J637" i="2"/>
  <c r="J638" i="2"/>
  <c r="J639" i="2"/>
  <c r="J640" i="2"/>
  <c r="J641" i="2"/>
  <c r="J642" i="2"/>
  <c r="J643" i="2"/>
  <c r="L643" i="2" s="1"/>
  <c r="N643" i="2" s="1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L659" i="2" s="1"/>
  <c r="N659" i="2" s="1"/>
  <c r="J660" i="2"/>
  <c r="J661" i="2"/>
  <c r="J662" i="2"/>
  <c r="J663" i="2"/>
  <c r="L663" i="2" s="1"/>
  <c r="N663" i="2" s="1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L679" i="2" s="1"/>
  <c r="N679" i="2" s="1"/>
  <c r="J680" i="2"/>
  <c r="J681" i="2"/>
  <c r="J682" i="2"/>
  <c r="J683" i="2"/>
  <c r="J684" i="2"/>
  <c r="J685" i="2"/>
  <c r="J686" i="2"/>
  <c r="J687" i="2"/>
  <c r="J688" i="2"/>
  <c r="J689" i="2"/>
  <c r="J690" i="2"/>
  <c r="L690" i="2" s="1"/>
  <c r="N690" i="2" s="1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2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F3" i="2"/>
  <c r="E3" i="2"/>
  <c r="K11" i="2" s="1"/>
  <c r="M11" i="2" s="1"/>
  <c r="C263" i="1"/>
  <c r="D263" i="1" s="1"/>
  <c r="C264" i="1"/>
  <c r="D264" i="1"/>
  <c r="C265" i="1"/>
  <c r="D265" i="1"/>
  <c r="C266" i="1"/>
  <c r="D266" i="1"/>
  <c r="C267" i="1"/>
  <c r="D267" i="1" s="1"/>
  <c r="C268" i="1"/>
  <c r="D268" i="1"/>
  <c r="C269" i="1"/>
  <c r="D269" i="1" s="1"/>
  <c r="C270" i="1"/>
  <c r="D270" i="1"/>
  <c r="C271" i="1"/>
  <c r="D271" i="1" s="1"/>
  <c r="C272" i="1"/>
  <c r="D272" i="1"/>
  <c r="C273" i="1"/>
  <c r="D273" i="1"/>
  <c r="C274" i="1"/>
  <c r="D274" i="1"/>
  <c r="C275" i="1"/>
  <c r="D275" i="1" s="1"/>
  <c r="C276" i="1"/>
  <c r="D276" i="1"/>
  <c r="C277" i="1"/>
  <c r="D277" i="1" s="1"/>
  <c r="C278" i="1"/>
  <c r="D278" i="1" s="1"/>
  <c r="C279" i="1"/>
  <c r="D279" i="1" s="1"/>
  <c r="C280" i="1"/>
  <c r="D280" i="1"/>
  <c r="C281" i="1"/>
  <c r="D281" i="1" s="1"/>
  <c r="C282" i="1"/>
  <c r="D282" i="1"/>
  <c r="C283" i="1"/>
  <c r="D283" i="1" s="1"/>
  <c r="C284" i="1"/>
  <c r="D284" i="1"/>
  <c r="C285" i="1"/>
  <c r="D285" i="1"/>
  <c r="C286" i="1"/>
  <c r="D286" i="1" s="1"/>
  <c r="C287" i="1"/>
  <c r="D287" i="1" s="1"/>
  <c r="C288" i="1"/>
  <c r="D288" i="1"/>
  <c r="C289" i="1"/>
  <c r="D289" i="1"/>
  <c r="C290" i="1"/>
  <c r="D290" i="1" s="1"/>
  <c r="C291" i="1"/>
  <c r="D291" i="1" s="1"/>
  <c r="C292" i="1"/>
  <c r="D292" i="1"/>
  <c r="C293" i="1"/>
  <c r="D293" i="1"/>
  <c r="C294" i="1"/>
  <c r="D294" i="1"/>
  <c r="C295" i="1"/>
  <c r="D295" i="1" s="1"/>
  <c r="C296" i="1"/>
  <c r="D296" i="1"/>
  <c r="C297" i="1"/>
  <c r="D297" i="1"/>
  <c r="C298" i="1"/>
  <c r="D298" i="1"/>
  <c r="C299" i="1"/>
  <c r="D299" i="1" s="1"/>
  <c r="C300" i="1"/>
  <c r="D300" i="1"/>
  <c r="C301" i="1"/>
  <c r="D301" i="1" s="1"/>
  <c r="C302" i="1"/>
  <c r="D302" i="1"/>
  <c r="C303" i="1"/>
  <c r="D303" i="1" s="1"/>
  <c r="C304" i="1"/>
  <c r="D304" i="1"/>
  <c r="C305" i="1"/>
  <c r="D305" i="1"/>
  <c r="C306" i="1"/>
  <c r="D306" i="1"/>
  <c r="C307" i="1"/>
  <c r="D307" i="1" s="1"/>
  <c r="C308" i="1"/>
  <c r="D308" i="1"/>
  <c r="C309" i="1"/>
  <c r="D309" i="1" s="1"/>
  <c r="C310" i="1"/>
  <c r="D310" i="1" s="1"/>
  <c r="C311" i="1"/>
  <c r="D311" i="1" s="1"/>
  <c r="C312" i="1"/>
  <c r="D312" i="1"/>
  <c r="C313" i="1"/>
  <c r="D313" i="1" s="1"/>
  <c r="C314" i="1"/>
  <c r="D314" i="1"/>
  <c r="C315" i="1"/>
  <c r="D315" i="1" s="1"/>
  <c r="C316" i="1"/>
  <c r="D316" i="1"/>
  <c r="C317" i="1"/>
  <c r="D317" i="1"/>
  <c r="C318" i="1"/>
  <c r="D318" i="1" s="1"/>
  <c r="C319" i="1"/>
  <c r="D319" i="1" s="1"/>
  <c r="C320" i="1"/>
  <c r="D320" i="1"/>
  <c r="C321" i="1"/>
  <c r="D321" i="1"/>
  <c r="C322" i="1"/>
  <c r="D322" i="1" s="1"/>
  <c r="C323" i="1"/>
  <c r="D323" i="1" s="1"/>
  <c r="C324" i="1"/>
  <c r="D324" i="1"/>
  <c r="C325" i="1"/>
  <c r="D325" i="1"/>
  <c r="C326" i="1"/>
  <c r="D326" i="1"/>
  <c r="C327" i="1"/>
  <c r="D327" i="1" s="1"/>
  <c r="C328" i="1"/>
  <c r="D328" i="1"/>
  <c r="C329" i="1"/>
  <c r="D329" i="1"/>
  <c r="C330" i="1"/>
  <c r="D330" i="1"/>
  <c r="C331" i="1"/>
  <c r="D331" i="1" s="1"/>
  <c r="C332" i="1"/>
  <c r="D332" i="1"/>
  <c r="C333" i="1"/>
  <c r="D333" i="1" s="1"/>
  <c r="C334" i="1"/>
  <c r="D334" i="1"/>
  <c r="C335" i="1"/>
  <c r="D335" i="1" s="1"/>
  <c r="C336" i="1"/>
  <c r="D336" i="1"/>
  <c r="C337" i="1"/>
  <c r="D337" i="1"/>
  <c r="C338" i="1"/>
  <c r="D338" i="1"/>
  <c r="C339" i="1"/>
  <c r="D339" i="1" s="1"/>
  <c r="C340" i="1"/>
  <c r="D340" i="1"/>
  <c r="C341" i="1"/>
  <c r="D341" i="1" s="1"/>
  <c r="C342" i="1"/>
  <c r="D342" i="1" s="1"/>
  <c r="C343" i="1"/>
  <c r="D343" i="1" s="1"/>
  <c r="C344" i="1"/>
  <c r="D344" i="1"/>
  <c r="C345" i="1"/>
  <c r="D345" i="1" s="1"/>
  <c r="C346" i="1"/>
  <c r="D346" i="1"/>
  <c r="C347" i="1"/>
  <c r="D347" i="1" s="1"/>
  <c r="C348" i="1"/>
  <c r="D348" i="1"/>
  <c r="C349" i="1"/>
  <c r="D349" i="1"/>
  <c r="C350" i="1"/>
  <c r="D350" i="1" s="1"/>
  <c r="C351" i="1"/>
  <c r="D351" i="1" s="1"/>
  <c r="C352" i="1"/>
  <c r="D352" i="1"/>
  <c r="C353" i="1"/>
  <c r="D353" i="1"/>
  <c r="C354" i="1"/>
  <c r="D354" i="1" s="1"/>
  <c r="C355" i="1"/>
  <c r="D355" i="1" s="1"/>
  <c r="C356" i="1"/>
  <c r="D356" i="1"/>
  <c r="C357" i="1"/>
  <c r="D357" i="1"/>
  <c r="C358" i="1"/>
  <c r="D358" i="1"/>
  <c r="C359" i="1"/>
  <c r="D359" i="1" s="1"/>
  <c r="C360" i="1"/>
  <c r="D360" i="1"/>
  <c r="C361" i="1"/>
  <c r="D361" i="1"/>
  <c r="C362" i="1"/>
  <c r="D362" i="1"/>
  <c r="C363" i="1"/>
  <c r="D363" i="1" s="1"/>
  <c r="C364" i="1"/>
  <c r="D364" i="1"/>
  <c r="C365" i="1"/>
  <c r="D365" i="1" s="1"/>
  <c r="C366" i="1"/>
  <c r="D366" i="1"/>
  <c r="C367" i="1"/>
  <c r="D367" i="1" s="1"/>
  <c r="C368" i="1"/>
  <c r="D368" i="1"/>
  <c r="C369" i="1"/>
  <c r="D369" i="1"/>
  <c r="C370" i="1"/>
  <c r="D370" i="1"/>
  <c r="C371" i="1"/>
  <c r="D371" i="1" s="1"/>
  <c r="C372" i="1"/>
  <c r="D372" i="1"/>
  <c r="C373" i="1"/>
  <c r="D373" i="1" s="1"/>
  <c r="C374" i="1"/>
  <c r="D374" i="1" s="1"/>
  <c r="C375" i="1"/>
  <c r="D375" i="1" s="1"/>
  <c r="C376" i="1"/>
  <c r="D376" i="1"/>
  <c r="C377" i="1"/>
  <c r="D377" i="1" s="1"/>
  <c r="C378" i="1"/>
  <c r="D378" i="1"/>
  <c r="C379" i="1"/>
  <c r="D379" i="1" s="1"/>
  <c r="C380" i="1"/>
  <c r="D380" i="1"/>
  <c r="C381" i="1"/>
  <c r="D381" i="1"/>
  <c r="C382" i="1"/>
  <c r="D382" i="1" s="1"/>
  <c r="C383" i="1"/>
  <c r="D383" i="1" s="1"/>
  <c r="C384" i="1"/>
  <c r="D384" i="1"/>
  <c r="C385" i="1"/>
  <c r="D385" i="1"/>
  <c r="C386" i="1"/>
  <c r="D386" i="1" s="1"/>
  <c r="C387" i="1"/>
  <c r="D387" i="1" s="1"/>
  <c r="C388" i="1"/>
  <c r="D388" i="1"/>
  <c r="C389" i="1"/>
  <c r="D389" i="1"/>
  <c r="C390" i="1"/>
  <c r="D390" i="1"/>
  <c r="C391" i="1"/>
  <c r="D391" i="1" s="1"/>
  <c r="C392" i="1"/>
  <c r="D392" i="1"/>
  <c r="C393" i="1"/>
  <c r="D393" i="1"/>
  <c r="C394" i="1"/>
  <c r="D394" i="1"/>
  <c r="C395" i="1"/>
  <c r="D395" i="1" s="1"/>
  <c r="C396" i="1"/>
  <c r="D396" i="1"/>
  <c r="C397" i="1"/>
  <c r="D397" i="1" s="1"/>
  <c r="C398" i="1"/>
  <c r="D398" i="1"/>
  <c r="C399" i="1"/>
  <c r="D399" i="1" s="1"/>
  <c r="C400" i="1"/>
  <c r="D400" i="1"/>
  <c r="C401" i="1"/>
  <c r="D401" i="1"/>
  <c r="C402" i="1"/>
  <c r="D402" i="1"/>
  <c r="C403" i="1"/>
  <c r="D403" i="1" s="1"/>
  <c r="C404" i="1"/>
  <c r="D404" i="1"/>
  <c r="C405" i="1"/>
  <c r="D405" i="1" s="1"/>
  <c r="C406" i="1"/>
  <c r="D406" i="1" s="1"/>
  <c r="C407" i="1"/>
  <c r="D407" i="1" s="1"/>
  <c r="C408" i="1"/>
  <c r="D408" i="1"/>
  <c r="C409" i="1"/>
  <c r="D409" i="1" s="1"/>
  <c r="C410" i="1"/>
  <c r="D410" i="1"/>
  <c r="C411" i="1"/>
  <c r="D411" i="1" s="1"/>
  <c r="C412" i="1"/>
  <c r="D412" i="1"/>
  <c r="C413" i="1"/>
  <c r="D413" i="1"/>
  <c r="C414" i="1"/>
  <c r="D414" i="1" s="1"/>
  <c r="C415" i="1"/>
  <c r="D415" i="1" s="1"/>
  <c r="C416" i="1"/>
  <c r="D416" i="1"/>
  <c r="C417" i="1"/>
  <c r="D417" i="1"/>
  <c r="C418" i="1"/>
  <c r="D418" i="1" s="1"/>
  <c r="C419" i="1"/>
  <c r="D419" i="1" s="1"/>
  <c r="C420" i="1"/>
  <c r="D420" i="1"/>
  <c r="C421" i="1"/>
  <c r="D421" i="1"/>
  <c r="C422" i="1"/>
  <c r="D422" i="1"/>
  <c r="C423" i="1"/>
  <c r="D423" i="1" s="1"/>
  <c r="C424" i="1"/>
  <c r="D424" i="1"/>
  <c r="C425" i="1"/>
  <c r="D425" i="1"/>
  <c r="C426" i="1"/>
  <c r="D426" i="1"/>
  <c r="C427" i="1"/>
  <c r="D427" i="1" s="1"/>
  <c r="C428" i="1"/>
  <c r="D428" i="1"/>
  <c r="C429" i="1"/>
  <c r="D429" i="1" s="1"/>
  <c r="C430" i="1"/>
  <c r="D430" i="1"/>
  <c r="C431" i="1"/>
  <c r="D431" i="1" s="1"/>
  <c r="C432" i="1"/>
  <c r="D432" i="1"/>
  <c r="C433" i="1"/>
  <c r="D433" i="1"/>
  <c r="C434" i="1"/>
  <c r="D434" i="1"/>
  <c r="C435" i="1"/>
  <c r="D435" i="1" s="1"/>
  <c r="C436" i="1"/>
  <c r="D436" i="1"/>
  <c r="C437" i="1"/>
  <c r="D437" i="1" s="1"/>
  <c r="C438" i="1"/>
  <c r="D438" i="1" s="1"/>
  <c r="C439" i="1"/>
  <c r="D439" i="1" s="1"/>
  <c r="C440" i="1"/>
  <c r="D440" i="1"/>
  <c r="C441" i="1"/>
  <c r="D441" i="1" s="1"/>
  <c r="C442" i="1"/>
  <c r="D442" i="1"/>
  <c r="C443" i="1"/>
  <c r="D443" i="1" s="1"/>
  <c r="C444" i="1"/>
  <c r="D444" i="1"/>
  <c r="C445" i="1"/>
  <c r="D445" i="1"/>
  <c r="C446" i="1"/>
  <c r="D446" i="1" s="1"/>
  <c r="C447" i="1"/>
  <c r="D447" i="1" s="1"/>
  <c r="C448" i="1"/>
  <c r="D448" i="1"/>
  <c r="C449" i="1"/>
  <c r="D449" i="1"/>
  <c r="C450" i="1"/>
  <c r="D450" i="1" s="1"/>
  <c r="C451" i="1"/>
  <c r="D451" i="1" s="1"/>
  <c r="C452" i="1"/>
  <c r="D452" i="1"/>
  <c r="C453" i="1"/>
  <c r="D453" i="1"/>
  <c r="C454" i="1"/>
  <c r="D454" i="1"/>
  <c r="C455" i="1"/>
  <c r="D455" i="1" s="1"/>
  <c r="C456" i="1"/>
  <c r="D456" i="1"/>
  <c r="C457" i="1"/>
  <c r="D457" i="1"/>
  <c r="C458" i="1"/>
  <c r="D458" i="1"/>
  <c r="C459" i="1"/>
  <c r="D459" i="1" s="1"/>
  <c r="C460" i="1"/>
  <c r="D460" i="1"/>
  <c r="C461" i="1"/>
  <c r="D461" i="1" s="1"/>
  <c r="C462" i="1"/>
  <c r="D462" i="1"/>
  <c r="C463" i="1"/>
  <c r="D463" i="1" s="1"/>
  <c r="C464" i="1"/>
  <c r="D464" i="1" s="1"/>
  <c r="C465" i="1"/>
  <c r="D465" i="1"/>
  <c r="C466" i="1"/>
  <c r="D466" i="1"/>
  <c r="C467" i="1"/>
  <c r="D467" i="1" s="1"/>
  <c r="C468" i="1"/>
  <c r="D468" i="1"/>
  <c r="C469" i="1"/>
  <c r="D469" i="1" s="1"/>
  <c r="C470" i="1"/>
  <c r="D470" i="1" s="1"/>
  <c r="C471" i="1"/>
  <c r="D471" i="1" s="1"/>
  <c r="C472" i="1"/>
  <c r="D472" i="1"/>
  <c r="C473" i="1"/>
  <c r="D473" i="1" s="1"/>
  <c r="C474" i="1"/>
  <c r="D474" i="1"/>
  <c r="C475" i="1"/>
  <c r="D475" i="1" s="1"/>
  <c r="C476" i="1"/>
  <c r="D476" i="1"/>
  <c r="C477" i="1"/>
  <c r="D477" i="1"/>
  <c r="C478" i="1"/>
  <c r="D478" i="1" s="1"/>
  <c r="C479" i="1"/>
  <c r="D479" i="1" s="1"/>
  <c r="C480" i="1"/>
  <c r="D480" i="1"/>
  <c r="C481" i="1"/>
  <c r="D481" i="1"/>
  <c r="C482" i="1"/>
  <c r="D482" i="1" s="1"/>
  <c r="C483" i="1"/>
  <c r="D483" i="1" s="1"/>
  <c r="C484" i="1"/>
  <c r="D484" i="1" s="1"/>
  <c r="C485" i="1"/>
  <c r="D485" i="1"/>
  <c r="C486" i="1"/>
  <c r="D486" i="1"/>
  <c r="C487" i="1"/>
  <c r="D487" i="1" s="1"/>
  <c r="C488" i="1"/>
  <c r="D488" i="1"/>
  <c r="C489" i="1"/>
  <c r="D489" i="1"/>
  <c r="C490" i="1"/>
  <c r="D490" i="1"/>
  <c r="C491" i="1"/>
  <c r="D491" i="1" s="1"/>
  <c r="C492" i="1"/>
  <c r="D492" i="1" s="1"/>
  <c r="C493" i="1"/>
  <c r="D493" i="1" s="1"/>
  <c r="C494" i="1"/>
  <c r="D494" i="1"/>
  <c r="C495" i="1"/>
  <c r="D495" i="1" s="1"/>
  <c r="C496" i="1"/>
  <c r="D496" i="1" s="1"/>
  <c r="C497" i="1"/>
  <c r="D497" i="1"/>
  <c r="C498" i="1"/>
  <c r="D498" i="1"/>
  <c r="C499" i="1"/>
  <c r="D499" i="1" s="1"/>
  <c r="C500" i="1"/>
  <c r="D500" i="1"/>
  <c r="C501" i="1"/>
  <c r="D501" i="1" s="1"/>
  <c r="C502" i="1"/>
  <c r="D502" i="1" s="1"/>
  <c r="C503" i="1"/>
  <c r="D503" i="1" s="1"/>
  <c r="C504" i="1"/>
  <c r="D504" i="1"/>
  <c r="C505" i="1"/>
  <c r="D505" i="1" s="1"/>
  <c r="C506" i="1"/>
  <c r="D506" i="1"/>
  <c r="C507" i="1"/>
  <c r="D507" i="1" s="1"/>
  <c r="C508" i="1"/>
  <c r="D508" i="1"/>
  <c r="C509" i="1"/>
  <c r="D509" i="1"/>
  <c r="C510" i="1"/>
  <c r="D510" i="1" s="1"/>
  <c r="C511" i="1"/>
  <c r="D511" i="1" s="1"/>
  <c r="C512" i="1"/>
  <c r="D512" i="1"/>
  <c r="C513" i="1"/>
  <c r="D513" i="1"/>
  <c r="C514" i="1"/>
  <c r="D514" i="1" s="1"/>
  <c r="C515" i="1"/>
  <c r="D515" i="1" s="1"/>
  <c r="C516" i="1"/>
  <c r="D516" i="1" s="1"/>
  <c r="C517" i="1"/>
  <c r="D517" i="1"/>
  <c r="C518" i="1"/>
  <c r="D518" i="1"/>
  <c r="C519" i="1"/>
  <c r="D519" i="1" s="1"/>
  <c r="C520" i="1"/>
  <c r="D520" i="1"/>
  <c r="C521" i="1"/>
  <c r="D521" i="1"/>
  <c r="C522" i="1"/>
  <c r="D522" i="1"/>
  <c r="C523" i="1"/>
  <c r="D523" i="1" s="1"/>
  <c r="C524" i="1"/>
  <c r="D524" i="1" s="1"/>
  <c r="C525" i="1"/>
  <c r="D525" i="1" s="1"/>
  <c r="C526" i="1"/>
  <c r="D526" i="1"/>
  <c r="C527" i="1"/>
  <c r="D527" i="1" s="1"/>
  <c r="C528" i="1"/>
  <c r="D528" i="1" s="1"/>
  <c r="C529" i="1"/>
  <c r="D529" i="1"/>
  <c r="C530" i="1"/>
  <c r="D530" i="1"/>
  <c r="C531" i="1"/>
  <c r="D531" i="1" s="1"/>
  <c r="C532" i="1"/>
  <c r="D532" i="1"/>
  <c r="C533" i="1"/>
  <c r="D533" i="1" s="1"/>
  <c r="C534" i="1"/>
  <c r="D534" i="1" s="1"/>
  <c r="C535" i="1"/>
  <c r="D535" i="1" s="1"/>
  <c r="C536" i="1"/>
  <c r="D536" i="1"/>
  <c r="C537" i="1"/>
  <c r="D537" i="1" s="1"/>
  <c r="C538" i="1"/>
  <c r="D538" i="1"/>
  <c r="C539" i="1"/>
  <c r="D539" i="1" s="1"/>
  <c r="C540" i="1"/>
  <c r="D540" i="1"/>
  <c r="C541" i="1"/>
  <c r="D541" i="1"/>
  <c r="C542" i="1"/>
  <c r="D542" i="1" s="1"/>
  <c r="C543" i="1"/>
  <c r="D543" i="1" s="1"/>
  <c r="C544" i="1"/>
  <c r="D544" i="1"/>
  <c r="C545" i="1"/>
  <c r="D545" i="1"/>
  <c r="C546" i="1"/>
  <c r="D546" i="1" s="1"/>
  <c r="C547" i="1"/>
  <c r="D547" i="1" s="1"/>
  <c r="C548" i="1"/>
  <c r="D548" i="1" s="1"/>
  <c r="C549" i="1"/>
  <c r="D549" i="1"/>
  <c r="C550" i="1"/>
  <c r="D550" i="1"/>
  <c r="C551" i="1"/>
  <c r="D551" i="1" s="1"/>
  <c r="C552" i="1"/>
  <c r="D552" i="1"/>
  <c r="C553" i="1"/>
  <c r="D553" i="1"/>
  <c r="C554" i="1"/>
  <c r="D554" i="1"/>
  <c r="C555" i="1"/>
  <c r="D555" i="1" s="1"/>
  <c r="C556" i="1"/>
  <c r="D556" i="1" s="1"/>
  <c r="C557" i="1"/>
  <c r="D557" i="1" s="1"/>
  <c r="C558" i="1"/>
  <c r="D558" i="1"/>
  <c r="C559" i="1"/>
  <c r="D559" i="1" s="1"/>
  <c r="C560" i="1"/>
  <c r="D560" i="1" s="1"/>
  <c r="C561" i="1"/>
  <c r="D561" i="1"/>
  <c r="C562" i="1"/>
  <c r="D562" i="1"/>
  <c r="C563" i="1"/>
  <c r="D563" i="1" s="1"/>
  <c r="C564" i="1"/>
  <c r="D564" i="1"/>
  <c r="C565" i="1"/>
  <c r="D565" i="1" s="1"/>
  <c r="C566" i="1"/>
  <c r="D566" i="1" s="1"/>
  <c r="C567" i="1"/>
  <c r="D567" i="1" s="1"/>
  <c r="C568" i="1"/>
  <c r="D568" i="1"/>
  <c r="C569" i="1"/>
  <c r="D569" i="1" s="1"/>
  <c r="C570" i="1"/>
  <c r="D570" i="1"/>
  <c r="C571" i="1"/>
  <c r="D571" i="1" s="1"/>
  <c r="C572" i="1"/>
  <c r="D572" i="1"/>
  <c r="C573" i="1"/>
  <c r="D573" i="1"/>
  <c r="C574" i="1"/>
  <c r="D574" i="1" s="1"/>
  <c r="C575" i="1"/>
  <c r="D575" i="1" s="1"/>
  <c r="C576" i="1"/>
  <c r="D576" i="1"/>
  <c r="C577" i="1"/>
  <c r="D577" i="1"/>
  <c r="C578" i="1"/>
  <c r="D578" i="1" s="1"/>
  <c r="C579" i="1"/>
  <c r="D579" i="1" s="1"/>
  <c r="C580" i="1"/>
  <c r="D580" i="1" s="1"/>
  <c r="C581" i="1"/>
  <c r="D581" i="1"/>
  <c r="C582" i="1"/>
  <c r="D582" i="1"/>
  <c r="C583" i="1"/>
  <c r="D583" i="1" s="1"/>
  <c r="C584" i="1"/>
  <c r="D584" i="1"/>
  <c r="C585" i="1"/>
  <c r="D585" i="1"/>
  <c r="C586" i="1"/>
  <c r="D586" i="1"/>
  <c r="C587" i="1"/>
  <c r="D587" i="1" s="1"/>
  <c r="C588" i="1"/>
  <c r="D588" i="1" s="1"/>
  <c r="C589" i="1"/>
  <c r="D589" i="1" s="1"/>
  <c r="C590" i="1"/>
  <c r="D590" i="1"/>
  <c r="C591" i="1"/>
  <c r="D591" i="1" s="1"/>
  <c r="C592" i="1"/>
  <c r="D592" i="1" s="1"/>
  <c r="C593" i="1"/>
  <c r="D593" i="1"/>
  <c r="C594" i="1"/>
  <c r="D594" i="1"/>
  <c r="C595" i="1"/>
  <c r="D595" i="1" s="1"/>
  <c r="C596" i="1"/>
  <c r="D596" i="1"/>
  <c r="C597" i="1"/>
  <c r="D597" i="1" s="1"/>
  <c r="C598" i="1"/>
  <c r="D598" i="1" s="1"/>
  <c r="C599" i="1"/>
  <c r="D599" i="1" s="1"/>
  <c r="C600" i="1"/>
  <c r="D600" i="1"/>
  <c r="C601" i="1"/>
  <c r="D601" i="1" s="1"/>
  <c r="C602" i="1"/>
  <c r="D602" i="1"/>
  <c r="C603" i="1"/>
  <c r="D603" i="1"/>
  <c r="C604" i="1"/>
  <c r="D604" i="1"/>
  <c r="C605" i="1"/>
  <c r="D605" i="1" s="1"/>
  <c r="C606" i="1"/>
  <c r="D606" i="1"/>
  <c r="C607" i="1"/>
  <c r="D607" i="1"/>
  <c r="C608" i="1"/>
  <c r="D608" i="1"/>
  <c r="C609" i="1"/>
  <c r="D609" i="1" s="1"/>
  <c r="C610" i="1"/>
  <c r="D610" i="1"/>
  <c r="C611" i="1"/>
  <c r="D611" i="1"/>
  <c r="C612" i="1"/>
  <c r="D612" i="1"/>
  <c r="C613" i="1"/>
  <c r="D613" i="1" s="1"/>
  <c r="C614" i="1"/>
  <c r="D614" i="1"/>
  <c r="C615" i="1"/>
  <c r="D615" i="1"/>
  <c r="C616" i="1"/>
  <c r="D616" i="1"/>
  <c r="C617" i="1"/>
  <c r="D617" i="1" s="1"/>
  <c r="C618" i="1"/>
  <c r="D618" i="1"/>
  <c r="C619" i="1"/>
  <c r="D619" i="1"/>
  <c r="C620" i="1"/>
  <c r="D620" i="1"/>
  <c r="C621" i="1"/>
  <c r="D621" i="1" s="1"/>
  <c r="C622" i="1"/>
  <c r="D622" i="1"/>
  <c r="C623" i="1"/>
  <c r="D623" i="1"/>
  <c r="C624" i="1"/>
  <c r="D624" i="1"/>
  <c r="C625" i="1"/>
  <c r="D625" i="1" s="1"/>
  <c r="C626" i="1"/>
  <c r="D626" i="1"/>
  <c r="C627" i="1"/>
  <c r="D627" i="1"/>
  <c r="C628" i="1"/>
  <c r="D628" i="1"/>
  <c r="C629" i="1"/>
  <c r="D629" i="1" s="1"/>
  <c r="C630" i="1"/>
  <c r="D630" i="1"/>
  <c r="C631" i="1"/>
  <c r="D631" i="1"/>
  <c r="C632" i="1"/>
  <c r="D632" i="1"/>
  <c r="C633" i="1"/>
  <c r="D633" i="1" s="1"/>
  <c r="C634" i="1"/>
  <c r="D634" i="1"/>
  <c r="C635" i="1"/>
  <c r="D635" i="1"/>
  <c r="C636" i="1"/>
  <c r="D636" i="1"/>
  <c r="C637" i="1"/>
  <c r="D637" i="1" s="1"/>
  <c r="C638" i="1"/>
  <c r="D638" i="1"/>
  <c r="C639" i="1"/>
  <c r="D639" i="1"/>
  <c r="C640" i="1"/>
  <c r="D640" i="1"/>
  <c r="C641" i="1"/>
  <c r="D641" i="1" s="1"/>
  <c r="C642" i="1"/>
  <c r="D642" i="1"/>
  <c r="C643" i="1"/>
  <c r="D643" i="1"/>
  <c r="C644" i="1"/>
  <c r="D644" i="1"/>
  <c r="C645" i="1"/>
  <c r="D645" i="1" s="1"/>
  <c r="C646" i="1"/>
  <c r="D646" i="1"/>
  <c r="C647" i="1"/>
  <c r="D647" i="1"/>
  <c r="C648" i="1"/>
  <c r="D648" i="1"/>
  <c r="C649" i="1"/>
  <c r="D649" i="1" s="1"/>
  <c r="C650" i="1"/>
  <c r="D650" i="1"/>
  <c r="C651" i="1"/>
  <c r="D651" i="1"/>
  <c r="C652" i="1"/>
  <c r="D652" i="1"/>
  <c r="C653" i="1"/>
  <c r="D653" i="1" s="1"/>
  <c r="C654" i="1"/>
  <c r="D654" i="1"/>
  <c r="C655" i="1"/>
  <c r="D655" i="1"/>
  <c r="C656" i="1"/>
  <c r="D656" i="1"/>
  <c r="C657" i="1"/>
  <c r="D657" i="1" s="1"/>
  <c r="C658" i="1"/>
  <c r="D658" i="1"/>
  <c r="C659" i="1"/>
  <c r="D659" i="1"/>
  <c r="C660" i="1"/>
  <c r="D660" i="1"/>
  <c r="C661" i="1"/>
  <c r="D661" i="1" s="1"/>
  <c r="C662" i="1"/>
  <c r="D662" i="1"/>
  <c r="C663" i="1"/>
  <c r="D663" i="1"/>
  <c r="C664" i="1"/>
  <c r="D664" i="1"/>
  <c r="C665" i="1"/>
  <c r="D665" i="1" s="1"/>
  <c r="C666" i="1"/>
  <c r="D666" i="1"/>
  <c r="C667" i="1"/>
  <c r="D667" i="1"/>
  <c r="C668" i="1"/>
  <c r="D668" i="1"/>
  <c r="C669" i="1"/>
  <c r="D669" i="1" s="1"/>
  <c r="C670" i="1"/>
  <c r="D670" i="1"/>
  <c r="C671" i="1"/>
  <c r="D671" i="1"/>
  <c r="C672" i="1"/>
  <c r="D672" i="1"/>
  <c r="C673" i="1"/>
  <c r="D673" i="1" s="1"/>
  <c r="C674" i="1"/>
  <c r="D674" i="1"/>
  <c r="C675" i="1"/>
  <c r="D675" i="1"/>
  <c r="C676" i="1"/>
  <c r="D676" i="1"/>
  <c r="C677" i="1"/>
  <c r="D677" i="1" s="1"/>
  <c r="C678" i="1"/>
  <c r="D678" i="1"/>
  <c r="C679" i="1"/>
  <c r="D679" i="1"/>
  <c r="C680" i="1"/>
  <c r="D680" i="1"/>
  <c r="C681" i="1"/>
  <c r="D681" i="1" s="1"/>
  <c r="C682" i="1"/>
  <c r="D682" i="1"/>
  <c r="C683" i="1"/>
  <c r="D683" i="1"/>
  <c r="C684" i="1"/>
  <c r="D684" i="1"/>
  <c r="C685" i="1"/>
  <c r="D685" i="1" s="1"/>
  <c r="C686" i="1"/>
  <c r="D686" i="1"/>
  <c r="C687" i="1"/>
  <c r="D687" i="1"/>
  <c r="C688" i="1"/>
  <c r="D688" i="1"/>
  <c r="C689" i="1"/>
  <c r="D689" i="1" s="1"/>
  <c r="C690" i="1"/>
  <c r="D690" i="1"/>
  <c r="C691" i="1"/>
  <c r="D691" i="1"/>
  <c r="C692" i="1"/>
  <c r="D692" i="1"/>
  <c r="C693" i="1"/>
  <c r="D693" i="1" s="1"/>
  <c r="C694" i="1"/>
  <c r="D694" i="1"/>
  <c r="C695" i="1"/>
  <c r="D695" i="1"/>
  <c r="C696" i="1"/>
  <c r="D696" i="1"/>
  <c r="C697" i="1"/>
  <c r="D697" i="1" s="1"/>
  <c r="C698" i="1"/>
  <c r="D698" i="1"/>
  <c r="C699" i="1"/>
  <c r="D699" i="1"/>
  <c r="C700" i="1"/>
  <c r="D700" i="1"/>
  <c r="C701" i="1"/>
  <c r="D701" i="1" s="1"/>
  <c r="C702" i="1"/>
  <c r="D702" i="1"/>
  <c r="K585" i="2" l="1"/>
  <c r="M585" i="2" s="1"/>
  <c r="K569" i="2"/>
  <c r="M569" i="2" s="1"/>
  <c r="K505" i="2"/>
  <c r="M505" i="2" s="1"/>
  <c r="K473" i="2"/>
  <c r="M473" i="2" s="1"/>
  <c r="K385" i="2"/>
  <c r="M385" i="2" s="1"/>
  <c r="K670" i="2"/>
  <c r="M670" i="2" s="1"/>
  <c r="K534" i="2"/>
  <c r="M534" i="2" s="1"/>
  <c r="K377" i="2"/>
  <c r="M377" i="2" s="1"/>
  <c r="K63" i="2"/>
  <c r="M63" i="2" s="1"/>
  <c r="K64" i="2"/>
  <c r="M64" i="2" s="1"/>
  <c r="K32" i="2"/>
  <c r="M32" i="2" s="1"/>
  <c r="K660" i="2"/>
  <c r="M660" i="2" s="1"/>
  <c r="K532" i="2"/>
  <c r="M532" i="2" s="1"/>
  <c r="K331" i="2"/>
  <c r="M331" i="2" s="1"/>
  <c r="K54" i="2"/>
  <c r="M54" i="2" s="1"/>
  <c r="K31" i="2"/>
  <c r="M31" i="2" s="1"/>
  <c r="K500" i="2"/>
  <c r="M500" i="2" s="1"/>
  <c r="K12" i="2"/>
  <c r="M12" i="2" s="1"/>
  <c r="K118" i="2"/>
  <c r="M118" i="2" s="1"/>
  <c r="K489" i="2"/>
  <c r="M489" i="2" s="1"/>
  <c r="K604" i="2"/>
  <c r="M604" i="2" s="1"/>
  <c r="K470" i="2"/>
  <c r="M470" i="2" s="1"/>
  <c r="L434" i="2"/>
  <c r="N434" i="2" s="1"/>
  <c r="K434" i="2"/>
  <c r="M434" i="2" s="1"/>
  <c r="L322" i="2"/>
  <c r="N322" i="2" s="1"/>
  <c r="K322" i="2"/>
  <c r="M322" i="2" s="1"/>
  <c r="K199" i="2"/>
  <c r="M199" i="2" s="1"/>
  <c r="K636" i="2"/>
  <c r="M636" i="2" s="1"/>
  <c r="K226" i="2"/>
  <c r="M226" i="2" s="1"/>
  <c r="K606" i="2"/>
  <c r="M606" i="2" s="1"/>
  <c r="K620" i="2"/>
  <c r="M620" i="2" s="1"/>
  <c r="K200" i="2"/>
  <c r="M200" i="2" s="1"/>
  <c r="K652" i="2"/>
  <c r="M652" i="2" s="1"/>
  <c r="K540" i="2"/>
  <c r="M540" i="2" s="1"/>
  <c r="K524" i="2"/>
  <c r="M524" i="2" s="1"/>
  <c r="K436" i="2"/>
  <c r="M436" i="2" s="1"/>
  <c r="K404" i="2"/>
  <c r="M404" i="2" s="1"/>
  <c r="K140" i="2"/>
  <c r="M140" i="2" s="1"/>
  <c r="K601" i="2"/>
  <c r="M601" i="2" s="1"/>
  <c r="K457" i="2"/>
  <c r="M457" i="2" s="1"/>
  <c r="L642" i="2"/>
  <c r="N642" i="2" s="1"/>
  <c r="K642" i="2"/>
  <c r="M642" i="2" s="1"/>
  <c r="K691" i="2"/>
  <c r="M691" i="2" s="1"/>
  <c r="L675" i="2"/>
  <c r="N675" i="2" s="1"/>
  <c r="K675" i="2"/>
  <c r="M675" i="2" s="1"/>
  <c r="K579" i="2"/>
  <c r="M579" i="2" s="1"/>
  <c r="K523" i="2"/>
  <c r="M523" i="2" s="1"/>
  <c r="K195" i="2"/>
  <c r="M195" i="2" s="1"/>
  <c r="K131" i="2"/>
  <c r="M131" i="2" s="1"/>
  <c r="L107" i="2"/>
  <c r="N107" i="2" s="1"/>
  <c r="K107" i="2"/>
  <c r="M107" i="2" s="1"/>
  <c r="K91" i="2"/>
  <c r="M91" i="2" s="1"/>
  <c r="K75" i="2"/>
  <c r="M75" i="2" s="1"/>
  <c r="K27" i="2"/>
  <c r="M27" i="2" s="1"/>
  <c r="K556" i="2"/>
  <c r="M556" i="2" s="1"/>
  <c r="K403" i="2"/>
  <c r="M403" i="2" s="1"/>
  <c r="K96" i="2"/>
  <c r="M96" i="2" s="1"/>
  <c r="L450" i="2"/>
  <c r="N450" i="2" s="1"/>
  <c r="K537" i="2"/>
  <c r="M537" i="2" s="1"/>
  <c r="K521" i="2"/>
  <c r="M521" i="2" s="1"/>
  <c r="L35" i="2"/>
  <c r="N35" i="2" s="1"/>
  <c r="L702" i="2"/>
  <c r="N702" i="2" s="1"/>
  <c r="L694" i="2"/>
  <c r="N694" i="2" s="1"/>
  <c r="K678" i="2"/>
  <c r="M678" i="2" s="1"/>
  <c r="L670" i="2"/>
  <c r="N670" i="2" s="1"/>
  <c r="L606" i="2"/>
  <c r="N606" i="2" s="1"/>
  <c r="L574" i="2"/>
  <c r="N574" i="2" s="1"/>
  <c r="L566" i="2"/>
  <c r="N566" i="2" s="1"/>
  <c r="L550" i="2"/>
  <c r="N550" i="2" s="1"/>
  <c r="L534" i="2"/>
  <c r="N534" i="2" s="1"/>
  <c r="L518" i="2"/>
  <c r="N518" i="2" s="1"/>
  <c r="L470" i="2"/>
  <c r="N470" i="2" s="1"/>
  <c r="L454" i="2"/>
  <c r="N454" i="2" s="1"/>
  <c r="L446" i="2"/>
  <c r="N446" i="2" s="1"/>
  <c r="L438" i="2"/>
  <c r="N438" i="2" s="1"/>
  <c r="L422" i="2"/>
  <c r="N422" i="2" s="1"/>
  <c r="L414" i="2"/>
  <c r="N414" i="2" s="1"/>
  <c r="K262" i="2"/>
  <c r="M262" i="2" s="1"/>
  <c r="L190" i="2"/>
  <c r="N190" i="2" s="1"/>
  <c r="K94" i="2"/>
  <c r="M94" i="2" s="1"/>
  <c r="K30" i="2"/>
  <c r="M30" i="2" s="1"/>
  <c r="L685" i="2"/>
  <c r="N685" i="2" s="1"/>
  <c r="L669" i="2"/>
  <c r="N669" i="2" s="1"/>
  <c r="L653" i="2"/>
  <c r="N653" i="2" s="1"/>
  <c r="L637" i="2"/>
  <c r="N637" i="2" s="1"/>
  <c r="L589" i="2"/>
  <c r="N589" i="2" s="1"/>
  <c r="L573" i="2"/>
  <c r="N573" i="2" s="1"/>
  <c r="L557" i="2"/>
  <c r="N557" i="2" s="1"/>
  <c r="L541" i="2"/>
  <c r="N541" i="2" s="1"/>
  <c r="L429" i="2"/>
  <c r="N429" i="2" s="1"/>
  <c r="L413" i="2"/>
  <c r="N413" i="2" s="1"/>
  <c r="L149" i="2"/>
  <c r="N149" i="2" s="1"/>
  <c r="L21" i="2"/>
  <c r="N21" i="2" s="1"/>
  <c r="K573" i="2"/>
  <c r="M573" i="2" s="1"/>
  <c r="K508" i="2"/>
  <c r="M508" i="2" s="1"/>
  <c r="L700" i="2"/>
  <c r="N700" i="2" s="1"/>
  <c r="K564" i="2"/>
  <c r="M564" i="2" s="1"/>
  <c r="K492" i="2"/>
  <c r="M492" i="2" s="1"/>
  <c r="L436" i="2"/>
  <c r="N436" i="2" s="1"/>
  <c r="K637" i="2"/>
  <c r="M637" i="2" s="1"/>
  <c r="K21" i="2"/>
  <c r="M21" i="2" s="1"/>
  <c r="L699" i="2"/>
  <c r="N699" i="2" s="1"/>
  <c r="K699" i="2"/>
  <c r="M699" i="2" s="1"/>
  <c r="L683" i="2"/>
  <c r="N683" i="2" s="1"/>
  <c r="K683" i="2"/>
  <c r="M683" i="2" s="1"/>
  <c r="L667" i="2"/>
  <c r="N667" i="2" s="1"/>
  <c r="K667" i="2"/>
  <c r="M667" i="2" s="1"/>
  <c r="L635" i="2"/>
  <c r="N635" i="2" s="1"/>
  <c r="K635" i="2"/>
  <c r="M635" i="2" s="1"/>
  <c r="L619" i="2"/>
  <c r="N619" i="2" s="1"/>
  <c r="K619" i="2"/>
  <c r="M619" i="2" s="1"/>
  <c r="L603" i="2"/>
  <c r="N603" i="2" s="1"/>
  <c r="K603" i="2"/>
  <c r="M603" i="2" s="1"/>
  <c r="L563" i="2"/>
  <c r="N563" i="2" s="1"/>
  <c r="K563" i="2"/>
  <c r="M563" i="2" s="1"/>
  <c r="L547" i="2"/>
  <c r="N547" i="2" s="1"/>
  <c r="K547" i="2"/>
  <c r="M547" i="2" s="1"/>
  <c r="L531" i="2"/>
  <c r="N531" i="2" s="1"/>
  <c r="K531" i="2"/>
  <c r="M531" i="2" s="1"/>
  <c r="K491" i="2"/>
  <c r="M491" i="2" s="1"/>
  <c r="L491" i="2"/>
  <c r="N491" i="2" s="1"/>
  <c r="L475" i="2"/>
  <c r="N475" i="2" s="1"/>
  <c r="K475" i="2"/>
  <c r="M475" i="2" s="1"/>
  <c r="L459" i="2"/>
  <c r="N459" i="2" s="1"/>
  <c r="K459" i="2"/>
  <c r="M459" i="2" s="1"/>
  <c r="L451" i="2"/>
  <c r="N451" i="2" s="1"/>
  <c r="K451" i="2"/>
  <c r="M451" i="2" s="1"/>
  <c r="L435" i="2"/>
  <c r="N435" i="2" s="1"/>
  <c r="K435" i="2"/>
  <c r="M435" i="2" s="1"/>
  <c r="L427" i="2"/>
  <c r="N427" i="2" s="1"/>
  <c r="K427" i="2"/>
  <c r="M427" i="2" s="1"/>
  <c r="L411" i="2"/>
  <c r="N411" i="2" s="1"/>
  <c r="K411" i="2"/>
  <c r="M411" i="2" s="1"/>
  <c r="L379" i="2"/>
  <c r="N379" i="2" s="1"/>
  <c r="K379" i="2"/>
  <c r="M379" i="2" s="1"/>
  <c r="L371" i="2"/>
  <c r="N371" i="2" s="1"/>
  <c r="K371" i="2"/>
  <c r="M371" i="2" s="1"/>
  <c r="L355" i="2"/>
  <c r="N355" i="2" s="1"/>
  <c r="K355" i="2"/>
  <c r="M355" i="2" s="1"/>
  <c r="L315" i="2"/>
  <c r="N315" i="2" s="1"/>
  <c r="K315" i="2"/>
  <c r="M315" i="2" s="1"/>
  <c r="L275" i="2"/>
  <c r="N275" i="2" s="1"/>
  <c r="K275" i="2"/>
  <c r="M275" i="2" s="1"/>
  <c r="L251" i="2"/>
  <c r="N251" i="2" s="1"/>
  <c r="K251" i="2"/>
  <c r="M251" i="2" s="1"/>
  <c r="L219" i="2"/>
  <c r="N219" i="2" s="1"/>
  <c r="K219" i="2"/>
  <c r="M219" i="2" s="1"/>
  <c r="L179" i="2"/>
  <c r="N179" i="2" s="1"/>
  <c r="K179" i="2"/>
  <c r="M179" i="2" s="1"/>
  <c r="L171" i="2"/>
  <c r="N171" i="2" s="1"/>
  <c r="K171" i="2"/>
  <c r="M171" i="2" s="1"/>
  <c r="L155" i="2"/>
  <c r="N155" i="2" s="1"/>
  <c r="K155" i="2"/>
  <c r="M155" i="2" s="1"/>
  <c r="L139" i="2"/>
  <c r="N139" i="2" s="1"/>
  <c r="K139" i="2"/>
  <c r="M139" i="2" s="1"/>
  <c r="L115" i="2"/>
  <c r="N115" i="2" s="1"/>
  <c r="K115" i="2"/>
  <c r="M115" i="2" s="1"/>
  <c r="L698" i="2"/>
  <c r="N698" i="2" s="1"/>
  <c r="K698" i="2"/>
  <c r="M698" i="2" s="1"/>
  <c r="L682" i="2"/>
  <c r="N682" i="2" s="1"/>
  <c r="K682" i="2"/>
  <c r="M682" i="2" s="1"/>
  <c r="L674" i="2"/>
  <c r="N674" i="2" s="1"/>
  <c r="K674" i="2"/>
  <c r="M674" i="2" s="1"/>
  <c r="L666" i="2"/>
  <c r="N666" i="2" s="1"/>
  <c r="K666" i="2"/>
  <c r="M666" i="2" s="1"/>
  <c r="L658" i="2"/>
  <c r="N658" i="2" s="1"/>
  <c r="K658" i="2"/>
  <c r="M658" i="2" s="1"/>
  <c r="L650" i="2"/>
  <c r="N650" i="2" s="1"/>
  <c r="K650" i="2"/>
  <c r="M650" i="2" s="1"/>
  <c r="L634" i="2"/>
  <c r="N634" i="2" s="1"/>
  <c r="K634" i="2"/>
  <c r="M634" i="2" s="1"/>
  <c r="K578" i="2"/>
  <c r="M578" i="2" s="1"/>
  <c r="L578" i="2"/>
  <c r="N578" i="2" s="1"/>
  <c r="L570" i="2"/>
  <c r="N570" i="2" s="1"/>
  <c r="K570" i="2"/>
  <c r="M570" i="2" s="1"/>
  <c r="L562" i="2"/>
  <c r="N562" i="2" s="1"/>
  <c r="K562" i="2"/>
  <c r="M562" i="2" s="1"/>
  <c r="L554" i="2"/>
  <c r="N554" i="2" s="1"/>
  <c r="K554" i="2"/>
  <c r="M554" i="2" s="1"/>
  <c r="L546" i="2"/>
  <c r="N546" i="2" s="1"/>
  <c r="K546" i="2"/>
  <c r="M546" i="2" s="1"/>
  <c r="L538" i="2"/>
  <c r="N538" i="2" s="1"/>
  <c r="K538" i="2"/>
  <c r="M538" i="2" s="1"/>
  <c r="L530" i="2"/>
  <c r="N530" i="2" s="1"/>
  <c r="K530" i="2"/>
  <c r="M530" i="2" s="1"/>
  <c r="L514" i="2"/>
  <c r="N514" i="2" s="1"/>
  <c r="K514" i="2"/>
  <c r="M514" i="2" s="1"/>
  <c r="L506" i="2"/>
  <c r="N506" i="2" s="1"/>
  <c r="K506" i="2"/>
  <c r="M506" i="2" s="1"/>
  <c r="L498" i="2"/>
  <c r="N498" i="2" s="1"/>
  <c r="K498" i="2"/>
  <c r="M498" i="2" s="1"/>
  <c r="L474" i="2"/>
  <c r="N474" i="2" s="1"/>
  <c r="K474" i="2"/>
  <c r="M474" i="2" s="1"/>
  <c r="L458" i="2"/>
  <c r="N458" i="2" s="1"/>
  <c r="K458" i="2"/>
  <c r="M458" i="2" s="1"/>
  <c r="L442" i="2"/>
  <c r="N442" i="2" s="1"/>
  <c r="K442" i="2"/>
  <c r="M442" i="2" s="1"/>
  <c r="L426" i="2"/>
  <c r="N426" i="2" s="1"/>
  <c r="K426" i="2"/>
  <c r="M426" i="2" s="1"/>
  <c r="L418" i="2"/>
  <c r="N418" i="2" s="1"/>
  <c r="K418" i="2"/>
  <c r="M418" i="2" s="1"/>
  <c r="L410" i="2"/>
  <c r="N410" i="2" s="1"/>
  <c r="K410" i="2"/>
  <c r="M410" i="2" s="1"/>
  <c r="L402" i="2"/>
  <c r="N402" i="2" s="1"/>
  <c r="K402" i="2"/>
  <c r="M402" i="2" s="1"/>
  <c r="L386" i="2"/>
  <c r="N386" i="2" s="1"/>
  <c r="K386" i="2"/>
  <c r="M386" i="2" s="1"/>
  <c r="L370" i="2"/>
  <c r="N370" i="2" s="1"/>
  <c r="K370" i="2"/>
  <c r="M370" i="2" s="1"/>
  <c r="L362" i="2"/>
  <c r="N362" i="2" s="1"/>
  <c r="K362" i="2"/>
  <c r="M362" i="2" s="1"/>
  <c r="L346" i="2"/>
  <c r="N346" i="2" s="1"/>
  <c r="K346" i="2"/>
  <c r="M346" i="2" s="1"/>
  <c r="L330" i="2"/>
  <c r="N330" i="2" s="1"/>
  <c r="K330" i="2"/>
  <c r="M330" i="2" s="1"/>
  <c r="L314" i="2"/>
  <c r="N314" i="2" s="1"/>
  <c r="K314" i="2"/>
  <c r="M314" i="2" s="1"/>
  <c r="L306" i="2"/>
  <c r="N306" i="2" s="1"/>
  <c r="K306" i="2"/>
  <c r="M306" i="2" s="1"/>
  <c r="L298" i="2"/>
  <c r="N298" i="2" s="1"/>
  <c r="K298" i="2"/>
  <c r="M298" i="2" s="1"/>
  <c r="L282" i="2"/>
  <c r="N282" i="2" s="1"/>
  <c r="K282" i="2"/>
  <c r="M282" i="2" s="1"/>
  <c r="L274" i="2"/>
  <c r="N274" i="2" s="1"/>
  <c r="K274" i="2"/>
  <c r="M274" i="2" s="1"/>
  <c r="L266" i="2"/>
  <c r="N266" i="2" s="1"/>
  <c r="K266" i="2"/>
  <c r="M266" i="2" s="1"/>
  <c r="K702" i="2"/>
  <c r="M702" i="2" s="1"/>
  <c r="K669" i="2"/>
  <c r="M669" i="2" s="1"/>
  <c r="K566" i="2"/>
  <c r="M566" i="2" s="1"/>
  <c r="K499" i="2"/>
  <c r="M499" i="2" s="1"/>
  <c r="K466" i="2"/>
  <c r="M466" i="2" s="1"/>
  <c r="K429" i="2"/>
  <c r="M429" i="2" s="1"/>
  <c r="K395" i="2"/>
  <c r="M395" i="2" s="1"/>
  <c r="K299" i="2"/>
  <c r="M299" i="2" s="1"/>
  <c r="L579" i="2"/>
  <c r="N579" i="2" s="1"/>
  <c r="L394" i="2"/>
  <c r="N394" i="2" s="1"/>
  <c r="L195" i="2"/>
  <c r="N195" i="2" s="1"/>
  <c r="K694" i="2"/>
  <c r="M694" i="2" s="1"/>
  <c r="K627" i="2"/>
  <c r="M627" i="2" s="1"/>
  <c r="K594" i="2"/>
  <c r="M594" i="2" s="1"/>
  <c r="K557" i="2"/>
  <c r="M557" i="2" s="1"/>
  <c r="K490" i="2"/>
  <c r="M490" i="2" s="1"/>
  <c r="K422" i="2"/>
  <c r="M422" i="2" s="1"/>
  <c r="K290" i="2"/>
  <c r="M290" i="2" s="1"/>
  <c r="K190" i="2"/>
  <c r="M190" i="2" s="1"/>
  <c r="L691" i="2"/>
  <c r="N691" i="2" s="1"/>
  <c r="K651" i="2"/>
  <c r="M651" i="2" s="1"/>
  <c r="L651" i="2"/>
  <c r="N651" i="2" s="1"/>
  <c r="L611" i="2"/>
  <c r="N611" i="2" s="1"/>
  <c r="K611" i="2"/>
  <c r="M611" i="2" s="1"/>
  <c r="K595" i="2"/>
  <c r="M595" i="2" s="1"/>
  <c r="L595" i="2"/>
  <c r="N595" i="2" s="1"/>
  <c r="L587" i="2"/>
  <c r="N587" i="2" s="1"/>
  <c r="K587" i="2"/>
  <c r="M587" i="2" s="1"/>
  <c r="L571" i="2"/>
  <c r="N571" i="2" s="1"/>
  <c r="K571" i="2"/>
  <c r="M571" i="2" s="1"/>
  <c r="L555" i="2"/>
  <c r="N555" i="2" s="1"/>
  <c r="K555" i="2"/>
  <c r="M555" i="2" s="1"/>
  <c r="L539" i="2"/>
  <c r="N539" i="2" s="1"/>
  <c r="K539" i="2"/>
  <c r="M539" i="2" s="1"/>
  <c r="L507" i="2"/>
  <c r="N507" i="2" s="1"/>
  <c r="K507" i="2"/>
  <c r="M507" i="2" s="1"/>
  <c r="L443" i="2"/>
  <c r="N443" i="2" s="1"/>
  <c r="K443" i="2"/>
  <c r="M443" i="2" s="1"/>
  <c r="L387" i="2"/>
  <c r="N387" i="2" s="1"/>
  <c r="K387" i="2"/>
  <c r="M387" i="2" s="1"/>
  <c r="L347" i="2"/>
  <c r="N347" i="2" s="1"/>
  <c r="K347" i="2"/>
  <c r="M347" i="2" s="1"/>
  <c r="K339" i="2"/>
  <c r="M339" i="2" s="1"/>
  <c r="L339" i="2"/>
  <c r="N339" i="2" s="1"/>
  <c r="L323" i="2"/>
  <c r="N323" i="2" s="1"/>
  <c r="K323" i="2"/>
  <c r="M323" i="2" s="1"/>
  <c r="L307" i="2"/>
  <c r="N307" i="2" s="1"/>
  <c r="K307" i="2"/>
  <c r="M307" i="2" s="1"/>
  <c r="L291" i="2"/>
  <c r="N291" i="2" s="1"/>
  <c r="K291" i="2"/>
  <c r="M291" i="2" s="1"/>
  <c r="L259" i="2"/>
  <c r="N259" i="2" s="1"/>
  <c r="K259" i="2"/>
  <c r="M259" i="2" s="1"/>
  <c r="L243" i="2"/>
  <c r="N243" i="2" s="1"/>
  <c r="K243" i="2"/>
  <c r="M243" i="2" s="1"/>
  <c r="L227" i="2"/>
  <c r="N227" i="2" s="1"/>
  <c r="K227" i="2"/>
  <c r="M227" i="2" s="1"/>
  <c r="K211" i="2"/>
  <c r="M211" i="2" s="1"/>
  <c r="L211" i="2"/>
  <c r="N211" i="2" s="1"/>
  <c r="L203" i="2"/>
  <c r="N203" i="2" s="1"/>
  <c r="K203" i="2"/>
  <c r="M203" i="2" s="1"/>
  <c r="L187" i="2"/>
  <c r="N187" i="2" s="1"/>
  <c r="K187" i="2"/>
  <c r="M187" i="2" s="1"/>
  <c r="K163" i="2"/>
  <c r="M163" i="2" s="1"/>
  <c r="L163" i="2"/>
  <c r="N163" i="2" s="1"/>
  <c r="L147" i="2"/>
  <c r="N147" i="2" s="1"/>
  <c r="K147" i="2"/>
  <c r="M147" i="2" s="1"/>
  <c r="L123" i="2"/>
  <c r="N123" i="2" s="1"/>
  <c r="K123" i="2"/>
  <c r="M123" i="2" s="1"/>
  <c r="K467" i="2"/>
  <c r="M467" i="2" s="1"/>
  <c r="L602" i="2"/>
  <c r="N602" i="2" s="1"/>
  <c r="K602" i="2"/>
  <c r="M602" i="2" s="1"/>
  <c r="K659" i="2"/>
  <c r="M659" i="2" s="1"/>
  <c r="K626" i="2"/>
  <c r="M626" i="2" s="1"/>
  <c r="K589" i="2"/>
  <c r="M589" i="2" s="1"/>
  <c r="K522" i="2"/>
  <c r="M522" i="2" s="1"/>
  <c r="K454" i="2"/>
  <c r="M454" i="2" s="1"/>
  <c r="K419" i="2"/>
  <c r="M419" i="2" s="1"/>
  <c r="K378" i="2"/>
  <c r="M378" i="2" s="1"/>
  <c r="K267" i="2"/>
  <c r="M267" i="2" s="1"/>
  <c r="L678" i="2"/>
  <c r="N678" i="2" s="1"/>
  <c r="L338" i="2"/>
  <c r="N338" i="2" s="1"/>
  <c r="L131" i="2"/>
  <c r="N131" i="2" s="1"/>
  <c r="K690" i="2"/>
  <c r="M690" i="2" s="1"/>
  <c r="K653" i="2"/>
  <c r="M653" i="2" s="1"/>
  <c r="K586" i="2"/>
  <c r="M586" i="2" s="1"/>
  <c r="K518" i="2"/>
  <c r="M518" i="2" s="1"/>
  <c r="K483" i="2"/>
  <c r="M483" i="2" s="1"/>
  <c r="K414" i="2"/>
  <c r="M414" i="2" s="1"/>
  <c r="L523" i="2"/>
  <c r="N523" i="2" s="1"/>
  <c r="L686" i="2"/>
  <c r="N686" i="2" s="1"/>
  <c r="K686" i="2"/>
  <c r="M686" i="2" s="1"/>
  <c r="K662" i="2"/>
  <c r="M662" i="2" s="1"/>
  <c r="L662" i="2"/>
  <c r="N662" i="2" s="1"/>
  <c r="L654" i="2"/>
  <c r="N654" i="2" s="1"/>
  <c r="K654" i="2"/>
  <c r="M654" i="2" s="1"/>
  <c r="L646" i="2"/>
  <c r="N646" i="2" s="1"/>
  <c r="K646" i="2"/>
  <c r="M646" i="2" s="1"/>
  <c r="L638" i="2"/>
  <c r="N638" i="2" s="1"/>
  <c r="K638" i="2"/>
  <c r="M638" i="2" s="1"/>
  <c r="L630" i="2"/>
  <c r="N630" i="2" s="1"/>
  <c r="K630" i="2"/>
  <c r="M630" i="2" s="1"/>
  <c r="L622" i="2"/>
  <c r="N622" i="2" s="1"/>
  <c r="K622" i="2"/>
  <c r="M622" i="2" s="1"/>
  <c r="L614" i="2"/>
  <c r="N614" i="2" s="1"/>
  <c r="K614" i="2"/>
  <c r="M614" i="2" s="1"/>
  <c r="L598" i="2"/>
  <c r="N598" i="2" s="1"/>
  <c r="K598" i="2"/>
  <c r="M598" i="2" s="1"/>
  <c r="L590" i="2"/>
  <c r="N590" i="2" s="1"/>
  <c r="K590" i="2"/>
  <c r="M590" i="2" s="1"/>
  <c r="L582" i="2"/>
  <c r="N582" i="2" s="1"/>
  <c r="K582" i="2"/>
  <c r="M582" i="2" s="1"/>
  <c r="L558" i="2"/>
  <c r="N558" i="2" s="1"/>
  <c r="K558" i="2"/>
  <c r="M558" i="2" s="1"/>
  <c r="L542" i="2"/>
  <c r="N542" i="2" s="1"/>
  <c r="K542" i="2"/>
  <c r="M542" i="2" s="1"/>
  <c r="L526" i="2"/>
  <c r="N526" i="2" s="1"/>
  <c r="K526" i="2"/>
  <c r="M526" i="2" s="1"/>
  <c r="L510" i="2"/>
  <c r="N510" i="2" s="1"/>
  <c r="K510" i="2"/>
  <c r="M510" i="2" s="1"/>
  <c r="L502" i="2"/>
  <c r="N502" i="2" s="1"/>
  <c r="K502" i="2"/>
  <c r="M502" i="2" s="1"/>
  <c r="L494" i="2"/>
  <c r="N494" i="2" s="1"/>
  <c r="K494" i="2"/>
  <c r="M494" i="2" s="1"/>
  <c r="L486" i="2"/>
  <c r="N486" i="2" s="1"/>
  <c r="K486" i="2"/>
  <c r="M486" i="2" s="1"/>
  <c r="L478" i="2"/>
  <c r="N478" i="2" s="1"/>
  <c r="K478" i="2"/>
  <c r="M478" i="2" s="1"/>
  <c r="L462" i="2"/>
  <c r="N462" i="2" s="1"/>
  <c r="K462" i="2"/>
  <c r="M462" i="2" s="1"/>
  <c r="L430" i="2"/>
  <c r="N430" i="2" s="1"/>
  <c r="K430" i="2"/>
  <c r="M430" i="2" s="1"/>
  <c r="K406" i="2"/>
  <c r="M406" i="2" s="1"/>
  <c r="L406" i="2"/>
  <c r="N406" i="2" s="1"/>
  <c r="L398" i="2"/>
  <c r="N398" i="2" s="1"/>
  <c r="K398" i="2"/>
  <c r="M398" i="2" s="1"/>
  <c r="L390" i="2"/>
  <c r="N390" i="2" s="1"/>
  <c r="K390" i="2"/>
  <c r="M390" i="2" s="1"/>
  <c r="L382" i="2"/>
  <c r="N382" i="2" s="1"/>
  <c r="K382" i="2"/>
  <c r="M382" i="2" s="1"/>
  <c r="L374" i="2"/>
  <c r="N374" i="2" s="1"/>
  <c r="K374" i="2"/>
  <c r="M374" i="2" s="1"/>
  <c r="L366" i="2"/>
  <c r="N366" i="2" s="1"/>
  <c r="K366" i="2"/>
  <c r="M366" i="2" s="1"/>
  <c r="L358" i="2"/>
  <c r="N358" i="2" s="1"/>
  <c r="K358" i="2"/>
  <c r="M358" i="2" s="1"/>
  <c r="K350" i="2"/>
  <c r="M350" i="2" s="1"/>
  <c r="L350" i="2"/>
  <c r="N350" i="2" s="1"/>
  <c r="L342" i="2"/>
  <c r="N342" i="2" s="1"/>
  <c r="K342" i="2"/>
  <c r="M342" i="2" s="1"/>
  <c r="L334" i="2"/>
  <c r="N334" i="2" s="1"/>
  <c r="K334" i="2"/>
  <c r="M334" i="2" s="1"/>
  <c r="L326" i="2"/>
  <c r="N326" i="2" s="1"/>
  <c r="K326" i="2"/>
  <c r="M326" i="2" s="1"/>
  <c r="L318" i="2"/>
  <c r="N318" i="2" s="1"/>
  <c r="K318" i="2"/>
  <c r="M318" i="2" s="1"/>
  <c r="L310" i="2"/>
  <c r="N310" i="2" s="1"/>
  <c r="K310" i="2"/>
  <c r="M310" i="2" s="1"/>
  <c r="L302" i="2"/>
  <c r="N302" i="2" s="1"/>
  <c r="K302" i="2"/>
  <c r="M302" i="2" s="1"/>
  <c r="K294" i="2"/>
  <c r="M294" i="2" s="1"/>
  <c r="L294" i="2"/>
  <c r="N294" i="2" s="1"/>
  <c r="K286" i="2"/>
  <c r="M286" i="2" s="1"/>
  <c r="L286" i="2"/>
  <c r="N286" i="2" s="1"/>
  <c r="K278" i="2"/>
  <c r="M278" i="2" s="1"/>
  <c r="L278" i="2"/>
  <c r="N278" i="2" s="1"/>
  <c r="L270" i="2"/>
  <c r="N270" i="2" s="1"/>
  <c r="K270" i="2"/>
  <c r="M270" i="2" s="1"/>
  <c r="L254" i="2"/>
  <c r="N254" i="2" s="1"/>
  <c r="K254" i="2"/>
  <c r="M254" i="2" s="1"/>
  <c r="L246" i="2"/>
  <c r="N246" i="2" s="1"/>
  <c r="K246" i="2"/>
  <c r="M246" i="2" s="1"/>
  <c r="L238" i="2"/>
  <c r="N238" i="2" s="1"/>
  <c r="K238" i="2"/>
  <c r="M238" i="2" s="1"/>
  <c r="L230" i="2"/>
  <c r="N230" i="2" s="1"/>
  <c r="K230" i="2"/>
  <c r="M230" i="2" s="1"/>
  <c r="L222" i="2"/>
  <c r="N222" i="2" s="1"/>
  <c r="K222" i="2"/>
  <c r="M222" i="2" s="1"/>
  <c r="K214" i="2"/>
  <c r="M214" i="2" s="1"/>
  <c r="L214" i="2"/>
  <c r="N214" i="2" s="1"/>
  <c r="L206" i="2"/>
  <c r="N206" i="2" s="1"/>
  <c r="K206" i="2"/>
  <c r="M206" i="2" s="1"/>
  <c r="K198" i="2"/>
  <c r="M198" i="2" s="1"/>
  <c r="L198" i="2"/>
  <c r="N198" i="2" s="1"/>
  <c r="L182" i="2"/>
  <c r="N182" i="2" s="1"/>
  <c r="K182" i="2"/>
  <c r="M182" i="2" s="1"/>
  <c r="L174" i="2"/>
  <c r="N174" i="2" s="1"/>
  <c r="K174" i="2"/>
  <c r="M174" i="2" s="1"/>
  <c r="L166" i="2"/>
  <c r="N166" i="2" s="1"/>
  <c r="K166" i="2"/>
  <c r="M166" i="2" s="1"/>
  <c r="L158" i="2"/>
  <c r="N158" i="2" s="1"/>
  <c r="K158" i="2"/>
  <c r="M158" i="2" s="1"/>
  <c r="L150" i="2"/>
  <c r="N150" i="2" s="1"/>
  <c r="K150" i="2"/>
  <c r="M150" i="2" s="1"/>
  <c r="L142" i="2"/>
  <c r="N142" i="2" s="1"/>
  <c r="K142" i="2"/>
  <c r="M142" i="2" s="1"/>
  <c r="L134" i="2"/>
  <c r="N134" i="2" s="1"/>
  <c r="K134" i="2"/>
  <c r="M134" i="2" s="1"/>
  <c r="K685" i="2"/>
  <c r="M685" i="2" s="1"/>
  <c r="K618" i="2"/>
  <c r="M618" i="2" s="1"/>
  <c r="K550" i="2"/>
  <c r="M550" i="2" s="1"/>
  <c r="K515" i="2"/>
  <c r="M515" i="2" s="1"/>
  <c r="K482" i="2"/>
  <c r="M482" i="2" s="1"/>
  <c r="K446" i="2"/>
  <c r="M446" i="2" s="1"/>
  <c r="K413" i="2"/>
  <c r="M413" i="2" s="1"/>
  <c r="K363" i="2"/>
  <c r="M363" i="2" s="1"/>
  <c r="K235" i="2"/>
  <c r="M235" i="2" s="1"/>
  <c r="K149" i="2"/>
  <c r="M149" i="2" s="1"/>
  <c r="L283" i="2"/>
  <c r="N283" i="2" s="1"/>
  <c r="K283" i="2"/>
  <c r="M283" i="2" s="1"/>
  <c r="L701" i="2"/>
  <c r="N701" i="2" s="1"/>
  <c r="K701" i="2"/>
  <c r="M701" i="2" s="1"/>
  <c r="L693" i="2"/>
  <c r="N693" i="2" s="1"/>
  <c r="K693" i="2"/>
  <c r="M693" i="2" s="1"/>
  <c r="L677" i="2"/>
  <c r="N677" i="2" s="1"/>
  <c r="K677" i="2"/>
  <c r="M677" i="2" s="1"/>
  <c r="K661" i="2"/>
  <c r="M661" i="2" s="1"/>
  <c r="L661" i="2"/>
  <c r="N661" i="2" s="1"/>
  <c r="L645" i="2"/>
  <c r="N645" i="2" s="1"/>
  <c r="K645" i="2"/>
  <c r="M645" i="2" s="1"/>
  <c r="L629" i="2"/>
  <c r="N629" i="2" s="1"/>
  <c r="K629" i="2"/>
  <c r="M629" i="2" s="1"/>
  <c r="L621" i="2"/>
  <c r="N621" i="2" s="1"/>
  <c r="K621" i="2"/>
  <c r="M621" i="2" s="1"/>
  <c r="L613" i="2"/>
  <c r="N613" i="2" s="1"/>
  <c r="K613" i="2"/>
  <c r="M613" i="2" s="1"/>
  <c r="L605" i="2"/>
  <c r="N605" i="2" s="1"/>
  <c r="K605" i="2"/>
  <c r="M605" i="2" s="1"/>
  <c r="L597" i="2"/>
  <c r="N597" i="2" s="1"/>
  <c r="K597" i="2"/>
  <c r="M597" i="2" s="1"/>
  <c r="L581" i="2"/>
  <c r="N581" i="2" s="1"/>
  <c r="K581" i="2"/>
  <c r="M581" i="2" s="1"/>
  <c r="K565" i="2"/>
  <c r="M565" i="2" s="1"/>
  <c r="L565" i="2"/>
  <c r="N565" i="2" s="1"/>
  <c r="L549" i="2"/>
  <c r="N549" i="2" s="1"/>
  <c r="K549" i="2"/>
  <c r="M549" i="2" s="1"/>
  <c r="L533" i="2"/>
  <c r="N533" i="2" s="1"/>
  <c r="K533" i="2"/>
  <c r="M533" i="2" s="1"/>
  <c r="L525" i="2"/>
  <c r="N525" i="2" s="1"/>
  <c r="K525" i="2"/>
  <c r="M525" i="2" s="1"/>
  <c r="L517" i="2"/>
  <c r="N517" i="2" s="1"/>
  <c r="K517" i="2"/>
  <c r="M517" i="2" s="1"/>
  <c r="K509" i="2"/>
  <c r="M509" i="2" s="1"/>
  <c r="L509" i="2"/>
  <c r="N509" i="2" s="1"/>
  <c r="L501" i="2"/>
  <c r="N501" i="2" s="1"/>
  <c r="K501" i="2"/>
  <c r="M501" i="2" s="1"/>
  <c r="K493" i="2"/>
  <c r="M493" i="2" s="1"/>
  <c r="L493" i="2"/>
  <c r="N493" i="2" s="1"/>
  <c r="L485" i="2"/>
  <c r="N485" i="2" s="1"/>
  <c r="K485" i="2"/>
  <c r="M485" i="2" s="1"/>
  <c r="L477" i="2"/>
  <c r="N477" i="2" s="1"/>
  <c r="K477" i="2"/>
  <c r="M477" i="2" s="1"/>
  <c r="L469" i="2"/>
  <c r="N469" i="2" s="1"/>
  <c r="K469" i="2"/>
  <c r="M469" i="2" s="1"/>
  <c r="L461" i="2"/>
  <c r="N461" i="2" s="1"/>
  <c r="K461" i="2"/>
  <c r="M461" i="2" s="1"/>
  <c r="L453" i="2"/>
  <c r="N453" i="2" s="1"/>
  <c r="K453" i="2"/>
  <c r="M453" i="2" s="1"/>
  <c r="L445" i="2"/>
  <c r="N445" i="2" s="1"/>
  <c r="K445" i="2"/>
  <c r="M445" i="2" s="1"/>
  <c r="K437" i="2"/>
  <c r="M437" i="2" s="1"/>
  <c r="L437" i="2"/>
  <c r="N437" i="2" s="1"/>
  <c r="L421" i="2"/>
  <c r="N421" i="2" s="1"/>
  <c r="K421" i="2"/>
  <c r="M421" i="2" s="1"/>
  <c r="K405" i="2"/>
  <c r="M405" i="2" s="1"/>
  <c r="L405" i="2"/>
  <c r="N405" i="2" s="1"/>
  <c r="L397" i="2"/>
  <c r="N397" i="2" s="1"/>
  <c r="K397" i="2"/>
  <c r="M397" i="2" s="1"/>
  <c r="L389" i="2"/>
  <c r="N389" i="2" s="1"/>
  <c r="K389" i="2"/>
  <c r="M389" i="2" s="1"/>
  <c r="K381" i="2"/>
  <c r="M381" i="2" s="1"/>
  <c r="L381" i="2"/>
  <c r="N381" i="2" s="1"/>
  <c r="K373" i="2"/>
  <c r="M373" i="2" s="1"/>
  <c r="L373" i="2"/>
  <c r="N373" i="2" s="1"/>
  <c r="K365" i="2"/>
  <c r="M365" i="2" s="1"/>
  <c r="L365" i="2"/>
  <c r="N365" i="2" s="1"/>
  <c r="L357" i="2"/>
  <c r="N357" i="2" s="1"/>
  <c r="K357" i="2"/>
  <c r="M357" i="2" s="1"/>
  <c r="K349" i="2"/>
  <c r="M349" i="2" s="1"/>
  <c r="L349" i="2"/>
  <c r="N349" i="2" s="1"/>
  <c r="L341" i="2"/>
  <c r="N341" i="2" s="1"/>
  <c r="K341" i="2"/>
  <c r="M341" i="2" s="1"/>
  <c r="K333" i="2"/>
  <c r="M333" i="2" s="1"/>
  <c r="L333" i="2"/>
  <c r="N333" i="2" s="1"/>
  <c r="L325" i="2"/>
  <c r="N325" i="2" s="1"/>
  <c r="K325" i="2"/>
  <c r="M325" i="2" s="1"/>
  <c r="K317" i="2"/>
  <c r="M317" i="2" s="1"/>
  <c r="L317" i="2"/>
  <c r="N317" i="2" s="1"/>
  <c r="K309" i="2"/>
  <c r="M309" i="2" s="1"/>
  <c r="L309" i="2"/>
  <c r="N309" i="2" s="1"/>
  <c r="K301" i="2"/>
  <c r="M301" i="2" s="1"/>
  <c r="L301" i="2"/>
  <c r="N301" i="2" s="1"/>
  <c r="L293" i="2"/>
  <c r="N293" i="2" s="1"/>
  <c r="K293" i="2"/>
  <c r="M293" i="2" s="1"/>
  <c r="L285" i="2"/>
  <c r="N285" i="2" s="1"/>
  <c r="K285" i="2"/>
  <c r="M285" i="2" s="1"/>
  <c r="L277" i="2"/>
  <c r="N277" i="2" s="1"/>
  <c r="K277" i="2"/>
  <c r="M277" i="2" s="1"/>
  <c r="L269" i="2"/>
  <c r="N269" i="2" s="1"/>
  <c r="K269" i="2"/>
  <c r="M269" i="2" s="1"/>
  <c r="L261" i="2"/>
  <c r="N261" i="2" s="1"/>
  <c r="K261" i="2"/>
  <c r="M261" i="2" s="1"/>
  <c r="L253" i="2"/>
  <c r="N253" i="2" s="1"/>
  <c r="K253" i="2"/>
  <c r="M253" i="2" s="1"/>
  <c r="L245" i="2"/>
  <c r="N245" i="2" s="1"/>
  <c r="K245" i="2"/>
  <c r="M245" i="2" s="1"/>
  <c r="L237" i="2"/>
  <c r="N237" i="2" s="1"/>
  <c r="K237" i="2"/>
  <c r="M237" i="2" s="1"/>
  <c r="L229" i="2"/>
  <c r="N229" i="2" s="1"/>
  <c r="K229" i="2"/>
  <c r="M229" i="2" s="1"/>
  <c r="L221" i="2"/>
  <c r="N221" i="2" s="1"/>
  <c r="K221" i="2"/>
  <c r="M221" i="2" s="1"/>
  <c r="L213" i="2"/>
  <c r="N213" i="2" s="1"/>
  <c r="K213" i="2"/>
  <c r="M213" i="2" s="1"/>
  <c r="L205" i="2"/>
  <c r="N205" i="2" s="1"/>
  <c r="K205" i="2"/>
  <c r="M205" i="2" s="1"/>
  <c r="L197" i="2"/>
  <c r="N197" i="2" s="1"/>
  <c r="K197" i="2"/>
  <c r="M197" i="2" s="1"/>
  <c r="L189" i="2"/>
  <c r="N189" i="2" s="1"/>
  <c r="K189" i="2"/>
  <c r="M189" i="2" s="1"/>
  <c r="L181" i="2"/>
  <c r="N181" i="2" s="1"/>
  <c r="K181" i="2"/>
  <c r="M181" i="2" s="1"/>
  <c r="L173" i="2"/>
  <c r="N173" i="2" s="1"/>
  <c r="K173" i="2"/>
  <c r="M173" i="2" s="1"/>
  <c r="L165" i="2"/>
  <c r="N165" i="2" s="1"/>
  <c r="K165" i="2"/>
  <c r="M165" i="2" s="1"/>
  <c r="L157" i="2"/>
  <c r="N157" i="2" s="1"/>
  <c r="K157" i="2"/>
  <c r="M157" i="2" s="1"/>
  <c r="L141" i="2"/>
  <c r="N141" i="2" s="1"/>
  <c r="K141" i="2"/>
  <c r="M141" i="2" s="1"/>
  <c r="L133" i="2"/>
  <c r="N133" i="2" s="1"/>
  <c r="K133" i="2"/>
  <c r="M133" i="2" s="1"/>
  <c r="L125" i="2"/>
  <c r="N125" i="2" s="1"/>
  <c r="K125" i="2"/>
  <c r="M125" i="2" s="1"/>
  <c r="L117" i="2"/>
  <c r="N117" i="2" s="1"/>
  <c r="K117" i="2"/>
  <c r="M117" i="2" s="1"/>
  <c r="L109" i="2"/>
  <c r="N109" i="2" s="1"/>
  <c r="K109" i="2"/>
  <c r="M109" i="2" s="1"/>
  <c r="L101" i="2"/>
  <c r="N101" i="2" s="1"/>
  <c r="K101" i="2"/>
  <c r="M101" i="2" s="1"/>
  <c r="L93" i="2"/>
  <c r="N93" i="2" s="1"/>
  <c r="K93" i="2"/>
  <c r="M93" i="2" s="1"/>
  <c r="L85" i="2"/>
  <c r="N85" i="2" s="1"/>
  <c r="K85" i="2"/>
  <c r="M85" i="2" s="1"/>
  <c r="L77" i="2"/>
  <c r="N77" i="2" s="1"/>
  <c r="K77" i="2"/>
  <c r="M77" i="2" s="1"/>
  <c r="L69" i="2"/>
  <c r="N69" i="2" s="1"/>
  <c r="K69" i="2"/>
  <c r="M69" i="2" s="1"/>
  <c r="L61" i="2"/>
  <c r="N61" i="2" s="1"/>
  <c r="K61" i="2"/>
  <c r="M61" i="2" s="1"/>
  <c r="L53" i="2"/>
  <c r="N53" i="2" s="1"/>
  <c r="K53" i="2"/>
  <c r="M53" i="2" s="1"/>
  <c r="L45" i="2"/>
  <c r="N45" i="2" s="1"/>
  <c r="K45" i="2"/>
  <c r="M45" i="2" s="1"/>
  <c r="L37" i="2"/>
  <c r="N37" i="2" s="1"/>
  <c r="K37" i="2"/>
  <c r="M37" i="2" s="1"/>
  <c r="L29" i="2"/>
  <c r="N29" i="2" s="1"/>
  <c r="K29" i="2"/>
  <c r="M29" i="2" s="1"/>
  <c r="L13" i="2"/>
  <c r="N13" i="2" s="1"/>
  <c r="K13" i="2"/>
  <c r="M13" i="2" s="1"/>
  <c r="L5" i="2"/>
  <c r="N5" i="2" s="1"/>
  <c r="K5" i="2"/>
  <c r="M5" i="2" s="1"/>
  <c r="K643" i="2"/>
  <c r="M643" i="2" s="1"/>
  <c r="K610" i="2"/>
  <c r="M610" i="2" s="1"/>
  <c r="K574" i="2"/>
  <c r="M574" i="2" s="1"/>
  <c r="K541" i="2"/>
  <c r="M541" i="2" s="1"/>
  <c r="K438" i="2"/>
  <c r="M438" i="2" s="1"/>
  <c r="K354" i="2"/>
  <c r="M354" i="2" s="1"/>
  <c r="L262" i="2"/>
  <c r="N262" i="2" s="1"/>
  <c r="L692" i="2"/>
  <c r="N692" i="2" s="1"/>
  <c r="L684" i="2"/>
  <c r="N684" i="2" s="1"/>
  <c r="L676" i="2"/>
  <c r="N676" i="2" s="1"/>
  <c r="K676" i="2"/>
  <c r="M676" i="2" s="1"/>
  <c r="L668" i="2"/>
  <c r="N668" i="2" s="1"/>
  <c r="L660" i="2"/>
  <c r="N660" i="2" s="1"/>
  <c r="L652" i="2"/>
  <c r="N652" i="2" s="1"/>
  <c r="L644" i="2"/>
  <c r="N644" i="2" s="1"/>
  <c r="K644" i="2"/>
  <c r="M644" i="2" s="1"/>
  <c r="L628" i="2"/>
  <c r="N628" i="2" s="1"/>
  <c r="L612" i="2"/>
  <c r="N612" i="2" s="1"/>
  <c r="K612" i="2"/>
  <c r="M612" i="2" s="1"/>
  <c r="L604" i="2"/>
  <c r="N604" i="2" s="1"/>
  <c r="L596" i="2"/>
  <c r="N596" i="2" s="1"/>
  <c r="L588" i="2"/>
  <c r="N588" i="2" s="1"/>
  <c r="L580" i="2"/>
  <c r="N580" i="2" s="1"/>
  <c r="K580" i="2"/>
  <c r="M580" i="2" s="1"/>
  <c r="L572" i="2"/>
  <c r="N572" i="2" s="1"/>
  <c r="L556" i="2"/>
  <c r="N556" i="2" s="1"/>
  <c r="L548" i="2"/>
  <c r="N548" i="2" s="1"/>
  <c r="K548" i="2"/>
  <c r="M548" i="2" s="1"/>
  <c r="L540" i="2"/>
  <c r="N540" i="2" s="1"/>
  <c r="L532" i="2"/>
  <c r="N532" i="2" s="1"/>
  <c r="L524" i="2"/>
  <c r="N524" i="2" s="1"/>
  <c r="L516" i="2"/>
  <c r="N516" i="2" s="1"/>
  <c r="K516" i="2"/>
  <c r="M516" i="2" s="1"/>
  <c r="L500" i="2"/>
  <c r="N500" i="2" s="1"/>
  <c r="L484" i="2"/>
  <c r="N484" i="2" s="1"/>
  <c r="K484" i="2"/>
  <c r="M484" i="2" s="1"/>
  <c r="L476" i="2"/>
  <c r="N476" i="2" s="1"/>
  <c r="L468" i="2"/>
  <c r="N468" i="2" s="1"/>
  <c r="L460" i="2"/>
  <c r="N460" i="2" s="1"/>
  <c r="L452" i="2"/>
  <c r="N452" i="2" s="1"/>
  <c r="K452" i="2"/>
  <c r="M452" i="2" s="1"/>
  <c r="L444" i="2"/>
  <c r="N444" i="2" s="1"/>
  <c r="L428" i="2"/>
  <c r="N428" i="2" s="1"/>
  <c r="L420" i="2"/>
  <c r="N420" i="2" s="1"/>
  <c r="K420" i="2"/>
  <c r="M420" i="2" s="1"/>
  <c r="L412" i="2"/>
  <c r="N412" i="2" s="1"/>
  <c r="L404" i="2"/>
  <c r="N404" i="2" s="1"/>
  <c r="L396" i="2"/>
  <c r="N396" i="2" s="1"/>
  <c r="L388" i="2"/>
  <c r="N388" i="2" s="1"/>
  <c r="K380" i="2"/>
  <c r="M380" i="2" s="1"/>
  <c r="L372" i="2"/>
  <c r="N372" i="2" s="1"/>
  <c r="K372" i="2"/>
  <c r="M372" i="2" s="1"/>
  <c r="K364" i="2"/>
  <c r="M364" i="2" s="1"/>
  <c r="L356" i="2"/>
  <c r="N356" i="2" s="1"/>
  <c r="K356" i="2"/>
  <c r="M356" i="2" s="1"/>
  <c r="K348" i="2"/>
  <c r="M348" i="2" s="1"/>
  <c r="L348" i="2"/>
  <c r="N348" i="2" s="1"/>
  <c r="L340" i="2"/>
  <c r="N340" i="2" s="1"/>
  <c r="K340" i="2"/>
  <c r="M340" i="2" s="1"/>
  <c r="K332" i="2"/>
  <c r="M332" i="2" s="1"/>
  <c r="L332" i="2"/>
  <c r="N332" i="2" s="1"/>
  <c r="L324" i="2"/>
  <c r="N324" i="2" s="1"/>
  <c r="K324" i="2"/>
  <c r="M324" i="2" s="1"/>
  <c r="K316" i="2"/>
  <c r="M316" i="2" s="1"/>
  <c r="L316" i="2"/>
  <c r="N316" i="2" s="1"/>
  <c r="K308" i="2"/>
  <c r="M308" i="2" s="1"/>
  <c r="K300" i="2"/>
  <c r="M300" i="2" s="1"/>
  <c r="L300" i="2"/>
  <c r="N300" i="2" s="1"/>
  <c r="L292" i="2"/>
  <c r="N292" i="2" s="1"/>
  <c r="K292" i="2"/>
  <c r="M292" i="2" s="1"/>
  <c r="K284" i="2"/>
  <c r="M284" i="2" s="1"/>
  <c r="L284" i="2"/>
  <c r="N284" i="2" s="1"/>
  <c r="K276" i="2"/>
  <c r="M276" i="2" s="1"/>
  <c r="L268" i="2"/>
  <c r="N268" i="2" s="1"/>
  <c r="K268" i="2"/>
  <c r="M268" i="2" s="1"/>
  <c r="L260" i="2"/>
  <c r="N260" i="2" s="1"/>
  <c r="K260" i="2"/>
  <c r="M260" i="2" s="1"/>
  <c r="L252" i="2"/>
  <c r="N252" i="2" s="1"/>
  <c r="K252" i="2"/>
  <c r="M252" i="2" s="1"/>
  <c r="L244" i="2"/>
  <c r="N244" i="2" s="1"/>
  <c r="K244" i="2"/>
  <c r="M244" i="2" s="1"/>
  <c r="L236" i="2"/>
  <c r="N236" i="2" s="1"/>
  <c r="K236" i="2"/>
  <c r="M236" i="2" s="1"/>
  <c r="L228" i="2"/>
  <c r="N228" i="2" s="1"/>
  <c r="K228" i="2"/>
  <c r="M228" i="2" s="1"/>
  <c r="L220" i="2"/>
  <c r="N220" i="2" s="1"/>
  <c r="K220" i="2"/>
  <c r="M220" i="2" s="1"/>
  <c r="L212" i="2"/>
  <c r="N212" i="2" s="1"/>
  <c r="K212" i="2"/>
  <c r="M212" i="2" s="1"/>
  <c r="L204" i="2"/>
  <c r="N204" i="2" s="1"/>
  <c r="K204" i="2"/>
  <c r="M204" i="2" s="1"/>
  <c r="L196" i="2"/>
  <c r="N196" i="2" s="1"/>
  <c r="K196" i="2"/>
  <c r="M196" i="2" s="1"/>
  <c r="L188" i="2"/>
  <c r="N188" i="2" s="1"/>
  <c r="K188" i="2"/>
  <c r="M188" i="2" s="1"/>
  <c r="L180" i="2"/>
  <c r="N180" i="2" s="1"/>
  <c r="K180" i="2"/>
  <c r="M180" i="2" s="1"/>
  <c r="L172" i="2"/>
  <c r="N172" i="2" s="1"/>
  <c r="L164" i="2"/>
  <c r="N164" i="2" s="1"/>
  <c r="K164" i="2"/>
  <c r="M164" i="2" s="1"/>
  <c r="L156" i="2"/>
  <c r="N156" i="2" s="1"/>
  <c r="K156" i="2"/>
  <c r="M156" i="2" s="1"/>
  <c r="L148" i="2"/>
  <c r="N148" i="2" s="1"/>
  <c r="K148" i="2"/>
  <c r="M148" i="2" s="1"/>
  <c r="L140" i="2"/>
  <c r="N140" i="2" s="1"/>
  <c r="L132" i="2"/>
  <c r="N132" i="2" s="1"/>
  <c r="K132" i="2"/>
  <c r="M132" i="2" s="1"/>
  <c r="L124" i="2"/>
  <c r="N124" i="2" s="1"/>
  <c r="K124" i="2"/>
  <c r="M124" i="2" s="1"/>
  <c r="L116" i="2"/>
  <c r="N116" i="2" s="1"/>
  <c r="K116" i="2"/>
  <c r="M116" i="2" s="1"/>
  <c r="L108" i="2"/>
  <c r="N108" i="2" s="1"/>
  <c r="L100" i="2"/>
  <c r="N100" i="2" s="1"/>
  <c r="K100" i="2"/>
  <c r="M100" i="2" s="1"/>
  <c r="L92" i="2"/>
  <c r="N92" i="2" s="1"/>
  <c r="K92" i="2"/>
  <c r="M92" i="2" s="1"/>
  <c r="L84" i="2"/>
  <c r="N84" i="2" s="1"/>
  <c r="K84" i="2"/>
  <c r="M84" i="2" s="1"/>
  <c r="L76" i="2"/>
  <c r="N76" i="2" s="1"/>
  <c r="L68" i="2"/>
  <c r="N68" i="2" s="1"/>
  <c r="K68" i="2"/>
  <c r="M68" i="2" s="1"/>
  <c r="L60" i="2"/>
  <c r="N60" i="2" s="1"/>
  <c r="K60" i="2"/>
  <c r="M60" i="2" s="1"/>
  <c r="L52" i="2"/>
  <c r="N52" i="2" s="1"/>
  <c r="K52" i="2"/>
  <c r="M52" i="2" s="1"/>
  <c r="L44" i="2"/>
  <c r="N44" i="2" s="1"/>
  <c r="L36" i="2"/>
  <c r="N36" i="2" s="1"/>
  <c r="K36" i="2"/>
  <c r="M36" i="2" s="1"/>
  <c r="L28" i="2"/>
  <c r="N28" i="2" s="1"/>
  <c r="K28" i="2"/>
  <c r="M28" i="2" s="1"/>
  <c r="L20" i="2"/>
  <c r="N20" i="2" s="1"/>
  <c r="K20" i="2"/>
  <c r="M20" i="2" s="1"/>
  <c r="L12" i="2"/>
  <c r="N12" i="2" s="1"/>
  <c r="L4" i="2"/>
  <c r="N4" i="2" s="1"/>
  <c r="K4" i="2"/>
  <c r="M4" i="2" s="1"/>
  <c r="K588" i="2"/>
  <c r="M588" i="2" s="1"/>
  <c r="K572" i="2"/>
  <c r="M572" i="2" s="1"/>
  <c r="K468" i="2"/>
  <c r="M468" i="2" s="1"/>
  <c r="K191" i="2"/>
  <c r="M191" i="2" s="1"/>
  <c r="K108" i="2"/>
  <c r="M108" i="2" s="1"/>
  <c r="K22" i="2"/>
  <c r="M22" i="2" s="1"/>
  <c r="L99" i="2"/>
  <c r="N99" i="2" s="1"/>
  <c r="L697" i="2"/>
  <c r="N697" i="2" s="1"/>
  <c r="L689" i="2"/>
  <c r="N689" i="2" s="1"/>
  <c r="K689" i="2"/>
  <c r="M689" i="2" s="1"/>
  <c r="L681" i="2"/>
  <c r="N681" i="2" s="1"/>
  <c r="L673" i="2"/>
  <c r="N673" i="2" s="1"/>
  <c r="K673" i="2"/>
  <c r="M673" i="2" s="1"/>
  <c r="L665" i="2"/>
  <c r="N665" i="2" s="1"/>
  <c r="L657" i="2"/>
  <c r="N657" i="2" s="1"/>
  <c r="K657" i="2"/>
  <c r="M657" i="2" s="1"/>
  <c r="L649" i="2"/>
  <c r="N649" i="2" s="1"/>
  <c r="L641" i="2"/>
  <c r="N641" i="2" s="1"/>
  <c r="K641" i="2"/>
  <c r="M641" i="2" s="1"/>
  <c r="L633" i="2"/>
  <c r="N633" i="2" s="1"/>
  <c r="L625" i="2"/>
  <c r="N625" i="2" s="1"/>
  <c r="K625" i="2"/>
  <c r="M625" i="2" s="1"/>
  <c r="L617" i="2"/>
  <c r="N617" i="2" s="1"/>
  <c r="L609" i="2"/>
  <c r="N609" i="2" s="1"/>
  <c r="K609" i="2"/>
  <c r="M609" i="2" s="1"/>
  <c r="L601" i="2"/>
  <c r="N601" i="2" s="1"/>
  <c r="L593" i="2"/>
  <c r="N593" i="2" s="1"/>
  <c r="K593" i="2"/>
  <c r="M593" i="2" s="1"/>
  <c r="L585" i="2"/>
  <c r="N585" i="2" s="1"/>
  <c r="L577" i="2"/>
  <c r="N577" i="2" s="1"/>
  <c r="K577" i="2"/>
  <c r="M577" i="2" s="1"/>
  <c r="L569" i="2"/>
  <c r="N569" i="2" s="1"/>
  <c r="L561" i="2"/>
  <c r="N561" i="2" s="1"/>
  <c r="K561" i="2"/>
  <c r="M561" i="2" s="1"/>
  <c r="L553" i="2"/>
  <c r="N553" i="2" s="1"/>
  <c r="L545" i="2"/>
  <c r="N545" i="2" s="1"/>
  <c r="K545" i="2"/>
  <c r="M545" i="2" s="1"/>
  <c r="L537" i="2"/>
  <c r="N537" i="2" s="1"/>
  <c r="L529" i="2"/>
  <c r="N529" i="2" s="1"/>
  <c r="K529" i="2"/>
  <c r="M529" i="2" s="1"/>
  <c r="L521" i="2"/>
  <c r="N521" i="2" s="1"/>
  <c r="L513" i="2"/>
  <c r="N513" i="2" s="1"/>
  <c r="K513" i="2"/>
  <c r="M513" i="2" s="1"/>
  <c r="L505" i="2"/>
  <c r="N505" i="2" s="1"/>
  <c r="L497" i="2"/>
  <c r="N497" i="2" s="1"/>
  <c r="K497" i="2"/>
  <c r="M497" i="2" s="1"/>
  <c r="L489" i="2"/>
  <c r="N489" i="2" s="1"/>
  <c r="L481" i="2"/>
  <c r="N481" i="2" s="1"/>
  <c r="K481" i="2"/>
  <c r="M481" i="2" s="1"/>
  <c r="L473" i="2"/>
  <c r="N473" i="2" s="1"/>
  <c r="L465" i="2"/>
  <c r="N465" i="2" s="1"/>
  <c r="K465" i="2"/>
  <c r="M465" i="2" s="1"/>
  <c r="L457" i="2"/>
  <c r="N457" i="2" s="1"/>
  <c r="L449" i="2"/>
  <c r="N449" i="2" s="1"/>
  <c r="K449" i="2"/>
  <c r="M449" i="2" s="1"/>
  <c r="L441" i="2"/>
  <c r="N441" i="2" s="1"/>
  <c r="L433" i="2"/>
  <c r="N433" i="2" s="1"/>
  <c r="K433" i="2"/>
  <c r="M433" i="2" s="1"/>
  <c r="L425" i="2"/>
  <c r="N425" i="2" s="1"/>
  <c r="L417" i="2"/>
  <c r="N417" i="2" s="1"/>
  <c r="K417" i="2"/>
  <c r="M417" i="2" s="1"/>
  <c r="L409" i="2"/>
  <c r="N409" i="2" s="1"/>
  <c r="L401" i="2"/>
  <c r="N401" i="2" s="1"/>
  <c r="K401" i="2"/>
  <c r="M401" i="2" s="1"/>
  <c r="L393" i="2"/>
  <c r="N393" i="2" s="1"/>
  <c r="L385" i="2"/>
  <c r="N385" i="2" s="1"/>
  <c r="L377" i="2"/>
  <c r="N377" i="2" s="1"/>
  <c r="L369" i="2"/>
  <c r="N369" i="2" s="1"/>
  <c r="K369" i="2"/>
  <c r="M369" i="2" s="1"/>
  <c r="L361" i="2"/>
  <c r="N361" i="2" s="1"/>
  <c r="K361" i="2"/>
  <c r="M361" i="2" s="1"/>
  <c r="L353" i="2"/>
  <c r="N353" i="2" s="1"/>
  <c r="K353" i="2"/>
  <c r="M353" i="2" s="1"/>
  <c r="L345" i="2"/>
  <c r="N345" i="2" s="1"/>
  <c r="K345" i="2"/>
  <c r="M345" i="2" s="1"/>
  <c r="L337" i="2"/>
  <c r="N337" i="2" s="1"/>
  <c r="K337" i="2"/>
  <c r="M337" i="2" s="1"/>
  <c r="L329" i="2"/>
  <c r="N329" i="2" s="1"/>
  <c r="K329" i="2"/>
  <c r="M329" i="2" s="1"/>
  <c r="L321" i="2"/>
  <c r="N321" i="2" s="1"/>
  <c r="K321" i="2"/>
  <c r="M321" i="2" s="1"/>
  <c r="L313" i="2"/>
  <c r="N313" i="2" s="1"/>
  <c r="K313" i="2"/>
  <c r="M313" i="2" s="1"/>
  <c r="L305" i="2"/>
  <c r="N305" i="2" s="1"/>
  <c r="K305" i="2"/>
  <c r="M305" i="2" s="1"/>
  <c r="L297" i="2"/>
  <c r="N297" i="2" s="1"/>
  <c r="K297" i="2"/>
  <c r="M297" i="2" s="1"/>
  <c r="L289" i="2"/>
  <c r="N289" i="2" s="1"/>
  <c r="K289" i="2"/>
  <c r="M289" i="2" s="1"/>
  <c r="L281" i="2"/>
  <c r="N281" i="2" s="1"/>
  <c r="K281" i="2"/>
  <c r="M281" i="2" s="1"/>
  <c r="L273" i="2"/>
  <c r="N273" i="2" s="1"/>
  <c r="K273" i="2"/>
  <c r="M273" i="2" s="1"/>
  <c r="L265" i="2"/>
  <c r="N265" i="2" s="1"/>
  <c r="K265" i="2"/>
  <c r="M265" i="2" s="1"/>
  <c r="L257" i="2"/>
  <c r="N257" i="2" s="1"/>
  <c r="K257" i="2"/>
  <c r="M257" i="2" s="1"/>
  <c r="L249" i="2"/>
  <c r="N249" i="2" s="1"/>
  <c r="K249" i="2"/>
  <c r="M249" i="2" s="1"/>
  <c r="L241" i="2"/>
  <c r="N241" i="2" s="1"/>
  <c r="K684" i="2"/>
  <c r="M684" i="2" s="1"/>
  <c r="K668" i="2"/>
  <c r="M668" i="2" s="1"/>
  <c r="K633" i="2"/>
  <c r="M633" i="2" s="1"/>
  <c r="K617" i="2"/>
  <c r="M617" i="2" s="1"/>
  <c r="K428" i="2"/>
  <c r="M428" i="2" s="1"/>
  <c r="K412" i="2"/>
  <c r="M412" i="2" s="1"/>
  <c r="K393" i="2"/>
  <c r="M393" i="2" s="1"/>
  <c r="K250" i="2"/>
  <c r="M250" i="2" s="1"/>
  <c r="K218" i="2"/>
  <c r="M218" i="2" s="1"/>
  <c r="K95" i="2"/>
  <c r="M95" i="2" s="1"/>
  <c r="L492" i="2"/>
  <c r="N492" i="2" s="1"/>
  <c r="L380" i="2"/>
  <c r="N380" i="2" s="1"/>
  <c r="L175" i="2"/>
  <c r="N175" i="2" s="1"/>
  <c r="L66" i="2"/>
  <c r="N66" i="2" s="1"/>
  <c r="K15" i="2"/>
  <c r="M15" i="2" s="1"/>
  <c r="K79" i="2"/>
  <c r="M79" i="2" s="1"/>
  <c r="K143" i="2"/>
  <c r="M143" i="2" s="1"/>
  <c r="K186" i="2"/>
  <c r="M186" i="2" s="1"/>
  <c r="K225" i="2"/>
  <c r="M225" i="2" s="1"/>
  <c r="K241" i="2"/>
  <c r="M241" i="2" s="1"/>
  <c r="K233" i="2"/>
  <c r="M233" i="2" s="1"/>
  <c r="K696" i="2"/>
  <c r="M696" i="2" s="1"/>
  <c r="L696" i="2"/>
  <c r="N696" i="2" s="1"/>
  <c r="L688" i="2"/>
  <c r="N688" i="2" s="1"/>
  <c r="K688" i="2"/>
  <c r="M688" i="2" s="1"/>
  <c r="L680" i="2"/>
  <c r="N680" i="2" s="1"/>
  <c r="K680" i="2"/>
  <c r="M680" i="2" s="1"/>
  <c r="L672" i="2"/>
  <c r="N672" i="2" s="1"/>
  <c r="K672" i="2"/>
  <c r="M672" i="2" s="1"/>
  <c r="L664" i="2"/>
  <c r="N664" i="2" s="1"/>
  <c r="K664" i="2"/>
  <c r="M664" i="2" s="1"/>
  <c r="L656" i="2"/>
  <c r="N656" i="2" s="1"/>
  <c r="K656" i="2"/>
  <c r="M656" i="2" s="1"/>
  <c r="L648" i="2"/>
  <c r="N648" i="2" s="1"/>
  <c r="K648" i="2"/>
  <c r="M648" i="2" s="1"/>
  <c r="L640" i="2"/>
  <c r="N640" i="2" s="1"/>
  <c r="K640" i="2"/>
  <c r="M640" i="2" s="1"/>
  <c r="L632" i="2"/>
  <c r="N632" i="2" s="1"/>
  <c r="K632" i="2"/>
  <c r="M632" i="2" s="1"/>
  <c r="L624" i="2"/>
  <c r="N624" i="2" s="1"/>
  <c r="K624" i="2"/>
  <c r="M624" i="2" s="1"/>
  <c r="L616" i="2"/>
  <c r="N616" i="2" s="1"/>
  <c r="K616" i="2"/>
  <c r="M616" i="2" s="1"/>
  <c r="L608" i="2"/>
  <c r="N608" i="2" s="1"/>
  <c r="K608" i="2"/>
  <c r="M608" i="2" s="1"/>
  <c r="L600" i="2"/>
  <c r="N600" i="2" s="1"/>
  <c r="K600" i="2"/>
  <c r="M600" i="2" s="1"/>
  <c r="L592" i="2"/>
  <c r="N592" i="2" s="1"/>
  <c r="K592" i="2"/>
  <c r="M592" i="2" s="1"/>
  <c r="L584" i="2"/>
  <c r="N584" i="2" s="1"/>
  <c r="K584" i="2"/>
  <c r="M584" i="2" s="1"/>
  <c r="L576" i="2"/>
  <c r="N576" i="2" s="1"/>
  <c r="K576" i="2"/>
  <c r="M576" i="2" s="1"/>
  <c r="L568" i="2"/>
  <c r="N568" i="2" s="1"/>
  <c r="K568" i="2"/>
  <c r="M568" i="2" s="1"/>
  <c r="L560" i="2"/>
  <c r="N560" i="2" s="1"/>
  <c r="K560" i="2"/>
  <c r="M560" i="2" s="1"/>
  <c r="L552" i="2"/>
  <c r="N552" i="2" s="1"/>
  <c r="K552" i="2"/>
  <c r="M552" i="2" s="1"/>
  <c r="L544" i="2"/>
  <c r="N544" i="2" s="1"/>
  <c r="K544" i="2"/>
  <c r="M544" i="2" s="1"/>
  <c r="L536" i="2"/>
  <c r="N536" i="2" s="1"/>
  <c r="K536" i="2"/>
  <c r="M536" i="2" s="1"/>
  <c r="L528" i="2"/>
  <c r="N528" i="2" s="1"/>
  <c r="K528" i="2"/>
  <c r="M528" i="2" s="1"/>
  <c r="L520" i="2"/>
  <c r="N520" i="2" s="1"/>
  <c r="K520" i="2"/>
  <c r="M520" i="2" s="1"/>
  <c r="L512" i="2"/>
  <c r="N512" i="2" s="1"/>
  <c r="K512" i="2"/>
  <c r="M512" i="2" s="1"/>
  <c r="L504" i="2"/>
  <c r="N504" i="2" s="1"/>
  <c r="K504" i="2"/>
  <c r="M504" i="2" s="1"/>
  <c r="L496" i="2"/>
  <c r="N496" i="2" s="1"/>
  <c r="K496" i="2"/>
  <c r="M496" i="2" s="1"/>
  <c r="L488" i="2"/>
  <c r="N488" i="2" s="1"/>
  <c r="K488" i="2"/>
  <c r="M488" i="2" s="1"/>
  <c r="L480" i="2"/>
  <c r="N480" i="2" s="1"/>
  <c r="K480" i="2"/>
  <c r="M480" i="2" s="1"/>
  <c r="L472" i="2"/>
  <c r="N472" i="2" s="1"/>
  <c r="K472" i="2"/>
  <c r="M472" i="2" s="1"/>
  <c r="L464" i="2"/>
  <c r="N464" i="2" s="1"/>
  <c r="K464" i="2"/>
  <c r="M464" i="2" s="1"/>
  <c r="L456" i="2"/>
  <c r="N456" i="2" s="1"/>
  <c r="K456" i="2"/>
  <c r="M456" i="2" s="1"/>
  <c r="L448" i="2"/>
  <c r="N448" i="2" s="1"/>
  <c r="K448" i="2"/>
  <c r="M448" i="2" s="1"/>
  <c r="L440" i="2"/>
  <c r="N440" i="2" s="1"/>
  <c r="K440" i="2"/>
  <c r="M440" i="2" s="1"/>
  <c r="L432" i="2"/>
  <c r="N432" i="2" s="1"/>
  <c r="K432" i="2"/>
  <c r="M432" i="2" s="1"/>
  <c r="L424" i="2"/>
  <c r="N424" i="2" s="1"/>
  <c r="K424" i="2"/>
  <c r="M424" i="2" s="1"/>
  <c r="L416" i="2"/>
  <c r="N416" i="2" s="1"/>
  <c r="K416" i="2"/>
  <c r="M416" i="2" s="1"/>
  <c r="L408" i="2"/>
  <c r="N408" i="2" s="1"/>
  <c r="K408" i="2"/>
  <c r="M408" i="2" s="1"/>
  <c r="L400" i="2"/>
  <c r="N400" i="2" s="1"/>
  <c r="K400" i="2"/>
  <c r="M400" i="2" s="1"/>
  <c r="L392" i="2"/>
  <c r="N392" i="2" s="1"/>
  <c r="K392" i="2"/>
  <c r="M392" i="2" s="1"/>
  <c r="L384" i="2"/>
  <c r="N384" i="2" s="1"/>
  <c r="K384" i="2"/>
  <c r="M384" i="2" s="1"/>
  <c r="L376" i="2"/>
  <c r="N376" i="2" s="1"/>
  <c r="K376" i="2"/>
  <c r="M376" i="2" s="1"/>
  <c r="L368" i="2"/>
  <c r="N368" i="2" s="1"/>
  <c r="K368" i="2"/>
  <c r="M368" i="2" s="1"/>
  <c r="L360" i="2"/>
  <c r="N360" i="2" s="1"/>
  <c r="K360" i="2"/>
  <c r="M360" i="2" s="1"/>
  <c r="L352" i="2"/>
  <c r="N352" i="2" s="1"/>
  <c r="K352" i="2"/>
  <c r="M352" i="2" s="1"/>
  <c r="L344" i="2"/>
  <c r="N344" i="2" s="1"/>
  <c r="K344" i="2"/>
  <c r="M344" i="2" s="1"/>
  <c r="L336" i="2"/>
  <c r="N336" i="2" s="1"/>
  <c r="K336" i="2"/>
  <c r="M336" i="2" s="1"/>
  <c r="L328" i="2"/>
  <c r="N328" i="2" s="1"/>
  <c r="K328" i="2"/>
  <c r="M328" i="2" s="1"/>
  <c r="L320" i="2"/>
  <c r="N320" i="2" s="1"/>
  <c r="K320" i="2"/>
  <c r="M320" i="2" s="1"/>
  <c r="L312" i="2"/>
  <c r="N312" i="2" s="1"/>
  <c r="K312" i="2"/>
  <c r="M312" i="2" s="1"/>
  <c r="L304" i="2"/>
  <c r="N304" i="2" s="1"/>
  <c r="K304" i="2"/>
  <c r="M304" i="2" s="1"/>
  <c r="L296" i="2"/>
  <c r="N296" i="2" s="1"/>
  <c r="K296" i="2"/>
  <c r="M296" i="2" s="1"/>
  <c r="L288" i="2"/>
  <c r="N288" i="2" s="1"/>
  <c r="K288" i="2"/>
  <c r="M288" i="2" s="1"/>
  <c r="L280" i="2"/>
  <c r="N280" i="2" s="1"/>
  <c r="K280" i="2"/>
  <c r="M280" i="2" s="1"/>
  <c r="L272" i="2"/>
  <c r="N272" i="2" s="1"/>
  <c r="K272" i="2"/>
  <c r="M272" i="2" s="1"/>
  <c r="L264" i="2"/>
  <c r="N264" i="2" s="1"/>
  <c r="K264" i="2"/>
  <c r="M264" i="2" s="1"/>
  <c r="L256" i="2"/>
  <c r="N256" i="2" s="1"/>
  <c r="K256" i="2"/>
  <c r="M256" i="2" s="1"/>
  <c r="L248" i="2"/>
  <c r="N248" i="2" s="1"/>
  <c r="K248" i="2"/>
  <c r="M248" i="2" s="1"/>
  <c r="L240" i="2"/>
  <c r="N240" i="2" s="1"/>
  <c r="K240" i="2"/>
  <c r="M240" i="2" s="1"/>
  <c r="L232" i="2"/>
  <c r="N232" i="2" s="1"/>
  <c r="K232" i="2"/>
  <c r="M232" i="2" s="1"/>
  <c r="L224" i="2"/>
  <c r="N224" i="2" s="1"/>
  <c r="K224" i="2"/>
  <c r="M224" i="2" s="1"/>
  <c r="L216" i="2"/>
  <c r="N216" i="2" s="1"/>
  <c r="K216" i="2"/>
  <c r="M216" i="2" s="1"/>
  <c r="L208" i="2"/>
  <c r="N208" i="2" s="1"/>
  <c r="L200" i="2"/>
  <c r="N200" i="2" s="1"/>
  <c r="L192" i="2"/>
  <c r="N192" i="2" s="1"/>
  <c r="K192" i="2"/>
  <c r="M192" i="2" s="1"/>
  <c r="L184" i="2"/>
  <c r="N184" i="2" s="1"/>
  <c r="K184" i="2"/>
  <c r="M184" i="2" s="1"/>
  <c r="L176" i="2"/>
  <c r="N176" i="2" s="1"/>
  <c r="K176" i="2"/>
  <c r="M176" i="2" s="1"/>
  <c r="L168" i="2"/>
  <c r="N168" i="2" s="1"/>
  <c r="K168" i="2"/>
  <c r="M168" i="2" s="1"/>
  <c r="L160" i="2"/>
  <c r="N160" i="2" s="1"/>
  <c r="L152" i="2"/>
  <c r="N152" i="2" s="1"/>
  <c r="K152" i="2"/>
  <c r="M152" i="2" s="1"/>
  <c r="L144" i="2"/>
  <c r="N144" i="2" s="1"/>
  <c r="K144" i="2"/>
  <c r="M144" i="2" s="1"/>
  <c r="L136" i="2"/>
  <c r="N136" i="2" s="1"/>
  <c r="K136" i="2"/>
  <c r="M136" i="2" s="1"/>
  <c r="L128" i="2"/>
  <c r="N128" i="2" s="1"/>
  <c r="L120" i="2"/>
  <c r="N120" i="2" s="1"/>
  <c r="K120" i="2"/>
  <c r="M120" i="2" s="1"/>
  <c r="L112" i="2"/>
  <c r="N112" i="2" s="1"/>
  <c r="K112" i="2"/>
  <c r="M112" i="2" s="1"/>
  <c r="L104" i="2"/>
  <c r="N104" i="2" s="1"/>
  <c r="K104" i="2"/>
  <c r="M104" i="2" s="1"/>
  <c r="L96" i="2"/>
  <c r="N96" i="2" s="1"/>
  <c r="L88" i="2"/>
  <c r="N88" i="2" s="1"/>
  <c r="K88" i="2"/>
  <c r="M88" i="2" s="1"/>
  <c r="L80" i="2"/>
  <c r="N80" i="2" s="1"/>
  <c r="K80" i="2"/>
  <c r="M80" i="2" s="1"/>
  <c r="L72" i="2"/>
  <c r="N72" i="2" s="1"/>
  <c r="K72" i="2"/>
  <c r="M72" i="2" s="1"/>
  <c r="L64" i="2"/>
  <c r="N64" i="2" s="1"/>
  <c r="L56" i="2"/>
  <c r="N56" i="2" s="1"/>
  <c r="K56" i="2"/>
  <c r="M56" i="2" s="1"/>
  <c r="L48" i="2"/>
  <c r="N48" i="2" s="1"/>
  <c r="K48" i="2"/>
  <c r="M48" i="2" s="1"/>
  <c r="L40" i="2"/>
  <c r="N40" i="2" s="1"/>
  <c r="K40" i="2"/>
  <c r="M40" i="2" s="1"/>
  <c r="L32" i="2"/>
  <c r="N32" i="2" s="1"/>
  <c r="L24" i="2"/>
  <c r="N24" i="2" s="1"/>
  <c r="K24" i="2"/>
  <c r="M24" i="2" s="1"/>
  <c r="L16" i="2"/>
  <c r="N16" i="2" s="1"/>
  <c r="K16" i="2"/>
  <c r="M16" i="2" s="1"/>
  <c r="L8" i="2"/>
  <c r="N8" i="2" s="1"/>
  <c r="K8" i="2"/>
  <c r="M8" i="2" s="1"/>
  <c r="K700" i="2"/>
  <c r="M700" i="2" s="1"/>
  <c r="K665" i="2"/>
  <c r="M665" i="2" s="1"/>
  <c r="K649" i="2"/>
  <c r="M649" i="2" s="1"/>
  <c r="K596" i="2"/>
  <c r="M596" i="2" s="1"/>
  <c r="K460" i="2"/>
  <c r="M460" i="2" s="1"/>
  <c r="K444" i="2"/>
  <c r="M444" i="2" s="1"/>
  <c r="K409" i="2"/>
  <c r="M409" i="2" s="1"/>
  <c r="K210" i="2"/>
  <c r="M210" i="2" s="1"/>
  <c r="K172" i="2"/>
  <c r="M172" i="2" s="1"/>
  <c r="K128" i="2"/>
  <c r="M128" i="2" s="1"/>
  <c r="K86" i="2"/>
  <c r="M86" i="2" s="1"/>
  <c r="K44" i="2"/>
  <c r="M44" i="2" s="1"/>
  <c r="L242" i="2"/>
  <c r="N242" i="2" s="1"/>
  <c r="L154" i="2"/>
  <c r="N154" i="2" s="1"/>
  <c r="L18" i="2"/>
  <c r="N18" i="2" s="1"/>
  <c r="L82" i="2"/>
  <c r="N82" i="2" s="1"/>
  <c r="L194" i="2"/>
  <c r="N194" i="2" s="1"/>
  <c r="L234" i="2"/>
  <c r="N234" i="2" s="1"/>
  <c r="L50" i="2"/>
  <c r="N50" i="2" s="1"/>
  <c r="L114" i="2"/>
  <c r="N114" i="2" s="1"/>
  <c r="L170" i="2"/>
  <c r="N170" i="2" s="1"/>
  <c r="L258" i="2"/>
  <c r="N258" i="2" s="1"/>
  <c r="L703" i="2"/>
  <c r="N703" i="2" s="1"/>
  <c r="K703" i="2"/>
  <c r="M703" i="2" s="1"/>
  <c r="L695" i="2"/>
  <c r="N695" i="2" s="1"/>
  <c r="K695" i="2"/>
  <c r="M695" i="2" s="1"/>
  <c r="L687" i="2"/>
  <c r="N687" i="2" s="1"/>
  <c r="K687" i="2"/>
  <c r="M687" i="2" s="1"/>
  <c r="K679" i="2"/>
  <c r="M679" i="2" s="1"/>
  <c r="L671" i="2"/>
  <c r="N671" i="2" s="1"/>
  <c r="K671" i="2"/>
  <c r="M671" i="2" s="1"/>
  <c r="K663" i="2"/>
  <c r="M663" i="2" s="1"/>
  <c r="L655" i="2"/>
  <c r="N655" i="2" s="1"/>
  <c r="K655" i="2"/>
  <c r="M655" i="2" s="1"/>
  <c r="K647" i="2"/>
  <c r="M647" i="2" s="1"/>
  <c r="L647" i="2"/>
  <c r="N647" i="2" s="1"/>
  <c r="L639" i="2"/>
  <c r="N639" i="2" s="1"/>
  <c r="K639" i="2"/>
  <c r="M639" i="2" s="1"/>
  <c r="K631" i="2"/>
  <c r="M631" i="2" s="1"/>
  <c r="L631" i="2"/>
  <c r="N631" i="2" s="1"/>
  <c r="L623" i="2"/>
  <c r="N623" i="2" s="1"/>
  <c r="K623" i="2"/>
  <c r="M623" i="2" s="1"/>
  <c r="L615" i="2"/>
  <c r="N615" i="2" s="1"/>
  <c r="K615" i="2"/>
  <c r="M615" i="2" s="1"/>
  <c r="K607" i="2"/>
  <c r="M607" i="2" s="1"/>
  <c r="L599" i="2"/>
  <c r="N599" i="2" s="1"/>
  <c r="K599" i="2"/>
  <c r="M599" i="2" s="1"/>
  <c r="L591" i="2"/>
  <c r="N591" i="2" s="1"/>
  <c r="K591" i="2"/>
  <c r="M591" i="2" s="1"/>
  <c r="L583" i="2"/>
  <c r="N583" i="2" s="1"/>
  <c r="K583" i="2"/>
  <c r="M583" i="2" s="1"/>
  <c r="K575" i="2"/>
  <c r="M575" i="2" s="1"/>
  <c r="L575" i="2"/>
  <c r="N575" i="2" s="1"/>
  <c r="L567" i="2"/>
  <c r="N567" i="2" s="1"/>
  <c r="K567" i="2"/>
  <c r="M567" i="2" s="1"/>
  <c r="L559" i="2"/>
  <c r="N559" i="2" s="1"/>
  <c r="K559" i="2"/>
  <c r="M559" i="2" s="1"/>
  <c r="K551" i="2"/>
  <c r="M551" i="2" s="1"/>
  <c r="L543" i="2"/>
  <c r="N543" i="2" s="1"/>
  <c r="K543" i="2"/>
  <c r="M543" i="2" s="1"/>
  <c r="K535" i="2"/>
  <c r="M535" i="2" s="1"/>
  <c r="L527" i="2"/>
  <c r="N527" i="2" s="1"/>
  <c r="K527" i="2"/>
  <c r="M527" i="2" s="1"/>
  <c r="K519" i="2"/>
  <c r="M519" i="2" s="1"/>
  <c r="L519" i="2"/>
  <c r="N519" i="2" s="1"/>
  <c r="L511" i="2"/>
  <c r="N511" i="2" s="1"/>
  <c r="K511" i="2"/>
  <c r="M511" i="2" s="1"/>
  <c r="K503" i="2"/>
  <c r="M503" i="2" s="1"/>
  <c r="L503" i="2"/>
  <c r="N503" i="2" s="1"/>
  <c r="L495" i="2"/>
  <c r="N495" i="2" s="1"/>
  <c r="K495" i="2"/>
  <c r="M495" i="2" s="1"/>
  <c r="L487" i="2"/>
  <c r="N487" i="2" s="1"/>
  <c r="K487" i="2"/>
  <c r="M487" i="2" s="1"/>
  <c r="K479" i="2"/>
  <c r="M479" i="2" s="1"/>
  <c r="L471" i="2"/>
  <c r="N471" i="2" s="1"/>
  <c r="K471" i="2"/>
  <c r="M471" i="2" s="1"/>
  <c r="L463" i="2"/>
  <c r="N463" i="2" s="1"/>
  <c r="K463" i="2"/>
  <c r="M463" i="2" s="1"/>
  <c r="L455" i="2"/>
  <c r="N455" i="2" s="1"/>
  <c r="K455" i="2"/>
  <c r="M455" i="2" s="1"/>
  <c r="K447" i="2"/>
  <c r="M447" i="2" s="1"/>
  <c r="L447" i="2"/>
  <c r="N447" i="2" s="1"/>
  <c r="L439" i="2"/>
  <c r="N439" i="2" s="1"/>
  <c r="K439" i="2"/>
  <c r="M439" i="2" s="1"/>
  <c r="L431" i="2"/>
  <c r="N431" i="2" s="1"/>
  <c r="K431" i="2"/>
  <c r="M431" i="2" s="1"/>
  <c r="K423" i="2"/>
  <c r="M423" i="2" s="1"/>
  <c r="L415" i="2"/>
  <c r="N415" i="2" s="1"/>
  <c r="K415" i="2"/>
  <c r="M415" i="2" s="1"/>
  <c r="K407" i="2"/>
  <c r="M407" i="2" s="1"/>
  <c r="L399" i="2"/>
  <c r="N399" i="2" s="1"/>
  <c r="K399" i="2"/>
  <c r="M399" i="2" s="1"/>
  <c r="K391" i="2"/>
  <c r="M391" i="2" s="1"/>
  <c r="L391" i="2"/>
  <c r="N391" i="2" s="1"/>
  <c r="L383" i="2"/>
  <c r="N383" i="2" s="1"/>
  <c r="K383" i="2"/>
  <c r="M383" i="2" s="1"/>
  <c r="K375" i="2"/>
  <c r="M375" i="2" s="1"/>
  <c r="L375" i="2"/>
  <c r="N375" i="2" s="1"/>
  <c r="L367" i="2"/>
  <c r="N367" i="2" s="1"/>
  <c r="K367" i="2"/>
  <c r="M367" i="2" s="1"/>
  <c r="L359" i="2"/>
  <c r="N359" i="2" s="1"/>
  <c r="K359" i="2"/>
  <c r="M359" i="2" s="1"/>
  <c r="K351" i="2"/>
  <c r="M351" i="2" s="1"/>
  <c r="L343" i="2"/>
  <c r="N343" i="2" s="1"/>
  <c r="K343" i="2"/>
  <c r="M343" i="2" s="1"/>
  <c r="L335" i="2"/>
  <c r="N335" i="2" s="1"/>
  <c r="K335" i="2"/>
  <c r="M335" i="2" s="1"/>
  <c r="L327" i="2"/>
  <c r="N327" i="2" s="1"/>
  <c r="K327" i="2"/>
  <c r="M327" i="2" s="1"/>
  <c r="K319" i="2"/>
  <c r="M319" i="2" s="1"/>
  <c r="L319" i="2"/>
  <c r="N319" i="2" s="1"/>
  <c r="L311" i="2"/>
  <c r="N311" i="2" s="1"/>
  <c r="K311" i="2"/>
  <c r="M311" i="2" s="1"/>
  <c r="L303" i="2"/>
  <c r="N303" i="2" s="1"/>
  <c r="K303" i="2"/>
  <c r="M303" i="2" s="1"/>
  <c r="K295" i="2"/>
  <c r="M295" i="2" s="1"/>
  <c r="L287" i="2"/>
  <c r="N287" i="2" s="1"/>
  <c r="K287" i="2"/>
  <c r="M287" i="2" s="1"/>
  <c r="L279" i="2"/>
  <c r="N279" i="2" s="1"/>
  <c r="K279" i="2"/>
  <c r="M279" i="2" s="1"/>
  <c r="L271" i="2"/>
  <c r="N271" i="2" s="1"/>
  <c r="K271" i="2"/>
  <c r="M271" i="2" s="1"/>
  <c r="L263" i="2"/>
  <c r="N263" i="2" s="1"/>
  <c r="K263" i="2"/>
  <c r="M263" i="2" s="1"/>
  <c r="K255" i="2"/>
  <c r="M255" i="2" s="1"/>
  <c r="L255" i="2"/>
  <c r="N255" i="2" s="1"/>
  <c r="K247" i="2"/>
  <c r="M247" i="2" s="1"/>
  <c r="L247" i="2"/>
  <c r="N247" i="2" s="1"/>
  <c r="K239" i="2"/>
  <c r="M239" i="2" s="1"/>
  <c r="K231" i="2"/>
  <c r="M231" i="2" s="1"/>
  <c r="L231" i="2"/>
  <c r="N231" i="2" s="1"/>
  <c r="K207" i="2"/>
  <c r="M207" i="2" s="1"/>
  <c r="K175" i="2"/>
  <c r="M175" i="2" s="1"/>
  <c r="L143" i="2"/>
  <c r="N143" i="2" s="1"/>
  <c r="L127" i="2"/>
  <c r="N127" i="2" s="1"/>
  <c r="L95" i="2"/>
  <c r="N95" i="2" s="1"/>
  <c r="L63" i="2"/>
  <c r="N63" i="2" s="1"/>
  <c r="L31" i="2"/>
  <c r="N31" i="2" s="1"/>
  <c r="K697" i="2"/>
  <c r="M697" i="2" s="1"/>
  <c r="K681" i="2"/>
  <c r="M681" i="2" s="1"/>
  <c r="K628" i="2"/>
  <c r="M628" i="2" s="1"/>
  <c r="K476" i="2"/>
  <c r="M476" i="2" s="1"/>
  <c r="K441" i="2"/>
  <c r="M441" i="2" s="1"/>
  <c r="K425" i="2"/>
  <c r="M425" i="2" s="1"/>
  <c r="K388" i="2"/>
  <c r="M388" i="2" s="1"/>
  <c r="K242" i="2"/>
  <c r="M242" i="2" s="1"/>
  <c r="K208" i="2"/>
  <c r="M208" i="2" s="1"/>
  <c r="K127" i="2"/>
  <c r="M127" i="2" s="1"/>
  <c r="K43" i="2"/>
  <c r="M43" i="2" s="1"/>
  <c r="L364" i="2"/>
  <c r="N364" i="2" s="1"/>
  <c r="L308" i="2"/>
  <c r="N308" i="2" s="1"/>
  <c r="L239" i="2"/>
  <c r="N239" i="2" s="1"/>
  <c r="L151" i="2"/>
  <c r="N151" i="2" s="1"/>
  <c r="L34" i="2"/>
  <c r="N34" i="2" s="1"/>
  <c r="L223" i="2"/>
  <c r="N223" i="2" s="1"/>
  <c r="K223" i="2"/>
  <c r="M223" i="2" s="1"/>
  <c r="K215" i="2"/>
  <c r="M215" i="2" s="1"/>
  <c r="L199" i="2"/>
  <c r="N199" i="2" s="1"/>
  <c r="L191" i="2"/>
  <c r="N191" i="2" s="1"/>
  <c r="K183" i="2"/>
  <c r="M183" i="2" s="1"/>
  <c r="L167" i="2"/>
  <c r="N167" i="2" s="1"/>
  <c r="K167" i="2"/>
  <c r="M167" i="2" s="1"/>
  <c r="L159" i="2"/>
  <c r="N159" i="2" s="1"/>
  <c r="K151" i="2"/>
  <c r="M151" i="2" s="1"/>
  <c r="L135" i="2"/>
  <c r="N135" i="2" s="1"/>
  <c r="K135" i="2"/>
  <c r="M135" i="2" s="1"/>
  <c r="L119" i="2"/>
  <c r="N119" i="2" s="1"/>
  <c r="K119" i="2"/>
  <c r="M119" i="2" s="1"/>
  <c r="L111" i="2"/>
  <c r="N111" i="2" s="1"/>
  <c r="L103" i="2"/>
  <c r="N103" i="2" s="1"/>
  <c r="K103" i="2"/>
  <c r="M103" i="2" s="1"/>
  <c r="L87" i="2"/>
  <c r="N87" i="2" s="1"/>
  <c r="K87" i="2"/>
  <c r="M87" i="2" s="1"/>
  <c r="L79" i="2"/>
  <c r="N79" i="2" s="1"/>
  <c r="L71" i="2"/>
  <c r="N71" i="2" s="1"/>
  <c r="K71" i="2"/>
  <c r="M71" i="2" s="1"/>
  <c r="L55" i="2"/>
  <c r="N55" i="2" s="1"/>
  <c r="K55" i="2"/>
  <c r="M55" i="2" s="1"/>
  <c r="L47" i="2"/>
  <c r="N47" i="2" s="1"/>
  <c r="L39" i="2"/>
  <c r="N39" i="2" s="1"/>
  <c r="K39" i="2"/>
  <c r="M39" i="2" s="1"/>
  <c r="L23" i="2"/>
  <c r="N23" i="2" s="1"/>
  <c r="K23" i="2"/>
  <c r="M23" i="2" s="1"/>
  <c r="L15" i="2"/>
  <c r="N15" i="2" s="1"/>
  <c r="L7" i="2"/>
  <c r="N7" i="2" s="1"/>
  <c r="K7" i="2"/>
  <c r="M7" i="2" s="1"/>
  <c r="L126" i="2"/>
  <c r="N126" i="2" s="1"/>
  <c r="L118" i="2"/>
  <c r="N118" i="2" s="1"/>
  <c r="L110" i="2"/>
  <c r="N110" i="2" s="1"/>
  <c r="K110" i="2"/>
  <c r="M110" i="2" s="1"/>
  <c r="L102" i="2"/>
  <c r="N102" i="2" s="1"/>
  <c r="K102" i="2"/>
  <c r="M102" i="2" s="1"/>
  <c r="L94" i="2"/>
  <c r="N94" i="2" s="1"/>
  <c r="L86" i="2"/>
  <c r="N86" i="2" s="1"/>
  <c r="L78" i="2"/>
  <c r="N78" i="2" s="1"/>
  <c r="K78" i="2"/>
  <c r="M78" i="2" s="1"/>
  <c r="L70" i="2"/>
  <c r="N70" i="2" s="1"/>
  <c r="K70" i="2"/>
  <c r="M70" i="2" s="1"/>
  <c r="L62" i="2"/>
  <c r="N62" i="2" s="1"/>
  <c r="L54" i="2"/>
  <c r="N54" i="2" s="1"/>
  <c r="L46" i="2"/>
  <c r="N46" i="2" s="1"/>
  <c r="K46" i="2"/>
  <c r="M46" i="2" s="1"/>
  <c r="L38" i="2"/>
  <c r="N38" i="2" s="1"/>
  <c r="K38" i="2"/>
  <c r="M38" i="2" s="1"/>
  <c r="L30" i="2"/>
  <c r="N30" i="2" s="1"/>
  <c r="L22" i="2"/>
  <c r="N22" i="2" s="1"/>
  <c r="L14" i="2"/>
  <c r="N14" i="2" s="1"/>
  <c r="K14" i="2"/>
  <c r="M14" i="2" s="1"/>
  <c r="L6" i="2"/>
  <c r="N6" i="2" s="1"/>
  <c r="K6" i="2"/>
  <c r="M6" i="2" s="1"/>
  <c r="K111" i="2"/>
  <c r="M111" i="2" s="1"/>
  <c r="K47" i="2"/>
  <c r="M47" i="2" s="1"/>
  <c r="L207" i="2"/>
  <c r="N207" i="2" s="1"/>
  <c r="K99" i="2"/>
  <c r="M99" i="2" s="1"/>
  <c r="L91" i="2"/>
  <c r="N91" i="2" s="1"/>
  <c r="L83" i="2"/>
  <c r="N83" i="2" s="1"/>
  <c r="K83" i="2"/>
  <c r="M83" i="2" s="1"/>
  <c r="L75" i="2"/>
  <c r="N75" i="2" s="1"/>
  <c r="K67" i="2"/>
  <c r="M67" i="2" s="1"/>
  <c r="L59" i="2"/>
  <c r="N59" i="2" s="1"/>
  <c r="L51" i="2"/>
  <c r="N51" i="2" s="1"/>
  <c r="K51" i="2"/>
  <c r="M51" i="2" s="1"/>
  <c r="L43" i="2"/>
  <c r="N43" i="2" s="1"/>
  <c r="K35" i="2"/>
  <c r="M35" i="2" s="1"/>
  <c r="L27" i="2"/>
  <c r="N27" i="2" s="1"/>
  <c r="L19" i="2"/>
  <c r="N19" i="2" s="1"/>
  <c r="K19" i="2"/>
  <c r="M19" i="2" s="1"/>
  <c r="L11" i="2"/>
  <c r="N11" i="2" s="1"/>
  <c r="L3" i="2"/>
  <c r="N3" i="2" s="1"/>
  <c r="K3" i="2"/>
  <c r="M3" i="2" s="1"/>
  <c r="K126" i="2"/>
  <c r="M126" i="2" s="1"/>
  <c r="K62" i="2"/>
  <c r="M62" i="2" s="1"/>
  <c r="K59" i="2"/>
  <c r="M59" i="2" s="1"/>
  <c r="L183" i="2"/>
  <c r="N183" i="2" s="1"/>
  <c r="K178" i="2"/>
  <c r="M178" i="2" s="1"/>
  <c r="K170" i="2"/>
  <c r="M170" i="2" s="1"/>
  <c r="K162" i="2"/>
  <c r="M162" i="2" s="1"/>
  <c r="K154" i="2"/>
  <c r="M154" i="2" s="1"/>
  <c r="K146" i="2"/>
  <c r="M146" i="2" s="1"/>
  <c r="K138" i="2"/>
  <c r="M138" i="2" s="1"/>
  <c r="K130" i="2"/>
  <c r="M130" i="2" s="1"/>
  <c r="K122" i="2"/>
  <c r="M122" i="2" s="1"/>
  <c r="K114" i="2"/>
  <c r="M114" i="2" s="1"/>
  <c r="K106" i="2"/>
  <c r="M106" i="2" s="1"/>
  <c r="K98" i="2"/>
  <c r="M98" i="2" s="1"/>
  <c r="K90" i="2"/>
  <c r="M90" i="2" s="1"/>
  <c r="K82" i="2"/>
  <c r="M82" i="2" s="1"/>
  <c r="K74" i="2"/>
  <c r="M74" i="2" s="1"/>
  <c r="K66" i="2"/>
  <c r="M66" i="2" s="1"/>
  <c r="K58" i="2"/>
  <c r="M58" i="2" s="1"/>
  <c r="K50" i="2"/>
  <c r="M50" i="2" s="1"/>
  <c r="K42" i="2"/>
  <c r="M42" i="2" s="1"/>
  <c r="K34" i="2"/>
  <c r="M34" i="2" s="1"/>
  <c r="K26" i="2"/>
  <c r="M26" i="2" s="1"/>
  <c r="K18" i="2"/>
  <c r="M18" i="2" s="1"/>
  <c r="K10" i="2"/>
  <c r="M10" i="2" s="1"/>
  <c r="L122" i="2"/>
  <c r="N122" i="2" s="1"/>
  <c r="L90" i="2"/>
  <c r="N90" i="2" s="1"/>
  <c r="L58" i="2"/>
  <c r="N58" i="2" s="1"/>
  <c r="L26" i="2"/>
  <c r="N26" i="2" s="1"/>
  <c r="L233" i="2"/>
  <c r="N233" i="2" s="1"/>
  <c r="L225" i="2"/>
  <c r="N225" i="2" s="1"/>
  <c r="L217" i="2"/>
  <c r="N217" i="2" s="1"/>
  <c r="K217" i="2"/>
  <c r="M217" i="2" s="1"/>
  <c r="L209" i="2"/>
  <c r="N209" i="2" s="1"/>
  <c r="K209" i="2"/>
  <c r="M209" i="2" s="1"/>
  <c r="L201" i="2"/>
  <c r="N201" i="2" s="1"/>
  <c r="K201" i="2"/>
  <c r="M201" i="2" s="1"/>
  <c r="L193" i="2"/>
  <c r="N193" i="2" s="1"/>
  <c r="K193" i="2"/>
  <c r="M193" i="2" s="1"/>
  <c r="L185" i="2"/>
  <c r="N185" i="2" s="1"/>
  <c r="K185" i="2"/>
  <c r="M185" i="2" s="1"/>
  <c r="L177" i="2"/>
  <c r="N177" i="2" s="1"/>
  <c r="K177" i="2"/>
  <c r="M177" i="2" s="1"/>
  <c r="L169" i="2"/>
  <c r="N169" i="2" s="1"/>
  <c r="K169" i="2"/>
  <c r="M169" i="2" s="1"/>
  <c r="L161" i="2"/>
  <c r="N161" i="2" s="1"/>
  <c r="K161" i="2"/>
  <c r="M161" i="2" s="1"/>
  <c r="L153" i="2"/>
  <c r="N153" i="2" s="1"/>
  <c r="K153" i="2"/>
  <c r="M153" i="2" s="1"/>
  <c r="L145" i="2"/>
  <c r="N145" i="2" s="1"/>
  <c r="K145" i="2"/>
  <c r="M145" i="2" s="1"/>
  <c r="L137" i="2"/>
  <c r="N137" i="2" s="1"/>
  <c r="K137" i="2"/>
  <c r="M137" i="2" s="1"/>
  <c r="L129" i="2"/>
  <c r="N129" i="2" s="1"/>
  <c r="K129" i="2"/>
  <c r="M129" i="2" s="1"/>
  <c r="L121" i="2"/>
  <c r="N121" i="2" s="1"/>
  <c r="K121" i="2"/>
  <c r="M121" i="2" s="1"/>
  <c r="L113" i="2"/>
  <c r="N113" i="2" s="1"/>
  <c r="K113" i="2"/>
  <c r="M113" i="2" s="1"/>
  <c r="L105" i="2"/>
  <c r="N105" i="2" s="1"/>
  <c r="K105" i="2"/>
  <c r="M105" i="2" s="1"/>
  <c r="L97" i="2"/>
  <c r="N97" i="2" s="1"/>
  <c r="K97" i="2"/>
  <c r="M97" i="2" s="1"/>
  <c r="L89" i="2"/>
  <c r="N89" i="2" s="1"/>
  <c r="K89" i="2"/>
  <c r="M89" i="2" s="1"/>
  <c r="L81" i="2"/>
  <c r="N81" i="2" s="1"/>
  <c r="K81" i="2"/>
  <c r="M81" i="2" s="1"/>
  <c r="L73" i="2"/>
  <c r="N73" i="2" s="1"/>
  <c r="K73" i="2"/>
  <c r="M73" i="2" s="1"/>
  <c r="L65" i="2"/>
  <c r="N65" i="2" s="1"/>
  <c r="K65" i="2"/>
  <c r="M65" i="2" s="1"/>
  <c r="L57" i="2"/>
  <c r="N57" i="2" s="1"/>
  <c r="K57" i="2"/>
  <c r="M57" i="2" s="1"/>
  <c r="L49" i="2"/>
  <c r="N49" i="2" s="1"/>
  <c r="K49" i="2"/>
  <c r="M49" i="2" s="1"/>
  <c r="L41" i="2"/>
  <c r="N41" i="2" s="1"/>
  <c r="K41" i="2"/>
  <c r="M41" i="2" s="1"/>
  <c r="L33" i="2"/>
  <c r="N33" i="2" s="1"/>
  <c r="K33" i="2"/>
  <c r="M33" i="2" s="1"/>
  <c r="L25" i="2"/>
  <c r="N25" i="2" s="1"/>
  <c r="K25" i="2"/>
  <c r="M25" i="2" s="1"/>
  <c r="L17" i="2"/>
  <c r="N17" i="2" s="1"/>
  <c r="K17" i="2"/>
  <c r="M17" i="2" s="1"/>
  <c r="L9" i="2"/>
  <c r="N9" i="2" s="1"/>
  <c r="K9" i="2"/>
  <c r="M9" i="2" s="1"/>
  <c r="L146" i="2"/>
  <c r="N146" i="2" s="1"/>
  <c r="L202" i="2"/>
  <c r="N202" i="2" s="1"/>
  <c r="L162" i="2"/>
  <c r="N162" i="2" s="1"/>
  <c r="L138" i="2"/>
  <c r="N138" i="2" s="1"/>
  <c r="L106" i="2"/>
  <c r="N106" i="2" s="1"/>
  <c r="L74" i="2"/>
  <c r="N74" i="2" s="1"/>
  <c r="L42" i="2"/>
  <c r="N42" i="2" s="1"/>
  <c r="L10" i="2"/>
  <c r="N10" i="2" s="1"/>
  <c r="H2" i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/>
  <c r="C10" i="1"/>
  <c r="D10" i="1" s="1"/>
  <c r="C11" i="1"/>
  <c r="D11" i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/>
  <c r="C72" i="1"/>
  <c r="D72" i="1" s="1"/>
  <c r="C73" i="1"/>
  <c r="D73" i="1"/>
  <c r="C74" i="1"/>
  <c r="D74" i="1" s="1"/>
  <c r="C75" i="1"/>
  <c r="D75" i="1" s="1"/>
  <c r="C76" i="1"/>
  <c r="D76" i="1" s="1"/>
  <c r="C77" i="1"/>
  <c r="D77" i="1" s="1"/>
  <c r="C78" i="1"/>
  <c r="D78" i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/>
  <c r="C99" i="1"/>
  <c r="D99" i="1" s="1"/>
  <c r="C100" i="1"/>
  <c r="D100" i="1" s="1"/>
  <c r="C101" i="1"/>
  <c r="D101" i="1" s="1"/>
  <c r="C102" i="1"/>
  <c r="D102" i="1" s="1"/>
  <c r="C103" i="1"/>
  <c r="D103" i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/>
  <c r="C158" i="1"/>
  <c r="D158" i="1" s="1"/>
  <c r="C159" i="1"/>
  <c r="D159" i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/>
  <c r="C222" i="1"/>
  <c r="D222" i="1" s="1"/>
  <c r="C223" i="1"/>
  <c r="D223" i="1" s="1"/>
  <c r="C224" i="1"/>
  <c r="D224" i="1" s="1"/>
  <c r="C225" i="1"/>
  <c r="D225" i="1" s="1"/>
  <c r="C226" i="1"/>
  <c r="D226" i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</calcChain>
</file>

<file path=xl/sharedStrings.xml><?xml version="1.0" encoding="utf-8"?>
<sst xmlns="http://schemas.openxmlformats.org/spreadsheetml/2006/main" count="15" uniqueCount="12">
  <si>
    <t>CPR</t>
  </si>
  <si>
    <t>SMM</t>
  </si>
  <si>
    <t>Baseline Refi</t>
  </si>
  <si>
    <t>Incentive Multiplier</t>
  </si>
  <si>
    <t>Incentive SMM</t>
  </si>
  <si>
    <t>Incentive CPR</t>
  </si>
  <si>
    <t>Incentive</t>
  </si>
  <si>
    <t>%Refinanceable</t>
  </si>
  <si>
    <t>%Refinanceable multiplier</t>
  </si>
  <si>
    <t>Media Effect Multiplier</t>
  </si>
  <si>
    <t>%Refi 40</t>
  </si>
  <si>
    <t>%Refi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</si>
</sst>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"/>
  </numFmts>
  <fonts count="3" x14ac:knownFonts="1"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S-Curve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'S-Curve'!$D$1</c:f>
              <c:strCache>
                <c:ptCount val="1"/>
                <c:pt idx="0">
                  <c:v>Incentive CPR</c:v>
                </c:pt>
              </c:strCache>
            </c:strRef>
          </c:tx>
          <c:marker>
            <c:symbol val="none"/>
          </c:marker>
          <c:cat>
            <c:numRef>
              <c:f>'S-Curve'!$A$2:$A$702</c:f>
              <c:numCache>
                <c:formatCode>General</c:formatCode>
                <c:ptCount val="701"/>
                <c:pt idx="0">
                  <c:v>-250</c:v>
                </c:pt>
                <c:pt idx="1">
                  <c:v>-249</c:v>
                </c:pt>
                <c:pt idx="2">
                  <c:v>-248</c:v>
                </c:pt>
                <c:pt idx="3">
                  <c:v>-247</c:v>
                </c:pt>
                <c:pt idx="4">
                  <c:v>-246</c:v>
                </c:pt>
                <c:pt idx="5">
                  <c:v>-245</c:v>
                </c:pt>
                <c:pt idx="6">
                  <c:v>-244</c:v>
                </c:pt>
                <c:pt idx="7">
                  <c:v>-243</c:v>
                </c:pt>
                <c:pt idx="8">
                  <c:v>-242</c:v>
                </c:pt>
                <c:pt idx="9">
                  <c:v>-241</c:v>
                </c:pt>
                <c:pt idx="10">
                  <c:v>-240</c:v>
                </c:pt>
                <c:pt idx="11">
                  <c:v>-239</c:v>
                </c:pt>
                <c:pt idx="12">
                  <c:v>-238</c:v>
                </c:pt>
                <c:pt idx="13">
                  <c:v>-237</c:v>
                </c:pt>
                <c:pt idx="14">
                  <c:v>-236</c:v>
                </c:pt>
                <c:pt idx="15">
                  <c:v>-235</c:v>
                </c:pt>
                <c:pt idx="16">
                  <c:v>-234</c:v>
                </c:pt>
                <c:pt idx="17">
                  <c:v>-233</c:v>
                </c:pt>
                <c:pt idx="18">
                  <c:v>-232</c:v>
                </c:pt>
                <c:pt idx="19">
                  <c:v>-231</c:v>
                </c:pt>
                <c:pt idx="20">
                  <c:v>-230</c:v>
                </c:pt>
                <c:pt idx="21">
                  <c:v>-229</c:v>
                </c:pt>
                <c:pt idx="22">
                  <c:v>-228</c:v>
                </c:pt>
                <c:pt idx="23">
                  <c:v>-227</c:v>
                </c:pt>
                <c:pt idx="24">
                  <c:v>-226</c:v>
                </c:pt>
                <c:pt idx="25">
                  <c:v>-225</c:v>
                </c:pt>
                <c:pt idx="26">
                  <c:v>-224</c:v>
                </c:pt>
                <c:pt idx="27">
                  <c:v>-223</c:v>
                </c:pt>
                <c:pt idx="28">
                  <c:v>-222</c:v>
                </c:pt>
                <c:pt idx="29">
                  <c:v>-221</c:v>
                </c:pt>
                <c:pt idx="30">
                  <c:v>-220</c:v>
                </c:pt>
                <c:pt idx="31">
                  <c:v>-219</c:v>
                </c:pt>
                <c:pt idx="32">
                  <c:v>-218</c:v>
                </c:pt>
                <c:pt idx="33">
                  <c:v>-217</c:v>
                </c:pt>
                <c:pt idx="34">
                  <c:v>-216</c:v>
                </c:pt>
                <c:pt idx="35">
                  <c:v>-215</c:v>
                </c:pt>
                <c:pt idx="36">
                  <c:v>-214</c:v>
                </c:pt>
                <c:pt idx="37">
                  <c:v>-213</c:v>
                </c:pt>
                <c:pt idx="38">
                  <c:v>-212</c:v>
                </c:pt>
                <c:pt idx="39">
                  <c:v>-211</c:v>
                </c:pt>
                <c:pt idx="40">
                  <c:v>-210</c:v>
                </c:pt>
                <c:pt idx="41">
                  <c:v>-209</c:v>
                </c:pt>
                <c:pt idx="42">
                  <c:v>-208</c:v>
                </c:pt>
                <c:pt idx="43">
                  <c:v>-207</c:v>
                </c:pt>
                <c:pt idx="44">
                  <c:v>-206</c:v>
                </c:pt>
                <c:pt idx="45">
                  <c:v>-205</c:v>
                </c:pt>
                <c:pt idx="46">
                  <c:v>-204</c:v>
                </c:pt>
                <c:pt idx="47">
                  <c:v>-203</c:v>
                </c:pt>
                <c:pt idx="48">
                  <c:v>-202</c:v>
                </c:pt>
                <c:pt idx="49">
                  <c:v>-201</c:v>
                </c:pt>
                <c:pt idx="50">
                  <c:v>-200</c:v>
                </c:pt>
                <c:pt idx="51">
                  <c:v>-199</c:v>
                </c:pt>
                <c:pt idx="52">
                  <c:v>-198</c:v>
                </c:pt>
                <c:pt idx="53">
                  <c:v>-197</c:v>
                </c:pt>
                <c:pt idx="54">
                  <c:v>-196</c:v>
                </c:pt>
                <c:pt idx="55">
                  <c:v>-195</c:v>
                </c:pt>
                <c:pt idx="56">
                  <c:v>-194</c:v>
                </c:pt>
                <c:pt idx="57">
                  <c:v>-193</c:v>
                </c:pt>
                <c:pt idx="58">
                  <c:v>-192</c:v>
                </c:pt>
                <c:pt idx="59">
                  <c:v>-191</c:v>
                </c:pt>
                <c:pt idx="60">
                  <c:v>-190</c:v>
                </c:pt>
                <c:pt idx="61">
                  <c:v>-189</c:v>
                </c:pt>
                <c:pt idx="62">
                  <c:v>-188</c:v>
                </c:pt>
                <c:pt idx="63">
                  <c:v>-187</c:v>
                </c:pt>
                <c:pt idx="64">
                  <c:v>-186</c:v>
                </c:pt>
                <c:pt idx="65">
                  <c:v>-185</c:v>
                </c:pt>
                <c:pt idx="66">
                  <c:v>-184</c:v>
                </c:pt>
                <c:pt idx="67">
                  <c:v>-183</c:v>
                </c:pt>
                <c:pt idx="68">
                  <c:v>-182</c:v>
                </c:pt>
                <c:pt idx="69">
                  <c:v>-181</c:v>
                </c:pt>
                <c:pt idx="70">
                  <c:v>-180</c:v>
                </c:pt>
                <c:pt idx="71">
                  <c:v>-179</c:v>
                </c:pt>
                <c:pt idx="72">
                  <c:v>-178</c:v>
                </c:pt>
                <c:pt idx="73">
                  <c:v>-177</c:v>
                </c:pt>
                <c:pt idx="74">
                  <c:v>-176</c:v>
                </c:pt>
                <c:pt idx="75">
                  <c:v>-175</c:v>
                </c:pt>
                <c:pt idx="76">
                  <c:v>-174</c:v>
                </c:pt>
                <c:pt idx="77">
                  <c:v>-173</c:v>
                </c:pt>
                <c:pt idx="78">
                  <c:v>-172</c:v>
                </c:pt>
                <c:pt idx="79">
                  <c:v>-171</c:v>
                </c:pt>
                <c:pt idx="80">
                  <c:v>-170</c:v>
                </c:pt>
                <c:pt idx="81">
                  <c:v>-169</c:v>
                </c:pt>
                <c:pt idx="82">
                  <c:v>-168</c:v>
                </c:pt>
                <c:pt idx="83">
                  <c:v>-167</c:v>
                </c:pt>
                <c:pt idx="84">
                  <c:v>-166</c:v>
                </c:pt>
                <c:pt idx="85">
                  <c:v>-165</c:v>
                </c:pt>
                <c:pt idx="86">
                  <c:v>-164</c:v>
                </c:pt>
                <c:pt idx="87">
                  <c:v>-163</c:v>
                </c:pt>
                <c:pt idx="88">
                  <c:v>-162</c:v>
                </c:pt>
                <c:pt idx="89">
                  <c:v>-161</c:v>
                </c:pt>
                <c:pt idx="90">
                  <c:v>-160</c:v>
                </c:pt>
                <c:pt idx="91">
                  <c:v>-159</c:v>
                </c:pt>
                <c:pt idx="92">
                  <c:v>-158</c:v>
                </c:pt>
                <c:pt idx="93">
                  <c:v>-157</c:v>
                </c:pt>
                <c:pt idx="94">
                  <c:v>-156</c:v>
                </c:pt>
                <c:pt idx="95">
                  <c:v>-155</c:v>
                </c:pt>
                <c:pt idx="96">
                  <c:v>-154</c:v>
                </c:pt>
                <c:pt idx="97">
                  <c:v>-153</c:v>
                </c:pt>
                <c:pt idx="98">
                  <c:v>-152</c:v>
                </c:pt>
                <c:pt idx="99">
                  <c:v>-151</c:v>
                </c:pt>
                <c:pt idx="100">
                  <c:v>-150</c:v>
                </c:pt>
                <c:pt idx="101">
                  <c:v>-149</c:v>
                </c:pt>
                <c:pt idx="102">
                  <c:v>-148</c:v>
                </c:pt>
                <c:pt idx="103">
                  <c:v>-147</c:v>
                </c:pt>
                <c:pt idx="104">
                  <c:v>-146</c:v>
                </c:pt>
                <c:pt idx="105">
                  <c:v>-145</c:v>
                </c:pt>
                <c:pt idx="106">
                  <c:v>-144</c:v>
                </c:pt>
                <c:pt idx="107">
                  <c:v>-143</c:v>
                </c:pt>
                <c:pt idx="108">
                  <c:v>-142</c:v>
                </c:pt>
                <c:pt idx="109">
                  <c:v>-141</c:v>
                </c:pt>
                <c:pt idx="110">
                  <c:v>-140</c:v>
                </c:pt>
                <c:pt idx="111">
                  <c:v>-139</c:v>
                </c:pt>
                <c:pt idx="112">
                  <c:v>-138</c:v>
                </c:pt>
                <c:pt idx="113">
                  <c:v>-137</c:v>
                </c:pt>
                <c:pt idx="114">
                  <c:v>-136</c:v>
                </c:pt>
                <c:pt idx="115">
                  <c:v>-135</c:v>
                </c:pt>
                <c:pt idx="116">
                  <c:v>-134</c:v>
                </c:pt>
                <c:pt idx="117">
                  <c:v>-133</c:v>
                </c:pt>
                <c:pt idx="118">
                  <c:v>-132</c:v>
                </c:pt>
                <c:pt idx="119">
                  <c:v>-131</c:v>
                </c:pt>
                <c:pt idx="120">
                  <c:v>-130</c:v>
                </c:pt>
                <c:pt idx="121">
                  <c:v>-129</c:v>
                </c:pt>
                <c:pt idx="122">
                  <c:v>-128</c:v>
                </c:pt>
                <c:pt idx="123">
                  <c:v>-127</c:v>
                </c:pt>
                <c:pt idx="124">
                  <c:v>-126</c:v>
                </c:pt>
                <c:pt idx="125">
                  <c:v>-125</c:v>
                </c:pt>
                <c:pt idx="126">
                  <c:v>-124</c:v>
                </c:pt>
                <c:pt idx="127">
                  <c:v>-123</c:v>
                </c:pt>
                <c:pt idx="128">
                  <c:v>-122</c:v>
                </c:pt>
                <c:pt idx="129">
                  <c:v>-121</c:v>
                </c:pt>
                <c:pt idx="130">
                  <c:v>-120</c:v>
                </c:pt>
                <c:pt idx="131">
                  <c:v>-119</c:v>
                </c:pt>
                <c:pt idx="132">
                  <c:v>-118</c:v>
                </c:pt>
                <c:pt idx="133">
                  <c:v>-117</c:v>
                </c:pt>
                <c:pt idx="134">
                  <c:v>-116</c:v>
                </c:pt>
                <c:pt idx="135">
                  <c:v>-115</c:v>
                </c:pt>
                <c:pt idx="136">
                  <c:v>-114</c:v>
                </c:pt>
                <c:pt idx="137">
                  <c:v>-113</c:v>
                </c:pt>
                <c:pt idx="138">
                  <c:v>-112</c:v>
                </c:pt>
                <c:pt idx="139">
                  <c:v>-111</c:v>
                </c:pt>
                <c:pt idx="140">
                  <c:v>-110</c:v>
                </c:pt>
                <c:pt idx="141">
                  <c:v>-109</c:v>
                </c:pt>
                <c:pt idx="142">
                  <c:v>-108</c:v>
                </c:pt>
                <c:pt idx="143">
                  <c:v>-107</c:v>
                </c:pt>
                <c:pt idx="144">
                  <c:v>-106</c:v>
                </c:pt>
                <c:pt idx="145">
                  <c:v>-105</c:v>
                </c:pt>
                <c:pt idx="146">
                  <c:v>-104</c:v>
                </c:pt>
                <c:pt idx="147">
                  <c:v>-103</c:v>
                </c:pt>
                <c:pt idx="148">
                  <c:v>-102</c:v>
                </c:pt>
                <c:pt idx="149">
                  <c:v>-101</c:v>
                </c:pt>
                <c:pt idx="150">
                  <c:v>-100</c:v>
                </c:pt>
                <c:pt idx="151">
                  <c:v>-99</c:v>
                </c:pt>
                <c:pt idx="152">
                  <c:v>-98</c:v>
                </c:pt>
                <c:pt idx="153">
                  <c:v>-97</c:v>
                </c:pt>
                <c:pt idx="154">
                  <c:v>-96</c:v>
                </c:pt>
                <c:pt idx="155">
                  <c:v>-95</c:v>
                </c:pt>
                <c:pt idx="156">
                  <c:v>-94</c:v>
                </c:pt>
                <c:pt idx="157">
                  <c:v>-93</c:v>
                </c:pt>
                <c:pt idx="158">
                  <c:v>-92</c:v>
                </c:pt>
                <c:pt idx="159">
                  <c:v>-91</c:v>
                </c:pt>
                <c:pt idx="160">
                  <c:v>-90</c:v>
                </c:pt>
                <c:pt idx="161">
                  <c:v>-89</c:v>
                </c:pt>
                <c:pt idx="162">
                  <c:v>-88</c:v>
                </c:pt>
                <c:pt idx="163">
                  <c:v>-87</c:v>
                </c:pt>
                <c:pt idx="164">
                  <c:v>-86</c:v>
                </c:pt>
                <c:pt idx="165">
                  <c:v>-85</c:v>
                </c:pt>
                <c:pt idx="166">
                  <c:v>-84</c:v>
                </c:pt>
                <c:pt idx="167">
                  <c:v>-83</c:v>
                </c:pt>
                <c:pt idx="168">
                  <c:v>-82</c:v>
                </c:pt>
                <c:pt idx="169">
                  <c:v>-81</c:v>
                </c:pt>
                <c:pt idx="170">
                  <c:v>-80</c:v>
                </c:pt>
                <c:pt idx="171">
                  <c:v>-79</c:v>
                </c:pt>
                <c:pt idx="172">
                  <c:v>-78</c:v>
                </c:pt>
                <c:pt idx="173">
                  <c:v>-77</c:v>
                </c:pt>
                <c:pt idx="174">
                  <c:v>-76</c:v>
                </c:pt>
                <c:pt idx="175">
                  <c:v>-75</c:v>
                </c:pt>
                <c:pt idx="176">
                  <c:v>-74</c:v>
                </c:pt>
                <c:pt idx="177">
                  <c:v>-73</c:v>
                </c:pt>
                <c:pt idx="178">
                  <c:v>-72</c:v>
                </c:pt>
                <c:pt idx="179">
                  <c:v>-71</c:v>
                </c:pt>
                <c:pt idx="180">
                  <c:v>-70</c:v>
                </c:pt>
                <c:pt idx="181">
                  <c:v>-69</c:v>
                </c:pt>
                <c:pt idx="182">
                  <c:v>-68</c:v>
                </c:pt>
                <c:pt idx="183">
                  <c:v>-67</c:v>
                </c:pt>
                <c:pt idx="184">
                  <c:v>-66</c:v>
                </c:pt>
                <c:pt idx="185">
                  <c:v>-65</c:v>
                </c:pt>
                <c:pt idx="186">
                  <c:v>-64</c:v>
                </c:pt>
                <c:pt idx="187">
                  <c:v>-63</c:v>
                </c:pt>
                <c:pt idx="188">
                  <c:v>-62</c:v>
                </c:pt>
                <c:pt idx="189">
                  <c:v>-61</c:v>
                </c:pt>
                <c:pt idx="190">
                  <c:v>-60</c:v>
                </c:pt>
                <c:pt idx="191">
                  <c:v>-59</c:v>
                </c:pt>
                <c:pt idx="192">
                  <c:v>-58</c:v>
                </c:pt>
                <c:pt idx="193">
                  <c:v>-57</c:v>
                </c:pt>
                <c:pt idx="194">
                  <c:v>-56</c:v>
                </c:pt>
                <c:pt idx="195">
                  <c:v>-55</c:v>
                </c:pt>
                <c:pt idx="196">
                  <c:v>-54</c:v>
                </c:pt>
                <c:pt idx="197">
                  <c:v>-53</c:v>
                </c:pt>
                <c:pt idx="198">
                  <c:v>-52</c:v>
                </c:pt>
                <c:pt idx="199">
                  <c:v>-51</c:v>
                </c:pt>
                <c:pt idx="200">
                  <c:v>-50</c:v>
                </c:pt>
                <c:pt idx="201">
                  <c:v>-49</c:v>
                </c:pt>
                <c:pt idx="202">
                  <c:v>-48</c:v>
                </c:pt>
                <c:pt idx="203">
                  <c:v>-47</c:v>
                </c:pt>
                <c:pt idx="204">
                  <c:v>-46</c:v>
                </c:pt>
                <c:pt idx="205">
                  <c:v>-45</c:v>
                </c:pt>
                <c:pt idx="206">
                  <c:v>-44</c:v>
                </c:pt>
                <c:pt idx="207">
                  <c:v>-43</c:v>
                </c:pt>
                <c:pt idx="208">
                  <c:v>-42</c:v>
                </c:pt>
                <c:pt idx="209">
                  <c:v>-41</c:v>
                </c:pt>
                <c:pt idx="210">
                  <c:v>-40</c:v>
                </c:pt>
                <c:pt idx="211">
                  <c:v>-39</c:v>
                </c:pt>
                <c:pt idx="212">
                  <c:v>-38</c:v>
                </c:pt>
                <c:pt idx="213">
                  <c:v>-37</c:v>
                </c:pt>
                <c:pt idx="214">
                  <c:v>-36</c:v>
                </c:pt>
                <c:pt idx="215">
                  <c:v>-35</c:v>
                </c:pt>
                <c:pt idx="216">
                  <c:v>-34</c:v>
                </c:pt>
                <c:pt idx="217">
                  <c:v>-33</c:v>
                </c:pt>
                <c:pt idx="218">
                  <c:v>-32</c:v>
                </c:pt>
                <c:pt idx="219">
                  <c:v>-31</c:v>
                </c:pt>
                <c:pt idx="220">
                  <c:v>-30</c:v>
                </c:pt>
                <c:pt idx="221">
                  <c:v>-29</c:v>
                </c:pt>
                <c:pt idx="222">
                  <c:v>-28</c:v>
                </c:pt>
                <c:pt idx="223">
                  <c:v>-27</c:v>
                </c:pt>
                <c:pt idx="224">
                  <c:v>-26</c:v>
                </c:pt>
                <c:pt idx="225">
                  <c:v>-25</c:v>
                </c:pt>
                <c:pt idx="226">
                  <c:v>-24</c:v>
                </c:pt>
                <c:pt idx="227">
                  <c:v>-23</c:v>
                </c:pt>
                <c:pt idx="228">
                  <c:v>-22</c:v>
                </c:pt>
                <c:pt idx="229">
                  <c:v>-21</c:v>
                </c:pt>
                <c:pt idx="230">
                  <c:v>-20</c:v>
                </c:pt>
                <c:pt idx="231">
                  <c:v>-19</c:v>
                </c:pt>
                <c:pt idx="232">
                  <c:v>-18</c:v>
                </c:pt>
                <c:pt idx="233">
                  <c:v>-17</c:v>
                </c:pt>
                <c:pt idx="234">
                  <c:v>-16</c:v>
                </c:pt>
                <c:pt idx="235">
                  <c:v>-15</c:v>
                </c:pt>
                <c:pt idx="236">
                  <c:v>-14</c:v>
                </c:pt>
                <c:pt idx="237">
                  <c:v>-13</c:v>
                </c:pt>
                <c:pt idx="238">
                  <c:v>-12</c:v>
                </c:pt>
                <c:pt idx="239">
                  <c:v>-11</c:v>
                </c:pt>
                <c:pt idx="240">
                  <c:v>-10</c:v>
                </c:pt>
                <c:pt idx="241">
                  <c:v>-9</c:v>
                </c:pt>
                <c:pt idx="242">
                  <c:v>-8</c:v>
                </c:pt>
                <c:pt idx="243">
                  <c:v>-7</c:v>
                </c:pt>
                <c:pt idx="244">
                  <c:v>-6</c:v>
                </c:pt>
                <c:pt idx="245">
                  <c:v>-5</c:v>
                </c:pt>
                <c:pt idx="246">
                  <c:v>-4</c:v>
                </c:pt>
                <c:pt idx="247">
                  <c:v>-3</c:v>
                </c:pt>
                <c:pt idx="248">
                  <c:v>-2</c:v>
                </c:pt>
                <c:pt idx="249">
                  <c:v>-1</c:v>
                </c:pt>
                <c:pt idx="250">
                  <c:v>0</c:v>
                </c:pt>
                <c:pt idx="251">
                  <c:v>1</c:v>
                </c:pt>
                <c:pt idx="252">
                  <c:v>2</c:v>
                </c:pt>
                <c:pt idx="253">
                  <c:v>3</c:v>
                </c:pt>
                <c:pt idx="254">
                  <c:v>4</c:v>
                </c:pt>
                <c:pt idx="255">
                  <c:v>5</c:v>
                </c:pt>
                <c:pt idx="256">
                  <c:v>6</c:v>
                </c:pt>
                <c:pt idx="257">
                  <c:v>7</c:v>
                </c:pt>
                <c:pt idx="258">
                  <c:v>8</c:v>
                </c:pt>
                <c:pt idx="259">
                  <c:v>9</c:v>
                </c:pt>
                <c:pt idx="260">
                  <c:v>10</c:v>
                </c:pt>
                <c:pt idx="261">
                  <c:v>11</c:v>
                </c:pt>
                <c:pt idx="262">
                  <c:v>12</c:v>
                </c:pt>
                <c:pt idx="263">
                  <c:v>13</c:v>
                </c:pt>
                <c:pt idx="264">
                  <c:v>14</c:v>
                </c:pt>
                <c:pt idx="265">
                  <c:v>15</c:v>
                </c:pt>
                <c:pt idx="266">
                  <c:v>16</c:v>
                </c:pt>
                <c:pt idx="267">
                  <c:v>17</c:v>
                </c:pt>
                <c:pt idx="268">
                  <c:v>18</c:v>
                </c:pt>
                <c:pt idx="269">
                  <c:v>19</c:v>
                </c:pt>
                <c:pt idx="270">
                  <c:v>20</c:v>
                </c:pt>
                <c:pt idx="271">
                  <c:v>21</c:v>
                </c:pt>
                <c:pt idx="272">
                  <c:v>22</c:v>
                </c:pt>
                <c:pt idx="273">
                  <c:v>23</c:v>
                </c:pt>
                <c:pt idx="274">
                  <c:v>24</c:v>
                </c:pt>
                <c:pt idx="275">
                  <c:v>25</c:v>
                </c:pt>
                <c:pt idx="276">
                  <c:v>26</c:v>
                </c:pt>
                <c:pt idx="277">
                  <c:v>27</c:v>
                </c:pt>
                <c:pt idx="278">
                  <c:v>28</c:v>
                </c:pt>
                <c:pt idx="279">
                  <c:v>29</c:v>
                </c:pt>
                <c:pt idx="280">
                  <c:v>30</c:v>
                </c:pt>
                <c:pt idx="281">
                  <c:v>31</c:v>
                </c:pt>
                <c:pt idx="282">
                  <c:v>32</c:v>
                </c:pt>
                <c:pt idx="283">
                  <c:v>33</c:v>
                </c:pt>
                <c:pt idx="284">
                  <c:v>34</c:v>
                </c:pt>
                <c:pt idx="285">
                  <c:v>35</c:v>
                </c:pt>
                <c:pt idx="286">
                  <c:v>36</c:v>
                </c:pt>
                <c:pt idx="287">
                  <c:v>37</c:v>
                </c:pt>
                <c:pt idx="288">
                  <c:v>38</c:v>
                </c:pt>
                <c:pt idx="289">
                  <c:v>39</c:v>
                </c:pt>
                <c:pt idx="290">
                  <c:v>40</c:v>
                </c:pt>
                <c:pt idx="291">
                  <c:v>41</c:v>
                </c:pt>
                <c:pt idx="292">
                  <c:v>42</c:v>
                </c:pt>
                <c:pt idx="293">
                  <c:v>43</c:v>
                </c:pt>
                <c:pt idx="294">
                  <c:v>44</c:v>
                </c:pt>
                <c:pt idx="295">
                  <c:v>45</c:v>
                </c:pt>
                <c:pt idx="296">
                  <c:v>46</c:v>
                </c:pt>
                <c:pt idx="297">
                  <c:v>47</c:v>
                </c:pt>
                <c:pt idx="298">
                  <c:v>48</c:v>
                </c:pt>
                <c:pt idx="299">
                  <c:v>49</c:v>
                </c:pt>
                <c:pt idx="300">
                  <c:v>50</c:v>
                </c:pt>
                <c:pt idx="301">
                  <c:v>51</c:v>
                </c:pt>
                <c:pt idx="302">
                  <c:v>52</c:v>
                </c:pt>
                <c:pt idx="303">
                  <c:v>53</c:v>
                </c:pt>
                <c:pt idx="304">
                  <c:v>54</c:v>
                </c:pt>
                <c:pt idx="305">
                  <c:v>55</c:v>
                </c:pt>
                <c:pt idx="306">
                  <c:v>56</c:v>
                </c:pt>
                <c:pt idx="307">
                  <c:v>57</c:v>
                </c:pt>
                <c:pt idx="308">
                  <c:v>58</c:v>
                </c:pt>
                <c:pt idx="309">
                  <c:v>59</c:v>
                </c:pt>
                <c:pt idx="310">
                  <c:v>60</c:v>
                </c:pt>
                <c:pt idx="311">
                  <c:v>61</c:v>
                </c:pt>
                <c:pt idx="312">
                  <c:v>62</c:v>
                </c:pt>
                <c:pt idx="313">
                  <c:v>63</c:v>
                </c:pt>
                <c:pt idx="314">
                  <c:v>64</c:v>
                </c:pt>
                <c:pt idx="315">
                  <c:v>65</c:v>
                </c:pt>
                <c:pt idx="316">
                  <c:v>66</c:v>
                </c:pt>
                <c:pt idx="317">
                  <c:v>67</c:v>
                </c:pt>
                <c:pt idx="318">
                  <c:v>68</c:v>
                </c:pt>
                <c:pt idx="319">
                  <c:v>69</c:v>
                </c:pt>
                <c:pt idx="320">
                  <c:v>70</c:v>
                </c:pt>
                <c:pt idx="321">
                  <c:v>71</c:v>
                </c:pt>
                <c:pt idx="322">
                  <c:v>72</c:v>
                </c:pt>
                <c:pt idx="323">
                  <c:v>73</c:v>
                </c:pt>
                <c:pt idx="324">
                  <c:v>74</c:v>
                </c:pt>
                <c:pt idx="325">
                  <c:v>75</c:v>
                </c:pt>
                <c:pt idx="326">
                  <c:v>76</c:v>
                </c:pt>
                <c:pt idx="327">
                  <c:v>77</c:v>
                </c:pt>
                <c:pt idx="328">
                  <c:v>78</c:v>
                </c:pt>
                <c:pt idx="329">
                  <c:v>79</c:v>
                </c:pt>
                <c:pt idx="330">
                  <c:v>80</c:v>
                </c:pt>
                <c:pt idx="331">
                  <c:v>81</c:v>
                </c:pt>
                <c:pt idx="332">
                  <c:v>82</c:v>
                </c:pt>
                <c:pt idx="333">
                  <c:v>83</c:v>
                </c:pt>
                <c:pt idx="334">
                  <c:v>84</c:v>
                </c:pt>
                <c:pt idx="335">
                  <c:v>85</c:v>
                </c:pt>
                <c:pt idx="336">
                  <c:v>86</c:v>
                </c:pt>
                <c:pt idx="337">
                  <c:v>87</c:v>
                </c:pt>
                <c:pt idx="338">
                  <c:v>88</c:v>
                </c:pt>
                <c:pt idx="339">
                  <c:v>89</c:v>
                </c:pt>
                <c:pt idx="340">
                  <c:v>90</c:v>
                </c:pt>
                <c:pt idx="341">
                  <c:v>91</c:v>
                </c:pt>
                <c:pt idx="342">
                  <c:v>92</c:v>
                </c:pt>
                <c:pt idx="343">
                  <c:v>93</c:v>
                </c:pt>
                <c:pt idx="344">
                  <c:v>94</c:v>
                </c:pt>
                <c:pt idx="345">
                  <c:v>95</c:v>
                </c:pt>
                <c:pt idx="346">
                  <c:v>96</c:v>
                </c:pt>
                <c:pt idx="347">
                  <c:v>97</c:v>
                </c:pt>
                <c:pt idx="348">
                  <c:v>98</c:v>
                </c:pt>
                <c:pt idx="349">
                  <c:v>99</c:v>
                </c:pt>
                <c:pt idx="350">
                  <c:v>100</c:v>
                </c:pt>
                <c:pt idx="351">
                  <c:v>101</c:v>
                </c:pt>
                <c:pt idx="352">
                  <c:v>102</c:v>
                </c:pt>
                <c:pt idx="353">
                  <c:v>103</c:v>
                </c:pt>
                <c:pt idx="354">
                  <c:v>104</c:v>
                </c:pt>
                <c:pt idx="355">
                  <c:v>105</c:v>
                </c:pt>
                <c:pt idx="356">
                  <c:v>106</c:v>
                </c:pt>
                <c:pt idx="357">
                  <c:v>107</c:v>
                </c:pt>
                <c:pt idx="358">
                  <c:v>108</c:v>
                </c:pt>
                <c:pt idx="359">
                  <c:v>109</c:v>
                </c:pt>
                <c:pt idx="360">
                  <c:v>110</c:v>
                </c:pt>
                <c:pt idx="361">
                  <c:v>111</c:v>
                </c:pt>
                <c:pt idx="362">
                  <c:v>112</c:v>
                </c:pt>
                <c:pt idx="363">
                  <c:v>113</c:v>
                </c:pt>
                <c:pt idx="364">
                  <c:v>114</c:v>
                </c:pt>
                <c:pt idx="365">
                  <c:v>115</c:v>
                </c:pt>
                <c:pt idx="366">
                  <c:v>116</c:v>
                </c:pt>
                <c:pt idx="367">
                  <c:v>117</c:v>
                </c:pt>
                <c:pt idx="368">
                  <c:v>118</c:v>
                </c:pt>
                <c:pt idx="369">
                  <c:v>119</c:v>
                </c:pt>
                <c:pt idx="370">
                  <c:v>120</c:v>
                </c:pt>
                <c:pt idx="371">
                  <c:v>121</c:v>
                </c:pt>
                <c:pt idx="372">
                  <c:v>122</c:v>
                </c:pt>
                <c:pt idx="373">
                  <c:v>123</c:v>
                </c:pt>
                <c:pt idx="374">
                  <c:v>124</c:v>
                </c:pt>
                <c:pt idx="375">
                  <c:v>125</c:v>
                </c:pt>
                <c:pt idx="376">
                  <c:v>126</c:v>
                </c:pt>
                <c:pt idx="377">
                  <c:v>127</c:v>
                </c:pt>
                <c:pt idx="378">
                  <c:v>128</c:v>
                </c:pt>
                <c:pt idx="379">
                  <c:v>129</c:v>
                </c:pt>
                <c:pt idx="380">
                  <c:v>130</c:v>
                </c:pt>
                <c:pt idx="381">
                  <c:v>131</c:v>
                </c:pt>
                <c:pt idx="382">
                  <c:v>132</c:v>
                </c:pt>
                <c:pt idx="383">
                  <c:v>133</c:v>
                </c:pt>
                <c:pt idx="384">
                  <c:v>134</c:v>
                </c:pt>
                <c:pt idx="385">
                  <c:v>135</c:v>
                </c:pt>
                <c:pt idx="386">
                  <c:v>136</c:v>
                </c:pt>
                <c:pt idx="387">
                  <c:v>137</c:v>
                </c:pt>
                <c:pt idx="388">
                  <c:v>138</c:v>
                </c:pt>
                <c:pt idx="389">
                  <c:v>139</c:v>
                </c:pt>
                <c:pt idx="390">
                  <c:v>140</c:v>
                </c:pt>
                <c:pt idx="391">
                  <c:v>141</c:v>
                </c:pt>
                <c:pt idx="392">
                  <c:v>142</c:v>
                </c:pt>
                <c:pt idx="393">
                  <c:v>143</c:v>
                </c:pt>
                <c:pt idx="394">
                  <c:v>144</c:v>
                </c:pt>
                <c:pt idx="395">
                  <c:v>145</c:v>
                </c:pt>
                <c:pt idx="396">
                  <c:v>146</c:v>
                </c:pt>
                <c:pt idx="397">
                  <c:v>147</c:v>
                </c:pt>
                <c:pt idx="398">
                  <c:v>148</c:v>
                </c:pt>
                <c:pt idx="399">
                  <c:v>149</c:v>
                </c:pt>
                <c:pt idx="400">
                  <c:v>150</c:v>
                </c:pt>
                <c:pt idx="401">
                  <c:v>151</c:v>
                </c:pt>
                <c:pt idx="402">
                  <c:v>152</c:v>
                </c:pt>
                <c:pt idx="403">
                  <c:v>153</c:v>
                </c:pt>
                <c:pt idx="404">
                  <c:v>154</c:v>
                </c:pt>
                <c:pt idx="405">
                  <c:v>155</c:v>
                </c:pt>
                <c:pt idx="406">
                  <c:v>156</c:v>
                </c:pt>
                <c:pt idx="407">
                  <c:v>157</c:v>
                </c:pt>
                <c:pt idx="408">
                  <c:v>158</c:v>
                </c:pt>
                <c:pt idx="409">
                  <c:v>159</c:v>
                </c:pt>
                <c:pt idx="410">
                  <c:v>160</c:v>
                </c:pt>
                <c:pt idx="411">
                  <c:v>161</c:v>
                </c:pt>
                <c:pt idx="412">
                  <c:v>162</c:v>
                </c:pt>
                <c:pt idx="413">
                  <c:v>163</c:v>
                </c:pt>
                <c:pt idx="414">
                  <c:v>164</c:v>
                </c:pt>
                <c:pt idx="415">
                  <c:v>165</c:v>
                </c:pt>
                <c:pt idx="416">
                  <c:v>166</c:v>
                </c:pt>
                <c:pt idx="417">
                  <c:v>167</c:v>
                </c:pt>
                <c:pt idx="418">
                  <c:v>168</c:v>
                </c:pt>
                <c:pt idx="419">
                  <c:v>169</c:v>
                </c:pt>
                <c:pt idx="420">
                  <c:v>170</c:v>
                </c:pt>
                <c:pt idx="421">
                  <c:v>171</c:v>
                </c:pt>
                <c:pt idx="422">
                  <c:v>172</c:v>
                </c:pt>
                <c:pt idx="423">
                  <c:v>173</c:v>
                </c:pt>
                <c:pt idx="424">
                  <c:v>174</c:v>
                </c:pt>
                <c:pt idx="425">
                  <c:v>175</c:v>
                </c:pt>
                <c:pt idx="426">
                  <c:v>176</c:v>
                </c:pt>
                <c:pt idx="427">
                  <c:v>177</c:v>
                </c:pt>
                <c:pt idx="428">
                  <c:v>178</c:v>
                </c:pt>
                <c:pt idx="429">
                  <c:v>179</c:v>
                </c:pt>
                <c:pt idx="430">
                  <c:v>180</c:v>
                </c:pt>
                <c:pt idx="431">
                  <c:v>181</c:v>
                </c:pt>
                <c:pt idx="432">
                  <c:v>182</c:v>
                </c:pt>
                <c:pt idx="433">
                  <c:v>183</c:v>
                </c:pt>
                <c:pt idx="434">
                  <c:v>184</c:v>
                </c:pt>
                <c:pt idx="435">
                  <c:v>185</c:v>
                </c:pt>
                <c:pt idx="436">
                  <c:v>186</c:v>
                </c:pt>
                <c:pt idx="437">
                  <c:v>187</c:v>
                </c:pt>
                <c:pt idx="438">
                  <c:v>188</c:v>
                </c:pt>
                <c:pt idx="439">
                  <c:v>189</c:v>
                </c:pt>
                <c:pt idx="440">
                  <c:v>190</c:v>
                </c:pt>
                <c:pt idx="441">
                  <c:v>191</c:v>
                </c:pt>
                <c:pt idx="442">
                  <c:v>192</c:v>
                </c:pt>
                <c:pt idx="443">
                  <c:v>193</c:v>
                </c:pt>
                <c:pt idx="444">
                  <c:v>194</c:v>
                </c:pt>
                <c:pt idx="445">
                  <c:v>195</c:v>
                </c:pt>
                <c:pt idx="446">
                  <c:v>196</c:v>
                </c:pt>
                <c:pt idx="447">
                  <c:v>197</c:v>
                </c:pt>
                <c:pt idx="448">
                  <c:v>198</c:v>
                </c:pt>
                <c:pt idx="449">
                  <c:v>199</c:v>
                </c:pt>
                <c:pt idx="450">
                  <c:v>200</c:v>
                </c:pt>
                <c:pt idx="451">
                  <c:v>201</c:v>
                </c:pt>
                <c:pt idx="452">
                  <c:v>202</c:v>
                </c:pt>
                <c:pt idx="453">
                  <c:v>203</c:v>
                </c:pt>
                <c:pt idx="454">
                  <c:v>204</c:v>
                </c:pt>
                <c:pt idx="455">
                  <c:v>205</c:v>
                </c:pt>
                <c:pt idx="456">
                  <c:v>206</c:v>
                </c:pt>
                <c:pt idx="457">
                  <c:v>207</c:v>
                </c:pt>
                <c:pt idx="458">
                  <c:v>208</c:v>
                </c:pt>
                <c:pt idx="459">
                  <c:v>209</c:v>
                </c:pt>
                <c:pt idx="460">
                  <c:v>210</c:v>
                </c:pt>
                <c:pt idx="461">
                  <c:v>211</c:v>
                </c:pt>
                <c:pt idx="462">
                  <c:v>212</c:v>
                </c:pt>
                <c:pt idx="463">
                  <c:v>213</c:v>
                </c:pt>
                <c:pt idx="464">
                  <c:v>214</c:v>
                </c:pt>
                <c:pt idx="465">
                  <c:v>215</c:v>
                </c:pt>
                <c:pt idx="466">
                  <c:v>216</c:v>
                </c:pt>
                <c:pt idx="467">
                  <c:v>217</c:v>
                </c:pt>
                <c:pt idx="468">
                  <c:v>218</c:v>
                </c:pt>
                <c:pt idx="469">
                  <c:v>219</c:v>
                </c:pt>
                <c:pt idx="470">
                  <c:v>220</c:v>
                </c:pt>
                <c:pt idx="471">
                  <c:v>221</c:v>
                </c:pt>
                <c:pt idx="472">
                  <c:v>222</c:v>
                </c:pt>
                <c:pt idx="473">
                  <c:v>223</c:v>
                </c:pt>
                <c:pt idx="474">
                  <c:v>224</c:v>
                </c:pt>
                <c:pt idx="475">
                  <c:v>225</c:v>
                </c:pt>
                <c:pt idx="476">
                  <c:v>226</c:v>
                </c:pt>
                <c:pt idx="477">
                  <c:v>227</c:v>
                </c:pt>
                <c:pt idx="478">
                  <c:v>228</c:v>
                </c:pt>
                <c:pt idx="479">
                  <c:v>229</c:v>
                </c:pt>
                <c:pt idx="480">
                  <c:v>230</c:v>
                </c:pt>
                <c:pt idx="481">
                  <c:v>231</c:v>
                </c:pt>
                <c:pt idx="482">
                  <c:v>232</c:v>
                </c:pt>
                <c:pt idx="483">
                  <c:v>233</c:v>
                </c:pt>
                <c:pt idx="484">
                  <c:v>234</c:v>
                </c:pt>
                <c:pt idx="485">
                  <c:v>235</c:v>
                </c:pt>
                <c:pt idx="486">
                  <c:v>236</c:v>
                </c:pt>
                <c:pt idx="487">
                  <c:v>237</c:v>
                </c:pt>
                <c:pt idx="488">
                  <c:v>238</c:v>
                </c:pt>
                <c:pt idx="489">
                  <c:v>239</c:v>
                </c:pt>
                <c:pt idx="490">
                  <c:v>240</c:v>
                </c:pt>
                <c:pt idx="491">
                  <c:v>241</c:v>
                </c:pt>
                <c:pt idx="492">
                  <c:v>242</c:v>
                </c:pt>
                <c:pt idx="493">
                  <c:v>243</c:v>
                </c:pt>
                <c:pt idx="494">
                  <c:v>244</c:v>
                </c:pt>
                <c:pt idx="495">
                  <c:v>245</c:v>
                </c:pt>
                <c:pt idx="496">
                  <c:v>246</c:v>
                </c:pt>
                <c:pt idx="497">
                  <c:v>247</c:v>
                </c:pt>
                <c:pt idx="498">
                  <c:v>248</c:v>
                </c:pt>
                <c:pt idx="499">
                  <c:v>249</c:v>
                </c:pt>
                <c:pt idx="500">
                  <c:v>250</c:v>
                </c:pt>
                <c:pt idx="501">
                  <c:v>251</c:v>
                </c:pt>
                <c:pt idx="502">
                  <c:v>252</c:v>
                </c:pt>
                <c:pt idx="503">
                  <c:v>253</c:v>
                </c:pt>
                <c:pt idx="504">
                  <c:v>254</c:v>
                </c:pt>
                <c:pt idx="505">
                  <c:v>255</c:v>
                </c:pt>
                <c:pt idx="506">
                  <c:v>256</c:v>
                </c:pt>
                <c:pt idx="507">
                  <c:v>257</c:v>
                </c:pt>
                <c:pt idx="508">
                  <c:v>258</c:v>
                </c:pt>
                <c:pt idx="509">
                  <c:v>259</c:v>
                </c:pt>
                <c:pt idx="510">
                  <c:v>260</c:v>
                </c:pt>
                <c:pt idx="511">
                  <c:v>261</c:v>
                </c:pt>
                <c:pt idx="512">
                  <c:v>262</c:v>
                </c:pt>
                <c:pt idx="513">
                  <c:v>263</c:v>
                </c:pt>
                <c:pt idx="514">
                  <c:v>264</c:v>
                </c:pt>
                <c:pt idx="515">
                  <c:v>265</c:v>
                </c:pt>
                <c:pt idx="516">
                  <c:v>266</c:v>
                </c:pt>
                <c:pt idx="517">
                  <c:v>267</c:v>
                </c:pt>
                <c:pt idx="518">
                  <c:v>268</c:v>
                </c:pt>
                <c:pt idx="519">
                  <c:v>269</c:v>
                </c:pt>
                <c:pt idx="520">
                  <c:v>270</c:v>
                </c:pt>
                <c:pt idx="521">
                  <c:v>271</c:v>
                </c:pt>
                <c:pt idx="522">
                  <c:v>272</c:v>
                </c:pt>
                <c:pt idx="523">
                  <c:v>273</c:v>
                </c:pt>
                <c:pt idx="524">
                  <c:v>274</c:v>
                </c:pt>
                <c:pt idx="525">
                  <c:v>275</c:v>
                </c:pt>
                <c:pt idx="526">
                  <c:v>276</c:v>
                </c:pt>
                <c:pt idx="527">
                  <c:v>277</c:v>
                </c:pt>
                <c:pt idx="528">
                  <c:v>278</c:v>
                </c:pt>
                <c:pt idx="529">
                  <c:v>279</c:v>
                </c:pt>
                <c:pt idx="530">
                  <c:v>280</c:v>
                </c:pt>
                <c:pt idx="531">
                  <c:v>281</c:v>
                </c:pt>
                <c:pt idx="532">
                  <c:v>282</c:v>
                </c:pt>
                <c:pt idx="533">
                  <c:v>283</c:v>
                </c:pt>
                <c:pt idx="534">
                  <c:v>284</c:v>
                </c:pt>
                <c:pt idx="535">
                  <c:v>285</c:v>
                </c:pt>
                <c:pt idx="536">
                  <c:v>286</c:v>
                </c:pt>
                <c:pt idx="537">
                  <c:v>287</c:v>
                </c:pt>
                <c:pt idx="538">
                  <c:v>288</c:v>
                </c:pt>
                <c:pt idx="539">
                  <c:v>289</c:v>
                </c:pt>
                <c:pt idx="540">
                  <c:v>290</c:v>
                </c:pt>
                <c:pt idx="541">
                  <c:v>291</c:v>
                </c:pt>
                <c:pt idx="542">
                  <c:v>292</c:v>
                </c:pt>
                <c:pt idx="543">
                  <c:v>293</c:v>
                </c:pt>
                <c:pt idx="544">
                  <c:v>294</c:v>
                </c:pt>
                <c:pt idx="545">
                  <c:v>295</c:v>
                </c:pt>
                <c:pt idx="546">
                  <c:v>296</c:v>
                </c:pt>
                <c:pt idx="547">
                  <c:v>297</c:v>
                </c:pt>
                <c:pt idx="548">
                  <c:v>298</c:v>
                </c:pt>
                <c:pt idx="549">
                  <c:v>299</c:v>
                </c:pt>
                <c:pt idx="550">
                  <c:v>300</c:v>
                </c:pt>
                <c:pt idx="551">
                  <c:v>301</c:v>
                </c:pt>
                <c:pt idx="552">
                  <c:v>302</c:v>
                </c:pt>
                <c:pt idx="553">
                  <c:v>303</c:v>
                </c:pt>
                <c:pt idx="554">
                  <c:v>304</c:v>
                </c:pt>
                <c:pt idx="555">
                  <c:v>305</c:v>
                </c:pt>
                <c:pt idx="556">
                  <c:v>306</c:v>
                </c:pt>
                <c:pt idx="557">
                  <c:v>307</c:v>
                </c:pt>
                <c:pt idx="558">
                  <c:v>308</c:v>
                </c:pt>
                <c:pt idx="559">
                  <c:v>309</c:v>
                </c:pt>
                <c:pt idx="560">
                  <c:v>310</c:v>
                </c:pt>
                <c:pt idx="561">
                  <c:v>311</c:v>
                </c:pt>
                <c:pt idx="562">
                  <c:v>312</c:v>
                </c:pt>
                <c:pt idx="563">
                  <c:v>313</c:v>
                </c:pt>
                <c:pt idx="564">
                  <c:v>314</c:v>
                </c:pt>
                <c:pt idx="565">
                  <c:v>315</c:v>
                </c:pt>
                <c:pt idx="566">
                  <c:v>316</c:v>
                </c:pt>
                <c:pt idx="567">
                  <c:v>317</c:v>
                </c:pt>
                <c:pt idx="568">
                  <c:v>318</c:v>
                </c:pt>
                <c:pt idx="569">
                  <c:v>319</c:v>
                </c:pt>
                <c:pt idx="570">
                  <c:v>320</c:v>
                </c:pt>
                <c:pt idx="571">
                  <c:v>321</c:v>
                </c:pt>
                <c:pt idx="572">
                  <c:v>322</c:v>
                </c:pt>
                <c:pt idx="573">
                  <c:v>323</c:v>
                </c:pt>
                <c:pt idx="574">
                  <c:v>324</c:v>
                </c:pt>
                <c:pt idx="575">
                  <c:v>325</c:v>
                </c:pt>
                <c:pt idx="576">
                  <c:v>326</c:v>
                </c:pt>
                <c:pt idx="577">
                  <c:v>327</c:v>
                </c:pt>
                <c:pt idx="578">
                  <c:v>328</c:v>
                </c:pt>
                <c:pt idx="579">
                  <c:v>329</c:v>
                </c:pt>
                <c:pt idx="580">
                  <c:v>330</c:v>
                </c:pt>
                <c:pt idx="581">
                  <c:v>331</c:v>
                </c:pt>
                <c:pt idx="582">
                  <c:v>332</c:v>
                </c:pt>
                <c:pt idx="583">
                  <c:v>333</c:v>
                </c:pt>
                <c:pt idx="584">
                  <c:v>334</c:v>
                </c:pt>
                <c:pt idx="585">
                  <c:v>335</c:v>
                </c:pt>
                <c:pt idx="586">
                  <c:v>336</c:v>
                </c:pt>
                <c:pt idx="587">
                  <c:v>337</c:v>
                </c:pt>
                <c:pt idx="588">
                  <c:v>338</c:v>
                </c:pt>
                <c:pt idx="589">
                  <c:v>339</c:v>
                </c:pt>
                <c:pt idx="590">
                  <c:v>340</c:v>
                </c:pt>
                <c:pt idx="591">
                  <c:v>341</c:v>
                </c:pt>
                <c:pt idx="592">
                  <c:v>342</c:v>
                </c:pt>
                <c:pt idx="593">
                  <c:v>343</c:v>
                </c:pt>
                <c:pt idx="594">
                  <c:v>344</c:v>
                </c:pt>
                <c:pt idx="595">
                  <c:v>345</c:v>
                </c:pt>
                <c:pt idx="596">
                  <c:v>346</c:v>
                </c:pt>
                <c:pt idx="597">
                  <c:v>347</c:v>
                </c:pt>
                <c:pt idx="598">
                  <c:v>348</c:v>
                </c:pt>
                <c:pt idx="599">
                  <c:v>349</c:v>
                </c:pt>
                <c:pt idx="600">
                  <c:v>350</c:v>
                </c:pt>
                <c:pt idx="601">
                  <c:v>351</c:v>
                </c:pt>
                <c:pt idx="602">
                  <c:v>352</c:v>
                </c:pt>
                <c:pt idx="603">
                  <c:v>353</c:v>
                </c:pt>
                <c:pt idx="604">
                  <c:v>354</c:v>
                </c:pt>
                <c:pt idx="605">
                  <c:v>355</c:v>
                </c:pt>
                <c:pt idx="606">
                  <c:v>356</c:v>
                </c:pt>
                <c:pt idx="607">
                  <c:v>357</c:v>
                </c:pt>
                <c:pt idx="608">
                  <c:v>358</c:v>
                </c:pt>
                <c:pt idx="609">
                  <c:v>359</c:v>
                </c:pt>
                <c:pt idx="610">
                  <c:v>360</c:v>
                </c:pt>
                <c:pt idx="611">
                  <c:v>361</c:v>
                </c:pt>
                <c:pt idx="612">
                  <c:v>362</c:v>
                </c:pt>
                <c:pt idx="613">
                  <c:v>363</c:v>
                </c:pt>
                <c:pt idx="614">
                  <c:v>364</c:v>
                </c:pt>
                <c:pt idx="615">
                  <c:v>365</c:v>
                </c:pt>
                <c:pt idx="616">
                  <c:v>366</c:v>
                </c:pt>
                <c:pt idx="617">
                  <c:v>367</c:v>
                </c:pt>
                <c:pt idx="618">
                  <c:v>368</c:v>
                </c:pt>
                <c:pt idx="619">
                  <c:v>369</c:v>
                </c:pt>
                <c:pt idx="620">
                  <c:v>370</c:v>
                </c:pt>
                <c:pt idx="621">
                  <c:v>371</c:v>
                </c:pt>
                <c:pt idx="622">
                  <c:v>372</c:v>
                </c:pt>
                <c:pt idx="623">
                  <c:v>373</c:v>
                </c:pt>
                <c:pt idx="624">
                  <c:v>374</c:v>
                </c:pt>
                <c:pt idx="625">
                  <c:v>375</c:v>
                </c:pt>
                <c:pt idx="626">
                  <c:v>376</c:v>
                </c:pt>
                <c:pt idx="627">
                  <c:v>377</c:v>
                </c:pt>
                <c:pt idx="628">
                  <c:v>378</c:v>
                </c:pt>
                <c:pt idx="629">
                  <c:v>379</c:v>
                </c:pt>
                <c:pt idx="630">
                  <c:v>380</c:v>
                </c:pt>
                <c:pt idx="631">
                  <c:v>381</c:v>
                </c:pt>
                <c:pt idx="632">
                  <c:v>382</c:v>
                </c:pt>
                <c:pt idx="633">
                  <c:v>383</c:v>
                </c:pt>
                <c:pt idx="634">
                  <c:v>384</c:v>
                </c:pt>
                <c:pt idx="635">
                  <c:v>385</c:v>
                </c:pt>
                <c:pt idx="636">
                  <c:v>386</c:v>
                </c:pt>
                <c:pt idx="637">
                  <c:v>387</c:v>
                </c:pt>
                <c:pt idx="638">
                  <c:v>388</c:v>
                </c:pt>
                <c:pt idx="639">
                  <c:v>389</c:v>
                </c:pt>
                <c:pt idx="640">
                  <c:v>390</c:v>
                </c:pt>
                <c:pt idx="641">
                  <c:v>391</c:v>
                </c:pt>
                <c:pt idx="642">
                  <c:v>392</c:v>
                </c:pt>
                <c:pt idx="643">
                  <c:v>393</c:v>
                </c:pt>
                <c:pt idx="644">
                  <c:v>394</c:v>
                </c:pt>
                <c:pt idx="645">
                  <c:v>395</c:v>
                </c:pt>
                <c:pt idx="646">
                  <c:v>396</c:v>
                </c:pt>
                <c:pt idx="647">
                  <c:v>397</c:v>
                </c:pt>
                <c:pt idx="648">
                  <c:v>398</c:v>
                </c:pt>
                <c:pt idx="649">
                  <c:v>399</c:v>
                </c:pt>
                <c:pt idx="650">
                  <c:v>400</c:v>
                </c:pt>
                <c:pt idx="651">
                  <c:v>401</c:v>
                </c:pt>
                <c:pt idx="652">
                  <c:v>402</c:v>
                </c:pt>
                <c:pt idx="653">
                  <c:v>403</c:v>
                </c:pt>
                <c:pt idx="654">
                  <c:v>404</c:v>
                </c:pt>
                <c:pt idx="655">
                  <c:v>405</c:v>
                </c:pt>
                <c:pt idx="656">
                  <c:v>406</c:v>
                </c:pt>
                <c:pt idx="657">
                  <c:v>407</c:v>
                </c:pt>
                <c:pt idx="658">
                  <c:v>408</c:v>
                </c:pt>
                <c:pt idx="659">
                  <c:v>409</c:v>
                </c:pt>
                <c:pt idx="660">
                  <c:v>410</c:v>
                </c:pt>
                <c:pt idx="661">
                  <c:v>411</c:v>
                </c:pt>
                <c:pt idx="662">
                  <c:v>412</c:v>
                </c:pt>
                <c:pt idx="663">
                  <c:v>413</c:v>
                </c:pt>
                <c:pt idx="664">
                  <c:v>414</c:v>
                </c:pt>
                <c:pt idx="665">
                  <c:v>415</c:v>
                </c:pt>
                <c:pt idx="666">
                  <c:v>416</c:v>
                </c:pt>
                <c:pt idx="667">
                  <c:v>417</c:v>
                </c:pt>
                <c:pt idx="668">
                  <c:v>418</c:v>
                </c:pt>
                <c:pt idx="669">
                  <c:v>419</c:v>
                </c:pt>
                <c:pt idx="670">
                  <c:v>420</c:v>
                </c:pt>
                <c:pt idx="671">
                  <c:v>421</c:v>
                </c:pt>
                <c:pt idx="672">
                  <c:v>422</c:v>
                </c:pt>
                <c:pt idx="673">
                  <c:v>423</c:v>
                </c:pt>
                <c:pt idx="674">
                  <c:v>424</c:v>
                </c:pt>
                <c:pt idx="675">
                  <c:v>425</c:v>
                </c:pt>
                <c:pt idx="676">
                  <c:v>426</c:v>
                </c:pt>
                <c:pt idx="677">
                  <c:v>427</c:v>
                </c:pt>
                <c:pt idx="678">
                  <c:v>428</c:v>
                </c:pt>
                <c:pt idx="679">
                  <c:v>429</c:v>
                </c:pt>
                <c:pt idx="680">
                  <c:v>430</c:v>
                </c:pt>
                <c:pt idx="681">
                  <c:v>431</c:v>
                </c:pt>
                <c:pt idx="682">
                  <c:v>432</c:v>
                </c:pt>
                <c:pt idx="683">
                  <c:v>433</c:v>
                </c:pt>
                <c:pt idx="684">
                  <c:v>434</c:v>
                </c:pt>
                <c:pt idx="685">
                  <c:v>435</c:v>
                </c:pt>
                <c:pt idx="686">
                  <c:v>436</c:v>
                </c:pt>
                <c:pt idx="687">
                  <c:v>437</c:v>
                </c:pt>
                <c:pt idx="688">
                  <c:v>438</c:v>
                </c:pt>
                <c:pt idx="689">
                  <c:v>439</c:v>
                </c:pt>
                <c:pt idx="690">
                  <c:v>440</c:v>
                </c:pt>
                <c:pt idx="691">
                  <c:v>441</c:v>
                </c:pt>
                <c:pt idx="692">
                  <c:v>442</c:v>
                </c:pt>
                <c:pt idx="693">
                  <c:v>443</c:v>
                </c:pt>
                <c:pt idx="694">
                  <c:v>444</c:v>
                </c:pt>
                <c:pt idx="695">
                  <c:v>445</c:v>
                </c:pt>
                <c:pt idx="696">
                  <c:v>446</c:v>
                </c:pt>
                <c:pt idx="697">
                  <c:v>447</c:v>
                </c:pt>
                <c:pt idx="698">
                  <c:v>448</c:v>
                </c:pt>
                <c:pt idx="699">
                  <c:v>449</c:v>
                </c:pt>
                <c:pt idx="700">
                  <c:v>450</c:v>
                </c:pt>
              </c:numCache>
            </c:numRef>
          </c:cat>
          <c:val>
            <c:numRef>
              <c:f>'S-Curve'!$D$2:$D$702</c:f>
              <c:numCache>
                <c:formatCode>General</c:formatCode>
                <c:ptCount val="701"/>
                <c:pt idx="0">
                  <c:v>0.32713550899183819</c:v>
                </c:pt>
                <c:pt idx="1">
                  <c:v>0.32713670714026311</c:v>
                </c:pt>
                <c:pt idx="2">
                  <c:v>0.32713770559726907</c:v>
                </c:pt>
                <c:pt idx="3">
                  <c:v>0.32713870405431944</c:v>
                </c:pt>
                <c:pt idx="4">
                  <c:v>0.32713970251138091</c:v>
                </c:pt>
                <c:pt idx="5">
                  <c:v>0.32714070096839798</c:v>
                </c:pt>
                <c:pt idx="6">
                  <c:v>0.32714169942543725</c:v>
                </c:pt>
                <c:pt idx="7">
                  <c:v>0.32714269788246542</c:v>
                </c:pt>
                <c:pt idx="8">
                  <c:v>0.32714369633939366</c:v>
                </c:pt>
                <c:pt idx="9">
                  <c:v>0.32714469479641073</c:v>
                </c:pt>
                <c:pt idx="10">
                  <c:v>0.32714569325342779</c:v>
                </c:pt>
                <c:pt idx="11">
                  <c:v>0.32714689140183051</c:v>
                </c:pt>
                <c:pt idx="12">
                  <c:v>0.32714788985866994</c:v>
                </c:pt>
                <c:pt idx="13">
                  <c:v>0.3271488883156537</c:v>
                </c:pt>
                <c:pt idx="14">
                  <c:v>0.32714988677263745</c:v>
                </c:pt>
                <c:pt idx="15">
                  <c:v>0.3271508852295324</c:v>
                </c:pt>
                <c:pt idx="16">
                  <c:v>0.32715188368649395</c:v>
                </c:pt>
                <c:pt idx="17">
                  <c:v>0.3271528821434333</c:v>
                </c:pt>
                <c:pt idx="18">
                  <c:v>0.32715388060025052</c:v>
                </c:pt>
                <c:pt idx="19">
                  <c:v>0.32715487905717877</c:v>
                </c:pt>
                <c:pt idx="20">
                  <c:v>0.32715587751408481</c:v>
                </c:pt>
                <c:pt idx="21">
                  <c:v>0.32715707566237651</c:v>
                </c:pt>
                <c:pt idx="22">
                  <c:v>0.32715807411914932</c:v>
                </c:pt>
                <c:pt idx="23">
                  <c:v>0.32715907257603316</c:v>
                </c:pt>
                <c:pt idx="24">
                  <c:v>0.327160071032917</c:v>
                </c:pt>
                <c:pt idx="25">
                  <c:v>0.32716106948968982</c:v>
                </c:pt>
                <c:pt idx="26">
                  <c:v>0.32716206794656255</c:v>
                </c:pt>
                <c:pt idx="27">
                  <c:v>0.32716306640343529</c:v>
                </c:pt>
                <c:pt idx="28">
                  <c:v>0.32716406486011929</c:v>
                </c:pt>
                <c:pt idx="29">
                  <c:v>0.32716506331698092</c:v>
                </c:pt>
                <c:pt idx="30">
                  <c:v>0.32716606177369822</c:v>
                </c:pt>
                <c:pt idx="31">
                  <c:v>0.3271672599219233</c:v>
                </c:pt>
                <c:pt idx="32">
                  <c:v>0.32716825837862951</c:v>
                </c:pt>
                <c:pt idx="33">
                  <c:v>0.32716925683544673</c:v>
                </c:pt>
                <c:pt idx="34">
                  <c:v>0.32717025529224175</c:v>
                </c:pt>
                <c:pt idx="35">
                  <c:v>0.32717125374891465</c:v>
                </c:pt>
                <c:pt idx="36">
                  <c:v>0.32717225220567636</c:v>
                </c:pt>
                <c:pt idx="37">
                  <c:v>0.32717325066234926</c:v>
                </c:pt>
                <c:pt idx="38">
                  <c:v>0.32717424911909987</c:v>
                </c:pt>
                <c:pt idx="39">
                  <c:v>0.32717524757585048</c:v>
                </c:pt>
                <c:pt idx="40">
                  <c:v>0.32717644572388682</c:v>
                </c:pt>
                <c:pt idx="41">
                  <c:v>0.32717744418062633</c:v>
                </c:pt>
                <c:pt idx="42">
                  <c:v>0.3271784426371549</c:v>
                </c:pt>
                <c:pt idx="43">
                  <c:v>0.32717944109391661</c:v>
                </c:pt>
                <c:pt idx="44">
                  <c:v>0.32718043955062281</c:v>
                </c:pt>
                <c:pt idx="45">
                  <c:v>0.32718143800720689</c:v>
                </c:pt>
                <c:pt idx="46">
                  <c:v>0.32718243646390199</c:v>
                </c:pt>
                <c:pt idx="47">
                  <c:v>0.32718343492046387</c:v>
                </c:pt>
                <c:pt idx="48">
                  <c:v>0.32718443337708125</c:v>
                </c:pt>
                <c:pt idx="49">
                  <c:v>0.32718543183374305</c:v>
                </c:pt>
                <c:pt idx="50">
                  <c:v>0.32718662998165726</c:v>
                </c:pt>
                <c:pt idx="51">
                  <c:v>0.32718762843833016</c:v>
                </c:pt>
                <c:pt idx="52">
                  <c:v>0.32718862689478101</c:v>
                </c:pt>
                <c:pt idx="53">
                  <c:v>0.3271896253514095</c:v>
                </c:pt>
                <c:pt idx="54">
                  <c:v>0.32719062380791586</c:v>
                </c:pt>
                <c:pt idx="55">
                  <c:v>0.32719162226452214</c:v>
                </c:pt>
                <c:pt idx="56">
                  <c:v>0.32719262072109512</c:v>
                </c:pt>
                <c:pt idx="57">
                  <c:v>0.32719361917755707</c:v>
                </c:pt>
                <c:pt idx="58">
                  <c:v>0.32719461763418556</c:v>
                </c:pt>
                <c:pt idx="59">
                  <c:v>0.32719561609069192</c:v>
                </c:pt>
                <c:pt idx="60">
                  <c:v>0.32719681423850622</c:v>
                </c:pt>
                <c:pt idx="61">
                  <c:v>0.32719781269490156</c:v>
                </c:pt>
                <c:pt idx="62">
                  <c:v>0.32719881115146343</c:v>
                </c:pt>
                <c:pt idx="63">
                  <c:v>0.3271998096080142</c:v>
                </c:pt>
                <c:pt idx="64">
                  <c:v>0.32720080806435403</c:v>
                </c:pt>
                <c:pt idx="65">
                  <c:v>0.3272018065208937</c:v>
                </c:pt>
                <c:pt idx="66">
                  <c:v>0.32720280497736676</c:v>
                </c:pt>
                <c:pt idx="67">
                  <c:v>0.3272038034337621</c:v>
                </c:pt>
                <c:pt idx="68">
                  <c:v>0.32720480189021295</c:v>
                </c:pt>
                <c:pt idx="69">
                  <c:v>0.32720600003794953</c:v>
                </c:pt>
                <c:pt idx="70">
                  <c:v>0.32720699849435597</c:v>
                </c:pt>
                <c:pt idx="71">
                  <c:v>0.3272079969507069</c:v>
                </c:pt>
                <c:pt idx="72">
                  <c:v>0.32720899540714665</c:v>
                </c:pt>
                <c:pt idx="73">
                  <c:v>0.3272099938635975</c:v>
                </c:pt>
                <c:pt idx="74">
                  <c:v>0.32721099231987072</c:v>
                </c:pt>
                <c:pt idx="75">
                  <c:v>0.32721199077631047</c:v>
                </c:pt>
                <c:pt idx="76">
                  <c:v>0.32721298923270581</c:v>
                </c:pt>
                <c:pt idx="77">
                  <c:v>0.32721398768900123</c:v>
                </c:pt>
                <c:pt idx="78">
                  <c:v>0.32721498614538547</c:v>
                </c:pt>
                <c:pt idx="79">
                  <c:v>0.32721618429293331</c:v>
                </c:pt>
                <c:pt idx="80">
                  <c:v>0.32721718274933975</c:v>
                </c:pt>
                <c:pt idx="81">
                  <c:v>0.32721818120553525</c:v>
                </c:pt>
                <c:pt idx="82">
                  <c:v>0.32721917966186398</c:v>
                </c:pt>
                <c:pt idx="83">
                  <c:v>0.32722017811824822</c:v>
                </c:pt>
                <c:pt idx="84">
                  <c:v>0.32722117657442151</c:v>
                </c:pt>
                <c:pt idx="85">
                  <c:v>0.32722217503072804</c:v>
                </c:pt>
                <c:pt idx="86">
                  <c:v>0.32722317348709007</c:v>
                </c:pt>
                <c:pt idx="87">
                  <c:v>0.32722417194324116</c:v>
                </c:pt>
                <c:pt idx="88">
                  <c:v>0.32722517039953658</c:v>
                </c:pt>
                <c:pt idx="89">
                  <c:v>0.32722636854699561</c:v>
                </c:pt>
                <c:pt idx="90">
                  <c:v>0.32722736700330213</c:v>
                </c:pt>
                <c:pt idx="91">
                  <c:v>0.32722836545943101</c:v>
                </c:pt>
                <c:pt idx="92">
                  <c:v>0.32722936391568203</c:v>
                </c:pt>
                <c:pt idx="93">
                  <c:v>0.32723036237189973</c:v>
                </c:pt>
                <c:pt idx="94">
                  <c:v>0.32723136082800641</c:v>
                </c:pt>
                <c:pt idx="95">
                  <c:v>0.32723235928427963</c:v>
                </c:pt>
                <c:pt idx="96">
                  <c:v>0.32723335774050843</c:v>
                </c:pt>
                <c:pt idx="97">
                  <c:v>0.32723435619655961</c:v>
                </c:pt>
                <c:pt idx="98">
                  <c:v>0.32723535465275511</c:v>
                </c:pt>
                <c:pt idx="99">
                  <c:v>0.32723655280010311</c:v>
                </c:pt>
                <c:pt idx="100">
                  <c:v>0.32723755125630971</c:v>
                </c:pt>
                <c:pt idx="101">
                  <c:v>0.32723854971232758</c:v>
                </c:pt>
                <c:pt idx="102">
                  <c:v>0.32723954816847867</c:v>
                </c:pt>
                <c:pt idx="103">
                  <c:v>0.32724054662469637</c:v>
                </c:pt>
                <c:pt idx="104">
                  <c:v>0.32724154508070313</c:v>
                </c:pt>
                <c:pt idx="105">
                  <c:v>0.32724254353684312</c:v>
                </c:pt>
                <c:pt idx="106">
                  <c:v>0.32724354199283878</c:v>
                </c:pt>
                <c:pt idx="107">
                  <c:v>0.32724454044896767</c:v>
                </c:pt>
                <c:pt idx="108">
                  <c:v>0.32724573859621575</c:v>
                </c:pt>
                <c:pt idx="109">
                  <c:v>0.32724673705232243</c:v>
                </c:pt>
                <c:pt idx="110">
                  <c:v>0.32724773550841801</c:v>
                </c:pt>
                <c:pt idx="111">
                  <c:v>0.32724873396434706</c:v>
                </c:pt>
                <c:pt idx="112">
                  <c:v>0.32724973242043154</c:v>
                </c:pt>
                <c:pt idx="113">
                  <c:v>0.32725073087627177</c:v>
                </c:pt>
                <c:pt idx="114">
                  <c:v>0.32725172933235624</c:v>
                </c:pt>
                <c:pt idx="115">
                  <c:v>0.32725272778837411</c:v>
                </c:pt>
                <c:pt idx="116">
                  <c:v>0.32725372624431426</c:v>
                </c:pt>
                <c:pt idx="117">
                  <c:v>0.32725472470033212</c:v>
                </c:pt>
                <c:pt idx="118">
                  <c:v>0.32725592284750249</c:v>
                </c:pt>
                <c:pt idx="119">
                  <c:v>0.32725692130349815</c:v>
                </c:pt>
                <c:pt idx="120">
                  <c:v>0.32725791975937168</c:v>
                </c:pt>
                <c:pt idx="121">
                  <c:v>0.32725891821532294</c:v>
                </c:pt>
                <c:pt idx="122">
                  <c:v>0.3272599166713186</c:v>
                </c:pt>
                <c:pt idx="123">
                  <c:v>0.32726091512715882</c:v>
                </c:pt>
                <c:pt idx="124">
                  <c:v>0.32726191358312118</c:v>
                </c:pt>
                <c:pt idx="125">
                  <c:v>0.32726291203909463</c:v>
                </c:pt>
                <c:pt idx="126">
                  <c:v>0.32726391049491266</c:v>
                </c:pt>
                <c:pt idx="127">
                  <c:v>0.32726490895077509</c:v>
                </c:pt>
                <c:pt idx="128">
                  <c:v>0.32726610709785664</c:v>
                </c:pt>
                <c:pt idx="129">
                  <c:v>0.32726710555375238</c:v>
                </c:pt>
                <c:pt idx="130">
                  <c:v>0.32726810400949269</c:v>
                </c:pt>
                <c:pt idx="131">
                  <c:v>0.32726910246541063</c:v>
                </c:pt>
                <c:pt idx="132">
                  <c:v>0.32727010092129527</c:v>
                </c:pt>
                <c:pt idx="133">
                  <c:v>0.32727109937700227</c:v>
                </c:pt>
                <c:pt idx="134">
                  <c:v>0.32727209783287581</c:v>
                </c:pt>
                <c:pt idx="135">
                  <c:v>0.32727309628878265</c:v>
                </c:pt>
                <c:pt idx="136">
                  <c:v>0.32727409474450075</c:v>
                </c:pt>
                <c:pt idx="137">
                  <c:v>0.32727529289141577</c:v>
                </c:pt>
                <c:pt idx="138">
                  <c:v>0.327276291347256</c:v>
                </c:pt>
                <c:pt idx="139">
                  <c:v>0.32727728980302961</c:v>
                </c:pt>
                <c:pt idx="140">
                  <c:v>0.32727828825872551</c:v>
                </c:pt>
                <c:pt idx="141">
                  <c:v>0.32727928671447692</c:v>
                </c:pt>
                <c:pt idx="142">
                  <c:v>0.32728028517029495</c:v>
                </c:pt>
                <c:pt idx="143">
                  <c:v>0.32728128362600195</c:v>
                </c:pt>
                <c:pt idx="144">
                  <c:v>0.32728228208170895</c:v>
                </c:pt>
                <c:pt idx="145">
                  <c:v>0.32728348022855736</c:v>
                </c:pt>
                <c:pt idx="146">
                  <c:v>0.32728527744887437</c:v>
                </c:pt>
                <c:pt idx="147">
                  <c:v>0.32728927127150254</c:v>
                </c:pt>
                <c:pt idx="148">
                  <c:v>0.32729626046094085</c:v>
                </c:pt>
                <c:pt idx="149">
                  <c:v>0.32730744316306071</c:v>
                </c:pt>
                <c:pt idx="150">
                  <c:v>0.32732401752277873</c:v>
                </c:pt>
                <c:pt idx="151">
                  <c:v>0.32734678230218472</c:v>
                </c:pt>
                <c:pt idx="152">
                  <c:v>0.32737713533379509</c:v>
                </c:pt>
                <c:pt idx="153">
                  <c:v>0.32741607506595605</c:v>
                </c:pt>
                <c:pt idx="154">
                  <c:v>0.32746459994333899</c:v>
                </c:pt>
                <c:pt idx="155">
                  <c:v>0.32752390809751564</c:v>
                </c:pt>
                <c:pt idx="156">
                  <c:v>0.32759519765421796</c:v>
                </c:pt>
                <c:pt idx="157">
                  <c:v>0.32767946704187478</c:v>
                </c:pt>
                <c:pt idx="158">
                  <c:v>0.32777771468148753</c:v>
                </c:pt>
                <c:pt idx="159">
                  <c:v>0.32789113867529585</c:v>
                </c:pt>
                <c:pt idx="160">
                  <c:v>0.32804569864551825</c:v>
                </c:pt>
                <c:pt idx="161">
                  <c:v>0.32833684589956835</c:v>
                </c:pt>
                <c:pt idx="162">
                  <c:v>0.32878195223176032</c:v>
                </c:pt>
                <c:pt idx="163">
                  <c:v>0.32938960230415315</c:v>
                </c:pt>
                <c:pt idx="164">
                  <c:v>0.33016798051186402</c:v>
                </c:pt>
                <c:pt idx="165">
                  <c:v>0.33112626865632322</c:v>
                </c:pt>
                <c:pt idx="166">
                  <c:v>0.33227264894210018</c:v>
                </c:pt>
                <c:pt idx="167">
                  <c:v>0.33361590131849583</c:v>
                </c:pt>
                <c:pt idx="168">
                  <c:v>0.33516460458558051</c:v>
                </c:pt>
                <c:pt idx="169">
                  <c:v>0.33692753559494415</c:v>
                </c:pt>
                <c:pt idx="170">
                  <c:v>0.3389130700560572</c:v>
                </c:pt>
                <c:pt idx="171">
                  <c:v>0.34112978139788641</c:v>
                </c:pt>
                <c:pt idx="172">
                  <c:v>0.34358644057187471</c:v>
                </c:pt>
                <c:pt idx="173">
                  <c:v>0.34629161652808271</c:v>
                </c:pt>
                <c:pt idx="174">
                  <c:v>0.34925387569636479</c:v>
                </c:pt>
                <c:pt idx="175">
                  <c:v>0.35248158214199465</c:v>
                </c:pt>
                <c:pt idx="176">
                  <c:v>0.35598369594540547</c:v>
                </c:pt>
                <c:pt idx="177">
                  <c:v>0.35976877473260505</c:v>
                </c:pt>
                <c:pt idx="178">
                  <c:v>0.36384517314429488</c:v>
                </c:pt>
                <c:pt idx="179">
                  <c:v>0.36822164149682424</c:v>
                </c:pt>
                <c:pt idx="180">
                  <c:v>0.37290652703984017</c:v>
                </c:pt>
                <c:pt idx="181">
                  <c:v>0.37790877179295634</c:v>
                </c:pt>
                <c:pt idx="182">
                  <c:v>0.38323651504004186</c:v>
                </c:pt>
                <c:pt idx="183">
                  <c:v>0.38889868989548937</c:v>
                </c:pt>
                <c:pt idx="184">
                  <c:v>0.39490362586727112</c:v>
                </c:pt>
                <c:pt idx="185">
                  <c:v>0.40126004652992764</c:v>
                </c:pt>
                <c:pt idx="186">
                  <c:v>0.40797627096141875</c:v>
                </c:pt>
                <c:pt idx="187">
                  <c:v>0.41506121123721096</c:v>
                </c:pt>
                <c:pt idx="188">
                  <c:v>0.42252297533104111</c:v>
                </c:pt>
                <c:pt idx="189">
                  <c:v>0.43037046311057425</c:v>
                </c:pt>
                <c:pt idx="190">
                  <c:v>0.43861176985509065</c:v>
                </c:pt>
                <c:pt idx="191">
                  <c:v>0.44725578201891825</c:v>
                </c:pt>
                <c:pt idx="192">
                  <c:v>0.4563109798756293</c:v>
                </c:pt>
                <c:pt idx="193">
                  <c:v>0.46578583623023695</c:v>
                </c:pt>
                <c:pt idx="194">
                  <c:v>0.47568861667510731</c:v>
                </c:pt>
                <c:pt idx="195">
                  <c:v>0.48602797754959681</c:v>
                </c:pt>
                <c:pt idx="196">
                  <c:v>0.4968125666523826</c:v>
                </c:pt>
                <c:pt idx="197">
                  <c:v>0.508050624168499</c:v>
                </c:pt>
                <c:pt idx="198">
                  <c:v>0.51975058053651546</c:v>
                </c:pt>
                <c:pt idx="199">
                  <c:v>0.53192105598632855</c:v>
                </c:pt>
                <c:pt idx="200">
                  <c:v>0.54457026218139859</c:v>
                </c:pt>
                <c:pt idx="201">
                  <c:v>0.55770699841976024</c:v>
                </c:pt>
                <c:pt idx="202">
                  <c:v>0.57133925618786385</c:v>
                </c:pt>
                <c:pt idx="203">
                  <c:v>0.58547581301345852</c:v>
                </c:pt>
                <c:pt idx="204">
                  <c:v>0.60012483722385879</c:v>
                </c:pt>
                <c:pt idx="205">
                  <c:v>0.6152946845971452</c:v>
                </c:pt>
                <c:pt idx="206">
                  <c:v>0.63099389782350634</c:v>
                </c:pt>
                <c:pt idx="207">
                  <c:v>0.64723080773907427</c:v>
                </c:pt>
                <c:pt idx="208">
                  <c:v>0.66401373212656711</c:v>
                </c:pt>
                <c:pt idx="209">
                  <c:v>0.68135097529262723</c:v>
                </c:pt>
                <c:pt idx="210">
                  <c:v>0.69925062863123166</c:v>
                </c:pt>
                <c:pt idx="211">
                  <c:v>0.71772156522811326</c:v>
                </c:pt>
                <c:pt idx="212">
                  <c:v>0.73677164827931074</c:v>
                </c:pt>
                <c:pt idx="213">
                  <c:v>0.75640912383436731</c:v>
                </c:pt>
                <c:pt idx="214">
                  <c:v>0.77664242112633897</c:v>
                </c:pt>
                <c:pt idx="215">
                  <c:v>0.79747975426668338</c:v>
                </c:pt>
                <c:pt idx="216">
                  <c:v>0.81892932075325886</c:v>
                </c:pt>
                <c:pt idx="217">
                  <c:v>0.84099949974623112</c:v>
                </c:pt>
                <c:pt idx="218">
                  <c:v>0.86369825526441124</c:v>
                </c:pt>
                <c:pt idx="219">
                  <c:v>0.88703373210782255</c:v>
                </c:pt>
                <c:pt idx="220">
                  <c:v>0.91101425515954793</c:v>
                </c:pt>
                <c:pt idx="221">
                  <c:v>0.93564793151620362</c:v>
                </c:pt>
                <c:pt idx="222">
                  <c:v>0.96094265020852943</c:v>
                </c:pt>
                <c:pt idx="223">
                  <c:v>0.9869068758488253</c:v>
                </c:pt>
                <c:pt idx="224">
                  <c:v>1.0135438929145812</c:v>
                </c:pt>
                <c:pt idx="225">
                  <c:v>1.0406810061800331</c:v>
                </c:pt>
                <c:pt idx="226">
                  <c:v>1.0682270000375249</c:v>
                </c:pt>
                <c:pt idx="227">
                  <c:v>1.0961823509377688</c:v>
                </c:pt>
                <c:pt idx="228">
                  <c:v>1.1245469351639614</c:v>
                </c:pt>
                <c:pt idx="229">
                  <c:v>1.1533206241218896</c:v>
                </c:pt>
                <c:pt idx="230">
                  <c:v>1.182503482456998</c:v>
                </c:pt>
                <c:pt idx="231">
                  <c:v>1.2120957677819511</c:v>
                </c:pt>
                <c:pt idx="232">
                  <c:v>1.2420973363596377</c:v>
                </c:pt>
                <c:pt idx="233">
                  <c:v>1.2725082375090624</c:v>
                </c:pt>
                <c:pt idx="234">
                  <c:v>1.3033285154234964</c:v>
                </c:pt>
                <c:pt idx="235">
                  <c:v>1.334558209160841</c:v>
                </c:pt>
                <c:pt idx="236">
                  <c:v>1.3661973526349458</c:v>
                </c:pt>
                <c:pt idx="237">
                  <c:v>1.3982457768837886</c:v>
                </c:pt>
                <c:pt idx="238">
                  <c:v>1.4307037033503556</c:v>
                </c:pt>
                <c:pt idx="239">
                  <c:v>1.4635711504670357</c:v>
                </c:pt>
                <c:pt idx="240">
                  <c:v>1.4968477364037502</c:v>
                </c:pt>
                <c:pt idx="241">
                  <c:v>1.5305338645604571</c:v>
                </c:pt>
                <c:pt idx="242">
                  <c:v>1.5646291429792125</c:v>
                </c:pt>
                <c:pt idx="243">
                  <c:v>1.5991339644231717</c:v>
                </c:pt>
                <c:pt idx="244">
                  <c:v>1.6340479267801911</c:v>
                </c:pt>
                <c:pt idx="245">
                  <c:v>1.669371214913673</c:v>
                </c:pt>
                <c:pt idx="246">
                  <c:v>1.705103613887593</c:v>
                </c:pt>
                <c:pt idx="247">
                  <c:v>1.7412452979872706</c:v>
                </c:pt>
                <c:pt idx="248">
                  <c:v>1.7777960419445127</c:v>
                </c:pt>
                <c:pt idx="249">
                  <c:v>1.814755812474933</c:v>
                </c:pt>
                <c:pt idx="250">
                  <c:v>1.8521245710463208</c:v>
                </c:pt>
                <c:pt idx="251">
                  <c:v>1.8899022738697036</c:v>
                </c:pt>
                <c:pt idx="252">
                  <c:v>1.9280888718934963</c:v>
                </c:pt>
                <c:pt idx="253">
                  <c:v>1.9666843107957854</c:v>
                </c:pt>
                <c:pt idx="254">
                  <c:v>2.0056883343701704</c:v>
                </c:pt>
                <c:pt idx="255">
                  <c:v>2.0451008779500124</c:v>
                </c:pt>
                <c:pt idx="256">
                  <c:v>2.0849220680427827</c:v>
                </c:pt>
                <c:pt idx="257">
                  <c:v>2.1251516327921993</c:v>
                </c:pt>
                <c:pt idx="258">
                  <c:v>2.1657892953362845</c:v>
                </c:pt>
                <c:pt idx="259">
                  <c:v>2.2068353625177006</c:v>
                </c:pt>
                <c:pt idx="260">
                  <c:v>2.2482895467791475</c:v>
                </c:pt>
                <c:pt idx="261">
                  <c:v>2.2901515555468266</c:v>
                </c:pt>
                <c:pt idx="262">
                  <c:v>2.3324214832426859</c:v>
                </c:pt>
                <c:pt idx="263">
                  <c:v>2.3750990267927152</c:v>
                </c:pt>
                <c:pt idx="264">
                  <c:v>2.4181840739492921</c:v>
                </c:pt>
                <c:pt idx="265">
                  <c:v>2.4616767028922348</c:v>
                </c:pt>
                <c:pt idx="266">
                  <c:v>2.505576399071463</c:v>
                </c:pt>
                <c:pt idx="267">
                  <c:v>2.5498834256545311</c:v>
                </c:pt>
                <c:pt idx="268">
                  <c:v>2.5945972577051446</c:v>
                </c:pt>
                <c:pt idx="269">
                  <c:v>2.639717951904097</c:v>
                </c:pt>
                <c:pt idx="270">
                  <c:v>2.6852453638769536</c:v>
                </c:pt>
                <c:pt idx="271">
                  <c:v>2.7311791486028913</c:v>
                </c:pt>
                <c:pt idx="272">
                  <c:v>2.777519151209995</c:v>
                </c:pt>
                <c:pt idx="273">
                  <c:v>2.8242654065467887</c:v>
                </c:pt>
                <c:pt idx="274">
                  <c:v>2.8714173586885439</c:v>
                </c:pt>
                <c:pt idx="275">
                  <c:v>2.9189752267211766</c:v>
                </c:pt>
                <c:pt idx="276">
                  <c:v>2.9669384442823743</c:v>
                </c:pt>
                <c:pt idx="277">
                  <c:v>3.0153070245646951</c:v>
                </c:pt>
                <c:pt idx="278">
                  <c:v>3.064080780342604</c:v>
                </c:pt>
                <c:pt idx="279">
                  <c:v>3.1132593244136753</c:v>
                </c:pt>
                <c:pt idx="280">
                  <c:v>3.1628424590042892</c:v>
                </c:pt>
                <c:pt idx="281">
                  <c:v>3.2128301753134081</c:v>
                </c:pt>
                <c:pt idx="282">
                  <c:v>3.2632218758737674</c:v>
                </c:pt>
                <c:pt idx="283">
                  <c:v>3.3140177353371492</c:v>
                </c:pt>
                <c:pt idx="284">
                  <c:v>3.3652171457605906</c:v>
                </c:pt>
                <c:pt idx="285">
                  <c:v>3.4168200765574364</c:v>
                </c:pt>
                <c:pt idx="286">
                  <c:v>3.4688262974151507</c:v>
                </c:pt>
                <c:pt idx="287">
                  <c:v>3.5212353787670514</c:v>
                </c:pt>
                <c:pt idx="288">
                  <c:v>3.5740470797155477</c:v>
                </c:pt>
                <c:pt idx="289">
                  <c:v>3.6272613475461402</c:v>
                </c:pt>
                <c:pt idx="290">
                  <c:v>3.6808777366596046</c:v>
                </c:pt>
                <c:pt idx="291">
                  <c:v>3.7348959898287348</c:v>
                </c:pt>
                <c:pt idx="292">
                  <c:v>3.7893156510534265</c:v>
                </c:pt>
                <c:pt idx="293">
                  <c:v>3.8441366457313775</c:v>
                </c:pt>
                <c:pt idx="294">
                  <c:v>3.8993587002819075</c:v>
                </c:pt>
                <c:pt idx="295">
                  <c:v>3.9549815356664464</c:v>
                </c:pt>
                <c:pt idx="296">
                  <c:v>4.0110044815557355</c:v>
                </c:pt>
                <c:pt idx="297">
                  <c:v>4.0674276342351217</c:v>
                </c:pt>
                <c:pt idx="298">
                  <c:v>4.1242505055756435</c:v>
                </c:pt>
                <c:pt idx="299">
                  <c:v>4.1814727950036046</c:v>
                </c:pt>
                <c:pt idx="300">
                  <c:v>4.2390941964803091</c:v>
                </c:pt>
                <c:pt idx="301">
                  <c:v>4.2971497979260036</c:v>
                </c:pt>
                <c:pt idx="302">
                  <c:v>4.3559947487043615</c:v>
                </c:pt>
                <c:pt idx="303">
                  <c:v>4.4157074261913065</c:v>
                </c:pt>
                <c:pt idx="304">
                  <c:v>4.4762707438279037</c:v>
                </c:pt>
                <c:pt idx="305">
                  <c:v>4.5376674380638971</c:v>
                </c:pt>
                <c:pt idx="306">
                  <c:v>4.5998802620811468</c:v>
                </c:pt>
                <c:pt idx="307">
                  <c:v>4.6628919871001928</c:v>
                </c:pt>
                <c:pt idx="308">
                  <c:v>4.7266855952567743</c:v>
                </c:pt>
                <c:pt idx="309">
                  <c:v>4.7912438973053746</c:v>
                </c:pt>
                <c:pt idx="310">
                  <c:v>4.8565499171467463</c:v>
                </c:pt>
                <c:pt idx="311">
                  <c:v>4.9225863187117413</c:v>
                </c:pt>
                <c:pt idx="312">
                  <c:v>4.9893361728001402</c:v>
                </c:pt>
                <c:pt idx="313">
                  <c:v>5.0567825750175928</c:v>
                </c:pt>
                <c:pt idx="314">
                  <c:v>5.1249082651574795</c:v>
                </c:pt>
                <c:pt idx="315">
                  <c:v>5.1936963924875563</c:v>
                </c:pt>
                <c:pt idx="316">
                  <c:v>5.2631299437236105</c:v>
                </c:pt>
                <c:pt idx="317">
                  <c:v>5.333192125656872</c:v>
                </c:pt>
                <c:pt idx="318">
                  <c:v>5.4038657944672881</c:v>
                </c:pt>
                <c:pt idx="319">
                  <c:v>5.4751344090922638</c:v>
                </c:pt>
                <c:pt idx="320">
                  <c:v>5.5469806996177535</c:v>
                </c:pt>
                <c:pt idx="321">
                  <c:v>5.6193883804105731</c:v>
                </c:pt>
                <c:pt idx="322">
                  <c:v>5.6923404393343979</c:v>
                </c:pt>
                <c:pt idx="323">
                  <c:v>5.7658199000281352</c:v>
                </c:pt>
                <c:pt idx="324">
                  <c:v>5.8398105809379874</c:v>
                </c:pt>
                <c:pt idx="325">
                  <c:v>5.9142953887453835</c:v>
                </c:pt>
                <c:pt idx="326">
                  <c:v>5.9892580260038297</c:v>
                </c:pt>
                <c:pt idx="327">
                  <c:v>6.0646816652419222</c:v>
                </c:pt>
                <c:pt idx="328">
                  <c:v>6.1405497077435474</c:v>
                </c:pt>
                <c:pt idx="329">
                  <c:v>6.2168459724167295</c:v>
                </c:pt>
                <c:pt idx="330">
                  <c:v>6.2935537515373952</c:v>
                </c:pt>
                <c:pt idx="331">
                  <c:v>6.3706567563517673</c:v>
                </c:pt>
                <c:pt idx="332">
                  <c:v>6.4481385510299472</c:v>
                </c:pt>
                <c:pt idx="333">
                  <c:v>6.525982930543428</c:v>
                </c:pt>
                <c:pt idx="334">
                  <c:v>6.6041731679998161</c:v>
                </c:pt>
                <c:pt idx="335">
                  <c:v>6.6826935212722542</c:v>
                </c:pt>
                <c:pt idx="336">
                  <c:v>6.7615275393289593</c:v>
                </c:pt>
                <c:pt idx="337">
                  <c:v>6.8406591918228958</c:v>
                </c:pt>
                <c:pt idx="338">
                  <c:v>6.9200721179184193</c:v>
                </c:pt>
                <c:pt idx="339">
                  <c:v>6.9997503778237213</c:v>
                </c:pt>
                <c:pt idx="340">
                  <c:v>7.0796780772441448</c:v>
                </c:pt>
                <c:pt idx="341">
                  <c:v>7.1598389935720874</c:v>
                </c:pt>
                <c:pt idx="342">
                  <c:v>7.2402175125405366</c:v>
                </c:pt>
                <c:pt idx="343">
                  <c:v>7.3207975054976782</c:v>
                </c:pt>
                <c:pt idx="344">
                  <c:v>7.4015630786100628</c:v>
                </c:pt>
                <c:pt idx="345">
                  <c:v>7.4824985724263442</c:v>
                </c:pt>
                <c:pt idx="346">
                  <c:v>7.5635883750514221</c:v>
                </c:pt>
                <c:pt idx="347">
                  <c:v>7.6448165499824139</c:v>
                </c:pt>
                <c:pt idx="348">
                  <c:v>7.7261675820837095</c:v>
                </c:pt>
                <c:pt idx="349">
                  <c:v>7.8076258185661773</c:v>
                </c:pt>
                <c:pt idx="350">
                  <c:v>7.8891756556831112</c:v>
                </c:pt>
                <c:pt idx="351">
                  <c:v>7.9708017245010643</c:v>
                </c:pt>
                <c:pt idx="352">
                  <c:v>8.0524885193686941</c:v>
                </c:pt>
                <c:pt idx="353">
                  <c:v>8.1342205840913238</c:v>
                </c:pt>
                <c:pt idx="354">
                  <c:v>8.2159826971760612</c:v>
                </c:pt>
                <c:pt idx="355">
                  <c:v>8.2977595011362695</c:v>
                </c:pt>
                <c:pt idx="356">
                  <c:v>8.3795358729945928</c:v>
                </c:pt>
                <c:pt idx="357">
                  <c:v>8.4612961847451267</c:v>
                </c:pt>
                <c:pt idx="358">
                  <c:v>8.5430257820134141</c:v>
                </c:pt>
                <c:pt idx="359">
                  <c:v>8.6247091362680486</c:v>
                </c:pt>
                <c:pt idx="360">
                  <c:v>8.7063316910225055</c:v>
                </c:pt>
                <c:pt idx="361">
                  <c:v>8.7878778329284142</c:v>
                </c:pt>
                <c:pt idx="362">
                  <c:v>8.8693331035540659</c:v>
                </c:pt>
                <c:pt idx="363">
                  <c:v>8.9506823567949922</c:v>
                </c:pt>
                <c:pt idx="364">
                  <c:v>9.0319108636151562</c:v>
                </c:pt>
                <c:pt idx="365">
                  <c:v>9.1130037598967881</c:v>
                </c:pt>
                <c:pt idx="366">
                  <c:v>9.1939462303521342</c:v>
                </c:pt>
                <c:pt idx="367">
                  <c:v>9.2747235083170949</c:v>
                </c:pt>
                <c:pt idx="368">
                  <c:v>9.3553212416145559</c:v>
                </c:pt>
                <c:pt idx="369">
                  <c:v>9.435724393429922</c:v>
                </c:pt>
                <c:pt idx="370">
                  <c:v>9.5159187070071987</c:v>
                </c:pt>
                <c:pt idx="371">
                  <c:v>9.5958896067798385</c:v>
                </c:pt>
                <c:pt idx="372">
                  <c:v>9.6756223819923655</c:v>
                </c:pt>
                <c:pt idx="373">
                  <c:v>9.7551029163234997</c:v>
                </c:pt>
                <c:pt idx="374">
                  <c:v>9.8343167745245648</c:v>
                </c:pt>
                <c:pt idx="375">
                  <c:v>9.9132493855239368</c:v>
                </c:pt>
                <c:pt idx="376">
                  <c:v>9.9918867702252108</c:v>
                </c:pt>
                <c:pt idx="377">
                  <c:v>10.070214630289243</c:v>
                </c:pt>
                <c:pt idx="378">
                  <c:v>10.148218530726272</c:v>
                </c:pt>
                <c:pt idx="379">
                  <c:v>10.22588444445236</c:v>
                </c:pt>
                <c:pt idx="380">
                  <c:v>10.303198387784619</c:v>
                </c:pt>
                <c:pt idx="381">
                  <c:v>10.38014623879333</c:v>
                </c:pt>
                <c:pt idx="382">
                  <c:v>10.456713737491818</c:v>
                </c:pt>
                <c:pt idx="383">
                  <c:v>10.532887209456931</c:v>
                </c:pt>
                <c:pt idx="384">
                  <c:v>10.608652659523843</c:v>
                </c:pt>
                <c:pt idx="385">
                  <c:v>10.683995953195002</c:v>
                </c:pt>
                <c:pt idx="386">
                  <c:v>10.758903538512977</c:v>
                </c:pt>
                <c:pt idx="387">
                  <c:v>10.833361541812337</c:v>
                </c:pt>
                <c:pt idx="388">
                  <c:v>10.907355948631114</c:v>
                </c:pt>
                <c:pt idx="389">
                  <c:v>10.980873143830017</c:v>
                </c:pt>
                <c:pt idx="390">
                  <c:v>11.053899549742773</c:v>
                </c:pt>
                <c:pt idx="391">
                  <c:v>11.126421445712797</c:v>
                </c:pt>
                <c:pt idx="392">
                  <c:v>11.198424968042954</c:v>
                </c:pt>
                <c:pt idx="393">
                  <c:v>11.269896827908166</c:v>
                </c:pt>
                <c:pt idx="394">
                  <c:v>11.340823411768575</c:v>
                </c:pt>
                <c:pt idx="395">
                  <c:v>11.411191140383171</c:v>
                </c:pt>
                <c:pt idx="396">
                  <c:v>11.48098646800495</c:v>
                </c:pt>
                <c:pt idx="397">
                  <c:v>11.550195881555837</c:v>
                </c:pt>
                <c:pt idx="398">
                  <c:v>11.618806257487613</c:v>
                </c:pt>
                <c:pt idx="399">
                  <c:v>11.686803787301937</c:v>
                </c:pt>
                <c:pt idx="400">
                  <c:v>11.754175407997336</c:v>
                </c:pt>
                <c:pt idx="401">
                  <c:v>11.820907727806318</c:v>
                </c:pt>
                <c:pt idx="402">
                  <c:v>11.886987383233382</c:v>
                </c:pt>
                <c:pt idx="403">
                  <c:v>11.952401038115635</c:v>
                </c:pt>
                <c:pt idx="404">
                  <c:v>12.017135560776715</c:v>
                </c:pt>
                <c:pt idx="405">
                  <c:v>12.081177666466925</c:v>
                </c:pt>
                <c:pt idx="406">
                  <c:v>12.144514094843951</c:v>
                </c:pt>
                <c:pt idx="407">
                  <c:v>12.207131786717174</c:v>
                </c:pt>
                <c:pt idx="408">
                  <c:v>12.269017349502963</c:v>
                </c:pt>
                <c:pt idx="409">
                  <c:v>12.33015794497927</c:v>
                </c:pt>
                <c:pt idx="410">
                  <c:v>12.390540221999091</c:v>
                </c:pt>
                <c:pt idx="411">
                  <c:v>12.450151203633519</c:v>
                </c:pt>
                <c:pt idx="412">
                  <c:v>12.508977753355055</c:v>
                </c:pt>
                <c:pt idx="413">
                  <c:v>12.567006928647261</c:v>
                </c:pt>
                <c:pt idx="414">
                  <c:v>12.624225448366699</c:v>
                </c:pt>
                <c:pt idx="415">
                  <c:v>12.680620400164743</c:v>
                </c:pt>
                <c:pt idx="416">
                  <c:v>12.736178884698713</c:v>
                </c:pt>
                <c:pt idx="417">
                  <c:v>12.790887661089434</c:v>
                </c:pt>
                <c:pt idx="418">
                  <c:v>12.844733853020696</c:v>
                </c:pt>
                <c:pt idx="419">
                  <c:v>12.897704417062473</c:v>
                </c:pt>
                <c:pt idx="420">
                  <c:v>12.9497864946725</c:v>
                </c:pt>
                <c:pt idx="421">
                  <c:v>13.000966881581755</c:v>
                </c:pt>
                <c:pt idx="422">
                  <c:v>13.05123290841086</c:v>
                </c:pt>
                <c:pt idx="423">
                  <c:v>13.100571205250999</c:v>
                </c:pt>
                <c:pt idx="424">
                  <c:v>13.148969286261403</c:v>
                </c:pt>
                <c:pt idx="425">
                  <c:v>13.196413962765552</c:v>
                </c:pt>
                <c:pt idx="426">
                  <c:v>13.242892222839908</c:v>
                </c:pt>
                <c:pt idx="427">
                  <c:v>13.288391053726233</c:v>
                </c:pt>
                <c:pt idx="428">
                  <c:v>13.332897616086914</c:v>
                </c:pt>
                <c:pt idx="429">
                  <c:v>13.376412938100612</c:v>
                </c:pt>
                <c:pt idx="430">
                  <c:v>13.419099310975124</c:v>
                </c:pt>
                <c:pt idx="431">
                  <c:v>13.46101239863181</c:v>
                </c:pt>
                <c:pt idx="432">
                  <c:v>13.502158824185251</c:v>
                </c:pt>
                <c:pt idx="433">
                  <c:v>13.542545708120713</c:v>
                </c:pt>
                <c:pt idx="434">
                  <c:v>13.582179441232334</c:v>
                </c:pt>
                <c:pt idx="435">
                  <c:v>13.621067087667594</c:v>
                </c:pt>
                <c:pt idx="436">
                  <c:v>13.659214983466484</c:v>
                </c:pt>
                <c:pt idx="437">
                  <c:v>13.696630138417298</c:v>
                </c:pt>
                <c:pt idx="438">
                  <c:v>13.733318835741636</c:v>
                </c:pt>
                <c:pt idx="439">
                  <c:v>13.769288032805417</c:v>
                </c:pt>
                <c:pt idx="440">
                  <c:v>13.804543961906834</c:v>
                </c:pt>
                <c:pt idx="441">
                  <c:v>13.839093529885604</c:v>
                </c:pt>
                <c:pt idx="442">
                  <c:v>13.872943094637048</c:v>
                </c:pt>
                <c:pt idx="443">
                  <c:v>13.906099164936913</c:v>
                </c:pt>
                <c:pt idx="444">
                  <c:v>13.93856822603391</c:v>
                </c:pt>
                <c:pt idx="445">
                  <c:v>13.970356914581251</c:v>
                </c:pt>
                <c:pt idx="446">
                  <c:v>14.001471495507777</c:v>
                </c:pt>
                <c:pt idx="447">
                  <c:v>14.031918386145591</c:v>
                </c:pt>
                <c:pt idx="448">
                  <c:v>14.061703982056962</c:v>
                </c:pt>
                <c:pt idx="449">
                  <c:v>14.090834831723519</c:v>
                </c:pt>
                <c:pt idx="450">
                  <c:v>14.119317288288114</c:v>
                </c:pt>
                <c:pt idx="451">
                  <c:v>14.147157336087302</c:v>
                </c:pt>
                <c:pt idx="452">
                  <c:v>14.174361636205223</c:v>
                </c:pt>
                <c:pt idx="453">
                  <c:v>14.200936481532544</c:v>
                </c:pt>
                <c:pt idx="454">
                  <c:v>14.22688797168583</c:v>
                </c:pt>
                <c:pt idx="455">
                  <c:v>14.252222535524472</c:v>
                </c:pt>
                <c:pt idx="456">
                  <c:v>14.276946235416155</c:v>
                </c:pt>
                <c:pt idx="457">
                  <c:v>14.301065289697712</c:v>
                </c:pt>
                <c:pt idx="458">
                  <c:v>14.324586246657523</c:v>
                </c:pt>
                <c:pt idx="459">
                  <c:v>14.347514941790273</c:v>
                </c:pt>
                <c:pt idx="460">
                  <c:v>14.369857715221833</c:v>
                </c:pt>
                <c:pt idx="461">
                  <c:v>14.39162054294566</c:v>
                </c:pt>
                <c:pt idx="462">
                  <c:v>14.41280973224648</c:v>
                </c:pt>
                <c:pt idx="463">
                  <c:v>14.433431400798113</c:v>
                </c:pt>
                <c:pt idx="464">
                  <c:v>14.453491650809225</c:v>
                </c:pt>
                <c:pt idx="465">
                  <c:v>14.472996395828353</c:v>
                </c:pt>
                <c:pt idx="466">
                  <c:v>14.491952055332892</c:v>
                </c:pt>
                <c:pt idx="467">
                  <c:v>14.510364340187621</c:v>
                </c:pt>
                <c:pt idx="468">
                  <c:v>14.528239467806847</c:v>
                </c:pt>
                <c:pt idx="469">
                  <c:v>14.545583641743786</c:v>
                </c:pt>
                <c:pt idx="470">
                  <c:v>14.562402531885043</c:v>
                </c:pt>
                <c:pt idx="471">
                  <c:v>14.578702315367254</c:v>
                </c:pt>
                <c:pt idx="472">
                  <c:v>14.594488983149279</c:v>
                </c:pt>
                <c:pt idx="473">
                  <c:v>14.609768513781896</c:v>
                </c:pt>
                <c:pt idx="474">
                  <c:v>14.624546873727873</c:v>
                </c:pt>
                <c:pt idx="475">
                  <c:v>14.638830190918849</c:v>
                </c:pt>
                <c:pt idx="476">
                  <c:v>14.652624062074315</c:v>
                </c:pt>
                <c:pt idx="477">
                  <c:v>14.665934765728927</c:v>
                </c:pt>
                <c:pt idx="478">
                  <c:v>14.678768049868173</c:v>
                </c:pt>
                <c:pt idx="479">
                  <c:v>14.691129825168403</c:v>
                </c:pt>
                <c:pt idx="480">
                  <c:v>14.703026165173505</c:v>
                </c:pt>
                <c:pt idx="481">
                  <c:v>14.71446261407625</c:v>
                </c:pt>
                <c:pt idx="482">
                  <c:v>14.725445398884673</c:v>
                </c:pt>
                <c:pt idx="483">
                  <c:v>14.735980390932168</c:v>
                </c:pt>
                <c:pt idx="484">
                  <c:v>14.746073279404248</c:v>
                </c:pt>
                <c:pt idx="485">
                  <c:v>14.755729917752769</c:v>
                </c:pt>
                <c:pt idx="486">
                  <c:v>14.764956150867858</c:v>
                </c:pt>
                <c:pt idx="487">
                  <c:v>14.773757988337511</c:v>
                </c:pt>
                <c:pt idx="488">
                  <c:v>14.782141258684378</c:v>
                </c:pt>
                <c:pt idx="489">
                  <c:v>14.790111609708834</c:v>
                </c:pt>
                <c:pt idx="490">
                  <c:v>14.797675027655666</c:v>
                </c:pt>
                <c:pt idx="491">
                  <c:v>14.804837145595251</c:v>
                </c:pt>
                <c:pt idx="492">
                  <c:v>14.811603935488293</c:v>
                </c:pt>
                <c:pt idx="493">
                  <c:v>14.817981016672421</c:v>
                </c:pt>
                <c:pt idx="494">
                  <c:v>14.823974347812596</c:v>
                </c:pt>
                <c:pt idx="495">
                  <c:v>14.829589708367896</c:v>
                </c:pt>
                <c:pt idx="496">
                  <c:v>14.834832871760062</c:v>
                </c:pt>
                <c:pt idx="497">
                  <c:v>14.83970943273658</c:v>
                </c:pt>
                <c:pt idx="498">
                  <c:v>14.844225326219529</c:v>
                </c:pt>
                <c:pt idx="499">
                  <c:v>14.848386308890205</c:v>
                </c:pt>
                <c:pt idx="500">
                  <c:v>14.852198132296557</c:v>
                </c:pt>
                <c:pt idx="501">
                  <c:v>14.855666543070411</c:v>
                </c:pt>
                <c:pt idx="502">
                  <c:v>14.858797110307897</c:v>
                </c:pt>
                <c:pt idx="503">
                  <c:v>14.861595917114556</c:v>
                </c:pt>
                <c:pt idx="504">
                  <c:v>14.864068350977721</c:v>
                </c:pt>
                <c:pt idx="505">
                  <c:v>14.866220486610471</c:v>
                </c:pt>
                <c:pt idx="506">
                  <c:v>14.868057703548498</c:v>
                </c:pt>
                <c:pt idx="507">
                  <c:v>14.869585896100491</c:v>
                </c:pt>
                <c:pt idx="508">
                  <c:v>14.87081095506425</c:v>
                </c:pt>
                <c:pt idx="509">
                  <c:v>14.871738422303993</c:v>
                </c:pt>
                <c:pt idx="510">
                  <c:v>14.872478384865406</c:v>
                </c:pt>
                <c:pt idx="511">
                  <c:v>14.873202616216929</c:v>
                </c:pt>
                <c:pt idx="512">
                  <c:v>14.873913363182979</c:v>
                </c:pt>
                <c:pt idx="513">
                  <c:v>14.874610798876242</c:v>
                </c:pt>
                <c:pt idx="514">
                  <c:v>14.875294923596172</c:v>
                </c:pt>
                <c:pt idx="515">
                  <c:v>14.875966083238279</c:v>
                </c:pt>
                <c:pt idx="516">
                  <c:v>14.87662427808354</c:v>
                </c:pt>
                <c:pt idx="517">
                  <c:v>14.877269854003583</c:v>
                </c:pt>
                <c:pt idx="518">
                  <c:v>14.87790263846459</c:v>
                </c:pt>
                <c:pt idx="519">
                  <c:v>14.878522804523996</c:v>
                </c:pt>
                <c:pt idx="520">
                  <c:v>14.879130698023712</c:v>
                </c:pt>
                <c:pt idx="521">
                  <c:v>14.879726146411143</c:v>
                </c:pt>
                <c:pt idx="522">
                  <c:v>14.880309668302939</c:v>
                </c:pt>
                <c:pt idx="523">
                  <c:v>14.880881091132492</c:v>
                </c:pt>
                <c:pt idx="524">
                  <c:v>14.881440587913609</c:v>
                </c:pt>
                <c:pt idx="525">
                  <c:v>14.881988331650998</c:v>
                </c:pt>
                <c:pt idx="526">
                  <c:v>14.882524322552515</c:v>
                </c:pt>
                <c:pt idx="527">
                  <c:v>14.88304890639659</c:v>
                </c:pt>
                <c:pt idx="528">
                  <c:v>14.88356225616274</c:v>
                </c:pt>
                <c:pt idx="529">
                  <c:v>14.884064199251846</c:v>
                </c:pt>
                <c:pt idx="530">
                  <c:v>14.884555081417828</c:v>
                </c:pt>
                <c:pt idx="531">
                  <c:v>14.88503490283618</c:v>
                </c:pt>
                <c:pt idx="532">
                  <c:v>14.885504009243977</c:v>
                </c:pt>
                <c:pt idx="533">
                  <c:v>14.885962228021455</c:v>
                </c:pt>
                <c:pt idx="534">
                  <c:v>14.886409904892128</c:v>
                </c:pt>
                <c:pt idx="535">
                  <c:v>14.8868472127886</c:v>
                </c:pt>
                <c:pt idx="536">
                  <c:v>14.887273979077943</c:v>
                </c:pt>
                <c:pt idx="537">
                  <c:v>14.887690722241587</c:v>
                </c:pt>
                <c:pt idx="538">
                  <c:v>14.888097269636535</c:v>
                </c:pt>
                <c:pt idx="539">
                  <c:v>14.888493966951156</c:v>
                </c:pt>
                <c:pt idx="540">
                  <c:v>14.888880814311689</c:v>
                </c:pt>
                <c:pt idx="541">
                  <c:v>14.889257811841162</c:v>
                </c:pt>
                <c:pt idx="542">
                  <c:v>14.889625305209853</c:v>
                </c:pt>
                <c:pt idx="543">
                  <c:v>14.88998346730488</c:v>
                </c:pt>
                <c:pt idx="544">
                  <c:v>14.890332298234355</c:v>
                </c:pt>
                <c:pt idx="545">
                  <c:v>14.890671970876458</c:v>
                </c:pt>
                <c:pt idx="546">
                  <c:v>14.891002485331907</c:v>
                </c:pt>
                <c:pt idx="547">
                  <c:v>14.891324187242194</c:v>
                </c:pt>
                <c:pt idx="548">
                  <c:v>14.891637076698983</c:v>
                </c:pt>
                <c:pt idx="549">
                  <c:v>14.891941153791265</c:v>
                </c:pt>
                <c:pt idx="550">
                  <c:v>14.892236936916525</c:v>
                </c:pt>
                <c:pt idx="551">
                  <c:v>14.8925240806145</c:v>
                </c:pt>
                <c:pt idx="552">
                  <c:v>14.8928031032729</c:v>
                </c:pt>
                <c:pt idx="553">
                  <c:v>14.89307400496498</c:v>
                </c:pt>
                <c:pt idx="554">
                  <c:v>14.893336785761724</c:v>
                </c:pt>
                <c:pt idx="555">
                  <c:v>14.893591618500079</c:v>
                </c:pt>
                <c:pt idx="556">
                  <c:v>14.89383884877965</c:v>
                </c:pt>
                <c:pt idx="557">
                  <c:v>14.89407830389451</c:v>
                </c:pt>
                <c:pt idx="558">
                  <c:v>14.894310502203956</c:v>
                </c:pt>
                <c:pt idx="559">
                  <c:v>14.894535098230588</c:v>
                </c:pt>
                <c:pt idx="560">
                  <c:v>14.894752437560532</c:v>
                </c:pt>
                <c:pt idx="561">
                  <c:v>14.894962865775241</c:v>
                </c:pt>
                <c:pt idx="562">
                  <c:v>14.895166210156919</c:v>
                </c:pt>
                <c:pt idx="563">
                  <c:v>14.895362643516318</c:v>
                </c:pt>
                <c:pt idx="564">
                  <c:v>14.895552338661687</c:v>
                </c:pt>
                <c:pt idx="565">
                  <c:v>14.895735468397842</c:v>
                </c:pt>
                <c:pt idx="566">
                  <c:v>14.895912205526951</c:v>
                </c:pt>
                <c:pt idx="567">
                  <c:v>14.896082377322772</c:v>
                </c:pt>
                <c:pt idx="568">
                  <c:v>14.896246502109356</c:v>
                </c:pt>
                <c:pt idx="569">
                  <c:v>14.896404579919153</c:v>
                </c:pt>
                <c:pt idx="570">
                  <c:v>14.896556610782842</c:v>
                </c:pt>
                <c:pt idx="571">
                  <c:v>14.896702940253871</c:v>
                </c:pt>
                <c:pt idx="572">
                  <c:v>14.896843568359452</c:v>
                </c:pt>
                <c:pt idx="573">
                  <c:v>14.896978495125401</c:v>
                </c:pt>
                <c:pt idx="574">
                  <c:v>14.897108066098818</c:v>
                </c:pt>
                <c:pt idx="575">
                  <c:v>14.897232281302353</c:v>
                </c:pt>
                <c:pt idx="576">
                  <c:v>14.897351313518026</c:v>
                </c:pt>
                <c:pt idx="577">
                  <c:v>14.897465335526372</c:v>
                </c:pt>
                <c:pt idx="578">
                  <c:v>14.897574520106115</c:v>
                </c:pt>
                <c:pt idx="579">
                  <c:v>14.897678694514205</c:v>
                </c:pt>
                <c:pt idx="580">
                  <c:v>14.897778377047356</c:v>
                </c:pt>
                <c:pt idx="581">
                  <c:v>14.897873567720021</c:v>
                </c:pt>
                <c:pt idx="582">
                  <c:v>14.897964266546071</c:v>
                </c:pt>
                <c:pt idx="583">
                  <c:v>14.898050646297934</c:v>
                </c:pt>
                <c:pt idx="584">
                  <c:v>14.898132879746983</c:v>
                </c:pt>
                <c:pt idx="585">
                  <c:v>14.898211139663564</c:v>
                </c:pt>
                <c:pt idx="586">
                  <c:v>14.898285598816397</c:v>
                </c:pt>
                <c:pt idx="587">
                  <c:v>14.898356084456088</c:v>
                </c:pt>
                <c:pt idx="588">
                  <c:v>14.898423114867597</c:v>
                </c:pt>
                <c:pt idx="589">
                  <c:v>14.898486517300025</c:v>
                </c:pt>
                <c:pt idx="590">
                  <c:v>14.898546637277654</c:v>
                </c:pt>
                <c:pt idx="591">
                  <c:v>14.898603474806771</c:v>
                </c:pt>
                <c:pt idx="592">
                  <c:v>14.898657202652011</c:v>
                </c:pt>
                <c:pt idx="593">
                  <c:v>14.898707993576766</c:v>
                </c:pt>
                <c:pt idx="594">
                  <c:v>14.898755847585853</c:v>
                </c:pt>
                <c:pt idx="595">
                  <c:v>14.898801110199988</c:v>
                </c:pt>
                <c:pt idx="596">
                  <c:v>14.898843608664869</c:v>
                </c:pt>
                <c:pt idx="597">
                  <c:v>14.898883688500032</c:v>
                </c:pt>
                <c:pt idx="598">
                  <c:v>14.898921349708861</c:v>
                </c:pt>
                <c:pt idx="599">
                  <c:v>14.898956937809393</c:v>
                </c:pt>
                <c:pt idx="600">
                  <c:v>14.898990452804384</c:v>
                </c:pt>
                <c:pt idx="601">
                  <c:v>14.899021894695807</c:v>
                </c:pt>
                <c:pt idx="602">
                  <c:v>14.899051609001013</c:v>
                </c:pt>
                <c:pt idx="603">
                  <c:v>14.899079595721599</c:v>
                </c:pt>
                <c:pt idx="604">
                  <c:v>14.899105854859219</c:v>
                </c:pt>
                <c:pt idx="605">
                  <c:v>14.899130904687475</c:v>
                </c:pt>
                <c:pt idx="606">
                  <c:v>14.899154572450124</c:v>
                </c:pt>
                <c:pt idx="607">
                  <c:v>14.899177030905363</c:v>
                </c:pt>
                <c:pt idx="608">
                  <c:v>14.899198452811502</c:v>
                </c:pt>
                <c:pt idx="609">
                  <c:v>14.899219010926457</c:v>
                </c:pt>
                <c:pt idx="610">
                  <c:v>14.899238705250795</c:v>
                </c:pt>
                <c:pt idx="611">
                  <c:v>14.899257708542191</c:v>
                </c:pt>
                <c:pt idx="612">
                  <c:v>14.899276193558341</c:v>
                </c:pt>
                <c:pt idx="613">
                  <c:v>14.899294160299469</c:v>
                </c:pt>
                <c:pt idx="614">
                  <c:v>14.899312127037145</c:v>
                </c:pt>
                <c:pt idx="615">
                  <c:v>14.899329748257106</c:v>
                </c:pt>
                <c:pt idx="616">
                  <c:v>14.899347369473869</c:v>
                </c:pt>
                <c:pt idx="617">
                  <c:v>14.899365163444278</c:v>
                </c:pt>
                <c:pt idx="618">
                  <c:v>14.899383130168186</c:v>
                </c:pt>
                <c:pt idx="619">
                  <c:v>14.899401442402427</c:v>
                </c:pt>
                <c:pt idx="620">
                  <c:v>14.899420272903585</c:v>
                </c:pt>
                <c:pt idx="621">
                  <c:v>14.899439621671673</c:v>
                </c:pt>
                <c:pt idx="622">
                  <c:v>14.899459143192306</c:v>
                </c:pt>
                <c:pt idx="623">
                  <c:v>14.899478664708976</c:v>
                </c:pt>
                <c:pt idx="624">
                  <c:v>14.899498186221516</c:v>
                </c:pt>
                <c:pt idx="625">
                  <c:v>14.899517707729814</c:v>
                </c:pt>
                <c:pt idx="626">
                  <c:v>14.899537229234138</c:v>
                </c:pt>
                <c:pt idx="627">
                  <c:v>14.899556577977746</c:v>
                </c:pt>
                <c:pt idx="628">
                  <c:v>14.899576099473888</c:v>
                </c:pt>
                <c:pt idx="629">
                  <c:v>14.899595620965966</c:v>
                </c:pt>
                <c:pt idx="630">
                  <c:v>14.89961514245377</c:v>
                </c:pt>
                <c:pt idx="631">
                  <c:v>14.899634663937611</c:v>
                </c:pt>
                <c:pt idx="632">
                  <c:v>14.899654185417377</c:v>
                </c:pt>
                <c:pt idx="633">
                  <c:v>14.89967370689288</c:v>
                </c:pt>
                <c:pt idx="634">
                  <c:v>14.899693055608099</c:v>
                </c:pt>
                <c:pt idx="635">
                  <c:v>14.899712577075475</c:v>
                </c:pt>
                <c:pt idx="636">
                  <c:v>14.899732098538843</c:v>
                </c:pt>
                <c:pt idx="637">
                  <c:v>14.899751619998058</c:v>
                </c:pt>
                <c:pt idx="638">
                  <c:v>14.899771141453133</c:v>
                </c:pt>
                <c:pt idx="639">
                  <c:v>14.899790662904133</c:v>
                </c:pt>
                <c:pt idx="640">
                  <c:v>14.899810184351104</c:v>
                </c:pt>
                <c:pt idx="641">
                  <c:v>14.899829705793843</c:v>
                </c:pt>
                <c:pt idx="642">
                  <c:v>14.899849054476533</c:v>
                </c:pt>
                <c:pt idx="643">
                  <c:v>14.899868575911057</c:v>
                </c:pt>
                <c:pt idx="644">
                  <c:v>14.899888097341618</c:v>
                </c:pt>
                <c:pt idx="645">
                  <c:v>14.899907618768104</c:v>
                </c:pt>
                <c:pt idx="646">
                  <c:v>14.899927140190339</c:v>
                </c:pt>
                <c:pt idx="647">
                  <c:v>14.899946661608542</c:v>
                </c:pt>
                <c:pt idx="648">
                  <c:v>14.899966183022695</c:v>
                </c:pt>
                <c:pt idx="649">
                  <c:v>14.899985704432739</c:v>
                </c:pt>
                <c:pt idx="650">
                  <c:v>14.900005053082822</c:v>
                </c:pt>
                <c:pt idx="651">
                  <c:v>14.900024574484561</c:v>
                </c:pt>
                <c:pt idx="652">
                  <c:v>14.900044095882359</c:v>
                </c:pt>
                <c:pt idx="653">
                  <c:v>14.900063617275983</c:v>
                </c:pt>
                <c:pt idx="654">
                  <c:v>14.900083138665533</c:v>
                </c:pt>
                <c:pt idx="655">
                  <c:v>14.900102660050852</c:v>
                </c:pt>
                <c:pt idx="656">
                  <c:v>14.900122181432195</c:v>
                </c:pt>
                <c:pt idx="657">
                  <c:v>14.900141702809389</c:v>
                </c:pt>
                <c:pt idx="658">
                  <c:v>14.900161051426963</c:v>
                </c:pt>
                <c:pt idx="659">
                  <c:v>14.900180572796028</c:v>
                </c:pt>
                <c:pt idx="660">
                  <c:v>14.900200094160876</c:v>
                </c:pt>
                <c:pt idx="661">
                  <c:v>14.900219615521737</c:v>
                </c:pt>
                <c:pt idx="662">
                  <c:v>14.900239136878458</c:v>
                </c:pt>
                <c:pt idx="663">
                  <c:v>14.900258658230969</c:v>
                </c:pt>
                <c:pt idx="664">
                  <c:v>14.900278179579518</c:v>
                </c:pt>
                <c:pt idx="665">
                  <c:v>14.900297528168661</c:v>
                </c:pt>
                <c:pt idx="666">
                  <c:v>14.900317049509015</c:v>
                </c:pt>
                <c:pt idx="667">
                  <c:v>14.90033657084523</c:v>
                </c:pt>
                <c:pt idx="668">
                  <c:v>14.900356092177303</c:v>
                </c:pt>
                <c:pt idx="669">
                  <c:v>14.900375613505323</c:v>
                </c:pt>
                <c:pt idx="670">
                  <c:v>14.900395134829282</c:v>
                </c:pt>
                <c:pt idx="671">
                  <c:v>14.900414656148996</c:v>
                </c:pt>
                <c:pt idx="672">
                  <c:v>14.900434177464717</c:v>
                </c:pt>
                <c:pt idx="673">
                  <c:v>14.900453526021318</c:v>
                </c:pt>
                <c:pt idx="674">
                  <c:v>14.90047304732891</c:v>
                </c:pt>
                <c:pt idx="675">
                  <c:v>14.900492568632318</c:v>
                </c:pt>
                <c:pt idx="676">
                  <c:v>14.900512089931572</c:v>
                </c:pt>
                <c:pt idx="677">
                  <c:v>14.900531611226819</c:v>
                </c:pt>
                <c:pt idx="678">
                  <c:v>14.900551132517947</c:v>
                </c:pt>
                <c:pt idx="679">
                  <c:v>14.900570653805012</c:v>
                </c:pt>
                <c:pt idx="680">
                  <c:v>14.90059017508778</c:v>
                </c:pt>
                <c:pt idx="681">
                  <c:v>14.900609523611896</c:v>
                </c:pt>
                <c:pt idx="682">
                  <c:v>14.900629044886649</c:v>
                </c:pt>
                <c:pt idx="683">
                  <c:v>14.900648566157326</c:v>
                </c:pt>
                <c:pt idx="684">
                  <c:v>14.900668087423741</c:v>
                </c:pt>
                <c:pt idx="685">
                  <c:v>14.900687608686159</c:v>
                </c:pt>
                <c:pt idx="686">
                  <c:v>14.90070712994449</c:v>
                </c:pt>
                <c:pt idx="687">
                  <c:v>14.900726651198692</c:v>
                </c:pt>
                <c:pt idx="688">
                  <c:v>14.900745999694376</c:v>
                </c:pt>
                <c:pt idx="689">
                  <c:v>14.90076552094034</c:v>
                </c:pt>
                <c:pt idx="690">
                  <c:v>14.900785042182275</c:v>
                </c:pt>
                <c:pt idx="691">
                  <c:v>14.900804563420101</c:v>
                </c:pt>
                <c:pt idx="692">
                  <c:v>14.900824084653873</c:v>
                </c:pt>
                <c:pt idx="693">
                  <c:v>14.900843605883374</c:v>
                </c:pt>
                <c:pt idx="694">
                  <c:v>14.900863127108932</c:v>
                </c:pt>
                <c:pt idx="695">
                  <c:v>14.900882648330338</c:v>
                </c:pt>
                <c:pt idx="696">
                  <c:v>14.900901996793491</c:v>
                </c:pt>
                <c:pt idx="697">
                  <c:v>14.900921518006649</c:v>
                </c:pt>
                <c:pt idx="698">
                  <c:v>14.900941039215777</c:v>
                </c:pt>
                <c:pt idx="699">
                  <c:v>14.900960560420796</c:v>
                </c:pt>
                <c:pt idx="700">
                  <c:v>14.900980081621762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549888"/>
        <c:axId val="374570368"/>
      </c:lineChart>
      <c:catAx>
        <c:axId val="37454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Incentive (bps)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4570368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37457036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Refinancing Rates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4549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Media Effect Multiplier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'Seasoning Ramp'!$B$2</c:f>
              <c:strCache>
                <c:ptCount val="1"/>
                <c:pt idx="0">
                  <c:v>Media Effect Multiplier</c:v>
                </c:pt>
              </c:strCache>
            </c:strRef>
          </c:tx>
          <c:marker>
            <c:symbol val="none"/>
          </c:marker>
          <c:cat>
            <c:numRef>
              <c:f>'Seasoning Ramp'!$A$3:$A$123</c:f>
              <c:numCache>
                <c:formatCode>General</c:formatCod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numCache>
            </c:numRef>
          </c:cat>
          <c:val>
            <c:numRef>
              <c:f>'Seasoning Ramp'!$B$3:$B$123</c:f>
              <c:numCache>
                <c:formatCode>General</c:formatCode>
                <c:ptCount val="121"/>
                <c:pt idx="0">
                  <c:v>1.415276</c:v>
                </c:pt>
                <c:pt idx="1">
                  <c:v>1.4153070000000001</c:v>
                </c:pt>
                <c:pt idx="2">
                  <c:v>1.415338</c:v>
                </c:pt>
                <c:pt idx="3">
                  <c:v>1.4153690000000001</c:v>
                </c:pt>
                <c:pt idx="4">
                  <c:v>1.4154009999999999</c:v>
                </c:pt>
                <c:pt idx="5">
                  <c:v>1.4154329999999999</c:v>
                </c:pt>
                <c:pt idx="6">
                  <c:v>1.4155249999999999</c:v>
                </c:pt>
                <c:pt idx="7">
                  <c:v>1.4157960000000001</c:v>
                </c:pt>
                <c:pt idx="8">
                  <c:v>1.416369</c:v>
                </c:pt>
                <c:pt idx="9">
                  <c:v>1.4173640000000001</c:v>
                </c:pt>
                <c:pt idx="10">
                  <c:v>1.419011</c:v>
                </c:pt>
                <c:pt idx="11">
                  <c:v>1.422493</c:v>
                </c:pt>
                <c:pt idx="12">
                  <c:v>1.4280949999999999</c:v>
                </c:pt>
                <c:pt idx="13">
                  <c:v>1.4358010000000001</c:v>
                </c:pt>
                <c:pt idx="14">
                  <c:v>1.445597</c:v>
                </c:pt>
                <c:pt idx="15">
                  <c:v>1.45747</c:v>
                </c:pt>
                <c:pt idx="16">
                  <c:v>1.4714050000000001</c:v>
                </c:pt>
                <c:pt idx="17">
                  <c:v>1.4873879999999999</c:v>
                </c:pt>
                <c:pt idx="18">
                  <c:v>1.505403</c:v>
                </c:pt>
                <c:pt idx="19">
                  <c:v>1.5254380000000001</c:v>
                </c:pt>
                <c:pt idx="20">
                  <c:v>1.5474779999999999</c:v>
                </c:pt>
                <c:pt idx="21">
                  <c:v>1.5715079999999999</c:v>
                </c:pt>
                <c:pt idx="22">
                  <c:v>1.5975140000000001</c:v>
                </c:pt>
                <c:pt idx="23">
                  <c:v>1.6254820000000001</c:v>
                </c:pt>
                <c:pt idx="24">
                  <c:v>1.6553979999999999</c:v>
                </c:pt>
                <c:pt idx="25">
                  <c:v>1.6872469999999999</c:v>
                </c:pt>
                <c:pt idx="26">
                  <c:v>1.721014</c:v>
                </c:pt>
                <c:pt idx="27">
                  <c:v>1.7566870000000001</c:v>
                </c:pt>
                <c:pt idx="28">
                  <c:v>1.7942499999999999</c:v>
                </c:pt>
                <c:pt idx="29">
                  <c:v>1.8336889999999999</c:v>
                </c:pt>
                <c:pt idx="30">
                  <c:v>1.874989</c:v>
                </c:pt>
                <c:pt idx="31">
                  <c:v>1.918137</c:v>
                </c:pt>
                <c:pt idx="32">
                  <c:v>1.9631190000000001</c:v>
                </c:pt>
                <c:pt idx="33">
                  <c:v>2.009919</c:v>
                </c:pt>
                <c:pt idx="34">
                  <c:v>2.0585239999999998</c:v>
                </c:pt>
                <c:pt idx="35">
                  <c:v>2.1089190000000002</c:v>
                </c:pt>
                <c:pt idx="36">
                  <c:v>2.1610900000000002</c:v>
                </c:pt>
                <c:pt idx="37">
                  <c:v>2.215023</c:v>
                </c:pt>
                <c:pt idx="38">
                  <c:v>2.2707039999999998</c:v>
                </c:pt>
                <c:pt idx="39">
                  <c:v>2.3281170000000002</c:v>
                </c:pt>
                <c:pt idx="40">
                  <c:v>2.3872490000000002</c:v>
                </c:pt>
                <c:pt idx="41">
                  <c:v>2.448086</c:v>
                </c:pt>
                <c:pt idx="42">
                  <c:v>2.5106130000000002</c:v>
                </c:pt>
                <c:pt idx="43">
                  <c:v>2.5748160000000002</c:v>
                </c:pt>
                <c:pt idx="44">
                  <c:v>2.6406809999999998</c:v>
                </c:pt>
                <c:pt idx="45">
                  <c:v>2.7081930000000001</c:v>
                </c:pt>
                <c:pt idx="46">
                  <c:v>2.7773379999999999</c:v>
                </c:pt>
                <c:pt idx="47">
                  <c:v>2.8481019999999999</c:v>
                </c:pt>
                <c:pt idx="48">
                  <c:v>2.9204699999999999</c:v>
                </c:pt>
                <c:pt idx="49">
                  <c:v>2.9944280000000001</c:v>
                </c:pt>
                <c:pt idx="50">
                  <c:v>3.069963</c:v>
                </c:pt>
                <c:pt idx="51">
                  <c:v>3.1470579999999999</c:v>
                </c:pt>
                <c:pt idx="52">
                  <c:v>3.2257020000000001</c:v>
                </c:pt>
                <c:pt idx="53">
                  <c:v>3.3058779999999999</c:v>
                </c:pt>
                <c:pt idx="54">
                  <c:v>3.387572</c:v>
                </c:pt>
                <c:pt idx="55">
                  <c:v>3.4707720000000002</c:v>
                </c:pt>
                <c:pt idx="56">
                  <c:v>3.5554610000000002</c:v>
                </c:pt>
                <c:pt idx="57">
                  <c:v>3.641626</c:v>
                </c:pt>
                <c:pt idx="58">
                  <c:v>3.7292529999999999</c:v>
                </c:pt>
                <c:pt idx="59">
                  <c:v>3.818327</c:v>
                </c:pt>
                <c:pt idx="60">
                  <c:v>3.908833</c:v>
                </c:pt>
                <c:pt idx="61">
                  <c:v>4.0007590000000004</c:v>
                </c:pt>
                <c:pt idx="62">
                  <c:v>4.0940880000000002</c:v>
                </c:pt>
                <c:pt idx="63">
                  <c:v>4.1888079999999999</c:v>
                </c:pt>
                <c:pt idx="64">
                  <c:v>4.284904</c:v>
                </c:pt>
                <c:pt idx="65">
                  <c:v>4.3823600000000003</c:v>
                </c:pt>
                <c:pt idx="66">
                  <c:v>4.4811639999999997</c:v>
                </c:pt>
                <c:pt idx="67">
                  <c:v>4.5819029999999996</c:v>
                </c:pt>
                <c:pt idx="68">
                  <c:v>4.6894600000000004</c:v>
                </c:pt>
                <c:pt idx="69">
                  <c:v>4.8044760000000002</c:v>
                </c:pt>
                <c:pt idx="70">
                  <c:v>4.926412</c:v>
                </c:pt>
                <c:pt idx="71">
                  <c:v>5.054729</c:v>
                </c:pt>
                <c:pt idx="72">
                  <c:v>5.1888889999999996</c:v>
                </c:pt>
                <c:pt idx="73">
                  <c:v>5.3283529999999999</c:v>
                </c:pt>
                <c:pt idx="74">
                  <c:v>5.4725820000000001</c:v>
                </c:pt>
                <c:pt idx="75">
                  <c:v>5.6210370000000003</c:v>
                </c:pt>
                <c:pt idx="76">
                  <c:v>5.77318</c:v>
                </c:pt>
                <c:pt idx="77">
                  <c:v>5.9284720000000002</c:v>
                </c:pt>
                <c:pt idx="78">
                  <c:v>6.0863750000000003</c:v>
                </c:pt>
                <c:pt idx="79">
                  <c:v>6.2463490000000004</c:v>
                </c:pt>
                <c:pt idx="80">
                  <c:v>6.4078559999999998</c:v>
                </c:pt>
                <c:pt idx="81">
                  <c:v>6.5703569999999996</c:v>
                </c:pt>
                <c:pt idx="82">
                  <c:v>6.7333129999999999</c:v>
                </c:pt>
                <c:pt idx="83">
                  <c:v>6.8961870000000003</c:v>
                </c:pt>
                <c:pt idx="84">
                  <c:v>7.0584379999999998</c:v>
                </c:pt>
                <c:pt idx="85">
                  <c:v>7.2195289999999996</c:v>
                </c:pt>
                <c:pt idx="86">
                  <c:v>7.3953800000000003</c:v>
                </c:pt>
                <c:pt idx="87">
                  <c:v>7.6098160000000004</c:v>
                </c:pt>
                <c:pt idx="88">
                  <c:v>7.8393949999999997</c:v>
                </c:pt>
                <c:pt idx="89">
                  <c:v>8.0590469999999996</c:v>
                </c:pt>
                <c:pt idx="90">
                  <c:v>8.2437009999999997</c:v>
                </c:pt>
                <c:pt idx="91">
                  <c:v>8.3682870000000005</c:v>
                </c:pt>
                <c:pt idx="92">
                  <c:v>8.4090419999999995</c:v>
                </c:pt>
                <c:pt idx="93">
                  <c:v>8.4137679999999992</c:v>
                </c:pt>
                <c:pt idx="94">
                  <c:v>8.4174330000000008</c:v>
                </c:pt>
                <c:pt idx="95">
                  <c:v>8.4201759999999997</c:v>
                </c:pt>
                <c:pt idx="96">
                  <c:v>8.4221350000000008</c:v>
                </c:pt>
                <c:pt idx="97">
                  <c:v>8.4234480000000005</c:v>
                </c:pt>
                <c:pt idx="98">
                  <c:v>8.4242539999999995</c:v>
                </c:pt>
                <c:pt idx="99">
                  <c:v>8.4246909999999993</c:v>
                </c:pt>
                <c:pt idx="100">
                  <c:v>8.4248960000000004</c:v>
                </c:pt>
                <c:pt idx="101">
                  <c:v>8.4250100000000003</c:v>
                </c:pt>
                <c:pt idx="102">
                  <c:v>8.4251240000000003</c:v>
                </c:pt>
                <c:pt idx="103">
                  <c:v>8.4252380000000002</c:v>
                </c:pt>
                <c:pt idx="104">
                  <c:v>8.4253520000000002</c:v>
                </c:pt>
                <c:pt idx="105">
                  <c:v>8.4254669999999994</c:v>
                </c:pt>
                <c:pt idx="106">
                  <c:v>8.4255809999999993</c:v>
                </c:pt>
                <c:pt idx="107">
                  <c:v>8.4256949999999993</c:v>
                </c:pt>
                <c:pt idx="108">
                  <c:v>8.4258089999999992</c:v>
                </c:pt>
                <c:pt idx="109">
                  <c:v>8.4259240000000002</c:v>
                </c:pt>
                <c:pt idx="110">
                  <c:v>8.4260380000000001</c:v>
                </c:pt>
                <c:pt idx="111">
                  <c:v>8.4261520000000001</c:v>
                </c:pt>
                <c:pt idx="112">
                  <c:v>8.4262669999999993</c:v>
                </c:pt>
                <c:pt idx="113">
                  <c:v>8.4263809999999992</c:v>
                </c:pt>
                <c:pt idx="114">
                  <c:v>8.4264949999999992</c:v>
                </c:pt>
                <c:pt idx="115">
                  <c:v>8.4266089999999991</c:v>
                </c:pt>
                <c:pt idx="116">
                  <c:v>8.4267240000000001</c:v>
                </c:pt>
                <c:pt idx="117">
                  <c:v>8.4268380000000001</c:v>
                </c:pt>
                <c:pt idx="118">
                  <c:v>8.426952</c:v>
                </c:pt>
                <c:pt idx="119">
                  <c:v>8.4270659999999999</c:v>
                </c:pt>
                <c:pt idx="120">
                  <c:v>8.4271809999999991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4593408"/>
        <c:axId val="374603776"/>
      </c:lineChart>
      <c:catAx>
        <c:axId val="37459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WALA (Month)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4603776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37460377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Multipier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4593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Media Effect Multiplier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'Seasoning Ramp'!$M$1:$M$2</c:f>
              <c:strCache>
                <c:ptCount val="1"/>
                <c:pt idx="0">
                  <c:v>CPR %Refi 40</c:v>
                </c:pt>
              </c:strCache>
            </c:strRef>
          </c:tx>
          <c:marker>
            <c:symbol val="none"/>
          </c:marker>
          <c:cat>
            <c:numRef>
              <c:f>'Seasoning Ramp'!$I$3:$I$703</c:f>
              <c:numCache>
                <c:formatCode>General</c:formatCode>
                <c:ptCount val="701"/>
                <c:pt idx="0">
                  <c:v>-250</c:v>
                </c:pt>
                <c:pt idx="1">
                  <c:v>-249</c:v>
                </c:pt>
                <c:pt idx="2">
                  <c:v>-248</c:v>
                </c:pt>
                <c:pt idx="3">
                  <c:v>-247</c:v>
                </c:pt>
                <c:pt idx="4">
                  <c:v>-246</c:v>
                </c:pt>
                <c:pt idx="5">
                  <c:v>-245</c:v>
                </c:pt>
                <c:pt idx="6">
                  <c:v>-244</c:v>
                </c:pt>
                <c:pt idx="7">
                  <c:v>-243</c:v>
                </c:pt>
                <c:pt idx="8">
                  <c:v>-242</c:v>
                </c:pt>
                <c:pt idx="9">
                  <c:v>-241</c:v>
                </c:pt>
                <c:pt idx="10">
                  <c:v>-240</c:v>
                </c:pt>
                <c:pt idx="11">
                  <c:v>-239</c:v>
                </c:pt>
                <c:pt idx="12">
                  <c:v>-238</c:v>
                </c:pt>
                <c:pt idx="13">
                  <c:v>-237</c:v>
                </c:pt>
                <c:pt idx="14">
                  <c:v>-236</c:v>
                </c:pt>
                <c:pt idx="15">
                  <c:v>-235</c:v>
                </c:pt>
                <c:pt idx="16">
                  <c:v>-234</c:v>
                </c:pt>
                <c:pt idx="17">
                  <c:v>-233</c:v>
                </c:pt>
                <c:pt idx="18">
                  <c:v>-232</c:v>
                </c:pt>
                <c:pt idx="19">
                  <c:v>-231</c:v>
                </c:pt>
                <c:pt idx="20">
                  <c:v>-230</c:v>
                </c:pt>
                <c:pt idx="21">
                  <c:v>-229</c:v>
                </c:pt>
                <c:pt idx="22">
                  <c:v>-228</c:v>
                </c:pt>
                <c:pt idx="23">
                  <c:v>-227</c:v>
                </c:pt>
                <c:pt idx="24">
                  <c:v>-226</c:v>
                </c:pt>
                <c:pt idx="25">
                  <c:v>-225</c:v>
                </c:pt>
                <c:pt idx="26">
                  <c:v>-224</c:v>
                </c:pt>
                <c:pt idx="27">
                  <c:v>-223</c:v>
                </c:pt>
                <c:pt idx="28">
                  <c:v>-222</c:v>
                </c:pt>
                <c:pt idx="29">
                  <c:v>-221</c:v>
                </c:pt>
                <c:pt idx="30">
                  <c:v>-220</c:v>
                </c:pt>
                <c:pt idx="31">
                  <c:v>-219</c:v>
                </c:pt>
                <c:pt idx="32">
                  <c:v>-218</c:v>
                </c:pt>
                <c:pt idx="33">
                  <c:v>-217</c:v>
                </c:pt>
                <c:pt idx="34">
                  <c:v>-216</c:v>
                </c:pt>
                <c:pt idx="35">
                  <c:v>-215</c:v>
                </c:pt>
                <c:pt idx="36">
                  <c:v>-214</c:v>
                </c:pt>
                <c:pt idx="37">
                  <c:v>-213</c:v>
                </c:pt>
                <c:pt idx="38">
                  <c:v>-212</c:v>
                </c:pt>
                <c:pt idx="39">
                  <c:v>-211</c:v>
                </c:pt>
                <c:pt idx="40">
                  <c:v>-210</c:v>
                </c:pt>
                <c:pt idx="41">
                  <c:v>-209</c:v>
                </c:pt>
                <c:pt idx="42">
                  <c:v>-208</c:v>
                </c:pt>
                <c:pt idx="43">
                  <c:v>-207</c:v>
                </c:pt>
                <c:pt idx="44">
                  <c:v>-206</c:v>
                </c:pt>
                <c:pt idx="45">
                  <c:v>-205</c:v>
                </c:pt>
                <c:pt idx="46">
                  <c:v>-204</c:v>
                </c:pt>
                <c:pt idx="47">
                  <c:v>-203</c:v>
                </c:pt>
                <c:pt idx="48">
                  <c:v>-202</c:v>
                </c:pt>
                <c:pt idx="49">
                  <c:v>-201</c:v>
                </c:pt>
                <c:pt idx="50">
                  <c:v>-200</c:v>
                </c:pt>
                <c:pt idx="51">
                  <c:v>-199</c:v>
                </c:pt>
                <c:pt idx="52">
                  <c:v>-198</c:v>
                </c:pt>
                <c:pt idx="53">
                  <c:v>-197</c:v>
                </c:pt>
                <c:pt idx="54">
                  <c:v>-196</c:v>
                </c:pt>
                <c:pt idx="55">
                  <c:v>-195</c:v>
                </c:pt>
                <c:pt idx="56">
                  <c:v>-194</c:v>
                </c:pt>
                <c:pt idx="57">
                  <c:v>-193</c:v>
                </c:pt>
                <c:pt idx="58">
                  <c:v>-192</c:v>
                </c:pt>
                <c:pt idx="59">
                  <c:v>-191</c:v>
                </c:pt>
                <c:pt idx="60">
                  <c:v>-190</c:v>
                </c:pt>
                <c:pt idx="61">
                  <c:v>-189</c:v>
                </c:pt>
                <c:pt idx="62">
                  <c:v>-188</c:v>
                </c:pt>
                <c:pt idx="63">
                  <c:v>-187</c:v>
                </c:pt>
                <c:pt idx="64">
                  <c:v>-186</c:v>
                </c:pt>
                <c:pt idx="65">
                  <c:v>-185</c:v>
                </c:pt>
                <c:pt idx="66">
                  <c:v>-184</c:v>
                </c:pt>
                <c:pt idx="67">
                  <c:v>-183</c:v>
                </c:pt>
                <c:pt idx="68">
                  <c:v>-182</c:v>
                </c:pt>
                <c:pt idx="69">
                  <c:v>-181</c:v>
                </c:pt>
                <c:pt idx="70">
                  <c:v>-180</c:v>
                </c:pt>
                <c:pt idx="71">
                  <c:v>-179</c:v>
                </c:pt>
                <c:pt idx="72">
                  <c:v>-178</c:v>
                </c:pt>
                <c:pt idx="73">
                  <c:v>-177</c:v>
                </c:pt>
                <c:pt idx="74">
                  <c:v>-176</c:v>
                </c:pt>
                <c:pt idx="75">
                  <c:v>-175</c:v>
                </c:pt>
                <c:pt idx="76">
                  <c:v>-174</c:v>
                </c:pt>
                <c:pt idx="77">
                  <c:v>-173</c:v>
                </c:pt>
                <c:pt idx="78">
                  <c:v>-172</c:v>
                </c:pt>
                <c:pt idx="79">
                  <c:v>-171</c:v>
                </c:pt>
                <c:pt idx="80">
                  <c:v>-170</c:v>
                </c:pt>
                <c:pt idx="81">
                  <c:v>-169</c:v>
                </c:pt>
                <c:pt idx="82">
                  <c:v>-168</c:v>
                </c:pt>
                <c:pt idx="83">
                  <c:v>-167</c:v>
                </c:pt>
                <c:pt idx="84">
                  <c:v>-166</c:v>
                </c:pt>
                <c:pt idx="85">
                  <c:v>-165</c:v>
                </c:pt>
                <c:pt idx="86">
                  <c:v>-164</c:v>
                </c:pt>
                <c:pt idx="87">
                  <c:v>-163</c:v>
                </c:pt>
                <c:pt idx="88">
                  <c:v>-162</c:v>
                </c:pt>
                <c:pt idx="89">
                  <c:v>-161</c:v>
                </c:pt>
                <c:pt idx="90">
                  <c:v>-160</c:v>
                </c:pt>
                <c:pt idx="91">
                  <c:v>-159</c:v>
                </c:pt>
                <c:pt idx="92">
                  <c:v>-158</c:v>
                </c:pt>
                <c:pt idx="93">
                  <c:v>-157</c:v>
                </c:pt>
                <c:pt idx="94">
                  <c:v>-156</c:v>
                </c:pt>
                <c:pt idx="95">
                  <c:v>-155</c:v>
                </c:pt>
                <c:pt idx="96">
                  <c:v>-154</c:v>
                </c:pt>
                <c:pt idx="97">
                  <c:v>-153</c:v>
                </c:pt>
                <c:pt idx="98">
                  <c:v>-152</c:v>
                </c:pt>
                <c:pt idx="99">
                  <c:v>-151</c:v>
                </c:pt>
                <c:pt idx="100">
                  <c:v>-150</c:v>
                </c:pt>
                <c:pt idx="101">
                  <c:v>-149</c:v>
                </c:pt>
                <c:pt idx="102">
                  <c:v>-148</c:v>
                </c:pt>
                <c:pt idx="103">
                  <c:v>-147</c:v>
                </c:pt>
                <c:pt idx="104">
                  <c:v>-146</c:v>
                </c:pt>
                <c:pt idx="105">
                  <c:v>-145</c:v>
                </c:pt>
                <c:pt idx="106">
                  <c:v>-144</c:v>
                </c:pt>
                <c:pt idx="107">
                  <c:v>-143</c:v>
                </c:pt>
                <c:pt idx="108">
                  <c:v>-142</c:v>
                </c:pt>
                <c:pt idx="109">
                  <c:v>-141</c:v>
                </c:pt>
                <c:pt idx="110">
                  <c:v>-140</c:v>
                </c:pt>
                <c:pt idx="111">
                  <c:v>-139</c:v>
                </c:pt>
                <c:pt idx="112">
                  <c:v>-138</c:v>
                </c:pt>
                <c:pt idx="113">
                  <c:v>-137</c:v>
                </c:pt>
                <c:pt idx="114">
                  <c:v>-136</c:v>
                </c:pt>
                <c:pt idx="115">
                  <c:v>-135</c:v>
                </c:pt>
                <c:pt idx="116">
                  <c:v>-134</c:v>
                </c:pt>
                <c:pt idx="117">
                  <c:v>-133</c:v>
                </c:pt>
                <c:pt idx="118">
                  <c:v>-132</c:v>
                </c:pt>
                <c:pt idx="119">
                  <c:v>-131</c:v>
                </c:pt>
                <c:pt idx="120">
                  <c:v>-130</c:v>
                </c:pt>
                <c:pt idx="121">
                  <c:v>-129</c:v>
                </c:pt>
                <c:pt idx="122">
                  <c:v>-128</c:v>
                </c:pt>
                <c:pt idx="123">
                  <c:v>-127</c:v>
                </c:pt>
                <c:pt idx="124">
                  <c:v>-126</c:v>
                </c:pt>
                <c:pt idx="125">
                  <c:v>-125</c:v>
                </c:pt>
                <c:pt idx="126">
                  <c:v>-124</c:v>
                </c:pt>
                <c:pt idx="127">
                  <c:v>-123</c:v>
                </c:pt>
                <c:pt idx="128">
                  <c:v>-122</c:v>
                </c:pt>
                <c:pt idx="129">
                  <c:v>-121</c:v>
                </c:pt>
                <c:pt idx="130">
                  <c:v>-120</c:v>
                </c:pt>
                <c:pt idx="131">
                  <c:v>-119</c:v>
                </c:pt>
                <c:pt idx="132">
                  <c:v>-118</c:v>
                </c:pt>
                <c:pt idx="133">
                  <c:v>-117</c:v>
                </c:pt>
                <c:pt idx="134">
                  <c:v>-116</c:v>
                </c:pt>
                <c:pt idx="135">
                  <c:v>-115</c:v>
                </c:pt>
                <c:pt idx="136">
                  <c:v>-114</c:v>
                </c:pt>
                <c:pt idx="137">
                  <c:v>-113</c:v>
                </c:pt>
                <c:pt idx="138">
                  <c:v>-112</c:v>
                </c:pt>
                <c:pt idx="139">
                  <c:v>-111</c:v>
                </c:pt>
                <c:pt idx="140">
                  <c:v>-110</c:v>
                </c:pt>
                <c:pt idx="141">
                  <c:v>-109</c:v>
                </c:pt>
                <c:pt idx="142">
                  <c:v>-108</c:v>
                </c:pt>
                <c:pt idx="143">
                  <c:v>-107</c:v>
                </c:pt>
                <c:pt idx="144">
                  <c:v>-106</c:v>
                </c:pt>
                <c:pt idx="145">
                  <c:v>-105</c:v>
                </c:pt>
                <c:pt idx="146">
                  <c:v>-104</c:v>
                </c:pt>
                <c:pt idx="147">
                  <c:v>-103</c:v>
                </c:pt>
                <c:pt idx="148">
                  <c:v>-102</c:v>
                </c:pt>
                <c:pt idx="149">
                  <c:v>-101</c:v>
                </c:pt>
                <c:pt idx="150">
                  <c:v>-100</c:v>
                </c:pt>
                <c:pt idx="151">
                  <c:v>-99</c:v>
                </c:pt>
                <c:pt idx="152">
                  <c:v>-98</c:v>
                </c:pt>
                <c:pt idx="153">
                  <c:v>-97</c:v>
                </c:pt>
                <c:pt idx="154">
                  <c:v>-96</c:v>
                </c:pt>
                <c:pt idx="155">
                  <c:v>-95</c:v>
                </c:pt>
                <c:pt idx="156">
                  <c:v>-94</c:v>
                </c:pt>
                <c:pt idx="157">
                  <c:v>-93</c:v>
                </c:pt>
                <c:pt idx="158">
                  <c:v>-92</c:v>
                </c:pt>
                <c:pt idx="159">
                  <c:v>-91</c:v>
                </c:pt>
                <c:pt idx="160">
                  <c:v>-90</c:v>
                </c:pt>
                <c:pt idx="161">
                  <c:v>-89</c:v>
                </c:pt>
                <c:pt idx="162">
                  <c:v>-88</c:v>
                </c:pt>
                <c:pt idx="163">
                  <c:v>-87</c:v>
                </c:pt>
                <c:pt idx="164">
                  <c:v>-86</c:v>
                </c:pt>
                <c:pt idx="165">
                  <c:v>-85</c:v>
                </c:pt>
                <c:pt idx="166">
                  <c:v>-84</c:v>
                </c:pt>
                <c:pt idx="167">
                  <c:v>-83</c:v>
                </c:pt>
                <c:pt idx="168">
                  <c:v>-82</c:v>
                </c:pt>
                <c:pt idx="169">
                  <c:v>-81</c:v>
                </c:pt>
                <c:pt idx="170">
                  <c:v>-80</c:v>
                </c:pt>
                <c:pt idx="171">
                  <c:v>-79</c:v>
                </c:pt>
                <c:pt idx="172">
                  <c:v>-78</c:v>
                </c:pt>
                <c:pt idx="173">
                  <c:v>-77</c:v>
                </c:pt>
                <c:pt idx="174">
                  <c:v>-76</c:v>
                </c:pt>
                <c:pt idx="175">
                  <c:v>-75</c:v>
                </c:pt>
                <c:pt idx="176">
                  <c:v>-74</c:v>
                </c:pt>
                <c:pt idx="177">
                  <c:v>-73</c:v>
                </c:pt>
                <c:pt idx="178">
                  <c:v>-72</c:v>
                </c:pt>
                <c:pt idx="179">
                  <c:v>-71</c:v>
                </c:pt>
                <c:pt idx="180">
                  <c:v>-70</c:v>
                </c:pt>
                <c:pt idx="181">
                  <c:v>-69</c:v>
                </c:pt>
                <c:pt idx="182">
                  <c:v>-68</c:v>
                </c:pt>
                <c:pt idx="183">
                  <c:v>-67</c:v>
                </c:pt>
                <c:pt idx="184">
                  <c:v>-66</c:v>
                </c:pt>
                <c:pt idx="185">
                  <c:v>-65</c:v>
                </c:pt>
                <c:pt idx="186">
                  <c:v>-64</c:v>
                </c:pt>
                <c:pt idx="187">
                  <c:v>-63</c:v>
                </c:pt>
                <c:pt idx="188">
                  <c:v>-62</c:v>
                </c:pt>
                <c:pt idx="189">
                  <c:v>-61</c:v>
                </c:pt>
                <c:pt idx="190">
                  <c:v>-60</c:v>
                </c:pt>
                <c:pt idx="191">
                  <c:v>-59</c:v>
                </c:pt>
                <c:pt idx="192">
                  <c:v>-58</c:v>
                </c:pt>
                <c:pt idx="193">
                  <c:v>-57</c:v>
                </c:pt>
                <c:pt idx="194">
                  <c:v>-56</c:v>
                </c:pt>
                <c:pt idx="195">
                  <c:v>-55</c:v>
                </c:pt>
                <c:pt idx="196">
                  <c:v>-54</c:v>
                </c:pt>
                <c:pt idx="197">
                  <c:v>-53</c:v>
                </c:pt>
                <c:pt idx="198">
                  <c:v>-52</c:v>
                </c:pt>
                <c:pt idx="199">
                  <c:v>-51</c:v>
                </c:pt>
                <c:pt idx="200">
                  <c:v>-50</c:v>
                </c:pt>
                <c:pt idx="201">
                  <c:v>-49</c:v>
                </c:pt>
                <c:pt idx="202">
                  <c:v>-48</c:v>
                </c:pt>
                <c:pt idx="203">
                  <c:v>-47</c:v>
                </c:pt>
                <c:pt idx="204">
                  <c:v>-46</c:v>
                </c:pt>
                <c:pt idx="205">
                  <c:v>-45</c:v>
                </c:pt>
                <c:pt idx="206">
                  <c:v>-44</c:v>
                </c:pt>
                <c:pt idx="207">
                  <c:v>-43</c:v>
                </c:pt>
                <c:pt idx="208">
                  <c:v>-42</c:v>
                </c:pt>
                <c:pt idx="209">
                  <c:v>-41</c:v>
                </c:pt>
                <c:pt idx="210">
                  <c:v>-40</c:v>
                </c:pt>
                <c:pt idx="211">
                  <c:v>-39</c:v>
                </c:pt>
                <c:pt idx="212">
                  <c:v>-38</c:v>
                </c:pt>
                <c:pt idx="213">
                  <c:v>-37</c:v>
                </c:pt>
                <c:pt idx="214">
                  <c:v>-36</c:v>
                </c:pt>
                <c:pt idx="215">
                  <c:v>-35</c:v>
                </c:pt>
                <c:pt idx="216">
                  <c:v>-34</c:v>
                </c:pt>
                <c:pt idx="217">
                  <c:v>-33</c:v>
                </c:pt>
                <c:pt idx="218">
                  <c:v>-32</c:v>
                </c:pt>
                <c:pt idx="219">
                  <c:v>-31</c:v>
                </c:pt>
                <c:pt idx="220">
                  <c:v>-30</c:v>
                </c:pt>
                <c:pt idx="221">
                  <c:v>-29</c:v>
                </c:pt>
                <c:pt idx="222">
                  <c:v>-28</c:v>
                </c:pt>
                <c:pt idx="223">
                  <c:v>-27</c:v>
                </c:pt>
                <c:pt idx="224">
                  <c:v>-26</c:v>
                </c:pt>
                <c:pt idx="225">
                  <c:v>-25</c:v>
                </c:pt>
                <c:pt idx="226">
                  <c:v>-24</c:v>
                </c:pt>
                <c:pt idx="227">
                  <c:v>-23</c:v>
                </c:pt>
                <c:pt idx="228">
                  <c:v>-22</c:v>
                </c:pt>
                <c:pt idx="229">
                  <c:v>-21</c:v>
                </c:pt>
                <c:pt idx="230">
                  <c:v>-20</c:v>
                </c:pt>
                <c:pt idx="231">
                  <c:v>-19</c:v>
                </c:pt>
                <c:pt idx="232">
                  <c:v>-18</c:v>
                </c:pt>
                <c:pt idx="233">
                  <c:v>-17</c:v>
                </c:pt>
                <c:pt idx="234">
                  <c:v>-16</c:v>
                </c:pt>
                <c:pt idx="235">
                  <c:v>-15</c:v>
                </c:pt>
                <c:pt idx="236">
                  <c:v>-14</c:v>
                </c:pt>
                <c:pt idx="237">
                  <c:v>-13</c:v>
                </c:pt>
                <c:pt idx="238">
                  <c:v>-12</c:v>
                </c:pt>
                <c:pt idx="239">
                  <c:v>-11</c:v>
                </c:pt>
                <c:pt idx="240">
                  <c:v>-10</c:v>
                </c:pt>
                <c:pt idx="241">
                  <c:v>-9</c:v>
                </c:pt>
                <c:pt idx="242">
                  <c:v>-8</c:v>
                </c:pt>
                <c:pt idx="243">
                  <c:v>-7</c:v>
                </c:pt>
                <c:pt idx="244">
                  <c:v>-6</c:v>
                </c:pt>
                <c:pt idx="245">
                  <c:v>-5</c:v>
                </c:pt>
                <c:pt idx="246">
                  <c:v>-4</c:v>
                </c:pt>
                <c:pt idx="247">
                  <c:v>-3</c:v>
                </c:pt>
                <c:pt idx="248">
                  <c:v>-2</c:v>
                </c:pt>
                <c:pt idx="249">
                  <c:v>-1</c:v>
                </c:pt>
                <c:pt idx="250">
                  <c:v>0</c:v>
                </c:pt>
                <c:pt idx="251">
                  <c:v>1</c:v>
                </c:pt>
                <c:pt idx="252">
                  <c:v>2</c:v>
                </c:pt>
                <c:pt idx="253">
                  <c:v>3</c:v>
                </c:pt>
                <c:pt idx="254">
                  <c:v>4</c:v>
                </c:pt>
                <c:pt idx="255">
                  <c:v>5</c:v>
                </c:pt>
                <c:pt idx="256">
                  <c:v>6</c:v>
                </c:pt>
                <c:pt idx="257">
                  <c:v>7</c:v>
                </c:pt>
                <c:pt idx="258">
                  <c:v>8</c:v>
                </c:pt>
                <c:pt idx="259">
                  <c:v>9</c:v>
                </c:pt>
                <c:pt idx="260">
                  <c:v>10</c:v>
                </c:pt>
                <c:pt idx="261">
                  <c:v>11</c:v>
                </c:pt>
                <c:pt idx="262">
                  <c:v>12</c:v>
                </c:pt>
                <c:pt idx="263">
                  <c:v>13</c:v>
                </c:pt>
                <c:pt idx="264">
                  <c:v>14</c:v>
                </c:pt>
                <c:pt idx="265">
                  <c:v>15</c:v>
                </c:pt>
                <c:pt idx="266">
                  <c:v>16</c:v>
                </c:pt>
                <c:pt idx="267">
                  <c:v>17</c:v>
                </c:pt>
                <c:pt idx="268">
                  <c:v>18</c:v>
                </c:pt>
                <c:pt idx="269">
                  <c:v>19</c:v>
                </c:pt>
                <c:pt idx="270">
                  <c:v>20</c:v>
                </c:pt>
                <c:pt idx="271">
                  <c:v>21</c:v>
                </c:pt>
                <c:pt idx="272">
                  <c:v>22</c:v>
                </c:pt>
                <c:pt idx="273">
                  <c:v>23</c:v>
                </c:pt>
                <c:pt idx="274">
                  <c:v>24</c:v>
                </c:pt>
                <c:pt idx="275">
                  <c:v>25</c:v>
                </c:pt>
                <c:pt idx="276">
                  <c:v>26</c:v>
                </c:pt>
                <c:pt idx="277">
                  <c:v>27</c:v>
                </c:pt>
                <c:pt idx="278">
                  <c:v>28</c:v>
                </c:pt>
                <c:pt idx="279">
                  <c:v>29</c:v>
                </c:pt>
                <c:pt idx="280">
                  <c:v>30</c:v>
                </c:pt>
                <c:pt idx="281">
                  <c:v>31</c:v>
                </c:pt>
                <c:pt idx="282">
                  <c:v>32</c:v>
                </c:pt>
                <c:pt idx="283">
                  <c:v>33</c:v>
                </c:pt>
                <c:pt idx="284">
                  <c:v>34</c:v>
                </c:pt>
                <c:pt idx="285">
                  <c:v>35</c:v>
                </c:pt>
                <c:pt idx="286">
                  <c:v>36</c:v>
                </c:pt>
                <c:pt idx="287">
                  <c:v>37</c:v>
                </c:pt>
                <c:pt idx="288">
                  <c:v>38</c:v>
                </c:pt>
                <c:pt idx="289">
                  <c:v>39</c:v>
                </c:pt>
                <c:pt idx="290">
                  <c:v>40</c:v>
                </c:pt>
                <c:pt idx="291">
                  <c:v>41</c:v>
                </c:pt>
                <c:pt idx="292">
                  <c:v>42</c:v>
                </c:pt>
                <c:pt idx="293">
                  <c:v>43</c:v>
                </c:pt>
                <c:pt idx="294">
                  <c:v>44</c:v>
                </c:pt>
                <c:pt idx="295">
                  <c:v>45</c:v>
                </c:pt>
                <c:pt idx="296">
                  <c:v>46</c:v>
                </c:pt>
                <c:pt idx="297">
                  <c:v>47</c:v>
                </c:pt>
                <c:pt idx="298">
                  <c:v>48</c:v>
                </c:pt>
                <c:pt idx="299">
                  <c:v>49</c:v>
                </c:pt>
                <c:pt idx="300">
                  <c:v>50</c:v>
                </c:pt>
                <c:pt idx="301">
                  <c:v>51</c:v>
                </c:pt>
                <c:pt idx="302">
                  <c:v>52</c:v>
                </c:pt>
                <c:pt idx="303">
                  <c:v>53</c:v>
                </c:pt>
                <c:pt idx="304">
                  <c:v>54</c:v>
                </c:pt>
                <c:pt idx="305">
                  <c:v>55</c:v>
                </c:pt>
                <c:pt idx="306">
                  <c:v>56</c:v>
                </c:pt>
                <c:pt idx="307">
                  <c:v>57</c:v>
                </c:pt>
                <c:pt idx="308">
                  <c:v>58</c:v>
                </c:pt>
                <c:pt idx="309">
                  <c:v>59</c:v>
                </c:pt>
                <c:pt idx="310">
                  <c:v>60</c:v>
                </c:pt>
                <c:pt idx="311">
                  <c:v>61</c:v>
                </c:pt>
                <c:pt idx="312">
                  <c:v>62</c:v>
                </c:pt>
                <c:pt idx="313">
                  <c:v>63</c:v>
                </c:pt>
                <c:pt idx="314">
                  <c:v>64</c:v>
                </c:pt>
                <c:pt idx="315">
                  <c:v>65</c:v>
                </c:pt>
                <c:pt idx="316">
                  <c:v>66</c:v>
                </c:pt>
                <c:pt idx="317">
                  <c:v>67</c:v>
                </c:pt>
                <c:pt idx="318">
                  <c:v>68</c:v>
                </c:pt>
                <c:pt idx="319">
                  <c:v>69</c:v>
                </c:pt>
                <c:pt idx="320">
                  <c:v>70</c:v>
                </c:pt>
                <c:pt idx="321">
                  <c:v>71</c:v>
                </c:pt>
                <c:pt idx="322">
                  <c:v>72</c:v>
                </c:pt>
                <c:pt idx="323">
                  <c:v>73</c:v>
                </c:pt>
                <c:pt idx="324">
                  <c:v>74</c:v>
                </c:pt>
                <c:pt idx="325">
                  <c:v>75</c:v>
                </c:pt>
                <c:pt idx="326">
                  <c:v>76</c:v>
                </c:pt>
                <c:pt idx="327">
                  <c:v>77</c:v>
                </c:pt>
                <c:pt idx="328">
                  <c:v>78</c:v>
                </c:pt>
                <c:pt idx="329">
                  <c:v>79</c:v>
                </c:pt>
                <c:pt idx="330">
                  <c:v>80</c:v>
                </c:pt>
                <c:pt idx="331">
                  <c:v>81</c:v>
                </c:pt>
                <c:pt idx="332">
                  <c:v>82</c:v>
                </c:pt>
                <c:pt idx="333">
                  <c:v>83</c:v>
                </c:pt>
                <c:pt idx="334">
                  <c:v>84</c:v>
                </c:pt>
                <c:pt idx="335">
                  <c:v>85</c:v>
                </c:pt>
                <c:pt idx="336">
                  <c:v>86</c:v>
                </c:pt>
                <c:pt idx="337">
                  <c:v>87</c:v>
                </c:pt>
                <c:pt idx="338">
                  <c:v>88</c:v>
                </c:pt>
                <c:pt idx="339">
                  <c:v>89</c:v>
                </c:pt>
                <c:pt idx="340">
                  <c:v>90</c:v>
                </c:pt>
                <c:pt idx="341">
                  <c:v>91</c:v>
                </c:pt>
                <c:pt idx="342">
                  <c:v>92</c:v>
                </c:pt>
                <c:pt idx="343">
                  <c:v>93</c:v>
                </c:pt>
                <c:pt idx="344">
                  <c:v>94</c:v>
                </c:pt>
                <c:pt idx="345">
                  <c:v>95</c:v>
                </c:pt>
                <c:pt idx="346">
                  <c:v>96</c:v>
                </c:pt>
                <c:pt idx="347">
                  <c:v>97</c:v>
                </c:pt>
                <c:pt idx="348">
                  <c:v>98</c:v>
                </c:pt>
                <c:pt idx="349">
                  <c:v>99</c:v>
                </c:pt>
                <c:pt idx="350">
                  <c:v>100</c:v>
                </c:pt>
                <c:pt idx="351">
                  <c:v>101</c:v>
                </c:pt>
                <c:pt idx="352">
                  <c:v>102</c:v>
                </c:pt>
                <c:pt idx="353">
                  <c:v>103</c:v>
                </c:pt>
                <c:pt idx="354">
                  <c:v>104</c:v>
                </c:pt>
                <c:pt idx="355">
                  <c:v>105</c:v>
                </c:pt>
                <c:pt idx="356">
                  <c:v>106</c:v>
                </c:pt>
                <c:pt idx="357">
                  <c:v>107</c:v>
                </c:pt>
                <c:pt idx="358">
                  <c:v>108</c:v>
                </c:pt>
                <c:pt idx="359">
                  <c:v>109</c:v>
                </c:pt>
                <c:pt idx="360">
                  <c:v>110</c:v>
                </c:pt>
                <c:pt idx="361">
                  <c:v>111</c:v>
                </c:pt>
                <c:pt idx="362">
                  <c:v>112</c:v>
                </c:pt>
                <c:pt idx="363">
                  <c:v>113</c:v>
                </c:pt>
                <c:pt idx="364">
                  <c:v>114</c:v>
                </c:pt>
                <c:pt idx="365">
                  <c:v>115</c:v>
                </c:pt>
                <c:pt idx="366">
                  <c:v>116</c:v>
                </c:pt>
                <c:pt idx="367">
                  <c:v>117</c:v>
                </c:pt>
                <c:pt idx="368">
                  <c:v>118</c:v>
                </c:pt>
                <c:pt idx="369">
                  <c:v>119</c:v>
                </c:pt>
                <c:pt idx="370">
                  <c:v>120</c:v>
                </c:pt>
                <c:pt idx="371">
                  <c:v>121</c:v>
                </c:pt>
                <c:pt idx="372">
                  <c:v>122</c:v>
                </c:pt>
                <c:pt idx="373">
                  <c:v>123</c:v>
                </c:pt>
                <c:pt idx="374">
                  <c:v>124</c:v>
                </c:pt>
                <c:pt idx="375">
                  <c:v>125</c:v>
                </c:pt>
                <c:pt idx="376">
                  <c:v>126</c:v>
                </c:pt>
                <c:pt idx="377">
                  <c:v>127</c:v>
                </c:pt>
                <c:pt idx="378">
                  <c:v>128</c:v>
                </c:pt>
                <c:pt idx="379">
                  <c:v>129</c:v>
                </c:pt>
                <c:pt idx="380">
                  <c:v>130</c:v>
                </c:pt>
                <c:pt idx="381">
                  <c:v>131</c:v>
                </c:pt>
                <c:pt idx="382">
                  <c:v>132</c:v>
                </c:pt>
                <c:pt idx="383">
                  <c:v>133</c:v>
                </c:pt>
                <c:pt idx="384">
                  <c:v>134</c:v>
                </c:pt>
                <c:pt idx="385">
                  <c:v>135</c:v>
                </c:pt>
                <c:pt idx="386">
                  <c:v>136</c:v>
                </c:pt>
                <c:pt idx="387">
                  <c:v>137</c:v>
                </c:pt>
                <c:pt idx="388">
                  <c:v>138</c:v>
                </c:pt>
                <c:pt idx="389">
                  <c:v>139</c:v>
                </c:pt>
                <c:pt idx="390">
                  <c:v>140</c:v>
                </c:pt>
                <c:pt idx="391">
                  <c:v>141</c:v>
                </c:pt>
                <c:pt idx="392">
                  <c:v>142</c:v>
                </c:pt>
                <c:pt idx="393">
                  <c:v>143</c:v>
                </c:pt>
                <c:pt idx="394">
                  <c:v>144</c:v>
                </c:pt>
                <c:pt idx="395">
                  <c:v>145</c:v>
                </c:pt>
                <c:pt idx="396">
                  <c:v>146</c:v>
                </c:pt>
                <c:pt idx="397">
                  <c:v>147</c:v>
                </c:pt>
                <c:pt idx="398">
                  <c:v>148</c:v>
                </c:pt>
                <c:pt idx="399">
                  <c:v>149</c:v>
                </c:pt>
                <c:pt idx="400">
                  <c:v>150</c:v>
                </c:pt>
                <c:pt idx="401">
                  <c:v>151</c:v>
                </c:pt>
                <c:pt idx="402">
                  <c:v>152</c:v>
                </c:pt>
                <c:pt idx="403">
                  <c:v>153</c:v>
                </c:pt>
                <c:pt idx="404">
                  <c:v>154</c:v>
                </c:pt>
                <c:pt idx="405">
                  <c:v>155</c:v>
                </c:pt>
                <c:pt idx="406">
                  <c:v>156</c:v>
                </c:pt>
                <c:pt idx="407">
                  <c:v>157</c:v>
                </c:pt>
                <c:pt idx="408">
                  <c:v>158</c:v>
                </c:pt>
                <c:pt idx="409">
                  <c:v>159</c:v>
                </c:pt>
                <c:pt idx="410">
                  <c:v>160</c:v>
                </c:pt>
                <c:pt idx="411">
                  <c:v>161</c:v>
                </c:pt>
                <c:pt idx="412">
                  <c:v>162</c:v>
                </c:pt>
                <c:pt idx="413">
                  <c:v>163</c:v>
                </c:pt>
                <c:pt idx="414">
                  <c:v>164</c:v>
                </c:pt>
                <c:pt idx="415">
                  <c:v>165</c:v>
                </c:pt>
                <c:pt idx="416">
                  <c:v>166</c:v>
                </c:pt>
                <c:pt idx="417">
                  <c:v>167</c:v>
                </c:pt>
                <c:pt idx="418">
                  <c:v>168</c:v>
                </c:pt>
                <c:pt idx="419">
                  <c:v>169</c:v>
                </c:pt>
                <c:pt idx="420">
                  <c:v>170</c:v>
                </c:pt>
                <c:pt idx="421">
                  <c:v>171</c:v>
                </c:pt>
                <c:pt idx="422">
                  <c:v>172</c:v>
                </c:pt>
                <c:pt idx="423">
                  <c:v>173</c:v>
                </c:pt>
                <c:pt idx="424">
                  <c:v>174</c:v>
                </c:pt>
                <c:pt idx="425">
                  <c:v>175</c:v>
                </c:pt>
                <c:pt idx="426">
                  <c:v>176</c:v>
                </c:pt>
                <c:pt idx="427">
                  <c:v>177</c:v>
                </c:pt>
                <c:pt idx="428">
                  <c:v>178</c:v>
                </c:pt>
                <c:pt idx="429">
                  <c:v>179</c:v>
                </c:pt>
                <c:pt idx="430">
                  <c:v>180</c:v>
                </c:pt>
                <c:pt idx="431">
                  <c:v>181</c:v>
                </c:pt>
                <c:pt idx="432">
                  <c:v>182</c:v>
                </c:pt>
                <c:pt idx="433">
                  <c:v>183</c:v>
                </c:pt>
                <c:pt idx="434">
                  <c:v>184</c:v>
                </c:pt>
                <c:pt idx="435">
                  <c:v>185</c:v>
                </c:pt>
                <c:pt idx="436">
                  <c:v>186</c:v>
                </c:pt>
                <c:pt idx="437">
                  <c:v>187</c:v>
                </c:pt>
                <c:pt idx="438">
                  <c:v>188</c:v>
                </c:pt>
                <c:pt idx="439">
                  <c:v>189</c:v>
                </c:pt>
                <c:pt idx="440">
                  <c:v>190</c:v>
                </c:pt>
                <c:pt idx="441">
                  <c:v>191</c:v>
                </c:pt>
                <c:pt idx="442">
                  <c:v>192</c:v>
                </c:pt>
                <c:pt idx="443">
                  <c:v>193</c:v>
                </c:pt>
                <c:pt idx="444">
                  <c:v>194</c:v>
                </c:pt>
                <c:pt idx="445">
                  <c:v>195</c:v>
                </c:pt>
                <c:pt idx="446">
                  <c:v>196</c:v>
                </c:pt>
                <c:pt idx="447">
                  <c:v>197</c:v>
                </c:pt>
                <c:pt idx="448">
                  <c:v>198</c:v>
                </c:pt>
                <c:pt idx="449">
                  <c:v>199</c:v>
                </c:pt>
                <c:pt idx="450">
                  <c:v>200</c:v>
                </c:pt>
                <c:pt idx="451">
                  <c:v>201</c:v>
                </c:pt>
                <c:pt idx="452">
                  <c:v>202</c:v>
                </c:pt>
                <c:pt idx="453">
                  <c:v>203</c:v>
                </c:pt>
                <c:pt idx="454">
                  <c:v>204</c:v>
                </c:pt>
                <c:pt idx="455">
                  <c:v>205</c:v>
                </c:pt>
                <c:pt idx="456">
                  <c:v>206</c:v>
                </c:pt>
                <c:pt idx="457">
                  <c:v>207</c:v>
                </c:pt>
                <c:pt idx="458">
                  <c:v>208</c:v>
                </c:pt>
                <c:pt idx="459">
                  <c:v>209</c:v>
                </c:pt>
                <c:pt idx="460">
                  <c:v>210</c:v>
                </c:pt>
                <c:pt idx="461">
                  <c:v>211</c:v>
                </c:pt>
                <c:pt idx="462">
                  <c:v>212</c:v>
                </c:pt>
                <c:pt idx="463">
                  <c:v>213</c:v>
                </c:pt>
                <c:pt idx="464">
                  <c:v>214</c:v>
                </c:pt>
                <c:pt idx="465">
                  <c:v>215</c:v>
                </c:pt>
                <c:pt idx="466">
                  <c:v>216</c:v>
                </c:pt>
                <c:pt idx="467">
                  <c:v>217</c:v>
                </c:pt>
                <c:pt idx="468">
                  <c:v>218</c:v>
                </c:pt>
                <c:pt idx="469">
                  <c:v>219</c:v>
                </c:pt>
                <c:pt idx="470">
                  <c:v>220</c:v>
                </c:pt>
                <c:pt idx="471">
                  <c:v>221</c:v>
                </c:pt>
                <c:pt idx="472">
                  <c:v>222</c:v>
                </c:pt>
                <c:pt idx="473">
                  <c:v>223</c:v>
                </c:pt>
                <c:pt idx="474">
                  <c:v>224</c:v>
                </c:pt>
                <c:pt idx="475">
                  <c:v>225</c:v>
                </c:pt>
                <c:pt idx="476">
                  <c:v>226</c:v>
                </c:pt>
                <c:pt idx="477">
                  <c:v>227</c:v>
                </c:pt>
                <c:pt idx="478">
                  <c:v>228</c:v>
                </c:pt>
                <c:pt idx="479">
                  <c:v>229</c:v>
                </c:pt>
                <c:pt idx="480">
                  <c:v>230</c:v>
                </c:pt>
                <c:pt idx="481">
                  <c:v>231</c:v>
                </c:pt>
                <c:pt idx="482">
                  <c:v>232</c:v>
                </c:pt>
                <c:pt idx="483">
                  <c:v>233</c:v>
                </c:pt>
                <c:pt idx="484">
                  <c:v>234</c:v>
                </c:pt>
                <c:pt idx="485">
                  <c:v>235</c:v>
                </c:pt>
                <c:pt idx="486">
                  <c:v>236</c:v>
                </c:pt>
                <c:pt idx="487">
                  <c:v>237</c:v>
                </c:pt>
                <c:pt idx="488">
                  <c:v>238</c:v>
                </c:pt>
                <c:pt idx="489">
                  <c:v>239</c:v>
                </c:pt>
                <c:pt idx="490">
                  <c:v>240</c:v>
                </c:pt>
                <c:pt idx="491">
                  <c:v>241</c:v>
                </c:pt>
                <c:pt idx="492">
                  <c:v>242</c:v>
                </c:pt>
                <c:pt idx="493">
                  <c:v>243</c:v>
                </c:pt>
                <c:pt idx="494">
                  <c:v>244</c:v>
                </c:pt>
                <c:pt idx="495">
                  <c:v>245</c:v>
                </c:pt>
                <c:pt idx="496">
                  <c:v>246</c:v>
                </c:pt>
                <c:pt idx="497">
                  <c:v>247</c:v>
                </c:pt>
                <c:pt idx="498">
                  <c:v>248</c:v>
                </c:pt>
                <c:pt idx="499">
                  <c:v>249</c:v>
                </c:pt>
                <c:pt idx="500">
                  <c:v>250</c:v>
                </c:pt>
                <c:pt idx="501">
                  <c:v>251</c:v>
                </c:pt>
                <c:pt idx="502">
                  <c:v>252</c:v>
                </c:pt>
                <c:pt idx="503">
                  <c:v>253</c:v>
                </c:pt>
                <c:pt idx="504">
                  <c:v>254</c:v>
                </c:pt>
                <c:pt idx="505">
                  <c:v>255</c:v>
                </c:pt>
                <c:pt idx="506">
                  <c:v>256</c:v>
                </c:pt>
                <c:pt idx="507">
                  <c:v>257</c:v>
                </c:pt>
                <c:pt idx="508">
                  <c:v>258</c:v>
                </c:pt>
                <c:pt idx="509">
                  <c:v>259</c:v>
                </c:pt>
                <c:pt idx="510">
                  <c:v>260</c:v>
                </c:pt>
                <c:pt idx="511">
                  <c:v>261</c:v>
                </c:pt>
                <c:pt idx="512">
                  <c:v>262</c:v>
                </c:pt>
                <c:pt idx="513">
                  <c:v>263</c:v>
                </c:pt>
                <c:pt idx="514">
                  <c:v>264</c:v>
                </c:pt>
                <c:pt idx="515">
                  <c:v>265</c:v>
                </c:pt>
                <c:pt idx="516">
                  <c:v>266</c:v>
                </c:pt>
                <c:pt idx="517">
                  <c:v>267</c:v>
                </c:pt>
                <c:pt idx="518">
                  <c:v>268</c:v>
                </c:pt>
                <c:pt idx="519">
                  <c:v>269</c:v>
                </c:pt>
                <c:pt idx="520">
                  <c:v>270</c:v>
                </c:pt>
                <c:pt idx="521">
                  <c:v>271</c:v>
                </c:pt>
                <c:pt idx="522">
                  <c:v>272</c:v>
                </c:pt>
                <c:pt idx="523">
                  <c:v>273</c:v>
                </c:pt>
                <c:pt idx="524">
                  <c:v>274</c:v>
                </c:pt>
                <c:pt idx="525">
                  <c:v>275</c:v>
                </c:pt>
                <c:pt idx="526">
                  <c:v>276</c:v>
                </c:pt>
                <c:pt idx="527">
                  <c:v>277</c:v>
                </c:pt>
                <c:pt idx="528">
                  <c:v>278</c:v>
                </c:pt>
                <c:pt idx="529">
                  <c:v>279</c:v>
                </c:pt>
                <c:pt idx="530">
                  <c:v>280</c:v>
                </c:pt>
                <c:pt idx="531">
                  <c:v>281</c:v>
                </c:pt>
                <c:pt idx="532">
                  <c:v>282</c:v>
                </c:pt>
                <c:pt idx="533">
                  <c:v>283</c:v>
                </c:pt>
                <c:pt idx="534">
                  <c:v>284</c:v>
                </c:pt>
                <c:pt idx="535">
                  <c:v>285</c:v>
                </c:pt>
                <c:pt idx="536">
                  <c:v>286</c:v>
                </c:pt>
                <c:pt idx="537">
                  <c:v>287</c:v>
                </c:pt>
                <c:pt idx="538">
                  <c:v>288</c:v>
                </c:pt>
                <c:pt idx="539">
                  <c:v>289</c:v>
                </c:pt>
                <c:pt idx="540">
                  <c:v>290</c:v>
                </c:pt>
                <c:pt idx="541">
                  <c:v>291</c:v>
                </c:pt>
                <c:pt idx="542">
                  <c:v>292</c:v>
                </c:pt>
                <c:pt idx="543">
                  <c:v>293</c:v>
                </c:pt>
                <c:pt idx="544">
                  <c:v>294</c:v>
                </c:pt>
                <c:pt idx="545">
                  <c:v>295</c:v>
                </c:pt>
                <c:pt idx="546">
                  <c:v>296</c:v>
                </c:pt>
                <c:pt idx="547">
                  <c:v>297</c:v>
                </c:pt>
                <c:pt idx="548">
                  <c:v>298</c:v>
                </c:pt>
                <c:pt idx="549">
                  <c:v>299</c:v>
                </c:pt>
                <c:pt idx="550">
                  <c:v>300</c:v>
                </c:pt>
                <c:pt idx="551">
                  <c:v>301</c:v>
                </c:pt>
                <c:pt idx="552">
                  <c:v>302</c:v>
                </c:pt>
                <c:pt idx="553">
                  <c:v>303</c:v>
                </c:pt>
                <c:pt idx="554">
                  <c:v>304</c:v>
                </c:pt>
                <c:pt idx="555">
                  <c:v>305</c:v>
                </c:pt>
                <c:pt idx="556">
                  <c:v>306</c:v>
                </c:pt>
                <c:pt idx="557">
                  <c:v>307</c:v>
                </c:pt>
                <c:pt idx="558">
                  <c:v>308</c:v>
                </c:pt>
                <c:pt idx="559">
                  <c:v>309</c:v>
                </c:pt>
                <c:pt idx="560">
                  <c:v>310</c:v>
                </c:pt>
                <c:pt idx="561">
                  <c:v>311</c:v>
                </c:pt>
                <c:pt idx="562">
                  <c:v>312</c:v>
                </c:pt>
                <c:pt idx="563">
                  <c:v>313</c:v>
                </c:pt>
                <c:pt idx="564">
                  <c:v>314</c:v>
                </c:pt>
                <c:pt idx="565">
                  <c:v>315</c:v>
                </c:pt>
                <c:pt idx="566">
                  <c:v>316</c:v>
                </c:pt>
                <c:pt idx="567">
                  <c:v>317</c:v>
                </c:pt>
                <c:pt idx="568">
                  <c:v>318</c:v>
                </c:pt>
                <c:pt idx="569">
                  <c:v>319</c:v>
                </c:pt>
                <c:pt idx="570">
                  <c:v>320</c:v>
                </c:pt>
                <c:pt idx="571">
                  <c:v>321</c:v>
                </c:pt>
                <c:pt idx="572">
                  <c:v>322</c:v>
                </c:pt>
                <c:pt idx="573">
                  <c:v>323</c:v>
                </c:pt>
                <c:pt idx="574">
                  <c:v>324</c:v>
                </c:pt>
                <c:pt idx="575">
                  <c:v>325</c:v>
                </c:pt>
                <c:pt idx="576">
                  <c:v>326</c:v>
                </c:pt>
                <c:pt idx="577">
                  <c:v>327</c:v>
                </c:pt>
                <c:pt idx="578">
                  <c:v>328</c:v>
                </c:pt>
                <c:pt idx="579">
                  <c:v>329</c:v>
                </c:pt>
                <c:pt idx="580">
                  <c:v>330</c:v>
                </c:pt>
                <c:pt idx="581">
                  <c:v>331</c:v>
                </c:pt>
                <c:pt idx="582">
                  <c:v>332</c:v>
                </c:pt>
                <c:pt idx="583">
                  <c:v>333</c:v>
                </c:pt>
                <c:pt idx="584">
                  <c:v>334</c:v>
                </c:pt>
                <c:pt idx="585">
                  <c:v>335</c:v>
                </c:pt>
                <c:pt idx="586">
                  <c:v>336</c:v>
                </c:pt>
                <c:pt idx="587">
                  <c:v>337</c:v>
                </c:pt>
                <c:pt idx="588">
                  <c:v>338</c:v>
                </c:pt>
                <c:pt idx="589">
                  <c:v>339</c:v>
                </c:pt>
                <c:pt idx="590">
                  <c:v>340</c:v>
                </c:pt>
                <c:pt idx="591">
                  <c:v>341</c:v>
                </c:pt>
                <c:pt idx="592">
                  <c:v>342</c:v>
                </c:pt>
                <c:pt idx="593">
                  <c:v>343</c:v>
                </c:pt>
                <c:pt idx="594">
                  <c:v>344</c:v>
                </c:pt>
                <c:pt idx="595">
                  <c:v>345</c:v>
                </c:pt>
                <c:pt idx="596">
                  <c:v>346</c:v>
                </c:pt>
                <c:pt idx="597">
                  <c:v>347</c:v>
                </c:pt>
                <c:pt idx="598">
                  <c:v>348</c:v>
                </c:pt>
                <c:pt idx="599">
                  <c:v>349</c:v>
                </c:pt>
                <c:pt idx="600">
                  <c:v>350</c:v>
                </c:pt>
                <c:pt idx="601">
                  <c:v>351</c:v>
                </c:pt>
                <c:pt idx="602">
                  <c:v>352</c:v>
                </c:pt>
                <c:pt idx="603">
                  <c:v>353</c:v>
                </c:pt>
                <c:pt idx="604">
                  <c:v>354</c:v>
                </c:pt>
                <c:pt idx="605">
                  <c:v>355</c:v>
                </c:pt>
                <c:pt idx="606">
                  <c:v>356</c:v>
                </c:pt>
                <c:pt idx="607">
                  <c:v>357</c:v>
                </c:pt>
                <c:pt idx="608">
                  <c:v>358</c:v>
                </c:pt>
                <c:pt idx="609">
                  <c:v>359</c:v>
                </c:pt>
                <c:pt idx="610">
                  <c:v>360</c:v>
                </c:pt>
                <c:pt idx="611">
                  <c:v>361</c:v>
                </c:pt>
                <c:pt idx="612">
                  <c:v>362</c:v>
                </c:pt>
                <c:pt idx="613">
                  <c:v>363</c:v>
                </c:pt>
                <c:pt idx="614">
                  <c:v>364</c:v>
                </c:pt>
                <c:pt idx="615">
                  <c:v>365</c:v>
                </c:pt>
                <c:pt idx="616">
                  <c:v>366</c:v>
                </c:pt>
                <c:pt idx="617">
                  <c:v>367</c:v>
                </c:pt>
                <c:pt idx="618">
                  <c:v>368</c:v>
                </c:pt>
                <c:pt idx="619">
                  <c:v>369</c:v>
                </c:pt>
                <c:pt idx="620">
                  <c:v>370</c:v>
                </c:pt>
                <c:pt idx="621">
                  <c:v>371</c:v>
                </c:pt>
                <c:pt idx="622">
                  <c:v>372</c:v>
                </c:pt>
                <c:pt idx="623">
                  <c:v>373</c:v>
                </c:pt>
                <c:pt idx="624">
                  <c:v>374</c:v>
                </c:pt>
                <c:pt idx="625">
                  <c:v>375</c:v>
                </c:pt>
                <c:pt idx="626">
                  <c:v>376</c:v>
                </c:pt>
                <c:pt idx="627">
                  <c:v>377</c:v>
                </c:pt>
                <c:pt idx="628">
                  <c:v>378</c:v>
                </c:pt>
                <c:pt idx="629">
                  <c:v>379</c:v>
                </c:pt>
                <c:pt idx="630">
                  <c:v>380</c:v>
                </c:pt>
                <c:pt idx="631">
                  <c:v>381</c:v>
                </c:pt>
                <c:pt idx="632">
                  <c:v>382</c:v>
                </c:pt>
                <c:pt idx="633">
                  <c:v>383</c:v>
                </c:pt>
                <c:pt idx="634">
                  <c:v>384</c:v>
                </c:pt>
                <c:pt idx="635">
                  <c:v>385</c:v>
                </c:pt>
                <c:pt idx="636">
                  <c:v>386</c:v>
                </c:pt>
                <c:pt idx="637">
                  <c:v>387</c:v>
                </c:pt>
                <c:pt idx="638">
                  <c:v>388</c:v>
                </c:pt>
                <c:pt idx="639">
                  <c:v>389</c:v>
                </c:pt>
                <c:pt idx="640">
                  <c:v>390</c:v>
                </c:pt>
                <c:pt idx="641">
                  <c:v>391</c:v>
                </c:pt>
                <c:pt idx="642">
                  <c:v>392</c:v>
                </c:pt>
                <c:pt idx="643">
                  <c:v>393</c:v>
                </c:pt>
                <c:pt idx="644">
                  <c:v>394</c:v>
                </c:pt>
                <c:pt idx="645">
                  <c:v>395</c:v>
                </c:pt>
                <c:pt idx="646">
                  <c:v>396</c:v>
                </c:pt>
                <c:pt idx="647">
                  <c:v>397</c:v>
                </c:pt>
                <c:pt idx="648">
                  <c:v>398</c:v>
                </c:pt>
                <c:pt idx="649">
                  <c:v>399</c:v>
                </c:pt>
                <c:pt idx="650">
                  <c:v>400</c:v>
                </c:pt>
                <c:pt idx="651">
                  <c:v>401</c:v>
                </c:pt>
                <c:pt idx="652">
                  <c:v>402</c:v>
                </c:pt>
                <c:pt idx="653">
                  <c:v>403</c:v>
                </c:pt>
                <c:pt idx="654">
                  <c:v>404</c:v>
                </c:pt>
                <c:pt idx="655">
                  <c:v>405</c:v>
                </c:pt>
                <c:pt idx="656">
                  <c:v>406</c:v>
                </c:pt>
                <c:pt idx="657">
                  <c:v>407</c:v>
                </c:pt>
                <c:pt idx="658">
                  <c:v>408</c:v>
                </c:pt>
                <c:pt idx="659">
                  <c:v>409</c:v>
                </c:pt>
                <c:pt idx="660">
                  <c:v>410</c:v>
                </c:pt>
                <c:pt idx="661">
                  <c:v>411</c:v>
                </c:pt>
                <c:pt idx="662">
                  <c:v>412</c:v>
                </c:pt>
                <c:pt idx="663">
                  <c:v>413</c:v>
                </c:pt>
                <c:pt idx="664">
                  <c:v>414</c:v>
                </c:pt>
                <c:pt idx="665">
                  <c:v>415</c:v>
                </c:pt>
                <c:pt idx="666">
                  <c:v>416</c:v>
                </c:pt>
                <c:pt idx="667">
                  <c:v>417</c:v>
                </c:pt>
                <c:pt idx="668">
                  <c:v>418</c:v>
                </c:pt>
                <c:pt idx="669">
                  <c:v>419</c:v>
                </c:pt>
                <c:pt idx="670">
                  <c:v>420</c:v>
                </c:pt>
                <c:pt idx="671">
                  <c:v>421</c:v>
                </c:pt>
                <c:pt idx="672">
                  <c:v>422</c:v>
                </c:pt>
                <c:pt idx="673">
                  <c:v>423</c:v>
                </c:pt>
                <c:pt idx="674">
                  <c:v>424</c:v>
                </c:pt>
                <c:pt idx="675">
                  <c:v>425</c:v>
                </c:pt>
                <c:pt idx="676">
                  <c:v>426</c:v>
                </c:pt>
                <c:pt idx="677">
                  <c:v>427</c:v>
                </c:pt>
                <c:pt idx="678">
                  <c:v>428</c:v>
                </c:pt>
                <c:pt idx="679">
                  <c:v>429</c:v>
                </c:pt>
                <c:pt idx="680">
                  <c:v>430</c:v>
                </c:pt>
                <c:pt idx="681">
                  <c:v>431</c:v>
                </c:pt>
                <c:pt idx="682">
                  <c:v>432</c:v>
                </c:pt>
                <c:pt idx="683">
                  <c:v>433</c:v>
                </c:pt>
                <c:pt idx="684">
                  <c:v>434</c:v>
                </c:pt>
                <c:pt idx="685">
                  <c:v>435</c:v>
                </c:pt>
                <c:pt idx="686">
                  <c:v>436</c:v>
                </c:pt>
                <c:pt idx="687">
                  <c:v>437</c:v>
                </c:pt>
                <c:pt idx="688">
                  <c:v>438</c:v>
                </c:pt>
                <c:pt idx="689">
                  <c:v>439</c:v>
                </c:pt>
                <c:pt idx="690">
                  <c:v>440</c:v>
                </c:pt>
                <c:pt idx="691">
                  <c:v>441</c:v>
                </c:pt>
                <c:pt idx="692">
                  <c:v>442</c:v>
                </c:pt>
                <c:pt idx="693">
                  <c:v>443</c:v>
                </c:pt>
                <c:pt idx="694">
                  <c:v>444</c:v>
                </c:pt>
                <c:pt idx="695">
                  <c:v>445</c:v>
                </c:pt>
                <c:pt idx="696">
                  <c:v>446</c:v>
                </c:pt>
                <c:pt idx="697">
                  <c:v>447</c:v>
                </c:pt>
                <c:pt idx="698">
                  <c:v>448</c:v>
                </c:pt>
                <c:pt idx="699">
                  <c:v>449</c:v>
                </c:pt>
                <c:pt idx="700">
                  <c:v>450</c:v>
                </c:pt>
              </c:numCache>
            </c:numRef>
          </c:cat>
          <c:val>
            <c:numRef>
              <c:f>'Seasoning Ramp'!$M$3:$M$703</c:f>
              <c:numCache>
                <c:formatCode>General</c:formatCode>
                <c:ptCount val="701"/>
                <c:pt idx="0">
                  <c:v>0.77932966096928569</c:v>
                </c:pt>
                <c:pt idx="1">
                  <c:v>0.77933250935063869</c:v>
                </c:pt>
                <c:pt idx="2">
                  <c:v>0.77933488300165887</c:v>
                </c:pt>
                <c:pt idx="3">
                  <c:v>0.77933725665277898</c:v>
                </c:pt>
                <c:pt idx="4">
                  <c:v>0.77933963030372144</c:v>
                </c:pt>
                <c:pt idx="5">
                  <c:v>0.77934200395466391</c:v>
                </c:pt>
                <c:pt idx="6">
                  <c:v>0.77934437760549535</c:v>
                </c:pt>
                <c:pt idx="7">
                  <c:v>0.77934675125642672</c:v>
                </c:pt>
                <c:pt idx="8">
                  <c:v>0.77934912490709163</c:v>
                </c:pt>
                <c:pt idx="9">
                  <c:v>0.77935149855790087</c:v>
                </c:pt>
                <c:pt idx="10">
                  <c:v>0.77935387220849917</c:v>
                </c:pt>
                <c:pt idx="11">
                  <c:v>0.77935672058928596</c:v>
                </c:pt>
                <c:pt idx="12">
                  <c:v>0.77935909423988425</c:v>
                </c:pt>
                <c:pt idx="13">
                  <c:v>0.77936146789031602</c:v>
                </c:pt>
                <c:pt idx="14">
                  <c:v>0.7793638415408366</c:v>
                </c:pt>
                <c:pt idx="15">
                  <c:v>0.77936621519129057</c:v>
                </c:pt>
                <c:pt idx="16">
                  <c:v>0.77936858884162241</c:v>
                </c:pt>
                <c:pt idx="17">
                  <c:v>0.77937096249196536</c:v>
                </c:pt>
                <c:pt idx="18">
                  <c:v>0.77937333614217508</c:v>
                </c:pt>
                <c:pt idx="19">
                  <c:v>0.77937570979236259</c:v>
                </c:pt>
                <c:pt idx="20">
                  <c:v>0.77937808344247239</c:v>
                </c:pt>
                <c:pt idx="21">
                  <c:v>0.77938093182263746</c:v>
                </c:pt>
                <c:pt idx="22">
                  <c:v>0.77938330547268064</c:v>
                </c:pt>
                <c:pt idx="23">
                  <c:v>0.77938567912262391</c:v>
                </c:pt>
                <c:pt idx="24">
                  <c:v>0.77938805277260048</c:v>
                </c:pt>
                <c:pt idx="25">
                  <c:v>0.77939042642236611</c:v>
                </c:pt>
                <c:pt idx="26">
                  <c:v>0.77939280007233158</c:v>
                </c:pt>
                <c:pt idx="27">
                  <c:v>0.7793951737220195</c:v>
                </c:pt>
                <c:pt idx="28">
                  <c:v>0.77939754737178513</c:v>
                </c:pt>
                <c:pt idx="29">
                  <c:v>0.77939992102153965</c:v>
                </c:pt>
                <c:pt idx="30">
                  <c:v>0.77940229467108324</c:v>
                </c:pt>
                <c:pt idx="31">
                  <c:v>0.77940514305054887</c:v>
                </c:pt>
                <c:pt idx="32">
                  <c:v>0.77940751670007025</c:v>
                </c:pt>
                <c:pt idx="33">
                  <c:v>0.77940989034948061</c:v>
                </c:pt>
                <c:pt idx="34">
                  <c:v>0.77941226399895758</c:v>
                </c:pt>
                <c:pt idx="35">
                  <c:v>0.7794146376482125</c:v>
                </c:pt>
                <c:pt idx="36">
                  <c:v>0.77941701129758956</c:v>
                </c:pt>
                <c:pt idx="37">
                  <c:v>0.77941938494673346</c:v>
                </c:pt>
                <c:pt idx="38">
                  <c:v>0.77942175859597729</c:v>
                </c:pt>
                <c:pt idx="39">
                  <c:v>0.77942413224506568</c:v>
                </c:pt>
                <c:pt idx="40">
                  <c:v>0.7794269806239762</c:v>
                </c:pt>
                <c:pt idx="41">
                  <c:v>0.77942935427306459</c:v>
                </c:pt>
                <c:pt idx="42">
                  <c:v>0.77943172792194204</c:v>
                </c:pt>
                <c:pt idx="43">
                  <c:v>0.77943410157091941</c:v>
                </c:pt>
                <c:pt idx="44">
                  <c:v>0.77943647521973025</c:v>
                </c:pt>
                <c:pt idx="45">
                  <c:v>0.77943884886855219</c:v>
                </c:pt>
                <c:pt idx="46">
                  <c:v>0.77944122251738523</c:v>
                </c:pt>
                <c:pt idx="47">
                  <c:v>0.77944359616607395</c:v>
                </c:pt>
                <c:pt idx="48">
                  <c:v>0.77944596981472936</c:v>
                </c:pt>
                <c:pt idx="49">
                  <c:v>0.77944834346330705</c:v>
                </c:pt>
                <c:pt idx="50">
                  <c:v>0.77945119184156253</c:v>
                </c:pt>
                <c:pt idx="51">
                  <c:v>0.77945356549016243</c:v>
                </c:pt>
                <c:pt idx="52">
                  <c:v>0.77945593913851807</c:v>
                </c:pt>
                <c:pt idx="53">
                  <c:v>0.77945831278694033</c:v>
                </c:pt>
                <c:pt idx="54">
                  <c:v>0.77946068643519606</c:v>
                </c:pt>
                <c:pt idx="55">
                  <c:v>0.7794630600835406</c:v>
                </c:pt>
                <c:pt idx="56">
                  <c:v>0.77946543373168531</c:v>
                </c:pt>
                <c:pt idx="57">
                  <c:v>0.77946780737991883</c:v>
                </c:pt>
                <c:pt idx="58">
                  <c:v>0.77947018102798582</c:v>
                </c:pt>
                <c:pt idx="59">
                  <c:v>0.77947255467615273</c:v>
                </c:pt>
                <c:pt idx="60">
                  <c:v>0.77947540305377538</c:v>
                </c:pt>
                <c:pt idx="61">
                  <c:v>0.77947777670168694</c:v>
                </c:pt>
                <c:pt idx="62">
                  <c:v>0.77948015034966511</c:v>
                </c:pt>
                <c:pt idx="63">
                  <c:v>0.77948252399743234</c:v>
                </c:pt>
                <c:pt idx="64">
                  <c:v>0.77948489764526618</c:v>
                </c:pt>
                <c:pt idx="65">
                  <c:v>0.77948727129312223</c:v>
                </c:pt>
                <c:pt idx="66">
                  <c:v>0.77948964494071182</c:v>
                </c:pt>
                <c:pt idx="67">
                  <c:v>0.77949201858843464</c:v>
                </c:pt>
                <c:pt idx="68">
                  <c:v>0.77949439223594652</c:v>
                </c:pt>
                <c:pt idx="69">
                  <c:v>0.77949724061302517</c:v>
                </c:pt>
                <c:pt idx="70">
                  <c:v>0.77949961426058145</c:v>
                </c:pt>
                <c:pt idx="71">
                  <c:v>0.7795019879079601</c:v>
                </c:pt>
                <c:pt idx="72">
                  <c:v>0.77950436155537206</c:v>
                </c:pt>
                <c:pt idx="73">
                  <c:v>0.77950673520266189</c:v>
                </c:pt>
                <c:pt idx="74">
                  <c:v>0.77950910884994062</c:v>
                </c:pt>
                <c:pt idx="75">
                  <c:v>0.77951148249711943</c:v>
                </c:pt>
                <c:pt idx="76">
                  <c:v>0.77951385614432045</c:v>
                </c:pt>
                <c:pt idx="77">
                  <c:v>0.77951622979139934</c:v>
                </c:pt>
                <c:pt idx="78">
                  <c:v>0.77951860343848933</c:v>
                </c:pt>
                <c:pt idx="79">
                  <c:v>0.77952145181493515</c:v>
                </c:pt>
                <c:pt idx="80">
                  <c:v>0.7795238254618142</c:v>
                </c:pt>
                <c:pt idx="81">
                  <c:v>0.77952619910874876</c:v>
                </c:pt>
                <c:pt idx="82">
                  <c:v>0.77952857275572773</c:v>
                </c:pt>
                <c:pt idx="83">
                  <c:v>0.77953094640246245</c:v>
                </c:pt>
                <c:pt idx="84">
                  <c:v>0.77953332004925269</c:v>
                </c:pt>
                <c:pt idx="85">
                  <c:v>0.77953569369582087</c:v>
                </c:pt>
                <c:pt idx="86">
                  <c:v>0.77953806734253339</c:v>
                </c:pt>
                <c:pt idx="87">
                  <c:v>0.77954044098904607</c:v>
                </c:pt>
                <c:pt idx="88">
                  <c:v>0.77954281463565867</c:v>
                </c:pt>
                <c:pt idx="89">
                  <c:v>0.77954566301147166</c:v>
                </c:pt>
                <c:pt idx="90">
                  <c:v>0.77954803665777339</c:v>
                </c:pt>
                <c:pt idx="91">
                  <c:v>0.77955041030425276</c:v>
                </c:pt>
                <c:pt idx="92">
                  <c:v>0.77955278395047678</c:v>
                </c:pt>
                <c:pt idx="93">
                  <c:v>0.77955515759675631</c:v>
                </c:pt>
                <c:pt idx="94">
                  <c:v>0.77955753124291371</c:v>
                </c:pt>
                <c:pt idx="95">
                  <c:v>0.77955990488917104</c:v>
                </c:pt>
                <c:pt idx="96">
                  <c:v>0.77956227853535065</c:v>
                </c:pt>
                <c:pt idx="97">
                  <c:v>0.77956465218130822</c:v>
                </c:pt>
                <c:pt idx="98">
                  <c:v>0.77956702582739901</c:v>
                </c:pt>
                <c:pt idx="99">
                  <c:v>0.77956987420242374</c:v>
                </c:pt>
                <c:pt idx="100">
                  <c:v>0.77957224784830359</c:v>
                </c:pt>
                <c:pt idx="101">
                  <c:v>0.77957462149423895</c:v>
                </c:pt>
                <c:pt idx="102">
                  <c:v>0.77957699513996337</c:v>
                </c:pt>
                <c:pt idx="103">
                  <c:v>0.77957936878569889</c:v>
                </c:pt>
                <c:pt idx="104">
                  <c:v>0.77958174243135669</c:v>
                </c:pt>
                <c:pt idx="105">
                  <c:v>0.7795841160770145</c:v>
                </c:pt>
                <c:pt idx="106">
                  <c:v>0.77958648972256128</c:v>
                </c:pt>
                <c:pt idx="107">
                  <c:v>0.77958886336814137</c:v>
                </c:pt>
                <c:pt idx="108">
                  <c:v>0.77959171174271091</c:v>
                </c:pt>
                <c:pt idx="109">
                  <c:v>0.77959408538804675</c:v>
                </c:pt>
                <c:pt idx="110">
                  <c:v>0.77959645903343811</c:v>
                </c:pt>
                <c:pt idx="111">
                  <c:v>0.77959883267868513</c:v>
                </c:pt>
                <c:pt idx="112">
                  <c:v>0.77960120632399876</c:v>
                </c:pt>
                <c:pt idx="113">
                  <c:v>0.77960357996914587</c:v>
                </c:pt>
                <c:pt idx="114">
                  <c:v>0.77960595361434848</c:v>
                </c:pt>
                <c:pt idx="115">
                  <c:v>0.77960832725955109</c:v>
                </c:pt>
                <c:pt idx="116">
                  <c:v>0.77961070090448725</c:v>
                </c:pt>
                <c:pt idx="117">
                  <c:v>0.77961307454957884</c:v>
                </c:pt>
                <c:pt idx="118">
                  <c:v>0.77961592292348225</c:v>
                </c:pt>
                <c:pt idx="119">
                  <c:v>0.77961829656832959</c:v>
                </c:pt>
                <c:pt idx="120">
                  <c:v>0.77962067021319914</c:v>
                </c:pt>
                <c:pt idx="121">
                  <c:v>0.77962304385786885</c:v>
                </c:pt>
                <c:pt idx="122">
                  <c:v>0.77962541750266068</c:v>
                </c:pt>
                <c:pt idx="123">
                  <c:v>0.77962779114725267</c:v>
                </c:pt>
                <c:pt idx="124">
                  <c:v>0.77963016479191127</c:v>
                </c:pt>
                <c:pt idx="125">
                  <c:v>0.77963253843642555</c:v>
                </c:pt>
                <c:pt idx="126">
                  <c:v>0.77963491208100644</c:v>
                </c:pt>
                <c:pt idx="127">
                  <c:v>0.77963728572540969</c:v>
                </c:pt>
                <c:pt idx="128">
                  <c:v>0.77964013409872468</c:v>
                </c:pt>
                <c:pt idx="129">
                  <c:v>0.77964250774311683</c:v>
                </c:pt>
                <c:pt idx="130">
                  <c:v>0.77964488138737575</c:v>
                </c:pt>
                <c:pt idx="131">
                  <c:v>0.77964725503161247</c:v>
                </c:pt>
                <c:pt idx="132">
                  <c:v>0.77964962867592691</c:v>
                </c:pt>
                <c:pt idx="133">
                  <c:v>0.77965200231996379</c:v>
                </c:pt>
                <c:pt idx="134">
                  <c:v>0.779654375964145</c:v>
                </c:pt>
                <c:pt idx="135">
                  <c:v>0.77965674960810416</c:v>
                </c:pt>
                <c:pt idx="136">
                  <c:v>0.77965912325212994</c:v>
                </c:pt>
                <c:pt idx="137">
                  <c:v>0.77966197162490092</c:v>
                </c:pt>
                <c:pt idx="138">
                  <c:v>0.77966434526867134</c:v>
                </c:pt>
                <c:pt idx="139">
                  <c:v>0.7796667189125861</c:v>
                </c:pt>
                <c:pt idx="140">
                  <c:v>0.7796690925562122</c:v>
                </c:pt>
                <c:pt idx="141">
                  <c:v>0.77967146619998262</c:v>
                </c:pt>
                <c:pt idx="142">
                  <c:v>0.77967383984360872</c:v>
                </c:pt>
                <c:pt idx="143">
                  <c:v>0.77967621348729033</c:v>
                </c:pt>
                <c:pt idx="144">
                  <c:v>0.77967858713073879</c:v>
                </c:pt>
                <c:pt idx="145">
                  <c:v>0.77968143550296576</c:v>
                </c:pt>
                <c:pt idx="146">
                  <c:v>0.77968570806119519</c:v>
                </c:pt>
                <c:pt idx="147">
                  <c:v>0.77969520263420078</c:v>
                </c:pt>
                <c:pt idx="148">
                  <c:v>0.77971181813515367</c:v>
                </c:pt>
                <c:pt idx="149">
                  <c:v>0.77973840293126262</c:v>
                </c:pt>
                <c:pt idx="150">
                  <c:v>0.77977780538492913</c:v>
                </c:pt>
                <c:pt idx="151">
                  <c:v>0.77983192439439186</c:v>
                </c:pt>
                <c:pt idx="152">
                  <c:v>0.77990408303149072</c:v>
                </c:pt>
                <c:pt idx="153">
                  <c:v>0.77999665489675296</c:v>
                </c:pt>
                <c:pt idx="154">
                  <c:v>0.78011201357190973</c:v>
                </c:pt>
                <c:pt idx="155">
                  <c:v>0.78025300734128056</c:v>
                </c:pt>
                <c:pt idx="156">
                  <c:v>0.78042248445743256</c:v>
                </c:pt>
                <c:pt idx="157">
                  <c:v>0.78062281840933778</c:v>
                </c:pt>
                <c:pt idx="158">
                  <c:v>0.78085638264336898</c:v>
                </c:pt>
                <c:pt idx="159">
                  <c:v>0.78112602527861119</c:v>
                </c:pt>
                <c:pt idx="160">
                  <c:v>0.78149345976017415</c:v>
                </c:pt>
                <c:pt idx="161">
                  <c:v>0.78218560039573504</c:v>
                </c:pt>
                <c:pt idx="162">
                  <c:v>0.78324374100107175</c:v>
                </c:pt>
                <c:pt idx="163">
                  <c:v>0.78468828323359219</c:v>
                </c:pt>
                <c:pt idx="164">
                  <c:v>0.78653867426713431</c:v>
                </c:pt>
                <c:pt idx="165">
                  <c:v>0.78881672896461419</c:v>
                </c:pt>
                <c:pt idx="166">
                  <c:v>0.7915418820658604</c:v>
                </c:pt>
                <c:pt idx="167">
                  <c:v>0.79473498495502559</c:v>
                </c:pt>
                <c:pt idx="168">
                  <c:v>0.79841640601095998</c:v>
                </c:pt>
                <c:pt idx="169">
                  <c:v>0.80260697903404843</c:v>
                </c:pt>
                <c:pt idx="170">
                  <c:v>0.80732657838036292</c:v>
                </c:pt>
                <c:pt idx="171">
                  <c:v>0.81259554194513806</c:v>
                </c:pt>
                <c:pt idx="172">
                  <c:v>0.81843467004283355</c:v>
                </c:pt>
                <c:pt idx="173">
                  <c:v>0.82486427515254812</c:v>
                </c:pt>
                <c:pt idx="174">
                  <c:v>0.83190465545290859</c:v>
                </c:pt>
                <c:pt idx="175">
                  <c:v>0.83957561922685109</c:v>
                </c:pt>
                <c:pt idx="176">
                  <c:v>0.84789838159358144</c:v>
                </c:pt>
                <c:pt idx="177">
                  <c:v>0.85689319079083059</c:v>
                </c:pt>
                <c:pt idx="178">
                  <c:v>0.86657980164385195</c:v>
                </c:pt>
                <c:pt idx="179">
                  <c:v>0.8769788974170023</c:v>
                </c:pt>
                <c:pt idx="180">
                  <c:v>0.8881101910268141</c:v>
                </c:pt>
                <c:pt idx="181">
                  <c:v>0.89999479517913761</c:v>
                </c:pt>
                <c:pt idx="182">
                  <c:v>0.91265190115736861</c:v>
                </c:pt>
                <c:pt idx="183">
                  <c:v>0.9261025711953863</c:v>
                </c:pt>
                <c:pt idx="184">
                  <c:v>0.94036641766073181</c:v>
                </c:pt>
                <c:pt idx="185">
                  <c:v>0.9554639722595959</c:v>
                </c:pt>
                <c:pt idx="186">
                  <c:v>0.97141478828055572</c:v>
                </c:pt>
                <c:pt idx="187">
                  <c:v>0.98823980878623985</c:v>
                </c:pt>
                <c:pt idx="188">
                  <c:v>1.0059580477171925</c:v>
                </c:pt>
                <c:pt idx="189">
                  <c:v>1.0245903790312538</c:v>
                </c:pt>
                <c:pt idx="190">
                  <c:v>1.044155744831099</c:v>
                </c:pt>
                <c:pt idx="191">
                  <c:v>1.0646749431861058</c:v>
                </c:pt>
                <c:pt idx="192">
                  <c:v>1.0861677842662565</c:v>
                </c:pt>
                <c:pt idx="193">
                  <c:v>1.1086540360176866</c:v>
                </c:pt>
                <c:pt idx="194">
                  <c:v>1.1321529491490567</c:v>
                </c:pt>
                <c:pt idx="195">
                  <c:v>1.1566846750277526</c:v>
                </c:pt>
                <c:pt idx="196">
                  <c:v>1.182269316775908</c:v>
                </c:pt>
                <c:pt idx="197">
                  <c:v>1.2089259815978748</c:v>
                </c:pt>
                <c:pt idx="198">
                  <c:v>1.2366741981490681</c:v>
                </c:pt>
                <c:pt idx="199">
                  <c:v>1.2655339139473698</c:v>
                </c:pt>
                <c:pt idx="200">
                  <c:v>1.2955240752777875</c:v>
                </c:pt>
                <c:pt idx="201">
                  <c:v>1.3266649880817827</c:v>
                </c:pt>
                <c:pt idx="202">
                  <c:v>1.35897500846337</c:v>
                </c:pt>
                <c:pt idx="203">
                  <c:v>1.3924743197077816</c:v>
                </c:pt>
                <c:pt idx="204">
                  <c:v>1.4271816239521784</c:v>
                </c:pt>
                <c:pt idx="205">
                  <c:v>1.4631160291587952</c:v>
                </c:pt>
                <c:pt idx="206">
                  <c:v>1.5002970461159615</c:v>
                </c:pt>
                <c:pt idx="207">
                  <c:v>1.5387436425279066</c:v>
                </c:pt>
                <c:pt idx="208">
                  <c:v>1.5784747127519982</c:v>
                </c:pt>
                <c:pt idx="209">
                  <c:v>1.6195090754661856</c:v>
                </c:pt>
                <c:pt idx="210">
                  <c:v>1.6618650004462387</c:v>
                </c:pt>
                <c:pt idx="211">
                  <c:v>1.7055625604620261</c:v>
                </c:pt>
                <c:pt idx="212">
                  <c:v>1.7506193907387724</c:v>
                </c:pt>
                <c:pt idx="213">
                  <c:v>1.797053983271546</c:v>
                </c:pt>
                <c:pt idx="214">
                  <c:v>1.844885212307279</c:v>
                </c:pt>
                <c:pt idx="215">
                  <c:v>1.8941313910736945</c:v>
                </c:pt>
                <c:pt idx="216">
                  <c:v>1.9448107399035575</c:v>
                </c:pt>
                <c:pt idx="217">
                  <c:v>1.9969418530512262</c:v>
                </c:pt>
                <c:pt idx="218">
                  <c:v>2.0505422874628976</c:v>
                </c:pt>
                <c:pt idx="219">
                  <c:v>2.1056299692340019</c:v>
                </c:pt>
                <c:pt idx="220">
                  <c:v>2.1622231897808208</c:v>
                </c:pt>
                <c:pt idx="221">
                  <c:v>2.2203396650737339</c:v>
                </c:pt>
                <c:pt idx="222">
                  <c:v>2.2799965341750883</c:v>
                </c:pt>
                <c:pt idx="223">
                  <c:v>2.3412122293559712</c:v>
                </c:pt>
                <c:pt idx="224">
                  <c:v>2.403992908881647</c:v>
                </c:pt>
                <c:pt idx="225">
                  <c:v>2.4679301299760925</c:v>
                </c:pt>
                <c:pt idx="226">
                  <c:v>2.5328078606679183</c:v>
                </c:pt>
                <c:pt idx="227">
                  <c:v>2.5986261980546099</c:v>
                </c:pt>
                <c:pt idx="228">
                  <c:v>2.6653838101555527</c:v>
                </c:pt>
                <c:pt idx="229">
                  <c:v>2.7330793387448038</c:v>
                </c:pt>
                <c:pt idx="230">
                  <c:v>2.8017118652384543</c:v>
                </c:pt>
                <c:pt idx="231">
                  <c:v>2.8712809092012126</c:v>
                </c:pt>
                <c:pt idx="232">
                  <c:v>2.9417850310820559</c:v>
                </c:pt>
                <c:pt idx="233">
                  <c:v>3.013223230077855</c:v>
                </c:pt>
                <c:pt idx="234">
                  <c:v>3.0855944779776934</c:v>
                </c:pt>
                <c:pt idx="235">
                  <c:v>3.1588977191618017</c:v>
                </c:pt>
                <c:pt idx="236">
                  <c:v>3.2331318706017909</c:v>
                </c:pt>
                <c:pt idx="237">
                  <c:v>3.3082953582359353</c:v>
                </c:pt>
                <c:pt idx="238">
                  <c:v>3.3843875085211361</c:v>
                </c:pt>
                <c:pt idx="239">
                  <c:v>3.4614071562308779</c:v>
                </c:pt>
                <c:pt idx="240">
                  <c:v>3.5393521835224373</c:v>
                </c:pt>
                <c:pt idx="241">
                  <c:v>3.6182222969966871</c:v>
                </c:pt>
                <c:pt idx="242">
                  <c:v>3.6980153254630221</c:v>
                </c:pt>
                <c:pt idx="243">
                  <c:v>3.7787309194342145</c:v>
                </c:pt>
                <c:pt idx="244">
                  <c:v>3.8603668544413106</c:v>
                </c:pt>
                <c:pt idx="245">
                  <c:v>3.9429222640813943</c:v>
                </c:pt>
                <c:pt idx="246">
                  <c:v>4.0263953322577928</c:v>
                </c:pt>
                <c:pt idx="247">
                  <c:v>4.1107851372580662</c:v>
                </c:pt>
                <c:pt idx="248">
                  <c:v>4.196089809166037</c:v>
                </c:pt>
                <c:pt idx="249">
                  <c:v>4.2823079116624196</c:v>
                </c:pt>
                <c:pt idx="250">
                  <c:v>4.3694379812056816</c:v>
                </c:pt>
                <c:pt idx="251">
                  <c:v>4.4574785270515065</c:v>
                </c:pt>
                <c:pt idx="252">
                  <c:v>4.5464280312739742</c:v>
                </c:pt>
                <c:pt idx="253">
                  <c:v>4.6362849487865958</c:v>
                </c:pt>
                <c:pt idx="254">
                  <c:v>4.7270472499790994</c:v>
                </c:pt>
                <c:pt idx="255">
                  <c:v>4.818713336726244</c:v>
                </c:pt>
                <c:pt idx="256">
                  <c:v>4.9112820404155872</c:v>
                </c:pt>
                <c:pt idx="257">
                  <c:v>5.0047512514243113</c:v>
                </c:pt>
                <c:pt idx="258">
                  <c:v>5.099118834760052</c:v>
                </c:pt>
                <c:pt idx="259">
                  <c:v>5.1943839961193783</c:v>
                </c:pt>
                <c:pt idx="260">
                  <c:v>5.2905445461699401</c:v>
                </c:pt>
                <c:pt idx="261">
                  <c:v>5.3875982703493586</c:v>
                </c:pt>
                <c:pt idx="262">
                  <c:v>5.4855438370356557</c:v>
                </c:pt>
                <c:pt idx="263">
                  <c:v>5.5843789788175506</c:v>
                </c:pt>
                <c:pt idx="264">
                  <c:v>5.6841018564032897</c:v>
                </c:pt>
                <c:pt idx="265">
                  <c:v>5.7847110564823279</c:v>
                </c:pt>
                <c:pt idx="266">
                  <c:v>5.8862037803952161</c:v>
                </c:pt>
                <c:pt idx="267">
                  <c:v>5.9885790137251256</c:v>
                </c:pt>
                <c:pt idx="268">
                  <c:v>6.0918339063001481</c:v>
                </c:pt>
                <c:pt idx="269">
                  <c:v>6.1959669377642417</c:v>
                </c:pt>
                <c:pt idx="270">
                  <c:v>6.3009761089340426</c:v>
                </c:pt>
                <c:pt idx="271">
                  <c:v>6.4068589441398371</c:v>
                </c:pt>
                <c:pt idx="272">
                  <c:v>6.5136133926599449</c:v>
                </c:pt>
                <c:pt idx="273">
                  <c:v>6.6212378264363441</c:v>
                </c:pt>
                <c:pt idx="274">
                  <c:v>6.7297292434682969</c:v>
                </c:pt>
                <c:pt idx="275">
                  <c:v>6.8390864116425698</c:v>
                </c:pt>
                <c:pt idx="276">
                  <c:v>6.9493062783597903</c:v>
                </c:pt>
                <c:pt idx="277">
                  <c:v>7.0603871100629156</c:v>
                </c:pt>
                <c:pt idx="278">
                  <c:v>7.1723266985061818</c:v>
                </c:pt>
                <c:pt idx="279">
                  <c:v>7.2851223632591555</c:v>
                </c:pt>
                <c:pt idx="280">
                  <c:v>7.3987718455016065</c:v>
                </c:pt>
                <c:pt idx="281">
                  <c:v>7.5132733055939038</c:v>
                </c:pt>
                <c:pt idx="282">
                  <c:v>7.6286235421855757</c:v>
                </c:pt>
                <c:pt idx="283">
                  <c:v>7.7448211085504699</c:v>
                </c:pt>
                <c:pt idx="284">
                  <c:v>7.8618627538157853</c:v>
                </c:pt>
                <c:pt idx="285">
                  <c:v>7.9797465347196894</c:v>
                </c:pt>
                <c:pt idx="286">
                  <c:v>8.0984700377783607</c:v>
                </c:pt>
                <c:pt idx="287">
                  <c:v>8.2180303819530351</c:v>
                </c:pt>
                <c:pt idx="288">
                  <c:v>8.3384251043126518</c:v>
                </c:pt>
                <c:pt idx="289">
                  <c:v>8.4596521574625498</c:v>
                </c:pt>
                <c:pt idx="290">
                  <c:v>8.5817085857362478</c:v>
                </c:pt>
                <c:pt idx="291">
                  <c:v>8.7045918502111519</c:v>
                </c:pt>
                <c:pt idx="292">
                  <c:v>8.8282989474755986</c:v>
                </c:pt>
                <c:pt idx="293">
                  <c:v>8.9528277287178391</c:v>
                </c:pt>
                <c:pt idx="294">
                  <c:v>9.0781755796961789</c:v>
                </c:pt>
                <c:pt idx="295">
                  <c:v>9.2043398612088758</c:v>
                </c:pt>
                <c:pt idx="296">
                  <c:v>9.3313170350054264</c:v>
                </c:pt>
                <c:pt idx="297">
                  <c:v>9.459105288622883</c:v>
                </c:pt>
                <c:pt idx="298">
                  <c:v>9.5877014725209602</c:v>
                </c:pt>
                <c:pt idx="299">
                  <c:v>9.7171028501823802</c:v>
                </c:pt>
                <c:pt idx="300">
                  <c:v>9.8473066605509363</c:v>
                </c:pt>
                <c:pt idx="301">
                  <c:v>9.9783900151749094</c:v>
                </c:pt>
                <c:pt idx="302">
                  <c:v>10.111151578364129</c:v>
                </c:pt>
                <c:pt idx="303">
                  <c:v>10.245763757678873</c:v>
                </c:pt>
                <c:pt idx="304">
                  <c:v>10.382183384313437</c:v>
                </c:pt>
                <c:pt idx="305">
                  <c:v>10.520366950437621</c:v>
                </c:pt>
                <c:pt idx="306">
                  <c:v>10.660271050678748</c:v>
                </c:pt>
                <c:pt idx="307">
                  <c:v>10.801852389205358</c:v>
                </c:pt>
                <c:pt idx="308">
                  <c:v>10.945068216586762</c:v>
                </c:pt>
                <c:pt idx="309">
                  <c:v>11.089875474713606</c:v>
                </c:pt>
                <c:pt idx="310">
                  <c:v>11.236231663849505</c:v>
                </c:pt>
                <c:pt idx="311">
                  <c:v>11.384093561740926</c:v>
                </c:pt>
                <c:pt idx="312">
                  <c:v>11.533418945753493</c:v>
                </c:pt>
                <c:pt idx="313">
                  <c:v>11.684165738960338</c:v>
                </c:pt>
                <c:pt idx="314">
                  <c:v>11.836291163954705</c:v>
                </c:pt>
                <c:pt idx="315">
                  <c:v>11.989753456578301</c:v>
                </c:pt>
                <c:pt idx="316">
                  <c:v>12.144510590753367</c:v>
                </c:pt>
                <c:pt idx="317">
                  <c:v>12.300521135135355</c:v>
                </c:pt>
                <c:pt idx="318">
                  <c:v>12.457742985081833</c:v>
                </c:pt>
                <c:pt idx="319">
                  <c:v>12.616135487373715</c:v>
                </c:pt>
                <c:pt idx="320">
                  <c:v>12.775656481649477</c:v>
                </c:pt>
                <c:pt idx="321">
                  <c:v>12.936266109374506</c:v>
                </c:pt>
                <c:pt idx="322">
                  <c:v>13.097923016854352</c:v>
                </c:pt>
                <c:pt idx="323">
                  <c:v>13.260586052633649</c:v>
                </c:pt>
                <c:pt idx="324">
                  <c:v>13.424215947584006</c:v>
                </c:pt>
                <c:pt idx="325">
                  <c:v>13.588771540283718</c:v>
                </c:pt>
                <c:pt idx="326">
                  <c:v>13.754213556594397</c:v>
                </c:pt>
                <c:pt idx="327">
                  <c:v>13.920501681363584</c:v>
                </c:pt>
                <c:pt idx="328">
                  <c:v>14.087596237088961</c:v>
                </c:pt>
                <c:pt idx="329">
                  <c:v>14.255458598885228</c:v>
                </c:pt>
                <c:pt idx="330">
                  <c:v>14.424049117594496</c:v>
                </c:pt>
                <c:pt idx="331">
                  <c:v>14.593329202928418</c:v>
                </c:pt>
                <c:pt idx="332">
                  <c:v>14.763260079804075</c:v>
                </c:pt>
                <c:pt idx="333">
                  <c:v>14.933803619377372</c:v>
                </c:pt>
                <c:pt idx="334">
                  <c:v>15.104920691836977</c:v>
                </c:pt>
                <c:pt idx="335">
                  <c:v>15.276574466168945</c:v>
                </c:pt>
                <c:pt idx="336">
                  <c:v>15.448726703614701</c:v>
                </c:pt>
                <c:pt idx="337">
                  <c:v>15.621340230324732</c:v>
                </c:pt>
                <c:pt idx="338">
                  <c:v>15.794377297935636</c:v>
                </c:pt>
                <c:pt idx="339">
                  <c:v>15.967801223769239</c:v>
                </c:pt>
                <c:pt idx="340">
                  <c:v>16.141575571035858</c:v>
                </c:pt>
                <c:pt idx="341">
                  <c:v>16.315663338137242</c:v>
                </c:pt>
                <c:pt idx="342">
                  <c:v>16.490028994530061</c:v>
                </c:pt>
                <c:pt idx="343">
                  <c:v>16.664636042962865</c:v>
                </c:pt>
                <c:pt idx="344">
                  <c:v>16.839448647400289</c:v>
                </c:pt>
                <c:pt idx="345">
                  <c:v>17.014431630126559</c:v>
                </c:pt>
                <c:pt idx="346">
                  <c:v>17.189550066469085</c:v>
                </c:pt>
                <c:pt idx="347">
                  <c:v>17.364768482609129</c:v>
                </c:pt>
                <c:pt idx="348">
                  <c:v>17.540052466633703</c:v>
                </c:pt>
                <c:pt idx="349">
                  <c:v>17.715367461515651</c:v>
                </c:pt>
                <c:pt idx="350">
                  <c:v>17.890679168436442</c:v>
                </c:pt>
                <c:pt idx="351">
                  <c:v>18.065953945294321</c:v>
                </c:pt>
                <c:pt idx="352">
                  <c:v>18.241158007766465</c:v>
                </c:pt>
                <c:pt idx="353">
                  <c:v>18.416257829904648</c:v>
                </c:pt>
                <c:pt idx="354">
                  <c:v>18.591220539919384</c:v>
                </c:pt>
                <c:pt idx="355">
                  <c:v>18.766013125551851</c:v>
                </c:pt>
                <c:pt idx="356">
                  <c:v>18.940603226378482</c:v>
                </c:pt>
                <c:pt idx="357">
                  <c:v>19.11495755476458</c:v>
                </c:pt>
                <c:pt idx="358">
                  <c:v>19.289045049803821</c:v>
                </c:pt>
                <c:pt idx="359">
                  <c:v>19.4628329361494</c:v>
                </c:pt>
                <c:pt idx="360">
                  <c:v>19.636290655692868</c:v>
                </c:pt>
                <c:pt idx="361">
                  <c:v>19.809385551148861</c:v>
                </c:pt>
                <c:pt idx="362">
                  <c:v>19.982087565408513</c:v>
                </c:pt>
                <c:pt idx="363">
                  <c:v>20.154365327064173</c:v>
                </c:pt>
                <c:pt idx="364">
                  <c:v>20.326188493879883</c:v>
                </c:pt>
                <c:pt idx="365">
                  <c:v>20.497526581205939</c:v>
                </c:pt>
                <c:pt idx="366">
                  <c:v>20.66834935093409</c:v>
                </c:pt>
                <c:pt idx="367">
                  <c:v>20.838626809796946</c:v>
                </c:pt>
                <c:pt idx="368">
                  <c:v>21.008329977946239</c:v>
                </c:pt>
                <c:pt idx="369">
                  <c:v>21.17742857286321</c:v>
                </c:pt>
                <c:pt idx="370">
                  <c:v>21.345894091929139</c:v>
                </c:pt>
                <c:pt idx="371">
                  <c:v>21.513697497650931</c:v>
                </c:pt>
                <c:pt idx="372">
                  <c:v>21.680809605162988</c:v>
                </c:pt>
                <c:pt idx="373">
                  <c:v>21.847202609401407</c:v>
                </c:pt>
                <c:pt idx="374">
                  <c:v>22.01284816804414</c:v>
                </c:pt>
                <c:pt idx="375">
                  <c:v>22.177717786409634</c:v>
                </c:pt>
                <c:pt idx="376">
                  <c:v>22.341784335438973</c:v>
                </c:pt>
                <c:pt idx="377">
                  <c:v>22.505020145518206</c:v>
                </c:pt>
                <c:pt idx="378">
                  <c:v>22.667397388804901</c:v>
                </c:pt>
                <c:pt idx="379">
                  <c:v>22.828889211104897</c:v>
                </c:pt>
                <c:pt idx="380">
                  <c:v>22.989468969018002</c:v>
                </c:pt>
                <c:pt idx="381">
                  <c:v>23.149109851306505</c:v>
                </c:pt>
                <c:pt idx="382">
                  <c:v>23.307784879346517</c:v>
                </c:pt>
                <c:pt idx="383">
                  <c:v>23.465468404207257</c:v>
                </c:pt>
                <c:pt idx="384">
                  <c:v>23.622134225294023</c:v>
                </c:pt>
                <c:pt idx="385">
                  <c:v>23.777755966805593</c:v>
                </c:pt>
                <c:pt idx="386">
                  <c:v>23.93230856612093</c:v>
                </c:pt>
                <c:pt idx="387">
                  <c:v>24.085766402791197</c:v>
                </c:pt>
                <c:pt idx="388">
                  <c:v>24.238103672548881</c:v>
                </c:pt>
                <c:pt idx="389">
                  <c:v>24.389295497123776</c:v>
                </c:pt>
                <c:pt idx="390">
                  <c:v>24.539317174891728</c:v>
                </c:pt>
                <c:pt idx="391">
                  <c:v>24.688143808322994</c:v>
                </c:pt>
                <c:pt idx="392">
                  <c:v>24.835750303379168</c:v>
                </c:pt>
                <c:pt idx="393">
                  <c:v>24.982112838318404</c:v>
                </c:pt>
                <c:pt idx="394">
                  <c:v>25.127207016042995</c:v>
                </c:pt>
                <c:pt idx="395">
                  <c:v>25.271008598658639</c:v>
                </c:pt>
                <c:pt idx="396">
                  <c:v>25.413493503199923</c:v>
                </c:pt>
                <c:pt idx="397">
                  <c:v>25.554637797279646</c:v>
                </c:pt>
                <c:pt idx="398">
                  <c:v>25.694418423050212</c:v>
                </c:pt>
                <c:pt idx="399">
                  <c:v>25.832811005061739</c:v>
                </c:pt>
                <c:pt idx="400">
                  <c:v>25.969792761768275</c:v>
                </c:pt>
                <c:pt idx="401">
                  <c:v>26.105340314497759</c:v>
                </c:pt>
                <c:pt idx="402">
                  <c:v>26.239430412377285</c:v>
                </c:pt>
                <c:pt idx="403">
                  <c:v>26.372039927545877</c:v>
                </c:pt>
                <c:pt idx="404">
                  <c:v>26.503146210852503</c:v>
                </c:pt>
                <c:pt idx="405">
                  <c:v>26.632726364062087</c:v>
                </c:pt>
                <c:pt idx="406">
                  <c:v>26.760757597200445</c:v>
                </c:pt>
                <c:pt idx="407">
                  <c:v>26.887217582312196</c:v>
                </c:pt>
                <c:pt idx="408">
                  <c:v>27.01208337070473</c:v>
                </c:pt>
                <c:pt idx="409">
                  <c:v>27.13533318192065</c:v>
                </c:pt>
                <c:pt idx="410">
                  <c:v>27.256944247174829</c:v>
                </c:pt>
                <c:pt idx="411">
                  <c:v>27.376894595378143</c:v>
                </c:pt>
                <c:pt idx="412">
                  <c:v>27.495161974034566</c:v>
                </c:pt>
                <c:pt idx="413">
                  <c:v>27.61172455758437</c:v>
                </c:pt>
                <c:pt idx="414">
                  <c:v>27.726559874099653</c:v>
                </c:pt>
                <c:pt idx="415">
                  <c:v>27.839646222991288</c:v>
                </c:pt>
                <c:pt idx="416">
                  <c:v>27.950961956129394</c:v>
                </c:pt>
                <c:pt idx="417">
                  <c:v>28.060484765050596</c:v>
                </c:pt>
                <c:pt idx="418">
                  <c:v>28.168193092296502</c:v>
                </c:pt>
                <c:pt idx="419">
                  <c:v>28.274065062885946</c:v>
                </c:pt>
                <c:pt idx="420">
                  <c:v>28.378079184986159</c:v>
                </c:pt>
                <c:pt idx="421">
                  <c:v>28.480213286578191</c:v>
                </c:pt>
                <c:pt idx="422">
                  <c:v>28.580446269950109</c:v>
                </c:pt>
                <c:pt idx="423">
                  <c:v>28.678755643423425</c:v>
                </c:pt>
                <c:pt idx="424">
                  <c:v>28.775120676879652</c:v>
                </c:pt>
                <c:pt idx="425">
                  <c:v>28.869519235472772</c:v>
                </c:pt>
                <c:pt idx="426">
                  <c:v>28.961929529223042</c:v>
                </c:pt>
                <c:pt idx="427">
                  <c:v>29.05232975530533</c:v>
                </c:pt>
                <c:pt idx="428">
                  <c:v>29.140698440143765</c:v>
                </c:pt>
                <c:pt idx="429">
                  <c:v>29.227041597364167</c:v>
                </c:pt>
                <c:pt idx="430">
                  <c:v>29.31168481364378</c:v>
                </c:pt>
                <c:pt idx="431">
                  <c:v>29.39474154424444</c:v>
                </c:pt>
                <c:pt idx="432">
                  <c:v>29.476227818006873</c:v>
                </c:pt>
                <c:pt idx="433">
                  <c:v>29.556160561753487</c:v>
                </c:pt>
                <c:pt idx="434">
                  <c:v>29.634555172496135</c:v>
                </c:pt>
                <c:pt idx="435">
                  <c:v>29.711428296036736</c:v>
                </c:pt>
                <c:pt idx="436">
                  <c:v>29.786795056582694</c:v>
                </c:pt>
                <c:pt idx="437">
                  <c:v>29.86067182961154</c:v>
                </c:pt>
                <c:pt idx="438">
                  <c:v>29.933073476964324</c:v>
                </c:pt>
                <c:pt idx="439">
                  <c:v>30.004016114194876</c:v>
                </c:pt>
                <c:pt idx="440">
                  <c:v>30.073514350928797</c:v>
                </c:pt>
                <c:pt idx="441">
                  <c:v>30.141584052911575</c:v>
                </c:pt>
                <c:pt idx="442">
                  <c:v>30.208239931284652</c:v>
                </c:pt>
                <c:pt idx="443">
                  <c:v>30.273496923808231</c:v>
                </c:pt>
                <c:pt idx="444">
                  <c:v>30.337369852457709</c:v>
                </c:pt>
                <c:pt idx="445">
                  <c:v>30.399873768765563</c:v>
                </c:pt>
                <c:pt idx="446">
                  <c:v>30.461022926599156</c:v>
                </c:pt>
                <c:pt idx="447">
                  <c:v>30.520831814550398</c:v>
                </c:pt>
                <c:pt idx="448">
                  <c:v>30.579314814621849</c:v>
                </c:pt>
                <c:pt idx="449">
                  <c:v>30.636486546372343</c:v>
                </c:pt>
                <c:pt idx="450">
                  <c:v>30.692361184498484</c:v>
                </c:pt>
                <c:pt idx="451">
                  <c:v>30.746952120859227</c:v>
                </c:pt>
                <c:pt idx="452">
                  <c:v>30.800274016128391</c:v>
                </c:pt>
                <c:pt idx="453">
                  <c:v>30.852340751374342</c:v>
                </c:pt>
                <c:pt idx="454">
                  <c:v>30.903165773262387</c:v>
                </c:pt>
                <c:pt idx="455">
                  <c:v>30.952763118707992</c:v>
                </c:pt>
                <c:pt idx="456">
                  <c:v>31.001146053539742</c:v>
                </c:pt>
                <c:pt idx="457">
                  <c:v>31.048328096866918</c:v>
                </c:pt>
                <c:pt idx="458">
                  <c:v>31.094323361803355</c:v>
                </c:pt>
                <c:pt idx="459">
                  <c:v>31.139144517452401</c:v>
                </c:pt>
                <c:pt idx="460">
                  <c:v>31.182805171061069</c:v>
                </c:pt>
                <c:pt idx="461">
                  <c:v>31.225318170592598</c:v>
                </c:pt>
                <c:pt idx="462">
                  <c:v>31.266696964811324</c:v>
                </c:pt>
                <c:pt idx="463">
                  <c:v>31.306954586556124</c:v>
                </c:pt>
                <c:pt idx="464">
                  <c:v>31.346103994197318</c:v>
                </c:pt>
                <c:pt idx="465">
                  <c:v>31.384157734869945</c:v>
                </c:pt>
                <c:pt idx="466">
                  <c:v>31.421129300577388</c:v>
                </c:pt>
                <c:pt idx="467">
                  <c:v>31.457030759924244</c:v>
                </c:pt>
                <c:pt idx="468">
                  <c:v>31.491875129479297</c:v>
                </c:pt>
                <c:pt idx="469">
                  <c:v>31.525675359352544</c:v>
                </c:pt>
                <c:pt idx="470">
                  <c:v>31.558443321627816</c:v>
                </c:pt>
                <c:pt idx="471">
                  <c:v>31.590191839880521</c:v>
                </c:pt>
                <c:pt idx="472">
                  <c:v>31.620933338713698</c:v>
                </c:pt>
                <c:pt idx="473">
                  <c:v>31.650680183404557</c:v>
                </c:pt>
                <c:pt idx="474">
                  <c:v>31.679444681471935</c:v>
                </c:pt>
                <c:pt idx="475">
                  <c:v>31.707239421304301</c:v>
                </c:pt>
                <c:pt idx="476">
                  <c:v>31.734075925223738</c:v>
                </c:pt>
                <c:pt idx="477">
                  <c:v>31.759967010705601</c:v>
                </c:pt>
                <c:pt idx="478">
                  <c:v>31.784924432385196</c:v>
                </c:pt>
                <c:pt idx="479">
                  <c:v>31.808960231726001</c:v>
                </c:pt>
                <c:pt idx="480">
                  <c:v>31.832086737891132</c:v>
                </c:pt>
                <c:pt idx="481">
                  <c:v>31.854315222980723</c:v>
                </c:pt>
                <c:pt idx="482">
                  <c:v>31.875658259170137</c:v>
                </c:pt>
                <c:pt idx="483">
                  <c:v>31.89612770077478</c:v>
                </c:pt>
                <c:pt idx="484">
                  <c:v>31.915735022710212</c:v>
                </c:pt>
                <c:pt idx="485">
                  <c:v>31.934491994360993</c:v>
                </c:pt>
                <c:pt idx="486">
                  <c:v>31.952410344475325</c:v>
                </c:pt>
                <c:pt idx="487">
                  <c:v>31.969502098356138</c:v>
                </c:pt>
                <c:pt idx="488">
                  <c:v>31.985778907118501</c:v>
                </c:pt>
                <c:pt idx="489">
                  <c:v>32.001252049330816</c:v>
                </c:pt>
                <c:pt idx="490">
                  <c:v>32.015933439642843</c:v>
                </c:pt>
                <c:pt idx="491">
                  <c:v>32.029834286838721</c:v>
                </c:pt>
                <c:pt idx="492">
                  <c:v>32.042966437922829</c:v>
                </c:pt>
                <c:pt idx="493">
                  <c:v>32.055341036666064</c:v>
                </c:pt>
                <c:pt idx="494">
                  <c:v>32.066969867150561</c:v>
                </c:pt>
                <c:pt idx="495">
                  <c:v>32.077864348161157</c:v>
                </c:pt>
                <c:pt idx="496">
                  <c:v>32.088035869931467</c:v>
                </c:pt>
                <c:pt idx="497">
                  <c:v>32.097495459928105</c:v>
                </c:pt>
                <c:pt idx="498">
                  <c:v>32.106254789968126</c:v>
                </c:pt>
                <c:pt idx="499">
                  <c:v>32.114325171163273</c:v>
                </c:pt>
                <c:pt idx="500">
                  <c:v>32.121717890374882</c:v>
                </c:pt>
                <c:pt idx="501">
                  <c:v>32.12844421124386</c:v>
                </c:pt>
                <c:pt idx="502">
                  <c:v>32.134515040052001</c:v>
                </c:pt>
                <c:pt idx="503">
                  <c:v>32.139942267343123</c:v>
                </c:pt>
                <c:pt idx="504">
                  <c:v>32.144736422816052</c:v>
                </c:pt>
                <c:pt idx="505">
                  <c:v>32.14890935740079</c:v>
                </c:pt>
                <c:pt idx="506">
                  <c:v>32.15247156326808</c:v>
                </c:pt>
                <c:pt idx="507">
                  <c:v>32.155434520467161</c:v>
                </c:pt>
                <c:pt idx="508">
                  <c:v>32.157809692482317</c:v>
                </c:pt>
                <c:pt idx="509">
                  <c:v>32.159607857075386</c:v>
                </c:pt>
                <c:pt idx="510">
                  <c:v>32.161042470941823</c:v>
                </c:pt>
                <c:pt idx="511">
                  <c:v>32.162446569821498</c:v>
                </c:pt>
                <c:pt idx="512">
                  <c:v>32.163824510681195</c:v>
                </c:pt>
                <c:pt idx="513">
                  <c:v>32.165176629992651</c:v>
                </c:pt>
                <c:pt idx="514">
                  <c:v>32.166502929170179</c:v>
                </c:pt>
                <c:pt idx="515">
                  <c:v>32.167804079600792</c:v>
                </c:pt>
                <c:pt idx="516">
                  <c:v>32.169080082610122</c:v>
                </c:pt>
                <c:pt idx="517">
                  <c:v>32.170331609474879</c:v>
                </c:pt>
                <c:pt idx="518">
                  <c:v>32.171558326453329</c:v>
                </c:pt>
                <c:pt idx="519">
                  <c:v>32.172760569756164</c:v>
                </c:pt>
                <c:pt idx="520">
                  <c:v>32.173939010519426</c:v>
                </c:pt>
                <c:pt idx="521">
                  <c:v>32.175093314913049</c:v>
                </c:pt>
                <c:pt idx="522">
                  <c:v>32.176224488950936</c:v>
                </c:pt>
                <c:pt idx="523">
                  <c:v>32.177332198736593</c:v>
                </c:pt>
                <c:pt idx="524">
                  <c:v>32.178416780275285</c:v>
                </c:pt>
                <c:pt idx="525">
                  <c:v>32.179478569530318</c:v>
                </c:pt>
                <c:pt idx="526">
                  <c:v>32.180517567482468</c:v>
                </c:pt>
                <c:pt idx="527">
                  <c:v>32.18153444496685</c:v>
                </c:pt>
                <c:pt idx="528">
                  <c:v>32.182529537828152</c:v>
                </c:pt>
                <c:pt idx="529">
                  <c:v>32.183502512016183</c:v>
                </c:pt>
                <c:pt idx="530">
                  <c:v>32.184454038252056</c:v>
                </c:pt>
                <c:pt idx="531">
                  <c:v>32.18538411736305</c:v>
                </c:pt>
                <c:pt idx="532">
                  <c:v>32.186293419989894</c:v>
                </c:pt>
                <c:pt idx="533">
                  <c:v>32.187181611986169</c:v>
                </c:pt>
                <c:pt idx="534">
                  <c:v>32.188049363928371</c:v>
                </c:pt>
                <c:pt idx="535">
                  <c:v>32.1888970114397</c:v>
                </c:pt>
                <c:pt idx="536">
                  <c:v>32.189724220310381</c:v>
                </c:pt>
                <c:pt idx="537">
                  <c:v>32.190531995916459</c:v>
                </c:pt>
                <c:pt idx="538">
                  <c:v>32.191320004001071</c:v>
                </c:pt>
                <c:pt idx="539">
                  <c:v>32.19208891497545</c:v>
                </c:pt>
                <c:pt idx="540">
                  <c:v>32.19283872943479</c:v>
                </c:pt>
                <c:pt idx="541">
                  <c:v>32.19356944795959</c:v>
                </c:pt>
                <c:pt idx="542">
                  <c:v>32.194281740875518</c:v>
                </c:pt>
                <c:pt idx="543">
                  <c:v>32.194975943591288</c:v>
                </c:pt>
                <c:pt idx="544">
                  <c:v>32.195652056616183</c:v>
                </c:pt>
                <c:pt idx="545">
                  <c:v>32.196310415316773</c:v>
                </c:pt>
                <c:pt idx="546">
                  <c:v>32.196951020167106</c:v>
                </c:pt>
                <c:pt idx="547">
                  <c:v>32.197574541358186</c:v>
                </c:pt>
                <c:pt idx="548">
                  <c:v>32.198180979321918</c:v>
                </c:pt>
                <c:pt idx="549">
                  <c:v>32.198770334478489</c:v>
                </c:pt>
                <c:pt idx="550">
                  <c:v>32.199343611807073</c:v>
                </c:pt>
                <c:pt idx="551">
                  <c:v>32.199900141972435</c:v>
                </c:pt>
                <c:pt idx="552">
                  <c:v>32.200440929908538</c:v>
                </c:pt>
                <c:pt idx="553">
                  <c:v>32.200965975960742</c:v>
                </c:pt>
                <c:pt idx="554">
                  <c:v>32.201475280464066</c:v>
                </c:pt>
                <c:pt idx="555">
                  <c:v>32.201969178588833</c:v>
                </c:pt>
                <c:pt idx="556">
                  <c:v>32.202448340329447</c:v>
                </c:pt>
                <c:pt idx="557">
                  <c:v>32.202912431131367</c:v>
                </c:pt>
                <c:pt idx="558">
                  <c:v>32.203362455794604</c:v>
                </c:pt>
                <c:pt idx="559">
                  <c:v>32.203797744902239</c:v>
                </c:pt>
                <c:pt idx="560">
                  <c:v>32.20421896838436</c:v>
                </c:pt>
                <c:pt idx="561">
                  <c:v>32.204626796147252</c:v>
                </c:pt>
                <c:pt idx="562">
                  <c:v>32.205020893581079</c:v>
                </c:pt>
                <c:pt idx="563">
                  <c:v>32.205401595735097</c:v>
                </c:pt>
                <c:pt idx="564">
                  <c:v>32.205769237643814</c:v>
                </c:pt>
                <c:pt idx="565">
                  <c:v>32.206124154328272</c:v>
                </c:pt>
                <c:pt idx="566">
                  <c:v>32.206466680796453</c:v>
                </c:pt>
                <c:pt idx="567">
                  <c:v>32.206796482397316</c:v>
                </c:pt>
                <c:pt idx="568">
                  <c:v>32.20711456376614</c:v>
                </c:pt>
                <c:pt idx="569">
                  <c:v>32.207420925054365</c:v>
                </c:pt>
                <c:pt idx="570">
                  <c:v>32.207715566407671</c:v>
                </c:pt>
                <c:pt idx="571">
                  <c:v>32.207999157601542</c:v>
                </c:pt>
                <c:pt idx="572">
                  <c:v>32.208271698763035</c:v>
                </c:pt>
                <c:pt idx="573">
                  <c:v>32.208533190014464</c:v>
                </c:pt>
                <c:pt idx="574">
                  <c:v>32.208784301101332</c:v>
                </c:pt>
                <c:pt idx="575">
                  <c:v>32.209025032129503</c:v>
                </c:pt>
                <c:pt idx="576">
                  <c:v>32.209255718012344</c:v>
                </c:pt>
                <c:pt idx="577">
                  <c:v>32.209476693654878</c:v>
                </c:pt>
                <c:pt idx="578">
                  <c:v>32.209688293954351</c:v>
                </c:pt>
                <c:pt idx="579">
                  <c:v>32.209890184182022</c:v>
                </c:pt>
                <c:pt idx="580">
                  <c:v>32.210083368842305</c:v>
                </c:pt>
                <c:pt idx="581">
                  <c:v>32.210267848003568</c:v>
                </c:pt>
                <c:pt idx="582">
                  <c:v>32.210443621730967</c:v>
                </c:pt>
                <c:pt idx="583">
                  <c:v>32.210611024892422</c:v>
                </c:pt>
                <c:pt idx="584">
                  <c:v>32.210770392349943</c:v>
                </c:pt>
                <c:pt idx="585">
                  <c:v>32.210922058960222</c:v>
                </c:pt>
                <c:pt idx="586">
                  <c:v>32.211066359574318</c:v>
                </c:pt>
                <c:pt idx="587">
                  <c:v>32.211202959432285</c:v>
                </c:pt>
                <c:pt idx="588">
                  <c:v>32.211332862984577</c:v>
                </c:pt>
                <c:pt idx="589">
                  <c:v>32.211455735464611</c:v>
                </c:pt>
                <c:pt idx="590">
                  <c:v>32.2115722465104</c:v>
                </c:pt>
                <c:pt idx="591">
                  <c:v>32.211682396152177</c:v>
                </c:pt>
                <c:pt idx="592">
                  <c:v>32.211786519218968</c:v>
                </c:pt>
                <c:pt idx="593">
                  <c:v>32.211884950536373</c:v>
                </c:pt>
                <c:pt idx="594">
                  <c:v>32.211977690127092</c:v>
                </c:pt>
                <c:pt idx="595">
                  <c:v>32.212065407611313</c:v>
                </c:pt>
                <c:pt idx="596">
                  <c:v>32.212147768207842</c:v>
                </c:pt>
                <c:pt idx="597">
                  <c:v>32.212225441531913</c:v>
                </c:pt>
                <c:pt idx="598">
                  <c:v>32.212298427598284</c:v>
                </c:pt>
                <c:pt idx="599">
                  <c:v>32.212367396016859</c:v>
                </c:pt>
                <c:pt idx="600">
                  <c:v>32.212432346798813</c:v>
                </c:pt>
                <c:pt idx="601">
                  <c:v>32.212493279954813</c:v>
                </c:pt>
                <c:pt idx="602">
                  <c:v>32.212550865089007</c:v>
                </c:pt>
                <c:pt idx="603">
                  <c:v>32.212605102209309</c:v>
                </c:pt>
                <c:pt idx="604">
                  <c:v>32.212655991323011</c:v>
                </c:pt>
                <c:pt idx="605">
                  <c:v>32.212704536826507</c:v>
                </c:pt>
                <c:pt idx="606">
                  <c:v>32.212750403928162</c:v>
                </c:pt>
                <c:pt idx="607">
                  <c:v>32.212793927428919</c:v>
                </c:pt>
                <c:pt idx="608">
                  <c:v>32.212835442128771</c:v>
                </c:pt>
                <c:pt idx="609">
                  <c:v>32.212875282827014</c:v>
                </c:pt>
                <c:pt idx="610">
                  <c:v>32.212913449526162</c:v>
                </c:pt>
                <c:pt idx="611">
                  <c:v>32.212950277024177</c:v>
                </c:pt>
                <c:pt idx="612">
                  <c:v>32.2129861001183</c:v>
                </c:pt>
                <c:pt idx="613">
                  <c:v>32.213020918809974</c:v>
                </c:pt>
                <c:pt idx="614">
                  <c:v>32.213055737485242</c:v>
                </c:pt>
                <c:pt idx="615">
                  <c:v>32.213089886554734</c:v>
                </c:pt>
                <c:pt idx="616">
                  <c:v>32.213124035608473</c:v>
                </c:pt>
                <c:pt idx="617">
                  <c:v>32.21315851944081</c:v>
                </c:pt>
                <c:pt idx="618">
                  <c:v>32.213193338051269</c:v>
                </c:pt>
                <c:pt idx="619">
                  <c:v>32.213228826233575</c:v>
                </c:pt>
                <c:pt idx="620">
                  <c:v>32.213265318780557</c:v>
                </c:pt>
                <c:pt idx="621">
                  <c:v>32.213302815690902</c:v>
                </c:pt>
                <c:pt idx="622">
                  <c:v>32.213340647375787</c:v>
                </c:pt>
                <c:pt idx="623">
                  <c:v>32.213378479041324</c:v>
                </c:pt>
                <c:pt idx="624">
                  <c:v>32.213416310687514</c:v>
                </c:pt>
                <c:pt idx="625">
                  <c:v>32.213454142314333</c:v>
                </c:pt>
                <c:pt idx="626">
                  <c:v>32.213491973921812</c:v>
                </c:pt>
                <c:pt idx="627">
                  <c:v>32.213529470717219</c:v>
                </c:pt>
                <c:pt idx="628">
                  <c:v>32.213567302286187</c:v>
                </c:pt>
                <c:pt idx="629">
                  <c:v>32.213605133835777</c:v>
                </c:pt>
                <c:pt idx="630">
                  <c:v>32.213642965365977</c:v>
                </c:pt>
                <c:pt idx="631">
                  <c:v>32.213680796876851</c:v>
                </c:pt>
                <c:pt idx="632">
                  <c:v>32.213718628368369</c:v>
                </c:pt>
                <c:pt idx="633">
                  <c:v>32.213756459840525</c:v>
                </c:pt>
                <c:pt idx="634">
                  <c:v>32.213793956501831</c:v>
                </c:pt>
                <c:pt idx="635">
                  <c:v>32.213831787935511</c:v>
                </c:pt>
                <c:pt idx="636">
                  <c:v>32.213869619349765</c:v>
                </c:pt>
                <c:pt idx="637">
                  <c:v>32.213907450744671</c:v>
                </c:pt>
                <c:pt idx="638">
                  <c:v>32.213945282120257</c:v>
                </c:pt>
                <c:pt idx="639">
                  <c:v>32.213983113476452</c:v>
                </c:pt>
                <c:pt idx="640">
                  <c:v>32.214020944813306</c:v>
                </c:pt>
                <c:pt idx="641">
                  <c:v>32.214058776130813</c:v>
                </c:pt>
                <c:pt idx="642">
                  <c:v>32.214096272638812</c:v>
                </c:pt>
                <c:pt idx="643">
                  <c:v>32.214134103917722</c:v>
                </c:pt>
                <c:pt idx="644">
                  <c:v>32.21417193517739</c:v>
                </c:pt>
                <c:pt idx="645">
                  <c:v>32.214209766417603</c:v>
                </c:pt>
                <c:pt idx="646">
                  <c:v>32.214247597638568</c:v>
                </c:pt>
                <c:pt idx="647">
                  <c:v>32.21428542884005</c:v>
                </c:pt>
                <c:pt idx="648">
                  <c:v>32.214323260022312</c:v>
                </c:pt>
                <c:pt idx="649">
                  <c:v>32.214361091185062</c:v>
                </c:pt>
                <c:pt idx="650">
                  <c:v>32.214398587539783</c:v>
                </c:pt>
                <c:pt idx="651">
                  <c:v>32.214436418664114</c:v>
                </c:pt>
                <c:pt idx="652">
                  <c:v>32.214474249769033</c:v>
                </c:pt>
                <c:pt idx="653">
                  <c:v>32.214512080854654</c:v>
                </c:pt>
                <c:pt idx="654">
                  <c:v>32.214549911920912</c:v>
                </c:pt>
                <c:pt idx="655">
                  <c:v>32.214587742967751</c:v>
                </c:pt>
                <c:pt idx="656">
                  <c:v>32.214625573995313</c:v>
                </c:pt>
                <c:pt idx="657">
                  <c:v>32.214663405003485</c:v>
                </c:pt>
                <c:pt idx="658">
                  <c:v>32.214700901204928</c:v>
                </c:pt>
                <c:pt idx="659">
                  <c:v>32.214738732174567</c:v>
                </c:pt>
                <c:pt idx="660">
                  <c:v>32.214776563124836</c:v>
                </c:pt>
                <c:pt idx="661">
                  <c:v>32.214814394055779</c:v>
                </c:pt>
                <c:pt idx="662">
                  <c:v>32.214852224967373</c:v>
                </c:pt>
                <c:pt idx="663">
                  <c:v>32.214890055859627</c:v>
                </c:pt>
                <c:pt idx="664">
                  <c:v>32.214927886732504</c:v>
                </c:pt>
                <c:pt idx="665">
                  <c:v>32.214965382799789</c:v>
                </c:pt>
                <c:pt idx="666">
                  <c:v>32.215003213634134</c:v>
                </c:pt>
                <c:pt idx="667">
                  <c:v>32.215041044449102</c:v>
                </c:pt>
                <c:pt idx="668">
                  <c:v>32.215078875244728</c:v>
                </c:pt>
                <c:pt idx="669">
                  <c:v>32.215116706021007</c:v>
                </c:pt>
                <c:pt idx="670">
                  <c:v>32.215154536777924</c:v>
                </c:pt>
                <c:pt idx="671">
                  <c:v>32.21519236751552</c:v>
                </c:pt>
                <c:pt idx="672">
                  <c:v>32.215230198233712</c:v>
                </c:pt>
                <c:pt idx="673">
                  <c:v>32.215267694147762</c:v>
                </c:pt>
                <c:pt idx="674">
                  <c:v>32.215305524827386</c:v>
                </c:pt>
                <c:pt idx="675">
                  <c:v>32.215343355487725</c:v>
                </c:pt>
                <c:pt idx="676">
                  <c:v>32.215381186128731</c:v>
                </c:pt>
                <c:pt idx="677">
                  <c:v>32.21541901675036</c:v>
                </c:pt>
                <c:pt idx="678">
                  <c:v>32.215456847352584</c:v>
                </c:pt>
                <c:pt idx="679">
                  <c:v>32.215494677935496</c:v>
                </c:pt>
                <c:pt idx="680">
                  <c:v>32.215532508499031</c:v>
                </c:pt>
                <c:pt idx="681">
                  <c:v>32.21557000425981</c:v>
                </c:pt>
                <c:pt idx="682">
                  <c:v>32.215607834784734</c:v>
                </c:pt>
                <c:pt idx="683">
                  <c:v>32.215645665290495</c:v>
                </c:pt>
                <c:pt idx="684">
                  <c:v>32.21568349577668</c:v>
                </c:pt>
                <c:pt idx="685">
                  <c:v>32.215721326243731</c:v>
                </c:pt>
                <c:pt idx="686">
                  <c:v>32.215759156691263</c:v>
                </c:pt>
                <c:pt idx="687">
                  <c:v>32.215796987119582</c:v>
                </c:pt>
                <c:pt idx="688">
                  <c:v>32.215834482746153</c:v>
                </c:pt>
                <c:pt idx="689">
                  <c:v>32.21587231313584</c:v>
                </c:pt>
                <c:pt idx="690">
                  <c:v>32.215910143506221</c:v>
                </c:pt>
                <c:pt idx="691">
                  <c:v>32.215947973857197</c:v>
                </c:pt>
                <c:pt idx="692">
                  <c:v>32.215985804188882</c:v>
                </c:pt>
                <c:pt idx="693">
                  <c:v>32.216023634501148</c:v>
                </c:pt>
                <c:pt idx="694">
                  <c:v>32.216061464794123</c:v>
                </c:pt>
                <c:pt idx="695">
                  <c:v>32.2160992950677</c:v>
                </c:pt>
                <c:pt idx="696">
                  <c:v>32.216136790541015</c:v>
                </c:pt>
                <c:pt idx="697">
                  <c:v>32.216174620776108</c:v>
                </c:pt>
                <c:pt idx="698">
                  <c:v>32.216212450991797</c:v>
                </c:pt>
                <c:pt idx="699">
                  <c:v>32.216250281188117</c:v>
                </c:pt>
                <c:pt idx="700">
                  <c:v>32.216288111365131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'Seasoning Ramp'!$N$1:$N$2</c:f>
              <c:strCache>
                <c:ptCount val="1"/>
                <c:pt idx="0">
                  <c:v>CPR %Refi 70</c:v>
                </c:pt>
              </c:strCache>
            </c:strRef>
          </c:tx>
          <c:marker>
            <c:symbol val="none"/>
          </c:marker>
          <c:cat>
            <c:numRef>
              <c:f>'Seasoning Ramp'!$I$3:$I$703</c:f>
              <c:numCache>
                <c:formatCode>General</c:formatCode>
                <c:ptCount val="701"/>
                <c:pt idx="0">
                  <c:v>-250</c:v>
                </c:pt>
                <c:pt idx="1">
                  <c:v>-249</c:v>
                </c:pt>
                <c:pt idx="2">
                  <c:v>-248</c:v>
                </c:pt>
                <c:pt idx="3">
                  <c:v>-247</c:v>
                </c:pt>
                <c:pt idx="4">
                  <c:v>-246</c:v>
                </c:pt>
                <c:pt idx="5">
                  <c:v>-245</c:v>
                </c:pt>
                <c:pt idx="6">
                  <c:v>-244</c:v>
                </c:pt>
                <c:pt idx="7">
                  <c:v>-243</c:v>
                </c:pt>
                <c:pt idx="8">
                  <c:v>-242</c:v>
                </c:pt>
                <c:pt idx="9">
                  <c:v>-241</c:v>
                </c:pt>
                <c:pt idx="10">
                  <c:v>-240</c:v>
                </c:pt>
                <c:pt idx="11">
                  <c:v>-239</c:v>
                </c:pt>
                <c:pt idx="12">
                  <c:v>-238</c:v>
                </c:pt>
                <c:pt idx="13">
                  <c:v>-237</c:v>
                </c:pt>
                <c:pt idx="14">
                  <c:v>-236</c:v>
                </c:pt>
                <c:pt idx="15">
                  <c:v>-235</c:v>
                </c:pt>
                <c:pt idx="16">
                  <c:v>-234</c:v>
                </c:pt>
                <c:pt idx="17">
                  <c:v>-233</c:v>
                </c:pt>
                <c:pt idx="18">
                  <c:v>-232</c:v>
                </c:pt>
                <c:pt idx="19">
                  <c:v>-231</c:v>
                </c:pt>
                <c:pt idx="20">
                  <c:v>-230</c:v>
                </c:pt>
                <c:pt idx="21">
                  <c:v>-229</c:v>
                </c:pt>
                <c:pt idx="22">
                  <c:v>-228</c:v>
                </c:pt>
                <c:pt idx="23">
                  <c:v>-227</c:v>
                </c:pt>
                <c:pt idx="24">
                  <c:v>-226</c:v>
                </c:pt>
                <c:pt idx="25">
                  <c:v>-225</c:v>
                </c:pt>
                <c:pt idx="26">
                  <c:v>-224</c:v>
                </c:pt>
                <c:pt idx="27">
                  <c:v>-223</c:v>
                </c:pt>
                <c:pt idx="28">
                  <c:v>-222</c:v>
                </c:pt>
                <c:pt idx="29">
                  <c:v>-221</c:v>
                </c:pt>
                <c:pt idx="30">
                  <c:v>-220</c:v>
                </c:pt>
                <c:pt idx="31">
                  <c:v>-219</c:v>
                </c:pt>
                <c:pt idx="32">
                  <c:v>-218</c:v>
                </c:pt>
                <c:pt idx="33">
                  <c:v>-217</c:v>
                </c:pt>
                <c:pt idx="34">
                  <c:v>-216</c:v>
                </c:pt>
                <c:pt idx="35">
                  <c:v>-215</c:v>
                </c:pt>
                <c:pt idx="36">
                  <c:v>-214</c:v>
                </c:pt>
                <c:pt idx="37">
                  <c:v>-213</c:v>
                </c:pt>
                <c:pt idx="38">
                  <c:v>-212</c:v>
                </c:pt>
                <c:pt idx="39">
                  <c:v>-211</c:v>
                </c:pt>
                <c:pt idx="40">
                  <c:v>-210</c:v>
                </c:pt>
                <c:pt idx="41">
                  <c:v>-209</c:v>
                </c:pt>
                <c:pt idx="42">
                  <c:v>-208</c:v>
                </c:pt>
                <c:pt idx="43">
                  <c:v>-207</c:v>
                </c:pt>
                <c:pt idx="44">
                  <c:v>-206</c:v>
                </c:pt>
                <c:pt idx="45">
                  <c:v>-205</c:v>
                </c:pt>
                <c:pt idx="46">
                  <c:v>-204</c:v>
                </c:pt>
                <c:pt idx="47">
                  <c:v>-203</c:v>
                </c:pt>
                <c:pt idx="48">
                  <c:v>-202</c:v>
                </c:pt>
                <c:pt idx="49">
                  <c:v>-201</c:v>
                </c:pt>
                <c:pt idx="50">
                  <c:v>-200</c:v>
                </c:pt>
                <c:pt idx="51">
                  <c:v>-199</c:v>
                </c:pt>
                <c:pt idx="52">
                  <c:v>-198</c:v>
                </c:pt>
                <c:pt idx="53">
                  <c:v>-197</c:v>
                </c:pt>
                <c:pt idx="54">
                  <c:v>-196</c:v>
                </c:pt>
                <c:pt idx="55">
                  <c:v>-195</c:v>
                </c:pt>
                <c:pt idx="56">
                  <c:v>-194</c:v>
                </c:pt>
                <c:pt idx="57">
                  <c:v>-193</c:v>
                </c:pt>
                <c:pt idx="58">
                  <c:v>-192</c:v>
                </c:pt>
                <c:pt idx="59">
                  <c:v>-191</c:v>
                </c:pt>
                <c:pt idx="60">
                  <c:v>-190</c:v>
                </c:pt>
                <c:pt idx="61">
                  <c:v>-189</c:v>
                </c:pt>
                <c:pt idx="62">
                  <c:v>-188</c:v>
                </c:pt>
                <c:pt idx="63">
                  <c:v>-187</c:v>
                </c:pt>
                <c:pt idx="64">
                  <c:v>-186</c:v>
                </c:pt>
                <c:pt idx="65">
                  <c:v>-185</c:v>
                </c:pt>
                <c:pt idx="66">
                  <c:v>-184</c:v>
                </c:pt>
                <c:pt idx="67">
                  <c:v>-183</c:v>
                </c:pt>
                <c:pt idx="68">
                  <c:v>-182</c:v>
                </c:pt>
                <c:pt idx="69">
                  <c:v>-181</c:v>
                </c:pt>
                <c:pt idx="70">
                  <c:v>-180</c:v>
                </c:pt>
                <c:pt idx="71">
                  <c:v>-179</c:v>
                </c:pt>
                <c:pt idx="72">
                  <c:v>-178</c:v>
                </c:pt>
                <c:pt idx="73">
                  <c:v>-177</c:v>
                </c:pt>
                <c:pt idx="74">
                  <c:v>-176</c:v>
                </c:pt>
                <c:pt idx="75">
                  <c:v>-175</c:v>
                </c:pt>
                <c:pt idx="76">
                  <c:v>-174</c:v>
                </c:pt>
                <c:pt idx="77">
                  <c:v>-173</c:v>
                </c:pt>
                <c:pt idx="78">
                  <c:v>-172</c:v>
                </c:pt>
                <c:pt idx="79">
                  <c:v>-171</c:v>
                </c:pt>
                <c:pt idx="80">
                  <c:v>-170</c:v>
                </c:pt>
                <c:pt idx="81">
                  <c:v>-169</c:v>
                </c:pt>
                <c:pt idx="82">
                  <c:v>-168</c:v>
                </c:pt>
                <c:pt idx="83">
                  <c:v>-167</c:v>
                </c:pt>
                <c:pt idx="84">
                  <c:v>-166</c:v>
                </c:pt>
                <c:pt idx="85">
                  <c:v>-165</c:v>
                </c:pt>
                <c:pt idx="86">
                  <c:v>-164</c:v>
                </c:pt>
                <c:pt idx="87">
                  <c:v>-163</c:v>
                </c:pt>
                <c:pt idx="88">
                  <c:v>-162</c:v>
                </c:pt>
                <c:pt idx="89">
                  <c:v>-161</c:v>
                </c:pt>
                <c:pt idx="90">
                  <c:v>-160</c:v>
                </c:pt>
                <c:pt idx="91">
                  <c:v>-159</c:v>
                </c:pt>
                <c:pt idx="92">
                  <c:v>-158</c:v>
                </c:pt>
                <c:pt idx="93">
                  <c:v>-157</c:v>
                </c:pt>
                <c:pt idx="94">
                  <c:v>-156</c:v>
                </c:pt>
                <c:pt idx="95">
                  <c:v>-155</c:v>
                </c:pt>
                <c:pt idx="96">
                  <c:v>-154</c:v>
                </c:pt>
                <c:pt idx="97">
                  <c:v>-153</c:v>
                </c:pt>
                <c:pt idx="98">
                  <c:v>-152</c:v>
                </c:pt>
                <c:pt idx="99">
                  <c:v>-151</c:v>
                </c:pt>
                <c:pt idx="100">
                  <c:v>-150</c:v>
                </c:pt>
                <c:pt idx="101">
                  <c:v>-149</c:v>
                </c:pt>
                <c:pt idx="102">
                  <c:v>-148</c:v>
                </c:pt>
                <c:pt idx="103">
                  <c:v>-147</c:v>
                </c:pt>
                <c:pt idx="104">
                  <c:v>-146</c:v>
                </c:pt>
                <c:pt idx="105">
                  <c:v>-145</c:v>
                </c:pt>
                <c:pt idx="106">
                  <c:v>-144</c:v>
                </c:pt>
                <c:pt idx="107">
                  <c:v>-143</c:v>
                </c:pt>
                <c:pt idx="108">
                  <c:v>-142</c:v>
                </c:pt>
                <c:pt idx="109">
                  <c:v>-141</c:v>
                </c:pt>
                <c:pt idx="110">
                  <c:v>-140</c:v>
                </c:pt>
                <c:pt idx="111">
                  <c:v>-139</c:v>
                </c:pt>
                <c:pt idx="112">
                  <c:v>-138</c:v>
                </c:pt>
                <c:pt idx="113">
                  <c:v>-137</c:v>
                </c:pt>
                <c:pt idx="114">
                  <c:v>-136</c:v>
                </c:pt>
                <c:pt idx="115">
                  <c:v>-135</c:v>
                </c:pt>
                <c:pt idx="116">
                  <c:v>-134</c:v>
                </c:pt>
                <c:pt idx="117">
                  <c:v>-133</c:v>
                </c:pt>
                <c:pt idx="118">
                  <c:v>-132</c:v>
                </c:pt>
                <c:pt idx="119">
                  <c:v>-131</c:v>
                </c:pt>
                <c:pt idx="120">
                  <c:v>-130</c:v>
                </c:pt>
                <c:pt idx="121">
                  <c:v>-129</c:v>
                </c:pt>
                <c:pt idx="122">
                  <c:v>-128</c:v>
                </c:pt>
                <c:pt idx="123">
                  <c:v>-127</c:v>
                </c:pt>
                <c:pt idx="124">
                  <c:v>-126</c:v>
                </c:pt>
                <c:pt idx="125">
                  <c:v>-125</c:v>
                </c:pt>
                <c:pt idx="126">
                  <c:v>-124</c:v>
                </c:pt>
                <c:pt idx="127">
                  <c:v>-123</c:v>
                </c:pt>
                <c:pt idx="128">
                  <c:v>-122</c:v>
                </c:pt>
                <c:pt idx="129">
                  <c:v>-121</c:v>
                </c:pt>
                <c:pt idx="130">
                  <c:v>-120</c:v>
                </c:pt>
                <c:pt idx="131">
                  <c:v>-119</c:v>
                </c:pt>
                <c:pt idx="132">
                  <c:v>-118</c:v>
                </c:pt>
                <c:pt idx="133">
                  <c:v>-117</c:v>
                </c:pt>
                <c:pt idx="134">
                  <c:v>-116</c:v>
                </c:pt>
                <c:pt idx="135">
                  <c:v>-115</c:v>
                </c:pt>
                <c:pt idx="136">
                  <c:v>-114</c:v>
                </c:pt>
                <c:pt idx="137">
                  <c:v>-113</c:v>
                </c:pt>
                <c:pt idx="138">
                  <c:v>-112</c:v>
                </c:pt>
                <c:pt idx="139">
                  <c:v>-111</c:v>
                </c:pt>
                <c:pt idx="140">
                  <c:v>-110</c:v>
                </c:pt>
                <c:pt idx="141">
                  <c:v>-109</c:v>
                </c:pt>
                <c:pt idx="142">
                  <c:v>-108</c:v>
                </c:pt>
                <c:pt idx="143">
                  <c:v>-107</c:v>
                </c:pt>
                <c:pt idx="144">
                  <c:v>-106</c:v>
                </c:pt>
                <c:pt idx="145">
                  <c:v>-105</c:v>
                </c:pt>
                <c:pt idx="146">
                  <c:v>-104</c:v>
                </c:pt>
                <c:pt idx="147">
                  <c:v>-103</c:v>
                </c:pt>
                <c:pt idx="148">
                  <c:v>-102</c:v>
                </c:pt>
                <c:pt idx="149">
                  <c:v>-101</c:v>
                </c:pt>
                <c:pt idx="150">
                  <c:v>-100</c:v>
                </c:pt>
                <c:pt idx="151">
                  <c:v>-99</c:v>
                </c:pt>
                <c:pt idx="152">
                  <c:v>-98</c:v>
                </c:pt>
                <c:pt idx="153">
                  <c:v>-97</c:v>
                </c:pt>
                <c:pt idx="154">
                  <c:v>-96</c:v>
                </c:pt>
                <c:pt idx="155">
                  <c:v>-95</c:v>
                </c:pt>
                <c:pt idx="156">
                  <c:v>-94</c:v>
                </c:pt>
                <c:pt idx="157">
                  <c:v>-93</c:v>
                </c:pt>
                <c:pt idx="158">
                  <c:v>-92</c:v>
                </c:pt>
                <c:pt idx="159">
                  <c:v>-91</c:v>
                </c:pt>
                <c:pt idx="160">
                  <c:v>-90</c:v>
                </c:pt>
                <c:pt idx="161">
                  <c:v>-89</c:v>
                </c:pt>
                <c:pt idx="162">
                  <c:v>-88</c:v>
                </c:pt>
                <c:pt idx="163">
                  <c:v>-87</c:v>
                </c:pt>
                <c:pt idx="164">
                  <c:v>-86</c:v>
                </c:pt>
                <c:pt idx="165">
                  <c:v>-85</c:v>
                </c:pt>
                <c:pt idx="166">
                  <c:v>-84</c:v>
                </c:pt>
                <c:pt idx="167">
                  <c:v>-83</c:v>
                </c:pt>
                <c:pt idx="168">
                  <c:v>-82</c:v>
                </c:pt>
                <c:pt idx="169">
                  <c:v>-81</c:v>
                </c:pt>
                <c:pt idx="170">
                  <c:v>-80</c:v>
                </c:pt>
                <c:pt idx="171">
                  <c:v>-79</c:v>
                </c:pt>
                <c:pt idx="172">
                  <c:v>-78</c:v>
                </c:pt>
                <c:pt idx="173">
                  <c:v>-77</c:v>
                </c:pt>
                <c:pt idx="174">
                  <c:v>-76</c:v>
                </c:pt>
                <c:pt idx="175">
                  <c:v>-75</c:v>
                </c:pt>
                <c:pt idx="176">
                  <c:v>-74</c:v>
                </c:pt>
                <c:pt idx="177">
                  <c:v>-73</c:v>
                </c:pt>
                <c:pt idx="178">
                  <c:v>-72</c:v>
                </c:pt>
                <c:pt idx="179">
                  <c:v>-71</c:v>
                </c:pt>
                <c:pt idx="180">
                  <c:v>-70</c:v>
                </c:pt>
                <c:pt idx="181">
                  <c:v>-69</c:v>
                </c:pt>
                <c:pt idx="182">
                  <c:v>-68</c:v>
                </c:pt>
                <c:pt idx="183">
                  <c:v>-67</c:v>
                </c:pt>
                <c:pt idx="184">
                  <c:v>-66</c:v>
                </c:pt>
                <c:pt idx="185">
                  <c:v>-65</c:v>
                </c:pt>
                <c:pt idx="186">
                  <c:v>-64</c:v>
                </c:pt>
                <c:pt idx="187">
                  <c:v>-63</c:v>
                </c:pt>
                <c:pt idx="188">
                  <c:v>-62</c:v>
                </c:pt>
                <c:pt idx="189">
                  <c:v>-61</c:v>
                </c:pt>
                <c:pt idx="190">
                  <c:v>-60</c:v>
                </c:pt>
                <c:pt idx="191">
                  <c:v>-59</c:v>
                </c:pt>
                <c:pt idx="192">
                  <c:v>-58</c:v>
                </c:pt>
                <c:pt idx="193">
                  <c:v>-57</c:v>
                </c:pt>
                <c:pt idx="194">
                  <c:v>-56</c:v>
                </c:pt>
                <c:pt idx="195">
                  <c:v>-55</c:v>
                </c:pt>
                <c:pt idx="196">
                  <c:v>-54</c:v>
                </c:pt>
                <c:pt idx="197">
                  <c:v>-53</c:v>
                </c:pt>
                <c:pt idx="198">
                  <c:v>-52</c:v>
                </c:pt>
                <c:pt idx="199">
                  <c:v>-51</c:v>
                </c:pt>
                <c:pt idx="200">
                  <c:v>-50</c:v>
                </c:pt>
                <c:pt idx="201">
                  <c:v>-49</c:v>
                </c:pt>
                <c:pt idx="202">
                  <c:v>-48</c:v>
                </c:pt>
                <c:pt idx="203">
                  <c:v>-47</c:v>
                </c:pt>
                <c:pt idx="204">
                  <c:v>-46</c:v>
                </c:pt>
                <c:pt idx="205">
                  <c:v>-45</c:v>
                </c:pt>
                <c:pt idx="206">
                  <c:v>-44</c:v>
                </c:pt>
                <c:pt idx="207">
                  <c:v>-43</c:v>
                </c:pt>
                <c:pt idx="208">
                  <c:v>-42</c:v>
                </c:pt>
                <c:pt idx="209">
                  <c:v>-41</c:v>
                </c:pt>
                <c:pt idx="210">
                  <c:v>-40</c:v>
                </c:pt>
                <c:pt idx="211">
                  <c:v>-39</c:v>
                </c:pt>
                <c:pt idx="212">
                  <c:v>-38</c:v>
                </c:pt>
                <c:pt idx="213">
                  <c:v>-37</c:v>
                </c:pt>
                <c:pt idx="214">
                  <c:v>-36</c:v>
                </c:pt>
                <c:pt idx="215">
                  <c:v>-35</c:v>
                </c:pt>
                <c:pt idx="216">
                  <c:v>-34</c:v>
                </c:pt>
                <c:pt idx="217">
                  <c:v>-33</c:v>
                </c:pt>
                <c:pt idx="218">
                  <c:v>-32</c:v>
                </c:pt>
                <c:pt idx="219">
                  <c:v>-31</c:v>
                </c:pt>
                <c:pt idx="220">
                  <c:v>-30</c:v>
                </c:pt>
                <c:pt idx="221">
                  <c:v>-29</c:v>
                </c:pt>
                <c:pt idx="222">
                  <c:v>-28</c:v>
                </c:pt>
                <c:pt idx="223">
                  <c:v>-27</c:v>
                </c:pt>
                <c:pt idx="224">
                  <c:v>-26</c:v>
                </c:pt>
                <c:pt idx="225">
                  <c:v>-25</c:v>
                </c:pt>
                <c:pt idx="226">
                  <c:v>-24</c:v>
                </c:pt>
                <c:pt idx="227">
                  <c:v>-23</c:v>
                </c:pt>
                <c:pt idx="228">
                  <c:v>-22</c:v>
                </c:pt>
                <c:pt idx="229">
                  <c:v>-21</c:v>
                </c:pt>
                <c:pt idx="230">
                  <c:v>-20</c:v>
                </c:pt>
                <c:pt idx="231">
                  <c:v>-19</c:v>
                </c:pt>
                <c:pt idx="232">
                  <c:v>-18</c:v>
                </c:pt>
                <c:pt idx="233">
                  <c:v>-17</c:v>
                </c:pt>
                <c:pt idx="234">
                  <c:v>-16</c:v>
                </c:pt>
                <c:pt idx="235">
                  <c:v>-15</c:v>
                </c:pt>
                <c:pt idx="236">
                  <c:v>-14</c:v>
                </c:pt>
                <c:pt idx="237">
                  <c:v>-13</c:v>
                </c:pt>
                <c:pt idx="238">
                  <c:v>-12</c:v>
                </c:pt>
                <c:pt idx="239">
                  <c:v>-11</c:v>
                </c:pt>
                <c:pt idx="240">
                  <c:v>-10</c:v>
                </c:pt>
                <c:pt idx="241">
                  <c:v>-9</c:v>
                </c:pt>
                <c:pt idx="242">
                  <c:v>-8</c:v>
                </c:pt>
                <c:pt idx="243">
                  <c:v>-7</c:v>
                </c:pt>
                <c:pt idx="244">
                  <c:v>-6</c:v>
                </c:pt>
                <c:pt idx="245">
                  <c:v>-5</c:v>
                </c:pt>
                <c:pt idx="246">
                  <c:v>-4</c:v>
                </c:pt>
                <c:pt idx="247">
                  <c:v>-3</c:v>
                </c:pt>
                <c:pt idx="248">
                  <c:v>-2</c:v>
                </c:pt>
                <c:pt idx="249">
                  <c:v>-1</c:v>
                </c:pt>
                <c:pt idx="250">
                  <c:v>0</c:v>
                </c:pt>
                <c:pt idx="251">
                  <c:v>1</c:v>
                </c:pt>
                <c:pt idx="252">
                  <c:v>2</c:v>
                </c:pt>
                <c:pt idx="253">
                  <c:v>3</c:v>
                </c:pt>
                <c:pt idx="254">
                  <c:v>4</c:v>
                </c:pt>
                <c:pt idx="255">
                  <c:v>5</c:v>
                </c:pt>
                <c:pt idx="256">
                  <c:v>6</c:v>
                </c:pt>
                <c:pt idx="257">
                  <c:v>7</c:v>
                </c:pt>
                <c:pt idx="258">
                  <c:v>8</c:v>
                </c:pt>
                <c:pt idx="259">
                  <c:v>9</c:v>
                </c:pt>
                <c:pt idx="260">
                  <c:v>10</c:v>
                </c:pt>
                <c:pt idx="261">
                  <c:v>11</c:v>
                </c:pt>
                <c:pt idx="262">
                  <c:v>12</c:v>
                </c:pt>
                <c:pt idx="263">
                  <c:v>13</c:v>
                </c:pt>
                <c:pt idx="264">
                  <c:v>14</c:v>
                </c:pt>
                <c:pt idx="265">
                  <c:v>15</c:v>
                </c:pt>
                <c:pt idx="266">
                  <c:v>16</c:v>
                </c:pt>
                <c:pt idx="267">
                  <c:v>17</c:v>
                </c:pt>
                <c:pt idx="268">
                  <c:v>18</c:v>
                </c:pt>
                <c:pt idx="269">
                  <c:v>19</c:v>
                </c:pt>
                <c:pt idx="270">
                  <c:v>20</c:v>
                </c:pt>
                <c:pt idx="271">
                  <c:v>21</c:v>
                </c:pt>
                <c:pt idx="272">
                  <c:v>22</c:v>
                </c:pt>
                <c:pt idx="273">
                  <c:v>23</c:v>
                </c:pt>
                <c:pt idx="274">
                  <c:v>24</c:v>
                </c:pt>
                <c:pt idx="275">
                  <c:v>25</c:v>
                </c:pt>
                <c:pt idx="276">
                  <c:v>26</c:v>
                </c:pt>
                <c:pt idx="277">
                  <c:v>27</c:v>
                </c:pt>
                <c:pt idx="278">
                  <c:v>28</c:v>
                </c:pt>
                <c:pt idx="279">
                  <c:v>29</c:v>
                </c:pt>
                <c:pt idx="280">
                  <c:v>30</c:v>
                </c:pt>
                <c:pt idx="281">
                  <c:v>31</c:v>
                </c:pt>
                <c:pt idx="282">
                  <c:v>32</c:v>
                </c:pt>
                <c:pt idx="283">
                  <c:v>33</c:v>
                </c:pt>
                <c:pt idx="284">
                  <c:v>34</c:v>
                </c:pt>
                <c:pt idx="285">
                  <c:v>35</c:v>
                </c:pt>
                <c:pt idx="286">
                  <c:v>36</c:v>
                </c:pt>
                <c:pt idx="287">
                  <c:v>37</c:v>
                </c:pt>
                <c:pt idx="288">
                  <c:v>38</c:v>
                </c:pt>
                <c:pt idx="289">
                  <c:v>39</c:v>
                </c:pt>
                <c:pt idx="290">
                  <c:v>40</c:v>
                </c:pt>
                <c:pt idx="291">
                  <c:v>41</c:v>
                </c:pt>
                <c:pt idx="292">
                  <c:v>42</c:v>
                </c:pt>
                <c:pt idx="293">
                  <c:v>43</c:v>
                </c:pt>
                <c:pt idx="294">
                  <c:v>44</c:v>
                </c:pt>
                <c:pt idx="295">
                  <c:v>45</c:v>
                </c:pt>
                <c:pt idx="296">
                  <c:v>46</c:v>
                </c:pt>
                <c:pt idx="297">
                  <c:v>47</c:v>
                </c:pt>
                <c:pt idx="298">
                  <c:v>48</c:v>
                </c:pt>
                <c:pt idx="299">
                  <c:v>49</c:v>
                </c:pt>
                <c:pt idx="300">
                  <c:v>50</c:v>
                </c:pt>
                <c:pt idx="301">
                  <c:v>51</c:v>
                </c:pt>
                <c:pt idx="302">
                  <c:v>52</c:v>
                </c:pt>
                <c:pt idx="303">
                  <c:v>53</c:v>
                </c:pt>
                <c:pt idx="304">
                  <c:v>54</c:v>
                </c:pt>
                <c:pt idx="305">
                  <c:v>55</c:v>
                </c:pt>
                <c:pt idx="306">
                  <c:v>56</c:v>
                </c:pt>
                <c:pt idx="307">
                  <c:v>57</c:v>
                </c:pt>
                <c:pt idx="308">
                  <c:v>58</c:v>
                </c:pt>
                <c:pt idx="309">
                  <c:v>59</c:v>
                </c:pt>
                <c:pt idx="310">
                  <c:v>60</c:v>
                </c:pt>
                <c:pt idx="311">
                  <c:v>61</c:v>
                </c:pt>
                <c:pt idx="312">
                  <c:v>62</c:v>
                </c:pt>
                <c:pt idx="313">
                  <c:v>63</c:v>
                </c:pt>
                <c:pt idx="314">
                  <c:v>64</c:v>
                </c:pt>
                <c:pt idx="315">
                  <c:v>65</c:v>
                </c:pt>
                <c:pt idx="316">
                  <c:v>66</c:v>
                </c:pt>
                <c:pt idx="317">
                  <c:v>67</c:v>
                </c:pt>
                <c:pt idx="318">
                  <c:v>68</c:v>
                </c:pt>
                <c:pt idx="319">
                  <c:v>69</c:v>
                </c:pt>
                <c:pt idx="320">
                  <c:v>70</c:v>
                </c:pt>
                <c:pt idx="321">
                  <c:v>71</c:v>
                </c:pt>
                <c:pt idx="322">
                  <c:v>72</c:v>
                </c:pt>
                <c:pt idx="323">
                  <c:v>73</c:v>
                </c:pt>
                <c:pt idx="324">
                  <c:v>74</c:v>
                </c:pt>
                <c:pt idx="325">
                  <c:v>75</c:v>
                </c:pt>
                <c:pt idx="326">
                  <c:v>76</c:v>
                </c:pt>
                <c:pt idx="327">
                  <c:v>77</c:v>
                </c:pt>
                <c:pt idx="328">
                  <c:v>78</c:v>
                </c:pt>
                <c:pt idx="329">
                  <c:v>79</c:v>
                </c:pt>
                <c:pt idx="330">
                  <c:v>80</c:v>
                </c:pt>
                <c:pt idx="331">
                  <c:v>81</c:v>
                </c:pt>
                <c:pt idx="332">
                  <c:v>82</c:v>
                </c:pt>
                <c:pt idx="333">
                  <c:v>83</c:v>
                </c:pt>
                <c:pt idx="334">
                  <c:v>84</c:v>
                </c:pt>
                <c:pt idx="335">
                  <c:v>85</c:v>
                </c:pt>
                <c:pt idx="336">
                  <c:v>86</c:v>
                </c:pt>
                <c:pt idx="337">
                  <c:v>87</c:v>
                </c:pt>
                <c:pt idx="338">
                  <c:v>88</c:v>
                </c:pt>
                <c:pt idx="339">
                  <c:v>89</c:v>
                </c:pt>
                <c:pt idx="340">
                  <c:v>90</c:v>
                </c:pt>
                <c:pt idx="341">
                  <c:v>91</c:v>
                </c:pt>
                <c:pt idx="342">
                  <c:v>92</c:v>
                </c:pt>
                <c:pt idx="343">
                  <c:v>93</c:v>
                </c:pt>
                <c:pt idx="344">
                  <c:v>94</c:v>
                </c:pt>
                <c:pt idx="345">
                  <c:v>95</c:v>
                </c:pt>
                <c:pt idx="346">
                  <c:v>96</c:v>
                </c:pt>
                <c:pt idx="347">
                  <c:v>97</c:v>
                </c:pt>
                <c:pt idx="348">
                  <c:v>98</c:v>
                </c:pt>
                <c:pt idx="349">
                  <c:v>99</c:v>
                </c:pt>
                <c:pt idx="350">
                  <c:v>100</c:v>
                </c:pt>
                <c:pt idx="351">
                  <c:v>101</c:v>
                </c:pt>
                <c:pt idx="352">
                  <c:v>102</c:v>
                </c:pt>
                <c:pt idx="353">
                  <c:v>103</c:v>
                </c:pt>
                <c:pt idx="354">
                  <c:v>104</c:v>
                </c:pt>
                <c:pt idx="355">
                  <c:v>105</c:v>
                </c:pt>
                <c:pt idx="356">
                  <c:v>106</c:v>
                </c:pt>
                <c:pt idx="357">
                  <c:v>107</c:v>
                </c:pt>
                <c:pt idx="358">
                  <c:v>108</c:v>
                </c:pt>
                <c:pt idx="359">
                  <c:v>109</c:v>
                </c:pt>
                <c:pt idx="360">
                  <c:v>110</c:v>
                </c:pt>
                <c:pt idx="361">
                  <c:v>111</c:v>
                </c:pt>
                <c:pt idx="362">
                  <c:v>112</c:v>
                </c:pt>
                <c:pt idx="363">
                  <c:v>113</c:v>
                </c:pt>
                <c:pt idx="364">
                  <c:v>114</c:v>
                </c:pt>
                <c:pt idx="365">
                  <c:v>115</c:v>
                </c:pt>
                <c:pt idx="366">
                  <c:v>116</c:v>
                </c:pt>
                <c:pt idx="367">
                  <c:v>117</c:v>
                </c:pt>
                <c:pt idx="368">
                  <c:v>118</c:v>
                </c:pt>
                <c:pt idx="369">
                  <c:v>119</c:v>
                </c:pt>
                <c:pt idx="370">
                  <c:v>120</c:v>
                </c:pt>
                <c:pt idx="371">
                  <c:v>121</c:v>
                </c:pt>
                <c:pt idx="372">
                  <c:v>122</c:v>
                </c:pt>
                <c:pt idx="373">
                  <c:v>123</c:v>
                </c:pt>
                <c:pt idx="374">
                  <c:v>124</c:v>
                </c:pt>
                <c:pt idx="375">
                  <c:v>125</c:v>
                </c:pt>
                <c:pt idx="376">
                  <c:v>126</c:v>
                </c:pt>
                <c:pt idx="377">
                  <c:v>127</c:v>
                </c:pt>
                <c:pt idx="378">
                  <c:v>128</c:v>
                </c:pt>
                <c:pt idx="379">
                  <c:v>129</c:v>
                </c:pt>
                <c:pt idx="380">
                  <c:v>130</c:v>
                </c:pt>
                <c:pt idx="381">
                  <c:v>131</c:v>
                </c:pt>
                <c:pt idx="382">
                  <c:v>132</c:v>
                </c:pt>
                <c:pt idx="383">
                  <c:v>133</c:v>
                </c:pt>
                <c:pt idx="384">
                  <c:v>134</c:v>
                </c:pt>
                <c:pt idx="385">
                  <c:v>135</c:v>
                </c:pt>
                <c:pt idx="386">
                  <c:v>136</c:v>
                </c:pt>
                <c:pt idx="387">
                  <c:v>137</c:v>
                </c:pt>
                <c:pt idx="388">
                  <c:v>138</c:v>
                </c:pt>
                <c:pt idx="389">
                  <c:v>139</c:v>
                </c:pt>
                <c:pt idx="390">
                  <c:v>140</c:v>
                </c:pt>
                <c:pt idx="391">
                  <c:v>141</c:v>
                </c:pt>
                <c:pt idx="392">
                  <c:v>142</c:v>
                </c:pt>
                <c:pt idx="393">
                  <c:v>143</c:v>
                </c:pt>
                <c:pt idx="394">
                  <c:v>144</c:v>
                </c:pt>
                <c:pt idx="395">
                  <c:v>145</c:v>
                </c:pt>
                <c:pt idx="396">
                  <c:v>146</c:v>
                </c:pt>
                <c:pt idx="397">
                  <c:v>147</c:v>
                </c:pt>
                <c:pt idx="398">
                  <c:v>148</c:v>
                </c:pt>
                <c:pt idx="399">
                  <c:v>149</c:v>
                </c:pt>
                <c:pt idx="400">
                  <c:v>150</c:v>
                </c:pt>
                <c:pt idx="401">
                  <c:v>151</c:v>
                </c:pt>
                <c:pt idx="402">
                  <c:v>152</c:v>
                </c:pt>
                <c:pt idx="403">
                  <c:v>153</c:v>
                </c:pt>
                <c:pt idx="404">
                  <c:v>154</c:v>
                </c:pt>
                <c:pt idx="405">
                  <c:v>155</c:v>
                </c:pt>
                <c:pt idx="406">
                  <c:v>156</c:v>
                </c:pt>
                <c:pt idx="407">
                  <c:v>157</c:v>
                </c:pt>
                <c:pt idx="408">
                  <c:v>158</c:v>
                </c:pt>
                <c:pt idx="409">
                  <c:v>159</c:v>
                </c:pt>
                <c:pt idx="410">
                  <c:v>160</c:v>
                </c:pt>
                <c:pt idx="411">
                  <c:v>161</c:v>
                </c:pt>
                <c:pt idx="412">
                  <c:v>162</c:v>
                </c:pt>
                <c:pt idx="413">
                  <c:v>163</c:v>
                </c:pt>
                <c:pt idx="414">
                  <c:v>164</c:v>
                </c:pt>
                <c:pt idx="415">
                  <c:v>165</c:v>
                </c:pt>
                <c:pt idx="416">
                  <c:v>166</c:v>
                </c:pt>
                <c:pt idx="417">
                  <c:v>167</c:v>
                </c:pt>
                <c:pt idx="418">
                  <c:v>168</c:v>
                </c:pt>
                <c:pt idx="419">
                  <c:v>169</c:v>
                </c:pt>
                <c:pt idx="420">
                  <c:v>170</c:v>
                </c:pt>
                <c:pt idx="421">
                  <c:v>171</c:v>
                </c:pt>
                <c:pt idx="422">
                  <c:v>172</c:v>
                </c:pt>
                <c:pt idx="423">
                  <c:v>173</c:v>
                </c:pt>
                <c:pt idx="424">
                  <c:v>174</c:v>
                </c:pt>
                <c:pt idx="425">
                  <c:v>175</c:v>
                </c:pt>
                <c:pt idx="426">
                  <c:v>176</c:v>
                </c:pt>
                <c:pt idx="427">
                  <c:v>177</c:v>
                </c:pt>
                <c:pt idx="428">
                  <c:v>178</c:v>
                </c:pt>
                <c:pt idx="429">
                  <c:v>179</c:v>
                </c:pt>
                <c:pt idx="430">
                  <c:v>180</c:v>
                </c:pt>
                <c:pt idx="431">
                  <c:v>181</c:v>
                </c:pt>
                <c:pt idx="432">
                  <c:v>182</c:v>
                </c:pt>
                <c:pt idx="433">
                  <c:v>183</c:v>
                </c:pt>
                <c:pt idx="434">
                  <c:v>184</c:v>
                </c:pt>
                <c:pt idx="435">
                  <c:v>185</c:v>
                </c:pt>
                <c:pt idx="436">
                  <c:v>186</c:v>
                </c:pt>
                <c:pt idx="437">
                  <c:v>187</c:v>
                </c:pt>
                <c:pt idx="438">
                  <c:v>188</c:v>
                </c:pt>
                <c:pt idx="439">
                  <c:v>189</c:v>
                </c:pt>
                <c:pt idx="440">
                  <c:v>190</c:v>
                </c:pt>
                <c:pt idx="441">
                  <c:v>191</c:v>
                </c:pt>
                <c:pt idx="442">
                  <c:v>192</c:v>
                </c:pt>
                <c:pt idx="443">
                  <c:v>193</c:v>
                </c:pt>
                <c:pt idx="444">
                  <c:v>194</c:v>
                </c:pt>
                <c:pt idx="445">
                  <c:v>195</c:v>
                </c:pt>
                <c:pt idx="446">
                  <c:v>196</c:v>
                </c:pt>
                <c:pt idx="447">
                  <c:v>197</c:v>
                </c:pt>
                <c:pt idx="448">
                  <c:v>198</c:v>
                </c:pt>
                <c:pt idx="449">
                  <c:v>199</c:v>
                </c:pt>
                <c:pt idx="450">
                  <c:v>200</c:v>
                </c:pt>
                <c:pt idx="451">
                  <c:v>201</c:v>
                </c:pt>
                <c:pt idx="452">
                  <c:v>202</c:v>
                </c:pt>
                <c:pt idx="453">
                  <c:v>203</c:v>
                </c:pt>
                <c:pt idx="454">
                  <c:v>204</c:v>
                </c:pt>
                <c:pt idx="455">
                  <c:v>205</c:v>
                </c:pt>
                <c:pt idx="456">
                  <c:v>206</c:v>
                </c:pt>
                <c:pt idx="457">
                  <c:v>207</c:v>
                </c:pt>
                <c:pt idx="458">
                  <c:v>208</c:v>
                </c:pt>
                <c:pt idx="459">
                  <c:v>209</c:v>
                </c:pt>
                <c:pt idx="460">
                  <c:v>210</c:v>
                </c:pt>
                <c:pt idx="461">
                  <c:v>211</c:v>
                </c:pt>
                <c:pt idx="462">
                  <c:v>212</c:v>
                </c:pt>
                <c:pt idx="463">
                  <c:v>213</c:v>
                </c:pt>
                <c:pt idx="464">
                  <c:v>214</c:v>
                </c:pt>
                <c:pt idx="465">
                  <c:v>215</c:v>
                </c:pt>
                <c:pt idx="466">
                  <c:v>216</c:v>
                </c:pt>
                <c:pt idx="467">
                  <c:v>217</c:v>
                </c:pt>
                <c:pt idx="468">
                  <c:v>218</c:v>
                </c:pt>
                <c:pt idx="469">
                  <c:v>219</c:v>
                </c:pt>
                <c:pt idx="470">
                  <c:v>220</c:v>
                </c:pt>
                <c:pt idx="471">
                  <c:v>221</c:v>
                </c:pt>
                <c:pt idx="472">
                  <c:v>222</c:v>
                </c:pt>
                <c:pt idx="473">
                  <c:v>223</c:v>
                </c:pt>
                <c:pt idx="474">
                  <c:v>224</c:v>
                </c:pt>
                <c:pt idx="475">
                  <c:v>225</c:v>
                </c:pt>
                <c:pt idx="476">
                  <c:v>226</c:v>
                </c:pt>
                <c:pt idx="477">
                  <c:v>227</c:v>
                </c:pt>
                <c:pt idx="478">
                  <c:v>228</c:v>
                </c:pt>
                <c:pt idx="479">
                  <c:v>229</c:v>
                </c:pt>
                <c:pt idx="480">
                  <c:v>230</c:v>
                </c:pt>
                <c:pt idx="481">
                  <c:v>231</c:v>
                </c:pt>
                <c:pt idx="482">
                  <c:v>232</c:v>
                </c:pt>
                <c:pt idx="483">
                  <c:v>233</c:v>
                </c:pt>
                <c:pt idx="484">
                  <c:v>234</c:v>
                </c:pt>
                <c:pt idx="485">
                  <c:v>235</c:v>
                </c:pt>
                <c:pt idx="486">
                  <c:v>236</c:v>
                </c:pt>
                <c:pt idx="487">
                  <c:v>237</c:v>
                </c:pt>
                <c:pt idx="488">
                  <c:v>238</c:v>
                </c:pt>
                <c:pt idx="489">
                  <c:v>239</c:v>
                </c:pt>
                <c:pt idx="490">
                  <c:v>240</c:v>
                </c:pt>
                <c:pt idx="491">
                  <c:v>241</c:v>
                </c:pt>
                <c:pt idx="492">
                  <c:v>242</c:v>
                </c:pt>
                <c:pt idx="493">
                  <c:v>243</c:v>
                </c:pt>
                <c:pt idx="494">
                  <c:v>244</c:v>
                </c:pt>
                <c:pt idx="495">
                  <c:v>245</c:v>
                </c:pt>
                <c:pt idx="496">
                  <c:v>246</c:v>
                </c:pt>
                <c:pt idx="497">
                  <c:v>247</c:v>
                </c:pt>
                <c:pt idx="498">
                  <c:v>248</c:v>
                </c:pt>
                <c:pt idx="499">
                  <c:v>249</c:v>
                </c:pt>
                <c:pt idx="500">
                  <c:v>250</c:v>
                </c:pt>
                <c:pt idx="501">
                  <c:v>251</c:v>
                </c:pt>
                <c:pt idx="502">
                  <c:v>252</c:v>
                </c:pt>
                <c:pt idx="503">
                  <c:v>253</c:v>
                </c:pt>
                <c:pt idx="504">
                  <c:v>254</c:v>
                </c:pt>
                <c:pt idx="505">
                  <c:v>255</c:v>
                </c:pt>
                <c:pt idx="506">
                  <c:v>256</c:v>
                </c:pt>
                <c:pt idx="507">
                  <c:v>257</c:v>
                </c:pt>
                <c:pt idx="508">
                  <c:v>258</c:v>
                </c:pt>
                <c:pt idx="509">
                  <c:v>259</c:v>
                </c:pt>
                <c:pt idx="510">
                  <c:v>260</c:v>
                </c:pt>
                <c:pt idx="511">
                  <c:v>261</c:v>
                </c:pt>
                <c:pt idx="512">
                  <c:v>262</c:v>
                </c:pt>
                <c:pt idx="513">
                  <c:v>263</c:v>
                </c:pt>
                <c:pt idx="514">
                  <c:v>264</c:v>
                </c:pt>
                <c:pt idx="515">
                  <c:v>265</c:v>
                </c:pt>
                <c:pt idx="516">
                  <c:v>266</c:v>
                </c:pt>
                <c:pt idx="517">
                  <c:v>267</c:v>
                </c:pt>
                <c:pt idx="518">
                  <c:v>268</c:v>
                </c:pt>
                <c:pt idx="519">
                  <c:v>269</c:v>
                </c:pt>
                <c:pt idx="520">
                  <c:v>270</c:v>
                </c:pt>
                <c:pt idx="521">
                  <c:v>271</c:v>
                </c:pt>
                <c:pt idx="522">
                  <c:v>272</c:v>
                </c:pt>
                <c:pt idx="523">
                  <c:v>273</c:v>
                </c:pt>
                <c:pt idx="524">
                  <c:v>274</c:v>
                </c:pt>
                <c:pt idx="525">
                  <c:v>275</c:v>
                </c:pt>
                <c:pt idx="526">
                  <c:v>276</c:v>
                </c:pt>
                <c:pt idx="527">
                  <c:v>277</c:v>
                </c:pt>
                <c:pt idx="528">
                  <c:v>278</c:v>
                </c:pt>
                <c:pt idx="529">
                  <c:v>279</c:v>
                </c:pt>
                <c:pt idx="530">
                  <c:v>280</c:v>
                </c:pt>
                <c:pt idx="531">
                  <c:v>281</c:v>
                </c:pt>
                <c:pt idx="532">
                  <c:v>282</c:v>
                </c:pt>
                <c:pt idx="533">
                  <c:v>283</c:v>
                </c:pt>
                <c:pt idx="534">
                  <c:v>284</c:v>
                </c:pt>
                <c:pt idx="535">
                  <c:v>285</c:v>
                </c:pt>
                <c:pt idx="536">
                  <c:v>286</c:v>
                </c:pt>
                <c:pt idx="537">
                  <c:v>287</c:v>
                </c:pt>
                <c:pt idx="538">
                  <c:v>288</c:v>
                </c:pt>
                <c:pt idx="539">
                  <c:v>289</c:v>
                </c:pt>
                <c:pt idx="540">
                  <c:v>290</c:v>
                </c:pt>
                <c:pt idx="541">
                  <c:v>291</c:v>
                </c:pt>
                <c:pt idx="542">
                  <c:v>292</c:v>
                </c:pt>
                <c:pt idx="543">
                  <c:v>293</c:v>
                </c:pt>
                <c:pt idx="544">
                  <c:v>294</c:v>
                </c:pt>
                <c:pt idx="545">
                  <c:v>295</c:v>
                </c:pt>
                <c:pt idx="546">
                  <c:v>296</c:v>
                </c:pt>
                <c:pt idx="547">
                  <c:v>297</c:v>
                </c:pt>
                <c:pt idx="548">
                  <c:v>298</c:v>
                </c:pt>
                <c:pt idx="549">
                  <c:v>299</c:v>
                </c:pt>
                <c:pt idx="550">
                  <c:v>300</c:v>
                </c:pt>
                <c:pt idx="551">
                  <c:v>301</c:v>
                </c:pt>
                <c:pt idx="552">
                  <c:v>302</c:v>
                </c:pt>
                <c:pt idx="553">
                  <c:v>303</c:v>
                </c:pt>
                <c:pt idx="554">
                  <c:v>304</c:v>
                </c:pt>
                <c:pt idx="555">
                  <c:v>305</c:v>
                </c:pt>
                <c:pt idx="556">
                  <c:v>306</c:v>
                </c:pt>
                <c:pt idx="557">
                  <c:v>307</c:v>
                </c:pt>
                <c:pt idx="558">
                  <c:v>308</c:v>
                </c:pt>
                <c:pt idx="559">
                  <c:v>309</c:v>
                </c:pt>
                <c:pt idx="560">
                  <c:v>310</c:v>
                </c:pt>
                <c:pt idx="561">
                  <c:v>311</c:v>
                </c:pt>
                <c:pt idx="562">
                  <c:v>312</c:v>
                </c:pt>
                <c:pt idx="563">
                  <c:v>313</c:v>
                </c:pt>
                <c:pt idx="564">
                  <c:v>314</c:v>
                </c:pt>
                <c:pt idx="565">
                  <c:v>315</c:v>
                </c:pt>
                <c:pt idx="566">
                  <c:v>316</c:v>
                </c:pt>
                <c:pt idx="567">
                  <c:v>317</c:v>
                </c:pt>
                <c:pt idx="568">
                  <c:v>318</c:v>
                </c:pt>
                <c:pt idx="569">
                  <c:v>319</c:v>
                </c:pt>
                <c:pt idx="570">
                  <c:v>320</c:v>
                </c:pt>
                <c:pt idx="571">
                  <c:v>321</c:v>
                </c:pt>
                <c:pt idx="572">
                  <c:v>322</c:v>
                </c:pt>
                <c:pt idx="573">
                  <c:v>323</c:v>
                </c:pt>
                <c:pt idx="574">
                  <c:v>324</c:v>
                </c:pt>
                <c:pt idx="575">
                  <c:v>325</c:v>
                </c:pt>
                <c:pt idx="576">
                  <c:v>326</c:v>
                </c:pt>
                <c:pt idx="577">
                  <c:v>327</c:v>
                </c:pt>
                <c:pt idx="578">
                  <c:v>328</c:v>
                </c:pt>
                <c:pt idx="579">
                  <c:v>329</c:v>
                </c:pt>
                <c:pt idx="580">
                  <c:v>330</c:v>
                </c:pt>
                <c:pt idx="581">
                  <c:v>331</c:v>
                </c:pt>
                <c:pt idx="582">
                  <c:v>332</c:v>
                </c:pt>
                <c:pt idx="583">
                  <c:v>333</c:v>
                </c:pt>
                <c:pt idx="584">
                  <c:v>334</c:v>
                </c:pt>
                <c:pt idx="585">
                  <c:v>335</c:v>
                </c:pt>
                <c:pt idx="586">
                  <c:v>336</c:v>
                </c:pt>
                <c:pt idx="587">
                  <c:v>337</c:v>
                </c:pt>
                <c:pt idx="588">
                  <c:v>338</c:v>
                </c:pt>
                <c:pt idx="589">
                  <c:v>339</c:v>
                </c:pt>
                <c:pt idx="590">
                  <c:v>340</c:v>
                </c:pt>
                <c:pt idx="591">
                  <c:v>341</c:v>
                </c:pt>
                <c:pt idx="592">
                  <c:v>342</c:v>
                </c:pt>
                <c:pt idx="593">
                  <c:v>343</c:v>
                </c:pt>
                <c:pt idx="594">
                  <c:v>344</c:v>
                </c:pt>
                <c:pt idx="595">
                  <c:v>345</c:v>
                </c:pt>
                <c:pt idx="596">
                  <c:v>346</c:v>
                </c:pt>
                <c:pt idx="597">
                  <c:v>347</c:v>
                </c:pt>
                <c:pt idx="598">
                  <c:v>348</c:v>
                </c:pt>
                <c:pt idx="599">
                  <c:v>349</c:v>
                </c:pt>
                <c:pt idx="600">
                  <c:v>350</c:v>
                </c:pt>
                <c:pt idx="601">
                  <c:v>351</c:v>
                </c:pt>
                <c:pt idx="602">
                  <c:v>352</c:v>
                </c:pt>
                <c:pt idx="603">
                  <c:v>353</c:v>
                </c:pt>
                <c:pt idx="604">
                  <c:v>354</c:v>
                </c:pt>
                <c:pt idx="605">
                  <c:v>355</c:v>
                </c:pt>
                <c:pt idx="606">
                  <c:v>356</c:v>
                </c:pt>
                <c:pt idx="607">
                  <c:v>357</c:v>
                </c:pt>
                <c:pt idx="608">
                  <c:v>358</c:v>
                </c:pt>
                <c:pt idx="609">
                  <c:v>359</c:v>
                </c:pt>
                <c:pt idx="610">
                  <c:v>360</c:v>
                </c:pt>
                <c:pt idx="611">
                  <c:v>361</c:v>
                </c:pt>
                <c:pt idx="612">
                  <c:v>362</c:v>
                </c:pt>
                <c:pt idx="613">
                  <c:v>363</c:v>
                </c:pt>
                <c:pt idx="614">
                  <c:v>364</c:v>
                </c:pt>
                <c:pt idx="615">
                  <c:v>365</c:v>
                </c:pt>
                <c:pt idx="616">
                  <c:v>366</c:v>
                </c:pt>
                <c:pt idx="617">
                  <c:v>367</c:v>
                </c:pt>
                <c:pt idx="618">
                  <c:v>368</c:v>
                </c:pt>
                <c:pt idx="619">
                  <c:v>369</c:v>
                </c:pt>
                <c:pt idx="620">
                  <c:v>370</c:v>
                </c:pt>
                <c:pt idx="621">
                  <c:v>371</c:v>
                </c:pt>
                <c:pt idx="622">
                  <c:v>372</c:v>
                </c:pt>
                <c:pt idx="623">
                  <c:v>373</c:v>
                </c:pt>
                <c:pt idx="624">
                  <c:v>374</c:v>
                </c:pt>
                <c:pt idx="625">
                  <c:v>375</c:v>
                </c:pt>
                <c:pt idx="626">
                  <c:v>376</c:v>
                </c:pt>
                <c:pt idx="627">
                  <c:v>377</c:v>
                </c:pt>
                <c:pt idx="628">
                  <c:v>378</c:v>
                </c:pt>
                <c:pt idx="629">
                  <c:v>379</c:v>
                </c:pt>
                <c:pt idx="630">
                  <c:v>380</c:v>
                </c:pt>
                <c:pt idx="631">
                  <c:v>381</c:v>
                </c:pt>
                <c:pt idx="632">
                  <c:v>382</c:v>
                </c:pt>
                <c:pt idx="633">
                  <c:v>383</c:v>
                </c:pt>
                <c:pt idx="634">
                  <c:v>384</c:v>
                </c:pt>
                <c:pt idx="635">
                  <c:v>385</c:v>
                </c:pt>
                <c:pt idx="636">
                  <c:v>386</c:v>
                </c:pt>
                <c:pt idx="637">
                  <c:v>387</c:v>
                </c:pt>
                <c:pt idx="638">
                  <c:v>388</c:v>
                </c:pt>
                <c:pt idx="639">
                  <c:v>389</c:v>
                </c:pt>
                <c:pt idx="640">
                  <c:v>390</c:v>
                </c:pt>
                <c:pt idx="641">
                  <c:v>391</c:v>
                </c:pt>
                <c:pt idx="642">
                  <c:v>392</c:v>
                </c:pt>
                <c:pt idx="643">
                  <c:v>393</c:v>
                </c:pt>
                <c:pt idx="644">
                  <c:v>394</c:v>
                </c:pt>
                <c:pt idx="645">
                  <c:v>395</c:v>
                </c:pt>
                <c:pt idx="646">
                  <c:v>396</c:v>
                </c:pt>
                <c:pt idx="647">
                  <c:v>397</c:v>
                </c:pt>
                <c:pt idx="648">
                  <c:v>398</c:v>
                </c:pt>
                <c:pt idx="649">
                  <c:v>399</c:v>
                </c:pt>
                <c:pt idx="650">
                  <c:v>400</c:v>
                </c:pt>
                <c:pt idx="651">
                  <c:v>401</c:v>
                </c:pt>
                <c:pt idx="652">
                  <c:v>402</c:v>
                </c:pt>
                <c:pt idx="653">
                  <c:v>403</c:v>
                </c:pt>
                <c:pt idx="654">
                  <c:v>404</c:v>
                </c:pt>
                <c:pt idx="655">
                  <c:v>405</c:v>
                </c:pt>
                <c:pt idx="656">
                  <c:v>406</c:v>
                </c:pt>
                <c:pt idx="657">
                  <c:v>407</c:v>
                </c:pt>
                <c:pt idx="658">
                  <c:v>408</c:v>
                </c:pt>
                <c:pt idx="659">
                  <c:v>409</c:v>
                </c:pt>
                <c:pt idx="660">
                  <c:v>410</c:v>
                </c:pt>
                <c:pt idx="661">
                  <c:v>411</c:v>
                </c:pt>
                <c:pt idx="662">
                  <c:v>412</c:v>
                </c:pt>
                <c:pt idx="663">
                  <c:v>413</c:v>
                </c:pt>
                <c:pt idx="664">
                  <c:v>414</c:v>
                </c:pt>
                <c:pt idx="665">
                  <c:v>415</c:v>
                </c:pt>
                <c:pt idx="666">
                  <c:v>416</c:v>
                </c:pt>
                <c:pt idx="667">
                  <c:v>417</c:v>
                </c:pt>
                <c:pt idx="668">
                  <c:v>418</c:v>
                </c:pt>
                <c:pt idx="669">
                  <c:v>419</c:v>
                </c:pt>
                <c:pt idx="670">
                  <c:v>420</c:v>
                </c:pt>
                <c:pt idx="671">
                  <c:v>421</c:v>
                </c:pt>
                <c:pt idx="672">
                  <c:v>422</c:v>
                </c:pt>
                <c:pt idx="673">
                  <c:v>423</c:v>
                </c:pt>
                <c:pt idx="674">
                  <c:v>424</c:v>
                </c:pt>
                <c:pt idx="675">
                  <c:v>425</c:v>
                </c:pt>
                <c:pt idx="676">
                  <c:v>426</c:v>
                </c:pt>
                <c:pt idx="677">
                  <c:v>427</c:v>
                </c:pt>
                <c:pt idx="678">
                  <c:v>428</c:v>
                </c:pt>
                <c:pt idx="679">
                  <c:v>429</c:v>
                </c:pt>
                <c:pt idx="680">
                  <c:v>430</c:v>
                </c:pt>
                <c:pt idx="681">
                  <c:v>431</c:v>
                </c:pt>
                <c:pt idx="682">
                  <c:v>432</c:v>
                </c:pt>
                <c:pt idx="683">
                  <c:v>433</c:v>
                </c:pt>
                <c:pt idx="684">
                  <c:v>434</c:v>
                </c:pt>
                <c:pt idx="685">
                  <c:v>435</c:v>
                </c:pt>
                <c:pt idx="686">
                  <c:v>436</c:v>
                </c:pt>
                <c:pt idx="687">
                  <c:v>437</c:v>
                </c:pt>
                <c:pt idx="688">
                  <c:v>438</c:v>
                </c:pt>
                <c:pt idx="689">
                  <c:v>439</c:v>
                </c:pt>
                <c:pt idx="690">
                  <c:v>440</c:v>
                </c:pt>
                <c:pt idx="691">
                  <c:v>441</c:v>
                </c:pt>
                <c:pt idx="692">
                  <c:v>442</c:v>
                </c:pt>
                <c:pt idx="693">
                  <c:v>443</c:v>
                </c:pt>
                <c:pt idx="694">
                  <c:v>444</c:v>
                </c:pt>
                <c:pt idx="695">
                  <c:v>445</c:v>
                </c:pt>
                <c:pt idx="696">
                  <c:v>446</c:v>
                </c:pt>
                <c:pt idx="697">
                  <c:v>447</c:v>
                </c:pt>
                <c:pt idx="698">
                  <c:v>448</c:v>
                </c:pt>
                <c:pt idx="699">
                  <c:v>449</c:v>
                </c:pt>
                <c:pt idx="700">
                  <c:v>450</c:v>
                </c:pt>
              </c:numCache>
            </c:numRef>
          </c:cat>
          <c:val>
            <c:numRef>
              <c:f>'Seasoning Ramp'!$N$3:$N$703</c:f>
              <c:numCache>
                <c:formatCode>General</c:formatCode>
                <c:ptCount val="701"/>
                <c:pt idx="0">
                  <c:v>1.6021391763680559</c:v>
                </c:pt>
                <c:pt idx="1">
                  <c:v>1.6021450096909695</c:v>
                </c:pt>
                <c:pt idx="2">
                  <c:v>1.602149870793157</c:v>
                </c:pt>
                <c:pt idx="3">
                  <c:v>1.6021547318951002</c:v>
                </c:pt>
                <c:pt idx="4">
                  <c:v>1.6021595929968324</c:v>
                </c:pt>
                <c:pt idx="5">
                  <c:v>1.6021644540983648</c:v>
                </c:pt>
                <c:pt idx="6">
                  <c:v>1.6021693151996641</c:v>
                </c:pt>
                <c:pt idx="7">
                  <c:v>1.6021741763007413</c:v>
                </c:pt>
                <c:pt idx="8">
                  <c:v>1.6021790374015965</c:v>
                </c:pt>
                <c:pt idx="9">
                  <c:v>1.6021838985021852</c:v>
                </c:pt>
                <c:pt idx="10">
                  <c:v>1.6021887596026629</c:v>
                </c:pt>
                <c:pt idx="11">
                  <c:v>1.6021945929228565</c:v>
                </c:pt>
                <c:pt idx="12">
                  <c:v>1.6021994540227458</c:v>
                </c:pt>
                <c:pt idx="13">
                  <c:v>1.6022043151225018</c:v>
                </c:pt>
                <c:pt idx="14">
                  <c:v>1.6022091762220025</c:v>
                </c:pt>
                <c:pt idx="15">
                  <c:v>1.6022140373212035</c:v>
                </c:pt>
                <c:pt idx="16">
                  <c:v>1.6022188984203156</c:v>
                </c:pt>
                <c:pt idx="17">
                  <c:v>1.6022237595189948</c:v>
                </c:pt>
                <c:pt idx="18">
                  <c:v>1.6022286206176295</c:v>
                </c:pt>
                <c:pt idx="19">
                  <c:v>1.6022334817159645</c:v>
                </c:pt>
                <c:pt idx="20">
                  <c:v>1.602238342814144</c:v>
                </c:pt>
                <c:pt idx="21">
                  <c:v>1.6022441761316952</c:v>
                </c:pt>
                <c:pt idx="22">
                  <c:v>1.602249037229353</c:v>
                </c:pt>
                <c:pt idx="23">
                  <c:v>1.602253898326822</c:v>
                </c:pt>
                <c:pt idx="24">
                  <c:v>1.6022587594240578</c:v>
                </c:pt>
                <c:pt idx="25">
                  <c:v>1.6022636205210938</c:v>
                </c:pt>
                <c:pt idx="26">
                  <c:v>1.6022684816178967</c:v>
                </c:pt>
                <c:pt idx="27">
                  <c:v>1.6022733427144886</c:v>
                </c:pt>
                <c:pt idx="28">
                  <c:v>1.6022782038108474</c:v>
                </c:pt>
                <c:pt idx="29">
                  <c:v>1.6022830649069619</c:v>
                </c:pt>
                <c:pt idx="30">
                  <c:v>1.6022879260029765</c:v>
                </c:pt>
                <c:pt idx="31">
                  <c:v>1.6022937593177411</c:v>
                </c:pt>
                <c:pt idx="32">
                  <c:v>1.602298620413134</c:v>
                </c:pt>
                <c:pt idx="33">
                  <c:v>1.6023034815084491</c:v>
                </c:pt>
                <c:pt idx="34">
                  <c:v>1.6023083426033868</c:v>
                </c:pt>
                <c:pt idx="35">
                  <c:v>1.6023132036981802</c:v>
                </c:pt>
                <c:pt idx="36">
                  <c:v>1.6023180647927404</c:v>
                </c:pt>
                <c:pt idx="37">
                  <c:v>1.6023229258870786</c:v>
                </c:pt>
                <c:pt idx="38">
                  <c:v>1.6023277869812169</c:v>
                </c:pt>
                <c:pt idx="39">
                  <c:v>1.6023326480750999</c:v>
                </c:pt>
                <c:pt idx="40">
                  <c:v>1.6023384813874775</c:v>
                </c:pt>
                <c:pt idx="41">
                  <c:v>1.6023433424809386</c:v>
                </c:pt>
                <c:pt idx="42">
                  <c:v>1.6023482035739889</c:v>
                </c:pt>
                <c:pt idx="43">
                  <c:v>1.6023530646669615</c:v>
                </c:pt>
                <c:pt idx="44">
                  <c:v>1.6023579257597231</c:v>
                </c:pt>
                <c:pt idx="45">
                  <c:v>1.6023627868522405</c:v>
                </c:pt>
                <c:pt idx="46">
                  <c:v>1.602367647944547</c:v>
                </c:pt>
                <c:pt idx="47">
                  <c:v>1.6023725090366536</c:v>
                </c:pt>
                <c:pt idx="48">
                  <c:v>1.6023773701285049</c:v>
                </c:pt>
                <c:pt idx="49">
                  <c:v>1.6023822312202007</c:v>
                </c:pt>
                <c:pt idx="50">
                  <c:v>1.6023880645298472</c:v>
                </c:pt>
                <c:pt idx="51">
                  <c:v>1.6023929256210545</c:v>
                </c:pt>
                <c:pt idx="52">
                  <c:v>1.6023977867120065</c:v>
                </c:pt>
                <c:pt idx="53">
                  <c:v>1.6024026478027253</c:v>
                </c:pt>
                <c:pt idx="54">
                  <c:v>1.6024075088932221</c:v>
                </c:pt>
                <c:pt idx="55">
                  <c:v>1.6024123699835524</c:v>
                </c:pt>
                <c:pt idx="56">
                  <c:v>1.602417231073594</c:v>
                </c:pt>
                <c:pt idx="57">
                  <c:v>1.6024220921634136</c:v>
                </c:pt>
                <c:pt idx="58">
                  <c:v>1.6024269532530666</c:v>
                </c:pt>
                <c:pt idx="59">
                  <c:v>1.6024318143425087</c:v>
                </c:pt>
                <c:pt idx="60">
                  <c:v>1.6024376476494351</c:v>
                </c:pt>
                <c:pt idx="61">
                  <c:v>1.6024425087383887</c:v>
                </c:pt>
                <c:pt idx="62">
                  <c:v>1.6024473698271091</c:v>
                </c:pt>
                <c:pt idx="63">
                  <c:v>1.6024522309156075</c:v>
                </c:pt>
                <c:pt idx="64">
                  <c:v>1.6024570920038395</c:v>
                </c:pt>
                <c:pt idx="65">
                  <c:v>1.6024619530918494</c:v>
                </c:pt>
                <c:pt idx="66">
                  <c:v>1.6024668141797038</c:v>
                </c:pt>
                <c:pt idx="67">
                  <c:v>1.602471675267314</c:v>
                </c:pt>
                <c:pt idx="68">
                  <c:v>1.6024765363545579</c:v>
                </c:pt>
                <c:pt idx="69">
                  <c:v>1.6024823696591639</c:v>
                </c:pt>
                <c:pt idx="70">
                  <c:v>1.6024872307460081</c:v>
                </c:pt>
                <c:pt idx="71">
                  <c:v>1.6024920918327079</c:v>
                </c:pt>
                <c:pt idx="72">
                  <c:v>1.6024969529191302</c:v>
                </c:pt>
                <c:pt idx="73">
                  <c:v>1.602501814005397</c:v>
                </c:pt>
                <c:pt idx="74">
                  <c:v>1.6025066750914752</c:v>
                </c:pt>
                <c:pt idx="75">
                  <c:v>1.6025115361772646</c:v>
                </c:pt>
                <c:pt idx="76">
                  <c:v>1.6025163972627765</c:v>
                </c:pt>
                <c:pt idx="77">
                  <c:v>1.6025212583481774</c:v>
                </c:pt>
                <c:pt idx="78">
                  <c:v>1.6025261194332896</c:v>
                </c:pt>
                <c:pt idx="79">
                  <c:v>1.6025319527352089</c:v>
                </c:pt>
                <c:pt idx="80">
                  <c:v>1.6025368138198437</c:v>
                </c:pt>
                <c:pt idx="81">
                  <c:v>1.6025416749042232</c:v>
                </c:pt>
                <c:pt idx="82">
                  <c:v>1.6025465359884694</c:v>
                </c:pt>
                <c:pt idx="83">
                  <c:v>1.6025513970724714</c:v>
                </c:pt>
                <c:pt idx="84">
                  <c:v>1.6025562581562292</c:v>
                </c:pt>
                <c:pt idx="85">
                  <c:v>1.602561119239776</c:v>
                </c:pt>
                <c:pt idx="86">
                  <c:v>1.6025659803231451</c:v>
                </c:pt>
                <c:pt idx="87">
                  <c:v>1.6025708414062256</c:v>
                </c:pt>
                <c:pt idx="88">
                  <c:v>1.6025757024891396</c:v>
                </c:pt>
                <c:pt idx="89">
                  <c:v>1.6025815357883055</c:v>
                </c:pt>
                <c:pt idx="90">
                  <c:v>1.6025863968707643</c:v>
                </c:pt>
                <c:pt idx="91">
                  <c:v>1.6025912579529455</c:v>
                </c:pt>
                <c:pt idx="92">
                  <c:v>1.6025961190348603</c:v>
                </c:pt>
                <c:pt idx="93">
                  <c:v>1.6026009801164975</c:v>
                </c:pt>
                <c:pt idx="94">
                  <c:v>1.6026058411980237</c:v>
                </c:pt>
                <c:pt idx="95">
                  <c:v>1.6026107022793279</c:v>
                </c:pt>
                <c:pt idx="96">
                  <c:v>1.6026155633604655</c:v>
                </c:pt>
                <c:pt idx="97">
                  <c:v>1.6026204244413145</c:v>
                </c:pt>
                <c:pt idx="98">
                  <c:v>1.6026252855219636</c:v>
                </c:pt>
                <c:pt idx="99">
                  <c:v>1.6026311188184206</c:v>
                </c:pt>
                <c:pt idx="100">
                  <c:v>1.602635979898559</c:v>
                </c:pt>
                <c:pt idx="101">
                  <c:v>1.6026408409785087</c:v>
                </c:pt>
                <c:pt idx="102">
                  <c:v>1.6026457020582474</c:v>
                </c:pt>
                <c:pt idx="103">
                  <c:v>1.6026505631377419</c:v>
                </c:pt>
                <c:pt idx="104">
                  <c:v>1.6026554242170143</c:v>
                </c:pt>
                <c:pt idx="105">
                  <c:v>1.602660285296087</c:v>
                </c:pt>
                <c:pt idx="106">
                  <c:v>1.6026651463749597</c:v>
                </c:pt>
                <c:pt idx="107">
                  <c:v>1.6026700074535882</c:v>
                </c:pt>
                <c:pt idx="108">
                  <c:v>1.6026758407475805</c:v>
                </c:pt>
                <c:pt idx="109">
                  <c:v>1.6026807018257538</c:v>
                </c:pt>
                <c:pt idx="110">
                  <c:v>1.6026855629036607</c:v>
                </c:pt>
                <c:pt idx="111">
                  <c:v>1.6026904239813899</c:v>
                </c:pt>
                <c:pt idx="112">
                  <c:v>1.6026952850588749</c:v>
                </c:pt>
                <c:pt idx="113">
                  <c:v>1.6027001461361046</c:v>
                </c:pt>
                <c:pt idx="114">
                  <c:v>1.6027050072131455</c:v>
                </c:pt>
                <c:pt idx="115">
                  <c:v>1.6027098682899976</c:v>
                </c:pt>
                <c:pt idx="116">
                  <c:v>1.6027147293665833</c:v>
                </c:pt>
                <c:pt idx="117">
                  <c:v>1.6027195904429359</c:v>
                </c:pt>
                <c:pt idx="118">
                  <c:v>1.6027254237341526</c:v>
                </c:pt>
                <c:pt idx="119">
                  <c:v>1.6027302848100389</c:v>
                </c:pt>
                <c:pt idx="120">
                  <c:v>1.602735145885692</c:v>
                </c:pt>
                <c:pt idx="121">
                  <c:v>1.6027400069611786</c:v>
                </c:pt>
                <c:pt idx="122">
                  <c:v>1.602744868036432</c:v>
                </c:pt>
                <c:pt idx="123">
                  <c:v>1.6027497291114523</c:v>
                </c:pt>
                <c:pt idx="124">
                  <c:v>1.6027545901862283</c:v>
                </c:pt>
                <c:pt idx="125">
                  <c:v>1.6027594512607712</c:v>
                </c:pt>
                <c:pt idx="126">
                  <c:v>1.6027643123351809</c:v>
                </c:pt>
                <c:pt idx="127">
                  <c:v>1.6027691734092464</c:v>
                </c:pt>
                <c:pt idx="128">
                  <c:v>1.6027750066979429</c:v>
                </c:pt>
                <c:pt idx="129">
                  <c:v>1.6027798677715532</c:v>
                </c:pt>
                <c:pt idx="130">
                  <c:v>1.6027847288450192</c:v>
                </c:pt>
                <c:pt idx="131">
                  <c:v>1.6027895899182076</c:v>
                </c:pt>
                <c:pt idx="132">
                  <c:v>1.6027944509911962</c:v>
                </c:pt>
                <c:pt idx="133">
                  <c:v>1.6027993120639628</c:v>
                </c:pt>
                <c:pt idx="134">
                  <c:v>1.6028041731365295</c:v>
                </c:pt>
                <c:pt idx="135">
                  <c:v>1.6028090342088186</c:v>
                </c:pt>
                <c:pt idx="136">
                  <c:v>1.6028138952809856</c:v>
                </c:pt>
                <c:pt idx="137">
                  <c:v>1.6028197285671619</c:v>
                </c:pt>
                <c:pt idx="138">
                  <c:v>1.6028245896388182</c:v>
                </c:pt>
                <c:pt idx="139">
                  <c:v>1.602829450710197</c:v>
                </c:pt>
                <c:pt idx="140">
                  <c:v>1.6028343117813981</c:v>
                </c:pt>
                <c:pt idx="141">
                  <c:v>1.6028391728523772</c:v>
                </c:pt>
                <c:pt idx="142">
                  <c:v>1.6028440339230898</c:v>
                </c:pt>
                <c:pt idx="143">
                  <c:v>1.6028488949936137</c:v>
                </c:pt>
                <c:pt idx="144">
                  <c:v>1.6028537560637379</c:v>
                </c:pt>
                <c:pt idx="145">
                  <c:v>1.6028595893478048</c:v>
                </c:pt>
                <c:pt idx="146">
                  <c:v>1.6028683392734</c:v>
                </c:pt>
                <c:pt idx="147">
                  <c:v>1.6028877835496669</c:v>
                </c:pt>
                <c:pt idx="148">
                  <c:v>1.6029218110248933</c:v>
                </c:pt>
                <c:pt idx="149">
                  <c:v>1.6029762549625737</c:v>
                </c:pt>
                <c:pt idx="150">
                  <c:v>1.6030569486053081</c:v>
                </c:pt>
                <c:pt idx="151">
                  <c:v>1.6031677807384792</c:v>
                </c:pt>
                <c:pt idx="152">
                  <c:v>1.6033155567381607</c:v>
                </c:pt>
                <c:pt idx="153">
                  <c:v>1.6035051374922782</c:v>
                </c:pt>
                <c:pt idx="154">
                  <c:v>1.6037413838097203</c:v>
                </c:pt>
                <c:pt idx="155">
                  <c:v>1.6040301286026626</c:v>
                </c:pt>
                <c:pt idx="156">
                  <c:v>1.6043772046491434</c:v>
                </c:pt>
                <c:pt idx="157">
                  <c:v>1.604787472365965</c:v>
                </c:pt>
                <c:pt idx="158">
                  <c:v>1.6052657919896296</c:v>
                </c:pt>
                <c:pt idx="159">
                  <c:v>1.6058179957337271</c:v>
                </c:pt>
                <c:pt idx="160">
                  <c:v>1.6065704659809388</c:v>
                </c:pt>
                <c:pt idx="161">
                  <c:v>1.6079878956079097</c:v>
                </c:pt>
                <c:pt idx="162">
                  <c:v>1.6101548351727724</c:v>
                </c:pt>
                <c:pt idx="163">
                  <c:v>1.6131130404973382</c:v>
                </c:pt>
                <c:pt idx="164">
                  <c:v>1.6169023017209683</c:v>
                </c:pt>
                <c:pt idx="165">
                  <c:v>1.6215672448753771</c:v>
                </c:pt>
                <c:pt idx="166">
                  <c:v>1.6271476075242819</c:v>
                </c:pt>
                <c:pt idx="167">
                  <c:v>1.6336860119865348</c:v>
                </c:pt>
                <c:pt idx="168">
                  <c:v>1.6412240733781669</c:v>
                </c:pt>
                <c:pt idx="169">
                  <c:v>1.6498043396837359</c:v>
                </c:pt>
                <c:pt idx="170">
                  <c:v>1.6594673722489683</c:v>
                </c:pt>
                <c:pt idx="171">
                  <c:v>1.6702546573426735</c:v>
                </c:pt>
                <c:pt idx="172">
                  <c:v>1.6822086014325888</c:v>
                </c:pt>
                <c:pt idx="173">
                  <c:v>1.6953705833939403</c:v>
                </c:pt>
                <c:pt idx="174">
                  <c:v>1.7097819216943755</c:v>
                </c:pt>
                <c:pt idx="175">
                  <c:v>1.7254828985267534</c:v>
                </c:pt>
                <c:pt idx="176">
                  <c:v>1.742516639458469</c:v>
                </c:pt>
                <c:pt idx="177">
                  <c:v>1.760924252067364</c:v>
                </c:pt>
                <c:pt idx="178">
                  <c:v>1.7807457928557313</c:v>
                </c:pt>
                <c:pt idx="179">
                  <c:v>1.8020231740551451</c:v>
                </c:pt>
                <c:pt idx="180">
                  <c:v>1.8247962753405567</c:v>
                </c:pt>
                <c:pt idx="181">
                  <c:v>1.8491077901174657</c:v>
                </c:pt>
                <c:pt idx="182">
                  <c:v>1.8749964280569631</c:v>
                </c:pt>
                <c:pt idx="183">
                  <c:v>1.9025046697875636</c:v>
                </c:pt>
                <c:pt idx="184">
                  <c:v>1.9316719711109487</c:v>
                </c:pt>
                <c:pt idx="185">
                  <c:v>1.9625396053720046</c:v>
                </c:pt>
                <c:pt idx="186">
                  <c:v>1.9951467795729094</c:v>
                </c:pt>
                <c:pt idx="187">
                  <c:v>2.0295354724787718</c:v>
                </c:pt>
                <c:pt idx="188">
                  <c:v>2.0657436469757928</c:v>
                </c:pt>
                <c:pt idx="189">
                  <c:v>2.1038129911593706</c:v>
                </c:pt>
                <c:pt idx="190">
                  <c:v>2.1437811658954864</c:v>
                </c:pt>
                <c:pt idx="191">
                  <c:v>2.1856895403728593</c:v>
                </c:pt>
                <c:pt idx="192">
                  <c:v>2.2295773779800632</c:v>
                </c:pt>
                <c:pt idx="193">
                  <c:v>2.2754837649009652</c:v>
                </c:pt>
                <c:pt idx="194">
                  <c:v>2.3234466368462492</c:v>
                </c:pt>
                <c:pt idx="195">
                  <c:v>2.3735056693011791</c:v>
                </c:pt>
                <c:pt idx="196">
                  <c:v>2.4257003356229045</c:v>
                </c:pt>
                <c:pt idx="197">
                  <c:v>2.4800679703358863</c:v>
                </c:pt>
                <c:pt idx="198">
                  <c:v>2.5366466572135149</c:v>
                </c:pt>
                <c:pt idx="199">
                  <c:v>2.5954752185794794</c:v>
                </c:pt>
                <c:pt idx="200">
                  <c:v>2.6565903161843041</c:v>
                </c:pt>
                <c:pt idx="201">
                  <c:v>2.7200312587224551</c:v>
                </c:pt>
                <c:pt idx="202">
                  <c:v>2.7858332540377506</c:v>
                </c:pt>
                <c:pt idx="203">
                  <c:v>2.8540350993491947</c:v>
                </c:pt>
                <c:pt idx="204">
                  <c:v>2.924672438400977</c:v>
                </c:pt>
                <c:pt idx="205">
                  <c:v>2.9977816003090241</c:v>
                </c:pt>
                <c:pt idx="206">
                  <c:v>3.0733995873047371</c:v>
                </c:pt>
                <c:pt idx="207">
                  <c:v>3.1515621456770559</c:v>
                </c:pt>
                <c:pt idx="208">
                  <c:v>3.2323047173843267</c:v>
                </c:pt>
                <c:pt idx="209">
                  <c:v>3.3156624306896476</c:v>
                </c:pt>
                <c:pt idx="210">
                  <c:v>3.4016691347879768</c:v>
                </c:pt>
                <c:pt idx="211">
                  <c:v>3.4903621697982778</c:v>
                </c:pt>
                <c:pt idx="212">
                  <c:v>3.5817737522949256</c:v>
                </c:pt>
                <c:pt idx="213">
                  <c:v>3.6759376601323668</c:v>
                </c:pt>
                <c:pt idx="214">
                  <c:v>3.7728882617860005</c:v>
                </c:pt>
                <c:pt idx="215">
                  <c:v>3.8726585986514794</c:v>
                </c:pt>
                <c:pt idx="216">
                  <c:v>3.9752813301675127</c:v>
                </c:pt>
                <c:pt idx="217">
                  <c:v>4.0807896735066791</c:v>
                </c:pt>
                <c:pt idx="218">
                  <c:v>4.1892145422379734</c:v>
                </c:pt>
                <c:pt idx="219">
                  <c:v>4.3005873892317359</c:v>
                </c:pt>
                <c:pt idx="220">
                  <c:v>4.4149401914813868</c:v>
                </c:pt>
                <c:pt idx="221">
                  <c:v>4.5323035431637066</c:v>
                </c:pt>
                <c:pt idx="222">
                  <c:v>4.6527066504587822</c:v>
                </c:pt>
                <c:pt idx="223">
                  <c:v>4.7761811004688788</c:v>
                </c:pt>
                <c:pt idx="224">
                  <c:v>4.9027335075461647</c:v>
                </c:pt>
                <c:pt idx="225">
                  <c:v>5.0315353590442591</c:v>
                </c:pt>
                <c:pt idx="226">
                  <c:v>5.1621473855008819</c:v>
                </c:pt>
                <c:pt idx="227">
                  <c:v>5.2945660698927259</c:v>
                </c:pt>
                <c:pt idx="228">
                  <c:v>5.428784967788336</c:v>
                </c:pt>
                <c:pt idx="229">
                  <c:v>5.5647975346629241</c:v>
                </c:pt>
                <c:pt idx="230">
                  <c:v>5.7025980613855882</c:v>
                </c:pt>
                <c:pt idx="231">
                  <c:v>5.8421816683553178</c:v>
                </c:pt>
                <c:pt idx="232">
                  <c:v>5.9835415020119909</c:v>
                </c:pt>
                <c:pt idx="233">
                  <c:v>6.1266715415069566</c:v>
                </c:pt>
                <c:pt idx="234">
                  <c:v>6.2715656627791549</c:v>
                </c:pt>
                <c:pt idx="235">
                  <c:v>6.418217638909784</c:v>
                </c:pt>
                <c:pt idx="236">
                  <c:v>6.5666211404868839</c:v>
                </c:pt>
                <c:pt idx="237">
                  <c:v>6.7167688101853589</c:v>
                </c:pt>
                <c:pt idx="238">
                  <c:v>6.8686550432978111</c:v>
                </c:pt>
                <c:pt idx="239">
                  <c:v>7.0222732052656944</c:v>
                </c:pt>
                <c:pt idx="240">
                  <c:v>7.1776147173909894</c:v>
                </c:pt>
                <c:pt idx="241">
                  <c:v>7.3346745925732098</c:v>
                </c:pt>
                <c:pt idx="242">
                  <c:v>7.4934440573329546</c:v>
                </c:pt>
                <c:pt idx="243">
                  <c:v>7.6539179192694711</c:v>
                </c:pt>
                <c:pt idx="244">
                  <c:v>7.8160872119758977</c:v>
                </c:pt>
                <c:pt idx="245">
                  <c:v>7.9799456250958745</c:v>
                </c:pt>
                <c:pt idx="246">
                  <c:v>8.1454849185362939</c:v>
                </c:pt>
                <c:pt idx="247">
                  <c:v>8.3126985830758944</c:v>
                </c:pt>
                <c:pt idx="248">
                  <c:v>8.4815781867066278</c:v>
                </c:pt>
                <c:pt idx="249">
                  <c:v>8.6521161150251444</c:v>
                </c:pt>
                <c:pt idx="250">
                  <c:v>8.8243046574355546</c:v>
                </c:pt>
                <c:pt idx="251">
                  <c:v>8.9981360076561874</c:v>
                </c:pt>
                <c:pt idx="252">
                  <c:v>9.1736022642364912</c:v>
                </c:pt>
                <c:pt idx="253">
                  <c:v>9.3506954310826114</c:v>
                </c:pt>
                <c:pt idx="254">
                  <c:v>9.5294065178190941</c:v>
                </c:pt>
                <c:pt idx="255">
                  <c:v>9.7097273456151605</c:v>
                </c:pt>
                <c:pt idx="256">
                  <c:v>9.8916505395891576</c:v>
                </c:pt>
                <c:pt idx="257">
                  <c:v>10.075166835413151</c:v>
                </c:pt>
                <c:pt idx="258">
                  <c:v>10.260266883640545</c:v>
                </c:pt>
                <c:pt idx="259">
                  <c:v>10.446943925838958</c:v>
                </c:pt>
                <c:pt idx="260">
                  <c:v>10.635188429048604</c:v>
                </c:pt>
                <c:pt idx="261">
                  <c:v>10.824990777135158</c:v>
                </c:pt>
                <c:pt idx="262">
                  <c:v>11.016343044747979</c:v>
                </c:pt>
                <c:pt idx="263">
                  <c:v>11.209235441097343</c:v>
                </c:pt>
                <c:pt idx="264">
                  <c:v>11.403658977391927</c:v>
                </c:pt>
                <c:pt idx="265">
                  <c:v>11.599605458662099</c:v>
                </c:pt>
                <c:pt idx="266">
                  <c:v>11.797063957500665</c:v>
                </c:pt>
                <c:pt idx="267">
                  <c:v>11.996026985408248</c:v>
                </c:pt>
                <c:pt idx="268">
                  <c:v>12.196483450534156</c:v>
                </c:pt>
                <c:pt idx="269">
                  <c:v>12.398424812797593</c:v>
                </c:pt>
                <c:pt idx="270">
                  <c:v>12.601841568489981</c:v>
                </c:pt>
                <c:pt idx="271">
                  <c:v>12.806723260192276</c:v>
                </c:pt>
                <c:pt idx="272">
                  <c:v>13.0130602236047</c:v>
                </c:pt>
                <c:pt idx="273">
                  <c:v>13.220843578876206</c:v>
                </c:pt>
                <c:pt idx="274">
                  <c:v>13.43006176360938</c:v>
                </c:pt>
                <c:pt idx="275">
                  <c:v>13.640706600595287</c:v>
                </c:pt>
                <c:pt idx="276">
                  <c:v>13.852766374675307</c:v>
                </c:pt>
                <c:pt idx="277">
                  <c:v>14.066231883256354</c:v>
                </c:pt>
                <c:pt idx="278">
                  <c:v>14.281092980838883</c:v>
                </c:pt>
                <c:pt idx="279">
                  <c:v>14.497338589540455</c:v>
                </c:pt>
                <c:pt idx="280">
                  <c:v>14.714958415349832</c:v>
                </c:pt>
                <c:pt idx="281">
                  <c:v>14.933942938983902</c:v>
                </c:pt>
                <c:pt idx="282">
                  <c:v>15.154280011618093</c:v>
                </c:pt>
                <c:pt idx="283">
                  <c:v>15.3759608129463</c:v>
                </c:pt>
                <c:pt idx="284">
                  <c:v>15.598973054058284</c:v>
                </c:pt>
                <c:pt idx="285">
                  <c:v>15.823306917332003</c:v>
                </c:pt>
                <c:pt idx="286">
                  <c:v>16.048951664316171</c:v>
                </c:pt>
                <c:pt idx="287">
                  <c:v>16.275895646829529</c:v>
                </c:pt>
                <c:pt idx="288">
                  <c:v>16.504127990951499</c:v>
                </c:pt>
                <c:pt idx="289">
                  <c:v>16.733638587430168</c:v>
                </c:pt>
                <c:pt idx="290">
                  <c:v>16.964415585547933</c:v>
                </c:pt>
                <c:pt idx="291">
                  <c:v>17.196447905125133</c:v>
                </c:pt>
                <c:pt idx="292">
                  <c:v>17.429723571073062</c:v>
                </c:pt>
                <c:pt idx="293">
                  <c:v>17.664232202094176</c:v>
                </c:pt>
                <c:pt idx="294">
                  <c:v>17.89996251941335</c:v>
                </c:pt>
                <c:pt idx="295">
                  <c:v>18.136903179764087</c:v>
                </c:pt>
                <c:pt idx="296">
                  <c:v>18.375041137950721</c:v>
                </c:pt>
                <c:pt idx="297">
                  <c:v>18.614366571457452</c:v>
                </c:pt>
                <c:pt idx="298">
                  <c:v>18.854867134121612</c:v>
                </c:pt>
                <c:pt idx="299">
                  <c:v>19.096531240222003</c:v>
                </c:pt>
                <c:pt idx="300">
                  <c:v>19.339347244029213</c:v>
                </c:pt>
                <c:pt idx="301">
                  <c:v>19.583452118495469</c:v>
                </c:pt>
                <c:pt idx="302">
                  <c:v>19.830322710270487</c:v>
                </c:pt>
                <c:pt idx="303">
                  <c:v>20.080265084096027</c:v>
                </c:pt>
                <c:pt idx="304">
                  <c:v>20.333183821279942</c:v>
                </c:pt>
                <c:pt idx="305">
                  <c:v>20.588983146995311</c:v>
                </c:pt>
                <c:pt idx="306">
                  <c:v>20.847567766398058</c:v>
                </c:pt>
                <c:pt idx="307">
                  <c:v>21.10884289184861</c:v>
                </c:pt>
                <c:pt idx="308">
                  <c:v>21.372715060804836</c:v>
                </c:pt>
                <c:pt idx="309">
                  <c:v>21.639090570873087</c:v>
                </c:pt>
                <c:pt idx="310">
                  <c:v>21.907877089812246</c:v>
                </c:pt>
                <c:pt idx="311">
                  <c:v>22.178981314529011</c:v>
                </c:pt>
                <c:pt idx="312">
                  <c:v>22.452312145314004</c:v>
                </c:pt>
                <c:pt idx="313">
                  <c:v>22.727779124642034</c:v>
                </c:pt>
                <c:pt idx="314">
                  <c:v>23.005290905301301</c:v>
                </c:pt>
                <c:pt idx="315">
                  <c:v>23.284758391937586</c:v>
                </c:pt>
                <c:pt idx="316">
                  <c:v>23.566092420981597</c:v>
                </c:pt>
                <c:pt idx="317">
                  <c:v>23.849205329614875</c:v>
                </c:pt>
                <c:pt idx="318">
                  <c:v>24.134008662466343</c:v>
                </c:pt>
                <c:pt idx="319">
                  <c:v>24.420417031898555</c:v>
                </c:pt>
                <c:pt idx="320">
                  <c:v>24.708342769577229</c:v>
                </c:pt>
                <c:pt idx="321">
                  <c:v>24.997702817451774</c:v>
                </c:pt>
                <c:pt idx="322">
                  <c:v>25.28841187747296</c:v>
                </c:pt>
                <c:pt idx="323">
                  <c:v>25.580385489723433</c:v>
                </c:pt>
                <c:pt idx="324">
                  <c:v>25.873543045291292</c:v>
                </c:pt>
                <c:pt idx="325">
                  <c:v>26.167801019635416</c:v>
                </c:pt>
                <c:pt idx="326">
                  <c:v>26.463079752254124</c:v>
                </c:pt>
                <c:pt idx="327">
                  <c:v>26.759298210998129</c:v>
                </c:pt>
                <c:pt idx="328">
                  <c:v>27.056376999082023</c:v>
                </c:pt>
                <c:pt idx="329">
                  <c:v>27.354239086896158</c:v>
                </c:pt>
                <c:pt idx="330">
                  <c:v>27.652806126025521</c:v>
                </c:pt>
                <c:pt idx="331">
                  <c:v>27.952002151800958</c:v>
                </c:pt>
                <c:pt idx="332">
                  <c:v>28.251751379320499</c:v>
                </c:pt>
                <c:pt idx="333">
                  <c:v>28.55197967398173</c:v>
                </c:pt>
                <c:pt idx="334">
                  <c:v>28.852611654494574</c:v>
                </c:pt>
                <c:pt idx="335">
                  <c:v>29.153576495499532</c:v>
                </c:pt>
                <c:pt idx="336">
                  <c:v>29.454801412517106</c:v>
                </c:pt>
                <c:pt idx="337">
                  <c:v>29.756216004819947</c:v>
                </c:pt>
                <c:pt idx="338">
                  <c:v>30.057749386651977</c:v>
                </c:pt>
                <c:pt idx="339">
                  <c:v>30.359333050777813</c:v>
                </c:pt>
                <c:pt idx="340">
                  <c:v>30.660899431685319</c:v>
                </c:pt>
                <c:pt idx="341">
                  <c:v>30.962380501909735</c:v>
                </c:pt>
                <c:pt idx="342">
                  <c:v>31.263711299834497</c:v>
                </c:pt>
                <c:pt idx="343">
                  <c:v>31.564825706147737</c:v>
                </c:pt>
                <c:pt idx="344">
                  <c:v>31.865659262310476</c:v>
                </c:pt>
                <c:pt idx="345">
                  <c:v>32.166149155704879</c:v>
                </c:pt>
                <c:pt idx="346">
                  <c:v>32.466233515741216</c:v>
                </c:pt>
                <c:pt idx="347">
                  <c:v>32.765850040561894</c:v>
                </c:pt>
                <c:pt idx="348">
                  <c:v>33.064938754388663</c:v>
                </c:pt>
                <c:pt idx="349">
                  <c:v>33.363439936252604</c:v>
                </c:pt>
                <c:pt idx="350">
                  <c:v>33.661294807947797</c:v>
                </c:pt>
                <c:pt idx="351">
                  <c:v>33.958446204740071</c:v>
                </c:pt>
                <c:pt idx="352">
                  <c:v>34.254837213568187</c:v>
                </c:pt>
                <c:pt idx="353">
                  <c:v>34.550411851189757</c:v>
                </c:pt>
                <c:pt idx="354">
                  <c:v>34.845115725211706</c:v>
                </c:pt>
                <c:pt idx="355">
                  <c:v>35.138894687632394</c:v>
                </c:pt>
                <c:pt idx="356">
                  <c:v>35.431696164086354</c:v>
                </c:pt>
                <c:pt idx="357">
                  <c:v>35.723466501553517</c:v>
                </c:pt>
                <c:pt idx="358">
                  <c:v>36.014156244850014</c:v>
                </c:pt>
                <c:pt idx="359">
                  <c:v>36.303713535394145</c:v>
                </c:pt>
                <c:pt idx="360">
                  <c:v>36.592090670242882</c:v>
                </c:pt>
                <c:pt idx="361">
                  <c:v>36.879236907508648</c:v>
                </c:pt>
                <c:pt idx="362">
                  <c:v>37.165106272711768</c:v>
                </c:pt>
                <c:pt idx="363">
                  <c:v>37.449651051346208</c:v>
                </c:pt>
                <c:pt idx="364">
                  <c:v>37.732825668292676</c:v>
                </c:pt>
                <c:pt idx="365">
                  <c:v>38.014584742300741</c:v>
                </c:pt>
                <c:pt idx="366">
                  <c:v>38.294883723442084</c:v>
                </c:pt>
                <c:pt idx="367">
                  <c:v>38.57367888308405</c:v>
                </c:pt>
                <c:pt idx="368">
                  <c:v>38.850928560798991</c:v>
                </c:pt>
                <c:pt idx="369">
                  <c:v>39.126589371664544</c:v>
                </c:pt>
                <c:pt idx="370">
                  <c:v>39.40062123480832</c:v>
                </c:pt>
                <c:pt idx="371">
                  <c:v>39.672983585391052</c:v>
                </c:pt>
                <c:pt idx="372">
                  <c:v>39.943636007339208</c:v>
                </c:pt>
                <c:pt idx="373">
                  <c:v>40.212540697463375</c:v>
                </c:pt>
                <c:pt idx="374">
                  <c:v>40.4796593493041</c:v>
                </c:pt>
                <c:pt idx="375">
                  <c:v>40.744953777116457</c:v>
                </c:pt>
                <c:pt idx="376">
                  <c:v>41.00838834897165</c:v>
                </c:pt>
                <c:pt idx="377">
                  <c:v>41.269926908003796</c:v>
                </c:pt>
                <c:pt idx="378">
                  <c:v>41.529533387835926</c:v>
                </c:pt>
                <c:pt idx="379">
                  <c:v>41.787173614442317</c:v>
                </c:pt>
                <c:pt idx="380">
                  <c:v>42.042814071640969</c:v>
                </c:pt>
                <c:pt idx="381">
                  <c:v>42.296421291823449</c:v>
                </c:pt>
                <c:pt idx="382">
                  <c:v>42.547961854489479</c:v>
                </c:pt>
                <c:pt idx="383">
                  <c:v>42.797404749624576</c:v>
                </c:pt>
                <c:pt idx="384">
                  <c:v>43.044718383540172</c:v>
                </c:pt>
                <c:pt idx="385">
                  <c:v>43.289871175093808</c:v>
                </c:pt>
                <c:pt idx="386">
                  <c:v>43.53283389039386</c:v>
                </c:pt>
                <c:pt idx="387">
                  <c:v>43.773576683622508</c:v>
                </c:pt>
                <c:pt idx="388">
                  <c:v>44.012069685361702</c:v>
                </c:pt>
                <c:pt idx="389">
                  <c:v>44.248284731829777</c:v>
                </c:pt>
                <c:pt idx="390">
                  <c:v>44.482194176978716</c:v>
                </c:pt>
                <c:pt idx="391">
                  <c:v>44.713770304637009</c:v>
                </c:pt>
                <c:pt idx="392">
                  <c:v>44.942985324563267</c:v>
                </c:pt>
                <c:pt idx="393">
                  <c:v>45.169813643269286</c:v>
                </c:pt>
                <c:pt idx="394">
                  <c:v>45.394228983136998</c:v>
                </c:pt>
                <c:pt idx="395">
                  <c:v>45.616205517688698</c:v>
                </c:pt>
                <c:pt idx="396">
                  <c:v>45.835717856065116</c:v>
                </c:pt>
                <c:pt idx="397">
                  <c:v>46.052741027394219</c:v>
                </c:pt>
                <c:pt idx="398">
                  <c:v>46.26725158177274</c:v>
                </c:pt>
                <c:pt idx="399">
                  <c:v>46.479224216190396</c:v>
                </c:pt>
                <c:pt idx="400">
                  <c:v>46.688636233729362</c:v>
                </c:pt>
                <c:pt idx="401">
                  <c:v>46.895464173378031</c:v>
                </c:pt>
                <c:pt idx="402">
                  <c:v>47.099684914699544</c:v>
                </c:pt>
                <c:pt idx="403">
                  <c:v>47.30127566160067</c:v>
                </c:pt>
                <c:pt idx="404">
                  <c:v>47.500214472607979</c:v>
                </c:pt>
                <c:pt idx="405">
                  <c:v>47.696479145620451</c:v>
                </c:pt>
                <c:pt idx="406">
                  <c:v>47.890047753770013</c:v>
                </c:pt>
                <c:pt idx="407">
                  <c:v>48.080899169875849</c:v>
                </c:pt>
                <c:pt idx="408">
                  <c:v>48.269011422976426</c:v>
                </c:pt>
                <c:pt idx="409">
                  <c:v>48.454364386962844</c:v>
                </c:pt>
                <c:pt idx="410">
                  <c:v>48.636936522788496</c:v>
                </c:pt>
                <c:pt idx="411">
                  <c:v>48.816707557932595</c:v>
                </c:pt>
                <c:pt idx="412">
                  <c:v>48.993656855142767</c:v>
                </c:pt>
                <c:pt idx="413">
                  <c:v>49.167764465201323</c:v>
                </c:pt>
                <c:pt idx="414">
                  <c:v>49.339009514384813</c:v>
                </c:pt>
                <c:pt idx="415">
                  <c:v>49.507372313160182</c:v>
                </c:pt>
                <c:pt idx="416">
                  <c:v>49.672833270943407</c:v>
                </c:pt>
                <c:pt idx="417">
                  <c:v>49.835371830261124</c:v>
                </c:pt>
                <c:pt idx="418">
                  <c:v>49.994968555634159</c:v>
                </c:pt>
                <c:pt idx="419">
                  <c:v>50.151603536776456</c:v>
                </c:pt>
                <c:pt idx="420">
                  <c:v>50.305257417894907</c:v>
                </c:pt>
                <c:pt idx="421">
                  <c:v>50.455909817480979</c:v>
                </c:pt>
                <c:pt idx="422">
                  <c:v>50.603541909187697</c:v>
                </c:pt>
                <c:pt idx="423">
                  <c:v>50.748132773821219</c:v>
                </c:pt>
                <c:pt idx="424">
                  <c:v>50.889664036198724</c:v>
                </c:pt>
                <c:pt idx="425">
                  <c:v>51.028115197304814</c:v>
                </c:pt>
                <c:pt idx="426">
                  <c:v>51.163466200202201</c:v>
                </c:pt>
                <c:pt idx="427">
                  <c:v>51.295696894333723</c:v>
                </c:pt>
                <c:pt idx="428">
                  <c:v>51.4247875256127</c:v>
                </c:pt>
                <c:pt idx="429">
                  <c:v>51.550758321061195</c:v>
                </c:pt>
                <c:pt idx="430">
                  <c:v>51.674094576548576</c:v>
                </c:pt>
                <c:pt idx="431">
                  <c:v>51.794970493047913</c:v>
                </c:pt>
                <c:pt idx="432">
                  <c:v>51.913417768109994</c:v>
                </c:pt>
                <c:pt idx="433">
                  <c:v>52.029469134477878</c:v>
                </c:pt>
                <c:pt idx="434">
                  <c:v>52.143154839056507</c:v>
                </c:pt>
                <c:pt idx="435">
                  <c:v>52.254506683449485</c:v>
                </c:pt>
                <c:pt idx="436">
                  <c:v>52.363554012570511</c:v>
                </c:pt>
                <c:pt idx="437">
                  <c:v>52.470327737294674</c:v>
                </c:pt>
                <c:pt idx="438">
                  <c:v>52.574856339829502</c:v>
                </c:pt>
                <c:pt idx="439">
                  <c:v>52.677169879205962</c:v>
                </c:pt>
                <c:pt idx="440">
                  <c:v>52.777296012727795</c:v>
                </c:pt>
                <c:pt idx="441">
                  <c:v>52.875263985007507</c:v>
                </c:pt>
                <c:pt idx="442">
                  <c:v>52.971101158983501</c:v>
                </c:pt>
                <c:pt idx="443">
                  <c:v>53.064835011669999</c:v>
                </c:pt>
                <c:pt idx="444">
                  <c:v>53.156492645805706</c:v>
                </c:pt>
                <c:pt idx="445">
                  <c:v>53.246101289830541</c:v>
                </c:pt>
                <c:pt idx="446">
                  <c:v>53.333686829998506</c:v>
                </c:pt>
                <c:pt idx="447">
                  <c:v>53.419275296486525</c:v>
                </c:pt>
                <c:pt idx="448">
                  <c:v>53.502892378153874</c:v>
                </c:pt>
                <c:pt idx="449">
                  <c:v>53.584563918647852</c:v>
                </c:pt>
                <c:pt idx="450">
                  <c:v>53.664314945331881</c:v>
                </c:pt>
                <c:pt idx="451">
                  <c:v>53.742169194078016</c:v>
                </c:pt>
                <c:pt idx="452">
                  <c:v>53.818152039969583</c:v>
                </c:pt>
                <c:pt idx="453">
                  <c:v>53.892287578301975</c:v>
                </c:pt>
                <c:pt idx="454">
                  <c:v>53.964599123661451</c:v>
                </c:pt>
                <c:pt idx="455">
                  <c:v>54.035110672056838</c:v>
                </c:pt>
                <c:pt idx="456">
                  <c:v>54.103844968099914</c:v>
                </c:pt>
                <c:pt idx="457">
                  <c:v>54.170824966190892</c:v>
                </c:pt>
                <c:pt idx="458">
                  <c:v>54.236074315828155</c:v>
                </c:pt>
                <c:pt idx="459">
                  <c:v>54.299614473970372</c:v>
                </c:pt>
                <c:pt idx="460">
                  <c:v>54.361468088960365</c:v>
                </c:pt>
                <c:pt idx="461">
                  <c:v>54.421656596983006</c:v>
                </c:pt>
                <c:pt idx="462">
                  <c:v>54.48020215248377</c:v>
                </c:pt>
                <c:pt idx="463">
                  <c:v>54.537126191465688</c:v>
                </c:pt>
                <c:pt idx="464">
                  <c:v>54.592449918823725</c:v>
                </c:pt>
                <c:pt idx="465">
                  <c:v>54.646193836235213</c:v>
                </c:pt>
                <c:pt idx="466">
                  <c:v>54.698379660429538</c:v>
                </c:pt>
                <c:pt idx="467">
                  <c:v>54.749026982367212</c:v>
                </c:pt>
                <c:pt idx="468">
                  <c:v>54.798156618302286</c:v>
                </c:pt>
                <c:pt idx="469">
                  <c:v>54.84578917987222</c:v>
                </c:pt>
                <c:pt idx="470">
                  <c:v>54.891943652769214</c:v>
                </c:pt>
                <c:pt idx="471">
                  <c:v>54.93664025979065</c:v>
                </c:pt>
                <c:pt idx="472">
                  <c:v>54.979898560409204</c:v>
                </c:pt>
                <c:pt idx="473">
                  <c:v>55.021737932414624</c:v>
                </c:pt>
                <c:pt idx="474">
                  <c:v>55.062177576939284</c:v>
                </c:pt>
                <c:pt idx="475">
                  <c:v>55.101236996995297</c:v>
                </c:pt>
                <c:pt idx="476">
                  <c:v>55.138934107572709</c:v>
                </c:pt>
                <c:pt idx="477">
                  <c:v>55.175288555983371</c:v>
                </c:pt>
                <c:pt idx="478">
                  <c:v>55.210318411716074</c:v>
                </c:pt>
                <c:pt idx="479">
                  <c:v>55.244042065056263</c:v>
                </c:pt>
                <c:pt idx="480">
                  <c:v>55.276478229917778</c:v>
                </c:pt>
                <c:pt idx="481">
                  <c:v>55.307644060379992</c:v>
                </c:pt>
                <c:pt idx="482">
                  <c:v>55.337558458704606</c:v>
                </c:pt>
                <c:pt idx="483">
                  <c:v>55.366239247636287</c:v>
                </c:pt>
                <c:pt idx="484">
                  <c:v>55.393703648287307</c:v>
                </c:pt>
                <c:pt idx="485">
                  <c:v>55.419969226584918</c:v>
                </c:pt>
                <c:pt idx="486">
                  <c:v>55.445053425747304</c:v>
                </c:pt>
                <c:pt idx="487">
                  <c:v>55.468974040330224</c:v>
                </c:pt>
                <c:pt idx="488">
                  <c:v>55.491748279421174</c:v>
                </c:pt>
                <c:pt idx="489">
                  <c:v>55.513392771663483</c:v>
                </c:pt>
                <c:pt idx="490">
                  <c:v>55.533924978284375</c:v>
                </c:pt>
                <c:pt idx="491">
                  <c:v>55.553361317943818</c:v>
                </c:pt>
                <c:pt idx="492">
                  <c:v>55.571719048467791</c:v>
                </c:pt>
                <c:pt idx="493">
                  <c:v>55.589014393157065</c:v>
                </c:pt>
                <c:pt idx="494">
                  <c:v>55.605264420886378</c:v>
                </c:pt>
                <c:pt idx="495">
                  <c:v>55.620485642282233</c:v>
                </c:pt>
                <c:pt idx="496">
                  <c:v>55.63469448235815</c:v>
                </c:pt>
                <c:pt idx="497">
                  <c:v>55.647906815556006</c:v>
                </c:pt>
                <c:pt idx="498">
                  <c:v>55.6601393741986</c:v>
                </c:pt>
                <c:pt idx="499">
                  <c:v>55.671408346290541</c:v>
                </c:pt>
                <c:pt idx="500">
                  <c:v>55.681729847262197</c:v>
                </c:pt>
                <c:pt idx="501">
                  <c:v>55.691119923080798</c:v>
                </c:pt>
                <c:pt idx="502">
                  <c:v>55.699594085495605</c:v>
                </c:pt>
                <c:pt idx="503">
                  <c:v>55.70716918634109</c:v>
                </c:pt>
                <c:pt idx="504">
                  <c:v>55.7138601457251</c:v>
                </c:pt>
                <c:pt idx="505">
                  <c:v>55.719683697122655</c:v>
                </c:pt>
                <c:pt idx="506">
                  <c:v>55.72465464854546</c:v>
                </c:pt>
                <c:pt idx="507">
                  <c:v>55.728789158960623</c:v>
                </c:pt>
                <c:pt idx="508">
                  <c:v>55.732103337884766</c:v>
                </c:pt>
                <c:pt idx="509">
                  <c:v>55.734612313187661</c:v>
                </c:pt>
                <c:pt idx="510">
                  <c:v>55.736613977152331</c:v>
                </c:pt>
                <c:pt idx="511">
                  <c:v>55.73857302190612</c:v>
                </c:pt>
                <c:pt idx="512">
                  <c:v>55.740495528995915</c:v>
                </c:pt>
                <c:pt idx="513">
                  <c:v>55.742381970174115</c:v>
                </c:pt>
                <c:pt idx="514">
                  <c:v>55.744232349661857</c:v>
                </c:pt>
                <c:pt idx="515">
                  <c:v>55.746047606317596</c:v>
                </c:pt>
                <c:pt idx="516">
                  <c:v>55.747827744097656</c:v>
                </c:pt>
                <c:pt idx="517">
                  <c:v>55.749573701531453</c:v>
                </c:pt>
                <c:pt idx="518">
                  <c:v>55.751285015014361</c:v>
                </c:pt>
                <c:pt idx="519">
                  <c:v>55.752962155518283</c:v>
                </c:pt>
                <c:pt idx="520">
                  <c:v>55.754606061153225</c:v>
                </c:pt>
                <c:pt idx="521">
                  <c:v>55.756216268050096</c:v>
                </c:pt>
                <c:pt idx="522">
                  <c:v>55.757794181313614</c:v>
                </c:pt>
                <c:pt idx="523">
                  <c:v>55.759339336876955</c:v>
                </c:pt>
                <c:pt idx="524">
                  <c:v>55.760852205098701</c:v>
                </c:pt>
                <c:pt idx="525">
                  <c:v>55.762333256213317</c:v>
                </c:pt>
                <c:pt idx="526">
                  <c:v>55.76378249314704</c:v>
                </c:pt>
                <c:pt idx="527">
                  <c:v>55.765200853110429</c:v>
                </c:pt>
                <c:pt idx="528">
                  <c:v>55.766588805983631</c:v>
                </c:pt>
                <c:pt idx="529">
                  <c:v>55.76794588724082</c:v>
                </c:pt>
                <c:pt idx="530">
                  <c:v>55.769273033752739</c:v>
                </c:pt>
                <c:pt idx="531">
                  <c:v>55.770570247987258</c:v>
                </c:pt>
                <c:pt idx="532">
                  <c:v>55.771838466575076</c:v>
                </c:pt>
                <c:pt idx="533">
                  <c:v>55.773077224703435</c:v>
                </c:pt>
                <c:pt idx="534">
                  <c:v>55.774287458810967</c:v>
                </c:pt>
                <c:pt idx="535">
                  <c:v>55.775469638116668</c:v>
                </c:pt>
                <c:pt idx="536">
                  <c:v>55.776623297618386</c:v>
                </c:pt>
                <c:pt idx="537">
                  <c:v>55.777749840516996</c:v>
                </c:pt>
                <c:pt idx="538">
                  <c:v>55.778848801669255</c:v>
                </c:pt>
                <c:pt idx="539">
                  <c:v>55.779921117021082</c:v>
                </c:pt>
                <c:pt idx="540">
                  <c:v>55.780966788348252</c:v>
                </c:pt>
                <c:pt idx="541">
                  <c:v>55.781985817382271</c:v>
                </c:pt>
                <c:pt idx="542">
                  <c:v>55.782979139813648</c:v>
                </c:pt>
                <c:pt idx="543">
                  <c:v>55.78394722422172</c:v>
                </c:pt>
                <c:pt idx="544">
                  <c:v>55.784890072125123</c:v>
                </c:pt>
                <c:pt idx="545">
                  <c:v>55.785808151977044</c:v>
                </c:pt>
                <c:pt idx="546">
                  <c:v>55.786701465191101</c:v>
                </c:pt>
                <c:pt idx="547">
                  <c:v>55.787570947056729</c:v>
                </c:pt>
                <c:pt idx="548">
                  <c:v>55.78841659886222</c:v>
                </c:pt>
                <c:pt idx="549">
                  <c:v>55.789238421860432</c:v>
                </c:pt>
                <c:pt idx="550">
                  <c:v>55.790037818068349</c:v>
                </c:pt>
                <c:pt idx="551">
                  <c:v>55.790813854749523</c:v>
                </c:pt>
                <c:pt idx="552">
                  <c:v>55.791567933786034</c:v>
                </c:pt>
                <c:pt idx="553">
                  <c:v>55.792300056207601</c:v>
                </c:pt>
                <c:pt idx="554">
                  <c:v>55.793010223013653</c:v>
                </c:pt>
                <c:pt idx="555">
                  <c:v>55.79369890207164</c:v>
                </c:pt>
                <c:pt idx="556">
                  <c:v>55.794367028084267</c:v>
                </c:pt>
                <c:pt idx="557">
                  <c:v>55.795014135020494</c:v>
                </c:pt>
                <c:pt idx="558">
                  <c:v>55.795641624363036</c:v>
                </c:pt>
                <c:pt idx="559">
                  <c:v>55.796248563131336</c:v>
                </c:pt>
                <c:pt idx="560">
                  <c:v>55.79683588583584</c:v>
                </c:pt>
                <c:pt idx="561">
                  <c:v>55.797404526916814</c:v>
                </c:pt>
                <c:pt idx="562">
                  <c:v>55.797954020178508</c:v>
                </c:pt>
                <c:pt idx="563">
                  <c:v>55.798484833126679</c:v>
                </c:pt>
                <c:pt idx="564">
                  <c:v>55.798997433224606</c:v>
                </c:pt>
                <c:pt idx="565">
                  <c:v>55.799492287894516</c:v>
                </c:pt>
                <c:pt idx="566">
                  <c:v>55.799969864519717</c:v>
                </c:pt>
                <c:pt idx="567">
                  <c:v>55.800429696780874</c:v>
                </c:pt>
                <c:pt idx="568">
                  <c:v>55.800873185670419</c:v>
                </c:pt>
                <c:pt idx="569">
                  <c:v>55.80130033163924</c:v>
                </c:pt>
                <c:pt idx="570">
                  <c:v>55.801711135121515</c:v>
                </c:pt>
                <c:pt idx="571">
                  <c:v>55.80210653016757</c:v>
                </c:pt>
                <c:pt idx="572">
                  <c:v>55.802486517156559</c:v>
                </c:pt>
                <c:pt idx="573">
                  <c:v>55.802851096452535</c:v>
                </c:pt>
                <c:pt idx="574">
                  <c:v>55.803201202016474</c:v>
                </c:pt>
                <c:pt idx="575">
                  <c:v>55.803536834163751</c:v>
                </c:pt>
                <c:pt idx="576">
                  <c:v>55.803858459995716</c:v>
                </c:pt>
                <c:pt idx="577">
                  <c:v>55.804166546589215</c:v>
                </c:pt>
                <c:pt idx="578">
                  <c:v>55.804461560997176</c:v>
                </c:pt>
                <c:pt idx="579">
                  <c:v>55.804743036668889</c:v>
                </c:pt>
                <c:pt idx="580">
                  <c:v>55.805012374205823</c:v>
                </c:pt>
                <c:pt idx="581">
                  <c:v>55.805269573811564</c:v>
                </c:pt>
                <c:pt idx="582">
                  <c:v>55.805514635680296</c:v>
                </c:pt>
                <c:pt idx="583">
                  <c:v>55.805748026778133</c:v>
                </c:pt>
                <c:pt idx="584">
                  <c:v>55.805970214053538</c:v>
                </c:pt>
                <c:pt idx="585">
                  <c:v>55.806181664438135</c:v>
                </c:pt>
                <c:pt idx="586">
                  <c:v>55.806382844848265</c:v>
                </c:pt>
                <c:pt idx="587">
                  <c:v>55.806573288639363</c:v>
                </c:pt>
                <c:pt idx="588">
                  <c:v>55.806754396252579</c:v>
                </c:pt>
                <c:pt idx="589">
                  <c:v>55.806925701023523</c:v>
                </c:pt>
                <c:pt idx="590">
                  <c:v>55.807088136592839</c:v>
                </c:pt>
                <c:pt idx="591">
                  <c:v>55.807241703050181</c:v>
                </c:pt>
                <c:pt idx="592">
                  <c:v>55.807386867245576</c:v>
                </c:pt>
                <c:pt idx="593">
                  <c:v>55.807524096018767</c:v>
                </c:pt>
                <c:pt idx="594">
                  <c:v>55.807653389437405</c:v>
                </c:pt>
                <c:pt idx="595">
                  <c:v>55.807775681088337</c:v>
                </c:pt>
                <c:pt idx="596">
                  <c:v>55.807890504264414</c:v>
                </c:pt>
                <c:pt idx="597">
                  <c:v>55.807998792537617</c:v>
                </c:pt>
                <c:pt idx="598">
                  <c:v>55.808100545952009</c:v>
                </c:pt>
                <c:pt idx="599">
                  <c:v>55.808196698063718</c:v>
                </c:pt>
                <c:pt idx="600">
                  <c:v>55.808287248906083</c:v>
                </c:pt>
                <c:pt idx="601">
                  <c:v>55.808372198510895</c:v>
                </c:pt>
                <c:pt idx="602">
                  <c:v>55.808452480417344</c:v>
                </c:pt>
                <c:pt idx="603">
                  <c:v>55.808528094648871</c:v>
                </c:pt>
                <c:pt idx="604">
                  <c:v>55.808599041227438</c:v>
                </c:pt>
                <c:pt idx="605">
                  <c:v>55.808666720432001</c:v>
                </c:pt>
                <c:pt idx="606">
                  <c:v>55.808730665524195</c:v>
                </c:pt>
                <c:pt idx="607">
                  <c:v>55.808791343270492</c:v>
                </c:pt>
                <c:pt idx="608">
                  <c:v>55.80884922043424</c:v>
                </c:pt>
                <c:pt idx="609">
                  <c:v>55.808904763776077</c:v>
                </c:pt>
                <c:pt idx="610">
                  <c:v>55.808957973303997</c:v>
                </c:pt>
                <c:pt idx="611">
                  <c:v>55.809009315775256</c:v>
                </c:pt>
                <c:pt idx="612">
                  <c:v>55.809059257944881</c:v>
                </c:pt>
                <c:pt idx="613">
                  <c:v>55.809107799817227</c:v>
                </c:pt>
                <c:pt idx="614">
                  <c:v>55.809156341640588</c:v>
                </c:pt>
                <c:pt idx="615">
                  <c:v>55.809203949919862</c:v>
                </c:pt>
                <c:pt idx="616">
                  <c:v>55.80925155815217</c:v>
                </c:pt>
                <c:pt idx="617">
                  <c:v>55.809299633084123</c:v>
                </c:pt>
                <c:pt idx="618">
                  <c:v>55.809348174714344</c:v>
                </c:pt>
                <c:pt idx="619">
                  <c:v>55.809397649787229</c:v>
                </c:pt>
                <c:pt idx="620">
                  <c:v>55.809448525045028</c:v>
                </c:pt>
                <c:pt idx="621">
                  <c:v>55.809500800483306</c:v>
                </c:pt>
                <c:pt idx="622">
                  <c:v>55.809553542609166</c:v>
                </c:pt>
                <c:pt idx="623">
                  <c:v>55.80960628467728</c:v>
                </c:pt>
                <c:pt idx="624">
                  <c:v>55.809659026687754</c:v>
                </c:pt>
                <c:pt idx="625">
                  <c:v>55.809711768640533</c:v>
                </c:pt>
                <c:pt idx="626">
                  <c:v>55.809764510535544</c:v>
                </c:pt>
                <c:pt idx="627">
                  <c:v>55.809816785631213</c:v>
                </c:pt>
                <c:pt idx="628">
                  <c:v>55.809869527411358</c:v>
                </c:pt>
                <c:pt idx="629">
                  <c:v>55.809922269133814</c:v>
                </c:pt>
                <c:pt idx="630">
                  <c:v>55.809975010798517</c:v>
                </c:pt>
                <c:pt idx="631">
                  <c:v>55.810027752405553</c:v>
                </c:pt>
                <c:pt idx="632">
                  <c:v>55.810080493954892</c:v>
                </c:pt>
                <c:pt idx="633">
                  <c:v>55.810133235446592</c:v>
                </c:pt>
                <c:pt idx="634">
                  <c:v>55.810185510142404</c:v>
                </c:pt>
                <c:pt idx="635">
                  <c:v>55.810238251519117</c:v>
                </c:pt>
                <c:pt idx="636">
                  <c:v>55.810290992838176</c:v>
                </c:pt>
                <c:pt idx="637">
                  <c:v>55.810343734099497</c:v>
                </c:pt>
                <c:pt idx="638">
                  <c:v>55.810396475303122</c:v>
                </c:pt>
                <c:pt idx="639">
                  <c:v>55.810449216449044</c:v>
                </c:pt>
                <c:pt idx="640">
                  <c:v>55.810501957537319</c:v>
                </c:pt>
                <c:pt idx="641">
                  <c:v>55.810554698567842</c:v>
                </c:pt>
                <c:pt idx="642">
                  <c:v>55.810606972806667</c:v>
                </c:pt>
                <c:pt idx="643">
                  <c:v>55.810659713722266</c:v>
                </c:pt>
                <c:pt idx="644">
                  <c:v>55.810712454580205</c:v>
                </c:pt>
                <c:pt idx="645">
                  <c:v>55.810765195380398</c:v>
                </c:pt>
                <c:pt idx="646">
                  <c:v>55.810817936122923</c:v>
                </c:pt>
                <c:pt idx="647">
                  <c:v>55.810870676807745</c:v>
                </c:pt>
                <c:pt idx="648">
                  <c:v>55.810923417434942</c:v>
                </c:pt>
                <c:pt idx="649">
                  <c:v>55.810976158004344</c:v>
                </c:pt>
                <c:pt idx="650">
                  <c:v>55.811028431786134</c:v>
                </c:pt>
                <c:pt idx="651">
                  <c:v>55.811081172240641</c:v>
                </c:pt>
                <c:pt idx="652">
                  <c:v>55.811133912637459</c:v>
                </c:pt>
                <c:pt idx="653">
                  <c:v>55.811186652976595</c:v>
                </c:pt>
                <c:pt idx="654">
                  <c:v>55.811239393258028</c:v>
                </c:pt>
                <c:pt idx="655">
                  <c:v>55.811292133481707</c:v>
                </c:pt>
                <c:pt idx="656">
                  <c:v>55.811344873647741</c:v>
                </c:pt>
                <c:pt idx="657">
                  <c:v>55.811397613756156</c:v>
                </c:pt>
                <c:pt idx="658">
                  <c:v>55.81144988708089</c:v>
                </c:pt>
                <c:pt idx="659">
                  <c:v>55.811502627074319</c:v>
                </c:pt>
                <c:pt idx="660">
                  <c:v>55.811555367010037</c:v>
                </c:pt>
                <c:pt idx="661">
                  <c:v>55.81160810688808</c:v>
                </c:pt>
                <c:pt idx="662">
                  <c:v>55.811660846708413</c:v>
                </c:pt>
                <c:pt idx="663">
                  <c:v>55.811713586471015</c:v>
                </c:pt>
                <c:pt idx="664">
                  <c:v>55.811766326176027</c:v>
                </c:pt>
                <c:pt idx="665">
                  <c:v>55.81181859910096</c:v>
                </c:pt>
                <c:pt idx="666">
                  <c:v>55.811871338690992</c:v>
                </c:pt>
                <c:pt idx="667">
                  <c:v>55.811924078223306</c:v>
                </c:pt>
                <c:pt idx="668">
                  <c:v>55.811976817697918</c:v>
                </c:pt>
                <c:pt idx="669">
                  <c:v>55.812029557114862</c:v>
                </c:pt>
                <c:pt idx="670">
                  <c:v>55.812082296474117</c:v>
                </c:pt>
                <c:pt idx="671">
                  <c:v>55.812135035775626</c:v>
                </c:pt>
                <c:pt idx="672">
                  <c:v>55.812187775019517</c:v>
                </c:pt>
                <c:pt idx="673">
                  <c:v>55.812240047487464</c:v>
                </c:pt>
                <c:pt idx="674">
                  <c:v>55.812292786616389</c:v>
                </c:pt>
                <c:pt idx="675">
                  <c:v>55.812345525687626</c:v>
                </c:pt>
                <c:pt idx="676">
                  <c:v>55.81239826470118</c:v>
                </c:pt>
                <c:pt idx="677">
                  <c:v>55.812451003657017</c:v>
                </c:pt>
                <c:pt idx="678">
                  <c:v>55.812503742555151</c:v>
                </c:pt>
                <c:pt idx="679">
                  <c:v>55.812556481395667</c:v>
                </c:pt>
                <c:pt idx="680">
                  <c:v>55.812609220178423</c:v>
                </c:pt>
                <c:pt idx="681">
                  <c:v>55.812661492189328</c:v>
                </c:pt>
                <c:pt idx="682">
                  <c:v>55.812714230857196</c:v>
                </c:pt>
                <c:pt idx="683">
                  <c:v>55.812766969467333</c:v>
                </c:pt>
                <c:pt idx="684">
                  <c:v>55.812819708019788</c:v>
                </c:pt>
                <c:pt idx="685">
                  <c:v>55.812872446514547</c:v>
                </c:pt>
                <c:pt idx="686">
                  <c:v>55.812925184951624</c:v>
                </c:pt>
                <c:pt idx="687">
                  <c:v>55.81297792333104</c:v>
                </c:pt>
                <c:pt idx="688">
                  <c:v>55.813030194942037</c:v>
                </c:pt>
                <c:pt idx="689">
                  <c:v>55.813082933206616</c:v>
                </c:pt>
                <c:pt idx="690">
                  <c:v>55.81313567141337</c:v>
                </c:pt>
                <c:pt idx="691">
                  <c:v>55.813188409562429</c:v>
                </c:pt>
                <c:pt idx="692">
                  <c:v>55.813241147653812</c:v>
                </c:pt>
                <c:pt idx="693">
                  <c:v>55.813293885687465</c:v>
                </c:pt>
                <c:pt idx="694">
                  <c:v>55.813346623663449</c:v>
                </c:pt>
                <c:pt idx="695">
                  <c:v>55.813399361581794</c:v>
                </c:pt>
                <c:pt idx="696">
                  <c:v>55.813451632735898</c:v>
                </c:pt>
                <c:pt idx="697">
                  <c:v>55.813504370539292</c:v>
                </c:pt>
                <c:pt idx="698">
                  <c:v>55.813557108284996</c:v>
                </c:pt>
                <c:pt idx="699">
                  <c:v>55.813609845972969</c:v>
                </c:pt>
                <c:pt idx="700">
                  <c:v>55.813662583603254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731840"/>
        <c:axId val="451733760"/>
      </c:lineChart>
      <c:catAx>
        <c:axId val="45173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WALA (Month)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51733760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45173376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Baseline</a:t>
                </a:r>
                <a:r>
                  <a:rPr lang="en-US" baseline="0"/>
                  <a:t> Refi * S-Curve * Media Effect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51731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590551</xdr:colOff>
      <xdr:row>1</xdr:row>
      <xdr:rowOff>161925</xdr:rowOff>
    </xdr:from>
    <xdr:to>
      <xdr:col>23</xdr:col>
      <xdr:colOff>123825</xdr:colOff>
      <xdr:row>28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85725</xdr:colOff>
      <xdr:row>37</xdr:row>
      <xdr:rowOff>190499</xdr:rowOff>
    </xdr:from>
    <xdr:to>
      <xdr:col>28</xdr:col>
      <xdr:colOff>47625</xdr:colOff>
      <xdr:row>66</xdr:row>
      <xdr:rowOff>104774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123825</xdr:colOff>
      <xdr:row>6</xdr:row>
      <xdr:rowOff>47625</xdr:rowOff>
    </xdr:from>
    <xdr:to>
      <xdr:col>28</xdr:col>
      <xdr:colOff>85725</xdr:colOff>
      <xdr:row>34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2"/>
  <sheetViews>
    <sheetView workbookViewId="0">
      <selection activeCell="G1" sqref="G1:G2"/>
    </sheetView>
  </sheetViews>
  <sheetFormatPr defaultRowHeight="15" x14ac:dyDescent="0.25"/>
  <cols>
    <col min="1" max="1" width="14.42578125" bestFit="1" customWidth="1"/>
    <col min="2" max="2" width="16.7109375" bestFit="1" customWidth="1"/>
    <col min="3" max="3" width="17.5703125" bestFit="1" customWidth="1"/>
    <col min="4" max="4" width="16.85546875" bestFit="1" customWidth="1"/>
    <col min="5" max="6" width="10.140625" customWidth="1"/>
    <col min="7" max="7" width="15.7109375" bestFit="1" customWidth="1"/>
    <col min="8" max="8" width="9.5703125" bestFit="1" customWidth="1"/>
  </cols>
  <sheetData>
    <row r="1" spans="1:8" x14ac:dyDescent="0.25">
      <c r="A1" s="4" t="s">
        <v>6</v>
      </c>
      <c r="B1" s="4" t="s">
        <v>3</v>
      </c>
      <c r="C1" s="4" t="s">
        <v>4</v>
      </c>
      <c r="D1" s="4" t="s">
        <v>5</v>
      </c>
      <c r="G1" s="2" t="s">
        <v>2</v>
      </c>
      <c r="H1" s="1" t="s">
        <v>0</v>
      </c>
    </row>
    <row r="2" spans="1:8" x14ac:dyDescent="0.25">
      <c r="A2">
        <v>-250</v>
      </c>
      <c r="B2">
        <v>0.16357459999999999</v>
      </c>
      <c r="C2">
        <f t="shared" ref="C2:C40" si="0">B2*$G$2</f>
        <v>2.7302252843459999E-4</v>
      </c>
      <c r="D2">
        <f t="shared" ref="D2:D40" si="1">100*(1-(1-C2)^12)</f>
        <v>0.32713550899183819</v>
      </c>
      <c r="G2" s="3">
        <v>1.6691010000000001E-3</v>
      </c>
      <c r="H2" s="3">
        <f>100*(1-(1-G2)^12)</f>
        <v>1.9846361878634533</v>
      </c>
    </row>
    <row r="3" spans="1:8" x14ac:dyDescent="0.25">
      <c r="A3">
        <v>-249</v>
      </c>
      <c r="B3">
        <v>0.1635752</v>
      </c>
      <c r="C3">
        <f t="shared" si="0"/>
        <v>2.7302352989520004E-4</v>
      </c>
      <c r="D3">
        <f t="shared" si="1"/>
        <v>0.32713670714026311</v>
      </c>
    </row>
    <row r="4" spans="1:8" x14ac:dyDescent="0.25">
      <c r="A4">
        <v>-248</v>
      </c>
      <c r="B4">
        <v>0.16357569999999999</v>
      </c>
      <c r="C4">
        <f t="shared" si="0"/>
        <v>2.7302436444569998E-4</v>
      </c>
      <c r="D4">
        <f t="shared" si="1"/>
        <v>0.32713770559726907</v>
      </c>
    </row>
    <row r="5" spans="1:8" x14ac:dyDescent="0.25">
      <c r="A5">
        <v>-247</v>
      </c>
      <c r="B5">
        <v>0.1635762</v>
      </c>
      <c r="C5">
        <f t="shared" si="0"/>
        <v>2.7302519899620003E-4</v>
      </c>
      <c r="D5">
        <f t="shared" si="1"/>
        <v>0.32713870405431944</v>
      </c>
    </row>
    <row r="6" spans="1:8" x14ac:dyDescent="0.25">
      <c r="A6">
        <v>-246</v>
      </c>
      <c r="B6">
        <v>0.16357669999999999</v>
      </c>
      <c r="C6">
        <f t="shared" si="0"/>
        <v>2.7302603354669998E-4</v>
      </c>
      <c r="D6">
        <f t="shared" si="1"/>
        <v>0.32713970251138091</v>
      </c>
    </row>
    <row r="7" spans="1:8" x14ac:dyDescent="0.25">
      <c r="A7">
        <v>-245</v>
      </c>
      <c r="B7">
        <v>0.16357720000000001</v>
      </c>
      <c r="C7">
        <f t="shared" si="0"/>
        <v>2.7302686809720002E-4</v>
      </c>
      <c r="D7">
        <f t="shared" si="1"/>
        <v>0.32714070096839798</v>
      </c>
    </row>
    <row r="8" spans="1:8" x14ac:dyDescent="0.25">
      <c r="A8">
        <v>-244</v>
      </c>
      <c r="B8">
        <v>0.16357769999999999</v>
      </c>
      <c r="C8">
        <f t="shared" si="0"/>
        <v>2.7302770264770002E-4</v>
      </c>
      <c r="D8">
        <f t="shared" si="1"/>
        <v>0.32714169942543725</v>
      </c>
    </row>
    <row r="9" spans="1:8" x14ac:dyDescent="0.25">
      <c r="A9">
        <v>-243</v>
      </c>
      <c r="B9">
        <v>0.16357820000000001</v>
      </c>
      <c r="C9">
        <f t="shared" si="0"/>
        <v>2.7302853719820002E-4</v>
      </c>
      <c r="D9">
        <f t="shared" si="1"/>
        <v>0.32714269788246542</v>
      </c>
    </row>
    <row r="10" spans="1:8" x14ac:dyDescent="0.25">
      <c r="A10">
        <v>-242</v>
      </c>
      <c r="B10">
        <v>0.16357869999999999</v>
      </c>
      <c r="C10">
        <f t="shared" si="0"/>
        <v>2.7302937174870001E-4</v>
      </c>
      <c r="D10">
        <f t="shared" si="1"/>
        <v>0.32714369633939366</v>
      </c>
    </row>
    <row r="11" spans="1:8" x14ac:dyDescent="0.25">
      <c r="A11">
        <v>-241</v>
      </c>
      <c r="B11">
        <v>0.16357920000000001</v>
      </c>
      <c r="C11">
        <f t="shared" si="0"/>
        <v>2.7303020629920001E-4</v>
      </c>
      <c r="D11">
        <f t="shared" si="1"/>
        <v>0.32714469479641073</v>
      </c>
    </row>
    <row r="12" spans="1:8" x14ac:dyDescent="0.25">
      <c r="A12">
        <v>-240</v>
      </c>
      <c r="B12">
        <v>0.16357969999999999</v>
      </c>
      <c r="C12">
        <f t="shared" si="0"/>
        <v>2.730310408497E-4</v>
      </c>
      <c r="D12">
        <f t="shared" si="1"/>
        <v>0.32714569325342779</v>
      </c>
    </row>
    <row r="13" spans="1:8" x14ac:dyDescent="0.25">
      <c r="A13">
        <v>-239</v>
      </c>
      <c r="B13">
        <v>0.16358030000000001</v>
      </c>
      <c r="C13">
        <f t="shared" si="0"/>
        <v>2.7303204231030005E-4</v>
      </c>
      <c r="D13">
        <f t="shared" si="1"/>
        <v>0.32714689140183051</v>
      </c>
    </row>
    <row r="14" spans="1:8" x14ac:dyDescent="0.25">
      <c r="A14">
        <v>-238</v>
      </c>
      <c r="B14">
        <v>0.1635808</v>
      </c>
      <c r="C14">
        <f t="shared" si="0"/>
        <v>2.7303287686079999E-4</v>
      </c>
      <c r="D14">
        <f t="shared" si="1"/>
        <v>0.32714788985866994</v>
      </c>
    </row>
    <row r="15" spans="1:8" x14ac:dyDescent="0.25">
      <c r="A15">
        <v>-237</v>
      </c>
      <c r="B15">
        <v>0.16358130000000001</v>
      </c>
      <c r="C15">
        <f t="shared" si="0"/>
        <v>2.7303371141130004E-4</v>
      </c>
      <c r="D15">
        <f t="shared" si="1"/>
        <v>0.3271488883156537</v>
      </c>
    </row>
    <row r="16" spans="1:8" x14ac:dyDescent="0.25">
      <c r="A16">
        <v>-236</v>
      </c>
      <c r="B16">
        <v>0.1635818</v>
      </c>
      <c r="C16">
        <f t="shared" si="0"/>
        <v>2.7303454596180004E-4</v>
      </c>
      <c r="D16">
        <f t="shared" si="1"/>
        <v>0.32714988677263745</v>
      </c>
    </row>
    <row r="17" spans="1:4" x14ac:dyDescent="0.25">
      <c r="A17">
        <v>-235</v>
      </c>
      <c r="B17">
        <v>0.16358230000000001</v>
      </c>
      <c r="C17">
        <f t="shared" si="0"/>
        <v>2.7303538051230003E-4</v>
      </c>
      <c r="D17">
        <f t="shared" si="1"/>
        <v>0.3271508852295324</v>
      </c>
    </row>
    <row r="18" spans="1:4" x14ac:dyDescent="0.25">
      <c r="A18">
        <v>-234</v>
      </c>
      <c r="B18">
        <v>0.1635828</v>
      </c>
      <c r="C18">
        <f t="shared" si="0"/>
        <v>2.7303621506280003E-4</v>
      </c>
      <c r="D18">
        <f t="shared" si="1"/>
        <v>0.32715188368649395</v>
      </c>
    </row>
    <row r="19" spans="1:4" x14ac:dyDescent="0.25">
      <c r="A19">
        <v>-233</v>
      </c>
      <c r="B19">
        <v>0.16358329999999999</v>
      </c>
      <c r="C19">
        <f t="shared" si="0"/>
        <v>2.7303704961329997E-4</v>
      </c>
      <c r="D19">
        <f t="shared" si="1"/>
        <v>0.3271528821434333</v>
      </c>
    </row>
    <row r="20" spans="1:4" x14ac:dyDescent="0.25">
      <c r="A20">
        <v>-232</v>
      </c>
      <c r="B20">
        <v>0.1635838</v>
      </c>
      <c r="C20">
        <f t="shared" si="0"/>
        <v>2.7303788416380002E-4</v>
      </c>
      <c r="D20">
        <f t="shared" si="1"/>
        <v>0.32715388060025052</v>
      </c>
    </row>
    <row r="21" spans="1:4" x14ac:dyDescent="0.25">
      <c r="A21">
        <v>-231</v>
      </c>
      <c r="B21">
        <v>0.16358429999999999</v>
      </c>
      <c r="C21">
        <f t="shared" si="0"/>
        <v>2.7303871871430001E-4</v>
      </c>
      <c r="D21">
        <f t="shared" si="1"/>
        <v>0.32715487905717877</v>
      </c>
    </row>
    <row r="22" spans="1:4" x14ac:dyDescent="0.25">
      <c r="A22">
        <v>-230</v>
      </c>
      <c r="B22">
        <v>0.1635848</v>
      </c>
      <c r="C22">
        <f t="shared" si="0"/>
        <v>2.7303955326480001E-4</v>
      </c>
      <c r="D22">
        <f t="shared" si="1"/>
        <v>0.32715587751408481</v>
      </c>
    </row>
    <row r="23" spans="1:4" x14ac:dyDescent="0.25">
      <c r="A23">
        <v>-229</v>
      </c>
      <c r="B23">
        <v>0.16358539999999999</v>
      </c>
      <c r="C23">
        <f t="shared" si="0"/>
        <v>2.730405547254E-4</v>
      </c>
      <c r="D23">
        <f t="shared" si="1"/>
        <v>0.32715707566237651</v>
      </c>
    </row>
    <row r="24" spans="1:4" x14ac:dyDescent="0.25">
      <c r="A24">
        <v>-228</v>
      </c>
      <c r="B24">
        <v>0.16358590000000001</v>
      </c>
      <c r="C24">
        <f t="shared" si="0"/>
        <v>2.7304138927590005E-4</v>
      </c>
      <c r="D24">
        <f t="shared" si="1"/>
        <v>0.32715807411914932</v>
      </c>
    </row>
    <row r="25" spans="1:4" x14ac:dyDescent="0.25">
      <c r="A25">
        <v>-227</v>
      </c>
      <c r="B25">
        <v>0.16358639999999999</v>
      </c>
      <c r="C25">
        <f t="shared" si="0"/>
        <v>2.7304222382639999E-4</v>
      </c>
      <c r="D25">
        <f t="shared" si="1"/>
        <v>0.32715907257603316</v>
      </c>
    </row>
    <row r="26" spans="1:4" x14ac:dyDescent="0.25">
      <c r="A26">
        <v>-226</v>
      </c>
      <c r="B26">
        <v>0.16358690000000001</v>
      </c>
      <c r="C26">
        <f t="shared" si="0"/>
        <v>2.7304305837690004E-4</v>
      </c>
      <c r="D26">
        <f t="shared" si="1"/>
        <v>0.327160071032917</v>
      </c>
    </row>
    <row r="27" spans="1:4" x14ac:dyDescent="0.25">
      <c r="A27">
        <v>-225</v>
      </c>
      <c r="B27">
        <v>0.16358739999999999</v>
      </c>
      <c r="C27">
        <f t="shared" si="0"/>
        <v>2.7304389292739998E-4</v>
      </c>
      <c r="D27">
        <f t="shared" si="1"/>
        <v>0.32716106948968982</v>
      </c>
    </row>
    <row r="28" spans="1:4" x14ac:dyDescent="0.25">
      <c r="A28">
        <v>-224</v>
      </c>
      <c r="B28">
        <v>0.16358790000000001</v>
      </c>
      <c r="C28">
        <f t="shared" si="0"/>
        <v>2.7304472747790003E-4</v>
      </c>
      <c r="D28">
        <f t="shared" si="1"/>
        <v>0.32716206794656255</v>
      </c>
    </row>
    <row r="29" spans="1:4" x14ac:dyDescent="0.25">
      <c r="A29">
        <v>-223</v>
      </c>
      <c r="B29">
        <v>0.16358839999999999</v>
      </c>
      <c r="C29">
        <f t="shared" si="0"/>
        <v>2.7304556202840003E-4</v>
      </c>
      <c r="D29">
        <f t="shared" si="1"/>
        <v>0.32716306640343529</v>
      </c>
    </row>
    <row r="30" spans="1:4" x14ac:dyDescent="0.25">
      <c r="A30">
        <v>-222</v>
      </c>
      <c r="B30">
        <v>0.16358890000000001</v>
      </c>
      <c r="C30">
        <f t="shared" si="0"/>
        <v>2.7304639657890002E-4</v>
      </c>
      <c r="D30">
        <f t="shared" si="1"/>
        <v>0.32716406486011929</v>
      </c>
    </row>
    <row r="31" spans="1:4" x14ac:dyDescent="0.25">
      <c r="A31">
        <v>-221</v>
      </c>
      <c r="B31">
        <v>0.1635894</v>
      </c>
      <c r="C31">
        <f t="shared" si="0"/>
        <v>2.7304723112940002E-4</v>
      </c>
      <c r="D31">
        <f t="shared" si="1"/>
        <v>0.32716506331698092</v>
      </c>
    </row>
    <row r="32" spans="1:4" x14ac:dyDescent="0.25">
      <c r="A32">
        <v>-220</v>
      </c>
      <c r="B32">
        <v>0.16358990000000001</v>
      </c>
      <c r="C32">
        <f t="shared" si="0"/>
        <v>2.7304806567990001E-4</v>
      </c>
      <c r="D32">
        <f t="shared" si="1"/>
        <v>0.32716606177369822</v>
      </c>
    </row>
    <row r="33" spans="1:4" x14ac:dyDescent="0.25">
      <c r="A33">
        <v>-219</v>
      </c>
      <c r="B33">
        <v>0.1635905</v>
      </c>
      <c r="C33">
        <f t="shared" si="0"/>
        <v>2.7304906714050001E-4</v>
      </c>
      <c r="D33">
        <f t="shared" si="1"/>
        <v>0.3271672599219233</v>
      </c>
    </row>
    <row r="34" spans="1:4" x14ac:dyDescent="0.25">
      <c r="A34">
        <v>-218</v>
      </c>
      <c r="B34">
        <v>0.16359099999999999</v>
      </c>
      <c r="C34">
        <f t="shared" si="0"/>
        <v>2.73049901691E-4</v>
      </c>
      <c r="D34">
        <f t="shared" si="1"/>
        <v>0.32716825837862951</v>
      </c>
    </row>
    <row r="35" spans="1:4" x14ac:dyDescent="0.25">
      <c r="A35">
        <v>-217</v>
      </c>
      <c r="B35">
        <v>0.1635915</v>
      </c>
      <c r="C35">
        <f t="shared" si="0"/>
        <v>2.730507362415E-4</v>
      </c>
      <c r="D35">
        <f t="shared" si="1"/>
        <v>0.32716925683544673</v>
      </c>
    </row>
    <row r="36" spans="1:4" x14ac:dyDescent="0.25">
      <c r="A36">
        <v>-216</v>
      </c>
      <c r="B36">
        <v>0.16359199999999999</v>
      </c>
      <c r="C36">
        <f t="shared" si="0"/>
        <v>2.7305157079199999E-4</v>
      </c>
      <c r="D36">
        <f t="shared" si="1"/>
        <v>0.32717025529224175</v>
      </c>
    </row>
    <row r="37" spans="1:4" x14ac:dyDescent="0.25">
      <c r="A37">
        <v>-215</v>
      </c>
      <c r="B37">
        <v>0.1635925</v>
      </c>
      <c r="C37">
        <f t="shared" si="0"/>
        <v>2.7305240534250004E-4</v>
      </c>
      <c r="D37">
        <f t="shared" si="1"/>
        <v>0.32717125374891465</v>
      </c>
    </row>
    <row r="38" spans="1:4" x14ac:dyDescent="0.25">
      <c r="A38">
        <v>-214</v>
      </c>
      <c r="B38">
        <v>0.16359299999999999</v>
      </c>
      <c r="C38">
        <f t="shared" si="0"/>
        <v>2.7305323989299999E-4</v>
      </c>
      <c r="D38">
        <f t="shared" si="1"/>
        <v>0.32717225220567636</v>
      </c>
    </row>
    <row r="39" spans="1:4" x14ac:dyDescent="0.25">
      <c r="A39">
        <v>-213</v>
      </c>
      <c r="B39">
        <v>0.1635935</v>
      </c>
      <c r="C39">
        <f t="shared" si="0"/>
        <v>2.7305407444350003E-4</v>
      </c>
      <c r="D39">
        <f t="shared" si="1"/>
        <v>0.32717325066234926</v>
      </c>
    </row>
    <row r="40" spans="1:4" x14ac:dyDescent="0.25">
      <c r="A40">
        <v>-212</v>
      </c>
      <c r="B40">
        <v>0.16359399999999999</v>
      </c>
      <c r="C40">
        <f t="shared" si="0"/>
        <v>2.7305490899399998E-4</v>
      </c>
      <c r="D40">
        <f t="shared" si="1"/>
        <v>0.32717424911909987</v>
      </c>
    </row>
    <row r="41" spans="1:4" x14ac:dyDescent="0.25">
      <c r="A41">
        <v>-211</v>
      </c>
      <c r="B41">
        <v>0.1635945</v>
      </c>
      <c r="C41">
        <f t="shared" ref="C41:C104" si="2">B41*$G$2</f>
        <v>2.7305574354450003E-4</v>
      </c>
      <c r="D41">
        <f t="shared" ref="D41:D104" si="3">100*(1-(1-C41)^12)</f>
        <v>0.32717524757585048</v>
      </c>
    </row>
    <row r="42" spans="1:4" x14ac:dyDescent="0.25">
      <c r="A42">
        <v>-210</v>
      </c>
      <c r="B42">
        <v>0.16359509999999999</v>
      </c>
      <c r="C42">
        <f t="shared" si="2"/>
        <v>2.7305674500510002E-4</v>
      </c>
      <c r="D42">
        <f t="shared" si="3"/>
        <v>0.32717644572388682</v>
      </c>
    </row>
    <row r="43" spans="1:4" x14ac:dyDescent="0.25">
      <c r="A43">
        <v>-209</v>
      </c>
      <c r="B43">
        <v>0.16359560000000001</v>
      </c>
      <c r="C43">
        <f t="shared" si="2"/>
        <v>2.7305757955560002E-4</v>
      </c>
      <c r="D43">
        <f t="shared" si="3"/>
        <v>0.32717744418062633</v>
      </c>
    </row>
    <row r="44" spans="1:4" x14ac:dyDescent="0.25">
      <c r="A44">
        <v>-208</v>
      </c>
      <c r="B44">
        <v>0.16359609999999999</v>
      </c>
      <c r="C44">
        <f t="shared" si="2"/>
        <v>2.7305841410610001E-4</v>
      </c>
      <c r="D44">
        <f t="shared" si="3"/>
        <v>0.3271784426371549</v>
      </c>
    </row>
    <row r="45" spans="1:4" x14ac:dyDescent="0.25">
      <c r="A45">
        <v>-207</v>
      </c>
      <c r="B45">
        <v>0.16359660000000001</v>
      </c>
      <c r="C45">
        <f t="shared" si="2"/>
        <v>2.7305924865660001E-4</v>
      </c>
      <c r="D45">
        <f t="shared" si="3"/>
        <v>0.32717944109391661</v>
      </c>
    </row>
    <row r="46" spans="1:4" x14ac:dyDescent="0.25">
      <c r="A46">
        <v>-206</v>
      </c>
      <c r="B46">
        <v>0.1635971</v>
      </c>
      <c r="C46">
        <f t="shared" si="2"/>
        <v>2.730600832071E-4</v>
      </c>
      <c r="D46">
        <f t="shared" si="3"/>
        <v>0.32718043955062281</v>
      </c>
    </row>
    <row r="47" spans="1:4" x14ac:dyDescent="0.25">
      <c r="A47">
        <v>-205</v>
      </c>
      <c r="B47">
        <v>0.16359760000000001</v>
      </c>
      <c r="C47">
        <f t="shared" si="2"/>
        <v>2.7306091775760005E-4</v>
      </c>
      <c r="D47">
        <f t="shared" si="3"/>
        <v>0.32718143800720689</v>
      </c>
    </row>
    <row r="48" spans="1:4" x14ac:dyDescent="0.25">
      <c r="A48">
        <v>-204</v>
      </c>
      <c r="B48">
        <v>0.1635981</v>
      </c>
      <c r="C48">
        <f t="shared" si="2"/>
        <v>2.7306175230809999E-4</v>
      </c>
      <c r="D48">
        <f t="shared" si="3"/>
        <v>0.32718243646390199</v>
      </c>
    </row>
    <row r="49" spans="1:4" x14ac:dyDescent="0.25">
      <c r="A49">
        <v>-203</v>
      </c>
      <c r="B49">
        <v>0.16359860000000001</v>
      </c>
      <c r="C49">
        <f t="shared" si="2"/>
        <v>2.7306258685860004E-4</v>
      </c>
      <c r="D49">
        <f t="shared" si="3"/>
        <v>0.32718343492046387</v>
      </c>
    </row>
    <row r="50" spans="1:4" x14ac:dyDescent="0.25">
      <c r="A50">
        <v>-202</v>
      </c>
      <c r="B50">
        <v>0.1635991</v>
      </c>
      <c r="C50">
        <f t="shared" si="2"/>
        <v>2.7306342140910004E-4</v>
      </c>
      <c r="D50">
        <f t="shared" si="3"/>
        <v>0.32718443337708125</v>
      </c>
    </row>
    <row r="51" spans="1:4" x14ac:dyDescent="0.25">
      <c r="A51">
        <v>-201</v>
      </c>
      <c r="B51">
        <v>0.16359960000000001</v>
      </c>
      <c r="C51">
        <f t="shared" si="2"/>
        <v>2.7306425595960003E-4</v>
      </c>
      <c r="D51">
        <f t="shared" si="3"/>
        <v>0.32718543183374305</v>
      </c>
    </row>
    <row r="52" spans="1:4" x14ac:dyDescent="0.25">
      <c r="A52">
        <v>-200</v>
      </c>
      <c r="B52">
        <v>0.1636002</v>
      </c>
      <c r="C52">
        <f t="shared" si="2"/>
        <v>2.7306525742020003E-4</v>
      </c>
      <c r="D52">
        <f t="shared" si="3"/>
        <v>0.32718662998165726</v>
      </c>
    </row>
    <row r="53" spans="1:4" x14ac:dyDescent="0.25">
      <c r="A53">
        <v>-199</v>
      </c>
      <c r="B53">
        <v>0.16360069999999999</v>
      </c>
      <c r="C53">
        <f t="shared" si="2"/>
        <v>2.7306609197070002E-4</v>
      </c>
      <c r="D53">
        <f t="shared" si="3"/>
        <v>0.32718762843833016</v>
      </c>
    </row>
    <row r="54" spans="1:4" x14ac:dyDescent="0.25">
      <c r="A54">
        <v>-198</v>
      </c>
      <c r="B54">
        <v>0.1636012</v>
      </c>
      <c r="C54">
        <f t="shared" si="2"/>
        <v>2.7306692652120002E-4</v>
      </c>
      <c r="D54">
        <f t="shared" si="3"/>
        <v>0.32718862689478101</v>
      </c>
    </row>
    <row r="55" spans="1:4" x14ac:dyDescent="0.25">
      <c r="A55">
        <v>-197</v>
      </c>
      <c r="B55">
        <v>0.16360169999999999</v>
      </c>
      <c r="C55">
        <f t="shared" si="2"/>
        <v>2.7306776107170001E-4</v>
      </c>
      <c r="D55">
        <f t="shared" si="3"/>
        <v>0.3271896253514095</v>
      </c>
    </row>
    <row r="56" spans="1:4" x14ac:dyDescent="0.25">
      <c r="A56">
        <v>-196</v>
      </c>
      <c r="B56">
        <v>0.1636022</v>
      </c>
      <c r="C56">
        <f t="shared" si="2"/>
        <v>2.7306859562220001E-4</v>
      </c>
      <c r="D56">
        <f t="shared" si="3"/>
        <v>0.32719062380791586</v>
      </c>
    </row>
    <row r="57" spans="1:4" x14ac:dyDescent="0.25">
      <c r="A57">
        <v>-195</v>
      </c>
      <c r="B57">
        <v>0.16360269999999999</v>
      </c>
      <c r="C57">
        <f t="shared" si="2"/>
        <v>2.730694301727E-4</v>
      </c>
      <c r="D57">
        <f t="shared" si="3"/>
        <v>0.32719162226452214</v>
      </c>
    </row>
    <row r="58" spans="1:4" x14ac:dyDescent="0.25">
      <c r="A58">
        <v>-194</v>
      </c>
      <c r="B58">
        <v>0.1636032</v>
      </c>
      <c r="C58">
        <f t="shared" si="2"/>
        <v>2.730702647232E-4</v>
      </c>
      <c r="D58">
        <f t="shared" si="3"/>
        <v>0.32719262072109512</v>
      </c>
    </row>
    <row r="59" spans="1:4" x14ac:dyDescent="0.25">
      <c r="A59">
        <v>-193</v>
      </c>
      <c r="B59">
        <v>0.16360369999999999</v>
      </c>
      <c r="C59">
        <f t="shared" si="2"/>
        <v>2.7307109927369999E-4</v>
      </c>
      <c r="D59">
        <f t="shared" si="3"/>
        <v>0.32719361917755707</v>
      </c>
    </row>
    <row r="60" spans="1:4" x14ac:dyDescent="0.25">
      <c r="A60">
        <v>-192</v>
      </c>
      <c r="B60">
        <v>0.16360420000000001</v>
      </c>
      <c r="C60">
        <f t="shared" si="2"/>
        <v>2.7307193382420004E-4</v>
      </c>
      <c r="D60">
        <f t="shared" si="3"/>
        <v>0.32719461763418556</v>
      </c>
    </row>
    <row r="61" spans="1:4" x14ac:dyDescent="0.25">
      <c r="A61">
        <v>-191</v>
      </c>
      <c r="B61">
        <v>0.16360469999999999</v>
      </c>
      <c r="C61">
        <f t="shared" si="2"/>
        <v>2.7307276837469998E-4</v>
      </c>
      <c r="D61">
        <f t="shared" si="3"/>
        <v>0.32719561609069192</v>
      </c>
    </row>
    <row r="62" spans="1:4" x14ac:dyDescent="0.25">
      <c r="A62">
        <v>-190</v>
      </c>
      <c r="B62">
        <v>0.16360530000000001</v>
      </c>
      <c r="C62">
        <f t="shared" si="2"/>
        <v>2.7307376983530003E-4</v>
      </c>
      <c r="D62">
        <f t="shared" si="3"/>
        <v>0.32719681423850622</v>
      </c>
    </row>
    <row r="63" spans="1:4" x14ac:dyDescent="0.25">
      <c r="A63">
        <v>-189</v>
      </c>
      <c r="B63">
        <v>0.1636058</v>
      </c>
      <c r="C63">
        <f t="shared" si="2"/>
        <v>2.7307460438580003E-4</v>
      </c>
      <c r="D63">
        <f t="shared" si="3"/>
        <v>0.32719781269490156</v>
      </c>
    </row>
    <row r="64" spans="1:4" x14ac:dyDescent="0.25">
      <c r="A64">
        <v>-188</v>
      </c>
      <c r="B64">
        <v>0.16360630000000001</v>
      </c>
      <c r="C64">
        <f t="shared" si="2"/>
        <v>2.7307543893630002E-4</v>
      </c>
      <c r="D64">
        <f t="shared" si="3"/>
        <v>0.32719881115146343</v>
      </c>
    </row>
    <row r="65" spans="1:4" x14ac:dyDescent="0.25">
      <c r="A65">
        <v>-187</v>
      </c>
      <c r="B65">
        <v>0.1636068</v>
      </c>
      <c r="C65">
        <f t="shared" si="2"/>
        <v>2.7307627348680002E-4</v>
      </c>
      <c r="D65">
        <f t="shared" si="3"/>
        <v>0.3271998096080142</v>
      </c>
    </row>
    <row r="66" spans="1:4" x14ac:dyDescent="0.25">
      <c r="A66">
        <v>-186</v>
      </c>
      <c r="B66">
        <v>0.16360730000000001</v>
      </c>
      <c r="C66">
        <f t="shared" si="2"/>
        <v>2.7307710803730001E-4</v>
      </c>
      <c r="D66">
        <f t="shared" si="3"/>
        <v>0.32720080806435403</v>
      </c>
    </row>
    <row r="67" spans="1:4" x14ac:dyDescent="0.25">
      <c r="A67">
        <v>-185</v>
      </c>
      <c r="B67">
        <v>0.1636078</v>
      </c>
      <c r="C67">
        <f t="shared" si="2"/>
        <v>2.7307794258780001E-4</v>
      </c>
      <c r="D67">
        <f t="shared" si="3"/>
        <v>0.3272018065208937</v>
      </c>
    </row>
    <row r="68" spans="1:4" x14ac:dyDescent="0.25">
      <c r="A68">
        <v>-184</v>
      </c>
      <c r="B68">
        <v>0.16360830000000001</v>
      </c>
      <c r="C68">
        <f t="shared" si="2"/>
        <v>2.7307877713830006E-4</v>
      </c>
      <c r="D68">
        <f t="shared" si="3"/>
        <v>0.32720280497736676</v>
      </c>
    </row>
    <row r="69" spans="1:4" x14ac:dyDescent="0.25">
      <c r="A69">
        <v>-183</v>
      </c>
      <c r="B69">
        <v>0.1636088</v>
      </c>
      <c r="C69">
        <f t="shared" si="2"/>
        <v>2.730796116888E-4</v>
      </c>
      <c r="D69">
        <f t="shared" si="3"/>
        <v>0.3272038034337621</v>
      </c>
    </row>
    <row r="70" spans="1:4" x14ac:dyDescent="0.25">
      <c r="A70">
        <v>-182</v>
      </c>
      <c r="B70">
        <v>0.16360930000000001</v>
      </c>
      <c r="C70">
        <f t="shared" si="2"/>
        <v>2.7308044623930005E-4</v>
      </c>
      <c r="D70">
        <f t="shared" si="3"/>
        <v>0.32720480189021295</v>
      </c>
    </row>
    <row r="71" spans="1:4" x14ac:dyDescent="0.25">
      <c r="A71">
        <v>-181</v>
      </c>
      <c r="B71">
        <v>0.1636099</v>
      </c>
      <c r="C71">
        <f t="shared" si="2"/>
        <v>2.7308144769990004E-4</v>
      </c>
      <c r="D71">
        <f t="shared" si="3"/>
        <v>0.32720600003794953</v>
      </c>
    </row>
    <row r="72" spans="1:4" x14ac:dyDescent="0.25">
      <c r="A72">
        <v>-180</v>
      </c>
      <c r="B72">
        <v>0.16361039999999999</v>
      </c>
      <c r="C72">
        <f t="shared" si="2"/>
        <v>2.7308228225039999E-4</v>
      </c>
      <c r="D72">
        <f t="shared" si="3"/>
        <v>0.32720699849435597</v>
      </c>
    </row>
    <row r="73" spans="1:4" x14ac:dyDescent="0.25">
      <c r="A73">
        <v>-179</v>
      </c>
      <c r="B73">
        <v>0.1636109</v>
      </c>
      <c r="C73">
        <f t="shared" si="2"/>
        <v>2.7308311680090003E-4</v>
      </c>
      <c r="D73">
        <f t="shared" si="3"/>
        <v>0.3272079969507069</v>
      </c>
    </row>
    <row r="74" spans="1:4" x14ac:dyDescent="0.25">
      <c r="A74">
        <v>-178</v>
      </c>
      <c r="B74">
        <v>0.16361139999999999</v>
      </c>
      <c r="C74">
        <f t="shared" si="2"/>
        <v>2.7308395135139998E-4</v>
      </c>
      <c r="D74">
        <f t="shared" si="3"/>
        <v>0.32720899540714665</v>
      </c>
    </row>
    <row r="75" spans="1:4" x14ac:dyDescent="0.25">
      <c r="A75">
        <v>-177</v>
      </c>
      <c r="B75">
        <v>0.1636119</v>
      </c>
      <c r="C75">
        <f t="shared" si="2"/>
        <v>2.7308478590190003E-4</v>
      </c>
      <c r="D75">
        <f t="shared" si="3"/>
        <v>0.3272099938635975</v>
      </c>
    </row>
    <row r="76" spans="1:4" x14ac:dyDescent="0.25">
      <c r="A76">
        <v>-176</v>
      </c>
      <c r="B76">
        <v>0.16361239999999999</v>
      </c>
      <c r="C76">
        <f t="shared" si="2"/>
        <v>2.7308562045240002E-4</v>
      </c>
      <c r="D76">
        <f t="shared" si="3"/>
        <v>0.32721099231987072</v>
      </c>
    </row>
    <row r="77" spans="1:4" x14ac:dyDescent="0.25">
      <c r="A77">
        <v>-175</v>
      </c>
      <c r="B77">
        <v>0.16361290000000001</v>
      </c>
      <c r="C77">
        <f t="shared" si="2"/>
        <v>2.7308645500290002E-4</v>
      </c>
      <c r="D77">
        <f t="shared" si="3"/>
        <v>0.32721199077631047</v>
      </c>
    </row>
    <row r="78" spans="1:4" x14ac:dyDescent="0.25">
      <c r="A78">
        <v>-174</v>
      </c>
      <c r="B78">
        <v>0.16361339999999999</v>
      </c>
      <c r="C78">
        <f t="shared" si="2"/>
        <v>2.7308728955340001E-4</v>
      </c>
      <c r="D78">
        <f t="shared" si="3"/>
        <v>0.32721298923270581</v>
      </c>
    </row>
    <row r="79" spans="1:4" x14ac:dyDescent="0.25">
      <c r="A79">
        <v>-173</v>
      </c>
      <c r="B79">
        <v>0.16361390000000001</v>
      </c>
      <c r="C79">
        <f t="shared" si="2"/>
        <v>2.7308812410390001E-4</v>
      </c>
      <c r="D79">
        <f t="shared" si="3"/>
        <v>0.32721398768900123</v>
      </c>
    </row>
    <row r="80" spans="1:4" x14ac:dyDescent="0.25">
      <c r="A80">
        <v>-172</v>
      </c>
      <c r="B80">
        <v>0.16361439999999999</v>
      </c>
      <c r="C80">
        <f t="shared" si="2"/>
        <v>2.730889586544E-4</v>
      </c>
      <c r="D80">
        <f t="shared" si="3"/>
        <v>0.32721498614538547</v>
      </c>
    </row>
    <row r="81" spans="1:4" x14ac:dyDescent="0.25">
      <c r="A81">
        <v>-171</v>
      </c>
      <c r="B81">
        <v>0.16361500000000001</v>
      </c>
      <c r="C81">
        <f t="shared" si="2"/>
        <v>2.7308996011500005E-4</v>
      </c>
      <c r="D81">
        <f t="shared" si="3"/>
        <v>0.32721618429293331</v>
      </c>
    </row>
    <row r="82" spans="1:4" x14ac:dyDescent="0.25">
      <c r="A82">
        <v>-170</v>
      </c>
      <c r="B82">
        <v>0.1636155</v>
      </c>
      <c r="C82">
        <f t="shared" si="2"/>
        <v>2.7309079466549999E-4</v>
      </c>
      <c r="D82">
        <f t="shared" si="3"/>
        <v>0.32721718274933975</v>
      </c>
    </row>
    <row r="83" spans="1:4" x14ac:dyDescent="0.25">
      <c r="A83">
        <v>-169</v>
      </c>
      <c r="B83">
        <v>0.16361600000000001</v>
      </c>
      <c r="C83">
        <f t="shared" si="2"/>
        <v>2.7309162921600004E-4</v>
      </c>
      <c r="D83">
        <f t="shared" si="3"/>
        <v>0.32721818120553525</v>
      </c>
    </row>
    <row r="84" spans="1:4" x14ac:dyDescent="0.25">
      <c r="A84">
        <v>-168</v>
      </c>
      <c r="B84">
        <v>0.1636165</v>
      </c>
      <c r="C84">
        <f t="shared" si="2"/>
        <v>2.7309246376650004E-4</v>
      </c>
      <c r="D84">
        <f t="shared" si="3"/>
        <v>0.32721917966186398</v>
      </c>
    </row>
    <row r="85" spans="1:4" x14ac:dyDescent="0.25">
      <c r="A85">
        <v>-167</v>
      </c>
      <c r="B85">
        <v>0.16361700000000001</v>
      </c>
      <c r="C85">
        <f t="shared" si="2"/>
        <v>2.7309329831700003E-4</v>
      </c>
      <c r="D85">
        <f t="shared" si="3"/>
        <v>0.32722017811824822</v>
      </c>
    </row>
    <row r="86" spans="1:4" x14ac:dyDescent="0.25">
      <c r="A86">
        <v>-166</v>
      </c>
      <c r="B86">
        <v>0.1636175</v>
      </c>
      <c r="C86">
        <f t="shared" si="2"/>
        <v>2.7309413286750003E-4</v>
      </c>
      <c r="D86">
        <f t="shared" si="3"/>
        <v>0.32722117657442151</v>
      </c>
    </row>
    <row r="87" spans="1:4" x14ac:dyDescent="0.25">
      <c r="A87">
        <v>-165</v>
      </c>
      <c r="B87">
        <v>0.16361800000000001</v>
      </c>
      <c r="C87">
        <f t="shared" si="2"/>
        <v>2.7309496741800002E-4</v>
      </c>
      <c r="D87">
        <f t="shared" si="3"/>
        <v>0.32722217503072804</v>
      </c>
    </row>
    <row r="88" spans="1:4" x14ac:dyDescent="0.25">
      <c r="A88">
        <v>-164</v>
      </c>
      <c r="B88">
        <v>0.1636185</v>
      </c>
      <c r="C88">
        <f t="shared" si="2"/>
        <v>2.7309580196850002E-4</v>
      </c>
      <c r="D88">
        <f t="shared" si="3"/>
        <v>0.32722317348709007</v>
      </c>
    </row>
    <row r="89" spans="1:4" x14ac:dyDescent="0.25">
      <c r="A89">
        <v>-163</v>
      </c>
      <c r="B89">
        <v>0.16361899999999999</v>
      </c>
      <c r="C89">
        <f t="shared" si="2"/>
        <v>2.7309663651900001E-4</v>
      </c>
      <c r="D89">
        <f t="shared" si="3"/>
        <v>0.32722417194324116</v>
      </c>
    </row>
    <row r="90" spans="1:4" x14ac:dyDescent="0.25">
      <c r="A90">
        <v>-162</v>
      </c>
      <c r="B90">
        <v>0.1636195</v>
      </c>
      <c r="C90">
        <f t="shared" si="2"/>
        <v>2.7309747106950001E-4</v>
      </c>
      <c r="D90">
        <f t="shared" si="3"/>
        <v>0.32722517039953658</v>
      </c>
    </row>
    <row r="91" spans="1:4" x14ac:dyDescent="0.25">
      <c r="A91">
        <v>-161</v>
      </c>
      <c r="B91">
        <v>0.16362009999999999</v>
      </c>
      <c r="C91">
        <f t="shared" si="2"/>
        <v>2.730984725301E-4</v>
      </c>
      <c r="D91">
        <f t="shared" si="3"/>
        <v>0.32722636854699561</v>
      </c>
    </row>
    <row r="92" spans="1:4" x14ac:dyDescent="0.25">
      <c r="A92">
        <v>-160</v>
      </c>
      <c r="B92">
        <v>0.1636206</v>
      </c>
      <c r="C92">
        <f t="shared" si="2"/>
        <v>2.730993070806E-4</v>
      </c>
      <c r="D92">
        <f t="shared" si="3"/>
        <v>0.32722736700330213</v>
      </c>
    </row>
    <row r="93" spans="1:4" x14ac:dyDescent="0.25">
      <c r="A93">
        <v>-159</v>
      </c>
      <c r="B93">
        <v>0.16362109999999999</v>
      </c>
      <c r="C93">
        <f t="shared" si="2"/>
        <v>2.7310014163109999E-4</v>
      </c>
      <c r="D93">
        <f t="shared" si="3"/>
        <v>0.32722836545943101</v>
      </c>
    </row>
    <row r="94" spans="1:4" x14ac:dyDescent="0.25">
      <c r="A94">
        <v>-158</v>
      </c>
      <c r="B94">
        <v>0.16362160000000001</v>
      </c>
      <c r="C94">
        <f t="shared" si="2"/>
        <v>2.7310097618160004E-4</v>
      </c>
      <c r="D94">
        <f t="shared" si="3"/>
        <v>0.32722936391568203</v>
      </c>
    </row>
    <row r="95" spans="1:4" x14ac:dyDescent="0.25">
      <c r="A95">
        <v>-157</v>
      </c>
      <c r="B95">
        <v>0.16362209999999999</v>
      </c>
      <c r="C95">
        <f t="shared" si="2"/>
        <v>2.7310181073209998E-4</v>
      </c>
      <c r="D95">
        <f t="shared" si="3"/>
        <v>0.32723036237189973</v>
      </c>
    </row>
    <row r="96" spans="1:4" x14ac:dyDescent="0.25">
      <c r="A96">
        <v>-156</v>
      </c>
      <c r="B96">
        <v>0.16362260000000001</v>
      </c>
      <c r="C96">
        <f t="shared" si="2"/>
        <v>2.7310264528260003E-4</v>
      </c>
      <c r="D96">
        <f t="shared" si="3"/>
        <v>0.32723136082800641</v>
      </c>
    </row>
    <row r="97" spans="1:4" x14ac:dyDescent="0.25">
      <c r="A97">
        <v>-155</v>
      </c>
      <c r="B97">
        <v>0.16362309999999999</v>
      </c>
      <c r="C97">
        <f t="shared" si="2"/>
        <v>2.7310347983310003E-4</v>
      </c>
      <c r="D97">
        <f t="shared" si="3"/>
        <v>0.32723235928427963</v>
      </c>
    </row>
    <row r="98" spans="1:4" x14ac:dyDescent="0.25">
      <c r="A98">
        <v>-154</v>
      </c>
      <c r="B98">
        <v>0.16362360000000001</v>
      </c>
      <c r="C98">
        <f t="shared" si="2"/>
        <v>2.7310431438360002E-4</v>
      </c>
      <c r="D98">
        <f t="shared" si="3"/>
        <v>0.32723335774050843</v>
      </c>
    </row>
    <row r="99" spans="1:4" x14ac:dyDescent="0.25">
      <c r="A99">
        <v>-153</v>
      </c>
      <c r="B99">
        <v>0.16362409999999999</v>
      </c>
      <c r="C99">
        <f t="shared" si="2"/>
        <v>2.7310514893410002E-4</v>
      </c>
      <c r="D99">
        <f t="shared" si="3"/>
        <v>0.32723435619655961</v>
      </c>
    </row>
    <row r="100" spans="1:4" x14ac:dyDescent="0.25">
      <c r="A100">
        <v>-152</v>
      </c>
      <c r="B100">
        <v>0.16362460000000001</v>
      </c>
      <c r="C100">
        <f t="shared" si="2"/>
        <v>2.7310598348460001E-4</v>
      </c>
      <c r="D100">
        <f t="shared" si="3"/>
        <v>0.32723535465275511</v>
      </c>
    </row>
    <row r="101" spans="1:4" x14ac:dyDescent="0.25">
      <c r="A101">
        <v>-151</v>
      </c>
      <c r="B101">
        <v>0.1636252</v>
      </c>
      <c r="C101">
        <f t="shared" si="2"/>
        <v>2.7310698494520001E-4</v>
      </c>
      <c r="D101">
        <f t="shared" si="3"/>
        <v>0.32723655280010311</v>
      </c>
    </row>
    <row r="102" spans="1:4" x14ac:dyDescent="0.25">
      <c r="A102">
        <v>-150</v>
      </c>
      <c r="B102">
        <v>0.16362570000000001</v>
      </c>
      <c r="C102">
        <f t="shared" si="2"/>
        <v>2.7310781949570006E-4</v>
      </c>
      <c r="D102">
        <f t="shared" si="3"/>
        <v>0.32723755125630971</v>
      </c>
    </row>
    <row r="103" spans="1:4" x14ac:dyDescent="0.25">
      <c r="A103">
        <v>-149</v>
      </c>
      <c r="B103">
        <v>0.1636262</v>
      </c>
      <c r="C103">
        <f t="shared" si="2"/>
        <v>2.731086540462E-4</v>
      </c>
      <c r="D103">
        <f t="shared" si="3"/>
        <v>0.32723854971232758</v>
      </c>
    </row>
    <row r="104" spans="1:4" x14ac:dyDescent="0.25">
      <c r="A104">
        <v>-148</v>
      </c>
      <c r="B104">
        <v>0.16362670000000001</v>
      </c>
      <c r="C104">
        <f t="shared" si="2"/>
        <v>2.7310948859670005E-4</v>
      </c>
      <c r="D104">
        <f t="shared" si="3"/>
        <v>0.32723954816847867</v>
      </c>
    </row>
    <row r="105" spans="1:4" x14ac:dyDescent="0.25">
      <c r="A105">
        <v>-147</v>
      </c>
      <c r="B105">
        <v>0.1636272</v>
      </c>
      <c r="C105">
        <f t="shared" ref="C105:C168" si="4">B105*$G$2</f>
        <v>2.7311032314719999E-4</v>
      </c>
      <c r="D105">
        <f t="shared" ref="D105:D168" si="5">100*(1-(1-C105)^12)</f>
        <v>0.32724054662469637</v>
      </c>
    </row>
    <row r="106" spans="1:4" x14ac:dyDescent="0.25">
      <c r="A106">
        <v>-146</v>
      </c>
      <c r="B106">
        <v>0.16362769999999999</v>
      </c>
      <c r="C106">
        <f t="shared" si="4"/>
        <v>2.7311115769769999E-4</v>
      </c>
      <c r="D106">
        <f t="shared" si="5"/>
        <v>0.32724154508070313</v>
      </c>
    </row>
    <row r="107" spans="1:4" x14ac:dyDescent="0.25">
      <c r="A107">
        <v>-145</v>
      </c>
      <c r="B107">
        <v>0.1636282</v>
      </c>
      <c r="C107">
        <f t="shared" si="4"/>
        <v>2.7311199224820004E-4</v>
      </c>
      <c r="D107">
        <f t="shared" si="5"/>
        <v>0.32724254353684312</v>
      </c>
    </row>
    <row r="108" spans="1:4" x14ac:dyDescent="0.25">
      <c r="A108">
        <v>-144</v>
      </c>
      <c r="B108">
        <v>0.16362869999999999</v>
      </c>
      <c r="C108">
        <f t="shared" si="4"/>
        <v>2.7311282679869998E-4</v>
      </c>
      <c r="D108">
        <f t="shared" si="5"/>
        <v>0.32724354199283878</v>
      </c>
    </row>
    <row r="109" spans="1:4" x14ac:dyDescent="0.25">
      <c r="A109">
        <v>-143</v>
      </c>
      <c r="B109">
        <v>0.1636292</v>
      </c>
      <c r="C109">
        <f t="shared" si="4"/>
        <v>2.7311366134920003E-4</v>
      </c>
      <c r="D109">
        <f t="shared" si="5"/>
        <v>0.32724454044896767</v>
      </c>
    </row>
    <row r="110" spans="1:4" x14ac:dyDescent="0.25">
      <c r="A110">
        <v>-142</v>
      </c>
      <c r="B110">
        <v>0.16362979999999999</v>
      </c>
      <c r="C110">
        <f t="shared" si="4"/>
        <v>2.7311466280980002E-4</v>
      </c>
      <c r="D110">
        <f t="shared" si="5"/>
        <v>0.32724573859621575</v>
      </c>
    </row>
    <row r="111" spans="1:4" x14ac:dyDescent="0.25">
      <c r="A111">
        <v>-141</v>
      </c>
      <c r="B111">
        <v>0.16363030000000001</v>
      </c>
      <c r="C111">
        <f t="shared" si="4"/>
        <v>2.7311549736030002E-4</v>
      </c>
      <c r="D111">
        <f t="shared" si="5"/>
        <v>0.32724673705232243</v>
      </c>
    </row>
    <row r="112" spans="1:4" x14ac:dyDescent="0.25">
      <c r="A112">
        <v>-140</v>
      </c>
      <c r="B112">
        <v>0.16363079999999999</v>
      </c>
      <c r="C112">
        <f t="shared" si="4"/>
        <v>2.7311633191080001E-4</v>
      </c>
      <c r="D112">
        <f t="shared" si="5"/>
        <v>0.32724773550841801</v>
      </c>
    </row>
    <row r="113" spans="1:4" x14ac:dyDescent="0.25">
      <c r="A113">
        <v>-139</v>
      </c>
      <c r="B113">
        <v>0.16363130000000001</v>
      </c>
      <c r="C113">
        <f t="shared" si="4"/>
        <v>2.7311716646130001E-4</v>
      </c>
      <c r="D113">
        <f t="shared" si="5"/>
        <v>0.32724873396434706</v>
      </c>
    </row>
    <row r="114" spans="1:4" x14ac:dyDescent="0.25">
      <c r="A114">
        <v>-138</v>
      </c>
      <c r="B114">
        <v>0.16363179999999999</v>
      </c>
      <c r="C114">
        <f t="shared" si="4"/>
        <v>2.731180010118E-4</v>
      </c>
      <c r="D114">
        <f t="shared" si="5"/>
        <v>0.32724973242043154</v>
      </c>
    </row>
    <row r="115" spans="1:4" x14ac:dyDescent="0.25">
      <c r="A115">
        <v>-137</v>
      </c>
      <c r="B115">
        <v>0.16363230000000001</v>
      </c>
      <c r="C115">
        <f t="shared" si="4"/>
        <v>2.7311883556230005E-4</v>
      </c>
      <c r="D115">
        <f t="shared" si="5"/>
        <v>0.32725073087627177</v>
      </c>
    </row>
    <row r="116" spans="1:4" x14ac:dyDescent="0.25">
      <c r="A116">
        <v>-136</v>
      </c>
      <c r="B116">
        <v>0.16363279999999999</v>
      </c>
      <c r="C116">
        <f t="shared" si="4"/>
        <v>2.7311967011279999E-4</v>
      </c>
      <c r="D116">
        <f t="shared" si="5"/>
        <v>0.32725172933235624</v>
      </c>
    </row>
    <row r="117" spans="1:4" x14ac:dyDescent="0.25">
      <c r="A117">
        <v>-135</v>
      </c>
      <c r="B117">
        <v>0.16363330000000001</v>
      </c>
      <c r="C117">
        <f t="shared" si="4"/>
        <v>2.7312050466330004E-4</v>
      </c>
      <c r="D117">
        <f t="shared" si="5"/>
        <v>0.32725272778837411</v>
      </c>
    </row>
    <row r="118" spans="1:4" x14ac:dyDescent="0.25">
      <c r="A118">
        <v>-134</v>
      </c>
      <c r="B118">
        <v>0.1636338</v>
      </c>
      <c r="C118">
        <f t="shared" si="4"/>
        <v>2.7312133921379998E-4</v>
      </c>
      <c r="D118">
        <f t="shared" si="5"/>
        <v>0.32725372624431426</v>
      </c>
    </row>
    <row r="119" spans="1:4" x14ac:dyDescent="0.25">
      <c r="A119">
        <v>-133</v>
      </c>
      <c r="B119">
        <v>0.16363430000000001</v>
      </c>
      <c r="C119">
        <f t="shared" si="4"/>
        <v>2.7312217376430003E-4</v>
      </c>
      <c r="D119">
        <f t="shared" si="5"/>
        <v>0.32725472470033212</v>
      </c>
    </row>
    <row r="120" spans="1:4" x14ac:dyDescent="0.25">
      <c r="A120">
        <v>-132</v>
      </c>
      <c r="B120">
        <v>0.1636349</v>
      </c>
      <c r="C120">
        <f t="shared" si="4"/>
        <v>2.7312317522490003E-4</v>
      </c>
      <c r="D120">
        <f t="shared" si="5"/>
        <v>0.32725592284750249</v>
      </c>
    </row>
    <row r="121" spans="1:4" x14ac:dyDescent="0.25">
      <c r="A121">
        <v>-131</v>
      </c>
      <c r="B121">
        <v>0.16363539999999999</v>
      </c>
      <c r="C121">
        <f t="shared" si="4"/>
        <v>2.7312400977539997E-4</v>
      </c>
      <c r="D121">
        <f t="shared" si="5"/>
        <v>0.32725692130349815</v>
      </c>
    </row>
    <row r="122" spans="1:4" x14ac:dyDescent="0.25">
      <c r="A122">
        <v>-130</v>
      </c>
      <c r="B122">
        <v>0.1636359</v>
      </c>
      <c r="C122">
        <f t="shared" si="4"/>
        <v>2.7312484432590002E-4</v>
      </c>
      <c r="D122">
        <f t="shared" si="5"/>
        <v>0.32725791975937168</v>
      </c>
    </row>
    <row r="123" spans="1:4" x14ac:dyDescent="0.25">
      <c r="A123">
        <v>-129</v>
      </c>
      <c r="B123">
        <v>0.16363639999999999</v>
      </c>
      <c r="C123">
        <f t="shared" si="4"/>
        <v>2.7312567887640001E-4</v>
      </c>
      <c r="D123">
        <f t="shared" si="5"/>
        <v>0.32725891821532294</v>
      </c>
    </row>
    <row r="124" spans="1:4" x14ac:dyDescent="0.25">
      <c r="A124">
        <v>-128</v>
      </c>
      <c r="B124">
        <v>0.1636369</v>
      </c>
      <c r="C124">
        <f t="shared" si="4"/>
        <v>2.7312651342690001E-4</v>
      </c>
      <c r="D124">
        <f t="shared" si="5"/>
        <v>0.3272599166713186</v>
      </c>
    </row>
    <row r="125" spans="1:4" x14ac:dyDescent="0.25">
      <c r="A125">
        <v>-127</v>
      </c>
      <c r="B125">
        <v>0.16363739999999999</v>
      </c>
      <c r="C125">
        <f t="shared" si="4"/>
        <v>2.731273479774E-4</v>
      </c>
      <c r="D125">
        <f t="shared" si="5"/>
        <v>0.32726091512715882</v>
      </c>
    </row>
    <row r="126" spans="1:4" x14ac:dyDescent="0.25">
      <c r="A126">
        <v>-126</v>
      </c>
      <c r="B126">
        <v>0.1636379</v>
      </c>
      <c r="C126">
        <f t="shared" si="4"/>
        <v>2.731281825279E-4</v>
      </c>
      <c r="D126">
        <f t="shared" si="5"/>
        <v>0.32726191358312118</v>
      </c>
    </row>
    <row r="127" spans="1:4" x14ac:dyDescent="0.25">
      <c r="A127">
        <v>-125</v>
      </c>
      <c r="B127">
        <v>0.16363839999999999</v>
      </c>
      <c r="C127">
        <f t="shared" si="4"/>
        <v>2.7312901707839999E-4</v>
      </c>
      <c r="D127">
        <f t="shared" si="5"/>
        <v>0.32726291203909463</v>
      </c>
    </row>
    <row r="128" spans="1:4" x14ac:dyDescent="0.25">
      <c r="A128">
        <v>-124</v>
      </c>
      <c r="B128">
        <v>0.1636389</v>
      </c>
      <c r="C128">
        <f t="shared" si="4"/>
        <v>2.7312985162890004E-4</v>
      </c>
      <c r="D128">
        <f t="shared" si="5"/>
        <v>0.32726391049491266</v>
      </c>
    </row>
    <row r="129" spans="1:4" x14ac:dyDescent="0.25">
      <c r="A129">
        <v>-123</v>
      </c>
      <c r="B129">
        <v>0.16363939999999999</v>
      </c>
      <c r="C129">
        <f t="shared" si="4"/>
        <v>2.7313068617939998E-4</v>
      </c>
      <c r="D129">
        <f t="shared" si="5"/>
        <v>0.32726490895077509</v>
      </c>
    </row>
    <row r="130" spans="1:4" x14ac:dyDescent="0.25">
      <c r="A130">
        <v>-122</v>
      </c>
      <c r="B130">
        <v>0.16364000000000001</v>
      </c>
      <c r="C130">
        <f t="shared" si="4"/>
        <v>2.7313168764000003E-4</v>
      </c>
      <c r="D130">
        <f t="shared" si="5"/>
        <v>0.32726610709785664</v>
      </c>
    </row>
    <row r="131" spans="1:4" x14ac:dyDescent="0.25">
      <c r="A131">
        <v>-121</v>
      </c>
      <c r="B131">
        <v>0.16364049999999999</v>
      </c>
      <c r="C131">
        <f t="shared" si="4"/>
        <v>2.7313252219050003E-4</v>
      </c>
      <c r="D131">
        <f t="shared" si="5"/>
        <v>0.32726710555375238</v>
      </c>
    </row>
    <row r="132" spans="1:4" x14ac:dyDescent="0.25">
      <c r="A132">
        <v>-120</v>
      </c>
      <c r="B132">
        <v>0.16364100000000001</v>
      </c>
      <c r="C132">
        <f t="shared" si="4"/>
        <v>2.7313335674100002E-4</v>
      </c>
      <c r="D132">
        <f t="shared" si="5"/>
        <v>0.32726810400949269</v>
      </c>
    </row>
    <row r="133" spans="1:4" x14ac:dyDescent="0.25">
      <c r="A133">
        <v>-119</v>
      </c>
      <c r="B133">
        <v>0.1636415</v>
      </c>
      <c r="C133">
        <f t="shared" si="4"/>
        <v>2.7313419129150002E-4</v>
      </c>
      <c r="D133">
        <f t="shared" si="5"/>
        <v>0.32726910246541063</v>
      </c>
    </row>
    <row r="134" spans="1:4" x14ac:dyDescent="0.25">
      <c r="A134">
        <v>-118</v>
      </c>
      <c r="B134">
        <v>0.16364200000000001</v>
      </c>
      <c r="C134">
        <f t="shared" si="4"/>
        <v>2.7313502584200001E-4</v>
      </c>
      <c r="D134">
        <f t="shared" si="5"/>
        <v>0.32727010092129527</v>
      </c>
    </row>
    <row r="135" spans="1:4" x14ac:dyDescent="0.25">
      <c r="A135">
        <v>-117</v>
      </c>
      <c r="B135">
        <v>0.1636425</v>
      </c>
      <c r="C135">
        <f t="shared" si="4"/>
        <v>2.7313586039250001E-4</v>
      </c>
      <c r="D135">
        <f t="shared" si="5"/>
        <v>0.32727109937700227</v>
      </c>
    </row>
    <row r="136" spans="1:4" x14ac:dyDescent="0.25">
      <c r="A136">
        <v>-116</v>
      </c>
      <c r="B136">
        <v>0.16364300000000001</v>
      </c>
      <c r="C136">
        <f t="shared" si="4"/>
        <v>2.7313669494300006E-4</v>
      </c>
      <c r="D136">
        <f t="shared" si="5"/>
        <v>0.32727209783287581</v>
      </c>
    </row>
    <row r="137" spans="1:4" x14ac:dyDescent="0.25">
      <c r="A137">
        <v>-115</v>
      </c>
      <c r="B137">
        <v>0.1636435</v>
      </c>
      <c r="C137">
        <f t="shared" si="4"/>
        <v>2.731375294935E-4</v>
      </c>
      <c r="D137">
        <f t="shared" si="5"/>
        <v>0.32727309628878265</v>
      </c>
    </row>
    <row r="138" spans="1:4" x14ac:dyDescent="0.25">
      <c r="A138">
        <v>-114</v>
      </c>
      <c r="B138">
        <v>0.16364400000000001</v>
      </c>
      <c r="C138">
        <f t="shared" si="4"/>
        <v>2.7313836404400005E-4</v>
      </c>
      <c r="D138">
        <f t="shared" si="5"/>
        <v>0.32727409474450075</v>
      </c>
    </row>
    <row r="139" spans="1:4" x14ac:dyDescent="0.25">
      <c r="A139">
        <v>-113</v>
      </c>
      <c r="B139">
        <v>0.1636446</v>
      </c>
      <c r="C139">
        <f t="shared" si="4"/>
        <v>2.7313936550459999E-4</v>
      </c>
      <c r="D139">
        <f t="shared" si="5"/>
        <v>0.32727529289141577</v>
      </c>
    </row>
    <row r="140" spans="1:4" x14ac:dyDescent="0.25">
      <c r="A140">
        <v>-112</v>
      </c>
      <c r="B140">
        <v>0.16364509999999999</v>
      </c>
      <c r="C140">
        <f t="shared" si="4"/>
        <v>2.7314020005509999E-4</v>
      </c>
      <c r="D140">
        <f t="shared" si="5"/>
        <v>0.327276291347256</v>
      </c>
    </row>
    <row r="141" spans="1:4" x14ac:dyDescent="0.25">
      <c r="A141">
        <v>-111</v>
      </c>
      <c r="B141">
        <v>0.1636456</v>
      </c>
      <c r="C141">
        <f t="shared" si="4"/>
        <v>2.7314103460560003E-4</v>
      </c>
      <c r="D141">
        <f t="shared" si="5"/>
        <v>0.32727728980302961</v>
      </c>
    </row>
    <row r="142" spans="1:4" x14ac:dyDescent="0.25">
      <c r="A142">
        <v>-110</v>
      </c>
      <c r="B142">
        <v>0.16364609999999999</v>
      </c>
      <c r="C142">
        <f t="shared" si="4"/>
        <v>2.7314186915609998E-4</v>
      </c>
      <c r="D142">
        <f t="shared" si="5"/>
        <v>0.32727828825872551</v>
      </c>
    </row>
    <row r="143" spans="1:4" x14ac:dyDescent="0.25">
      <c r="A143">
        <v>-109</v>
      </c>
      <c r="B143">
        <v>0.1636466</v>
      </c>
      <c r="C143">
        <f t="shared" si="4"/>
        <v>2.7314270370660003E-4</v>
      </c>
      <c r="D143">
        <f t="shared" si="5"/>
        <v>0.32727928671447692</v>
      </c>
    </row>
    <row r="144" spans="1:4" x14ac:dyDescent="0.25">
      <c r="A144">
        <v>-108</v>
      </c>
      <c r="B144">
        <v>0.16364709999999999</v>
      </c>
      <c r="C144">
        <f t="shared" si="4"/>
        <v>2.7314353825710002E-4</v>
      </c>
      <c r="D144">
        <f t="shared" si="5"/>
        <v>0.32728028517029495</v>
      </c>
    </row>
    <row r="145" spans="1:4" x14ac:dyDescent="0.25">
      <c r="A145">
        <v>-107</v>
      </c>
      <c r="B145">
        <v>0.1636476</v>
      </c>
      <c r="C145">
        <f t="shared" si="4"/>
        <v>2.7314437280760002E-4</v>
      </c>
      <c r="D145">
        <f t="shared" si="5"/>
        <v>0.32728128362600195</v>
      </c>
    </row>
    <row r="146" spans="1:4" x14ac:dyDescent="0.25">
      <c r="A146">
        <v>-106</v>
      </c>
      <c r="B146">
        <v>0.16364809999999999</v>
      </c>
      <c r="C146">
        <f t="shared" si="4"/>
        <v>2.7314520735810001E-4</v>
      </c>
      <c r="D146">
        <f t="shared" si="5"/>
        <v>0.32728228208170895</v>
      </c>
    </row>
    <row r="147" spans="1:4" x14ac:dyDescent="0.25">
      <c r="A147">
        <v>-105</v>
      </c>
      <c r="B147">
        <v>0.16364870000000001</v>
      </c>
      <c r="C147">
        <f t="shared" si="4"/>
        <v>2.7314620881870001E-4</v>
      </c>
      <c r="D147">
        <f t="shared" si="5"/>
        <v>0.32728348022855736</v>
      </c>
    </row>
    <row r="148" spans="1:4" x14ac:dyDescent="0.25">
      <c r="A148">
        <v>-104</v>
      </c>
      <c r="B148">
        <v>0.16364960000000001</v>
      </c>
      <c r="C148">
        <f t="shared" si="4"/>
        <v>2.7314771100960005E-4</v>
      </c>
      <c r="D148">
        <f t="shared" si="5"/>
        <v>0.32728527744887437</v>
      </c>
    </row>
    <row r="149" spans="1:4" x14ac:dyDescent="0.25">
      <c r="A149">
        <v>-103</v>
      </c>
      <c r="B149">
        <v>0.16365160000000001</v>
      </c>
      <c r="C149">
        <f t="shared" si="4"/>
        <v>2.7315104921160003E-4</v>
      </c>
      <c r="D149">
        <f t="shared" si="5"/>
        <v>0.32728927127150254</v>
      </c>
    </row>
    <row r="150" spans="1:4" x14ac:dyDescent="0.25">
      <c r="A150">
        <v>-102</v>
      </c>
      <c r="B150">
        <v>0.1636551</v>
      </c>
      <c r="C150">
        <f t="shared" si="4"/>
        <v>2.731568910651E-4</v>
      </c>
      <c r="D150">
        <f t="shared" si="5"/>
        <v>0.32729626046094085</v>
      </c>
    </row>
    <row r="151" spans="1:4" x14ac:dyDescent="0.25">
      <c r="A151">
        <v>-101</v>
      </c>
      <c r="B151">
        <v>0.16366069999999999</v>
      </c>
      <c r="C151">
        <f t="shared" si="4"/>
        <v>2.731662380307E-4</v>
      </c>
      <c r="D151">
        <f t="shared" si="5"/>
        <v>0.32730744316306071</v>
      </c>
    </row>
    <row r="152" spans="1:4" x14ac:dyDescent="0.25">
      <c r="A152">
        <v>-100</v>
      </c>
      <c r="B152">
        <v>0.16366900000000001</v>
      </c>
      <c r="C152">
        <f t="shared" si="4"/>
        <v>2.7318009156900003E-4</v>
      </c>
      <c r="D152">
        <f t="shared" si="5"/>
        <v>0.32732401752277873</v>
      </c>
    </row>
    <row r="153" spans="1:4" x14ac:dyDescent="0.25">
      <c r="A153">
        <v>-99</v>
      </c>
      <c r="B153">
        <v>0.1636804</v>
      </c>
      <c r="C153">
        <f t="shared" si="4"/>
        <v>2.7319911932040003E-4</v>
      </c>
      <c r="D153">
        <f t="shared" si="5"/>
        <v>0.32734678230218472</v>
      </c>
    </row>
    <row r="154" spans="1:4" x14ac:dyDescent="0.25">
      <c r="A154">
        <v>-98</v>
      </c>
      <c r="B154">
        <v>0.1636956</v>
      </c>
      <c r="C154">
        <f t="shared" si="4"/>
        <v>2.732244896556E-4</v>
      </c>
      <c r="D154">
        <f t="shared" si="5"/>
        <v>0.32737713533379509</v>
      </c>
    </row>
    <row r="155" spans="1:4" x14ac:dyDescent="0.25">
      <c r="A155">
        <v>-97</v>
      </c>
      <c r="B155">
        <v>0.1637151</v>
      </c>
      <c r="C155">
        <f t="shared" si="4"/>
        <v>2.7325703712510003E-4</v>
      </c>
      <c r="D155">
        <f t="shared" si="5"/>
        <v>0.32741607506595605</v>
      </c>
    </row>
    <row r="156" spans="1:4" x14ac:dyDescent="0.25">
      <c r="A156">
        <v>-96</v>
      </c>
      <c r="B156">
        <v>0.16373940000000001</v>
      </c>
      <c r="C156">
        <f t="shared" si="4"/>
        <v>2.7329759627940002E-4</v>
      </c>
      <c r="D156">
        <f t="shared" si="5"/>
        <v>0.32746459994333899</v>
      </c>
    </row>
    <row r="157" spans="1:4" x14ac:dyDescent="0.25">
      <c r="A157">
        <v>-95</v>
      </c>
      <c r="B157">
        <v>0.1637691</v>
      </c>
      <c r="C157">
        <f t="shared" si="4"/>
        <v>2.7334716857910002E-4</v>
      </c>
      <c r="D157">
        <f t="shared" si="5"/>
        <v>0.32752390809751564</v>
      </c>
    </row>
    <row r="158" spans="1:4" x14ac:dyDescent="0.25">
      <c r="A158">
        <v>-94</v>
      </c>
      <c r="B158">
        <v>0.1638048</v>
      </c>
      <c r="C158">
        <f t="shared" si="4"/>
        <v>2.7340675548480001E-4</v>
      </c>
      <c r="D158">
        <f t="shared" si="5"/>
        <v>0.32759519765421796</v>
      </c>
    </row>
    <row r="159" spans="1:4" x14ac:dyDescent="0.25">
      <c r="A159">
        <v>-93</v>
      </c>
      <c r="B159">
        <v>0.16384699999999999</v>
      </c>
      <c r="C159">
        <f t="shared" si="4"/>
        <v>2.7347719154699999E-4</v>
      </c>
      <c r="D159">
        <f t="shared" si="5"/>
        <v>0.32767946704187478</v>
      </c>
    </row>
    <row r="160" spans="1:4" x14ac:dyDescent="0.25">
      <c r="A160">
        <v>-92</v>
      </c>
      <c r="B160">
        <v>0.16389619999999999</v>
      </c>
      <c r="C160">
        <f t="shared" si="4"/>
        <v>2.7355931131620002E-4</v>
      </c>
      <c r="D160">
        <f t="shared" si="5"/>
        <v>0.32777771468148753</v>
      </c>
    </row>
    <row r="161" spans="1:4" x14ac:dyDescent="0.25">
      <c r="A161">
        <v>-91</v>
      </c>
      <c r="B161">
        <v>0.16395299999999999</v>
      </c>
      <c r="C161">
        <f t="shared" si="4"/>
        <v>2.7365411625299998E-4</v>
      </c>
      <c r="D161">
        <f t="shared" si="5"/>
        <v>0.32789113867529585</v>
      </c>
    </row>
    <row r="162" spans="1:4" x14ac:dyDescent="0.25">
      <c r="A162">
        <v>-90</v>
      </c>
      <c r="B162">
        <v>0.16403039999999999</v>
      </c>
      <c r="C162">
        <f t="shared" si="4"/>
        <v>2.7378330467040001E-4</v>
      </c>
      <c r="D162">
        <f t="shared" si="5"/>
        <v>0.32804569864551825</v>
      </c>
    </row>
    <row r="163" spans="1:4" x14ac:dyDescent="0.25">
      <c r="A163">
        <v>-89</v>
      </c>
      <c r="B163">
        <v>0.16417619999999999</v>
      </c>
      <c r="C163">
        <f t="shared" si="4"/>
        <v>2.740266595962E-4</v>
      </c>
      <c r="D163">
        <f t="shared" si="5"/>
        <v>0.32833684589956835</v>
      </c>
    </row>
    <row r="164" spans="1:4" x14ac:dyDescent="0.25">
      <c r="A164">
        <v>-88</v>
      </c>
      <c r="B164">
        <v>0.16439909999999999</v>
      </c>
      <c r="C164">
        <f t="shared" si="4"/>
        <v>2.7439870220910003E-4</v>
      </c>
      <c r="D164">
        <f t="shared" si="5"/>
        <v>0.32878195223176032</v>
      </c>
    </row>
    <row r="165" spans="1:4" x14ac:dyDescent="0.25">
      <c r="A165">
        <v>-87</v>
      </c>
      <c r="B165">
        <v>0.1647034</v>
      </c>
      <c r="C165">
        <f t="shared" si="4"/>
        <v>2.749066096434E-4</v>
      </c>
      <c r="D165">
        <f t="shared" si="5"/>
        <v>0.32938960230415315</v>
      </c>
    </row>
    <row r="166" spans="1:4" x14ac:dyDescent="0.25">
      <c r="A166">
        <v>-86</v>
      </c>
      <c r="B166">
        <v>0.1650932</v>
      </c>
      <c r="C166">
        <f t="shared" si="4"/>
        <v>2.7555722521319998E-4</v>
      </c>
      <c r="D166">
        <f t="shared" si="5"/>
        <v>0.33016798051186402</v>
      </c>
    </row>
    <row r="167" spans="1:4" x14ac:dyDescent="0.25">
      <c r="A167">
        <v>-85</v>
      </c>
      <c r="B167">
        <v>0.1655731</v>
      </c>
      <c r="C167">
        <f t="shared" si="4"/>
        <v>2.7635822678310004E-4</v>
      </c>
      <c r="D167">
        <f t="shared" si="5"/>
        <v>0.33112626865632322</v>
      </c>
    </row>
    <row r="168" spans="1:4" x14ac:dyDescent="0.25">
      <c r="A168">
        <v>-84</v>
      </c>
      <c r="B168">
        <v>0.16614719999999999</v>
      </c>
      <c r="C168">
        <f t="shared" si="4"/>
        <v>2.7731645766719998E-4</v>
      </c>
      <c r="D168">
        <f t="shared" si="5"/>
        <v>0.33227264894210018</v>
      </c>
    </row>
    <row r="169" spans="1:4" x14ac:dyDescent="0.25">
      <c r="A169">
        <v>-83</v>
      </c>
      <c r="B169">
        <v>0.16681989999999999</v>
      </c>
      <c r="C169">
        <f t="shared" ref="C169:C232" si="6">B169*$G$2</f>
        <v>2.7843926190990003E-4</v>
      </c>
      <c r="D169">
        <f t="shared" ref="D169:D232" si="7">100*(1-(1-C169)^12)</f>
        <v>0.33361590131849583</v>
      </c>
    </row>
    <row r="170" spans="1:4" x14ac:dyDescent="0.25">
      <c r="A170">
        <v>-82</v>
      </c>
      <c r="B170">
        <v>0.16759550000000001</v>
      </c>
      <c r="C170">
        <f t="shared" si="6"/>
        <v>2.7973381664550003E-4</v>
      </c>
      <c r="D170">
        <f t="shared" si="7"/>
        <v>0.33516460458558051</v>
      </c>
    </row>
    <row r="171" spans="1:4" x14ac:dyDescent="0.25">
      <c r="A171">
        <v>-81</v>
      </c>
      <c r="B171">
        <v>0.1684784</v>
      </c>
      <c r="C171">
        <f t="shared" si="6"/>
        <v>2.812074659184E-4</v>
      </c>
      <c r="D171">
        <f t="shared" si="7"/>
        <v>0.33692753559494415</v>
      </c>
    </row>
    <row r="172" spans="1:4" x14ac:dyDescent="0.25">
      <c r="A172">
        <v>-80</v>
      </c>
      <c r="B172">
        <v>0.16947280000000001</v>
      </c>
      <c r="C172">
        <f t="shared" si="6"/>
        <v>2.8286721995280002E-4</v>
      </c>
      <c r="D172">
        <f t="shared" si="7"/>
        <v>0.3389130700560572</v>
      </c>
    </row>
    <row r="173" spans="1:4" x14ac:dyDescent="0.25">
      <c r="A173">
        <v>-79</v>
      </c>
      <c r="B173">
        <v>0.17058300000000001</v>
      </c>
      <c r="C173">
        <f t="shared" si="6"/>
        <v>2.8472025588300004E-4</v>
      </c>
      <c r="D173">
        <f t="shared" si="7"/>
        <v>0.34112978139788641</v>
      </c>
    </row>
    <row r="174" spans="1:4" x14ac:dyDescent="0.25">
      <c r="A174">
        <v>-78</v>
      </c>
      <c r="B174">
        <v>0.17181340000000001</v>
      </c>
      <c r="C174">
        <f t="shared" si="6"/>
        <v>2.8677391775340001E-4</v>
      </c>
      <c r="D174">
        <f t="shared" si="7"/>
        <v>0.34358644057187471</v>
      </c>
    </row>
    <row r="175" spans="1:4" x14ac:dyDescent="0.25">
      <c r="A175">
        <v>-77</v>
      </c>
      <c r="B175">
        <v>0.1731683</v>
      </c>
      <c r="C175">
        <f t="shared" si="6"/>
        <v>2.8903538269830001E-4</v>
      </c>
      <c r="D175">
        <f t="shared" si="7"/>
        <v>0.34629161652808271</v>
      </c>
    </row>
    <row r="176" spans="1:4" x14ac:dyDescent="0.25">
      <c r="A176">
        <v>-76</v>
      </c>
      <c r="B176">
        <v>0.174652</v>
      </c>
      <c r="C176">
        <f t="shared" si="6"/>
        <v>2.91511827852E-4</v>
      </c>
      <c r="D176">
        <f t="shared" si="7"/>
        <v>0.34925387569636479</v>
      </c>
    </row>
    <row r="177" spans="1:4" x14ac:dyDescent="0.25">
      <c r="A177">
        <v>-75</v>
      </c>
      <c r="B177">
        <v>0.1762687</v>
      </c>
      <c r="C177">
        <f t="shared" si="6"/>
        <v>2.9421026343870004E-4</v>
      </c>
      <c r="D177">
        <f t="shared" si="7"/>
        <v>0.35248158214199465</v>
      </c>
    </row>
    <row r="178" spans="1:4" x14ac:dyDescent="0.25">
      <c r="A178">
        <v>-74</v>
      </c>
      <c r="B178">
        <v>0.17802290000000001</v>
      </c>
      <c r="C178">
        <f t="shared" si="6"/>
        <v>2.9713820041290005E-4</v>
      </c>
      <c r="D178">
        <f t="shared" si="7"/>
        <v>0.35598369594540547</v>
      </c>
    </row>
    <row r="179" spans="1:4" x14ac:dyDescent="0.25">
      <c r="A179">
        <v>-73</v>
      </c>
      <c r="B179">
        <v>0.17991889999999999</v>
      </c>
      <c r="C179">
        <f t="shared" si="6"/>
        <v>3.0030281590890003E-4</v>
      </c>
      <c r="D179">
        <f t="shared" si="7"/>
        <v>0.35976877473260505</v>
      </c>
    </row>
    <row r="180" spans="1:4" x14ac:dyDescent="0.25">
      <c r="A180">
        <v>-72</v>
      </c>
      <c r="B180">
        <v>0.18196090000000001</v>
      </c>
      <c r="C180">
        <f t="shared" si="6"/>
        <v>3.0371112015090005E-4</v>
      </c>
      <c r="D180">
        <f t="shared" si="7"/>
        <v>0.36384517314429488</v>
      </c>
    </row>
    <row r="181" spans="1:4" x14ac:dyDescent="0.25">
      <c r="A181">
        <v>-71</v>
      </c>
      <c r="B181">
        <v>0.18415329999999999</v>
      </c>
      <c r="C181">
        <f t="shared" si="6"/>
        <v>3.0737045718330001E-4</v>
      </c>
      <c r="D181">
        <f t="shared" si="7"/>
        <v>0.36822164149682424</v>
      </c>
    </row>
    <row r="182" spans="1:4" x14ac:dyDescent="0.25">
      <c r="A182">
        <v>-70</v>
      </c>
      <c r="B182">
        <v>0.18650030000000001</v>
      </c>
      <c r="C182">
        <f t="shared" si="6"/>
        <v>3.1128783723030005E-4</v>
      </c>
      <c r="D182">
        <f t="shared" si="7"/>
        <v>0.37290652703984017</v>
      </c>
    </row>
    <row r="183" spans="1:4" x14ac:dyDescent="0.25">
      <c r="A183">
        <v>-69</v>
      </c>
      <c r="B183">
        <v>0.18900639999999999</v>
      </c>
      <c r="C183">
        <f t="shared" si="6"/>
        <v>3.1547077124640001E-4</v>
      </c>
      <c r="D183">
        <f t="shared" si="7"/>
        <v>0.37790877179295634</v>
      </c>
    </row>
    <row r="184" spans="1:4" x14ac:dyDescent="0.25">
      <c r="A184">
        <v>-68</v>
      </c>
      <c r="B184">
        <v>0.1916757</v>
      </c>
      <c r="C184">
        <f t="shared" si="6"/>
        <v>3.1992610254570001E-4</v>
      </c>
      <c r="D184">
        <f t="shared" si="7"/>
        <v>0.38323651504004186</v>
      </c>
    </row>
    <row r="185" spans="1:4" x14ac:dyDescent="0.25">
      <c r="A185">
        <v>-67</v>
      </c>
      <c r="B185">
        <v>0.19451270000000001</v>
      </c>
      <c r="C185">
        <f t="shared" si="6"/>
        <v>3.2466134208270002E-4</v>
      </c>
      <c r="D185">
        <f t="shared" si="7"/>
        <v>0.38889868989548937</v>
      </c>
    </row>
    <row r="186" spans="1:4" x14ac:dyDescent="0.25">
      <c r="A186">
        <v>-66</v>
      </c>
      <c r="B186">
        <v>0.19752159999999999</v>
      </c>
      <c r="C186">
        <f t="shared" si="6"/>
        <v>3.2968350008159999E-4</v>
      </c>
      <c r="D186">
        <f t="shared" si="7"/>
        <v>0.39490362586727112</v>
      </c>
    </row>
    <row r="187" spans="1:4" x14ac:dyDescent="0.25">
      <c r="A187">
        <v>-65</v>
      </c>
      <c r="B187">
        <v>0.20070679999999999</v>
      </c>
      <c r="C187">
        <f t="shared" si="6"/>
        <v>3.3499992058679998E-4</v>
      </c>
      <c r="D187">
        <f t="shared" si="7"/>
        <v>0.40126004652992764</v>
      </c>
    </row>
    <row r="188" spans="1:4" x14ac:dyDescent="0.25">
      <c r="A188">
        <v>-64</v>
      </c>
      <c r="B188">
        <v>0.20407249999999999</v>
      </c>
      <c r="C188">
        <f t="shared" si="6"/>
        <v>3.4061761382250003E-4</v>
      </c>
      <c r="D188">
        <f t="shared" si="7"/>
        <v>0.40797627096141875</v>
      </c>
    </row>
    <row r="189" spans="1:4" x14ac:dyDescent="0.25">
      <c r="A189">
        <v>-63</v>
      </c>
      <c r="B189">
        <v>0.20762320000000001</v>
      </c>
      <c r="C189">
        <f t="shared" si="6"/>
        <v>3.4654409074320002E-4</v>
      </c>
      <c r="D189">
        <f t="shared" si="7"/>
        <v>0.41506121123721096</v>
      </c>
    </row>
    <row r="190" spans="1:4" x14ac:dyDescent="0.25">
      <c r="A190">
        <v>-62</v>
      </c>
      <c r="B190">
        <v>0.211363</v>
      </c>
      <c r="C190">
        <f t="shared" si="6"/>
        <v>3.5278619466300003E-4</v>
      </c>
      <c r="D190">
        <f t="shared" si="7"/>
        <v>0.42252297533104111</v>
      </c>
    </row>
    <row r="191" spans="1:4" x14ac:dyDescent="0.25">
      <c r="A191">
        <v>-61</v>
      </c>
      <c r="B191">
        <v>0.2152964</v>
      </c>
      <c r="C191">
        <f t="shared" si="6"/>
        <v>3.5935143653640001E-4</v>
      </c>
      <c r="D191">
        <f t="shared" si="7"/>
        <v>0.43037046311057425</v>
      </c>
    </row>
    <row r="192" spans="1:4" x14ac:dyDescent="0.25">
      <c r="A192">
        <v>-60</v>
      </c>
      <c r="B192">
        <v>0.2194275</v>
      </c>
      <c r="C192">
        <f t="shared" si="6"/>
        <v>3.6624665967749999E-4</v>
      </c>
      <c r="D192">
        <f t="shared" si="7"/>
        <v>0.43861176985509065</v>
      </c>
    </row>
    <row r="193" spans="1:4" x14ac:dyDescent="0.25">
      <c r="A193">
        <v>-59</v>
      </c>
      <c r="B193">
        <v>0.22376080000000001</v>
      </c>
      <c r="C193">
        <f t="shared" si="6"/>
        <v>3.7347937504080003E-4</v>
      </c>
      <c r="D193">
        <f t="shared" si="7"/>
        <v>0.44725578201891825</v>
      </c>
    </row>
    <row r="194" spans="1:4" x14ac:dyDescent="0.25">
      <c r="A194">
        <v>-58</v>
      </c>
      <c r="B194">
        <v>0.22830059999999999</v>
      </c>
      <c r="C194">
        <f t="shared" si="6"/>
        <v>3.8105675976060003E-4</v>
      </c>
      <c r="D194">
        <f t="shared" si="7"/>
        <v>0.4563109798756293</v>
      </c>
    </row>
    <row r="195" spans="1:4" x14ac:dyDescent="0.25">
      <c r="A195">
        <v>-57</v>
      </c>
      <c r="B195">
        <v>0.23305119999999999</v>
      </c>
      <c r="C195">
        <f t="shared" si="6"/>
        <v>3.8898599097120001E-4</v>
      </c>
      <c r="D195">
        <f t="shared" si="7"/>
        <v>0.46578583623023695</v>
      </c>
    </row>
    <row r="196" spans="1:4" x14ac:dyDescent="0.25">
      <c r="A196">
        <v>-56</v>
      </c>
      <c r="B196">
        <v>0.2380168</v>
      </c>
      <c r="C196">
        <f t="shared" si="6"/>
        <v>3.9727407889680004E-4</v>
      </c>
      <c r="D196">
        <f t="shared" si="7"/>
        <v>0.47568861667510731</v>
      </c>
    </row>
    <row r="197" spans="1:4" x14ac:dyDescent="0.25">
      <c r="A197">
        <v>-55</v>
      </c>
      <c r="B197">
        <v>0.2432018</v>
      </c>
      <c r="C197">
        <f t="shared" si="6"/>
        <v>4.0592836758180002E-4</v>
      </c>
      <c r="D197">
        <f t="shared" si="7"/>
        <v>0.48602797754959681</v>
      </c>
    </row>
    <row r="198" spans="1:4" x14ac:dyDescent="0.25">
      <c r="A198">
        <v>-54</v>
      </c>
      <c r="B198">
        <v>0.24861059999999999</v>
      </c>
      <c r="C198">
        <f t="shared" si="6"/>
        <v>4.1495620107060002E-4</v>
      </c>
      <c r="D198">
        <f t="shared" si="7"/>
        <v>0.4968125666523826</v>
      </c>
    </row>
    <row r="199" spans="1:4" x14ac:dyDescent="0.25">
      <c r="A199">
        <v>-53</v>
      </c>
      <c r="B199">
        <v>0.25424740000000001</v>
      </c>
      <c r="C199">
        <f t="shared" si="6"/>
        <v>4.2436458958740005E-4</v>
      </c>
      <c r="D199">
        <f t="shared" si="7"/>
        <v>0.508050624168499</v>
      </c>
    </row>
    <row r="200" spans="1:4" x14ac:dyDescent="0.25">
      <c r="A200">
        <v>-52</v>
      </c>
      <c r="B200">
        <v>0.26011649999999997</v>
      </c>
      <c r="C200">
        <f t="shared" si="6"/>
        <v>4.3416071026649997E-4</v>
      </c>
      <c r="D200">
        <f t="shared" si="7"/>
        <v>0.51975058053651546</v>
      </c>
    </row>
    <row r="201" spans="1:4" x14ac:dyDescent="0.25">
      <c r="A201">
        <v>-51</v>
      </c>
      <c r="B201">
        <v>0.26622230000000002</v>
      </c>
      <c r="C201">
        <f t="shared" si="6"/>
        <v>4.4435190715230006E-4</v>
      </c>
      <c r="D201">
        <f t="shared" si="7"/>
        <v>0.53192105598632855</v>
      </c>
    </row>
    <row r="202" spans="1:4" x14ac:dyDescent="0.25">
      <c r="A202">
        <v>-50</v>
      </c>
      <c r="B202">
        <v>0.27256900000000001</v>
      </c>
      <c r="C202">
        <f t="shared" si="6"/>
        <v>4.5494519046900006E-4</v>
      </c>
      <c r="D202">
        <f t="shared" si="7"/>
        <v>0.54457026218139859</v>
      </c>
    </row>
    <row r="203" spans="1:4" x14ac:dyDescent="0.25">
      <c r="A203">
        <v>-49</v>
      </c>
      <c r="B203">
        <v>0.2791611</v>
      </c>
      <c r="C203">
        <f t="shared" si="6"/>
        <v>4.6594807117110004E-4</v>
      </c>
      <c r="D203">
        <f t="shared" si="7"/>
        <v>0.55770699841976024</v>
      </c>
    </row>
    <row r="204" spans="1:4" x14ac:dyDescent="0.25">
      <c r="A204">
        <v>-48</v>
      </c>
      <c r="B204">
        <v>0.2860027</v>
      </c>
      <c r="C204">
        <f t="shared" si="6"/>
        <v>4.7736739257270001E-4</v>
      </c>
      <c r="D204">
        <f t="shared" si="7"/>
        <v>0.57133925618786385</v>
      </c>
    </row>
    <row r="205" spans="1:4" x14ac:dyDescent="0.25">
      <c r="A205">
        <v>-47</v>
      </c>
      <c r="B205">
        <v>0.29309829999999998</v>
      </c>
      <c r="C205">
        <f t="shared" si="6"/>
        <v>4.892106656283E-4</v>
      </c>
      <c r="D205">
        <f t="shared" si="7"/>
        <v>0.58547581301345852</v>
      </c>
    </row>
    <row r="206" spans="1:4" x14ac:dyDescent="0.25">
      <c r="A206">
        <v>-46</v>
      </c>
      <c r="B206">
        <v>0.3004521</v>
      </c>
      <c r="C206">
        <f t="shared" si="6"/>
        <v>5.014849005621E-4</v>
      </c>
      <c r="D206">
        <f t="shared" si="7"/>
        <v>0.60012483722385879</v>
      </c>
    </row>
    <row r="207" spans="1:4" x14ac:dyDescent="0.25">
      <c r="A207">
        <v>-45</v>
      </c>
      <c r="B207">
        <v>0.30806840000000002</v>
      </c>
      <c r="C207">
        <f t="shared" si="6"/>
        <v>5.1419727450840004E-4</v>
      </c>
      <c r="D207">
        <f t="shared" si="7"/>
        <v>0.6152946845971452</v>
      </c>
    </row>
    <row r="208" spans="1:4" x14ac:dyDescent="0.25">
      <c r="A208">
        <v>-44</v>
      </c>
      <c r="B208">
        <v>0.3159516</v>
      </c>
      <c r="C208">
        <f t="shared" si="6"/>
        <v>5.2735513151160008E-4</v>
      </c>
      <c r="D208">
        <f t="shared" si="7"/>
        <v>0.63099389782350634</v>
      </c>
    </row>
    <row r="209" spans="1:4" x14ac:dyDescent="0.25">
      <c r="A209">
        <v>-43</v>
      </c>
      <c r="B209">
        <v>0.32410600000000001</v>
      </c>
      <c r="C209">
        <f t="shared" si="6"/>
        <v>5.4096564870600007E-4</v>
      </c>
      <c r="D209">
        <f t="shared" si="7"/>
        <v>0.64723080773907427</v>
      </c>
    </row>
    <row r="210" spans="1:4" x14ac:dyDescent="0.25">
      <c r="A210">
        <v>-42</v>
      </c>
      <c r="B210">
        <v>0.3325359</v>
      </c>
      <c r="C210">
        <f t="shared" si="6"/>
        <v>5.5503600322589998E-4</v>
      </c>
      <c r="D210">
        <f t="shared" si="7"/>
        <v>0.66401373212656711</v>
      </c>
    </row>
    <row r="211" spans="1:4" x14ac:dyDescent="0.25">
      <c r="A211">
        <v>-41</v>
      </c>
      <c r="B211">
        <v>0.34124559999999998</v>
      </c>
      <c r="C211">
        <f t="shared" si="6"/>
        <v>5.6957337220559998E-4</v>
      </c>
      <c r="D211">
        <f t="shared" si="7"/>
        <v>0.68135097529262723</v>
      </c>
    </row>
    <row r="212" spans="1:4" x14ac:dyDescent="0.25">
      <c r="A212">
        <v>-40</v>
      </c>
      <c r="B212">
        <v>0.35023929999999998</v>
      </c>
      <c r="C212">
        <f t="shared" si="6"/>
        <v>5.8458476586930003E-4</v>
      </c>
      <c r="D212">
        <f t="shared" si="7"/>
        <v>0.69925062863123166</v>
      </c>
    </row>
    <row r="213" spans="1:4" x14ac:dyDescent="0.25">
      <c r="A213">
        <v>-39</v>
      </c>
      <c r="B213">
        <v>0.3595216</v>
      </c>
      <c r="C213">
        <f t="shared" si="6"/>
        <v>6.0007786208159998E-4</v>
      </c>
      <c r="D213">
        <f t="shared" si="7"/>
        <v>0.71772156522811326</v>
      </c>
    </row>
    <row r="214" spans="1:4" x14ac:dyDescent="0.25">
      <c r="A214">
        <v>-38</v>
      </c>
      <c r="B214">
        <v>0.3690966</v>
      </c>
      <c r="C214">
        <f t="shared" si="6"/>
        <v>6.160595041566E-4</v>
      </c>
      <c r="D214">
        <f t="shared" si="7"/>
        <v>0.73677164827931074</v>
      </c>
    </row>
    <row r="215" spans="1:4" x14ac:dyDescent="0.25">
      <c r="A215">
        <v>-37</v>
      </c>
      <c r="B215">
        <v>0.37896859999999999</v>
      </c>
      <c r="C215">
        <f t="shared" si="6"/>
        <v>6.3253686922859996E-4</v>
      </c>
      <c r="D215">
        <f t="shared" si="7"/>
        <v>0.75640912383436731</v>
      </c>
    </row>
    <row r="216" spans="1:4" x14ac:dyDescent="0.25">
      <c r="A216">
        <v>-36</v>
      </c>
      <c r="B216">
        <v>0.38914199999999999</v>
      </c>
      <c r="C216">
        <f t="shared" si="6"/>
        <v>6.4951730134200003E-4</v>
      </c>
      <c r="D216">
        <f t="shared" si="7"/>
        <v>0.77664242112633897</v>
      </c>
    </row>
    <row r="217" spans="1:4" x14ac:dyDescent="0.25">
      <c r="A217">
        <v>-35</v>
      </c>
      <c r="B217">
        <v>0.39962110000000001</v>
      </c>
      <c r="C217">
        <f t="shared" si="6"/>
        <v>6.6700797763110005E-4</v>
      </c>
      <c r="D217">
        <f t="shared" si="7"/>
        <v>0.79747975426668338</v>
      </c>
    </row>
    <row r="218" spans="1:4" x14ac:dyDescent="0.25">
      <c r="A218">
        <v>-34</v>
      </c>
      <c r="B218">
        <v>0.4104102</v>
      </c>
      <c r="C218">
        <f t="shared" si="6"/>
        <v>6.850160752302001E-4</v>
      </c>
      <c r="D218">
        <f t="shared" si="7"/>
        <v>0.81892932075325886</v>
      </c>
    </row>
    <row r="219" spans="1:4" x14ac:dyDescent="0.25">
      <c r="A219">
        <v>-33</v>
      </c>
      <c r="B219">
        <v>0.42151369999999999</v>
      </c>
      <c r="C219">
        <f t="shared" si="6"/>
        <v>7.0354893818370002E-4</v>
      </c>
      <c r="D219">
        <f t="shared" si="7"/>
        <v>0.84099949974623112</v>
      </c>
    </row>
    <row r="220" spans="1:4" x14ac:dyDescent="0.25">
      <c r="A220">
        <v>-32</v>
      </c>
      <c r="B220">
        <v>0.43293579999999998</v>
      </c>
      <c r="C220">
        <f t="shared" si="6"/>
        <v>7.226135767158E-4</v>
      </c>
      <c r="D220">
        <f t="shared" si="7"/>
        <v>0.86369825526441124</v>
      </c>
    </row>
    <row r="221" spans="1:4" x14ac:dyDescent="0.25">
      <c r="A221">
        <v>-31</v>
      </c>
      <c r="B221">
        <v>0.44468079999999999</v>
      </c>
      <c r="C221">
        <f t="shared" si="6"/>
        <v>7.4221716796079998E-4</v>
      </c>
      <c r="D221">
        <f t="shared" si="7"/>
        <v>0.88703373210782255</v>
      </c>
    </row>
    <row r="222" spans="1:4" x14ac:dyDescent="0.25">
      <c r="A222">
        <v>-30</v>
      </c>
      <c r="B222">
        <v>0.45675310000000002</v>
      </c>
      <c r="C222">
        <f t="shared" si="6"/>
        <v>7.6236705596310005E-4</v>
      </c>
      <c r="D222">
        <f t="shared" si="7"/>
        <v>0.91101425515954793</v>
      </c>
    </row>
    <row r="223" spans="1:4" x14ac:dyDescent="0.25">
      <c r="A223">
        <v>-29</v>
      </c>
      <c r="B223">
        <v>0.46915699999999999</v>
      </c>
      <c r="C223">
        <f t="shared" si="6"/>
        <v>7.8307041785700005E-4</v>
      </c>
      <c r="D223">
        <f t="shared" si="7"/>
        <v>0.93564793151620362</v>
      </c>
    </row>
    <row r="224" spans="1:4" x14ac:dyDescent="0.25">
      <c r="A224">
        <v>-28</v>
      </c>
      <c r="B224">
        <v>0.48189670000000001</v>
      </c>
      <c r="C224">
        <f t="shared" si="6"/>
        <v>8.0433426386670006E-4</v>
      </c>
      <c r="D224">
        <f t="shared" si="7"/>
        <v>0.96094265020852943</v>
      </c>
    </row>
    <row r="225" spans="1:4" x14ac:dyDescent="0.25">
      <c r="A225">
        <v>-27</v>
      </c>
      <c r="B225">
        <v>0.49497669999999999</v>
      </c>
      <c r="C225">
        <f t="shared" si="6"/>
        <v>8.2616610494670002E-4</v>
      </c>
      <c r="D225">
        <f t="shared" si="7"/>
        <v>0.9869068758488253</v>
      </c>
    </row>
    <row r="226" spans="1:4" x14ac:dyDescent="0.25">
      <c r="A226">
        <v>-26</v>
      </c>
      <c r="B226">
        <v>0.50839889999999999</v>
      </c>
      <c r="C226">
        <f t="shared" si="6"/>
        <v>8.4856911238890003E-4</v>
      </c>
      <c r="D226">
        <f t="shared" si="7"/>
        <v>1.0135438929145812</v>
      </c>
    </row>
    <row r="227" spans="1:4" x14ac:dyDescent="0.25">
      <c r="A227">
        <v>-25</v>
      </c>
      <c r="B227">
        <v>0.52207650000000005</v>
      </c>
      <c r="C227">
        <f t="shared" si="6"/>
        <v>8.7139840822650014E-4</v>
      </c>
      <c r="D227">
        <f t="shared" si="7"/>
        <v>1.0406810061800331</v>
      </c>
    </row>
    <row r="228" spans="1:4" x14ac:dyDescent="0.25">
      <c r="A228">
        <v>-24</v>
      </c>
      <c r="B228">
        <v>0.53596370000000004</v>
      </c>
      <c r="C228">
        <f t="shared" si="6"/>
        <v>8.9457754763370013E-4</v>
      </c>
      <c r="D228">
        <f t="shared" si="7"/>
        <v>1.0682270000375249</v>
      </c>
    </row>
    <row r="229" spans="1:4" x14ac:dyDescent="0.25">
      <c r="A229">
        <v>-23</v>
      </c>
      <c r="B229">
        <v>0.55006089999999996</v>
      </c>
      <c r="C229">
        <f t="shared" si="6"/>
        <v>9.181071982509E-4</v>
      </c>
      <c r="D229">
        <f t="shared" si="7"/>
        <v>1.0961823509377688</v>
      </c>
    </row>
    <row r="230" spans="1:4" x14ac:dyDescent="0.25">
      <c r="A230">
        <v>-22</v>
      </c>
      <c r="B230">
        <v>0.56436819999999999</v>
      </c>
      <c r="C230">
        <f t="shared" si="6"/>
        <v>9.4198752698820007E-4</v>
      </c>
      <c r="D230">
        <f t="shared" si="7"/>
        <v>1.1245469351639614</v>
      </c>
    </row>
    <row r="231" spans="1:4" x14ac:dyDescent="0.25">
      <c r="A231">
        <v>-21</v>
      </c>
      <c r="B231">
        <v>0.57888569999999995</v>
      </c>
      <c r="C231">
        <f t="shared" si="6"/>
        <v>9.6621870075569991E-4</v>
      </c>
      <c r="D231">
        <f t="shared" si="7"/>
        <v>1.1533206241218896</v>
      </c>
    </row>
    <row r="232" spans="1:4" x14ac:dyDescent="0.25">
      <c r="A232">
        <v>-20</v>
      </c>
      <c r="B232">
        <v>0.59361359999999996</v>
      </c>
      <c r="C232">
        <f t="shared" si="6"/>
        <v>9.9080105337359995E-4</v>
      </c>
      <c r="D232">
        <f t="shared" si="7"/>
        <v>1.182503482456998</v>
      </c>
    </row>
    <row r="233" spans="1:4" x14ac:dyDescent="0.25">
      <c r="A233">
        <v>-19</v>
      </c>
      <c r="B233">
        <v>0.60855219999999999</v>
      </c>
      <c r="C233">
        <f t="shared" ref="C233:C262" si="8">B233*$G$2</f>
        <v>1.0157350855722E-3</v>
      </c>
      <c r="D233">
        <f t="shared" ref="D233:D262" si="9">100*(1-(1-C233)^12)</f>
        <v>1.2120957677819511</v>
      </c>
    </row>
    <row r="234" spans="1:4" x14ac:dyDescent="0.25">
      <c r="A234">
        <v>-18</v>
      </c>
      <c r="B234">
        <v>0.62370159999999997</v>
      </c>
      <c r="C234">
        <f t="shared" si="8"/>
        <v>1.0410209642616E-3</v>
      </c>
      <c r="D234">
        <f t="shared" si="9"/>
        <v>1.2420973363596377</v>
      </c>
    </row>
    <row r="235" spans="1:4" x14ac:dyDescent="0.25">
      <c r="A235">
        <v>-17</v>
      </c>
      <c r="B235">
        <v>0.63906200000000002</v>
      </c>
      <c r="C235">
        <f t="shared" si="8"/>
        <v>1.0666590232620001E-3</v>
      </c>
      <c r="D235">
        <f t="shared" si="9"/>
        <v>1.2725082375090624</v>
      </c>
    </row>
    <row r="236" spans="1:4" x14ac:dyDescent="0.25">
      <c r="A236">
        <v>-16</v>
      </c>
      <c r="B236">
        <v>0.65463360000000004</v>
      </c>
      <c r="C236">
        <f t="shared" si="8"/>
        <v>1.0926495963936001E-3</v>
      </c>
      <c r="D236">
        <f t="shared" si="9"/>
        <v>1.3033285154234964</v>
      </c>
    </row>
    <row r="237" spans="1:4" x14ac:dyDescent="0.25">
      <c r="A237">
        <v>-15</v>
      </c>
      <c r="B237">
        <v>0.67041660000000003</v>
      </c>
      <c r="C237">
        <f t="shared" si="8"/>
        <v>1.1189930174766E-3</v>
      </c>
      <c r="D237">
        <f t="shared" si="9"/>
        <v>1.334558209160841</v>
      </c>
    </row>
    <row r="238" spans="1:4" x14ac:dyDescent="0.25">
      <c r="A238">
        <v>-14</v>
      </c>
      <c r="B238">
        <v>0.6864112</v>
      </c>
      <c r="C238">
        <f t="shared" si="8"/>
        <v>1.1456896203312001E-3</v>
      </c>
      <c r="D238">
        <f t="shared" si="9"/>
        <v>1.3661973526349458</v>
      </c>
    </row>
    <row r="239" spans="1:4" x14ac:dyDescent="0.25">
      <c r="A239">
        <v>-13</v>
      </c>
      <c r="B239">
        <v>0.70261750000000001</v>
      </c>
      <c r="C239">
        <f t="shared" si="8"/>
        <v>1.1727395718675001E-3</v>
      </c>
      <c r="D239">
        <f t="shared" si="9"/>
        <v>1.3982457768837886</v>
      </c>
    </row>
    <row r="240" spans="1:4" x14ac:dyDescent="0.25">
      <c r="A240">
        <v>-12</v>
      </c>
      <c r="B240">
        <v>0.7190358</v>
      </c>
      <c r="C240">
        <f t="shared" si="8"/>
        <v>1.2001433728158E-3</v>
      </c>
      <c r="D240">
        <f t="shared" si="9"/>
        <v>1.4307037033503556</v>
      </c>
    </row>
    <row r="241" spans="1:4" x14ac:dyDescent="0.25">
      <c r="A241">
        <v>-11</v>
      </c>
      <c r="B241">
        <v>0.7356663</v>
      </c>
      <c r="C241">
        <f t="shared" si="8"/>
        <v>1.2279013569963001E-3</v>
      </c>
      <c r="D241">
        <f t="shared" si="9"/>
        <v>1.4635711504670357</v>
      </c>
    </row>
    <row r="242" spans="1:4" x14ac:dyDescent="0.25">
      <c r="A242">
        <v>-10</v>
      </c>
      <c r="B242">
        <v>0.75250899999999998</v>
      </c>
      <c r="C242">
        <f t="shared" si="8"/>
        <v>1.256013524409E-3</v>
      </c>
      <c r="D242">
        <f t="shared" si="9"/>
        <v>1.4968477364037502</v>
      </c>
    </row>
    <row r="243" spans="1:4" x14ac:dyDescent="0.25">
      <c r="A243">
        <v>-9</v>
      </c>
      <c r="B243">
        <v>0.76956429999999998</v>
      </c>
      <c r="C243">
        <f t="shared" si="8"/>
        <v>1.2844805426943E-3</v>
      </c>
      <c r="D243">
        <f t="shared" si="9"/>
        <v>1.5305338645604571</v>
      </c>
    </row>
    <row r="244" spans="1:4" x14ac:dyDescent="0.25">
      <c r="A244">
        <v>-8</v>
      </c>
      <c r="B244">
        <v>0.78683219999999998</v>
      </c>
      <c r="C244">
        <f t="shared" si="8"/>
        <v>1.3133024118522E-3</v>
      </c>
      <c r="D244">
        <f t="shared" si="9"/>
        <v>1.5646291429792125</v>
      </c>
    </row>
    <row r="245" spans="1:4" x14ac:dyDescent="0.25">
      <c r="A245">
        <v>-7</v>
      </c>
      <c r="B245">
        <v>0.8043131</v>
      </c>
      <c r="C245">
        <f t="shared" si="8"/>
        <v>1.3424797995231E-3</v>
      </c>
      <c r="D245">
        <f t="shared" si="9"/>
        <v>1.5991339644231717</v>
      </c>
    </row>
    <row r="246" spans="1:4" x14ac:dyDescent="0.25">
      <c r="A246">
        <v>-6</v>
      </c>
      <c r="B246">
        <v>0.82200700000000004</v>
      </c>
      <c r="C246">
        <f t="shared" si="8"/>
        <v>1.3720127057070001E-3</v>
      </c>
      <c r="D246">
        <f t="shared" si="9"/>
        <v>1.6340479267801911</v>
      </c>
    </row>
    <row r="247" spans="1:4" x14ac:dyDescent="0.25">
      <c r="A247">
        <v>-5</v>
      </c>
      <c r="B247">
        <v>0.83991420000000006</v>
      </c>
      <c r="C247">
        <f t="shared" si="8"/>
        <v>1.4019016311342001E-3</v>
      </c>
      <c r="D247">
        <f t="shared" si="9"/>
        <v>1.669371214913673</v>
      </c>
    </row>
    <row r="248" spans="1:4" x14ac:dyDescent="0.25">
      <c r="A248">
        <v>-4</v>
      </c>
      <c r="B248">
        <v>0.85803479999999999</v>
      </c>
      <c r="C248">
        <f t="shared" si="8"/>
        <v>1.4321467427148001E-3</v>
      </c>
      <c r="D248">
        <f t="shared" si="9"/>
        <v>1.705103613887593</v>
      </c>
    </row>
    <row r="249" spans="1:4" x14ac:dyDescent="0.25">
      <c r="A249">
        <v>-3</v>
      </c>
      <c r="B249">
        <v>0.87636910000000001</v>
      </c>
      <c r="C249">
        <f t="shared" si="8"/>
        <v>1.4627485411791001E-3</v>
      </c>
      <c r="D249">
        <f t="shared" si="9"/>
        <v>1.7412452979872706</v>
      </c>
    </row>
    <row r="250" spans="1:4" x14ac:dyDescent="0.25">
      <c r="A250">
        <v>-2</v>
      </c>
      <c r="B250">
        <v>0.89491719999999997</v>
      </c>
      <c r="C250">
        <f t="shared" si="8"/>
        <v>1.4937071934372E-3</v>
      </c>
      <c r="D250">
        <f t="shared" si="9"/>
        <v>1.7777960419445127</v>
      </c>
    </row>
    <row r="251" spans="1:4" x14ac:dyDescent="0.25">
      <c r="A251">
        <v>-1</v>
      </c>
      <c r="B251">
        <v>0.91367929999999997</v>
      </c>
      <c r="C251">
        <f t="shared" si="8"/>
        <v>1.5250230333093001E-3</v>
      </c>
      <c r="D251">
        <f t="shared" si="9"/>
        <v>1.814755812474933</v>
      </c>
    </row>
    <row r="252" spans="1:4" x14ac:dyDescent="0.25">
      <c r="A252">
        <v>0</v>
      </c>
      <c r="B252">
        <v>0.93265560000000003</v>
      </c>
      <c r="C252">
        <f t="shared" si="8"/>
        <v>1.5566963946156002E-3</v>
      </c>
      <c r="D252">
        <f t="shared" si="9"/>
        <v>1.8521245710463208</v>
      </c>
    </row>
    <row r="253" spans="1:4" x14ac:dyDescent="0.25">
      <c r="A253">
        <v>1</v>
      </c>
      <c r="B253">
        <v>0.95184630000000003</v>
      </c>
      <c r="C253">
        <f t="shared" si="8"/>
        <v>1.5887276111763002E-3</v>
      </c>
      <c r="D253">
        <f t="shared" si="9"/>
        <v>1.8899022738697036</v>
      </c>
    </row>
    <row r="254" spans="1:4" x14ac:dyDescent="0.25">
      <c r="A254">
        <v>2</v>
      </c>
      <c r="B254">
        <v>0.97125159999999999</v>
      </c>
      <c r="C254">
        <f t="shared" si="8"/>
        <v>1.6211170168116001E-3</v>
      </c>
      <c r="D254">
        <f t="shared" si="9"/>
        <v>1.9280888718934963</v>
      </c>
    </row>
    <row r="255" spans="1:4" x14ac:dyDescent="0.25">
      <c r="A255">
        <v>3</v>
      </c>
      <c r="B255">
        <v>0.99087170000000002</v>
      </c>
      <c r="C255">
        <f t="shared" si="8"/>
        <v>1.6538649453417002E-3</v>
      </c>
      <c r="D255">
        <f t="shared" si="9"/>
        <v>1.9666843107957854</v>
      </c>
    </row>
    <row r="256" spans="1:4" x14ac:dyDescent="0.25">
      <c r="A256">
        <v>4</v>
      </c>
      <c r="B256">
        <v>1.0107067000000001</v>
      </c>
      <c r="C256">
        <f t="shared" si="8"/>
        <v>1.6869715636767002E-3</v>
      </c>
      <c r="D256">
        <f t="shared" si="9"/>
        <v>2.0056883343701704</v>
      </c>
    </row>
    <row r="257" spans="1:4" x14ac:dyDescent="0.25">
      <c r="A257">
        <v>5</v>
      </c>
      <c r="B257">
        <v>1.0307568</v>
      </c>
      <c r="C257">
        <f t="shared" si="8"/>
        <v>1.7204372056368001E-3</v>
      </c>
      <c r="D257">
        <f t="shared" si="9"/>
        <v>2.0451008779500124</v>
      </c>
    </row>
    <row r="258" spans="1:4" x14ac:dyDescent="0.25">
      <c r="A258">
        <v>6</v>
      </c>
      <c r="B258">
        <v>1.0510223000000001</v>
      </c>
      <c r="C258">
        <f t="shared" si="8"/>
        <v>1.7542623719523003E-3</v>
      </c>
      <c r="D258">
        <f t="shared" si="9"/>
        <v>2.0849220680427827</v>
      </c>
    </row>
    <row r="259" spans="1:4" x14ac:dyDescent="0.25">
      <c r="A259">
        <v>7</v>
      </c>
      <c r="B259">
        <v>1.0715033</v>
      </c>
      <c r="C259">
        <f t="shared" si="8"/>
        <v>1.7884472295333002E-3</v>
      </c>
      <c r="D259">
        <f t="shared" si="9"/>
        <v>2.1251516327921993</v>
      </c>
    </row>
    <row r="260" spans="1:4" x14ac:dyDescent="0.25">
      <c r="A260">
        <v>8</v>
      </c>
      <c r="B260">
        <v>1.0921999</v>
      </c>
      <c r="C260">
        <f t="shared" si="8"/>
        <v>1.8229919452899001E-3</v>
      </c>
      <c r="D260">
        <f t="shared" si="9"/>
        <v>2.1657892953362845</v>
      </c>
    </row>
    <row r="261" spans="1:4" x14ac:dyDescent="0.25">
      <c r="A261">
        <v>9</v>
      </c>
      <c r="B261">
        <v>1.1131124999999999</v>
      </c>
      <c r="C261">
        <f t="shared" si="8"/>
        <v>1.8578971868624999E-3</v>
      </c>
      <c r="D261">
        <f t="shared" si="9"/>
        <v>2.2068353625177006</v>
      </c>
    </row>
    <row r="262" spans="1:4" x14ac:dyDescent="0.25">
      <c r="A262">
        <v>10</v>
      </c>
      <c r="B262">
        <v>1.1342411999999999</v>
      </c>
      <c r="C262">
        <f t="shared" si="8"/>
        <v>1.8931631211612E-3</v>
      </c>
      <c r="D262">
        <f t="shared" si="9"/>
        <v>2.2482895467791475</v>
      </c>
    </row>
    <row r="263" spans="1:4" x14ac:dyDescent="0.25">
      <c r="A263">
        <v>11</v>
      </c>
      <c r="B263">
        <v>1.1555861000000001</v>
      </c>
      <c r="C263">
        <f t="shared" ref="C263:C326" si="10">B263*$G$2</f>
        <v>1.9287899150961002E-3</v>
      </c>
      <c r="D263">
        <f t="shared" ref="D263:D326" si="11">100*(1-(1-C263)^12)</f>
        <v>2.2901515555468266</v>
      </c>
    </row>
    <row r="264" spans="1:4" x14ac:dyDescent="0.25">
      <c r="A264">
        <v>12</v>
      </c>
      <c r="B264">
        <v>1.1771475</v>
      </c>
      <c r="C264">
        <f t="shared" si="10"/>
        <v>1.9647780693975003E-3</v>
      </c>
      <c r="D264">
        <f t="shared" si="11"/>
        <v>2.3324214832426859</v>
      </c>
    </row>
    <row r="265" spans="1:4" x14ac:dyDescent="0.25">
      <c r="A265">
        <v>13</v>
      </c>
      <c r="B265">
        <v>1.1989255000000001</v>
      </c>
      <c r="C265">
        <f t="shared" si="10"/>
        <v>2.0011277509755002E-3</v>
      </c>
      <c r="D265">
        <f t="shared" si="11"/>
        <v>2.3750990267927152</v>
      </c>
    </row>
    <row r="266" spans="1:4" x14ac:dyDescent="0.25">
      <c r="A266">
        <v>14</v>
      </c>
      <c r="B266">
        <v>1.2209203</v>
      </c>
      <c r="C266">
        <f t="shared" si="10"/>
        <v>2.0378392936502999E-3</v>
      </c>
      <c r="D266">
        <f t="shared" si="11"/>
        <v>2.4181840739492921</v>
      </c>
    </row>
    <row r="267" spans="1:4" x14ac:dyDescent="0.25">
      <c r="A267">
        <v>15</v>
      </c>
      <c r="B267">
        <v>1.2431322</v>
      </c>
      <c r="C267">
        <f t="shared" si="10"/>
        <v>2.0749131981522002E-3</v>
      </c>
      <c r="D267">
        <f t="shared" si="11"/>
        <v>2.4616767028922348</v>
      </c>
    </row>
    <row r="268" spans="1:4" x14ac:dyDescent="0.25">
      <c r="A268">
        <v>16</v>
      </c>
      <c r="B268">
        <v>1.2655612000000001</v>
      </c>
      <c r="C268">
        <f t="shared" si="10"/>
        <v>2.1123494644812004E-3</v>
      </c>
      <c r="D268">
        <f t="shared" si="11"/>
        <v>2.505576399071463</v>
      </c>
    </row>
    <row r="269" spans="1:4" x14ac:dyDescent="0.25">
      <c r="A269">
        <v>17</v>
      </c>
      <c r="B269">
        <v>1.2882077000000001</v>
      </c>
      <c r="C269">
        <f t="shared" si="10"/>
        <v>2.1501487602777003E-3</v>
      </c>
      <c r="D269">
        <f t="shared" si="11"/>
        <v>2.5498834256545311</v>
      </c>
    </row>
    <row r="270" spans="1:4" x14ac:dyDescent="0.25">
      <c r="A270">
        <v>18</v>
      </c>
      <c r="B270">
        <v>1.3110717000000001</v>
      </c>
      <c r="C270">
        <f t="shared" si="10"/>
        <v>2.1883110855417001E-3</v>
      </c>
      <c r="D270">
        <f t="shared" si="11"/>
        <v>2.5945972577051446</v>
      </c>
    </row>
    <row r="271" spans="1:4" x14ac:dyDescent="0.25">
      <c r="A271">
        <v>19</v>
      </c>
      <c r="B271">
        <v>1.3341535</v>
      </c>
      <c r="C271">
        <f t="shared" si="10"/>
        <v>2.2268369410035002E-3</v>
      </c>
      <c r="D271">
        <f t="shared" si="11"/>
        <v>2.639717951904097</v>
      </c>
    </row>
    <row r="272" spans="1:4" x14ac:dyDescent="0.25">
      <c r="A272">
        <v>20</v>
      </c>
      <c r="B272">
        <v>1.3574533</v>
      </c>
      <c r="C272">
        <f t="shared" si="10"/>
        <v>2.2657266604833E-3</v>
      </c>
      <c r="D272">
        <f t="shared" si="11"/>
        <v>2.6852453638769536</v>
      </c>
    </row>
    <row r="273" spans="1:4" x14ac:dyDescent="0.25">
      <c r="A273">
        <v>21</v>
      </c>
      <c r="B273">
        <v>1.3809712000000001</v>
      </c>
      <c r="C273">
        <f t="shared" si="10"/>
        <v>2.3049804108912003E-3</v>
      </c>
      <c r="D273">
        <f t="shared" si="11"/>
        <v>2.7311791486028913</v>
      </c>
    </row>
    <row r="274" spans="1:4" x14ac:dyDescent="0.25">
      <c r="A274">
        <v>22</v>
      </c>
      <c r="B274">
        <v>1.4047073999999999</v>
      </c>
      <c r="C274">
        <f t="shared" si="10"/>
        <v>2.3445985260473999E-3</v>
      </c>
      <c r="D274">
        <f t="shared" si="11"/>
        <v>2.777519151209995</v>
      </c>
    </row>
    <row r="275" spans="1:4" x14ac:dyDescent="0.25">
      <c r="A275">
        <v>23</v>
      </c>
      <c r="B275">
        <v>1.4286622</v>
      </c>
      <c r="C275">
        <f t="shared" si="10"/>
        <v>2.3845815066822003E-3</v>
      </c>
      <c r="D275">
        <f t="shared" si="11"/>
        <v>2.8242654065467887</v>
      </c>
    </row>
    <row r="276" spans="1:4" x14ac:dyDescent="0.25">
      <c r="A276">
        <v>24</v>
      </c>
      <c r="B276">
        <v>1.4528356</v>
      </c>
      <c r="C276">
        <f t="shared" si="10"/>
        <v>2.4249293527956002E-3</v>
      </c>
      <c r="D276">
        <f t="shared" si="11"/>
        <v>2.8714173586885439</v>
      </c>
    </row>
    <row r="277" spans="1:4" x14ac:dyDescent="0.25">
      <c r="A277">
        <v>25</v>
      </c>
      <c r="B277">
        <v>1.477228</v>
      </c>
      <c r="C277">
        <f t="shared" si="10"/>
        <v>2.4656427320279999E-3</v>
      </c>
      <c r="D277">
        <f t="shared" si="11"/>
        <v>2.9189752267211766</v>
      </c>
    </row>
    <row r="278" spans="1:4" x14ac:dyDescent="0.25">
      <c r="A278">
        <v>26</v>
      </c>
      <c r="B278">
        <v>1.5018393999999999</v>
      </c>
      <c r="C278">
        <f t="shared" si="10"/>
        <v>2.5067216443794E-3</v>
      </c>
      <c r="D278">
        <f t="shared" si="11"/>
        <v>2.9669384442823743</v>
      </c>
    </row>
    <row r="279" spans="1:4" x14ac:dyDescent="0.25">
      <c r="A279">
        <v>27</v>
      </c>
      <c r="B279">
        <v>1.5266701</v>
      </c>
      <c r="C279">
        <f t="shared" si="10"/>
        <v>2.5481665905801002E-3</v>
      </c>
      <c r="D279">
        <f t="shared" si="11"/>
        <v>3.0153070245646951</v>
      </c>
    </row>
    <row r="280" spans="1:4" x14ac:dyDescent="0.25">
      <c r="A280">
        <v>28</v>
      </c>
      <c r="B280">
        <v>1.5517202999999999</v>
      </c>
      <c r="C280">
        <f t="shared" si="10"/>
        <v>2.5899779044503001E-3</v>
      </c>
      <c r="D280">
        <f t="shared" si="11"/>
        <v>3.064080780342604</v>
      </c>
    </row>
    <row r="281" spans="1:4" x14ac:dyDescent="0.25">
      <c r="A281">
        <v>29</v>
      </c>
      <c r="B281">
        <v>1.5769901</v>
      </c>
      <c r="C281">
        <f t="shared" si="10"/>
        <v>2.6321557529001001E-3</v>
      </c>
      <c r="D281">
        <f t="shared" si="11"/>
        <v>3.1132593244136753</v>
      </c>
    </row>
    <row r="282" spans="1:4" x14ac:dyDescent="0.25">
      <c r="A282">
        <v>30</v>
      </c>
      <c r="B282">
        <v>1.6024797</v>
      </c>
      <c r="C282">
        <f t="shared" si="10"/>
        <v>2.6747004697497E-3</v>
      </c>
      <c r="D282">
        <f t="shared" si="11"/>
        <v>3.1628424590042892</v>
      </c>
    </row>
    <row r="283" spans="1:4" x14ac:dyDescent="0.25">
      <c r="A283">
        <v>31</v>
      </c>
      <c r="B283">
        <v>1.6281893999999999</v>
      </c>
      <c r="C283">
        <f t="shared" si="10"/>
        <v>2.7176125557293999E-3</v>
      </c>
      <c r="D283">
        <f t="shared" si="11"/>
        <v>3.2128301753134081</v>
      </c>
    </row>
    <row r="284" spans="1:4" x14ac:dyDescent="0.25">
      <c r="A284">
        <v>32</v>
      </c>
      <c r="B284">
        <v>1.6541192</v>
      </c>
      <c r="C284">
        <f t="shared" si="10"/>
        <v>2.7608920108392002E-3</v>
      </c>
      <c r="D284">
        <f t="shared" si="11"/>
        <v>3.2632218758737674</v>
      </c>
    </row>
    <row r="285" spans="1:4" x14ac:dyDescent="0.25">
      <c r="A285">
        <v>33</v>
      </c>
      <c r="B285">
        <v>1.6802695000000001</v>
      </c>
      <c r="C285">
        <f t="shared" si="10"/>
        <v>2.8045395027195001E-3</v>
      </c>
      <c r="D285">
        <f t="shared" si="11"/>
        <v>3.3140177353371492</v>
      </c>
    </row>
    <row r="286" spans="1:4" x14ac:dyDescent="0.25">
      <c r="A286">
        <v>34</v>
      </c>
      <c r="B286">
        <v>1.7066403000000001</v>
      </c>
      <c r="C286">
        <f t="shared" si="10"/>
        <v>2.8485550313703005E-3</v>
      </c>
      <c r="D286">
        <f t="shared" si="11"/>
        <v>3.3652171457605906</v>
      </c>
    </row>
    <row r="287" spans="1:4" x14ac:dyDescent="0.25">
      <c r="A287">
        <v>35</v>
      </c>
      <c r="B287">
        <v>1.7332319</v>
      </c>
      <c r="C287">
        <f t="shared" si="10"/>
        <v>2.8929390975219E-3</v>
      </c>
      <c r="D287">
        <f t="shared" si="11"/>
        <v>3.4168200765574364</v>
      </c>
    </row>
    <row r="288" spans="1:4" x14ac:dyDescent="0.25">
      <c r="A288">
        <v>36</v>
      </c>
      <c r="B288">
        <v>1.7600445</v>
      </c>
      <c r="C288">
        <f t="shared" si="10"/>
        <v>2.9376920349945003E-3</v>
      </c>
      <c r="D288">
        <f t="shared" si="11"/>
        <v>3.4688262974151507</v>
      </c>
    </row>
    <row r="289" spans="1:4" x14ac:dyDescent="0.25">
      <c r="A289">
        <v>37</v>
      </c>
      <c r="B289">
        <v>1.7870782000000001</v>
      </c>
      <c r="C289">
        <f t="shared" si="10"/>
        <v>2.9828140106982004E-3</v>
      </c>
      <c r="D289">
        <f t="shared" si="11"/>
        <v>3.5212353787670514</v>
      </c>
    </row>
    <row r="290" spans="1:4" x14ac:dyDescent="0.25">
      <c r="A290">
        <v>38</v>
      </c>
      <c r="B290">
        <v>1.8143332000000001</v>
      </c>
      <c r="C290">
        <f t="shared" si="10"/>
        <v>3.0283053584532005E-3</v>
      </c>
      <c r="D290">
        <f t="shared" si="11"/>
        <v>3.5740470797155477</v>
      </c>
    </row>
    <row r="291" spans="1:4" x14ac:dyDescent="0.25">
      <c r="A291">
        <v>39</v>
      </c>
      <c r="B291">
        <v>1.8418098000000001</v>
      </c>
      <c r="C291">
        <f t="shared" si="10"/>
        <v>3.0741665789898003E-3</v>
      </c>
      <c r="D291">
        <f t="shared" si="11"/>
        <v>3.6272613475461402</v>
      </c>
    </row>
    <row r="292" spans="1:4" x14ac:dyDescent="0.25">
      <c r="A292">
        <v>40</v>
      </c>
      <c r="B292">
        <v>1.8695081</v>
      </c>
      <c r="C292">
        <f t="shared" si="10"/>
        <v>3.1203978392181E-3</v>
      </c>
      <c r="D292">
        <f t="shared" si="11"/>
        <v>3.6808777366596046</v>
      </c>
    </row>
    <row r="293" spans="1:4" x14ac:dyDescent="0.25">
      <c r="A293">
        <v>41</v>
      </c>
      <c r="B293">
        <v>1.8974283000000001</v>
      </c>
      <c r="C293">
        <f t="shared" si="10"/>
        <v>3.1669994729583003E-3</v>
      </c>
      <c r="D293">
        <f t="shared" si="11"/>
        <v>3.7348959898287348</v>
      </c>
    </row>
    <row r="294" spans="1:4" x14ac:dyDescent="0.25">
      <c r="A294">
        <v>42</v>
      </c>
      <c r="B294">
        <v>1.9255705000000001</v>
      </c>
      <c r="C294">
        <f t="shared" si="10"/>
        <v>3.2139716471205003E-3</v>
      </c>
      <c r="D294">
        <f t="shared" si="11"/>
        <v>3.7893156510534265</v>
      </c>
    </row>
    <row r="295" spans="1:4" x14ac:dyDescent="0.25">
      <c r="A295">
        <v>43</v>
      </c>
      <c r="B295">
        <v>1.953935</v>
      </c>
      <c r="C295">
        <f t="shared" si="10"/>
        <v>3.2613148624350001E-3</v>
      </c>
      <c r="D295">
        <f t="shared" si="11"/>
        <v>3.8441366457313775</v>
      </c>
    </row>
    <row r="296" spans="1:4" x14ac:dyDescent="0.25">
      <c r="A296">
        <v>44</v>
      </c>
      <c r="B296">
        <v>1.9825219999999999</v>
      </c>
      <c r="C296">
        <f t="shared" si="10"/>
        <v>3.3090294527219999E-3</v>
      </c>
      <c r="D296">
        <f t="shared" si="11"/>
        <v>3.8993587002819075</v>
      </c>
    </row>
    <row r="297" spans="1:4" x14ac:dyDescent="0.25">
      <c r="A297">
        <v>45</v>
      </c>
      <c r="B297">
        <v>2.0113316999999999</v>
      </c>
      <c r="C297">
        <f t="shared" si="10"/>
        <v>3.3571157518017002E-3</v>
      </c>
      <c r="D297">
        <f t="shared" si="11"/>
        <v>3.9549815356664464</v>
      </c>
    </row>
    <row r="298" spans="1:4" x14ac:dyDescent="0.25">
      <c r="A298">
        <v>46</v>
      </c>
      <c r="B298">
        <v>2.0403641000000001</v>
      </c>
      <c r="C298">
        <f t="shared" si="10"/>
        <v>3.4055737596741004E-3</v>
      </c>
      <c r="D298">
        <f t="shared" si="11"/>
        <v>4.0110044815557355</v>
      </c>
    </row>
    <row r="299" spans="1:4" x14ac:dyDescent="0.25">
      <c r="A299">
        <v>47</v>
      </c>
      <c r="B299">
        <v>2.0696195999999998</v>
      </c>
      <c r="C299">
        <f t="shared" si="10"/>
        <v>3.4544041439795998E-3</v>
      </c>
      <c r="D299">
        <f t="shared" si="11"/>
        <v>4.0674276342351217</v>
      </c>
    </row>
    <row r="300" spans="1:4" x14ac:dyDescent="0.25">
      <c r="A300">
        <v>48</v>
      </c>
      <c r="B300">
        <v>2.0990983000000001</v>
      </c>
      <c r="C300">
        <f t="shared" si="10"/>
        <v>3.5036070716283002E-3</v>
      </c>
      <c r="D300">
        <f t="shared" si="11"/>
        <v>4.1242505055756435</v>
      </c>
    </row>
    <row r="301" spans="1:4" x14ac:dyDescent="0.25">
      <c r="A301">
        <v>49</v>
      </c>
      <c r="B301">
        <v>2.1288003999999998</v>
      </c>
      <c r="C301">
        <f t="shared" si="10"/>
        <v>3.5531828764404001E-3</v>
      </c>
      <c r="D301">
        <f t="shared" si="11"/>
        <v>4.1814727950036046</v>
      </c>
    </row>
    <row r="302" spans="1:4" x14ac:dyDescent="0.25">
      <c r="A302">
        <v>50</v>
      </c>
      <c r="B302">
        <v>2.1587261</v>
      </c>
      <c r="C302">
        <f t="shared" si="10"/>
        <v>3.6031318922361E-3</v>
      </c>
      <c r="D302">
        <f t="shared" si="11"/>
        <v>4.2390941964803091</v>
      </c>
    </row>
    <row r="303" spans="1:4" x14ac:dyDescent="0.25">
      <c r="A303">
        <v>51</v>
      </c>
      <c r="B303">
        <v>2.1888939999999999</v>
      </c>
      <c r="C303">
        <f t="shared" si="10"/>
        <v>3.653485164294E-3</v>
      </c>
      <c r="D303">
        <f t="shared" si="11"/>
        <v>4.2971497979260036</v>
      </c>
    </row>
    <row r="304" spans="1:4" x14ac:dyDescent="0.25">
      <c r="A304">
        <v>52</v>
      </c>
      <c r="B304">
        <v>2.2194891999999999</v>
      </c>
      <c r="C304">
        <f t="shared" si="10"/>
        <v>3.7045516432092002E-3</v>
      </c>
      <c r="D304">
        <f t="shared" si="11"/>
        <v>4.3559947487043615</v>
      </c>
    </row>
    <row r="305" spans="1:4" x14ac:dyDescent="0.25">
      <c r="A305">
        <v>53</v>
      </c>
      <c r="B305">
        <v>2.2505532000000001</v>
      </c>
      <c r="C305">
        <f t="shared" si="10"/>
        <v>3.7564005966732004E-3</v>
      </c>
      <c r="D305">
        <f t="shared" si="11"/>
        <v>4.4157074261913065</v>
      </c>
    </row>
    <row r="306" spans="1:4" x14ac:dyDescent="0.25">
      <c r="A306">
        <v>54</v>
      </c>
      <c r="B306">
        <v>2.2820779</v>
      </c>
      <c r="C306">
        <f t="shared" si="10"/>
        <v>3.8090185049679003E-3</v>
      </c>
      <c r="D306">
        <f t="shared" si="11"/>
        <v>4.4762707438279037</v>
      </c>
    </row>
    <row r="307" spans="1:4" x14ac:dyDescent="0.25">
      <c r="A307">
        <v>55</v>
      </c>
      <c r="B307">
        <v>2.3140551</v>
      </c>
      <c r="C307">
        <f t="shared" si="10"/>
        <v>3.8623916814651002E-3</v>
      </c>
      <c r="D307">
        <f t="shared" si="11"/>
        <v>4.5376674380638971</v>
      </c>
    </row>
    <row r="308" spans="1:4" x14ac:dyDescent="0.25">
      <c r="A308">
        <v>56</v>
      </c>
      <c r="B308">
        <v>2.3464765999999999</v>
      </c>
      <c r="C308">
        <f t="shared" si="10"/>
        <v>3.9165064395366E-3</v>
      </c>
      <c r="D308">
        <f t="shared" si="11"/>
        <v>4.5998802620811468</v>
      </c>
    </row>
    <row r="309" spans="1:4" x14ac:dyDescent="0.25">
      <c r="A309">
        <v>57</v>
      </c>
      <c r="B309">
        <v>2.3793342000000002</v>
      </c>
      <c r="C309">
        <f t="shared" si="10"/>
        <v>3.9713490925542003E-3</v>
      </c>
      <c r="D309">
        <f t="shared" si="11"/>
        <v>4.6628919871001928</v>
      </c>
    </row>
    <row r="310" spans="1:4" x14ac:dyDescent="0.25">
      <c r="A310">
        <v>58</v>
      </c>
      <c r="B310">
        <v>2.4126197999999999</v>
      </c>
      <c r="C310">
        <f t="shared" si="10"/>
        <v>4.0269061207998001E-3</v>
      </c>
      <c r="D310">
        <f t="shared" si="11"/>
        <v>4.7266855952567743</v>
      </c>
    </row>
    <row r="311" spans="1:4" x14ac:dyDescent="0.25">
      <c r="A311">
        <v>59</v>
      </c>
      <c r="B311">
        <v>2.4463252</v>
      </c>
      <c r="C311">
        <f t="shared" si="10"/>
        <v>4.0831638376452005E-3</v>
      </c>
      <c r="D311">
        <f t="shared" si="11"/>
        <v>4.7912438973053746</v>
      </c>
    </row>
    <row r="312" spans="1:4" x14ac:dyDescent="0.25">
      <c r="A312">
        <v>60</v>
      </c>
      <c r="B312">
        <v>2.4804423</v>
      </c>
      <c r="C312">
        <f t="shared" si="10"/>
        <v>4.1401087233723004E-3</v>
      </c>
      <c r="D312">
        <f t="shared" si="11"/>
        <v>4.8565499171467463</v>
      </c>
    </row>
    <row r="313" spans="1:4" x14ac:dyDescent="0.25">
      <c r="A313">
        <v>61</v>
      </c>
      <c r="B313">
        <v>2.5149628000000002</v>
      </c>
      <c r="C313">
        <f t="shared" si="10"/>
        <v>4.1977269244428007E-3</v>
      </c>
      <c r="D313">
        <f t="shared" si="11"/>
        <v>4.9225863187117413</v>
      </c>
    </row>
    <row r="314" spans="1:4" x14ac:dyDescent="0.25">
      <c r="A314">
        <v>62</v>
      </c>
      <c r="B314">
        <v>2.5498786</v>
      </c>
      <c r="C314">
        <f t="shared" si="10"/>
        <v>4.2560049211386002E-3</v>
      </c>
      <c r="D314">
        <f t="shared" si="11"/>
        <v>4.9893361728001402</v>
      </c>
    </row>
    <row r="315" spans="1:4" x14ac:dyDescent="0.25">
      <c r="A315">
        <v>63</v>
      </c>
      <c r="B315">
        <v>2.5851815999999999</v>
      </c>
      <c r="C315">
        <f t="shared" si="10"/>
        <v>4.3149291937416004E-3</v>
      </c>
      <c r="D315">
        <f t="shared" si="11"/>
        <v>5.0567825750175928</v>
      </c>
    </row>
    <row r="316" spans="1:4" x14ac:dyDescent="0.25">
      <c r="A316">
        <v>64</v>
      </c>
      <c r="B316">
        <v>2.6208635</v>
      </c>
      <c r="C316">
        <f t="shared" si="10"/>
        <v>4.3744858887135004E-3</v>
      </c>
      <c r="D316">
        <f t="shared" si="11"/>
        <v>5.1249082651574795</v>
      </c>
    </row>
    <row r="317" spans="1:4" x14ac:dyDescent="0.25">
      <c r="A317">
        <v>65</v>
      </c>
      <c r="B317">
        <v>2.6569162</v>
      </c>
      <c r="C317">
        <f t="shared" si="10"/>
        <v>4.4346614863361999E-3</v>
      </c>
      <c r="D317">
        <f t="shared" si="11"/>
        <v>5.1936963924875563</v>
      </c>
    </row>
    <row r="318" spans="1:4" x14ac:dyDescent="0.25">
      <c r="A318">
        <v>66</v>
      </c>
      <c r="B318">
        <v>2.6933315000000002</v>
      </c>
      <c r="C318">
        <f t="shared" si="10"/>
        <v>4.4954422999815002E-3</v>
      </c>
      <c r="D318">
        <f t="shared" si="11"/>
        <v>5.2631299437236105</v>
      </c>
    </row>
    <row r="319" spans="1:4" x14ac:dyDescent="0.25">
      <c r="A319">
        <v>67</v>
      </c>
      <c r="B319">
        <v>2.7301012999999998</v>
      </c>
      <c r="C319">
        <f t="shared" si="10"/>
        <v>4.5568148099313002E-3</v>
      </c>
      <c r="D319">
        <f t="shared" si="11"/>
        <v>5.333192125656872</v>
      </c>
    </row>
    <row r="320" spans="1:4" x14ac:dyDescent="0.25">
      <c r="A320">
        <v>68</v>
      </c>
      <c r="B320">
        <v>2.7672173</v>
      </c>
      <c r="C320">
        <f t="shared" si="10"/>
        <v>4.6187651626473005E-3</v>
      </c>
      <c r="D320">
        <f t="shared" si="11"/>
        <v>5.4038657944672881</v>
      </c>
    </row>
    <row r="321" spans="1:4" x14ac:dyDescent="0.25">
      <c r="A321">
        <v>69</v>
      </c>
      <c r="B321">
        <v>2.8046715</v>
      </c>
      <c r="C321">
        <f t="shared" si="10"/>
        <v>4.6812800053215005E-3</v>
      </c>
      <c r="D321">
        <f t="shared" si="11"/>
        <v>5.4751344090922638</v>
      </c>
    </row>
    <row r="322" spans="1:4" x14ac:dyDescent="0.25">
      <c r="A322">
        <v>70</v>
      </c>
      <c r="B322">
        <v>2.8424554999999998</v>
      </c>
      <c r="C322">
        <f t="shared" si="10"/>
        <v>4.7443453175054998E-3</v>
      </c>
      <c r="D322">
        <f t="shared" si="11"/>
        <v>5.5469806996177535</v>
      </c>
    </row>
    <row r="323" spans="1:4" x14ac:dyDescent="0.25">
      <c r="A323">
        <v>71</v>
      </c>
      <c r="B323">
        <v>2.8805613999999999</v>
      </c>
      <c r="C323">
        <f t="shared" si="10"/>
        <v>4.8079479133014006E-3</v>
      </c>
      <c r="D323">
        <f t="shared" si="11"/>
        <v>5.6193883804105731</v>
      </c>
    </row>
    <row r="324" spans="1:4" x14ac:dyDescent="0.25">
      <c r="A324">
        <v>72</v>
      </c>
      <c r="B324">
        <v>2.9189809000000002</v>
      </c>
      <c r="C324">
        <f t="shared" si="10"/>
        <v>4.872073939170901E-3</v>
      </c>
      <c r="D324">
        <f t="shared" si="11"/>
        <v>5.6923404393343979</v>
      </c>
    </row>
    <row r="325" spans="1:4" x14ac:dyDescent="0.25">
      <c r="A325">
        <v>73</v>
      </c>
      <c r="B325">
        <v>2.9577057</v>
      </c>
      <c r="C325">
        <f t="shared" si="10"/>
        <v>4.9367095415757001E-3</v>
      </c>
      <c r="D325">
        <f t="shared" si="11"/>
        <v>5.7658199000281352</v>
      </c>
    </row>
    <row r="326" spans="1:4" x14ac:dyDescent="0.25">
      <c r="A326">
        <v>74</v>
      </c>
      <c r="B326">
        <v>2.9967278999999998</v>
      </c>
      <c r="C326">
        <f t="shared" si="10"/>
        <v>5.0018415346179002E-3</v>
      </c>
      <c r="D326">
        <f t="shared" si="11"/>
        <v>5.8398105809379874</v>
      </c>
    </row>
    <row r="327" spans="1:4" x14ac:dyDescent="0.25">
      <c r="A327">
        <v>75</v>
      </c>
      <c r="B327">
        <v>3.0360391</v>
      </c>
      <c r="C327">
        <f t="shared" ref="C327:C390" si="12">B327*$G$2</f>
        <v>5.0674558978491E-3</v>
      </c>
      <c r="D327">
        <f t="shared" ref="D327:D390" si="13">100*(1-(1-C327)^12)</f>
        <v>5.9142953887453835</v>
      </c>
    </row>
    <row r="328" spans="1:4" x14ac:dyDescent="0.25">
      <c r="A328">
        <v>76</v>
      </c>
      <c r="B328">
        <v>3.0756313</v>
      </c>
      <c r="C328">
        <f t="shared" si="12"/>
        <v>5.1335392784613004E-3</v>
      </c>
      <c r="D328">
        <f t="shared" si="13"/>
        <v>5.9892580260038297</v>
      </c>
    </row>
    <row r="329" spans="1:4" x14ac:dyDescent="0.25">
      <c r="A329">
        <v>77</v>
      </c>
      <c r="B329">
        <v>3.1154961999999999</v>
      </c>
      <c r="C329">
        <f t="shared" si="12"/>
        <v>5.2000778229162005E-3</v>
      </c>
      <c r="D329">
        <f t="shared" si="13"/>
        <v>6.0646816652419222</v>
      </c>
    </row>
    <row r="330" spans="1:4" x14ac:dyDescent="0.25">
      <c r="A330">
        <v>78</v>
      </c>
      <c r="B330">
        <v>3.1556256</v>
      </c>
      <c r="C330">
        <f t="shared" si="12"/>
        <v>5.2670578445856006E-3</v>
      </c>
      <c r="D330">
        <f t="shared" si="13"/>
        <v>6.1405497077435474</v>
      </c>
    </row>
    <row r="331" spans="1:4" x14ac:dyDescent="0.25">
      <c r="A331">
        <v>79</v>
      </c>
      <c r="B331">
        <v>3.1960115</v>
      </c>
      <c r="C331">
        <f t="shared" si="12"/>
        <v>5.3344659906614999E-3</v>
      </c>
      <c r="D331">
        <f t="shared" si="13"/>
        <v>6.2168459724167295</v>
      </c>
    </row>
    <row r="332" spans="1:4" x14ac:dyDescent="0.25">
      <c r="A332">
        <v>80</v>
      </c>
      <c r="B332">
        <v>3.2366456000000001</v>
      </c>
      <c r="C332">
        <f t="shared" si="12"/>
        <v>5.4022884076056002E-3</v>
      </c>
      <c r="D332">
        <f t="shared" si="13"/>
        <v>6.2935537515373952</v>
      </c>
    </row>
    <row r="333" spans="1:4" x14ac:dyDescent="0.25">
      <c r="A333">
        <v>81</v>
      </c>
      <c r="B333">
        <v>3.2775197999999999</v>
      </c>
      <c r="C333">
        <f t="shared" si="12"/>
        <v>5.4705115756998003E-3</v>
      </c>
      <c r="D333">
        <f t="shared" si="13"/>
        <v>6.3706567563517673</v>
      </c>
    </row>
    <row r="334" spans="1:4" x14ac:dyDescent="0.25">
      <c r="A334">
        <v>82</v>
      </c>
      <c r="B334">
        <v>3.3186258999999998</v>
      </c>
      <c r="C334">
        <f t="shared" si="12"/>
        <v>5.5391218083158996E-3</v>
      </c>
      <c r="D334">
        <f t="shared" si="13"/>
        <v>6.4481385510299472</v>
      </c>
    </row>
    <row r="335" spans="1:4" x14ac:dyDescent="0.25">
      <c r="A335">
        <v>83</v>
      </c>
      <c r="B335">
        <v>3.3599557999999998</v>
      </c>
      <c r="C335">
        <f t="shared" si="12"/>
        <v>5.6081055857357997E-3</v>
      </c>
      <c r="D335">
        <f t="shared" si="13"/>
        <v>6.525982930543428</v>
      </c>
    </row>
    <row r="336" spans="1:4" x14ac:dyDescent="0.25">
      <c r="A336">
        <v>84</v>
      </c>
      <c r="B336">
        <v>3.4015010999999999</v>
      </c>
      <c r="C336">
        <f t="shared" si="12"/>
        <v>5.6774488875111001E-3</v>
      </c>
      <c r="D336">
        <f t="shared" si="13"/>
        <v>6.6041731679998161</v>
      </c>
    </row>
    <row r="337" spans="1:4" x14ac:dyDescent="0.25">
      <c r="A337">
        <v>85</v>
      </c>
      <c r="B337">
        <v>3.4432539000000002</v>
      </c>
      <c r="C337">
        <f t="shared" si="12"/>
        <v>5.7471385277439004E-3</v>
      </c>
      <c r="D337">
        <f t="shared" si="13"/>
        <v>6.6826935212722542</v>
      </c>
    </row>
    <row r="338" spans="1:4" x14ac:dyDescent="0.25">
      <c r="A338">
        <v>86</v>
      </c>
      <c r="B338">
        <v>3.4852059</v>
      </c>
      <c r="C338">
        <f t="shared" si="12"/>
        <v>5.8171606528959006E-3</v>
      </c>
      <c r="D338">
        <f t="shared" si="13"/>
        <v>6.7615275393289593</v>
      </c>
    </row>
    <row r="339" spans="1:4" x14ac:dyDescent="0.25">
      <c r="A339">
        <v>87</v>
      </c>
      <c r="B339">
        <v>3.5273490000000001</v>
      </c>
      <c r="C339">
        <f t="shared" si="12"/>
        <v>5.8875017432490004E-3</v>
      </c>
      <c r="D339">
        <f t="shared" si="13"/>
        <v>6.8406591918228958</v>
      </c>
    </row>
    <row r="340" spans="1:4" x14ac:dyDescent="0.25">
      <c r="A340">
        <v>88</v>
      </c>
      <c r="B340">
        <v>3.5696748999999999</v>
      </c>
      <c r="C340">
        <f t="shared" si="12"/>
        <v>5.9581479452648998E-3</v>
      </c>
      <c r="D340">
        <f t="shared" si="13"/>
        <v>6.9200721179184193</v>
      </c>
    </row>
    <row r="341" spans="1:4" x14ac:dyDescent="0.25">
      <c r="A341">
        <v>89</v>
      </c>
      <c r="B341">
        <v>3.6121755000000002</v>
      </c>
      <c r="C341">
        <f t="shared" si="12"/>
        <v>6.0290857392255003E-3</v>
      </c>
      <c r="D341">
        <f t="shared" si="13"/>
        <v>6.9997503778237213</v>
      </c>
    </row>
    <row r="342" spans="1:4" x14ac:dyDescent="0.25">
      <c r="A342">
        <v>90</v>
      </c>
      <c r="B342">
        <v>3.6548427000000001</v>
      </c>
      <c r="C342">
        <f t="shared" si="12"/>
        <v>6.1003016054127007E-3</v>
      </c>
      <c r="D342">
        <f t="shared" si="13"/>
        <v>7.0796780772441448</v>
      </c>
    </row>
    <row r="343" spans="1:4" x14ac:dyDescent="0.25">
      <c r="A343">
        <v>91</v>
      </c>
      <c r="B343">
        <v>3.6976681999999998</v>
      </c>
      <c r="C343">
        <f t="shared" si="12"/>
        <v>6.1717816902882002E-3</v>
      </c>
      <c r="D343">
        <f t="shared" si="13"/>
        <v>7.1598389935720874</v>
      </c>
    </row>
    <row r="344" spans="1:4" x14ac:dyDescent="0.25">
      <c r="A344">
        <v>92</v>
      </c>
      <c r="B344">
        <v>3.7406440000000001</v>
      </c>
      <c r="C344">
        <f t="shared" si="12"/>
        <v>6.2435126410440005E-3</v>
      </c>
      <c r="D344">
        <f t="shared" si="13"/>
        <v>7.2402175125405366</v>
      </c>
    </row>
    <row r="345" spans="1:4" x14ac:dyDescent="0.25">
      <c r="A345">
        <v>93</v>
      </c>
      <c r="B345">
        <v>3.7837618000000002</v>
      </c>
      <c r="C345">
        <f t="shared" si="12"/>
        <v>6.3154806041418009E-3</v>
      </c>
      <c r="D345">
        <f t="shared" si="13"/>
        <v>7.3207975054976782</v>
      </c>
    </row>
    <row r="346" spans="1:4" x14ac:dyDescent="0.25">
      <c r="A346">
        <v>94</v>
      </c>
      <c r="B346">
        <v>3.8270133999999998</v>
      </c>
      <c r="C346">
        <f t="shared" si="12"/>
        <v>6.3876718929533997E-3</v>
      </c>
      <c r="D346">
        <f t="shared" si="13"/>
        <v>7.4015630786100628</v>
      </c>
    </row>
    <row r="347" spans="1:4" x14ac:dyDescent="0.25">
      <c r="A347">
        <v>95</v>
      </c>
      <c r="B347">
        <v>3.8703907000000002</v>
      </c>
      <c r="C347">
        <f t="shared" si="12"/>
        <v>6.4600729877607004E-3</v>
      </c>
      <c r="D347">
        <f t="shared" si="13"/>
        <v>7.4824985724263442</v>
      </c>
    </row>
    <row r="348" spans="1:4" x14ac:dyDescent="0.25">
      <c r="A348">
        <v>96</v>
      </c>
      <c r="B348">
        <v>3.9138856</v>
      </c>
      <c r="C348">
        <f t="shared" si="12"/>
        <v>6.5326703688455999E-3</v>
      </c>
      <c r="D348">
        <f t="shared" si="13"/>
        <v>7.5635883750514221</v>
      </c>
    </row>
    <row r="349" spans="1:4" x14ac:dyDescent="0.25">
      <c r="A349">
        <v>97</v>
      </c>
      <c r="B349">
        <v>3.9574897999999998</v>
      </c>
      <c r="C349">
        <f t="shared" si="12"/>
        <v>6.6054501826698E-3</v>
      </c>
      <c r="D349">
        <f t="shared" si="13"/>
        <v>7.6448165499824139</v>
      </c>
    </row>
    <row r="350" spans="1:4" x14ac:dyDescent="0.25">
      <c r="A350">
        <v>98</v>
      </c>
      <c r="B350">
        <v>4.0011951999999997</v>
      </c>
      <c r="C350">
        <f t="shared" si="12"/>
        <v>6.6783989095151996E-3</v>
      </c>
      <c r="D350">
        <f t="shared" si="13"/>
        <v>7.7261675820837095</v>
      </c>
    </row>
    <row r="351" spans="1:4" x14ac:dyDescent="0.25">
      <c r="A351">
        <v>99</v>
      </c>
      <c r="B351">
        <v>4.0449935999999997</v>
      </c>
      <c r="C351">
        <f t="shared" si="12"/>
        <v>6.7515028627535998E-3</v>
      </c>
      <c r="D351">
        <f t="shared" si="13"/>
        <v>7.8076258185661773</v>
      </c>
    </row>
    <row r="352" spans="1:4" x14ac:dyDescent="0.25">
      <c r="A352">
        <v>100</v>
      </c>
      <c r="B352">
        <v>4.0888768000000004</v>
      </c>
      <c r="C352">
        <f t="shared" si="12"/>
        <v>6.824748355756801E-3</v>
      </c>
      <c r="D352">
        <f t="shared" si="13"/>
        <v>7.8891756556831112</v>
      </c>
    </row>
    <row r="353" spans="1:4" x14ac:dyDescent="0.25">
      <c r="A353">
        <v>101</v>
      </c>
      <c r="B353">
        <v>4.1328367000000004</v>
      </c>
      <c r="C353">
        <f t="shared" si="12"/>
        <v>6.8981218688067012E-3</v>
      </c>
      <c r="D353">
        <f t="shared" si="13"/>
        <v>7.9708017245010643</v>
      </c>
    </row>
    <row r="354" spans="1:4" x14ac:dyDescent="0.25">
      <c r="A354">
        <v>102</v>
      </c>
      <c r="B354">
        <v>4.1768650999999997</v>
      </c>
      <c r="C354">
        <f t="shared" si="12"/>
        <v>6.9716097152750997E-3</v>
      </c>
      <c r="D354">
        <f t="shared" si="13"/>
        <v>8.0524885193686941</v>
      </c>
    </row>
    <row r="355" spans="1:4" x14ac:dyDescent="0.25">
      <c r="A355">
        <v>103</v>
      </c>
      <c r="B355">
        <v>4.2209538000000002</v>
      </c>
      <c r="C355">
        <f t="shared" si="12"/>
        <v>7.0451982085338004E-3</v>
      </c>
      <c r="D355">
        <f t="shared" si="13"/>
        <v>8.1342205840913238</v>
      </c>
    </row>
    <row r="356" spans="1:4" x14ac:dyDescent="0.25">
      <c r="A356">
        <v>104</v>
      </c>
      <c r="B356">
        <v>4.2650946999999997</v>
      </c>
      <c r="C356">
        <f t="shared" si="12"/>
        <v>7.1188738288646995E-3</v>
      </c>
      <c r="D356">
        <f t="shared" si="13"/>
        <v>8.2159826971760612</v>
      </c>
    </row>
    <row r="357" spans="1:4" x14ac:dyDescent="0.25">
      <c r="A357">
        <v>105</v>
      </c>
      <c r="B357">
        <v>4.3092796</v>
      </c>
      <c r="C357">
        <f t="shared" si="12"/>
        <v>7.1926228896396008E-3</v>
      </c>
      <c r="D357">
        <f t="shared" si="13"/>
        <v>8.2977595011362695</v>
      </c>
    </row>
    <row r="358" spans="1:4" x14ac:dyDescent="0.25">
      <c r="A358">
        <v>106</v>
      </c>
      <c r="B358">
        <v>4.3535003999999997</v>
      </c>
      <c r="C358">
        <f t="shared" si="12"/>
        <v>7.2664318711403997E-3</v>
      </c>
      <c r="D358">
        <f t="shared" si="13"/>
        <v>8.3795358729945928</v>
      </c>
    </row>
    <row r="359" spans="1:4" x14ac:dyDescent="0.25">
      <c r="A359">
        <v>107</v>
      </c>
      <c r="B359">
        <v>4.3977487000000002</v>
      </c>
      <c r="C359">
        <f t="shared" si="12"/>
        <v>7.340286752918701E-3</v>
      </c>
      <c r="D359">
        <f t="shared" si="13"/>
        <v>8.4612961847451267</v>
      </c>
    </row>
    <row r="360" spans="1:4" x14ac:dyDescent="0.25">
      <c r="A360">
        <v>108</v>
      </c>
      <c r="B360">
        <v>4.4420165999999996</v>
      </c>
      <c r="C360">
        <f t="shared" si="12"/>
        <v>7.4141743490766E-3</v>
      </c>
      <c r="D360">
        <f t="shared" si="13"/>
        <v>8.5430257820134141</v>
      </c>
    </row>
    <row r="361" spans="1:4" x14ac:dyDescent="0.25">
      <c r="A361">
        <v>109</v>
      </c>
      <c r="B361">
        <v>4.4862957000000003</v>
      </c>
      <c r="C361">
        <f t="shared" si="12"/>
        <v>7.4880806391657007E-3</v>
      </c>
      <c r="D361">
        <f t="shared" si="13"/>
        <v>8.6247091362680486</v>
      </c>
    </row>
    <row r="362" spans="1:4" x14ac:dyDescent="0.25">
      <c r="A362">
        <v>110</v>
      </c>
      <c r="B362">
        <v>4.5305780999999996</v>
      </c>
      <c r="C362">
        <f t="shared" si="12"/>
        <v>7.5619924372880998E-3</v>
      </c>
      <c r="D362">
        <f t="shared" si="13"/>
        <v>8.7063316910225055</v>
      </c>
    </row>
    <row r="363" spans="1:4" x14ac:dyDescent="0.25">
      <c r="A363">
        <v>111</v>
      </c>
      <c r="B363">
        <v>4.5748553000000003</v>
      </c>
      <c r="C363">
        <f t="shared" si="12"/>
        <v>7.6358955560853013E-3</v>
      </c>
      <c r="D363">
        <f t="shared" si="13"/>
        <v>8.7878778329284142</v>
      </c>
    </row>
    <row r="364" spans="1:4" x14ac:dyDescent="0.25">
      <c r="A364">
        <v>112</v>
      </c>
      <c r="B364">
        <v>4.6191193999999998</v>
      </c>
      <c r="C364">
        <f t="shared" si="12"/>
        <v>7.7097768096594001E-3</v>
      </c>
      <c r="D364">
        <f t="shared" si="13"/>
        <v>8.8693331035540659</v>
      </c>
    </row>
    <row r="365" spans="1:4" x14ac:dyDescent="0.25">
      <c r="A365">
        <v>113</v>
      </c>
      <c r="B365">
        <v>4.6633620999999996</v>
      </c>
      <c r="C365">
        <f t="shared" si="12"/>
        <v>7.7836223444720997E-3</v>
      </c>
      <c r="D365">
        <f t="shared" si="13"/>
        <v>8.9506823567949922</v>
      </c>
    </row>
    <row r="366" spans="1:4" x14ac:dyDescent="0.25">
      <c r="A366">
        <v>114</v>
      </c>
      <c r="B366">
        <v>4.7075753000000002</v>
      </c>
      <c r="C366">
        <f t="shared" si="12"/>
        <v>7.8574186408053009E-3</v>
      </c>
      <c r="D366">
        <f t="shared" si="13"/>
        <v>9.0319108636151562</v>
      </c>
    </row>
    <row r="367" spans="1:4" x14ac:dyDescent="0.25">
      <c r="A367">
        <v>115</v>
      </c>
      <c r="B367">
        <v>4.7517507999999999</v>
      </c>
      <c r="C367">
        <f t="shared" si="12"/>
        <v>7.9311520120308003E-3</v>
      </c>
      <c r="D367">
        <f t="shared" si="13"/>
        <v>9.1130037598967881</v>
      </c>
    </row>
    <row r="368" spans="1:4" x14ac:dyDescent="0.25">
      <c r="A368">
        <v>116</v>
      </c>
      <c r="B368">
        <v>4.7958803999999997</v>
      </c>
      <c r="C368">
        <f t="shared" si="12"/>
        <v>8.0048087715204001E-3</v>
      </c>
      <c r="D368">
        <f t="shared" si="13"/>
        <v>9.1939462303521342</v>
      </c>
    </row>
    <row r="369" spans="1:4" x14ac:dyDescent="0.25">
      <c r="A369">
        <v>117</v>
      </c>
      <c r="B369">
        <v>4.8399558999999996</v>
      </c>
      <c r="C369">
        <f t="shared" si="12"/>
        <v>8.0783752326458996E-3</v>
      </c>
      <c r="D369">
        <f t="shared" si="13"/>
        <v>9.2747235083170949</v>
      </c>
    </row>
    <row r="370" spans="1:4" x14ac:dyDescent="0.25">
      <c r="A370">
        <v>118</v>
      </c>
      <c r="B370">
        <v>4.8839693000000004</v>
      </c>
      <c r="C370">
        <f t="shared" si="12"/>
        <v>8.1518380425993006E-3</v>
      </c>
      <c r="D370">
        <f t="shared" si="13"/>
        <v>9.3553212416145559</v>
      </c>
    </row>
    <row r="371" spans="1:4" x14ac:dyDescent="0.25">
      <c r="A371">
        <v>119</v>
      </c>
      <c r="B371">
        <v>4.9279121999999997</v>
      </c>
      <c r="C371">
        <f t="shared" si="12"/>
        <v>8.2251831809322003E-3</v>
      </c>
      <c r="D371">
        <f t="shared" si="13"/>
        <v>9.435724393429922</v>
      </c>
    </row>
    <row r="372" spans="1:4" x14ac:dyDescent="0.25">
      <c r="A372">
        <v>120</v>
      </c>
      <c r="B372">
        <v>4.9717766000000001</v>
      </c>
      <c r="C372">
        <f t="shared" si="12"/>
        <v>8.2983972948366003E-3</v>
      </c>
      <c r="D372">
        <f t="shared" si="13"/>
        <v>9.5159187070071987</v>
      </c>
    </row>
    <row r="373" spans="1:4" x14ac:dyDescent="0.25">
      <c r="A373">
        <v>121</v>
      </c>
      <c r="B373">
        <v>5.0155542999999998</v>
      </c>
      <c r="C373">
        <f t="shared" si="12"/>
        <v>8.3714666976843002E-3</v>
      </c>
      <c r="D373">
        <f t="shared" si="13"/>
        <v>9.5958896067798385</v>
      </c>
    </row>
    <row r="374" spans="1:4" x14ac:dyDescent="0.25">
      <c r="A374">
        <v>122</v>
      </c>
      <c r="B374">
        <v>5.0592370000000004</v>
      </c>
      <c r="C374">
        <f t="shared" si="12"/>
        <v>8.4443775359370008E-3</v>
      </c>
      <c r="D374">
        <f t="shared" si="13"/>
        <v>9.6756223819923655</v>
      </c>
    </row>
    <row r="375" spans="1:4" x14ac:dyDescent="0.25">
      <c r="A375">
        <v>123</v>
      </c>
      <c r="B375">
        <v>5.1028167</v>
      </c>
      <c r="C375">
        <f t="shared" si="12"/>
        <v>8.5171164567867004E-3</v>
      </c>
      <c r="D375">
        <f t="shared" si="13"/>
        <v>9.7551029163234997</v>
      </c>
    </row>
    <row r="376" spans="1:4" x14ac:dyDescent="0.25">
      <c r="A376">
        <v>124</v>
      </c>
      <c r="B376">
        <v>5.1462852000000003</v>
      </c>
      <c r="C376">
        <f t="shared" si="12"/>
        <v>8.5896697736052019E-3</v>
      </c>
      <c r="D376">
        <f t="shared" si="13"/>
        <v>9.8343167745245648</v>
      </c>
    </row>
    <row r="377" spans="1:4" x14ac:dyDescent="0.25">
      <c r="A377">
        <v>125</v>
      </c>
      <c r="B377">
        <v>5.1896342000000004</v>
      </c>
      <c r="C377">
        <f t="shared" si="12"/>
        <v>8.6620236328542009E-3</v>
      </c>
      <c r="D377">
        <f t="shared" si="13"/>
        <v>9.9132493855239368</v>
      </c>
    </row>
    <row r="378" spans="1:4" x14ac:dyDescent="0.25">
      <c r="A378">
        <v>126</v>
      </c>
      <c r="B378">
        <v>5.2328557</v>
      </c>
      <c r="C378">
        <f t="shared" si="12"/>
        <v>8.7341646817257011E-3</v>
      </c>
      <c r="D378">
        <f t="shared" si="13"/>
        <v>9.9918867702252108</v>
      </c>
    </row>
    <row r="379" spans="1:4" x14ac:dyDescent="0.25">
      <c r="A379">
        <v>127</v>
      </c>
      <c r="B379">
        <v>5.2759415000000001</v>
      </c>
      <c r="C379">
        <f t="shared" si="12"/>
        <v>8.8060792335915E-3</v>
      </c>
      <c r="D379">
        <f t="shared" si="13"/>
        <v>10.070214630289243</v>
      </c>
    </row>
    <row r="380" spans="1:4" x14ac:dyDescent="0.25">
      <c r="A380">
        <v>128</v>
      </c>
      <c r="B380">
        <v>5.3188833000000004</v>
      </c>
      <c r="C380">
        <f t="shared" si="12"/>
        <v>8.8777534349133019E-3</v>
      </c>
      <c r="D380">
        <f t="shared" si="13"/>
        <v>10.148218530726272</v>
      </c>
    </row>
    <row r="381" spans="1:4" x14ac:dyDescent="0.25">
      <c r="A381">
        <v>129</v>
      </c>
      <c r="B381">
        <v>5.3616729999999997</v>
      </c>
      <c r="C381">
        <f t="shared" si="12"/>
        <v>8.9491737659729998E-3</v>
      </c>
      <c r="D381">
        <f t="shared" si="13"/>
        <v>10.22588444445236</v>
      </c>
    </row>
    <row r="382" spans="1:4" x14ac:dyDescent="0.25">
      <c r="A382">
        <v>130</v>
      </c>
      <c r="B382">
        <v>5.4043025</v>
      </c>
      <c r="C382">
        <f t="shared" si="12"/>
        <v>9.0203267070525003E-3</v>
      </c>
      <c r="D382">
        <f t="shared" si="13"/>
        <v>10.303198387784619</v>
      </c>
    </row>
    <row r="383" spans="1:4" x14ac:dyDescent="0.25">
      <c r="A383">
        <v>131</v>
      </c>
      <c r="B383">
        <v>5.4467635999999997</v>
      </c>
      <c r="C383">
        <f t="shared" si="12"/>
        <v>9.0911985715235993E-3</v>
      </c>
      <c r="D383">
        <f t="shared" si="13"/>
        <v>10.38014623879333</v>
      </c>
    </row>
    <row r="384" spans="1:4" x14ac:dyDescent="0.25">
      <c r="A384">
        <v>132</v>
      </c>
      <c r="B384">
        <v>5.4890480000000004</v>
      </c>
      <c r="C384">
        <f t="shared" si="12"/>
        <v>9.1617755058480011E-3</v>
      </c>
      <c r="D384">
        <f t="shared" si="13"/>
        <v>10.456713737491818</v>
      </c>
    </row>
    <row r="385" spans="1:4" x14ac:dyDescent="0.25">
      <c r="A385">
        <v>133</v>
      </c>
      <c r="B385">
        <v>5.5311477</v>
      </c>
      <c r="C385">
        <f t="shared" si="12"/>
        <v>9.2320441572177007E-3</v>
      </c>
      <c r="D385">
        <f t="shared" si="13"/>
        <v>10.532887209456931</v>
      </c>
    </row>
    <row r="386" spans="1:4" x14ac:dyDescent="0.25">
      <c r="A386">
        <v>134</v>
      </c>
      <c r="B386">
        <v>5.5730544999999996</v>
      </c>
      <c r="C386">
        <f t="shared" si="12"/>
        <v>9.3019908390044991E-3</v>
      </c>
      <c r="D386">
        <f t="shared" si="13"/>
        <v>10.608652659523843</v>
      </c>
    </row>
    <row r="387" spans="1:4" x14ac:dyDescent="0.25">
      <c r="A387">
        <v>135</v>
      </c>
      <c r="B387">
        <v>5.6147600999999998</v>
      </c>
      <c r="C387">
        <f t="shared" si="12"/>
        <v>9.3716016976701007E-3</v>
      </c>
      <c r="D387">
        <f t="shared" si="13"/>
        <v>10.683995953195002</v>
      </c>
    </row>
    <row r="388" spans="1:4" x14ac:dyDescent="0.25">
      <c r="A388">
        <v>136</v>
      </c>
      <c r="B388">
        <v>5.6562564999999996</v>
      </c>
      <c r="C388">
        <f t="shared" si="12"/>
        <v>9.4408633804065004E-3</v>
      </c>
      <c r="D388">
        <f t="shared" si="13"/>
        <v>10.758903538512977</v>
      </c>
    </row>
    <row r="389" spans="1:4" x14ac:dyDescent="0.25">
      <c r="A389">
        <v>137</v>
      </c>
      <c r="B389">
        <v>5.6975354999999999</v>
      </c>
      <c r="C389">
        <f t="shared" si="12"/>
        <v>9.5097622005855011E-3</v>
      </c>
      <c r="D389">
        <f t="shared" si="13"/>
        <v>10.833361541812337</v>
      </c>
    </row>
    <row r="390" spans="1:4" x14ac:dyDescent="0.25">
      <c r="A390">
        <v>138</v>
      </c>
      <c r="B390">
        <v>5.7385887999999996</v>
      </c>
      <c r="C390">
        <f t="shared" si="12"/>
        <v>9.5782843046688E-3</v>
      </c>
      <c r="D390">
        <f t="shared" si="13"/>
        <v>10.907355948631114</v>
      </c>
    </row>
    <row r="391" spans="1:4" x14ac:dyDescent="0.25">
      <c r="A391">
        <v>139</v>
      </c>
      <c r="B391">
        <v>5.7794083000000001</v>
      </c>
      <c r="C391">
        <f t="shared" ref="C391:C454" si="14">B391*$G$2</f>
        <v>9.6464161729383005E-3</v>
      </c>
      <c r="D391">
        <f t="shared" ref="D391:D454" si="15">100*(1-(1-C391)^12)</f>
        <v>10.980873143830017</v>
      </c>
    </row>
    <row r="392" spans="1:4" x14ac:dyDescent="0.25">
      <c r="A392">
        <v>140</v>
      </c>
      <c r="B392">
        <v>5.8199858999999998</v>
      </c>
      <c r="C392">
        <f t="shared" si="14"/>
        <v>9.7141442856759005E-3</v>
      </c>
      <c r="D392">
        <f t="shared" si="15"/>
        <v>11.053899549742773</v>
      </c>
    </row>
    <row r="393" spans="1:4" x14ac:dyDescent="0.25">
      <c r="A393">
        <v>141</v>
      </c>
      <c r="B393">
        <v>5.8603133999999999</v>
      </c>
      <c r="C393">
        <f t="shared" si="14"/>
        <v>9.7814549562533996E-3</v>
      </c>
      <c r="D393">
        <f t="shared" si="15"/>
        <v>11.126421445712797</v>
      </c>
    </row>
    <row r="394" spans="1:4" x14ac:dyDescent="0.25">
      <c r="A394">
        <v>142</v>
      </c>
      <c r="B394">
        <v>5.9003825000000001</v>
      </c>
      <c r="C394">
        <f t="shared" si="14"/>
        <v>9.8483343311325001E-3</v>
      </c>
      <c r="D394">
        <f t="shared" si="15"/>
        <v>11.198424968042954</v>
      </c>
    </row>
    <row r="395" spans="1:4" x14ac:dyDescent="0.25">
      <c r="A395">
        <v>143</v>
      </c>
      <c r="B395">
        <v>5.9401852000000002</v>
      </c>
      <c r="C395">
        <f t="shared" si="14"/>
        <v>9.9147690575052006E-3</v>
      </c>
      <c r="D395">
        <f t="shared" si="15"/>
        <v>11.269896827908166</v>
      </c>
    </row>
    <row r="396" spans="1:4" x14ac:dyDescent="0.25">
      <c r="A396">
        <v>144</v>
      </c>
      <c r="B396">
        <v>5.9797133000000002</v>
      </c>
      <c r="C396">
        <f t="shared" si="14"/>
        <v>9.9807454487433004E-3</v>
      </c>
      <c r="D396">
        <f t="shared" si="15"/>
        <v>11.340823411768575</v>
      </c>
    </row>
    <row r="397" spans="1:4" x14ac:dyDescent="0.25">
      <c r="A397">
        <v>145</v>
      </c>
      <c r="B397">
        <v>6.0189586000000004</v>
      </c>
      <c r="C397">
        <f t="shared" si="14"/>
        <v>1.0046249818218601E-2</v>
      </c>
      <c r="D397">
        <f t="shared" si="15"/>
        <v>11.411191140383171</v>
      </c>
    </row>
    <row r="398" spans="1:4" x14ac:dyDescent="0.25">
      <c r="A398">
        <v>146</v>
      </c>
      <c r="B398">
        <v>6.0579128999999998</v>
      </c>
      <c r="C398">
        <f t="shared" si="14"/>
        <v>1.0111268479302901E-2</v>
      </c>
      <c r="D398">
        <f t="shared" si="15"/>
        <v>11.48098646800495</v>
      </c>
    </row>
    <row r="399" spans="1:4" x14ac:dyDescent="0.25">
      <c r="A399">
        <v>147</v>
      </c>
      <c r="B399">
        <v>6.0965680000000004</v>
      </c>
      <c r="C399">
        <f t="shared" si="14"/>
        <v>1.0175787745368002E-2</v>
      </c>
      <c r="D399">
        <f t="shared" si="15"/>
        <v>11.550195881555837</v>
      </c>
    </row>
    <row r="400" spans="1:4" x14ac:dyDescent="0.25">
      <c r="A400">
        <v>148</v>
      </c>
      <c r="B400">
        <v>6.1349159000000002</v>
      </c>
      <c r="C400">
        <f t="shared" si="14"/>
        <v>1.0239794263605901E-2</v>
      </c>
      <c r="D400">
        <f t="shared" si="15"/>
        <v>11.618806257487613</v>
      </c>
    </row>
    <row r="401" spans="1:4" x14ac:dyDescent="0.25">
      <c r="A401">
        <v>149</v>
      </c>
      <c r="B401">
        <v>6.1729482000000004</v>
      </c>
      <c r="C401">
        <f t="shared" si="14"/>
        <v>1.0303274013568202E-2</v>
      </c>
      <c r="D401">
        <f t="shared" si="15"/>
        <v>11.686803787301937</v>
      </c>
    </row>
    <row r="402" spans="1:4" x14ac:dyDescent="0.25">
      <c r="A402">
        <v>150</v>
      </c>
      <c r="B402">
        <v>6.2106569</v>
      </c>
      <c r="C402">
        <f t="shared" si="14"/>
        <v>1.03662136424469E-2</v>
      </c>
      <c r="D402">
        <f t="shared" si="15"/>
        <v>11.754175407997336</v>
      </c>
    </row>
    <row r="403" spans="1:4" x14ac:dyDescent="0.25">
      <c r="A403">
        <v>151</v>
      </c>
      <c r="B403">
        <v>6.2480338</v>
      </c>
      <c r="C403">
        <f t="shared" si="14"/>
        <v>1.04285994636138E-2</v>
      </c>
      <c r="D403">
        <f t="shared" si="15"/>
        <v>11.820907727806318</v>
      </c>
    </row>
    <row r="404" spans="1:4" x14ac:dyDescent="0.25">
      <c r="A404">
        <v>152</v>
      </c>
      <c r="B404">
        <v>6.2850707000000003</v>
      </c>
      <c r="C404">
        <f t="shared" si="14"/>
        <v>1.0490417790440701E-2</v>
      </c>
      <c r="D404">
        <f t="shared" si="15"/>
        <v>11.886987383233382</v>
      </c>
    </row>
    <row r="405" spans="1:4" x14ac:dyDescent="0.25">
      <c r="A405">
        <v>153</v>
      </c>
      <c r="B405">
        <v>6.3217594000000004</v>
      </c>
      <c r="C405">
        <f t="shared" si="14"/>
        <v>1.0551654936299401E-2</v>
      </c>
      <c r="D405">
        <f t="shared" si="15"/>
        <v>11.952401038115635</v>
      </c>
    </row>
    <row r="406" spans="1:4" x14ac:dyDescent="0.25">
      <c r="A406">
        <v>154</v>
      </c>
      <c r="B406">
        <v>6.3580918000000004</v>
      </c>
      <c r="C406">
        <f t="shared" si="14"/>
        <v>1.0612297381471802E-2</v>
      </c>
      <c r="D406">
        <f t="shared" si="15"/>
        <v>12.017135560776715</v>
      </c>
    </row>
    <row r="407" spans="1:4" x14ac:dyDescent="0.25">
      <c r="A407">
        <v>155</v>
      </c>
      <c r="B407">
        <v>6.3940596999999997</v>
      </c>
      <c r="C407">
        <f t="shared" si="14"/>
        <v>1.06723314393297E-2</v>
      </c>
      <c r="D407">
        <f t="shared" si="15"/>
        <v>12.081177666466925</v>
      </c>
    </row>
    <row r="408" spans="1:4" x14ac:dyDescent="0.25">
      <c r="A408">
        <v>156</v>
      </c>
      <c r="B408">
        <v>6.4296549000000001</v>
      </c>
      <c r="C408">
        <f t="shared" si="14"/>
        <v>1.0731743423244901E-2</v>
      </c>
      <c r="D408">
        <f t="shared" si="15"/>
        <v>12.144514094843951</v>
      </c>
    </row>
    <row r="409" spans="1:4" x14ac:dyDescent="0.25">
      <c r="A409">
        <v>157</v>
      </c>
      <c r="B409">
        <v>6.4648693000000002</v>
      </c>
      <c r="C409">
        <f t="shared" si="14"/>
        <v>1.0790519813499301E-2</v>
      </c>
      <c r="D409">
        <f t="shared" si="15"/>
        <v>12.207131786717174</v>
      </c>
    </row>
    <row r="410" spans="1:4" x14ac:dyDescent="0.25">
      <c r="A410">
        <v>158</v>
      </c>
      <c r="B410">
        <v>6.4996945999999998</v>
      </c>
      <c r="C410">
        <f t="shared" si="14"/>
        <v>1.08486467565546E-2</v>
      </c>
      <c r="D410">
        <f t="shared" si="15"/>
        <v>12.269017349502963</v>
      </c>
    </row>
    <row r="411" spans="1:4" x14ac:dyDescent="0.25">
      <c r="A411">
        <v>159</v>
      </c>
      <c r="B411">
        <v>6.5341227999999996</v>
      </c>
      <c r="C411">
        <f t="shared" si="14"/>
        <v>1.09061108996028E-2</v>
      </c>
      <c r="D411">
        <f t="shared" si="15"/>
        <v>12.33015794497927</v>
      </c>
    </row>
    <row r="412" spans="1:4" x14ac:dyDescent="0.25">
      <c r="A412">
        <v>160</v>
      </c>
      <c r="B412">
        <v>6.5681456000000003</v>
      </c>
      <c r="C412">
        <f t="shared" si="14"/>
        <v>1.0962898389105601E-2</v>
      </c>
      <c r="D412">
        <f t="shared" si="15"/>
        <v>12.390540221999091</v>
      </c>
    </row>
    <row r="413" spans="1:4" x14ac:dyDescent="0.25">
      <c r="A413">
        <v>161</v>
      </c>
      <c r="B413">
        <v>6.6017549000000004</v>
      </c>
      <c r="C413">
        <f t="shared" si="14"/>
        <v>1.1018995705344901E-2</v>
      </c>
      <c r="D413">
        <f t="shared" si="15"/>
        <v>12.450151203633519</v>
      </c>
    </row>
    <row r="414" spans="1:4" x14ac:dyDescent="0.25">
      <c r="A414">
        <v>162</v>
      </c>
      <c r="B414">
        <v>6.6349425000000002</v>
      </c>
      <c r="C414">
        <f t="shared" si="14"/>
        <v>1.10743891616925E-2</v>
      </c>
      <c r="D414">
        <f t="shared" si="15"/>
        <v>12.508977753355055</v>
      </c>
    </row>
    <row r="415" spans="1:4" x14ac:dyDescent="0.25">
      <c r="A415">
        <v>163</v>
      </c>
      <c r="B415">
        <v>6.6677002999999999</v>
      </c>
      <c r="C415">
        <f t="shared" si="14"/>
        <v>1.11290652384303E-2</v>
      </c>
      <c r="D415">
        <f t="shared" si="15"/>
        <v>12.567006928647261</v>
      </c>
    </row>
    <row r="416" spans="1:4" x14ac:dyDescent="0.25">
      <c r="A416">
        <v>164</v>
      </c>
      <c r="B416">
        <v>6.7000200000000003</v>
      </c>
      <c r="C416">
        <f t="shared" si="14"/>
        <v>1.118301008202E-2</v>
      </c>
      <c r="D416">
        <f t="shared" si="15"/>
        <v>12.624225448366699</v>
      </c>
    </row>
    <row r="417" spans="1:4" x14ac:dyDescent="0.25">
      <c r="A417">
        <v>165</v>
      </c>
      <c r="B417">
        <v>6.7318935</v>
      </c>
      <c r="C417">
        <f t="shared" si="14"/>
        <v>1.12362101727435E-2</v>
      </c>
      <c r="D417">
        <f t="shared" si="15"/>
        <v>12.680620400164743</v>
      </c>
    </row>
    <row r="418" spans="1:4" x14ac:dyDescent="0.25">
      <c r="A418">
        <v>166</v>
      </c>
      <c r="B418">
        <v>6.7633127000000002</v>
      </c>
      <c r="C418">
        <f t="shared" si="14"/>
        <v>1.1288651990882701E-2</v>
      </c>
      <c r="D418">
        <f t="shared" si="15"/>
        <v>12.736178884698713</v>
      </c>
    </row>
    <row r="419" spans="1:4" x14ac:dyDescent="0.25">
      <c r="A419">
        <v>167</v>
      </c>
      <c r="B419">
        <v>6.7942692999999998</v>
      </c>
      <c r="C419">
        <f t="shared" si="14"/>
        <v>1.13403216828993E-2</v>
      </c>
      <c r="D419">
        <f t="shared" si="15"/>
        <v>12.790887661089434</v>
      </c>
    </row>
    <row r="420" spans="1:4" x14ac:dyDescent="0.25">
      <c r="A420">
        <v>168</v>
      </c>
      <c r="B420">
        <v>6.8247552000000002</v>
      </c>
      <c r="C420">
        <f t="shared" si="14"/>
        <v>1.1391205729075201E-2</v>
      </c>
      <c r="D420">
        <f t="shared" si="15"/>
        <v>12.844733853020696</v>
      </c>
    </row>
    <row r="421" spans="1:4" x14ac:dyDescent="0.25">
      <c r="A421">
        <v>169</v>
      </c>
      <c r="B421">
        <v>6.8547621999999997</v>
      </c>
      <c r="C421">
        <f t="shared" si="14"/>
        <v>1.14412904427822E-2</v>
      </c>
      <c r="D421">
        <f t="shared" si="15"/>
        <v>12.897704417062473</v>
      </c>
    </row>
    <row r="422" spans="1:4" x14ac:dyDescent="0.25">
      <c r="A422">
        <v>170</v>
      </c>
      <c r="B422">
        <v>6.8842822000000004</v>
      </c>
      <c r="C422">
        <f t="shared" si="14"/>
        <v>1.1490562304302201E-2</v>
      </c>
      <c r="D422">
        <f t="shared" si="15"/>
        <v>12.9497864946725</v>
      </c>
    </row>
    <row r="423" spans="1:4" x14ac:dyDescent="0.25">
      <c r="A423">
        <v>171</v>
      </c>
      <c r="B423">
        <v>6.9133069000000003</v>
      </c>
      <c r="C423">
        <f t="shared" si="14"/>
        <v>1.15390074600969E-2</v>
      </c>
      <c r="D423">
        <f t="shared" si="15"/>
        <v>13.000966881581755</v>
      </c>
    </row>
    <row r="424" spans="1:4" x14ac:dyDescent="0.25">
      <c r="A424">
        <v>172</v>
      </c>
      <c r="B424">
        <v>6.9418283000000001</v>
      </c>
      <c r="C424">
        <f t="shared" si="14"/>
        <v>1.1586612557358301E-2</v>
      </c>
      <c r="D424">
        <f t="shared" si="15"/>
        <v>13.05123290841086</v>
      </c>
    </row>
    <row r="425" spans="1:4" x14ac:dyDescent="0.25">
      <c r="A425">
        <v>173</v>
      </c>
      <c r="B425">
        <v>6.9698380000000002</v>
      </c>
      <c r="C425">
        <f t="shared" si="14"/>
        <v>1.1633363575638002E-2</v>
      </c>
      <c r="D425">
        <f t="shared" si="15"/>
        <v>13.100571205250999</v>
      </c>
    </row>
    <row r="426" spans="1:4" x14ac:dyDescent="0.25">
      <c r="A426">
        <v>174</v>
      </c>
      <c r="B426">
        <v>6.9973280999999998</v>
      </c>
      <c r="C426">
        <f t="shared" si="14"/>
        <v>1.1679247329038101E-2</v>
      </c>
      <c r="D426">
        <f t="shared" si="15"/>
        <v>13.148969286261403</v>
      </c>
    </row>
    <row r="427" spans="1:4" x14ac:dyDescent="0.25">
      <c r="A427">
        <v>175</v>
      </c>
      <c r="B427">
        <v>7.0242902999999997</v>
      </c>
      <c r="C427">
        <f t="shared" si="14"/>
        <v>1.17242499640203E-2</v>
      </c>
      <c r="D427">
        <f t="shared" si="15"/>
        <v>13.196413962765552</v>
      </c>
    </row>
    <row r="428" spans="1:4" x14ac:dyDescent="0.25">
      <c r="A428">
        <v>176</v>
      </c>
      <c r="B428">
        <v>7.0507163999999998</v>
      </c>
      <c r="C428">
        <f t="shared" si="14"/>
        <v>1.1768357793956401E-2</v>
      </c>
      <c r="D428">
        <f t="shared" si="15"/>
        <v>13.242892222839908</v>
      </c>
    </row>
    <row r="429" spans="1:4" x14ac:dyDescent="0.25">
      <c r="A429">
        <v>177</v>
      </c>
      <c r="B429">
        <v>7.0765982000000003</v>
      </c>
      <c r="C429">
        <f t="shared" si="14"/>
        <v>1.1811557132218202E-2</v>
      </c>
      <c r="D429">
        <f t="shared" si="15"/>
        <v>13.288391053726233</v>
      </c>
    </row>
    <row r="430" spans="1:4" x14ac:dyDescent="0.25">
      <c r="A430">
        <v>178</v>
      </c>
      <c r="B430">
        <v>7.1019275999999998</v>
      </c>
      <c r="C430">
        <f t="shared" si="14"/>
        <v>1.18538344590876E-2</v>
      </c>
      <c r="D430">
        <f t="shared" si="15"/>
        <v>13.332897616086914</v>
      </c>
    </row>
    <row r="431" spans="1:4" x14ac:dyDescent="0.25">
      <c r="A431">
        <v>179</v>
      </c>
      <c r="B431">
        <v>7.1267044000000004</v>
      </c>
      <c r="C431">
        <f t="shared" si="14"/>
        <v>1.1895189440744402E-2</v>
      </c>
      <c r="D431">
        <f t="shared" si="15"/>
        <v>13.376412938100612</v>
      </c>
    </row>
    <row r="432" spans="1:4" x14ac:dyDescent="0.25">
      <c r="A432">
        <v>180</v>
      </c>
      <c r="B432">
        <v>7.1510202999999999</v>
      </c>
      <c r="C432">
        <f t="shared" si="14"/>
        <v>1.19357751337503E-2</v>
      </c>
      <c r="D432">
        <f t="shared" si="15"/>
        <v>13.419099310975124</v>
      </c>
    </row>
    <row r="433" spans="1:4" x14ac:dyDescent="0.25">
      <c r="A433">
        <v>181</v>
      </c>
      <c r="B433">
        <v>7.1749064000000002</v>
      </c>
      <c r="C433">
        <f t="shared" si="14"/>
        <v>1.1975643447146401E-2</v>
      </c>
      <c r="D433">
        <f t="shared" si="15"/>
        <v>13.46101239863181</v>
      </c>
    </row>
    <row r="434" spans="1:4" x14ac:dyDescent="0.25">
      <c r="A434">
        <v>182</v>
      </c>
      <c r="B434">
        <v>7.1983658999999998</v>
      </c>
      <c r="C434">
        <f t="shared" si="14"/>
        <v>1.2014799722055901E-2</v>
      </c>
      <c r="D434">
        <f t="shared" si="15"/>
        <v>13.502158824185251</v>
      </c>
    </row>
    <row r="435" spans="1:4" x14ac:dyDescent="0.25">
      <c r="A435">
        <v>183</v>
      </c>
      <c r="B435">
        <v>7.2214023000000003</v>
      </c>
      <c r="C435">
        <f t="shared" si="14"/>
        <v>1.2053249800332301E-2</v>
      </c>
      <c r="D435">
        <f t="shared" si="15"/>
        <v>13.542545708120713</v>
      </c>
    </row>
    <row r="436" spans="1:4" x14ac:dyDescent="0.25">
      <c r="A436">
        <v>184</v>
      </c>
      <c r="B436">
        <v>7.2440186999999998</v>
      </c>
      <c r="C436">
        <f t="shared" si="14"/>
        <v>1.20909988561887E-2</v>
      </c>
      <c r="D436">
        <f t="shared" si="15"/>
        <v>13.582179441232334</v>
      </c>
    </row>
    <row r="437" spans="1:4" x14ac:dyDescent="0.25">
      <c r="A437">
        <v>185</v>
      </c>
      <c r="B437">
        <v>7.2662186000000002</v>
      </c>
      <c r="C437">
        <f t="shared" si="14"/>
        <v>1.21280527314786E-2</v>
      </c>
      <c r="D437">
        <f t="shared" si="15"/>
        <v>13.621067087667594</v>
      </c>
    </row>
    <row r="438" spans="1:4" x14ac:dyDescent="0.25">
      <c r="A438">
        <v>186</v>
      </c>
      <c r="B438">
        <v>7.2880051000000003</v>
      </c>
      <c r="C438">
        <f t="shared" si="14"/>
        <v>1.21644166004151E-2</v>
      </c>
      <c r="D438">
        <f t="shared" si="15"/>
        <v>13.659214983466484</v>
      </c>
    </row>
    <row r="439" spans="1:4" x14ac:dyDescent="0.25">
      <c r="A439">
        <v>187</v>
      </c>
      <c r="B439">
        <v>7.3093817000000003</v>
      </c>
      <c r="C439">
        <f t="shared" si="14"/>
        <v>1.2200096304851702E-2</v>
      </c>
      <c r="D439">
        <f t="shared" si="15"/>
        <v>13.696630138417298</v>
      </c>
    </row>
    <row r="440" spans="1:4" x14ac:dyDescent="0.25">
      <c r="A440">
        <v>188</v>
      </c>
      <c r="B440">
        <v>7.3303514999999999</v>
      </c>
      <c r="C440">
        <f t="shared" si="14"/>
        <v>1.22350970190015E-2</v>
      </c>
      <c r="D440">
        <f t="shared" si="15"/>
        <v>13.733318835741636</v>
      </c>
    </row>
    <row r="441" spans="1:4" x14ac:dyDescent="0.25">
      <c r="A441">
        <v>189</v>
      </c>
      <c r="B441">
        <v>7.3509180000000001</v>
      </c>
      <c r="C441">
        <f t="shared" si="14"/>
        <v>1.2269424584718001E-2</v>
      </c>
      <c r="D441">
        <f t="shared" si="15"/>
        <v>13.769288032805417</v>
      </c>
    </row>
    <row r="442" spans="1:4" x14ac:dyDescent="0.25">
      <c r="A442">
        <v>190</v>
      </c>
      <c r="B442">
        <v>7.3710842999999997</v>
      </c>
      <c r="C442">
        <f t="shared" si="14"/>
        <v>1.2303084176214301E-2</v>
      </c>
      <c r="D442">
        <f t="shared" si="15"/>
        <v>13.804543961906834</v>
      </c>
    </row>
    <row r="443" spans="1:4" x14ac:dyDescent="0.25">
      <c r="A443">
        <v>191</v>
      </c>
      <c r="B443">
        <v>7.3908538999999998</v>
      </c>
      <c r="C443">
        <f t="shared" si="14"/>
        <v>1.2336081635343899E-2</v>
      </c>
      <c r="D443">
        <f t="shared" si="15"/>
        <v>13.839093529885604</v>
      </c>
    </row>
    <row r="444" spans="1:4" x14ac:dyDescent="0.25">
      <c r="A444">
        <v>192</v>
      </c>
      <c r="B444">
        <v>7.4102300000000003</v>
      </c>
      <c r="C444">
        <f t="shared" si="14"/>
        <v>1.2368422303230001E-2</v>
      </c>
      <c r="D444">
        <f t="shared" si="15"/>
        <v>13.872943094637048</v>
      </c>
    </row>
    <row r="445" spans="1:4" x14ac:dyDescent="0.25">
      <c r="A445">
        <v>193</v>
      </c>
      <c r="B445">
        <v>7.4292159</v>
      </c>
      <c r="C445">
        <f t="shared" si="14"/>
        <v>1.2400111687905901E-2</v>
      </c>
      <c r="D445">
        <f t="shared" si="15"/>
        <v>13.906099164936913</v>
      </c>
    </row>
    <row r="446" spans="1:4" x14ac:dyDescent="0.25">
      <c r="A446">
        <v>194</v>
      </c>
      <c r="B446">
        <v>7.4478149</v>
      </c>
      <c r="C446">
        <f t="shared" si="14"/>
        <v>1.24311552974049E-2</v>
      </c>
      <c r="D446">
        <f t="shared" si="15"/>
        <v>13.93856822603391</v>
      </c>
    </row>
    <row r="447" spans="1:4" x14ac:dyDescent="0.25">
      <c r="A447">
        <v>195</v>
      </c>
      <c r="B447">
        <v>7.4660304000000002</v>
      </c>
      <c r="C447">
        <f t="shared" si="14"/>
        <v>1.2461558806670402E-2</v>
      </c>
      <c r="D447">
        <f t="shared" si="15"/>
        <v>13.970356914581251</v>
      </c>
    </row>
    <row r="448" spans="1:4" x14ac:dyDescent="0.25">
      <c r="A448">
        <v>196</v>
      </c>
      <c r="B448">
        <v>7.4838655999999997</v>
      </c>
      <c r="C448">
        <f t="shared" si="14"/>
        <v>1.24913275568256E-2</v>
      </c>
      <c r="D448">
        <f t="shared" si="15"/>
        <v>14.001471495507777</v>
      </c>
    </row>
    <row r="449" spans="1:4" x14ac:dyDescent="0.25">
      <c r="A449">
        <v>197</v>
      </c>
      <c r="B449">
        <v>7.5013237999999998</v>
      </c>
      <c r="C449">
        <f t="shared" si="14"/>
        <v>1.2520467055903801E-2</v>
      </c>
      <c r="D449">
        <f t="shared" si="15"/>
        <v>14.031918386145591</v>
      </c>
    </row>
    <row r="450" spans="1:4" x14ac:dyDescent="0.25">
      <c r="A450">
        <v>198</v>
      </c>
      <c r="B450">
        <v>7.5184082999999999</v>
      </c>
      <c r="C450">
        <f t="shared" si="14"/>
        <v>1.25489828119383E-2</v>
      </c>
      <c r="D450">
        <f t="shared" si="15"/>
        <v>14.061703982056962</v>
      </c>
    </row>
    <row r="451" spans="1:4" x14ac:dyDescent="0.25">
      <c r="A451">
        <v>199</v>
      </c>
      <c r="B451">
        <v>7.5351224999999999</v>
      </c>
      <c r="C451">
        <f t="shared" si="14"/>
        <v>1.2576880499872501E-2</v>
      </c>
      <c r="D451">
        <f t="shared" si="15"/>
        <v>14.090834831723519</v>
      </c>
    </row>
    <row r="452" spans="1:4" x14ac:dyDescent="0.25">
      <c r="A452">
        <v>200</v>
      </c>
      <c r="B452">
        <v>7.5514697000000002</v>
      </c>
      <c r="C452">
        <f t="shared" si="14"/>
        <v>1.2604165627739701E-2</v>
      </c>
      <c r="D452">
        <f t="shared" si="15"/>
        <v>14.119317288288114</v>
      </c>
    </row>
    <row r="453" spans="1:4" x14ac:dyDescent="0.25">
      <c r="A453">
        <v>201</v>
      </c>
      <c r="B453">
        <v>7.5674530000000004</v>
      </c>
      <c r="C453">
        <f t="shared" si="14"/>
        <v>1.2630843369753002E-2</v>
      </c>
      <c r="D453">
        <f t="shared" si="15"/>
        <v>14.147157336087302</v>
      </c>
    </row>
    <row r="454" spans="1:4" x14ac:dyDescent="0.25">
      <c r="A454">
        <v>202</v>
      </c>
      <c r="B454">
        <v>7.5830758999999999</v>
      </c>
      <c r="C454">
        <f t="shared" si="14"/>
        <v>1.2656919567765901E-2</v>
      </c>
      <c r="D454">
        <f t="shared" si="15"/>
        <v>14.174361636205223</v>
      </c>
    </row>
    <row r="455" spans="1:4" x14ac:dyDescent="0.25">
      <c r="A455">
        <v>203</v>
      </c>
      <c r="B455">
        <v>7.5983416999999998</v>
      </c>
      <c r="C455">
        <f t="shared" ref="C455:C518" si="16">B455*$G$2</f>
        <v>1.2682399729811701E-2</v>
      </c>
      <c r="D455">
        <f t="shared" ref="D455:D518" si="17">100*(1-(1-C455)^12)</f>
        <v>14.200936481532544</v>
      </c>
    </row>
    <row r="456" spans="1:4" x14ac:dyDescent="0.25">
      <c r="A456">
        <v>204</v>
      </c>
      <c r="B456">
        <v>7.6132536000000002</v>
      </c>
      <c r="C456">
        <f t="shared" si="16"/>
        <v>1.2707289197013602E-2</v>
      </c>
      <c r="D456">
        <f t="shared" si="17"/>
        <v>14.22688797168583</v>
      </c>
    </row>
    <row r="457" spans="1:4" x14ac:dyDescent="0.25">
      <c r="A457">
        <v>205</v>
      </c>
      <c r="B457">
        <v>7.627815</v>
      </c>
      <c r="C457">
        <f t="shared" si="16"/>
        <v>1.2731593644315E-2</v>
      </c>
      <c r="D457">
        <f t="shared" si="17"/>
        <v>14.252222535524472</v>
      </c>
    </row>
    <row r="458" spans="1:4" x14ac:dyDescent="0.25">
      <c r="A458">
        <v>206</v>
      </c>
      <c r="B458">
        <v>7.6420291000000002</v>
      </c>
      <c r="C458">
        <f t="shared" si="16"/>
        <v>1.2755318412839101E-2</v>
      </c>
      <c r="D458">
        <f t="shared" si="17"/>
        <v>14.276946235416155</v>
      </c>
    </row>
    <row r="459" spans="1:4" x14ac:dyDescent="0.25">
      <c r="A459">
        <v>207</v>
      </c>
      <c r="B459">
        <v>7.6558992000000003</v>
      </c>
      <c r="C459">
        <f t="shared" si="16"/>
        <v>1.2778469010619201E-2</v>
      </c>
      <c r="D459">
        <f t="shared" si="17"/>
        <v>14.301065289697712</v>
      </c>
    </row>
    <row r="460" spans="1:4" x14ac:dyDescent="0.25">
      <c r="A460">
        <v>208</v>
      </c>
      <c r="B460">
        <v>7.6694288000000004</v>
      </c>
      <c r="C460">
        <f t="shared" si="16"/>
        <v>1.2801051279508801E-2</v>
      </c>
      <c r="D460">
        <f t="shared" si="17"/>
        <v>14.324586246657523</v>
      </c>
    </row>
    <row r="461" spans="1:4" x14ac:dyDescent="0.25">
      <c r="A461">
        <v>209</v>
      </c>
      <c r="B461">
        <v>7.6826210000000001</v>
      </c>
      <c r="C461">
        <f t="shared" si="16"/>
        <v>1.2823070393721001E-2</v>
      </c>
      <c r="D461">
        <f t="shared" si="17"/>
        <v>14.347514941790273</v>
      </c>
    </row>
    <row r="462" spans="1:4" x14ac:dyDescent="0.25">
      <c r="A462">
        <v>210</v>
      </c>
      <c r="B462">
        <v>7.6954792000000003</v>
      </c>
      <c r="C462">
        <f t="shared" si="16"/>
        <v>1.28445320281992E-2</v>
      </c>
      <c r="D462">
        <f t="shared" si="17"/>
        <v>14.369857715221833</v>
      </c>
    </row>
    <row r="463" spans="1:4" x14ac:dyDescent="0.25">
      <c r="A463">
        <v>211</v>
      </c>
      <c r="B463">
        <v>7.7080066</v>
      </c>
      <c r="C463">
        <f t="shared" si="16"/>
        <v>1.2865441524066601E-2</v>
      </c>
      <c r="D463">
        <f t="shared" si="17"/>
        <v>14.39162054294566</v>
      </c>
    </row>
    <row r="464" spans="1:4" x14ac:dyDescent="0.25">
      <c r="A464">
        <v>212</v>
      </c>
      <c r="B464">
        <v>7.7202066</v>
      </c>
      <c r="C464">
        <f t="shared" si="16"/>
        <v>1.2885804556266601E-2</v>
      </c>
      <c r="D464">
        <f t="shared" si="17"/>
        <v>14.41280973224648</v>
      </c>
    </row>
    <row r="465" spans="1:4" x14ac:dyDescent="0.25">
      <c r="A465">
        <v>213</v>
      </c>
      <c r="B465">
        <v>7.7320824999999997</v>
      </c>
      <c r="C465">
        <f t="shared" si="16"/>
        <v>1.29056266328325E-2</v>
      </c>
      <c r="D465">
        <f t="shared" si="17"/>
        <v>14.433431400798113</v>
      </c>
    </row>
    <row r="466" spans="1:4" x14ac:dyDescent="0.25">
      <c r="A466">
        <v>214</v>
      </c>
      <c r="B466">
        <v>7.7436375999999996</v>
      </c>
      <c r="C466">
        <f t="shared" si="16"/>
        <v>1.2924913261797601E-2</v>
      </c>
      <c r="D466">
        <f t="shared" si="17"/>
        <v>14.453491650809225</v>
      </c>
    </row>
    <row r="467" spans="1:4" x14ac:dyDescent="0.25">
      <c r="A467">
        <v>215</v>
      </c>
      <c r="B467">
        <v>7.7548750999999996</v>
      </c>
      <c r="C467">
        <f t="shared" si="16"/>
        <v>1.29436697842851E-2</v>
      </c>
      <c r="D467">
        <f t="shared" si="17"/>
        <v>14.472996395828353</v>
      </c>
    </row>
    <row r="468" spans="1:4" x14ac:dyDescent="0.25">
      <c r="A468">
        <v>216</v>
      </c>
      <c r="B468">
        <v>7.7657984999999998</v>
      </c>
      <c r="C468">
        <f t="shared" si="16"/>
        <v>1.2961902042148501E-2</v>
      </c>
      <c r="D468">
        <f t="shared" si="17"/>
        <v>14.491952055332892</v>
      </c>
    </row>
    <row r="469" spans="1:4" x14ac:dyDescent="0.25">
      <c r="A469">
        <v>217</v>
      </c>
      <c r="B469">
        <v>7.7764109000000001</v>
      </c>
      <c r="C469">
        <f t="shared" si="16"/>
        <v>1.2979615209600901E-2</v>
      </c>
      <c r="D469">
        <f t="shared" si="17"/>
        <v>14.510364340187621</v>
      </c>
    </row>
    <row r="470" spans="1:4" x14ac:dyDescent="0.25">
      <c r="A470">
        <v>218</v>
      </c>
      <c r="B470">
        <v>7.7867157000000002</v>
      </c>
      <c r="C470">
        <f t="shared" si="16"/>
        <v>1.2996814961585701E-2</v>
      </c>
      <c r="D470">
        <f t="shared" si="17"/>
        <v>14.528239467806847</v>
      </c>
    </row>
    <row r="471" spans="1:4" x14ac:dyDescent="0.25">
      <c r="A471">
        <v>219</v>
      </c>
      <c r="B471">
        <v>7.7967162999999999</v>
      </c>
      <c r="C471">
        <f t="shared" si="16"/>
        <v>1.3013506973046301E-2</v>
      </c>
      <c r="D471">
        <f t="shared" si="17"/>
        <v>14.545583641743786</v>
      </c>
    </row>
    <row r="472" spans="1:4" x14ac:dyDescent="0.25">
      <c r="A472">
        <v>220</v>
      </c>
      <c r="B472">
        <v>7.8064157999999999</v>
      </c>
      <c r="C472">
        <f t="shared" si="16"/>
        <v>1.3029696418195801E-2</v>
      </c>
      <c r="D472">
        <f t="shared" si="17"/>
        <v>14.562402531885043</v>
      </c>
    </row>
    <row r="473" spans="1:4" x14ac:dyDescent="0.25">
      <c r="A473">
        <v>221</v>
      </c>
      <c r="B473">
        <v>7.8158175999999999</v>
      </c>
      <c r="C473">
        <f t="shared" si="16"/>
        <v>1.3045388971977601E-2</v>
      </c>
      <c r="D473">
        <f t="shared" si="17"/>
        <v>14.578702315367254</v>
      </c>
    </row>
    <row r="474" spans="1:4" x14ac:dyDescent="0.25">
      <c r="A474">
        <v>222</v>
      </c>
      <c r="B474">
        <v>7.8249250000000004</v>
      </c>
      <c r="C474">
        <f t="shared" si="16"/>
        <v>1.3060590142425001E-2</v>
      </c>
      <c r="D474">
        <f t="shared" si="17"/>
        <v>14.594488983149279</v>
      </c>
    </row>
    <row r="475" spans="1:4" x14ac:dyDescent="0.25">
      <c r="A475">
        <v>223</v>
      </c>
      <c r="B475">
        <v>7.8337412999999998</v>
      </c>
      <c r="C475">
        <f t="shared" si="16"/>
        <v>1.3075305437571301E-2</v>
      </c>
      <c r="D475">
        <f t="shared" si="17"/>
        <v>14.609768513781896</v>
      </c>
    </row>
    <row r="476" spans="1:4" x14ac:dyDescent="0.25">
      <c r="A476">
        <v>224</v>
      </c>
      <c r="B476">
        <v>7.8422698000000004</v>
      </c>
      <c r="C476">
        <f t="shared" si="16"/>
        <v>1.3089540365449801E-2</v>
      </c>
      <c r="D476">
        <f t="shared" si="17"/>
        <v>14.624546873727873</v>
      </c>
    </row>
    <row r="477" spans="1:4" x14ac:dyDescent="0.25">
      <c r="A477">
        <v>225</v>
      </c>
      <c r="B477">
        <v>7.8505139000000002</v>
      </c>
      <c r="C477">
        <f t="shared" si="16"/>
        <v>1.3103300601003901E-2</v>
      </c>
      <c r="D477">
        <f t="shared" si="17"/>
        <v>14.638830190918849</v>
      </c>
    </row>
    <row r="478" spans="1:4" x14ac:dyDescent="0.25">
      <c r="A478">
        <v>226</v>
      </c>
      <c r="B478">
        <v>7.8584766999999998</v>
      </c>
      <c r="C478">
        <f t="shared" si="16"/>
        <v>1.31165913184467E-2</v>
      </c>
      <c r="D478">
        <f t="shared" si="17"/>
        <v>14.652624062074315</v>
      </c>
    </row>
    <row r="479" spans="1:4" x14ac:dyDescent="0.25">
      <c r="A479">
        <v>227</v>
      </c>
      <c r="B479">
        <v>7.8661617000000001</v>
      </c>
      <c r="C479">
        <f t="shared" si="16"/>
        <v>1.3129418359631701E-2</v>
      </c>
      <c r="D479">
        <f t="shared" si="17"/>
        <v>14.665934765728927</v>
      </c>
    </row>
    <row r="480" spans="1:4" x14ac:dyDescent="0.25">
      <c r="A480">
        <v>228</v>
      </c>
      <c r="B480">
        <v>7.8735720999999996</v>
      </c>
      <c r="C480">
        <f t="shared" si="16"/>
        <v>1.3141787065682101E-2</v>
      </c>
      <c r="D480">
        <f t="shared" si="17"/>
        <v>14.678768049868173</v>
      </c>
    </row>
    <row r="481" spans="1:4" x14ac:dyDescent="0.25">
      <c r="A481">
        <v>229</v>
      </c>
      <c r="B481">
        <v>7.8807112000000004</v>
      </c>
      <c r="C481">
        <f t="shared" si="16"/>
        <v>1.3153702944631201E-2</v>
      </c>
      <c r="D481">
        <f t="shared" si="17"/>
        <v>14.691129825168403</v>
      </c>
    </row>
    <row r="482" spans="1:4" x14ac:dyDescent="0.25">
      <c r="A482">
        <v>230</v>
      </c>
      <c r="B482">
        <v>7.8875824000000003</v>
      </c>
      <c r="C482">
        <f t="shared" si="16"/>
        <v>1.3165171671422402E-2</v>
      </c>
      <c r="D482">
        <f t="shared" si="17"/>
        <v>14.703026165173505</v>
      </c>
    </row>
    <row r="483" spans="1:4" x14ac:dyDescent="0.25">
      <c r="A483">
        <v>231</v>
      </c>
      <c r="B483">
        <v>7.8941888000000002</v>
      </c>
      <c r="C483">
        <f t="shared" si="16"/>
        <v>1.3176198420268801E-2</v>
      </c>
      <c r="D483">
        <f t="shared" si="17"/>
        <v>14.71446261407625</v>
      </c>
    </row>
    <row r="484" spans="1:4" x14ac:dyDescent="0.25">
      <c r="A484">
        <v>232</v>
      </c>
      <c r="B484">
        <v>7.9005339000000001</v>
      </c>
      <c r="C484">
        <f t="shared" si="16"/>
        <v>1.31867890330239E-2</v>
      </c>
      <c r="D484">
        <f t="shared" si="17"/>
        <v>14.725445398884673</v>
      </c>
    </row>
    <row r="485" spans="1:4" x14ac:dyDescent="0.25">
      <c r="A485">
        <v>233</v>
      </c>
      <c r="B485">
        <v>7.9066210000000003</v>
      </c>
      <c r="C485">
        <f t="shared" si="16"/>
        <v>1.3196949017721001E-2</v>
      </c>
      <c r="D485">
        <f t="shared" si="17"/>
        <v>14.735980390932168</v>
      </c>
    </row>
    <row r="486" spans="1:4" x14ac:dyDescent="0.25">
      <c r="A486">
        <v>234</v>
      </c>
      <c r="B486">
        <v>7.9124533000000001</v>
      </c>
      <c r="C486">
        <f t="shared" si="16"/>
        <v>1.3206683715483301E-2</v>
      </c>
      <c r="D486">
        <f t="shared" si="17"/>
        <v>14.746073279404248</v>
      </c>
    </row>
    <row r="487" spans="1:4" x14ac:dyDescent="0.25">
      <c r="A487">
        <v>235</v>
      </c>
      <c r="B487">
        <v>7.9180340999999999</v>
      </c>
      <c r="C487">
        <f t="shared" si="16"/>
        <v>1.3215998634344101E-2</v>
      </c>
      <c r="D487">
        <f t="shared" si="17"/>
        <v>14.755729917752769</v>
      </c>
    </row>
    <row r="488" spans="1:4" x14ac:dyDescent="0.25">
      <c r="A488">
        <v>236</v>
      </c>
      <c r="B488">
        <v>7.9233666999999999</v>
      </c>
      <c r="C488">
        <f t="shared" si="16"/>
        <v>1.3224899282336701E-2</v>
      </c>
      <c r="D488">
        <f t="shared" si="17"/>
        <v>14.764956150867858</v>
      </c>
    </row>
    <row r="489" spans="1:4" x14ac:dyDescent="0.25">
      <c r="A489">
        <v>237</v>
      </c>
      <c r="B489">
        <v>7.9284545</v>
      </c>
      <c r="C489">
        <f t="shared" si="16"/>
        <v>1.3233391334404501E-2</v>
      </c>
      <c r="D489">
        <f t="shared" si="17"/>
        <v>14.773757988337511</v>
      </c>
    </row>
    <row r="490" spans="1:4" x14ac:dyDescent="0.25">
      <c r="A490">
        <v>238</v>
      </c>
      <c r="B490">
        <v>7.9333007999999996</v>
      </c>
      <c r="C490">
        <f t="shared" si="16"/>
        <v>1.3241480298580801E-2</v>
      </c>
      <c r="D490">
        <f t="shared" si="17"/>
        <v>14.782141258684378</v>
      </c>
    </row>
    <row r="491" spans="1:4" x14ac:dyDescent="0.25">
      <c r="A491">
        <v>239</v>
      </c>
      <c r="B491">
        <v>7.9379087999999998</v>
      </c>
      <c r="C491">
        <f t="shared" si="16"/>
        <v>1.3249171515988801E-2</v>
      </c>
      <c r="D491">
        <f t="shared" si="17"/>
        <v>14.790111609708834</v>
      </c>
    </row>
    <row r="492" spans="1:4" x14ac:dyDescent="0.25">
      <c r="A492">
        <v>240</v>
      </c>
      <c r="B492">
        <v>7.9422819000000002</v>
      </c>
      <c r="C492">
        <f t="shared" si="16"/>
        <v>1.3256470661571901E-2</v>
      </c>
      <c r="D492">
        <f t="shared" si="17"/>
        <v>14.797675027655666</v>
      </c>
    </row>
    <row r="493" spans="1:4" x14ac:dyDescent="0.25">
      <c r="A493">
        <v>241</v>
      </c>
      <c r="B493">
        <v>7.9464233000000002</v>
      </c>
      <c r="C493">
        <f t="shared" si="16"/>
        <v>1.32633830764533E-2</v>
      </c>
      <c r="D493">
        <f t="shared" si="17"/>
        <v>14.804837145595251</v>
      </c>
    </row>
    <row r="494" spans="1:4" x14ac:dyDescent="0.25">
      <c r="A494">
        <v>242</v>
      </c>
      <c r="B494">
        <v>7.9503364000000003</v>
      </c>
      <c r="C494">
        <f t="shared" si="16"/>
        <v>1.3269914435576402E-2</v>
      </c>
      <c r="D494">
        <f t="shared" si="17"/>
        <v>14.811603935488293</v>
      </c>
    </row>
    <row r="495" spans="1:4" x14ac:dyDescent="0.25">
      <c r="A495">
        <v>243</v>
      </c>
      <c r="B495">
        <v>7.9540243999999998</v>
      </c>
      <c r="C495">
        <f t="shared" si="16"/>
        <v>1.32760700800644E-2</v>
      </c>
      <c r="D495">
        <f t="shared" si="17"/>
        <v>14.817981016672421</v>
      </c>
    </row>
    <row r="496" spans="1:4" x14ac:dyDescent="0.25">
      <c r="A496">
        <v>244</v>
      </c>
      <c r="B496">
        <v>7.9574907000000001</v>
      </c>
      <c r="C496">
        <f t="shared" si="16"/>
        <v>1.3281855684860702E-2</v>
      </c>
      <c r="D496">
        <f t="shared" si="17"/>
        <v>14.823974347812596</v>
      </c>
    </row>
    <row r="497" spans="1:4" x14ac:dyDescent="0.25">
      <c r="A497">
        <v>245</v>
      </c>
      <c r="B497">
        <v>7.9607386</v>
      </c>
      <c r="C497">
        <f t="shared" si="16"/>
        <v>1.32872767579986E-2</v>
      </c>
      <c r="D497">
        <f t="shared" si="17"/>
        <v>14.829589708367896</v>
      </c>
    </row>
    <row r="498" spans="1:4" x14ac:dyDescent="0.25">
      <c r="A498">
        <v>246</v>
      </c>
      <c r="B498">
        <v>7.9637713999999997</v>
      </c>
      <c r="C498">
        <f t="shared" si="16"/>
        <v>1.3292338807511401E-2</v>
      </c>
      <c r="D498">
        <f t="shared" si="17"/>
        <v>14.834832871760062</v>
      </c>
    </row>
    <row r="499" spans="1:4" x14ac:dyDescent="0.25">
      <c r="A499">
        <v>247</v>
      </c>
      <c r="B499">
        <v>7.9665923000000003</v>
      </c>
      <c r="C499">
        <f t="shared" si="16"/>
        <v>1.32970471745223E-2</v>
      </c>
      <c r="D499">
        <f t="shared" si="17"/>
        <v>14.83970943273658</v>
      </c>
    </row>
    <row r="500" spans="1:4" x14ac:dyDescent="0.25">
      <c r="A500">
        <v>248</v>
      </c>
      <c r="B500">
        <v>7.9692046999999997</v>
      </c>
      <c r="C500">
        <f t="shared" si="16"/>
        <v>1.3301407533974701E-2</v>
      </c>
      <c r="D500">
        <f t="shared" si="17"/>
        <v>14.844225326219529</v>
      </c>
    </row>
    <row r="501" spans="1:4" x14ac:dyDescent="0.25">
      <c r="A501">
        <v>249</v>
      </c>
      <c r="B501">
        <v>7.9716119000000001</v>
      </c>
      <c r="C501">
        <f t="shared" si="16"/>
        <v>1.3305425393901902E-2</v>
      </c>
      <c r="D501">
        <f t="shared" si="17"/>
        <v>14.848386308890205</v>
      </c>
    </row>
    <row r="502" spans="1:4" x14ac:dyDescent="0.25">
      <c r="A502">
        <v>250</v>
      </c>
      <c r="B502">
        <v>7.9738172</v>
      </c>
      <c r="C502">
        <f t="shared" si="16"/>
        <v>1.3309106262337202E-2</v>
      </c>
      <c r="D502">
        <f t="shared" si="17"/>
        <v>14.852198132296557</v>
      </c>
    </row>
    <row r="503" spans="1:4" x14ac:dyDescent="0.25">
      <c r="A503">
        <v>251</v>
      </c>
      <c r="B503">
        <v>7.9758239</v>
      </c>
      <c r="C503">
        <f t="shared" si="16"/>
        <v>1.3312455647313901E-2</v>
      </c>
      <c r="D503">
        <f t="shared" si="17"/>
        <v>14.855666543070411</v>
      </c>
    </row>
    <row r="504" spans="1:4" x14ac:dyDescent="0.25">
      <c r="A504">
        <v>252</v>
      </c>
      <c r="B504">
        <v>7.9776351999999999</v>
      </c>
      <c r="C504">
        <f t="shared" si="16"/>
        <v>1.33154788899552E-2</v>
      </c>
      <c r="D504">
        <f t="shared" si="17"/>
        <v>14.858797110307897</v>
      </c>
    </row>
    <row r="505" spans="1:4" x14ac:dyDescent="0.25">
      <c r="A505">
        <v>253</v>
      </c>
      <c r="B505">
        <v>7.9792546</v>
      </c>
      <c r="C505">
        <f t="shared" si="16"/>
        <v>1.3318181832114601E-2</v>
      </c>
      <c r="D505">
        <f t="shared" si="17"/>
        <v>14.861595917114556</v>
      </c>
    </row>
    <row r="506" spans="1:4" x14ac:dyDescent="0.25">
      <c r="A506">
        <v>254</v>
      </c>
      <c r="B506">
        <v>7.9806851999999999</v>
      </c>
      <c r="C506">
        <f t="shared" si="16"/>
        <v>1.3320569648005201E-2</v>
      </c>
      <c r="D506">
        <f t="shared" si="17"/>
        <v>14.864068350977721</v>
      </c>
    </row>
    <row r="507" spans="1:4" x14ac:dyDescent="0.25">
      <c r="A507">
        <v>255</v>
      </c>
      <c r="B507">
        <v>7.9819304999999998</v>
      </c>
      <c r="C507">
        <f t="shared" si="16"/>
        <v>1.3322648179480501E-2</v>
      </c>
      <c r="D507">
        <f t="shared" si="17"/>
        <v>14.866220486610471</v>
      </c>
    </row>
    <row r="508" spans="1:4" x14ac:dyDescent="0.25">
      <c r="A508">
        <v>256</v>
      </c>
      <c r="B508">
        <v>7.9829936000000004</v>
      </c>
      <c r="C508">
        <f t="shared" si="16"/>
        <v>1.3324422600753602E-2</v>
      </c>
      <c r="D508">
        <f t="shared" si="17"/>
        <v>14.868057703548498</v>
      </c>
    </row>
    <row r="509" spans="1:4" x14ac:dyDescent="0.25">
      <c r="A509">
        <v>257</v>
      </c>
      <c r="B509">
        <v>7.9838779000000004</v>
      </c>
      <c r="C509">
        <f t="shared" si="16"/>
        <v>1.3325898586767901E-2</v>
      </c>
      <c r="D509">
        <f t="shared" si="17"/>
        <v>14.869585896100491</v>
      </c>
    </row>
    <row r="510" spans="1:4" x14ac:dyDescent="0.25">
      <c r="A510">
        <v>258</v>
      </c>
      <c r="B510">
        <v>7.9845867999999998</v>
      </c>
      <c r="C510">
        <f t="shared" si="16"/>
        <v>1.33270818124668E-2</v>
      </c>
      <c r="D510">
        <f t="shared" si="17"/>
        <v>14.87081095506425</v>
      </c>
    </row>
    <row r="511" spans="1:4" x14ac:dyDescent="0.25">
      <c r="A511">
        <v>259</v>
      </c>
      <c r="B511">
        <v>7.9851235000000003</v>
      </c>
      <c r="C511">
        <f t="shared" si="16"/>
        <v>1.33279776189735E-2</v>
      </c>
      <c r="D511">
        <f t="shared" si="17"/>
        <v>14.871738422303993</v>
      </c>
    </row>
    <row r="512" spans="1:4" x14ac:dyDescent="0.25">
      <c r="A512">
        <v>260</v>
      </c>
      <c r="B512">
        <v>7.9855517000000003</v>
      </c>
      <c r="C512">
        <f t="shared" si="16"/>
        <v>1.3328692328021701E-2</v>
      </c>
      <c r="D512">
        <f t="shared" si="17"/>
        <v>14.872478384865406</v>
      </c>
    </row>
    <row r="513" spans="1:4" x14ac:dyDescent="0.25">
      <c r="A513">
        <v>261</v>
      </c>
      <c r="B513">
        <v>7.9859707999999996</v>
      </c>
      <c r="C513">
        <f t="shared" si="16"/>
        <v>1.3329391848250801E-2</v>
      </c>
      <c r="D513">
        <f t="shared" si="17"/>
        <v>14.873202616216929</v>
      </c>
    </row>
    <row r="514" spans="1:4" x14ac:dyDescent="0.25">
      <c r="A514">
        <v>262</v>
      </c>
      <c r="B514">
        <v>7.9863821000000002</v>
      </c>
      <c r="C514">
        <f t="shared" si="16"/>
        <v>1.3330078349492101E-2</v>
      </c>
      <c r="D514">
        <f t="shared" si="17"/>
        <v>14.873913363182979</v>
      </c>
    </row>
    <row r="515" spans="1:4" x14ac:dyDescent="0.25">
      <c r="A515">
        <v>263</v>
      </c>
      <c r="B515">
        <v>7.9867857000000004</v>
      </c>
      <c r="C515">
        <f t="shared" si="16"/>
        <v>1.3330751998655702E-2</v>
      </c>
      <c r="D515">
        <f t="shared" si="17"/>
        <v>14.874610798876242</v>
      </c>
    </row>
    <row r="516" spans="1:4" x14ac:dyDescent="0.25">
      <c r="A516">
        <v>264</v>
      </c>
      <c r="B516">
        <v>7.9871816000000004</v>
      </c>
      <c r="C516">
        <f t="shared" si="16"/>
        <v>1.3331412795741602E-2</v>
      </c>
      <c r="D516">
        <f t="shared" si="17"/>
        <v>14.875294923596172</v>
      </c>
    </row>
    <row r="517" spans="1:4" x14ac:dyDescent="0.25">
      <c r="A517">
        <v>265</v>
      </c>
      <c r="B517">
        <v>7.9875699999999998</v>
      </c>
      <c r="C517">
        <f t="shared" si="16"/>
        <v>1.333206107457E-2</v>
      </c>
      <c r="D517">
        <f t="shared" si="17"/>
        <v>14.875966083238279</v>
      </c>
    </row>
    <row r="518" spans="1:4" x14ac:dyDescent="0.25">
      <c r="A518">
        <v>266</v>
      </c>
      <c r="B518">
        <v>7.9879509000000004</v>
      </c>
      <c r="C518">
        <f t="shared" si="16"/>
        <v>1.3332696835140901E-2</v>
      </c>
      <c r="D518">
        <f t="shared" si="17"/>
        <v>14.87662427808354</v>
      </c>
    </row>
    <row r="519" spans="1:4" x14ac:dyDescent="0.25">
      <c r="A519">
        <v>267</v>
      </c>
      <c r="B519">
        <v>7.9883245000000001</v>
      </c>
      <c r="C519">
        <f t="shared" ref="C519:C582" si="18">B519*$G$2</f>
        <v>1.3333320411274502E-2</v>
      </c>
      <c r="D519">
        <f t="shared" ref="D519:D582" si="19">100*(1-(1-C519)^12)</f>
        <v>14.877269854003583</v>
      </c>
    </row>
    <row r="520" spans="1:4" x14ac:dyDescent="0.25">
      <c r="A520">
        <v>268</v>
      </c>
      <c r="B520">
        <v>7.9886907000000003</v>
      </c>
      <c r="C520">
        <f t="shared" si="18"/>
        <v>1.3333931636060701E-2</v>
      </c>
      <c r="D520">
        <f t="shared" si="19"/>
        <v>14.87790263846459</v>
      </c>
    </row>
    <row r="521" spans="1:4" x14ac:dyDescent="0.25">
      <c r="A521">
        <v>269</v>
      </c>
      <c r="B521">
        <v>7.9890496000000004</v>
      </c>
      <c r="C521">
        <f t="shared" si="18"/>
        <v>1.3334530676409601E-2</v>
      </c>
      <c r="D521">
        <f t="shared" si="19"/>
        <v>14.878522804523996</v>
      </c>
    </row>
    <row r="522" spans="1:4" x14ac:dyDescent="0.25">
      <c r="A522">
        <v>270</v>
      </c>
      <c r="B522">
        <v>7.9894014000000002</v>
      </c>
      <c r="C522">
        <f t="shared" si="18"/>
        <v>1.33351178661414E-2</v>
      </c>
      <c r="D522">
        <f t="shared" si="19"/>
        <v>14.879130698023712</v>
      </c>
    </row>
    <row r="523" spans="1:4" x14ac:dyDescent="0.25">
      <c r="A523">
        <v>271</v>
      </c>
      <c r="B523">
        <v>7.9897460000000002</v>
      </c>
      <c r="C523">
        <f t="shared" si="18"/>
        <v>1.3335693038346001E-2</v>
      </c>
      <c r="D523">
        <f t="shared" si="19"/>
        <v>14.879726146411143</v>
      </c>
    </row>
    <row r="524" spans="1:4" x14ac:dyDescent="0.25">
      <c r="A524">
        <v>272</v>
      </c>
      <c r="B524">
        <v>7.9900836999999996</v>
      </c>
      <c r="C524">
        <f t="shared" si="18"/>
        <v>1.33362566937537E-2</v>
      </c>
      <c r="D524">
        <f t="shared" si="19"/>
        <v>14.880309668302939</v>
      </c>
    </row>
    <row r="525" spans="1:4" x14ac:dyDescent="0.25">
      <c r="A525">
        <v>273</v>
      </c>
      <c r="B525">
        <v>7.9904143999999997</v>
      </c>
      <c r="C525">
        <f t="shared" si="18"/>
        <v>1.33368086654544E-2</v>
      </c>
      <c r="D525">
        <f t="shared" si="19"/>
        <v>14.880881091132492</v>
      </c>
    </row>
    <row r="526" spans="1:4" x14ac:dyDescent="0.25">
      <c r="A526">
        <v>274</v>
      </c>
      <c r="B526">
        <v>7.9907382</v>
      </c>
      <c r="C526">
        <f t="shared" si="18"/>
        <v>1.3337349120358201E-2</v>
      </c>
      <c r="D526">
        <f t="shared" si="19"/>
        <v>14.881440587913609</v>
      </c>
    </row>
    <row r="527" spans="1:4" x14ac:dyDescent="0.25">
      <c r="A527">
        <v>275</v>
      </c>
      <c r="B527">
        <v>7.9910551999999999</v>
      </c>
      <c r="C527">
        <f t="shared" si="18"/>
        <v>1.33378782253752E-2</v>
      </c>
      <c r="D527">
        <f t="shared" si="19"/>
        <v>14.881988331650998</v>
      </c>
    </row>
    <row r="528" spans="1:4" x14ac:dyDescent="0.25">
      <c r="A528">
        <v>276</v>
      </c>
      <c r="B528">
        <v>7.9913654000000003</v>
      </c>
      <c r="C528">
        <f t="shared" si="18"/>
        <v>1.3338395980505402E-2</v>
      </c>
      <c r="D528">
        <f t="shared" si="19"/>
        <v>14.882524322552515</v>
      </c>
    </row>
    <row r="529" spans="1:4" x14ac:dyDescent="0.25">
      <c r="A529">
        <v>277</v>
      </c>
      <c r="B529">
        <v>7.9916689999999999</v>
      </c>
      <c r="C529">
        <f t="shared" si="18"/>
        <v>1.3338902719569001E-2</v>
      </c>
      <c r="D529">
        <f t="shared" si="19"/>
        <v>14.88304890639659</v>
      </c>
    </row>
    <row r="530" spans="1:4" x14ac:dyDescent="0.25">
      <c r="A530">
        <v>278</v>
      </c>
      <c r="B530">
        <v>7.9919661</v>
      </c>
      <c r="C530">
        <f t="shared" si="18"/>
        <v>1.33393986094761E-2</v>
      </c>
      <c r="D530">
        <f t="shared" si="19"/>
        <v>14.88356225616274</v>
      </c>
    </row>
    <row r="531" spans="1:4" x14ac:dyDescent="0.25">
      <c r="A531">
        <v>279</v>
      </c>
      <c r="B531">
        <v>7.9922566000000002</v>
      </c>
      <c r="C531">
        <f t="shared" si="18"/>
        <v>1.3339883483316601E-2</v>
      </c>
      <c r="D531">
        <f t="shared" si="19"/>
        <v>14.884064199251846</v>
      </c>
    </row>
    <row r="532" spans="1:4" x14ac:dyDescent="0.25">
      <c r="A532">
        <v>280</v>
      </c>
      <c r="B532">
        <v>7.9925407000000002</v>
      </c>
      <c r="C532">
        <f t="shared" si="18"/>
        <v>1.3340357674910701E-2</v>
      </c>
      <c r="D532">
        <f t="shared" si="19"/>
        <v>14.884555081417828</v>
      </c>
    </row>
    <row r="533" spans="1:4" x14ac:dyDescent="0.25">
      <c r="A533">
        <v>281</v>
      </c>
      <c r="B533">
        <v>7.9928184</v>
      </c>
      <c r="C533">
        <f t="shared" si="18"/>
        <v>1.3340821184258401E-2</v>
      </c>
      <c r="D533">
        <f t="shared" si="19"/>
        <v>14.88503490283618</v>
      </c>
    </row>
    <row r="534" spans="1:4" x14ac:dyDescent="0.25">
      <c r="A534">
        <v>282</v>
      </c>
      <c r="B534">
        <v>7.9930899000000002</v>
      </c>
      <c r="C534">
        <f t="shared" si="18"/>
        <v>1.33412743451799E-2</v>
      </c>
      <c r="D534">
        <f t="shared" si="19"/>
        <v>14.885504009243977</v>
      </c>
    </row>
    <row r="535" spans="1:4" x14ac:dyDescent="0.25">
      <c r="A535">
        <v>283</v>
      </c>
      <c r="B535">
        <v>7.9933550999999996</v>
      </c>
      <c r="C535">
        <f t="shared" si="18"/>
        <v>1.33417169907651E-2</v>
      </c>
      <c r="D535">
        <f t="shared" si="19"/>
        <v>14.885962228021455</v>
      </c>
    </row>
    <row r="536" spans="1:4" x14ac:dyDescent="0.25">
      <c r="A536">
        <v>284</v>
      </c>
      <c r="B536">
        <v>7.9936141999999997</v>
      </c>
      <c r="C536">
        <f t="shared" si="18"/>
        <v>1.3342149454834201E-2</v>
      </c>
      <c r="D536">
        <f t="shared" si="19"/>
        <v>14.886409904892128</v>
      </c>
    </row>
    <row r="537" spans="1:4" x14ac:dyDescent="0.25">
      <c r="A537">
        <v>285</v>
      </c>
      <c r="B537">
        <v>7.9938672999999998</v>
      </c>
      <c r="C537">
        <f t="shared" si="18"/>
        <v>1.3342571904297301E-2</v>
      </c>
      <c r="D537">
        <f t="shared" si="19"/>
        <v>14.8868472127886</v>
      </c>
    </row>
    <row r="538" spans="1:4" x14ac:dyDescent="0.25">
      <c r="A538">
        <v>286</v>
      </c>
      <c r="B538">
        <v>7.9941142999999997</v>
      </c>
      <c r="C538">
        <f t="shared" si="18"/>
        <v>1.3342984172244301E-2</v>
      </c>
      <c r="D538">
        <f t="shared" si="19"/>
        <v>14.887273979077943</v>
      </c>
    </row>
    <row r="539" spans="1:4" x14ac:dyDescent="0.25">
      <c r="A539">
        <v>287</v>
      </c>
      <c r="B539">
        <v>7.9943555000000002</v>
      </c>
      <c r="C539">
        <f t="shared" si="18"/>
        <v>1.3343386759405501E-2</v>
      </c>
      <c r="D539">
        <f t="shared" si="19"/>
        <v>14.887690722241587</v>
      </c>
    </row>
    <row r="540" spans="1:4" x14ac:dyDescent="0.25">
      <c r="A540">
        <v>288</v>
      </c>
      <c r="B540">
        <v>7.9945908000000001</v>
      </c>
      <c r="C540">
        <f t="shared" si="18"/>
        <v>1.3343779498870801E-2</v>
      </c>
      <c r="D540">
        <f t="shared" si="19"/>
        <v>14.888097269636535</v>
      </c>
    </row>
    <row r="541" spans="1:4" x14ac:dyDescent="0.25">
      <c r="A541">
        <v>289</v>
      </c>
      <c r="B541">
        <v>7.9948204</v>
      </c>
      <c r="C541">
        <f t="shared" si="18"/>
        <v>1.3344162724460401E-2</v>
      </c>
      <c r="D541">
        <f t="shared" si="19"/>
        <v>14.888493966951156</v>
      </c>
    </row>
    <row r="542" spans="1:4" x14ac:dyDescent="0.25">
      <c r="A542">
        <v>290</v>
      </c>
      <c r="B542">
        <v>7.9950443</v>
      </c>
      <c r="C542">
        <f t="shared" si="18"/>
        <v>1.33445364361743E-2</v>
      </c>
      <c r="D542">
        <f t="shared" si="19"/>
        <v>14.888880814311689</v>
      </c>
    </row>
    <row r="543" spans="1:4" x14ac:dyDescent="0.25">
      <c r="A543">
        <v>291</v>
      </c>
      <c r="B543">
        <v>7.9952624999999999</v>
      </c>
      <c r="C543">
        <f t="shared" si="18"/>
        <v>1.33449006340125E-2</v>
      </c>
      <c r="D543">
        <f t="shared" si="19"/>
        <v>14.889257811841162</v>
      </c>
    </row>
    <row r="544" spans="1:4" x14ac:dyDescent="0.25">
      <c r="A544">
        <v>292</v>
      </c>
      <c r="B544">
        <v>7.9954751999999996</v>
      </c>
      <c r="C544">
        <f t="shared" si="18"/>
        <v>1.33452556517952E-2</v>
      </c>
      <c r="D544">
        <f t="shared" si="19"/>
        <v>14.889625305209853</v>
      </c>
    </row>
    <row r="545" spans="1:4" x14ac:dyDescent="0.25">
      <c r="A545">
        <v>293</v>
      </c>
      <c r="B545">
        <v>7.9956825</v>
      </c>
      <c r="C545">
        <f t="shared" si="18"/>
        <v>1.3345601656432501E-2</v>
      </c>
      <c r="D545">
        <f t="shared" si="19"/>
        <v>14.88998346730488</v>
      </c>
    </row>
    <row r="546" spans="1:4" x14ac:dyDescent="0.25">
      <c r="A546">
        <v>294</v>
      </c>
      <c r="B546">
        <v>7.9958843999999996</v>
      </c>
      <c r="C546">
        <f t="shared" si="18"/>
        <v>1.33459386479244E-2</v>
      </c>
      <c r="D546">
        <f t="shared" si="19"/>
        <v>14.890332298234355</v>
      </c>
    </row>
    <row r="547" spans="1:4" x14ac:dyDescent="0.25">
      <c r="A547">
        <v>295</v>
      </c>
      <c r="B547">
        <v>7.9960810000000002</v>
      </c>
      <c r="C547">
        <f t="shared" si="18"/>
        <v>1.3346266793181001E-2</v>
      </c>
      <c r="D547">
        <f t="shared" si="19"/>
        <v>14.890671970876458</v>
      </c>
    </row>
    <row r="548" spans="1:4" x14ac:dyDescent="0.25">
      <c r="A548">
        <v>296</v>
      </c>
      <c r="B548">
        <v>7.9962723000000002</v>
      </c>
      <c r="C548">
        <f t="shared" si="18"/>
        <v>1.3346586092202302E-2</v>
      </c>
      <c r="D548">
        <f t="shared" si="19"/>
        <v>14.891002485331907</v>
      </c>
    </row>
    <row r="549" spans="1:4" x14ac:dyDescent="0.25">
      <c r="A549">
        <v>297</v>
      </c>
      <c r="B549">
        <v>7.9964585000000001</v>
      </c>
      <c r="C549">
        <f t="shared" si="18"/>
        <v>1.33468968788085E-2</v>
      </c>
      <c r="D549">
        <f t="shared" si="19"/>
        <v>14.891324187242194</v>
      </c>
    </row>
    <row r="550" spans="1:4" x14ac:dyDescent="0.25">
      <c r="A550">
        <v>298</v>
      </c>
      <c r="B550">
        <v>7.9966396</v>
      </c>
      <c r="C550">
        <f t="shared" si="18"/>
        <v>1.3347199152999601E-2</v>
      </c>
      <c r="D550">
        <f t="shared" si="19"/>
        <v>14.891637076698983</v>
      </c>
    </row>
    <row r="551" spans="1:4" x14ac:dyDescent="0.25">
      <c r="A551">
        <v>299</v>
      </c>
      <c r="B551">
        <v>7.9968155999999997</v>
      </c>
      <c r="C551">
        <f t="shared" si="18"/>
        <v>1.33474929147756E-2</v>
      </c>
      <c r="D551">
        <f t="shared" si="19"/>
        <v>14.891941153791265</v>
      </c>
    </row>
    <row r="552" spans="1:4" x14ac:dyDescent="0.25">
      <c r="A552">
        <v>300</v>
      </c>
      <c r="B552">
        <v>7.9969868000000002</v>
      </c>
      <c r="C552">
        <f t="shared" si="18"/>
        <v>1.3347778664866802E-2</v>
      </c>
      <c r="D552">
        <f t="shared" si="19"/>
        <v>14.892236936916525</v>
      </c>
    </row>
    <row r="553" spans="1:4" x14ac:dyDescent="0.25">
      <c r="A553">
        <v>301</v>
      </c>
      <c r="B553">
        <v>7.997153</v>
      </c>
      <c r="C553">
        <f t="shared" si="18"/>
        <v>1.3348056069453001E-2</v>
      </c>
      <c r="D553">
        <f t="shared" si="19"/>
        <v>14.8925240806145</v>
      </c>
    </row>
    <row r="554" spans="1:4" x14ac:dyDescent="0.25">
      <c r="A554">
        <v>302</v>
      </c>
      <c r="B554">
        <v>7.9973144999999999</v>
      </c>
      <c r="C554">
        <f t="shared" si="18"/>
        <v>1.3348325629264501E-2</v>
      </c>
      <c r="D554">
        <f t="shared" si="19"/>
        <v>14.8928031032729</v>
      </c>
    </row>
    <row r="555" spans="1:4" x14ac:dyDescent="0.25">
      <c r="A555">
        <v>303</v>
      </c>
      <c r="B555">
        <v>7.9974712999999999</v>
      </c>
      <c r="C555">
        <f t="shared" si="18"/>
        <v>1.3348587344301301E-2</v>
      </c>
      <c r="D555">
        <f t="shared" si="19"/>
        <v>14.89307400496498</v>
      </c>
    </row>
    <row r="556" spans="1:4" x14ac:dyDescent="0.25">
      <c r="A556">
        <v>304</v>
      </c>
      <c r="B556">
        <v>7.9976234000000002</v>
      </c>
      <c r="C556">
        <f t="shared" si="18"/>
        <v>1.33488412145634E-2</v>
      </c>
      <c r="D556">
        <f t="shared" si="19"/>
        <v>14.893336785761724</v>
      </c>
    </row>
    <row r="557" spans="1:4" x14ac:dyDescent="0.25">
      <c r="A557">
        <v>305</v>
      </c>
      <c r="B557">
        <v>7.9977708999999999</v>
      </c>
      <c r="C557">
        <f t="shared" si="18"/>
        <v>1.33490874069609E-2</v>
      </c>
      <c r="D557">
        <f t="shared" si="19"/>
        <v>14.893591618500079</v>
      </c>
    </row>
    <row r="558" spans="1:4" x14ac:dyDescent="0.25">
      <c r="A558">
        <v>306</v>
      </c>
      <c r="B558">
        <v>7.9979139999999997</v>
      </c>
      <c r="C558">
        <f t="shared" si="18"/>
        <v>1.3349326255314001E-2</v>
      </c>
      <c r="D558">
        <f t="shared" si="19"/>
        <v>14.89383884877965</v>
      </c>
    </row>
    <row r="559" spans="1:4" x14ac:dyDescent="0.25">
      <c r="A559">
        <v>307</v>
      </c>
      <c r="B559">
        <v>7.9980526000000003</v>
      </c>
      <c r="C559">
        <f t="shared" si="18"/>
        <v>1.3349557592712601E-2</v>
      </c>
      <c r="D559">
        <f t="shared" si="19"/>
        <v>14.89407830389451</v>
      </c>
    </row>
    <row r="560" spans="1:4" x14ac:dyDescent="0.25">
      <c r="A560">
        <v>308</v>
      </c>
      <c r="B560">
        <v>7.9981869999999997</v>
      </c>
      <c r="C560">
        <f t="shared" si="18"/>
        <v>1.3349781919887E-2</v>
      </c>
      <c r="D560">
        <f t="shared" si="19"/>
        <v>14.894310502203956</v>
      </c>
    </row>
    <row r="561" spans="1:4" x14ac:dyDescent="0.25">
      <c r="A561">
        <v>309</v>
      </c>
      <c r="B561">
        <v>7.9983170000000001</v>
      </c>
      <c r="C561">
        <f t="shared" si="18"/>
        <v>1.3349998903017002E-2</v>
      </c>
      <c r="D561">
        <f t="shared" si="19"/>
        <v>14.894535098230588</v>
      </c>
    </row>
    <row r="562" spans="1:4" x14ac:dyDescent="0.25">
      <c r="A562">
        <v>310</v>
      </c>
      <c r="B562">
        <v>7.9984428000000003</v>
      </c>
      <c r="C562">
        <f t="shared" si="18"/>
        <v>1.3350208875922802E-2</v>
      </c>
      <c r="D562">
        <f t="shared" si="19"/>
        <v>14.894752437560532</v>
      </c>
    </row>
    <row r="563" spans="1:4" x14ac:dyDescent="0.25">
      <c r="A563">
        <v>311</v>
      </c>
      <c r="B563">
        <v>7.9985645999999999</v>
      </c>
      <c r="C563">
        <f t="shared" si="18"/>
        <v>1.3350412172424601E-2</v>
      </c>
      <c r="D563">
        <f t="shared" si="19"/>
        <v>14.894962865775241</v>
      </c>
    </row>
    <row r="564" spans="1:4" x14ac:dyDescent="0.25">
      <c r="A564">
        <v>312</v>
      </c>
      <c r="B564">
        <v>7.9986822999999996</v>
      </c>
      <c r="C564">
        <f t="shared" si="18"/>
        <v>1.33506086256123E-2</v>
      </c>
      <c r="D564">
        <f t="shared" si="19"/>
        <v>14.895166210156919</v>
      </c>
    </row>
    <row r="565" spans="1:4" x14ac:dyDescent="0.25">
      <c r="A565">
        <v>313</v>
      </c>
      <c r="B565">
        <v>7.9987959999999996</v>
      </c>
      <c r="C565">
        <f t="shared" si="18"/>
        <v>1.3350798402396001E-2</v>
      </c>
      <c r="D565">
        <f t="shared" si="19"/>
        <v>14.895362643516318</v>
      </c>
    </row>
    <row r="566" spans="1:4" x14ac:dyDescent="0.25">
      <c r="A566">
        <v>314</v>
      </c>
      <c r="B566">
        <v>7.9989058000000002</v>
      </c>
      <c r="C566">
        <f t="shared" si="18"/>
        <v>1.3350981669685801E-2</v>
      </c>
      <c r="D566">
        <f t="shared" si="19"/>
        <v>14.895552338661687</v>
      </c>
    </row>
    <row r="567" spans="1:4" x14ac:dyDescent="0.25">
      <c r="A567">
        <v>315</v>
      </c>
      <c r="B567">
        <v>7.9990117999999999</v>
      </c>
      <c r="C567">
        <f t="shared" si="18"/>
        <v>1.33511585943918E-2</v>
      </c>
      <c r="D567">
        <f t="shared" si="19"/>
        <v>14.895735468397842</v>
      </c>
    </row>
    <row r="568" spans="1:4" x14ac:dyDescent="0.25">
      <c r="A568">
        <v>316</v>
      </c>
      <c r="B568">
        <v>7.9991140999999999</v>
      </c>
      <c r="C568">
        <f t="shared" si="18"/>
        <v>1.33513293434241E-2</v>
      </c>
      <c r="D568">
        <f t="shared" si="19"/>
        <v>14.895912205526951</v>
      </c>
    </row>
    <row r="569" spans="1:4" x14ac:dyDescent="0.25">
      <c r="A569">
        <v>317</v>
      </c>
      <c r="B569">
        <v>7.9992125999999999</v>
      </c>
      <c r="C569">
        <f t="shared" si="18"/>
        <v>1.3351493749872601E-2</v>
      </c>
      <c r="D569">
        <f t="shared" si="19"/>
        <v>14.896082377322772</v>
      </c>
    </row>
    <row r="570" spans="1:4" x14ac:dyDescent="0.25">
      <c r="A570">
        <v>318</v>
      </c>
      <c r="B570">
        <v>7.9993075999999999</v>
      </c>
      <c r="C570">
        <f t="shared" si="18"/>
        <v>1.33516523144676E-2</v>
      </c>
      <c r="D570">
        <f t="shared" si="19"/>
        <v>14.896246502109356</v>
      </c>
    </row>
    <row r="571" spans="1:4" x14ac:dyDescent="0.25">
      <c r="A571">
        <v>319</v>
      </c>
      <c r="B571">
        <v>7.9993990999999998</v>
      </c>
      <c r="C571">
        <f t="shared" si="18"/>
        <v>1.33518050372091E-2</v>
      </c>
      <c r="D571">
        <f t="shared" si="19"/>
        <v>14.896404579919153</v>
      </c>
    </row>
    <row r="572" spans="1:4" x14ac:dyDescent="0.25">
      <c r="A572">
        <v>320</v>
      </c>
      <c r="B572">
        <v>7.9994870999999996</v>
      </c>
      <c r="C572">
        <f t="shared" si="18"/>
        <v>1.3351951918097101E-2</v>
      </c>
      <c r="D572">
        <f t="shared" si="19"/>
        <v>14.896556610782842</v>
      </c>
    </row>
    <row r="573" spans="1:4" x14ac:dyDescent="0.25">
      <c r="A573">
        <v>321</v>
      </c>
      <c r="B573">
        <v>7.9995718</v>
      </c>
      <c r="C573">
        <f t="shared" si="18"/>
        <v>1.3352093290951801E-2</v>
      </c>
      <c r="D573">
        <f t="shared" si="19"/>
        <v>14.896702940253871</v>
      </c>
    </row>
    <row r="574" spans="1:4" x14ac:dyDescent="0.25">
      <c r="A574">
        <v>322</v>
      </c>
      <c r="B574">
        <v>7.9996532</v>
      </c>
      <c r="C574">
        <f t="shared" si="18"/>
        <v>1.33522291557732E-2</v>
      </c>
      <c r="D574">
        <f t="shared" si="19"/>
        <v>14.896843568359452</v>
      </c>
    </row>
    <row r="575" spans="1:4" x14ac:dyDescent="0.25">
      <c r="A575">
        <v>323</v>
      </c>
      <c r="B575">
        <v>7.9997312999999997</v>
      </c>
      <c r="C575">
        <f t="shared" si="18"/>
        <v>1.33523595125613E-2</v>
      </c>
      <c r="D575">
        <f t="shared" si="19"/>
        <v>14.896978495125401</v>
      </c>
    </row>
    <row r="576" spans="1:4" x14ac:dyDescent="0.25">
      <c r="A576">
        <v>324</v>
      </c>
      <c r="B576">
        <v>7.9998063000000004</v>
      </c>
      <c r="C576">
        <f t="shared" si="18"/>
        <v>1.33524846951363E-2</v>
      </c>
      <c r="D576">
        <f t="shared" si="19"/>
        <v>14.897108066098818</v>
      </c>
    </row>
    <row r="577" spans="1:4" x14ac:dyDescent="0.25">
      <c r="A577">
        <v>325</v>
      </c>
      <c r="B577">
        <v>7.9998782000000004</v>
      </c>
      <c r="C577">
        <f t="shared" si="18"/>
        <v>1.3352604703498201E-2</v>
      </c>
      <c r="D577">
        <f t="shared" si="19"/>
        <v>14.897232281302353</v>
      </c>
    </row>
    <row r="578" spans="1:4" x14ac:dyDescent="0.25">
      <c r="A578">
        <v>326</v>
      </c>
      <c r="B578">
        <v>7.9999471</v>
      </c>
      <c r="C578">
        <f t="shared" si="18"/>
        <v>1.3352719704557101E-2</v>
      </c>
      <c r="D578">
        <f t="shared" si="19"/>
        <v>14.897351313518026</v>
      </c>
    </row>
    <row r="579" spans="1:4" x14ac:dyDescent="0.25">
      <c r="A579">
        <v>327</v>
      </c>
      <c r="B579">
        <v>8.0000131000000003</v>
      </c>
      <c r="C579">
        <f t="shared" si="18"/>
        <v>1.3352829865223102E-2</v>
      </c>
      <c r="D579">
        <f t="shared" si="19"/>
        <v>14.897465335526372</v>
      </c>
    </row>
    <row r="580" spans="1:4" x14ac:dyDescent="0.25">
      <c r="A580">
        <v>328</v>
      </c>
      <c r="B580">
        <v>8.0000762999999999</v>
      </c>
      <c r="C580">
        <f t="shared" si="18"/>
        <v>1.33529353524063E-2</v>
      </c>
      <c r="D580">
        <f t="shared" si="19"/>
        <v>14.897574520106115</v>
      </c>
    </row>
    <row r="581" spans="1:4" x14ac:dyDescent="0.25">
      <c r="A581">
        <v>329</v>
      </c>
      <c r="B581">
        <v>8.0001365999999994</v>
      </c>
      <c r="C581">
        <f t="shared" si="18"/>
        <v>1.33530359991966E-2</v>
      </c>
      <c r="D581">
        <f t="shared" si="19"/>
        <v>14.897678694514205</v>
      </c>
    </row>
    <row r="582" spans="1:4" x14ac:dyDescent="0.25">
      <c r="A582">
        <v>330</v>
      </c>
      <c r="B582">
        <v>8.0001943000000004</v>
      </c>
      <c r="C582">
        <f t="shared" si="18"/>
        <v>1.3353132306324301E-2</v>
      </c>
      <c r="D582">
        <f t="shared" si="19"/>
        <v>14.897778377047356</v>
      </c>
    </row>
    <row r="583" spans="1:4" x14ac:dyDescent="0.25">
      <c r="A583">
        <v>331</v>
      </c>
      <c r="B583">
        <v>8.0002493999999995</v>
      </c>
      <c r="C583">
        <f t="shared" ref="C583:C646" si="20">B583*$G$2</f>
        <v>1.3353224273789399E-2</v>
      </c>
      <c r="D583">
        <f t="shared" ref="D583:D646" si="21">100*(1-(1-C583)^12)</f>
        <v>14.897873567720021</v>
      </c>
    </row>
    <row r="584" spans="1:4" x14ac:dyDescent="0.25">
      <c r="A584">
        <v>332</v>
      </c>
      <c r="B584">
        <v>8.0003019000000002</v>
      </c>
      <c r="C584">
        <f t="shared" si="20"/>
        <v>1.3353311901591901E-2</v>
      </c>
      <c r="D584">
        <f t="shared" si="21"/>
        <v>14.897964266546071</v>
      </c>
    </row>
    <row r="585" spans="1:4" x14ac:dyDescent="0.25">
      <c r="A585">
        <v>333</v>
      </c>
      <c r="B585">
        <v>8.0003519000000001</v>
      </c>
      <c r="C585">
        <f t="shared" si="20"/>
        <v>1.3353395356641901E-2</v>
      </c>
      <c r="D585">
        <f t="shared" si="21"/>
        <v>14.898050646297934</v>
      </c>
    </row>
    <row r="586" spans="1:4" x14ac:dyDescent="0.25">
      <c r="A586">
        <v>334</v>
      </c>
      <c r="B586">
        <v>8.0003995000000003</v>
      </c>
      <c r="C586">
        <f t="shared" si="20"/>
        <v>1.3353474805849501E-2</v>
      </c>
      <c r="D586">
        <f t="shared" si="21"/>
        <v>14.898132879746983</v>
      </c>
    </row>
    <row r="587" spans="1:4" x14ac:dyDescent="0.25">
      <c r="A587">
        <v>335</v>
      </c>
      <c r="B587">
        <v>8.0004448000000004</v>
      </c>
      <c r="C587">
        <f t="shared" si="20"/>
        <v>1.3353550416124802E-2</v>
      </c>
      <c r="D587">
        <f t="shared" si="21"/>
        <v>14.898211139663564</v>
      </c>
    </row>
    <row r="588" spans="1:4" x14ac:dyDescent="0.25">
      <c r="A588">
        <v>336</v>
      </c>
      <c r="B588">
        <v>8.0004878999999995</v>
      </c>
      <c r="C588">
        <f t="shared" si="20"/>
        <v>1.3353622354377899E-2</v>
      </c>
      <c r="D588">
        <f t="shared" si="21"/>
        <v>14.898285598816397</v>
      </c>
    </row>
    <row r="589" spans="1:4" x14ac:dyDescent="0.25">
      <c r="A589">
        <v>337</v>
      </c>
      <c r="B589">
        <v>8.0005287000000003</v>
      </c>
      <c r="C589">
        <f t="shared" si="20"/>
        <v>1.3353690453698702E-2</v>
      </c>
      <c r="D589">
        <f t="shared" si="21"/>
        <v>14.898356084456088</v>
      </c>
    </row>
    <row r="590" spans="1:4" x14ac:dyDescent="0.25">
      <c r="A590">
        <v>338</v>
      </c>
      <c r="B590">
        <v>8.0005675000000007</v>
      </c>
      <c r="C590">
        <f t="shared" si="20"/>
        <v>1.3353755214817502E-2</v>
      </c>
      <c r="D590">
        <f t="shared" si="21"/>
        <v>14.898423114867597</v>
      </c>
    </row>
    <row r="591" spans="1:4" x14ac:dyDescent="0.25">
      <c r="A591">
        <v>339</v>
      </c>
      <c r="B591">
        <v>8.0006041999999997</v>
      </c>
      <c r="C591">
        <f t="shared" si="20"/>
        <v>1.33538164708242E-2</v>
      </c>
      <c r="D591">
        <f t="shared" si="21"/>
        <v>14.898486517300025</v>
      </c>
    </row>
    <row r="592" spans="1:4" x14ac:dyDescent="0.25">
      <c r="A592">
        <v>340</v>
      </c>
      <c r="B592">
        <v>8.0006389999999996</v>
      </c>
      <c r="C592">
        <f t="shared" si="20"/>
        <v>1.3353874555539E-2</v>
      </c>
      <c r="D592">
        <f t="shared" si="21"/>
        <v>14.898546637277654</v>
      </c>
    </row>
    <row r="593" spans="1:4" x14ac:dyDescent="0.25">
      <c r="A593">
        <v>341</v>
      </c>
      <c r="B593">
        <v>8.0006719000000004</v>
      </c>
      <c r="C593">
        <f t="shared" si="20"/>
        <v>1.3353929468961901E-2</v>
      </c>
      <c r="D593">
        <f t="shared" si="21"/>
        <v>14.898603474806771</v>
      </c>
    </row>
    <row r="594" spans="1:4" x14ac:dyDescent="0.25">
      <c r="A594">
        <v>342</v>
      </c>
      <c r="B594">
        <v>8.0007029999999997</v>
      </c>
      <c r="C594">
        <f t="shared" si="20"/>
        <v>1.3353981378003E-2</v>
      </c>
      <c r="D594">
        <f t="shared" si="21"/>
        <v>14.898657202652011</v>
      </c>
    </row>
    <row r="595" spans="1:4" x14ac:dyDescent="0.25">
      <c r="A595">
        <v>343</v>
      </c>
      <c r="B595">
        <v>8.0007324000000004</v>
      </c>
      <c r="C595">
        <f t="shared" si="20"/>
        <v>1.3354030449572401E-2</v>
      </c>
      <c r="D595">
        <f t="shared" si="21"/>
        <v>14.898707993576766</v>
      </c>
    </row>
    <row r="596" spans="1:4" x14ac:dyDescent="0.25">
      <c r="A596">
        <v>344</v>
      </c>
      <c r="B596">
        <v>8.0007601000000008</v>
      </c>
      <c r="C596">
        <f t="shared" si="20"/>
        <v>1.3354076683670103E-2</v>
      </c>
      <c r="D596">
        <f t="shared" si="21"/>
        <v>14.898755847585853</v>
      </c>
    </row>
    <row r="597" spans="1:4" x14ac:dyDescent="0.25">
      <c r="A597">
        <v>345</v>
      </c>
      <c r="B597">
        <v>8.0007862999999997</v>
      </c>
      <c r="C597">
        <f t="shared" si="20"/>
        <v>1.3354120414116301E-2</v>
      </c>
      <c r="D597">
        <f t="shared" si="21"/>
        <v>14.898801110199988</v>
      </c>
    </row>
    <row r="598" spans="1:4" x14ac:dyDescent="0.25">
      <c r="A598">
        <v>346</v>
      </c>
      <c r="B598">
        <v>8.0008108999999994</v>
      </c>
      <c r="C598">
        <f t="shared" si="20"/>
        <v>1.3354161474000899E-2</v>
      </c>
      <c r="D598">
        <f t="shared" si="21"/>
        <v>14.898843608664869</v>
      </c>
    </row>
    <row r="599" spans="1:4" x14ac:dyDescent="0.25">
      <c r="A599">
        <v>347</v>
      </c>
      <c r="B599">
        <v>8.0008341000000005</v>
      </c>
      <c r="C599">
        <f t="shared" si="20"/>
        <v>1.3354200197144101E-2</v>
      </c>
      <c r="D599">
        <f t="shared" si="21"/>
        <v>14.898883688500032</v>
      </c>
    </row>
    <row r="600" spans="1:4" x14ac:dyDescent="0.25">
      <c r="A600">
        <v>348</v>
      </c>
      <c r="B600">
        <v>8.0008558999999995</v>
      </c>
      <c r="C600">
        <f t="shared" si="20"/>
        <v>1.3354236583545899E-2</v>
      </c>
      <c r="D600">
        <f t="shared" si="21"/>
        <v>14.898921349708861</v>
      </c>
    </row>
    <row r="601" spans="1:4" x14ac:dyDescent="0.25">
      <c r="A601">
        <v>349</v>
      </c>
      <c r="B601">
        <v>8.0008765000000004</v>
      </c>
      <c r="C601">
        <f t="shared" si="20"/>
        <v>1.3354270967026502E-2</v>
      </c>
      <c r="D601">
        <f t="shared" si="21"/>
        <v>14.898956937809393</v>
      </c>
    </row>
    <row r="602" spans="1:4" x14ac:dyDescent="0.25">
      <c r="A602">
        <v>350</v>
      </c>
      <c r="B602">
        <v>8.0008958999999997</v>
      </c>
      <c r="C602">
        <f t="shared" si="20"/>
        <v>1.3354303347585901E-2</v>
      </c>
      <c r="D602">
        <f t="shared" si="21"/>
        <v>14.898990452804384</v>
      </c>
    </row>
    <row r="603" spans="1:4" x14ac:dyDescent="0.25">
      <c r="A603">
        <v>351</v>
      </c>
      <c r="B603">
        <v>8.0009140999999993</v>
      </c>
      <c r="C603">
        <f t="shared" si="20"/>
        <v>1.3354333725224099E-2</v>
      </c>
      <c r="D603">
        <f t="shared" si="21"/>
        <v>14.899021894695807</v>
      </c>
    </row>
    <row r="604" spans="1:4" x14ac:dyDescent="0.25">
      <c r="A604">
        <v>352</v>
      </c>
      <c r="B604">
        <v>8.0009312999999995</v>
      </c>
      <c r="C604">
        <f t="shared" si="20"/>
        <v>1.3354362433761299E-2</v>
      </c>
      <c r="D604">
        <f t="shared" si="21"/>
        <v>14.899051609001013</v>
      </c>
    </row>
    <row r="605" spans="1:4" x14ac:dyDescent="0.25">
      <c r="A605">
        <v>353</v>
      </c>
      <c r="B605">
        <v>8.0009475000000005</v>
      </c>
      <c r="C605">
        <f t="shared" si="20"/>
        <v>1.3354389473197502E-2</v>
      </c>
      <c r="D605">
        <f t="shared" si="21"/>
        <v>14.899079595721599</v>
      </c>
    </row>
    <row r="606" spans="1:4" x14ac:dyDescent="0.25">
      <c r="A606">
        <v>354</v>
      </c>
      <c r="B606">
        <v>8.0009627000000005</v>
      </c>
      <c r="C606">
        <f t="shared" si="20"/>
        <v>1.3354414843532702E-2</v>
      </c>
      <c r="D606">
        <f t="shared" si="21"/>
        <v>14.899105854859219</v>
      </c>
    </row>
    <row r="607" spans="1:4" x14ac:dyDescent="0.25">
      <c r="A607">
        <v>355</v>
      </c>
      <c r="B607">
        <v>8.0009771999999995</v>
      </c>
      <c r="C607">
        <f t="shared" si="20"/>
        <v>1.3354439045497201E-2</v>
      </c>
      <c r="D607">
        <f t="shared" si="21"/>
        <v>14.899130904687475</v>
      </c>
    </row>
    <row r="608" spans="1:4" x14ac:dyDescent="0.25">
      <c r="A608">
        <v>356</v>
      </c>
      <c r="B608">
        <v>8.0009908999999997</v>
      </c>
      <c r="C608">
        <f t="shared" si="20"/>
        <v>1.33544619121809E-2</v>
      </c>
      <c r="D608">
        <f t="shared" si="21"/>
        <v>14.899154572450124</v>
      </c>
    </row>
    <row r="609" spans="1:4" x14ac:dyDescent="0.25">
      <c r="A609">
        <v>357</v>
      </c>
      <c r="B609">
        <v>8.0010039000000006</v>
      </c>
      <c r="C609">
        <f t="shared" si="20"/>
        <v>1.3354483610493902E-2</v>
      </c>
      <c r="D609">
        <f t="shared" si="21"/>
        <v>14.899177030905363</v>
      </c>
    </row>
    <row r="610" spans="1:4" x14ac:dyDescent="0.25">
      <c r="A610">
        <v>358</v>
      </c>
      <c r="B610">
        <v>8.0010162999999999</v>
      </c>
      <c r="C610">
        <f t="shared" si="20"/>
        <v>1.3354504307346301E-2</v>
      </c>
      <c r="D610">
        <f t="shared" si="21"/>
        <v>14.899198452811502</v>
      </c>
    </row>
    <row r="611" spans="1:4" x14ac:dyDescent="0.25">
      <c r="A611">
        <v>359</v>
      </c>
      <c r="B611">
        <v>8.0010282000000004</v>
      </c>
      <c r="C611">
        <f t="shared" si="20"/>
        <v>1.3354524169648201E-2</v>
      </c>
      <c r="D611">
        <f t="shared" si="21"/>
        <v>14.899219010926457</v>
      </c>
    </row>
    <row r="612" spans="1:4" x14ac:dyDescent="0.25">
      <c r="A612">
        <v>360</v>
      </c>
      <c r="B612">
        <v>8.0010396000000004</v>
      </c>
      <c r="C612">
        <f t="shared" si="20"/>
        <v>1.3354543197399602E-2</v>
      </c>
      <c r="D612">
        <f t="shared" si="21"/>
        <v>14.899238705250795</v>
      </c>
    </row>
    <row r="613" spans="1:4" x14ac:dyDescent="0.25">
      <c r="A613">
        <v>361</v>
      </c>
      <c r="B613">
        <v>8.0010505999999992</v>
      </c>
      <c r="C613">
        <f t="shared" si="20"/>
        <v>1.3354561557510599E-2</v>
      </c>
      <c r="D613">
        <f t="shared" si="21"/>
        <v>14.899257708542191</v>
      </c>
    </row>
    <row r="614" spans="1:4" x14ac:dyDescent="0.25">
      <c r="A614">
        <v>362</v>
      </c>
      <c r="B614">
        <v>8.0010612999999999</v>
      </c>
      <c r="C614">
        <f t="shared" si="20"/>
        <v>1.3354579416891301E-2</v>
      </c>
      <c r="D614">
        <f t="shared" si="21"/>
        <v>14.899276193558341</v>
      </c>
    </row>
    <row r="615" spans="1:4" x14ac:dyDescent="0.25">
      <c r="A615">
        <v>363</v>
      </c>
      <c r="B615">
        <v>8.0010717000000007</v>
      </c>
      <c r="C615">
        <f t="shared" si="20"/>
        <v>1.3354596775541702E-2</v>
      </c>
      <c r="D615">
        <f t="shared" si="21"/>
        <v>14.899294160299469</v>
      </c>
    </row>
    <row r="616" spans="1:4" x14ac:dyDescent="0.25">
      <c r="A616">
        <v>364</v>
      </c>
      <c r="B616">
        <v>8.0010820999999996</v>
      </c>
      <c r="C616">
        <f t="shared" si="20"/>
        <v>1.3354614134192101E-2</v>
      </c>
      <c r="D616">
        <f t="shared" si="21"/>
        <v>14.899312127037145</v>
      </c>
    </row>
    <row r="617" spans="1:4" x14ac:dyDescent="0.25">
      <c r="A617">
        <v>365</v>
      </c>
      <c r="B617">
        <v>8.0010922999999998</v>
      </c>
      <c r="C617">
        <f t="shared" si="20"/>
        <v>1.3354631159022301E-2</v>
      </c>
      <c r="D617">
        <f t="shared" si="21"/>
        <v>14.899329748257106</v>
      </c>
    </row>
    <row r="618" spans="1:4" x14ac:dyDescent="0.25">
      <c r="A618">
        <v>366</v>
      </c>
      <c r="B618">
        <v>8.0011025</v>
      </c>
      <c r="C618">
        <f t="shared" si="20"/>
        <v>1.3354648183852501E-2</v>
      </c>
      <c r="D618">
        <f t="shared" si="21"/>
        <v>14.899347369473869</v>
      </c>
    </row>
    <row r="619" spans="1:4" x14ac:dyDescent="0.25">
      <c r="A619">
        <v>367</v>
      </c>
      <c r="B619">
        <v>8.0011127999999996</v>
      </c>
      <c r="C619">
        <f t="shared" si="20"/>
        <v>1.33546653755928E-2</v>
      </c>
      <c r="D619">
        <f t="shared" si="21"/>
        <v>14.899365163444278</v>
      </c>
    </row>
    <row r="620" spans="1:4" x14ac:dyDescent="0.25">
      <c r="A620">
        <v>368</v>
      </c>
      <c r="B620">
        <v>8.0011232000000003</v>
      </c>
      <c r="C620">
        <f t="shared" si="20"/>
        <v>1.3354682734243201E-2</v>
      </c>
      <c r="D620">
        <f t="shared" si="21"/>
        <v>14.899383130168186</v>
      </c>
    </row>
    <row r="621" spans="1:4" x14ac:dyDescent="0.25">
      <c r="A621">
        <v>369</v>
      </c>
      <c r="B621">
        <v>8.0011337999999999</v>
      </c>
      <c r="C621">
        <f t="shared" si="20"/>
        <v>1.33547004267138E-2</v>
      </c>
      <c r="D621">
        <f t="shared" si="21"/>
        <v>14.899401442402427</v>
      </c>
    </row>
    <row r="622" spans="1:4" x14ac:dyDescent="0.25">
      <c r="A622">
        <v>370</v>
      </c>
      <c r="B622">
        <v>8.0011446999999993</v>
      </c>
      <c r="C622">
        <f t="shared" si="20"/>
        <v>1.3354718619914699E-2</v>
      </c>
      <c r="D622">
        <f t="shared" si="21"/>
        <v>14.899420272903585</v>
      </c>
    </row>
    <row r="623" spans="1:4" x14ac:dyDescent="0.25">
      <c r="A623">
        <v>371</v>
      </c>
      <c r="B623">
        <v>8.0011559000000005</v>
      </c>
      <c r="C623">
        <f t="shared" si="20"/>
        <v>1.3354737313845901E-2</v>
      </c>
      <c r="D623">
        <f t="shared" si="21"/>
        <v>14.899439621671673</v>
      </c>
    </row>
    <row r="624" spans="1:4" x14ac:dyDescent="0.25">
      <c r="A624">
        <v>372</v>
      </c>
      <c r="B624">
        <v>8.0011671999999994</v>
      </c>
      <c r="C624">
        <f t="shared" si="20"/>
        <v>1.3354756174687199E-2</v>
      </c>
      <c r="D624">
        <f t="shared" si="21"/>
        <v>14.899459143192306</v>
      </c>
    </row>
    <row r="625" spans="1:4" x14ac:dyDescent="0.25">
      <c r="A625">
        <v>373</v>
      </c>
      <c r="B625">
        <v>8.0011785</v>
      </c>
      <c r="C625">
        <f t="shared" si="20"/>
        <v>1.3354775035528501E-2</v>
      </c>
      <c r="D625">
        <f t="shared" si="21"/>
        <v>14.899478664708976</v>
      </c>
    </row>
    <row r="626" spans="1:4" x14ac:dyDescent="0.25">
      <c r="A626">
        <v>374</v>
      </c>
      <c r="B626">
        <v>8.0011898000000006</v>
      </c>
      <c r="C626">
        <f t="shared" si="20"/>
        <v>1.3354793896369802E-2</v>
      </c>
      <c r="D626">
        <f t="shared" si="21"/>
        <v>14.899498186221516</v>
      </c>
    </row>
    <row r="627" spans="1:4" x14ac:dyDescent="0.25">
      <c r="A627">
        <v>375</v>
      </c>
      <c r="B627">
        <v>8.0012010999999994</v>
      </c>
      <c r="C627">
        <f t="shared" si="20"/>
        <v>1.33548127572111E-2</v>
      </c>
      <c r="D627">
        <f t="shared" si="21"/>
        <v>14.899517707729814</v>
      </c>
    </row>
    <row r="628" spans="1:4" x14ac:dyDescent="0.25">
      <c r="A628">
        <v>376</v>
      </c>
      <c r="B628">
        <v>8.0012124</v>
      </c>
      <c r="C628">
        <f t="shared" si="20"/>
        <v>1.33548316180524E-2</v>
      </c>
      <c r="D628">
        <f t="shared" si="21"/>
        <v>14.899537229234138</v>
      </c>
    </row>
    <row r="629" spans="1:4" x14ac:dyDescent="0.25">
      <c r="A629">
        <v>377</v>
      </c>
      <c r="B629">
        <v>8.0012235999999994</v>
      </c>
      <c r="C629">
        <f t="shared" si="20"/>
        <v>1.33548503119836E-2</v>
      </c>
      <c r="D629">
        <f t="shared" si="21"/>
        <v>14.899556577977746</v>
      </c>
    </row>
    <row r="630" spans="1:4" x14ac:dyDescent="0.25">
      <c r="A630">
        <v>378</v>
      </c>
      <c r="B630">
        <v>8.0012349</v>
      </c>
      <c r="C630">
        <f t="shared" si="20"/>
        <v>1.33548691728249E-2</v>
      </c>
      <c r="D630">
        <f t="shared" si="21"/>
        <v>14.899576099473888</v>
      </c>
    </row>
    <row r="631" spans="1:4" x14ac:dyDescent="0.25">
      <c r="A631">
        <v>379</v>
      </c>
      <c r="B631">
        <v>8.0012462000000006</v>
      </c>
      <c r="C631">
        <f t="shared" si="20"/>
        <v>1.3354888033666202E-2</v>
      </c>
      <c r="D631">
        <f t="shared" si="21"/>
        <v>14.899595620965966</v>
      </c>
    </row>
    <row r="632" spans="1:4" x14ac:dyDescent="0.25">
      <c r="A632">
        <v>380</v>
      </c>
      <c r="B632">
        <v>8.0012574999999995</v>
      </c>
      <c r="C632">
        <f t="shared" si="20"/>
        <v>1.3354906894507499E-2</v>
      </c>
      <c r="D632">
        <f t="shared" si="21"/>
        <v>14.89961514245377</v>
      </c>
    </row>
    <row r="633" spans="1:4" x14ac:dyDescent="0.25">
      <c r="A633">
        <v>381</v>
      </c>
      <c r="B633">
        <v>8.0012688000000001</v>
      </c>
      <c r="C633">
        <f t="shared" si="20"/>
        <v>1.3354925755348801E-2</v>
      </c>
      <c r="D633">
        <f t="shared" si="21"/>
        <v>14.899634663937611</v>
      </c>
    </row>
    <row r="634" spans="1:4" x14ac:dyDescent="0.25">
      <c r="A634">
        <v>382</v>
      </c>
      <c r="B634">
        <v>8.0012801000000007</v>
      </c>
      <c r="C634">
        <f t="shared" si="20"/>
        <v>1.3354944616190101E-2</v>
      </c>
      <c r="D634">
        <f t="shared" si="21"/>
        <v>14.899654185417377</v>
      </c>
    </row>
    <row r="635" spans="1:4" x14ac:dyDescent="0.25">
      <c r="A635">
        <v>383</v>
      </c>
      <c r="B635">
        <v>8.0012913999999995</v>
      </c>
      <c r="C635">
        <f t="shared" si="20"/>
        <v>1.33549634770314E-2</v>
      </c>
      <c r="D635">
        <f t="shared" si="21"/>
        <v>14.89967370689288</v>
      </c>
    </row>
    <row r="636" spans="1:4" x14ac:dyDescent="0.25">
      <c r="A636">
        <v>384</v>
      </c>
      <c r="B636">
        <v>8.0013026000000007</v>
      </c>
      <c r="C636">
        <f t="shared" si="20"/>
        <v>1.3354982170962601E-2</v>
      </c>
      <c r="D636">
        <f t="shared" si="21"/>
        <v>14.899693055608099</v>
      </c>
    </row>
    <row r="637" spans="1:4" x14ac:dyDescent="0.25">
      <c r="A637">
        <v>385</v>
      </c>
      <c r="B637">
        <v>8.0013138999999995</v>
      </c>
      <c r="C637">
        <f t="shared" si="20"/>
        <v>1.33550010318039E-2</v>
      </c>
      <c r="D637">
        <f t="shared" si="21"/>
        <v>14.899712577075475</v>
      </c>
    </row>
    <row r="638" spans="1:4" x14ac:dyDescent="0.25">
      <c r="A638">
        <v>386</v>
      </c>
      <c r="B638">
        <v>8.0013252000000001</v>
      </c>
      <c r="C638">
        <f t="shared" si="20"/>
        <v>1.3355019892645202E-2</v>
      </c>
      <c r="D638">
        <f t="shared" si="21"/>
        <v>14.899732098538843</v>
      </c>
    </row>
    <row r="639" spans="1:4" x14ac:dyDescent="0.25">
      <c r="A639">
        <v>387</v>
      </c>
      <c r="B639">
        <v>8.0013365000000007</v>
      </c>
      <c r="C639">
        <f t="shared" si="20"/>
        <v>1.3355038753486502E-2</v>
      </c>
      <c r="D639">
        <f t="shared" si="21"/>
        <v>14.899751619998058</v>
      </c>
    </row>
    <row r="640" spans="1:4" x14ac:dyDescent="0.25">
      <c r="A640">
        <v>388</v>
      </c>
      <c r="B640">
        <v>8.0013477999999996</v>
      </c>
      <c r="C640">
        <f t="shared" si="20"/>
        <v>1.33550576143278E-2</v>
      </c>
      <c r="D640">
        <f t="shared" si="21"/>
        <v>14.899771141453133</v>
      </c>
    </row>
    <row r="641" spans="1:4" x14ac:dyDescent="0.25">
      <c r="A641">
        <v>389</v>
      </c>
      <c r="B641">
        <v>8.0013591000000002</v>
      </c>
      <c r="C641">
        <f t="shared" si="20"/>
        <v>1.3355076475169101E-2</v>
      </c>
      <c r="D641">
        <f t="shared" si="21"/>
        <v>14.899790662904133</v>
      </c>
    </row>
    <row r="642" spans="1:4" x14ac:dyDescent="0.25">
      <c r="A642">
        <v>390</v>
      </c>
      <c r="B642">
        <v>8.0013704000000008</v>
      </c>
      <c r="C642">
        <f t="shared" si="20"/>
        <v>1.3355095336010403E-2</v>
      </c>
      <c r="D642">
        <f t="shared" si="21"/>
        <v>14.899810184351104</v>
      </c>
    </row>
    <row r="643" spans="1:4" x14ac:dyDescent="0.25">
      <c r="A643">
        <v>391</v>
      </c>
      <c r="B643">
        <v>8.0013816999999996</v>
      </c>
      <c r="C643">
        <f t="shared" si="20"/>
        <v>1.3355114196851699E-2</v>
      </c>
      <c r="D643">
        <f t="shared" si="21"/>
        <v>14.899829705793843</v>
      </c>
    </row>
    <row r="644" spans="1:4" x14ac:dyDescent="0.25">
      <c r="A644">
        <v>392</v>
      </c>
      <c r="B644">
        <v>8.0013929000000008</v>
      </c>
      <c r="C644">
        <f t="shared" si="20"/>
        <v>1.3355132890782903E-2</v>
      </c>
      <c r="D644">
        <f t="shared" si="21"/>
        <v>14.899849054476533</v>
      </c>
    </row>
    <row r="645" spans="1:4" x14ac:dyDescent="0.25">
      <c r="A645">
        <v>393</v>
      </c>
      <c r="B645">
        <v>8.0014041999999996</v>
      </c>
      <c r="C645">
        <f t="shared" si="20"/>
        <v>1.33551517516242E-2</v>
      </c>
      <c r="D645">
        <f t="shared" si="21"/>
        <v>14.899868575911057</v>
      </c>
    </row>
    <row r="646" spans="1:4" x14ac:dyDescent="0.25">
      <c r="A646">
        <v>394</v>
      </c>
      <c r="B646">
        <v>8.0014155000000002</v>
      </c>
      <c r="C646">
        <f t="shared" si="20"/>
        <v>1.3355170612465501E-2</v>
      </c>
      <c r="D646">
        <f t="shared" si="21"/>
        <v>14.899888097341618</v>
      </c>
    </row>
    <row r="647" spans="1:4" x14ac:dyDescent="0.25">
      <c r="A647">
        <v>395</v>
      </c>
      <c r="B647">
        <v>8.0014268000000008</v>
      </c>
      <c r="C647">
        <f t="shared" ref="C647:C702" si="22">B647*$G$2</f>
        <v>1.3355189473306802E-2</v>
      </c>
      <c r="D647">
        <f t="shared" ref="D647:D702" si="23">100*(1-(1-C647)^12)</f>
        <v>14.899907618768104</v>
      </c>
    </row>
    <row r="648" spans="1:4" x14ac:dyDescent="0.25">
      <c r="A648">
        <v>396</v>
      </c>
      <c r="B648">
        <v>8.0014380999999997</v>
      </c>
      <c r="C648">
        <f t="shared" si="22"/>
        <v>1.33552083341481E-2</v>
      </c>
      <c r="D648">
        <f t="shared" si="23"/>
        <v>14.899927140190339</v>
      </c>
    </row>
    <row r="649" spans="1:4" x14ac:dyDescent="0.25">
      <c r="A649">
        <v>397</v>
      </c>
      <c r="B649">
        <v>8.0014494000000003</v>
      </c>
      <c r="C649">
        <f t="shared" si="22"/>
        <v>1.33552271949894E-2</v>
      </c>
      <c r="D649">
        <f t="shared" si="23"/>
        <v>14.899946661608542</v>
      </c>
    </row>
    <row r="650" spans="1:4" x14ac:dyDescent="0.25">
      <c r="A650">
        <v>398</v>
      </c>
      <c r="B650">
        <v>8.0014607000000009</v>
      </c>
      <c r="C650">
        <f t="shared" si="22"/>
        <v>1.3355246055830702E-2</v>
      </c>
      <c r="D650">
        <f t="shared" si="23"/>
        <v>14.899966183022695</v>
      </c>
    </row>
    <row r="651" spans="1:4" x14ac:dyDescent="0.25">
      <c r="A651">
        <v>399</v>
      </c>
      <c r="B651">
        <v>8.0014719999999997</v>
      </c>
      <c r="C651">
        <f t="shared" si="22"/>
        <v>1.3355264916672001E-2</v>
      </c>
      <c r="D651">
        <f t="shared" si="23"/>
        <v>14.899985704432739</v>
      </c>
    </row>
    <row r="652" spans="1:4" x14ac:dyDescent="0.25">
      <c r="A652">
        <v>400</v>
      </c>
      <c r="B652">
        <v>8.0014831999999991</v>
      </c>
      <c r="C652">
        <f t="shared" si="22"/>
        <v>1.3355283610603199E-2</v>
      </c>
      <c r="D652">
        <f t="shared" si="23"/>
        <v>14.900005053082822</v>
      </c>
    </row>
    <row r="653" spans="1:4" x14ac:dyDescent="0.25">
      <c r="A653">
        <v>401</v>
      </c>
      <c r="B653">
        <v>8.0014944999999997</v>
      </c>
      <c r="C653">
        <f t="shared" si="22"/>
        <v>1.3355302471444501E-2</v>
      </c>
      <c r="D653">
        <f t="shared" si="23"/>
        <v>14.900024574484561</v>
      </c>
    </row>
    <row r="654" spans="1:4" x14ac:dyDescent="0.25">
      <c r="A654">
        <v>402</v>
      </c>
      <c r="B654">
        <v>8.0015058000000003</v>
      </c>
      <c r="C654">
        <f t="shared" si="22"/>
        <v>1.3355321332285801E-2</v>
      </c>
      <c r="D654">
        <f t="shared" si="23"/>
        <v>14.900044095882359</v>
      </c>
    </row>
    <row r="655" spans="1:4" x14ac:dyDescent="0.25">
      <c r="A655">
        <v>403</v>
      </c>
      <c r="B655">
        <v>8.0015170999999992</v>
      </c>
      <c r="C655">
        <f t="shared" si="22"/>
        <v>1.33553401931271E-2</v>
      </c>
      <c r="D655">
        <f t="shared" si="23"/>
        <v>14.900063617275983</v>
      </c>
    </row>
    <row r="656" spans="1:4" x14ac:dyDescent="0.25">
      <c r="A656">
        <v>404</v>
      </c>
      <c r="B656">
        <v>8.0015283999999998</v>
      </c>
      <c r="C656">
        <f t="shared" si="22"/>
        <v>1.33553590539684E-2</v>
      </c>
      <c r="D656">
        <f t="shared" si="23"/>
        <v>14.900083138665533</v>
      </c>
    </row>
    <row r="657" spans="1:4" x14ac:dyDescent="0.25">
      <c r="A657">
        <v>405</v>
      </c>
      <c r="B657">
        <v>8.0015397000000004</v>
      </c>
      <c r="C657">
        <f t="shared" si="22"/>
        <v>1.3355377914809702E-2</v>
      </c>
      <c r="D657">
        <f t="shared" si="23"/>
        <v>14.900102660050852</v>
      </c>
    </row>
    <row r="658" spans="1:4" x14ac:dyDescent="0.25">
      <c r="A658">
        <v>406</v>
      </c>
      <c r="B658">
        <v>8.0015509999999992</v>
      </c>
      <c r="C658">
        <f t="shared" si="22"/>
        <v>1.3355396775650999E-2</v>
      </c>
      <c r="D658">
        <f t="shared" si="23"/>
        <v>14.900122181432195</v>
      </c>
    </row>
    <row r="659" spans="1:4" x14ac:dyDescent="0.25">
      <c r="A659">
        <v>407</v>
      </c>
      <c r="B659">
        <v>8.0015622999999998</v>
      </c>
      <c r="C659">
        <f t="shared" si="22"/>
        <v>1.3355415636492301E-2</v>
      </c>
      <c r="D659">
        <f t="shared" si="23"/>
        <v>14.900141702809389</v>
      </c>
    </row>
    <row r="660" spans="1:4" x14ac:dyDescent="0.25">
      <c r="A660">
        <v>408</v>
      </c>
      <c r="B660">
        <v>8.0015734999999992</v>
      </c>
      <c r="C660">
        <f t="shared" si="22"/>
        <v>1.3355434330423499E-2</v>
      </c>
      <c r="D660">
        <f t="shared" si="23"/>
        <v>14.900161051426963</v>
      </c>
    </row>
    <row r="661" spans="1:4" x14ac:dyDescent="0.25">
      <c r="A661">
        <v>409</v>
      </c>
      <c r="B661">
        <v>8.0015847999999998</v>
      </c>
      <c r="C661">
        <f t="shared" si="22"/>
        <v>1.3355453191264801E-2</v>
      </c>
      <c r="D661">
        <f t="shared" si="23"/>
        <v>14.900180572796028</v>
      </c>
    </row>
    <row r="662" spans="1:4" x14ac:dyDescent="0.25">
      <c r="A662">
        <v>410</v>
      </c>
      <c r="B662">
        <v>8.0015961000000004</v>
      </c>
      <c r="C662">
        <f t="shared" si="22"/>
        <v>1.3355472052106101E-2</v>
      </c>
      <c r="D662">
        <f t="shared" si="23"/>
        <v>14.900200094160876</v>
      </c>
    </row>
    <row r="663" spans="1:4" x14ac:dyDescent="0.25">
      <c r="A663">
        <v>411</v>
      </c>
      <c r="B663">
        <v>8.0016073999999993</v>
      </c>
      <c r="C663">
        <f t="shared" si="22"/>
        <v>1.3355490912947399E-2</v>
      </c>
      <c r="D663">
        <f t="shared" si="23"/>
        <v>14.900219615521737</v>
      </c>
    </row>
    <row r="664" spans="1:4" x14ac:dyDescent="0.25">
      <c r="A664">
        <v>412</v>
      </c>
      <c r="B664">
        <v>8.0016186999999999</v>
      </c>
      <c r="C664">
        <f t="shared" si="22"/>
        <v>1.3355509773788701E-2</v>
      </c>
      <c r="D664">
        <f t="shared" si="23"/>
        <v>14.900239136878458</v>
      </c>
    </row>
    <row r="665" spans="1:4" x14ac:dyDescent="0.25">
      <c r="A665">
        <v>413</v>
      </c>
      <c r="B665">
        <v>8.0016300000000005</v>
      </c>
      <c r="C665">
        <f t="shared" si="22"/>
        <v>1.3355528634630002E-2</v>
      </c>
      <c r="D665">
        <f t="shared" si="23"/>
        <v>14.900258658230969</v>
      </c>
    </row>
    <row r="666" spans="1:4" x14ac:dyDescent="0.25">
      <c r="A666">
        <v>414</v>
      </c>
      <c r="B666">
        <v>8.0016412999999993</v>
      </c>
      <c r="C666">
        <f t="shared" si="22"/>
        <v>1.33555474954713E-2</v>
      </c>
      <c r="D666">
        <f t="shared" si="23"/>
        <v>14.900278179579518</v>
      </c>
    </row>
    <row r="667" spans="1:4" x14ac:dyDescent="0.25">
      <c r="A667">
        <v>415</v>
      </c>
      <c r="B667">
        <v>8.0016525000000005</v>
      </c>
      <c r="C667">
        <f t="shared" si="22"/>
        <v>1.3355566189402502E-2</v>
      </c>
      <c r="D667">
        <f t="shared" si="23"/>
        <v>14.900297528168661</v>
      </c>
    </row>
    <row r="668" spans="1:4" x14ac:dyDescent="0.25">
      <c r="A668">
        <v>416</v>
      </c>
      <c r="B668">
        <v>8.0016637999999993</v>
      </c>
      <c r="C668">
        <f t="shared" si="22"/>
        <v>1.33555850502438E-2</v>
      </c>
      <c r="D668">
        <f t="shared" si="23"/>
        <v>14.900317049509015</v>
      </c>
    </row>
    <row r="669" spans="1:4" x14ac:dyDescent="0.25">
      <c r="A669">
        <v>417</v>
      </c>
      <c r="B669">
        <v>8.0016750999999999</v>
      </c>
      <c r="C669">
        <f t="shared" si="22"/>
        <v>1.33556039110851E-2</v>
      </c>
      <c r="D669">
        <f t="shared" si="23"/>
        <v>14.90033657084523</v>
      </c>
    </row>
    <row r="670" spans="1:4" x14ac:dyDescent="0.25">
      <c r="A670">
        <v>418</v>
      </c>
      <c r="B670">
        <v>8.0016864000000005</v>
      </c>
      <c r="C670">
        <f t="shared" si="22"/>
        <v>1.3355622771926402E-2</v>
      </c>
      <c r="D670">
        <f t="shared" si="23"/>
        <v>14.900356092177303</v>
      </c>
    </row>
    <row r="671" spans="1:4" x14ac:dyDescent="0.25">
      <c r="A671">
        <v>419</v>
      </c>
      <c r="B671">
        <v>8.0016976999999994</v>
      </c>
      <c r="C671">
        <f t="shared" si="22"/>
        <v>1.3355641632767699E-2</v>
      </c>
      <c r="D671">
        <f t="shared" si="23"/>
        <v>14.900375613505323</v>
      </c>
    </row>
    <row r="672" spans="1:4" x14ac:dyDescent="0.25">
      <c r="A672">
        <v>420</v>
      </c>
      <c r="B672">
        <v>8.001709</v>
      </c>
      <c r="C672">
        <f t="shared" si="22"/>
        <v>1.3355660493609001E-2</v>
      </c>
      <c r="D672">
        <f t="shared" si="23"/>
        <v>14.900395134829282</v>
      </c>
    </row>
    <row r="673" spans="1:4" x14ac:dyDescent="0.25">
      <c r="A673">
        <v>421</v>
      </c>
      <c r="B673">
        <v>8.0017203000000006</v>
      </c>
      <c r="C673">
        <f t="shared" si="22"/>
        <v>1.3355679354450301E-2</v>
      </c>
      <c r="D673">
        <f t="shared" si="23"/>
        <v>14.900414656148996</v>
      </c>
    </row>
    <row r="674" spans="1:4" x14ac:dyDescent="0.25">
      <c r="A674">
        <v>422</v>
      </c>
      <c r="B674">
        <v>8.0017315999999994</v>
      </c>
      <c r="C674">
        <f t="shared" si="22"/>
        <v>1.33556982152916E-2</v>
      </c>
      <c r="D674">
        <f t="shared" si="23"/>
        <v>14.900434177464717</v>
      </c>
    </row>
    <row r="675" spans="1:4" x14ac:dyDescent="0.25">
      <c r="A675">
        <v>423</v>
      </c>
      <c r="B675">
        <v>8.0017428000000006</v>
      </c>
      <c r="C675">
        <f t="shared" si="22"/>
        <v>1.3355716909222801E-2</v>
      </c>
      <c r="D675">
        <f t="shared" si="23"/>
        <v>14.900453526021318</v>
      </c>
    </row>
    <row r="676" spans="1:4" x14ac:dyDescent="0.25">
      <c r="A676">
        <v>424</v>
      </c>
      <c r="B676">
        <v>8.0017540999999994</v>
      </c>
      <c r="C676">
        <f t="shared" si="22"/>
        <v>1.33557357700641E-2</v>
      </c>
      <c r="D676">
        <f t="shared" si="23"/>
        <v>14.90047304732891</v>
      </c>
    </row>
    <row r="677" spans="1:4" x14ac:dyDescent="0.25">
      <c r="A677">
        <v>425</v>
      </c>
      <c r="B677">
        <v>8.0017654</v>
      </c>
      <c r="C677">
        <f t="shared" si="22"/>
        <v>1.33557546309054E-2</v>
      </c>
      <c r="D677">
        <f t="shared" si="23"/>
        <v>14.900492568632318</v>
      </c>
    </row>
    <row r="678" spans="1:4" x14ac:dyDescent="0.25">
      <c r="A678">
        <v>426</v>
      </c>
      <c r="B678">
        <v>8.0017767000000006</v>
      </c>
      <c r="C678">
        <f t="shared" si="22"/>
        <v>1.3355773491746702E-2</v>
      </c>
      <c r="D678">
        <f t="shared" si="23"/>
        <v>14.900512089931572</v>
      </c>
    </row>
    <row r="679" spans="1:4" x14ac:dyDescent="0.25">
      <c r="A679">
        <v>427</v>
      </c>
      <c r="B679">
        <v>8.0017879999999995</v>
      </c>
      <c r="C679">
        <f t="shared" si="22"/>
        <v>1.3355792352588E-2</v>
      </c>
      <c r="D679">
        <f t="shared" si="23"/>
        <v>14.900531611226819</v>
      </c>
    </row>
    <row r="680" spans="1:4" x14ac:dyDescent="0.25">
      <c r="A680">
        <v>428</v>
      </c>
      <c r="B680">
        <v>8.0017993000000001</v>
      </c>
      <c r="C680">
        <f t="shared" si="22"/>
        <v>1.3355811213429301E-2</v>
      </c>
      <c r="D680">
        <f t="shared" si="23"/>
        <v>14.900551132517947</v>
      </c>
    </row>
    <row r="681" spans="1:4" x14ac:dyDescent="0.25">
      <c r="A681">
        <v>429</v>
      </c>
      <c r="B681">
        <v>8.0018106000000007</v>
      </c>
      <c r="C681">
        <f t="shared" si="22"/>
        <v>1.3355830074270603E-2</v>
      </c>
      <c r="D681">
        <f t="shared" si="23"/>
        <v>14.900570653805012</v>
      </c>
    </row>
    <row r="682" spans="1:4" x14ac:dyDescent="0.25">
      <c r="A682">
        <v>430</v>
      </c>
      <c r="B682">
        <v>8.0018218999999995</v>
      </c>
      <c r="C682">
        <f t="shared" si="22"/>
        <v>1.3355848935111899E-2</v>
      </c>
      <c r="D682">
        <f t="shared" si="23"/>
        <v>14.90059017508778</v>
      </c>
    </row>
    <row r="683" spans="1:4" x14ac:dyDescent="0.25">
      <c r="A683">
        <v>431</v>
      </c>
      <c r="B683">
        <v>8.0018331000000007</v>
      </c>
      <c r="C683">
        <f t="shared" si="22"/>
        <v>1.3355867629043103E-2</v>
      </c>
      <c r="D683">
        <f t="shared" si="23"/>
        <v>14.900609523611896</v>
      </c>
    </row>
    <row r="684" spans="1:4" x14ac:dyDescent="0.25">
      <c r="A684">
        <v>432</v>
      </c>
      <c r="B684">
        <v>8.0018443999999995</v>
      </c>
      <c r="C684">
        <f t="shared" si="22"/>
        <v>1.33558864898844E-2</v>
      </c>
      <c r="D684">
        <f t="shared" si="23"/>
        <v>14.900629044886649</v>
      </c>
    </row>
    <row r="685" spans="1:4" x14ac:dyDescent="0.25">
      <c r="A685">
        <v>433</v>
      </c>
      <c r="B685">
        <v>8.0018557000000001</v>
      </c>
      <c r="C685">
        <f t="shared" si="22"/>
        <v>1.3355905350725701E-2</v>
      </c>
      <c r="D685">
        <f t="shared" si="23"/>
        <v>14.900648566157326</v>
      </c>
    </row>
    <row r="686" spans="1:4" x14ac:dyDescent="0.25">
      <c r="A686">
        <v>434</v>
      </c>
      <c r="B686">
        <v>8.0018670000000007</v>
      </c>
      <c r="C686">
        <f t="shared" si="22"/>
        <v>1.3355924211567002E-2</v>
      </c>
      <c r="D686">
        <f t="shared" si="23"/>
        <v>14.900668087423741</v>
      </c>
    </row>
    <row r="687" spans="1:4" x14ac:dyDescent="0.25">
      <c r="A687">
        <v>435</v>
      </c>
      <c r="B687">
        <v>8.0018782999999996</v>
      </c>
      <c r="C687">
        <f t="shared" si="22"/>
        <v>1.33559430724083E-2</v>
      </c>
      <c r="D687">
        <f t="shared" si="23"/>
        <v>14.900687608686159</v>
      </c>
    </row>
    <row r="688" spans="1:4" x14ac:dyDescent="0.25">
      <c r="A688">
        <v>436</v>
      </c>
      <c r="B688">
        <v>8.0018896000000002</v>
      </c>
      <c r="C688">
        <f t="shared" si="22"/>
        <v>1.33559619332496E-2</v>
      </c>
      <c r="D688">
        <f t="shared" si="23"/>
        <v>14.90070712994449</v>
      </c>
    </row>
    <row r="689" spans="1:4" x14ac:dyDescent="0.25">
      <c r="A689">
        <v>437</v>
      </c>
      <c r="B689">
        <v>8.0019009000000008</v>
      </c>
      <c r="C689">
        <f t="shared" si="22"/>
        <v>1.3355980794090902E-2</v>
      </c>
      <c r="D689">
        <f t="shared" si="23"/>
        <v>14.900726651198692</v>
      </c>
    </row>
    <row r="690" spans="1:4" x14ac:dyDescent="0.25">
      <c r="A690">
        <v>438</v>
      </c>
      <c r="B690">
        <v>8.0019121000000002</v>
      </c>
      <c r="C690">
        <f t="shared" si="22"/>
        <v>1.3355999488022101E-2</v>
      </c>
      <c r="D690">
        <f t="shared" si="23"/>
        <v>14.900745999694376</v>
      </c>
    </row>
    <row r="691" spans="1:4" x14ac:dyDescent="0.25">
      <c r="A691">
        <v>439</v>
      </c>
      <c r="B691">
        <v>8.0019234000000008</v>
      </c>
      <c r="C691">
        <f t="shared" si="22"/>
        <v>1.3356018348863402E-2</v>
      </c>
      <c r="D691">
        <f t="shared" si="23"/>
        <v>14.90076552094034</v>
      </c>
    </row>
    <row r="692" spans="1:4" x14ac:dyDescent="0.25">
      <c r="A692">
        <v>440</v>
      </c>
      <c r="B692">
        <v>8.0019346999999996</v>
      </c>
      <c r="C692">
        <f t="shared" si="22"/>
        <v>1.3356037209704701E-2</v>
      </c>
      <c r="D692">
        <f t="shared" si="23"/>
        <v>14.900785042182275</v>
      </c>
    </row>
    <row r="693" spans="1:4" x14ac:dyDescent="0.25">
      <c r="A693">
        <v>441</v>
      </c>
      <c r="B693">
        <v>8.0019460000000002</v>
      </c>
      <c r="C693">
        <f t="shared" si="22"/>
        <v>1.3356056070546001E-2</v>
      </c>
      <c r="D693">
        <f t="shared" si="23"/>
        <v>14.900804563420101</v>
      </c>
    </row>
    <row r="694" spans="1:4" x14ac:dyDescent="0.25">
      <c r="A694">
        <v>442</v>
      </c>
      <c r="B694">
        <v>8.0019573000000008</v>
      </c>
      <c r="C694">
        <f t="shared" si="22"/>
        <v>1.3356074931387301E-2</v>
      </c>
      <c r="D694">
        <f t="shared" si="23"/>
        <v>14.900824084653873</v>
      </c>
    </row>
    <row r="695" spans="1:4" x14ac:dyDescent="0.25">
      <c r="A695">
        <v>443</v>
      </c>
      <c r="B695">
        <v>8.0019685999999997</v>
      </c>
      <c r="C695">
        <f t="shared" si="22"/>
        <v>1.33560937922286E-2</v>
      </c>
      <c r="D695">
        <f t="shared" si="23"/>
        <v>14.900843605883374</v>
      </c>
    </row>
    <row r="696" spans="1:4" x14ac:dyDescent="0.25">
      <c r="A696">
        <v>444</v>
      </c>
      <c r="B696">
        <v>8.0019799000000003</v>
      </c>
      <c r="C696">
        <f t="shared" si="22"/>
        <v>1.3356112653069902E-2</v>
      </c>
      <c r="D696">
        <f t="shared" si="23"/>
        <v>14.900863127108932</v>
      </c>
    </row>
    <row r="697" spans="1:4" x14ac:dyDescent="0.25">
      <c r="A697">
        <v>445</v>
      </c>
      <c r="B697">
        <v>8.0019912000000009</v>
      </c>
      <c r="C697">
        <f t="shared" si="22"/>
        <v>1.3356131513911202E-2</v>
      </c>
      <c r="D697">
        <f t="shared" si="23"/>
        <v>14.900882648330338</v>
      </c>
    </row>
    <row r="698" spans="1:4" x14ac:dyDescent="0.25">
      <c r="A698">
        <v>446</v>
      </c>
      <c r="B698">
        <v>8.0020024000000003</v>
      </c>
      <c r="C698">
        <f t="shared" si="22"/>
        <v>1.3356150207842402E-2</v>
      </c>
      <c r="D698">
        <f t="shared" si="23"/>
        <v>14.900901996793491</v>
      </c>
    </row>
    <row r="699" spans="1:4" x14ac:dyDescent="0.25">
      <c r="A699">
        <v>447</v>
      </c>
      <c r="B699">
        <v>8.0020136999999991</v>
      </c>
      <c r="C699">
        <f t="shared" si="22"/>
        <v>1.3356169068683699E-2</v>
      </c>
      <c r="D699">
        <f t="shared" si="23"/>
        <v>14.900921518006649</v>
      </c>
    </row>
    <row r="700" spans="1:4" x14ac:dyDescent="0.25">
      <c r="A700">
        <v>448</v>
      </c>
      <c r="B700">
        <v>8.0020249999999997</v>
      </c>
      <c r="C700">
        <f t="shared" si="22"/>
        <v>1.3356187929525001E-2</v>
      </c>
      <c r="D700">
        <f t="shared" si="23"/>
        <v>14.900941039215777</v>
      </c>
    </row>
    <row r="701" spans="1:4" x14ac:dyDescent="0.25">
      <c r="A701">
        <v>449</v>
      </c>
      <c r="B701">
        <v>8.0020363000000003</v>
      </c>
      <c r="C701">
        <f t="shared" si="22"/>
        <v>1.3356206790366301E-2</v>
      </c>
      <c r="D701">
        <f t="shared" si="23"/>
        <v>14.900960560420796</v>
      </c>
    </row>
    <row r="702" spans="1:4" x14ac:dyDescent="0.25">
      <c r="A702">
        <v>450</v>
      </c>
      <c r="B702">
        <v>8.0020475999999992</v>
      </c>
      <c r="C702">
        <f t="shared" si="22"/>
        <v>1.3356225651207599E-2</v>
      </c>
      <c r="D702">
        <f t="shared" si="23"/>
        <v>14.900980081621762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3"/>
  <sheetViews>
    <sheetView tabSelected="1" workbookViewId="0">
      <selection activeCell="P34" sqref="P34"/>
    </sheetView>
  </sheetViews>
  <sheetFormatPr defaultRowHeight="15" x14ac:dyDescent="0.25"/>
  <cols>
    <col min="2" max="2" width="15.28515625" bestFit="1" customWidth="1"/>
    <col min="4" max="4" width="25" bestFit="1" customWidth="1"/>
    <col min="10" max="10" width="15.7109375" bestFit="1" customWidth="1"/>
    <col min="11" max="12" width="9.5703125" bestFit="1" customWidth="1"/>
  </cols>
  <sheetData>
    <row r="1" spans="1:14" x14ac:dyDescent="0.25">
      <c r="K1" s="5" t="s">
        <v>1</v>
      </c>
      <c r="L1" s="5"/>
      <c r="M1" s="5" t="s">
        <v>0</v>
      </c>
      <c r="N1" s="5"/>
    </row>
    <row r="2" spans="1:14" x14ac:dyDescent="0.25">
      <c r="A2" s="4"/>
      <c r="B2" s="4" t="s">
        <v>9</v>
      </c>
      <c r="D2" t="s">
        <v>7</v>
      </c>
      <c r="E2">
        <v>40</v>
      </c>
      <c r="F2">
        <v>70</v>
      </c>
      <c r="I2" s="4"/>
      <c r="J2" s="4" t="str">
        <f>'S-Curve'!C1</f>
        <v>Incentive SMM</v>
      </c>
      <c r="K2" s="4" t="s">
        <v>10</v>
      </c>
      <c r="L2" s="4" t="s">
        <v>11</v>
      </c>
      <c r="M2" s="4" t="s">
        <v>10</v>
      </c>
      <c r="N2" s="4" t="s">
        <v>11</v>
      </c>
    </row>
    <row r="3" spans="1:14" x14ac:dyDescent="0.25">
      <c r="A3">
        <v>0</v>
      </c>
      <c r="B3">
        <v>1.415276</v>
      </c>
      <c r="D3" t="s">
        <v>8</v>
      </c>
      <c r="E3" s="1">
        <f>VLOOKUP(E2,A:B,2,0)</f>
        <v>2.3872490000000002</v>
      </c>
      <c r="F3">
        <f>VLOOKUP(F2,A:B,2,0)</f>
        <v>4.926412</v>
      </c>
      <c r="I3">
        <f>'S-Curve'!A2</f>
        <v>-250</v>
      </c>
      <c r="J3" s="2">
        <f>'S-Curve'!C2</f>
        <v>2.7302252843459999E-4</v>
      </c>
      <c r="K3" s="3">
        <f>J3*$E$3</f>
        <v>6.5177275798297045E-4</v>
      </c>
      <c r="L3" s="3">
        <f>J3*$F$3</f>
        <v>1.3450214603505546E-3</v>
      </c>
      <c r="M3">
        <f>100*(1-(1-K3)^12)</f>
        <v>0.77932966096928569</v>
      </c>
      <c r="N3">
        <f>100*(1-(1-L3)^12)</f>
        <v>1.6021391763680559</v>
      </c>
    </row>
    <row r="4" spans="1:14" x14ac:dyDescent="0.25">
      <c r="A4">
        <v>1</v>
      </c>
      <c r="B4">
        <v>1.4153070000000001</v>
      </c>
      <c r="I4">
        <f>'S-Curve'!A3</f>
        <v>-249</v>
      </c>
      <c r="J4" s="2">
        <f>'S-Curve'!C3</f>
        <v>2.7302352989520004E-4</v>
      </c>
      <c r="K4" s="3">
        <f t="shared" ref="K4:K67" si="0">J4*$E$3</f>
        <v>6.5177514871878647E-4</v>
      </c>
      <c r="L4" s="3">
        <f t="shared" ref="L4:L67" si="1">J4*$F$3</f>
        <v>1.3450263939580721E-3</v>
      </c>
      <c r="M4">
        <f t="shared" ref="M4:M67" si="2">100*(1-(1-K4)^12)</f>
        <v>0.77933250935063869</v>
      </c>
      <c r="N4">
        <f t="shared" ref="N4:N67" si="3">100*(1-(1-L4)^12)</f>
        <v>1.6021450096909695</v>
      </c>
    </row>
    <row r="5" spans="1:14" x14ac:dyDescent="0.25">
      <c r="A5">
        <v>2</v>
      </c>
      <c r="B5">
        <v>1.415338</v>
      </c>
      <c r="I5">
        <f>'S-Curve'!A4</f>
        <v>-248</v>
      </c>
      <c r="J5" s="2">
        <f>'S-Curve'!C4</f>
        <v>2.7302436444569998E-4</v>
      </c>
      <c r="K5" s="3">
        <f t="shared" si="0"/>
        <v>6.5177714099863289E-4</v>
      </c>
      <c r="L5" s="3">
        <f t="shared" si="1"/>
        <v>1.3450305052976697E-3</v>
      </c>
      <c r="M5">
        <f t="shared" si="2"/>
        <v>0.77933488300165887</v>
      </c>
      <c r="N5">
        <f t="shared" si="3"/>
        <v>1.602149870793157</v>
      </c>
    </row>
    <row r="6" spans="1:14" x14ac:dyDescent="0.25">
      <c r="A6">
        <v>3</v>
      </c>
      <c r="B6">
        <v>1.4153690000000001</v>
      </c>
      <c r="I6">
        <f>'S-Curve'!A5</f>
        <v>-247</v>
      </c>
      <c r="J6" s="2">
        <f>'S-Curve'!C5</f>
        <v>2.7302519899620003E-4</v>
      </c>
      <c r="K6" s="3">
        <f t="shared" si="0"/>
        <v>6.5177913327847962E-4</v>
      </c>
      <c r="L6" s="3">
        <f t="shared" si="1"/>
        <v>1.3450346166372679E-3</v>
      </c>
      <c r="M6">
        <f t="shared" si="2"/>
        <v>0.77933725665277898</v>
      </c>
      <c r="N6">
        <f t="shared" si="3"/>
        <v>1.6021547318951002</v>
      </c>
    </row>
    <row r="7" spans="1:14" x14ac:dyDescent="0.25">
      <c r="A7">
        <v>4</v>
      </c>
      <c r="B7">
        <v>1.4154009999999999</v>
      </c>
      <c r="I7">
        <f>'S-Curve'!A6</f>
        <v>-246</v>
      </c>
      <c r="J7" s="2">
        <f>'S-Curve'!C6</f>
        <v>2.7302603354669998E-4</v>
      </c>
      <c r="K7" s="3">
        <f t="shared" si="0"/>
        <v>6.5178112555832604E-4</v>
      </c>
      <c r="L7" s="3">
        <f t="shared" si="1"/>
        <v>1.3450387279768654E-3</v>
      </c>
      <c r="M7">
        <f t="shared" si="2"/>
        <v>0.77933963030372144</v>
      </c>
      <c r="N7">
        <f t="shared" si="3"/>
        <v>1.6021595929968324</v>
      </c>
    </row>
    <row r="8" spans="1:14" x14ac:dyDescent="0.25">
      <c r="A8">
        <v>5</v>
      </c>
      <c r="B8">
        <v>1.4154329999999999</v>
      </c>
      <c r="I8">
        <f>'S-Curve'!A7</f>
        <v>-245</v>
      </c>
      <c r="J8" s="2">
        <f>'S-Curve'!C7</f>
        <v>2.7302686809720002E-4</v>
      </c>
      <c r="K8" s="3">
        <f t="shared" si="0"/>
        <v>6.5178311783817267E-4</v>
      </c>
      <c r="L8" s="3">
        <f t="shared" si="1"/>
        <v>1.3450428393164634E-3</v>
      </c>
      <c r="M8">
        <f t="shared" si="2"/>
        <v>0.77934200395466391</v>
      </c>
      <c r="N8">
        <f t="shared" si="3"/>
        <v>1.6021644540983648</v>
      </c>
    </row>
    <row r="9" spans="1:14" x14ac:dyDescent="0.25">
      <c r="A9">
        <v>6</v>
      </c>
      <c r="B9">
        <v>1.4155249999999999</v>
      </c>
      <c r="I9">
        <f>'S-Curve'!A8</f>
        <v>-244</v>
      </c>
      <c r="J9" s="2">
        <f>'S-Curve'!C8</f>
        <v>2.7302770264770002E-4</v>
      </c>
      <c r="K9" s="3">
        <f t="shared" si="0"/>
        <v>6.517851101180193E-4</v>
      </c>
      <c r="L9" s="3">
        <f t="shared" si="1"/>
        <v>1.3450469506560612E-3</v>
      </c>
      <c r="M9">
        <f t="shared" si="2"/>
        <v>0.77934437760549535</v>
      </c>
      <c r="N9">
        <f t="shared" si="3"/>
        <v>1.6021693151996641</v>
      </c>
    </row>
    <row r="10" spans="1:14" x14ac:dyDescent="0.25">
      <c r="A10">
        <v>7</v>
      </c>
      <c r="B10">
        <v>1.4157960000000001</v>
      </c>
      <c r="I10">
        <f>'S-Curve'!A9</f>
        <v>-243</v>
      </c>
      <c r="J10" s="2">
        <f>'S-Curve'!C9</f>
        <v>2.7302853719820002E-4</v>
      </c>
      <c r="K10" s="3">
        <f t="shared" si="0"/>
        <v>6.5178710239786582E-4</v>
      </c>
      <c r="L10" s="3">
        <f t="shared" si="1"/>
        <v>1.3450510619956589E-3</v>
      </c>
      <c r="M10">
        <f t="shared" si="2"/>
        <v>0.77934675125642672</v>
      </c>
      <c r="N10">
        <f t="shared" si="3"/>
        <v>1.6021741763007413</v>
      </c>
    </row>
    <row r="11" spans="1:14" x14ac:dyDescent="0.25">
      <c r="A11">
        <v>8</v>
      </c>
      <c r="B11">
        <v>1.416369</v>
      </c>
      <c r="I11">
        <f>'S-Curve'!A10</f>
        <v>-242</v>
      </c>
      <c r="J11" s="2">
        <f>'S-Curve'!C10</f>
        <v>2.7302937174870001E-4</v>
      </c>
      <c r="K11" s="3">
        <f t="shared" si="0"/>
        <v>6.5178909467771245E-4</v>
      </c>
      <c r="L11" s="3">
        <f t="shared" si="1"/>
        <v>1.3450551733352567E-3</v>
      </c>
      <c r="M11">
        <f t="shared" si="2"/>
        <v>0.77934912490709163</v>
      </c>
      <c r="N11">
        <f t="shared" si="3"/>
        <v>1.6021790374015965</v>
      </c>
    </row>
    <row r="12" spans="1:14" x14ac:dyDescent="0.25">
      <c r="A12">
        <v>9</v>
      </c>
      <c r="B12">
        <v>1.4173640000000001</v>
      </c>
      <c r="I12">
        <f>'S-Curve'!A11</f>
        <v>-241</v>
      </c>
      <c r="J12" s="2">
        <f>'S-Curve'!C11</f>
        <v>2.7303020629920001E-4</v>
      </c>
      <c r="K12" s="3">
        <f t="shared" si="0"/>
        <v>6.5179108695755897E-4</v>
      </c>
      <c r="L12" s="3">
        <f t="shared" si="1"/>
        <v>1.3450592846748544E-3</v>
      </c>
      <c r="M12">
        <f t="shared" si="2"/>
        <v>0.77935149855790087</v>
      </c>
      <c r="N12">
        <f t="shared" si="3"/>
        <v>1.6021838985021852</v>
      </c>
    </row>
    <row r="13" spans="1:14" x14ac:dyDescent="0.25">
      <c r="A13">
        <v>10</v>
      </c>
      <c r="B13">
        <v>1.419011</v>
      </c>
      <c r="I13">
        <f>'S-Curve'!A12</f>
        <v>-240</v>
      </c>
      <c r="J13" s="2">
        <f>'S-Curve'!C12</f>
        <v>2.730310408497E-4</v>
      </c>
      <c r="K13" s="3">
        <f t="shared" si="0"/>
        <v>6.5179307923740549E-4</v>
      </c>
      <c r="L13" s="3">
        <f t="shared" si="1"/>
        <v>1.3450633960144522E-3</v>
      </c>
      <c r="M13">
        <f t="shared" si="2"/>
        <v>0.77935387220849917</v>
      </c>
      <c r="N13">
        <f t="shared" si="3"/>
        <v>1.6021887596026629</v>
      </c>
    </row>
    <row r="14" spans="1:14" x14ac:dyDescent="0.25">
      <c r="A14">
        <v>11</v>
      </c>
      <c r="B14">
        <v>1.422493</v>
      </c>
      <c r="I14">
        <f>'S-Curve'!A13</f>
        <v>-239</v>
      </c>
      <c r="J14" s="2">
        <f>'S-Curve'!C13</f>
        <v>2.7303204231030005E-4</v>
      </c>
      <c r="K14" s="3">
        <f t="shared" si="0"/>
        <v>6.5179546997322152E-4</v>
      </c>
      <c r="L14" s="3">
        <f t="shared" si="1"/>
        <v>1.34506832962197E-3</v>
      </c>
      <c r="M14">
        <f t="shared" si="2"/>
        <v>0.77935672058928596</v>
      </c>
      <c r="N14">
        <f t="shared" si="3"/>
        <v>1.6021945929228565</v>
      </c>
    </row>
    <row r="15" spans="1:14" x14ac:dyDescent="0.25">
      <c r="A15">
        <v>12</v>
      </c>
      <c r="B15">
        <v>1.4280949999999999</v>
      </c>
      <c r="I15">
        <f>'S-Curve'!A14</f>
        <v>-238</v>
      </c>
      <c r="J15" s="2">
        <f>'S-Curve'!C14</f>
        <v>2.7303287686079999E-4</v>
      </c>
      <c r="K15" s="3">
        <f t="shared" si="0"/>
        <v>6.5179746225306793E-4</v>
      </c>
      <c r="L15" s="3">
        <f t="shared" si="1"/>
        <v>1.3450724409615675E-3</v>
      </c>
      <c r="M15">
        <f t="shared" si="2"/>
        <v>0.77935909423988425</v>
      </c>
      <c r="N15">
        <f t="shared" si="3"/>
        <v>1.6021994540227458</v>
      </c>
    </row>
    <row r="16" spans="1:14" x14ac:dyDescent="0.25">
      <c r="A16">
        <v>13</v>
      </c>
      <c r="B16">
        <v>1.4358010000000001</v>
      </c>
      <c r="I16">
        <f>'S-Curve'!A15</f>
        <v>-237</v>
      </c>
      <c r="J16" s="2">
        <f>'S-Curve'!C15</f>
        <v>2.7303371141130004E-4</v>
      </c>
      <c r="K16" s="3">
        <f t="shared" si="0"/>
        <v>6.5179945453291467E-4</v>
      </c>
      <c r="L16" s="3">
        <f t="shared" si="1"/>
        <v>1.3450765523011655E-3</v>
      </c>
      <c r="M16">
        <f t="shared" si="2"/>
        <v>0.77936146789031602</v>
      </c>
      <c r="N16">
        <f t="shared" si="3"/>
        <v>1.6022043151225018</v>
      </c>
    </row>
    <row r="17" spans="1:14" x14ac:dyDescent="0.25">
      <c r="A17">
        <v>14</v>
      </c>
      <c r="B17">
        <v>1.445597</v>
      </c>
      <c r="I17">
        <f>'S-Curve'!A16</f>
        <v>-236</v>
      </c>
      <c r="J17" s="2">
        <f>'S-Curve'!C16</f>
        <v>2.7303454596180004E-4</v>
      </c>
      <c r="K17" s="3">
        <f t="shared" si="0"/>
        <v>6.5180144681276119E-4</v>
      </c>
      <c r="L17" s="3">
        <f t="shared" si="1"/>
        <v>1.3450806636407632E-3</v>
      </c>
      <c r="M17">
        <f t="shared" si="2"/>
        <v>0.7793638415408366</v>
      </c>
      <c r="N17">
        <f t="shared" si="3"/>
        <v>1.6022091762220025</v>
      </c>
    </row>
    <row r="18" spans="1:14" x14ac:dyDescent="0.25">
      <c r="A18">
        <v>15</v>
      </c>
      <c r="B18">
        <v>1.45747</v>
      </c>
      <c r="I18">
        <f>'S-Curve'!A17</f>
        <v>-235</v>
      </c>
      <c r="J18" s="2">
        <f>'S-Curve'!C17</f>
        <v>2.7303538051230003E-4</v>
      </c>
      <c r="K18" s="3">
        <f t="shared" si="0"/>
        <v>6.5180343909260782E-4</v>
      </c>
      <c r="L18" s="3">
        <f t="shared" si="1"/>
        <v>1.345084774980361E-3</v>
      </c>
      <c r="M18">
        <f t="shared" si="2"/>
        <v>0.77936621519129057</v>
      </c>
      <c r="N18">
        <f t="shared" si="3"/>
        <v>1.6022140373212035</v>
      </c>
    </row>
    <row r="19" spans="1:14" x14ac:dyDescent="0.25">
      <c r="A19">
        <v>16</v>
      </c>
      <c r="B19">
        <v>1.4714050000000001</v>
      </c>
      <c r="I19">
        <f>'S-Curve'!A18</f>
        <v>-234</v>
      </c>
      <c r="J19" s="2">
        <f>'S-Curve'!C18</f>
        <v>2.7303621506280003E-4</v>
      </c>
      <c r="K19" s="3">
        <f t="shared" si="0"/>
        <v>6.5180543137245434E-4</v>
      </c>
      <c r="L19" s="3">
        <f t="shared" si="1"/>
        <v>1.3450888863199588E-3</v>
      </c>
      <c r="M19">
        <f t="shared" si="2"/>
        <v>0.77936858884162241</v>
      </c>
      <c r="N19">
        <f t="shared" si="3"/>
        <v>1.6022188984203156</v>
      </c>
    </row>
    <row r="20" spans="1:14" x14ac:dyDescent="0.25">
      <c r="A20">
        <v>17</v>
      </c>
      <c r="B20">
        <v>1.4873879999999999</v>
      </c>
      <c r="I20">
        <f>'S-Curve'!A19</f>
        <v>-233</v>
      </c>
      <c r="J20" s="2">
        <f>'S-Curve'!C19</f>
        <v>2.7303704961329997E-4</v>
      </c>
      <c r="K20" s="3">
        <f t="shared" si="0"/>
        <v>6.5180742365230076E-4</v>
      </c>
      <c r="L20" s="3">
        <f t="shared" si="1"/>
        <v>1.3450929976595563E-3</v>
      </c>
      <c r="M20">
        <f t="shared" si="2"/>
        <v>0.77937096249196536</v>
      </c>
      <c r="N20">
        <f t="shared" si="3"/>
        <v>1.6022237595189948</v>
      </c>
    </row>
    <row r="21" spans="1:14" x14ac:dyDescent="0.25">
      <c r="A21">
        <v>18</v>
      </c>
      <c r="B21">
        <v>1.505403</v>
      </c>
      <c r="I21">
        <f>'S-Curve'!A20</f>
        <v>-232</v>
      </c>
      <c r="J21" s="2">
        <f>'S-Curve'!C20</f>
        <v>2.7303788416380002E-4</v>
      </c>
      <c r="K21" s="3">
        <f t="shared" si="0"/>
        <v>6.518094159321475E-4</v>
      </c>
      <c r="L21" s="3">
        <f t="shared" si="1"/>
        <v>1.3450971089991543E-3</v>
      </c>
      <c r="M21">
        <f t="shared" si="2"/>
        <v>0.77937333614217508</v>
      </c>
      <c r="N21">
        <f t="shared" si="3"/>
        <v>1.6022286206176295</v>
      </c>
    </row>
    <row r="22" spans="1:14" x14ac:dyDescent="0.25">
      <c r="A22">
        <v>19</v>
      </c>
      <c r="B22">
        <v>1.5254380000000001</v>
      </c>
      <c r="I22">
        <f>'S-Curve'!A21</f>
        <v>-231</v>
      </c>
      <c r="J22" s="2">
        <f>'S-Curve'!C21</f>
        <v>2.7303871871430001E-4</v>
      </c>
      <c r="K22" s="3">
        <f t="shared" si="0"/>
        <v>6.5181140821199402E-4</v>
      </c>
      <c r="L22" s="3">
        <f t="shared" si="1"/>
        <v>1.3451012203387523E-3</v>
      </c>
      <c r="M22">
        <f t="shared" si="2"/>
        <v>0.77937570979236259</v>
      </c>
      <c r="N22">
        <f t="shared" si="3"/>
        <v>1.6022334817159645</v>
      </c>
    </row>
    <row r="23" spans="1:14" x14ac:dyDescent="0.25">
      <c r="A23">
        <v>20</v>
      </c>
      <c r="B23">
        <v>1.5474779999999999</v>
      </c>
      <c r="I23">
        <f>'S-Curve'!A22</f>
        <v>-230</v>
      </c>
      <c r="J23" s="2">
        <f>'S-Curve'!C22</f>
        <v>2.7303955326480001E-4</v>
      </c>
      <c r="K23" s="3">
        <f t="shared" si="0"/>
        <v>6.5181340049184065E-4</v>
      </c>
      <c r="L23" s="3">
        <f t="shared" si="1"/>
        <v>1.34510533167835E-3</v>
      </c>
      <c r="M23">
        <f t="shared" si="2"/>
        <v>0.77937808344247239</v>
      </c>
      <c r="N23">
        <f t="shared" si="3"/>
        <v>1.602238342814144</v>
      </c>
    </row>
    <row r="24" spans="1:14" x14ac:dyDescent="0.25">
      <c r="A24">
        <v>21</v>
      </c>
      <c r="B24">
        <v>1.5715079999999999</v>
      </c>
      <c r="I24">
        <f>'S-Curve'!A23</f>
        <v>-229</v>
      </c>
      <c r="J24" s="2">
        <f>'S-Curve'!C23</f>
        <v>2.730405547254E-4</v>
      </c>
      <c r="K24" s="3">
        <f t="shared" si="0"/>
        <v>6.5181579122765645E-4</v>
      </c>
      <c r="L24" s="3">
        <f t="shared" si="1"/>
        <v>1.3451102652858673E-3</v>
      </c>
      <c r="M24">
        <f t="shared" si="2"/>
        <v>0.77938093182263746</v>
      </c>
      <c r="N24">
        <f t="shared" si="3"/>
        <v>1.6022441761316952</v>
      </c>
    </row>
    <row r="25" spans="1:14" x14ac:dyDescent="0.25">
      <c r="A25">
        <v>22</v>
      </c>
      <c r="B25">
        <v>1.5975140000000001</v>
      </c>
      <c r="I25">
        <f>'S-Curve'!A24</f>
        <v>-228</v>
      </c>
      <c r="J25" s="2">
        <f>'S-Curve'!C24</f>
        <v>2.7304138927590005E-4</v>
      </c>
      <c r="K25" s="3">
        <f t="shared" si="0"/>
        <v>6.5181778350750319E-4</v>
      </c>
      <c r="L25" s="3">
        <f t="shared" si="1"/>
        <v>1.3451143766254653E-3</v>
      </c>
      <c r="M25">
        <f t="shared" si="2"/>
        <v>0.77938330547268064</v>
      </c>
      <c r="N25">
        <f t="shared" si="3"/>
        <v>1.602249037229353</v>
      </c>
    </row>
    <row r="26" spans="1:14" x14ac:dyDescent="0.25">
      <c r="A26">
        <v>23</v>
      </c>
      <c r="B26">
        <v>1.6254820000000001</v>
      </c>
      <c r="I26">
        <f>'S-Curve'!A25</f>
        <v>-227</v>
      </c>
      <c r="J26" s="2">
        <f>'S-Curve'!C25</f>
        <v>2.7304222382639999E-4</v>
      </c>
      <c r="K26" s="3">
        <f t="shared" si="0"/>
        <v>6.518197757873496E-4</v>
      </c>
      <c r="L26" s="3">
        <f t="shared" si="1"/>
        <v>1.3451184879650629E-3</v>
      </c>
      <c r="M26">
        <f t="shared" si="2"/>
        <v>0.77938567912262391</v>
      </c>
      <c r="N26">
        <f t="shared" si="3"/>
        <v>1.602253898326822</v>
      </c>
    </row>
    <row r="27" spans="1:14" x14ac:dyDescent="0.25">
      <c r="A27">
        <v>24</v>
      </c>
      <c r="B27">
        <v>1.6553979999999999</v>
      </c>
      <c r="I27">
        <f>'S-Curve'!A26</f>
        <v>-226</v>
      </c>
      <c r="J27" s="2">
        <f>'S-Curve'!C26</f>
        <v>2.7304305837690004E-4</v>
      </c>
      <c r="K27" s="3">
        <f t="shared" si="0"/>
        <v>6.5182176806719634E-4</v>
      </c>
      <c r="L27" s="3">
        <f t="shared" si="1"/>
        <v>1.3451225993046608E-3</v>
      </c>
      <c r="M27">
        <f t="shared" si="2"/>
        <v>0.77938805277260048</v>
      </c>
      <c r="N27">
        <f t="shared" si="3"/>
        <v>1.6022587594240578</v>
      </c>
    </row>
    <row r="28" spans="1:14" x14ac:dyDescent="0.25">
      <c r="A28">
        <v>25</v>
      </c>
      <c r="B28">
        <v>1.6872469999999999</v>
      </c>
      <c r="I28">
        <f>'S-Curve'!A27</f>
        <v>-225</v>
      </c>
      <c r="J28" s="2">
        <f>'S-Curve'!C27</f>
        <v>2.7304389292739998E-4</v>
      </c>
      <c r="K28" s="3">
        <f t="shared" si="0"/>
        <v>6.5182376034704276E-4</v>
      </c>
      <c r="L28" s="3">
        <f t="shared" si="1"/>
        <v>1.3451267106442584E-3</v>
      </c>
      <c r="M28">
        <f t="shared" si="2"/>
        <v>0.77939042642236611</v>
      </c>
      <c r="N28">
        <f t="shared" si="3"/>
        <v>1.6022636205210938</v>
      </c>
    </row>
    <row r="29" spans="1:14" x14ac:dyDescent="0.25">
      <c r="A29">
        <v>26</v>
      </c>
      <c r="B29">
        <v>1.721014</v>
      </c>
      <c r="I29">
        <f>'S-Curve'!A28</f>
        <v>-224</v>
      </c>
      <c r="J29" s="2">
        <f>'S-Curve'!C28</f>
        <v>2.7304472747790003E-4</v>
      </c>
      <c r="K29" s="3">
        <f t="shared" si="0"/>
        <v>6.5182575262688939E-4</v>
      </c>
      <c r="L29" s="3">
        <f t="shared" si="1"/>
        <v>1.3451308219838566E-3</v>
      </c>
      <c r="M29">
        <f t="shared" si="2"/>
        <v>0.77939280007233158</v>
      </c>
      <c r="N29">
        <f t="shared" si="3"/>
        <v>1.6022684816178967</v>
      </c>
    </row>
    <row r="30" spans="1:14" x14ac:dyDescent="0.25">
      <c r="A30">
        <v>27</v>
      </c>
      <c r="B30">
        <v>1.7566870000000001</v>
      </c>
      <c r="I30">
        <f>'S-Curve'!A29</f>
        <v>-223</v>
      </c>
      <c r="J30" s="2">
        <f>'S-Curve'!C29</f>
        <v>2.7304556202840003E-4</v>
      </c>
      <c r="K30" s="3">
        <f t="shared" si="0"/>
        <v>6.5182774490673602E-4</v>
      </c>
      <c r="L30" s="3">
        <f t="shared" si="1"/>
        <v>1.3451349333234543E-3</v>
      </c>
      <c r="M30">
        <f t="shared" si="2"/>
        <v>0.7793951737220195</v>
      </c>
      <c r="N30">
        <f t="shared" si="3"/>
        <v>1.6022733427144886</v>
      </c>
    </row>
    <row r="31" spans="1:14" x14ac:dyDescent="0.25">
      <c r="A31">
        <v>28</v>
      </c>
      <c r="B31">
        <v>1.7942499999999999</v>
      </c>
      <c r="I31">
        <f>'S-Curve'!A30</f>
        <v>-222</v>
      </c>
      <c r="J31" s="2">
        <f>'S-Curve'!C30</f>
        <v>2.7304639657890002E-4</v>
      </c>
      <c r="K31" s="3">
        <f t="shared" si="0"/>
        <v>6.5182973718658254E-4</v>
      </c>
      <c r="L31" s="3">
        <f t="shared" si="1"/>
        <v>1.3451390446630521E-3</v>
      </c>
      <c r="M31">
        <f t="shared" si="2"/>
        <v>0.77939754737178513</v>
      </c>
      <c r="N31">
        <f t="shared" si="3"/>
        <v>1.6022782038108474</v>
      </c>
    </row>
    <row r="32" spans="1:14" x14ac:dyDescent="0.25">
      <c r="A32">
        <v>29</v>
      </c>
      <c r="B32">
        <v>1.8336889999999999</v>
      </c>
      <c r="I32">
        <f>'S-Curve'!A31</f>
        <v>-221</v>
      </c>
      <c r="J32" s="2">
        <f>'S-Curve'!C31</f>
        <v>2.7304723112940002E-4</v>
      </c>
      <c r="K32" s="3">
        <f t="shared" si="0"/>
        <v>6.5183172946642906E-4</v>
      </c>
      <c r="L32" s="3">
        <f t="shared" si="1"/>
        <v>1.3451431560026499E-3</v>
      </c>
      <c r="M32">
        <f t="shared" si="2"/>
        <v>0.77939992102153965</v>
      </c>
      <c r="N32">
        <f t="shared" si="3"/>
        <v>1.6022830649069619</v>
      </c>
    </row>
    <row r="33" spans="1:14" x14ac:dyDescent="0.25">
      <c r="A33">
        <v>30</v>
      </c>
      <c r="B33">
        <v>1.874989</v>
      </c>
      <c r="I33">
        <f>'S-Curve'!A32</f>
        <v>-220</v>
      </c>
      <c r="J33" s="2">
        <f>'S-Curve'!C32</f>
        <v>2.7304806567990001E-4</v>
      </c>
      <c r="K33" s="3">
        <f t="shared" si="0"/>
        <v>6.5183372174627569E-4</v>
      </c>
      <c r="L33" s="3">
        <f t="shared" si="1"/>
        <v>1.3451472673422476E-3</v>
      </c>
      <c r="M33">
        <f t="shared" si="2"/>
        <v>0.77940229467108324</v>
      </c>
      <c r="N33">
        <f t="shared" si="3"/>
        <v>1.6022879260029765</v>
      </c>
    </row>
    <row r="34" spans="1:14" x14ac:dyDescent="0.25">
      <c r="A34">
        <v>31</v>
      </c>
      <c r="B34">
        <v>1.918137</v>
      </c>
      <c r="I34">
        <f>'S-Curve'!A33</f>
        <v>-219</v>
      </c>
      <c r="J34" s="2">
        <f>'S-Curve'!C33</f>
        <v>2.7304906714050001E-4</v>
      </c>
      <c r="K34" s="3">
        <f t="shared" si="0"/>
        <v>6.518361124820916E-4</v>
      </c>
      <c r="L34" s="3">
        <f t="shared" si="1"/>
        <v>1.3451522009497649E-3</v>
      </c>
      <c r="M34">
        <f t="shared" si="2"/>
        <v>0.77940514305054887</v>
      </c>
      <c r="N34">
        <f t="shared" si="3"/>
        <v>1.6022937593177411</v>
      </c>
    </row>
    <row r="35" spans="1:14" x14ac:dyDescent="0.25">
      <c r="A35">
        <v>32</v>
      </c>
      <c r="B35">
        <v>1.9631190000000001</v>
      </c>
      <c r="I35">
        <f>'S-Curve'!A34</f>
        <v>-218</v>
      </c>
      <c r="J35" s="2">
        <f>'S-Curve'!C34</f>
        <v>2.73049901691E-4</v>
      </c>
      <c r="K35" s="3">
        <f t="shared" si="0"/>
        <v>6.5183810476193813E-4</v>
      </c>
      <c r="L35" s="3">
        <f t="shared" si="1"/>
        <v>1.3451563122893627E-3</v>
      </c>
      <c r="M35">
        <f t="shared" si="2"/>
        <v>0.77940751670007025</v>
      </c>
      <c r="N35">
        <f t="shared" si="3"/>
        <v>1.602298620413134</v>
      </c>
    </row>
    <row r="36" spans="1:14" x14ac:dyDescent="0.25">
      <c r="A36">
        <v>33</v>
      </c>
      <c r="B36">
        <v>2.009919</v>
      </c>
      <c r="I36">
        <f>'S-Curve'!A35</f>
        <v>-217</v>
      </c>
      <c r="J36" s="2">
        <f>'S-Curve'!C35</f>
        <v>2.730507362415E-4</v>
      </c>
      <c r="K36" s="3">
        <f t="shared" si="0"/>
        <v>6.5184009704178465E-4</v>
      </c>
      <c r="L36" s="3">
        <f t="shared" si="1"/>
        <v>1.3451604236289604E-3</v>
      </c>
      <c r="M36">
        <f t="shared" si="2"/>
        <v>0.77940989034948061</v>
      </c>
      <c r="N36">
        <f t="shared" si="3"/>
        <v>1.6023034815084491</v>
      </c>
    </row>
    <row r="37" spans="1:14" x14ac:dyDescent="0.25">
      <c r="A37">
        <v>34</v>
      </c>
      <c r="B37">
        <v>2.0585239999999998</v>
      </c>
      <c r="I37">
        <f>'S-Curve'!A36</f>
        <v>-216</v>
      </c>
      <c r="J37" s="2">
        <f>'S-Curve'!C36</f>
        <v>2.7305157079199999E-4</v>
      </c>
      <c r="K37" s="3">
        <f t="shared" si="0"/>
        <v>6.5184208932163128E-4</v>
      </c>
      <c r="L37" s="3">
        <f t="shared" si="1"/>
        <v>1.3451645349685582E-3</v>
      </c>
      <c r="M37">
        <f t="shared" si="2"/>
        <v>0.77941226399895758</v>
      </c>
      <c r="N37">
        <f t="shared" si="3"/>
        <v>1.6023083426033868</v>
      </c>
    </row>
    <row r="38" spans="1:14" x14ac:dyDescent="0.25">
      <c r="A38">
        <v>35</v>
      </c>
      <c r="B38">
        <v>2.1089190000000002</v>
      </c>
      <c r="I38">
        <f>'S-Curve'!A37</f>
        <v>-215</v>
      </c>
      <c r="J38" s="2">
        <f>'S-Curve'!C37</f>
        <v>2.7305240534250004E-4</v>
      </c>
      <c r="K38" s="3">
        <f t="shared" si="0"/>
        <v>6.5184408160147791E-4</v>
      </c>
      <c r="L38" s="3">
        <f t="shared" si="1"/>
        <v>1.3451686463081564E-3</v>
      </c>
      <c r="M38">
        <f t="shared" si="2"/>
        <v>0.7794146376482125</v>
      </c>
      <c r="N38">
        <f t="shared" si="3"/>
        <v>1.6023132036981802</v>
      </c>
    </row>
    <row r="39" spans="1:14" x14ac:dyDescent="0.25">
      <c r="A39">
        <v>36</v>
      </c>
      <c r="B39">
        <v>2.1610900000000002</v>
      </c>
      <c r="I39">
        <f>'S-Curve'!A38</f>
        <v>-214</v>
      </c>
      <c r="J39" s="2">
        <f>'S-Curve'!C38</f>
        <v>2.7305323989299999E-4</v>
      </c>
      <c r="K39" s="3">
        <f t="shared" si="0"/>
        <v>6.5184607388132432E-4</v>
      </c>
      <c r="L39" s="3">
        <f t="shared" si="1"/>
        <v>1.3451727576477539E-3</v>
      </c>
      <c r="M39">
        <f t="shared" si="2"/>
        <v>0.77941701129758956</v>
      </c>
      <c r="N39">
        <f t="shared" si="3"/>
        <v>1.6023180647927404</v>
      </c>
    </row>
    <row r="40" spans="1:14" x14ac:dyDescent="0.25">
      <c r="A40">
        <v>37</v>
      </c>
      <c r="B40">
        <v>2.215023</v>
      </c>
      <c r="I40">
        <f>'S-Curve'!A39</f>
        <v>-213</v>
      </c>
      <c r="J40" s="2">
        <f>'S-Curve'!C39</f>
        <v>2.7305407444350003E-4</v>
      </c>
      <c r="K40" s="3">
        <f t="shared" si="0"/>
        <v>6.5184806616117106E-4</v>
      </c>
      <c r="L40" s="3">
        <f t="shared" si="1"/>
        <v>1.3451768689873519E-3</v>
      </c>
      <c r="M40">
        <f t="shared" si="2"/>
        <v>0.77941938494673346</v>
      </c>
      <c r="N40">
        <f t="shared" si="3"/>
        <v>1.6023229258870786</v>
      </c>
    </row>
    <row r="41" spans="1:14" x14ac:dyDescent="0.25">
      <c r="A41">
        <v>38</v>
      </c>
      <c r="B41">
        <v>2.2707039999999998</v>
      </c>
      <c r="I41">
        <f>'S-Curve'!A40</f>
        <v>-212</v>
      </c>
      <c r="J41" s="2">
        <f>'S-Curve'!C40</f>
        <v>2.7305490899399998E-4</v>
      </c>
      <c r="K41" s="3">
        <f t="shared" si="0"/>
        <v>6.5185005844101748E-4</v>
      </c>
      <c r="L41" s="3">
        <f t="shared" si="1"/>
        <v>1.3451809803269495E-3</v>
      </c>
      <c r="M41">
        <f t="shared" si="2"/>
        <v>0.77942175859597729</v>
      </c>
      <c r="N41">
        <f t="shared" si="3"/>
        <v>1.6023277869812169</v>
      </c>
    </row>
    <row r="42" spans="1:14" x14ac:dyDescent="0.25">
      <c r="A42">
        <v>39</v>
      </c>
      <c r="B42">
        <v>2.3281170000000002</v>
      </c>
      <c r="I42">
        <f>'S-Curve'!A41</f>
        <v>-211</v>
      </c>
      <c r="J42" s="2">
        <f>'S-Curve'!C41</f>
        <v>2.7305574354450003E-4</v>
      </c>
      <c r="K42" s="3">
        <f t="shared" si="0"/>
        <v>6.5185205072086421E-4</v>
      </c>
      <c r="L42" s="3">
        <f t="shared" si="1"/>
        <v>1.3451850916665474E-3</v>
      </c>
      <c r="M42">
        <f t="shared" si="2"/>
        <v>0.77942413224506568</v>
      </c>
      <c r="N42">
        <f t="shared" si="3"/>
        <v>1.6023326480750999</v>
      </c>
    </row>
    <row r="43" spans="1:14" x14ac:dyDescent="0.25">
      <c r="A43">
        <v>40</v>
      </c>
      <c r="B43">
        <v>2.3872490000000002</v>
      </c>
      <c r="I43">
        <f>'S-Curve'!A42</f>
        <v>-210</v>
      </c>
      <c r="J43" s="2">
        <f>'S-Curve'!C42</f>
        <v>2.7305674500510002E-4</v>
      </c>
      <c r="K43" s="3">
        <f t="shared" si="0"/>
        <v>6.5185444145668002E-4</v>
      </c>
      <c r="L43" s="3">
        <f t="shared" si="1"/>
        <v>1.3451900252740648E-3</v>
      </c>
      <c r="M43">
        <f t="shared" si="2"/>
        <v>0.7794269806239762</v>
      </c>
      <c r="N43">
        <f t="shared" si="3"/>
        <v>1.6023384813874775</v>
      </c>
    </row>
    <row r="44" spans="1:14" x14ac:dyDescent="0.25">
      <c r="A44">
        <v>41</v>
      </c>
      <c r="B44">
        <v>2.448086</v>
      </c>
      <c r="I44">
        <f>'S-Curve'!A43</f>
        <v>-209</v>
      </c>
      <c r="J44" s="2">
        <f>'S-Curve'!C43</f>
        <v>2.7305757955560002E-4</v>
      </c>
      <c r="K44" s="3">
        <f t="shared" si="0"/>
        <v>6.5185643373652665E-4</v>
      </c>
      <c r="L44" s="3">
        <f t="shared" si="1"/>
        <v>1.3451941366136625E-3</v>
      </c>
      <c r="M44">
        <f t="shared" si="2"/>
        <v>0.77942935427306459</v>
      </c>
      <c r="N44">
        <f t="shared" si="3"/>
        <v>1.6023433424809386</v>
      </c>
    </row>
    <row r="45" spans="1:14" x14ac:dyDescent="0.25">
      <c r="A45">
        <v>42</v>
      </c>
      <c r="B45">
        <v>2.5106130000000002</v>
      </c>
      <c r="I45">
        <f>'S-Curve'!A44</f>
        <v>-208</v>
      </c>
      <c r="J45" s="2">
        <f>'S-Curve'!C44</f>
        <v>2.7305841410610001E-4</v>
      </c>
      <c r="K45" s="3">
        <f t="shared" si="0"/>
        <v>6.5185842601637317E-4</v>
      </c>
      <c r="L45" s="3">
        <f t="shared" si="1"/>
        <v>1.3451982479532603E-3</v>
      </c>
      <c r="M45">
        <f t="shared" si="2"/>
        <v>0.77943172792194204</v>
      </c>
      <c r="N45">
        <f t="shared" si="3"/>
        <v>1.6023482035739889</v>
      </c>
    </row>
    <row r="46" spans="1:14" x14ac:dyDescent="0.25">
      <c r="A46">
        <v>43</v>
      </c>
      <c r="B46">
        <v>2.5748160000000002</v>
      </c>
      <c r="I46">
        <f>'S-Curve'!A45</f>
        <v>-207</v>
      </c>
      <c r="J46" s="2">
        <f>'S-Curve'!C45</f>
        <v>2.7305924865660001E-4</v>
      </c>
      <c r="K46" s="3">
        <f t="shared" si="0"/>
        <v>6.518604182962198E-4</v>
      </c>
      <c r="L46" s="3">
        <f t="shared" si="1"/>
        <v>1.3452023592928583E-3</v>
      </c>
      <c r="M46">
        <f t="shared" si="2"/>
        <v>0.77943410157091941</v>
      </c>
      <c r="N46">
        <f t="shared" si="3"/>
        <v>1.6023530646669615</v>
      </c>
    </row>
    <row r="47" spans="1:14" x14ac:dyDescent="0.25">
      <c r="A47">
        <v>44</v>
      </c>
      <c r="B47">
        <v>2.6406809999999998</v>
      </c>
      <c r="I47">
        <f>'S-Curve'!A46</f>
        <v>-206</v>
      </c>
      <c r="J47" s="2">
        <f>'S-Curve'!C46</f>
        <v>2.730600832071E-4</v>
      </c>
      <c r="K47" s="3">
        <f t="shared" si="0"/>
        <v>6.5186241057606632E-4</v>
      </c>
      <c r="L47" s="3">
        <f t="shared" si="1"/>
        <v>1.345206470632456E-3</v>
      </c>
      <c r="M47">
        <f t="shared" si="2"/>
        <v>0.77943647521973025</v>
      </c>
      <c r="N47">
        <f t="shared" si="3"/>
        <v>1.6023579257597231</v>
      </c>
    </row>
    <row r="48" spans="1:14" x14ac:dyDescent="0.25">
      <c r="A48">
        <v>45</v>
      </c>
      <c r="B48">
        <v>2.7081930000000001</v>
      </c>
      <c r="I48">
        <f>'S-Curve'!A47</f>
        <v>-205</v>
      </c>
      <c r="J48" s="2">
        <f>'S-Curve'!C47</f>
        <v>2.7306091775760005E-4</v>
      </c>
      <c r="K48" s="3">
        <f t="shared" si="0"/>
        <v>6.5186440285591306E-4</v>
      </c>
      <c r="L48" s="3">
        <f t="shared" si="1"/>
        <v>1.345210581972054E-3</v>
      </c>
      <c r="M48">
        <f t="shared" si="2"/>
        <v>0.77943884886855219</v>
      </c>
      <c r="N48">
        <f t="shared" si="3"/>
        <v>1.6023627868522405</v>
      </c>
    </row>
    <row r="49" spans="1:14" x14ac:dyDescent="0.25">
      <c r="A49">
        <v>46</v>
      </c>
      <c r="B49">
        <v>2.7773379999999999</v>
      </c>
      <c r="I49">
        <f>'S-Curve'!A48</f>
        <v>-204</v>
      </c>
      <c r="J49" s="2">
        <f>'S-Curve'!C48</f>
        <v>2.7306175230809999E-4</v>
      </c>
      <c r="K49" s="3">
        <f t="shared" si="0"/>
        <v>6.5186639513575948E-4</v>
      </c>
      <c r="L49" s="3">
        <f t="shared" si="1"/>
        <v>1.3452146933116515E-3</v>
      </c>
      <c r="M49">
        <f t="shared" si="2"/>
        <v>0.77944122251738523</v>
      </c>
      <c r="N49">
        <f t="shared" si="3"/>
        <v>1.602367647944547</v>
      </c>
    </row>
    <row r="50" spans="1:14" x14ac:dyDescent="0.25">
      <c r="A50">
        <v>47</v>
      </c>
      <c r="B50">
        <v>2.8481019999999999</v>
      </c>
      <c r="I50">
        <f>'S-Curve'!A49</f>
        <v>-203</v>
      </c>
      <c r="J50" s="2">
        <f>'S-Curve'!C49</f>
        <v>2.7306258685860004E-4</v>
      </c>
      <c r="K50" s="3">
        <f t="shared" si="0"/>
        <v>6.5186838741560611E-4</v>
      </c>
      <c r="L50" s="3">
        <f t="shared" si="1"/>
        <v>1.3452188046512495E-3</v>
      </c>
      <c r="M50">
        <f t="shared" si="2"/>
        <v>0.77944359616607395</v>
      </c>
      <c r="N50">
        <f t="shared" si="3"/>
        <v>1.6023725090366536</v>
      </c>
    </row>
    <row r="51" spans="1:14" x14ac:dyDescent="0.25">
      <c r="A51">
        <v>48</v>
      </c>
      <c r="B51">
        <v>2.9204699999999999</v>
      </c>
      <c r="I51">
        <f>'S-Curve'!A50</f>
        <v>-202</v>
      </c>
      <c r="J51" s="2">
        <f>'S-Curve'!C50</f>
        <v>2.7306342140910004E-4</v>
      </c>
      <c r="K51" s="3">
        <f t="shared" si="0"/>
        <v>6.5187037969545274E-4</v>
      </c>
      <c r="L51" s="3">
        <f t="shared" si="1"/>
        <v>1.3452229159908473E-3</v>
      </c>
      <c r="M51">
        <f t="shared" si="2"/>
        <v>0.77944596981472936</v>
      </c>
      <c r="N51">
        <f t="shared" si="3"/>
        <v>1.6023773701285049</v>
      </c>
    </row>
    <row r="52" spans="1:14" x14ac:dyDescent="0.25">
      <c r="A52">
        <v>49</v>
      </c>
      <c r="B52">
        <v>2.9944280000000001</v>
      </c>
      <c r="I52">
        <f>'S-Curve'!A51</f>
        <v>-201</v>
      </c>
      <c r="J52" s="2">
        <f>'S-Curve'!C51</f>
        <v>2.7306425595960003E-4</v>
      </c>
      <c r="K52" s="3">
        <f t="shared" si="0"/>
        <v>6.5187237197529926E-4</v>
      </c>
      <c r="L52" s="3">
        <f t="shared" si="1"/>
        <v>1.345227027330445E-3</v>
      </c>
      <c r="M52">
        <f t="shared" si="2"/>
        <v>0.77944834346330705</v>
      </c>
      <c r="N52">
        <f t="shared" si="3"/>
        <v>1.6023822312202007</v>
      </c>
    </row>
    <row r="53" spans="1:14" x14ac:dyDescent="0.25">
      <c r="A53">
        <v>50</v>
      </c>
      <c r="B53">
        <v>3.069963</v>
      </c>
      <c r="I53">
        <f>'S-Curve'!A52</f>
        <v>-200</v>
      </c>
      <c r="J53" s="2">
        <f>'S-Curve'!C52</f>
        <v>2.7306525742020003E-4</v>
      </c>
      <c r="K53" s="3">
        <f t="shared" si="0"/>
        <v>6.5187476271111517E-4</v>
      </c>
      <c r="L53" s="3">
        <f t="shared" si="1"/>
        <v>1.3452319609379623E-3</v>
      </c>
      <c r="M53">
        <f t="shared" si="2"/>
        <v>0.77945119184156253</v>
      </c>
      <c r="N53">
        <f t="shared" si="3"/>
        <v>1.6023880645298472</v>
      </c>
    </row>
    <row r="54" spans="1:14" x14ac:dyDescent="0.25">
      <c r="A54">
        <v>51</v>
      </c>
      <c r="B54">
        <v>3.1470579999999999</v>
      </c>
      <c r="I54">
        <f>'S-Curve'!A53</f>
        <v>-199</v>
      </c>
      <c r="J54" s="2">
        <f>'S-Curve'!C53</f>
        <v>2.7306609197070002E-4</v>
      </c>
      <c r="K54" s="3">
        <f t="shared" si="0"/>
        <v>6.5187675499096169E-4</v>
      </c>
      <c r="L54" s="3">
        <f t="shared" si="1"/>
        <v>1.3452360722775603E-3</v>
      </c>
      <c r="M54">
        <f t="shared" si="2"/>
        <v>0.77945356549016243</v>
      </c>
      <c r="N54">
        <f t="shared" si="3"/>
        <v>1.6023929256210545</v>
      </c>
    </row>
    <row r="55" spans="1:14" x14ac:dyDescent="0.25">
      <c r="A55">
        <v>52</v>
      </c>
      <c r="B55">
        <v>3.2257020000000001</v>
      </c>
      <c r="I55">
        <f>'S-Curve'!A54</f>
        <v>-198</v>
      </c>
      <c r="J55" s="2">
        <f>'S-Curve'!C54</f>
        <v>2.7306692652120002E-4</v>
      </c>
      <c r="K55" s="3">
        <f t="shared" si="0"/>
        <v>6.5187874727080822E-4</v>
      </c>
      <c r="L55" s="3">
        <f t="shared" si="1"/>
        <v>1.3452401836171581E-3</v>
      </c>
      <c r="M55">
        <f t="shared" si="2"/>
        <v>0.77945593913851807</v>
      </c>
      <c r="N55">
        <f t="shared" si="3"/>
        <v>1.6023977867120065</v>
      </c>
    </row>
    <row r="56" spans="1:14" x14ac:dyDescent="0.25">
      <c r="A56">
        <v>53</v>
      </c>
      <c r="B56">
        <v>3.3058779999999999</v>
      </c>
      <c r="I56">
        <f>'S-Curve'!A55</f>
        <v>-197</v>
      </c>
      <c r="J56" s="2">
        <f>'S-Curve'!C55</f>
        <v>2.7306776107170001E-4</v>
      </c>
      <c r="K56" s="3">
        <f t="shared" si="0"/>
        <v>6.5188073955065485E-4</v>
      </c>
      <c r="L56" s="3">
        <f t="shared" si="1"/>
        <v>1.3452442949567558E-3</v>
      </c>
      <c r="M56">
        <f t="shared" si="2"/>
        <v>0.77945831278694033</v>
      </c>
      <c r="N56">
        <f t="shared" si="3"/>
        <v>1.6024026478027253</v>
      </c>
    </row>
    <row r="57" spans="1:14" x14ac:dyDescent="0.25">
      <c r="A57">
        <v>54</v>
      </c>
      <c r="B57">
        <v>3.387572</v>
      </c>
      <c r="I57">
        <f>'S-Curve'!A56</f>
        <v>-196</v>
      </c>
      <c r="J57" s="2">
        <f>'S-Curve'!C56</f>
        <v>2.7306859562220001E-4</v>
      </c>
      <c r="K57" s="3">
        <f t="shared" si="0"/>
        <v>6.5188273183050137E-4</v>
      </c>
      <c r="L57" s="3">
        <f t="shared" si="1"/>
        <v>1.3452484062963536E-3</v>
      </c>
      <c r="M57">
        <f t="shared" si="2"/>
        <v>0.77946068643519606</v>
      </c>
      <c r="N57">
        <f t="shared" si="3"/>
        <v>1.6024075088932221</v>
      </c>
    </row>
    <row r="58" spans="1:14" x14ac:dyDescent="0.25">
      <c r="A58">
        <v>55</v>
      </c>
      <c r="B58">
        <v>3.4707720000000002</v>
      </c>
      <c r="I58">
        <f>'S-Curve'!A57</f>
        <v>-195</v>
      </c>
      <c r="J58" s="2">
        <f>'S-Curve'!C57</f>
        <v>2.730694301727E-4</v>
      </c>
      <c r="K58" s="3">
        <f t="shared" si="0"/>
        <v>6.51884724110348E-4</v>
      </c>
      <c r="L58" s="3">
        <f t="shared" si="1"/>
        <v>1.3452525176359514E-3</v>
      </c>
      <c r="M58">
        <f t="shared" si="2"/>
        <v>0.7794630600835406</v>
      </c>
      <c r="N58">
        <f t="shared" si="3"/>
        <v>1.6024123699835524</v>
      </c>
    </row>
    <row r="59" spans="1:14" x14ac:dyDescent="0.25">
      <c r="A59">
        <v>56</v>
      </c>
      <c r="B59">
        <v>3.5554610000000002</v>
      </c>
      <c r="I59">
        <f>'S-Curve'!A58</f>
        <v>-194</v>
      </c>
      <c r="J59" s="2">
        <f>'S-Curve'!C58</f>
        <v>2.730702647232E-4</v>
      </c>
      <c r="K59" s="3">
        <f t="shared" si="0"/>
        <v>6.5188671639019452E-4</v>
      </c>
      <c r="L59" s="3">
        <f t="shared" si="1"/>
        <v>1.3452566289755491E-3</v>
      </c>
      <c r="M59">
        <f t="shared" si="2"/>
        <v>0.77946543373168531</v>
      </c>
      <c r="N59">
        <f t="shared" si="3"/>
        <v>1.602417231073594</v>
      </c>
    </row>
    <row r="60" spans="1:14" x14ac:dyDescent="0.25">
      <c r="A60">
        <v>57</v>
      </c>
      <c r="B60">
        <v>3.641626</v>
      </c>
      <c r="I60">
        <f>'S-Curve'!A59</f>
        <v>-193</v>
      </c>
      <c r="J60" s="2">
        <f>'S-Curve'!C59</f>
        <v>2.7307109927369999E-4</v>
      </c>
      <c r="K60" s="3">
        <f t="shared" si="0"/>
        <v>6.5188870867004104E-4</v>
      </c>
      <c r="L60" s="3">
        <f t="shared" si="1"/>
        <v>1.3452607403151469E-3</v>
      </c>
      <c r="M60">
        <f t="shared" si="2"/>
        <v>0.77946780737991883</v>
      </c>
      <c r="N60">
        <f t="shared" si="3"/>
        <v>1.6024220921634136</v>
      </c>
    </row>
    <row r="61" spans="1:14" x14ac:dyDescent="0.25">
      <c r="A61">
        <v>58</v>
      </c>
      <c r="B61">
        <v>3.7292529999999999</v>
      </c>
      <c r="I61">
        <f>'S-Curve'!A60</f>
        <v>-192</v>
      </c>
      <c r="J61" s="2">
        <f>'S-Curve'!C60</f>
        <v>2.7307193382420004E-4</v>
      </c>
      <c r="K61" s="3">
        <f t="shared" si="0"/>
        <v>6.5189070094988778E-4</v>
      </c>
      <c r="L61" s="3">
        <f t="shared" si="1"/>
        <v>1.3452648516547451E-3</v>
      </c>
      <c r="M61">
        <f t="shared" si="2"/>
        <v>0.77947018102798582</v>
      </c>
      <c r="N61">
        <f t="shared" si="3"/>
        <v>1.6024269532530666</v>
      </c>
    </row>
    <row r="62" spans="1:14" x14ac:dyDescent="0.25">
      <c r="A62">
        <v>59</v>
      </c>
      <c r="B62">
        <v>3.818327</v>
      </c>
      <c r="I62">
        <f>'S-Curve'!A61</f>
        <v>-191</v>
      </c>
      <c r="J62" s="2">
        <f>'S-Curve'!C61</f>
        <v>2.7307276837469998E-4</v>
      </c>
      <c r="K62" s="3">
        <f t="shared" si="0"/>
        <v>6.5189269322973419E-4</v>
      </c>
      <c r="L62" s="3">
        <f t="shared" si="1"/>
        <v>1.3452689629943424E-3</v>
      </c>
      <c r="M62">
        <f t="shared" si="2"/>
        <v>0.77947255467615273</v>
      </c>
      <c r="N62">
        <f t="shared" si="3"/>
        <v>1.6024318143425087</v>
      </c>
    </row>
    <row r="63" spans="1:14" x14ac:dyDescent="0.25">
      <c r="A63">
        <v>60</v>
      </c>
      <c r="B63">
        <v>3.908833</v>
      </c>
      <c r="I63">
        <f>'S-Curve'!A62</f>
        <v>-190</v>
      </c>
      <c r="J63" s="2">
        <f>'S-Curve'!C62</f>
        <v>2.7307376983530003E-4</v>
      </c>
      <c r="K63" s="3">
        <f t="shared" si="0"/>
        <v>6.5189508396555022E-4</v>
      </c>
      <c r="L63" s="3">
        <f t="shared" si="1"/>
        <v>1.3452738966018602E-3</v>
      </c>
      <c r="M63">
        <f t="shared" si="2"/>
        <v>0.77947540305377538</v>
      </c>
      <c r="N63">
        <f t="shared" si="3"/>
        <v>1.6024376476494351</v>
      </c>
    </row>
    <row r="64" spans="1:14" x14ac:dyDescent="0.25">
      <c r="A64">
        <v>61</v>
      </c>
      <c r="B64">
        <v>4.0007590000000004</v>
      </c>
      <c r="I64">
        <f>'S-Curve'!A63</f>
        <v>-189</v>
      </c>
      <c r="J64" s="2">
        <f>'S-Curve'!C63</f>
        <v>2.7307460438580003E-4</v>
      </c>
      <c r="K64" s="3">
        <f t="shared" si="0"/>
        <v>6.5189707624539674E-4</v>
      </c>
      <c r="L64" s="3">
        <f t="shared" si="1"/>
        <v>1.3452780079414579E-3</v>
      </c>
      <c r="M64">
        <f t="shared" si="2"/>
        <v>0.77947777670168694</v>
      </c>
      <c r="N64">
        <f t="shared" si="3"/>
        <v>1.6024425087383887</v>
      </c>
    </row>
    <row r="65" spans="1:14" x14ac:dyDescent="0.25">
      <c r="A65">
        <v>62</v>
      </c>
      <c r="B65">
        <v>4.0940880000000002</v>
      </c>
      <c r="I65">
        <f>'S-Curve'!A64</f>
        <v>-188</v>
      </c>
      <c r="J65" s="2">
        <f>'S-Curve'!C64</f>
        <v>2.7307543893630002E-4</v>
      </c>
      <c r="K65" s="3">
        <f t="shared" si="0"/>
        <v>6.5189906852524337E-4</v>
      </c>
      <c r="L65" s="3">
        <f t="shared" si="1"/>
        <v>1.3452821192810557E-3</v>
      </c>
      <c r="M65">
        <f t="shared" si="2"/>
        <v>0.77948015034966511</v>
      </c>
      <c r="N65">
        <f t="shared" si="3"/>
        <v>1.6024473698271091</v>
      </c>
    </row>
    <row r="66" spans="1:14" x14ac:dyDescent="0.25">
      <c r="A66">
        <v>63</v>
      </c>
      <c r="B66">
        <v>4.1888079999999999</v>
      </c>
      <c r="I66">
        <f>'S-Curve'!A65</f>
        <v>-187</v>
      </c>
      <c r="J66" s="2">
        <f>'S-Curve'!C65</f>
        <v>2.7307627348680002E-4</v>
      </c>
      <c r="K66" s="3">
        <f t="shared" si="0"/>
        <v>6.5190106080508989E-4</v>
      </c>
      <c r="L66" s="3">
        <f t="shared" si="1"/>
        <v>1.3452862306206534E-3</v>
      </c>
      <c r="M66">
        <f t="shared" si="2"/>
        <v>0.77948252399743234</v>
      </c>
      <c r="N66">
        <f t="shared" si="3"/>
        <v>1.6024522309156075</v>
      </c>
    </row>
    <row r="67" spans="1:14" x14ac:dyDescent="0.25">
      <c r="A67">
        <v>64</v>
      </c>
      <c r="B67">
        <v>4.284904</v>
      </c>
      <c r="I67">
        <f>'S-Curve'!A66</f>
        <v>-186</v>
      </c>
      <c r="J67" s="2">
        <f>'S-Curve'!C66</f>
        <v>2.7307710803730001E-4</v>
      </c>
      <c r="K67" s="3">
        <f t="shared" si="0"/>
        <v>6.5190305308493652E-4</v>
      </c>
      <c r="L67" s="3">
        <f t="shared" si="1"/>
        <v>1.3452903419602512E-3</v>
      </c>
      <c r="M67">
        <f t="shared" si="2"/>
        <v>0.77948489764526618</v>
      </c>
      <c r="N67">
        <f t="shared" si="3"/>
        <v>1.6024570920038395</v>
      </c>
    </row>
    <row r="68" spans="1:14" x14ac:dyDescent="0.25">
      <c r="A68">
        <v>65</v>
      </c>
      <c r="B68">
        <v>4.3823600000000003</v>
      </c>
      <c r="I68">
        <f>'S-Curve'!A67</f>
        <v>-185</v>
      </c>
      <c r="J68" s="2">
        <f>'S-Curve'!C67</f>
        <v>2.7307794258780001E-4</v>
      </c>
      <c r="K68" s="3">
        <f t="shared" ref="K68:K131" si="4">J68*$E$3</f>
        <v>6.5190504536478304E-4</v>
      </c>
      <c r="L68" s="3">
        <f t="shared" ref="L68:L131" si="5">J68*$F$3</f>
        <v>1.345294453299849E-3</v>
      </c>
      <c r="M68">
        <f t="shared" ref="M68:M131" si="6">100*(1-(1-K68)^12)</f>
        <v>0.77948727129312223</v>
      </c>
      <c r="N68">
        <f t="shared" ref="N68:N131" si="7">100*(1-(1-L68)^12)</f>
        <v>1.6024619530918494</v>
      </c>
    </row>
    <row r="69" spans="1:14" x14ac:dyDescent="0.25">
      <c r="A69">
        <v>66</v>
      </c>
      <c r="B69">
        <v>4.4811639999999997</v>
      </c>
      <c r="I69">
        <f>'S-Curve'!A68</f>
        <v>-184</v>
      </c>
      <c r="J69" s="2">
        <f>'S-Curve'!C68</f>
        <v>2.7307877713830006E-4</v>
      </c>
      <c r="K69" s="3">
        <f t="shared" si="4"/>
        <v>6.5190703764462967E-4</v>
      </c>
      <c r="L69" s="3">
        <f t="shared" si="5"/>
        <v>1.3452985646394472E-3</v>
      </c>
      <c r="M69">
        <f t="shared" si="6"/>
        <v>0.77948964494071182</v>
      </c>
      <c r="N69">
        <f t="shared" si="7"/>
        <v>1.6024668141797038</v>
      </c>
    </row>
    <row r="70" spans="1:14" x14ac:dyDescent="0.25">
      <c r="A70">
        <v>67</v>
      </c>
      <c r="B70">
        <v>4.5819029999999996</v>
      </c>
      <c r="I70">
        <f>'S-Curve'!A69</f>
        <v>-183</v>
      </c>
      <c r="J70" s="2">
        <f>'S-Curve'!C69</f>
        <v>2.730796116888E-4</v>
      </c>
      <c r="K70" s="3">
        <f t="shared" si="4"/>
        <v>6.519090299244762E-4</v>
      </c>
      <c r="L70" s="3">
        <f t="shared" si="5"/>
        <v>1.3453026759790445E-3</v>
      </c>
      <c r="M70">
        <f t="shared" si="6"/>
        <v>0.77949201858843464</v>
      </c>
      <c r="N70">
        <f t="shared" si="7"/>
        <v>1.602471675267314</v>
      </c>
    </row>
    <row r="71" spans="1:14" x14ac:dyDescent="0.25">
      <c r="A71">
        <v>68</v>
      </c>
      <c r="B71">
        <v>4.6894600000000004</v>
      </c>
      <c r="I71">
        <f>'S-Curve'!A70</f>
        <v>-182</v>
      </c>
      <c r="J71" s="2">
        <f>'S-Curve'!C70</f>
        <v>2.7308044623930005E-4</v>
      </c>
      <c r="K71" s="3">
        <f t="shared" si="4"/>
        <v>6.5191102220432283E-4</v>
      </c>
      <c r="L71" s="3">
        <f t="shared" si="5"/>
        <v>1.3453067873186427E-3</v>
      </c>
      <c r="M71">
        <f t="shared" si="6"/>
        <v>0.77949439223594652</v>
      </c>
      <c r="N71">
        <f t="shared" si="7"/>
        <v>1.6024765363545579</v>
      </c>
    </row>
    <row r="72" spans="1:14" x14ac:dyDescent="0.25">
      <c r="A72">
        <v>69</v>
      </c>
      <c r="B72">
        <v>4.8044760000000002</v>
      </c>
      <c r="I72">
        <f>'S-Curve'!A71</f>
        <v>-181</v>
      </c>
      <c r="J72" s="2">
        <f>'S-Curve'!C71</f>
        <v>2.7308144769990004E-4</v>
      </c>
      <c r="K72" s="3">
        <f t="shared" si="4"/>
        <v>6.5191341294013874E-4</v>
      </c>
      <c r="L72" s="3">
        <f t="shared" si="5"/>
        <v>1.34531172092616E-3</v>
      </c>
      <c r="M72">
        <f t="shared" si="6"/>
        <v>0.77949724061302517</v>
      </c>
      <c r="N72">
        <f t="shared" si="7"/>
        <v>1.6024823696591639</v>
      </c>
    </row>
    <row r="73" spans="1:14" x14ac:dyDescent="0.25">
      <c r="A73">
        <v>70</v>
      </c>
      <c r="B73">
        <v>4.926412</v>
      </c>
      <c r="I73">
        <f>'S-Curve'!A72</f>
        <v>-180</v>
      </c>
      <c r="J73" s="2">
        <f>'S-Curve'!C72</f>
        <v>2.7308228225039999E-4</v>
      </c>
      <c r="K73" s="3">
        <f t="shared" si="4"/>
        <v>6.5191540521998515E-4</v>
      </c>
      <c r="L73" s="3">
        <f t="shared" si="5"/>
        <v>1.3453158322657575E-3</v>
      </c>
      <c r="M73">
        <f t="shared" si="6"/>
        <v>0.77949961426058145</v>
      </c>
      <c r="N73">
        <f t="shared" si="7"/>
        <v>1.6024872307460081</v>
      </c>
    </row>
    <row r="74" spans="1:14" x14ac:dyDescent="0.25">
      <c r="A74">
        <v>71</v>
      </c>
      <c r="B74">
        <v>5.054729</v>
      </c>
      <c r="I74">
        <f>'S-Curve'!A73</f>
        <v>-179</v>
      </c>
      <c r="J74" s="2">
        <f>'S-Curve'!C73</f>
        <v>2.7308311680090003E-4</v>
      </c>
      <c r="K74" s="3">
        <f t="shared" si="4"/>
        <v>6.5191739749983189E-4</v>
      </c>
      <c r="L74" s="3">
        <f t="shared" si="5"/>
        <v>1.3453199436053555E-3</v>
      </c>
      <c r="M74">
        <f t="shared" si="6"/>
        <v>0.7795019879079601</v>
      </c>
      <c r="N74">
        <f t="shared" si="7"/>
        <v>1.6024920918327079</v>
      </c>
    </row>
    <row r="75" spans="1:14" x14ac:dyDescent="0.25">
      <c r="A75">
        <v>72</v>
      </c>
      <c r="B75">
        <v>5.1888889999999996</v>
      </c>
      <c r="I75">
        <f>'S-Curve'!A74</f>
        <v>-178</v>
      </c>
      <c r="J75" s="2">
        <f>'S-Curve'!C74</f>
        <v>2.7308395135139998E-4</v>
      </c>
      <c r="K75" s="3">
        <f t="shared" si="4"/>
        <v>6.519193897796783E-4</v>
      </c>
      <c r="L75" s="3">
        <f t="shared" si="5"/>
        <v>1.3453240549449531E-3</v>
      </c>
      <c r="M75">
        <f t="shared" si="6"/>
        <v>0.77950436155537206</v>
      </c>
      <c r="N75">
        <f t="shared" si="7"/>
        <v>1.6024969529191302</v>
      </c>
    </row>
    <row r="76" spans="1:14" x14ac:dyDescent="0.25">
      <c r="A76">
        <v>73</v>
      </c>
      <c r="B76">
        <v>5.3283529999999999</v>
      </c>
      <c r="I76">
        <f>'S-Curve'!A75</f>
        <v>-177</v>
      </c>
      <c r="J76" s="2">
        <f>'S-Curve'!C75</f>
        <v>2.7308478590190003E-4</v>
      </c>
      <c r="K76" s="3">
        <f t="shared" si="4"/>
        <v>6.5192138205952494E-4</v>
      </c>
      <c r="L76" s="3">
        <f t="shared" si="5"/>
        <v>1.345328166284551E-3</v>
      </c>
      <c r="M76">
        <f t="shared" si="6"/>
        <v>0.77950673520266189</v>
      </c>
      <c r="N76">
        <f t="shared" si="7"/>
        <v>1.602501814005397</v>
      </c>
    </row>
    <row r="77" spans="1:14" x14ac:dyDescent="0.25">
      <c r="A77">
        <v>74</v>
      </c>
      <c r="B77">
        <v>5.4725820000000001</v>
      </c>
      <c r="I77">
        <f>'S-Curve'!A76</f>
        <v>-176</v>
      </c>
      <c r="J77" s="2">
        <f>'S-Curve'!C76</f>
        <v>2.7308562045240002E-4</v>
      </c>
      <c r="K77" s="3">
        <f t="shared" si="4"/>
        <v>6.5192337433937157E-4</v>
      </c>
      <c r="L77" s="3">
        <f t="shared" si="5"/>
        <v>1.3453322776241488E-3</v>
      </c>
      <c r="M77">
        <f t="shared" si="6"/>
        <v>0.77950910884994062</v>
      </c>
      <c r="N77">
        <f t="shared" si="7"/>
        <v>1.6025066750914752</v>
      </c>
    </row>
    <row r="78" spans="1:14" x14ac:dyDescent="0.25">
      <c r="A78">
        <v>75</v>
      </c>
      <c r="B78">
        <v>5.6210370000000003</v>
      </c>
      <c r="I78">
        <f>'S-Curve'!A77</f>
        <v>-175</v>
      </c>
      <c r="J78" s="2">
        <f>'S-Curve'!C77</f>
        <v>2.7308645500290002E-4</v>
      </c>
      <c r="K78" s="3">
        <f t="shared" si="4"/>
        <v>6.5192536661921809E-4</v>
      </c>
      <c r="L78" s="3">
        <f t="shared" si="5"/>
        <v>1.3453363889637468E-3</v>
      </c>
      <c r="M78">
        <f t="shared" si="6"/>
        <v>0.77951148249711943</v>
      </c>
      <c r="N78">
        <f t="shared" si="7"/>
        <v>1.6025115361772646</v>
      </c>
    </row>
    <row r="79" spans="1:14" x14ac:dyDescent="0.25">
      <c r="A79">
        <v>76</v>
      </c>
      <c r="B79">
        <v>5.77318</v>
      </c>
      <c r="I79">
        <f>'S-Curve'!A78</f>
        <v>-174</v>
      </c>
      <c r="J79" s="2">
        <f>'S-Curve'!C78</f>
        <v>2.7308728955340001E-4</v>
      </c>
      <c r="K79" s="3">
        <f t="shared" si="4"/>
        <v>6.5192735889906472E-4</v>
      </c>
      <c r="L79" s="3">
        <f t="shared" si="5"/>
        <v>1.3453405003033445E-3</v>
      </c>
      <c r="M79">
        <f t="shared" si="6"/>
        <v>0.77951385614432045</v>
      </c>
      <c r="N79">
        <f t="shared" si="7"/>
        <v>1.6025163972627765</v>
      </c>
    </row>
    <row r="80" spans="1:14" x14ac:dyDescent="0.25">
      <c r="A80">
        <v>77</v>
      </c>
      <c r="B80">
        <v>5.9284720000000002</v>
      </c>
      <c r="I80">
        <f>'S-Curve'!A79</f>
        <v>-173</v>
      </c>
      <c r="J80" s="2">
        <f>'S-Curve'!C79</f>
        <v>2.7308812410390001E-4</v>
      </c>
      <c r="K80" s="3">
        <f t="shared" si="4"/>
        <v>6.5192935117891124E-4</v>
      </c>
      <c r="L80" s="3">
        <f t="shared" si="5"/>
        <v>1.3453446116429423E-3</v>
      </c>
      <c r="M80">
        <f t="shared" si="6"/>
        <v>0.77951622979139934</v>
      </c>
      <c r="N80">
        <f t="shared" si="7"/>
        <v>1.6025212583481774</v>
      </c>
    </row>
    <row r="81" spans="1:14" x14ac:dyDescent="0.25">
      <c r="A81">
        <v>78</v>
      </c>
      <c r="B81">
        <v>6.0863750000000003</v>
      </c>
      <c r="I81">
        <f>'S-Curve'!A80</f>
        <v>-172</v>
      </c>
      <c r="J81" s="2">
        <f>'S-Curve'!C80</f>
        <v>2.730889586544E-4</v>
      </c>
      <c r="K81" s="3">
        <f t="shared" si="4"/>
        <v>6.5193134345875776E-4</v>
      </c>
      <c r="L81" s="3">
        <f t="shared" si="5"/>
        <v>1.3453487229825401E-3</v>
      </c>
      <c r="M81">
        <f t="shared" si="6"/>
        <v>0.77951860343848933</v>
      </c>
      <c r="N81">
        <f t="shared" si="7"/>
        <v>1.6025261194332896</v>
      </c>
    </row>
    <row r="82" spans="1:14" x14ac:dyDescent="0.25">
      <c r="A82">
        <v>79</v>
      </c>
      <c r="B82">
        <v>6.2463490000000004</v>
      </c>
      <c r="I82">
        <f>'S-Curve'!A81</f>
        <v>-171</v>
      </c>
      <c r="J82" s="2">
        <f>'S-Curve'!C81</f>
        <v>2.7308996011500005E-4</v>
      </c>
      <c r="K82" s="3">
        <f t="shared" si="4"/>
        <v>6.5193373419457378E-4</v>
      </c>
      <c r="L82" s="3">
        <f t="shared" si="5"/>
        <v>1.3453536565900576E-3</v>
      </c>
      <c r="M82">
        <f t="shared" si="6"/>
        <v>0.77952145181493515</v>
      </c>
      <c r="N82">
        <f t="shared" si="7"/>
        <v>1.6025319527352089</v>
      </c>
    </row>
    <row r="83" spans="1:14" x14ac:dyDescent="0.25">
      <c r="A83">
        <v>80</v>
      </c>
      <c r="B83">
        <v>6.4078559999999998</v>
      </c>
      <c r="I83">
        <f>'S-Curve'!A82</f>
        <v>-170</v>
      </c>
      <c r="J83" s="2">
        <f>'S-Curve'!C82</f>
        <v>2.7309079466549999E-4</v>
      </c>
      <c r="K83" s="3">
        <f t="shared" si="4"/>
        <v>6.519357264744202E-4</v>
      </c>
      <c r="L83" s="3">
        <f t="shared" si="5"/>
        <v>1.3453577679296551E-3</v>
      </c>
      <c r="M83">
        <f t="shared" si="6"/>
        <v>0.7795238254618142</v>
      </c>
      <c r="N83">
        <f t="shared" si="7"/>
        <v>1.6025368138198437</v>
      </c>
    </row>
    <row r="84" spans="1:14" x14ac:dyDescent="0.25">
      <c r="A84">
        <v>81</v>
      </c>
      <c r="B84">
        <v>6.5703569999999996</v>
      </c>
      <c r="I84">
        <f>'S-Curve'!A83</f>
        <v>-169</v>
      </c>
      <c r="J84" s="2">
        <f>'S-Curve'!C83</f>
        <v>2.7309162921600004E-4</v>
      </c>
      <c r="K84" s="3">
        <f t="shared" si="4"/>
        <v>6.5193771875426694E-4</v>
      </c>
      <c r="L84" s="3">
        <f t="shared" si="5"/>
        <v>1.3453618792692531E-3</v>
      </c>
      <c r="M84">
        <f t="shared" si="6"/>
        <v>0.77952619910874876</v>
      </c>
      <c r="N84">
        <f t="shared" si="7"/>
        <v>1.6025416749042232</v>
      </c>
    </row>
    <row r="85" spans="1:14" x14ac:dyDescent="0.25">
      <c r="A85">
        <v>82</v>
      </c>
      <c r="B85">
        <v>6.7333129999999999</v>
      </c>
      <c r="I85">
        <f>'S-Curve'!A84</f>
        <v>-168</v>
      </c>
      <c r="J85" s="2">
        <f>'S-Curve'!C84</f>
        <v>2.7309246376650004E-4</v>
      </c>
      <c r="K85" s="3">
        <f t="shared" si="4"/>
        <v>6.5193971103411346E-4</v>
      </c>
      <c r="L85" s="3">
        <f t="shared" si="5"/>
        <v>1.3453659906088511E-3</v>
      </c>
      <c r="M85">
        <f t="shared" si="6"/>
        <v>0.77952857275572773</v>
      </c>
      <c r="N85">
        <f t="shared" si="7"/>
        <v>1.6025465359884694</v>
      </c>
    </row>
    <row r="86" spans="1:14" x14ac:dyDescent="0.25">
      <c r="A86">
        <v>83</v>
      </c>
      <c r="B86">
        <v>6.8961870000000003</v>
      </c>
      <c r="I86">
        <f>'S-Curve'!A85</f>
        <v>-167</v>
      </c>
      <c r="J86" s="2">
        <f>'S-Curve'!C85</f>
        <v>2.7309329831700003E-4</v>
      </c>
      <c r="K86" s="3">
        <f t="shared" si="4"/>
        <v>6.5194170331396009E-4</v>
      </c>
      <c r="L86" s="3">
        <f t="shared" si="5"/>
        <v>1.3453701019484488E-3</v>
      </c>
      <c r="M86">
        <f t="shared" si="6"/>
        <v>0.77953094640246245</v>
      </c>
      <c r="N86">
        <f t="shared" si="7"/>
        <v>1.6025513970724714</v>
      </c>
    </row>
    <row r="87" spans="1:14" x14ac:dyDescent="0.25">
      <c r="A87">
        <v>84</v>
      </c>
      <c r="B87">
        <v>7.0584379999999998</v>
      </c>
      <c r="I87">
        <f>'S-Curve'!A86</f>
        <v>-166</v>
      </c>
      <c r="J87" s="2">
        <f>'S-Curve'!C86</f>
        <v>2.7309413286750003E-4</v>
      </c>
      <c r="K87" s="3">
        <f t="shared" si="4"/>
        <v>6.5194369559380661E-4</v>
      </c>
      <c r="L87" s="3">
        <f t="shared" si="5"/>
        <v>1.3453742132880466E-3</v>
      </c>
      <c r="M87">
        <f t="shared" si="6"/>
        <v>0.77953332004925269</v>
      </c>
      <c r="N87">
        <f t="shared" si="7"/>
        <v>1.6025562581562292</v>
      </c>
    </row>
    <row r="88" spans="1:14" x14ac:dyDescent="0.25">
      <c r="A88">
        <v>85</v>
      </c>
      <c r="B88">
        <v>7.2195289999999996</v>
      </c>
      <c r="I88">
        <f>'S-Curve'!A87</f>
        <v>-165</v>
      </c>
      <c r="J88" s="2">
        <f>'S-Curve'!C87</f>
        <v>2.7309496741800002E-4</v>
      </c>
      <c r="K88" s="3">
        <f t="shared" si="4"/>
        <v>6.5194568787365313E-4</v>
      </c>
      <c r="L88" s="3">
        <f t="shared" si="5"/>
        <v>1.3453783246276444E-3</v>
      </c>
      <c r="M88">
        <f t="shared" si="6"/>
        <v>0.77953569369582087</v>
      </c>
      <c r="N88">
        <f t="shared" si="7"/>
        <v>1.602561119239776</v>
      </c>
    </row>
    <row r="89" spans="1:14" x14ac:dyDescent="0.25">
      <c r="A89">
        <v>86</v>
      </c>
      <c r="B89">
        <v>7.3953800000000003</v>
      </c>
      <c r="I89">
        <f>'S-Curve'!A88</f>
        <v>-164</v>
      </c>
      <c r="J89" s="2">
        <f>'S-Curve'!C88</f>
        <v>2.7309580196850002E-4</v>
      </c>
      <c r="K89" s="3">
        <f t="shared" si="4"/>
        <v>6.5194768015349976E-4</v>
      </c>
      <c r="L89" s="3">
        <f t="shared" si="5"/>
        <v>1.3453824359672421E-3</v>
      </c>
      <c r="M89">
        <f t="shared" si="6"/>
        <v>0.77953806734253339</v>
      </c>
      <c r="N89">
        <f t="shared" si="7"/>
        <v>1.6025659803231451</v>
      </c>
    </row>
    <row r="90" spans="1:14" x14ac:dyDescent="0.25">
      <c r="A90">
        <v>87</v>
      </c>
      <c r="B90">
        <v>7.6098160000000004</v>
      </c>
      <c r="I90">
        <f>'S-Curve'!A89</f>
        <v>-163</v>
      </c>
      <c r="J90" s="2">
        <f>'S-Curve'!C89</f>
        <v>2.7309663651900001E-4</v>
      </c>
      <c r="K90" s="3">
        <f t="shared" si="4"/>
        <v>6.5194967243334628E-4</v>
      </c>
      <c r="L90" s="3">
        <f t="shared" si="5"/>
        <v>1.3453865473068399E-3</v>
      </c>
      <c r="M90">
        <f t="shared" si="6"/>
        <v>0.77954044098904607</v>
      </c>
      <c r="N90">
        <f t="shared" si="7"/>
        <v>1.6025708414062256</v>
      </c>
    </row>
    <row r="91" spans="1:14" x14ac:dyDescent="0.25">
      <c r="A91">
        <v>88</v>
      </c>
      <c r="B91">
        <v>7.8393949999999997</v>
      </c>
      <c r="I91">
        <f>'S-Curve'!A90</f>
        <v>-162</v>
      </c>
      <c r="J91" s="2">
        <f>'S-Curve'!C90</f>
        <v>2.7309747106950001E-4</v>
      </c>
      <c r="K91" s="3">
        <f t="shared" si="4"/>
        <v>6.5195166471319291E-4</v>
      </c>
      <c r="L91" s="3">
        <f t="shared" si="5"/>
        <v>1.3453906586464376E-3</v>
      </c>
      <c r="M91">
        <f t="shared" si="6"/>
        <v>0.77954281463565867</v>
      </c>
      <c r="N91">
        <f t="shared" si="7"/>
        <v>1.6025757024891396</v>
      </c>
    </row>
    <row r="92" spans="1:14" x14ac:dyDescent="0.25">
      <c r="A92">
        <v>89</v>
      </c>
      <c r="B92">
        <v>8.0590469999999996</v>
      </c>
      <c r="I92">
        <f>'S-Curve'!A91</f>
        <v>-161</v>
      </c>
      <c r="J92" s="2">
        <f>'S-Curve'!C91</f>
        <v>2.730984725301E-4</v>
      </c>
      <c r="K92" s="3">
        <f t="shared" si="4"/>
        <v>6.5195405544900872E-4</v>
      </c>
      <c r="L92" s="3">
        <f t="shared" si="5"/>
        <v>1.345395592253955E-3</v>
      </c>
      <c r="M92">
        <f t="shared" si="6"/>
        <v>0.77954566301147166</v>
      </c>
      <c r="N92">
        <f t="shared" si="7"/>
        <v>1.6025815357883055</v>
      </c>
    </row>
    <row r="93" spans="1:14" x14ac:dyDescent="0.25">
      <c r="A93">
        <v>90</v>
      </c>
      <c r="B93">
        <v>8.2437009999999997</v>
      </c>
      <c r="I93">
        <f>'S-Curve'!A92</f>
        <v>-160</v>
      </c>
      <c r="J93" s="2">
        <f>'S-Curve'!C92</f>
        <v>2.730993070806E-4</v>
      </c>
      <c r="K93" s="3">
        <f t="shared" si="4"/>
        <v>6.5195604772885535E-4</v>
      </c>
      <c r="L93" s="3">
        <f t="shared" si="5"/>
        <v>1.3453997035935527E-3</v>
      </c>
      <c r="M93">
        <f t="shared" si="6"/>
        <v>0.77954803665777339</v>
      </c>
      <c r="N93">
        <f t="shared" si="7"/>
        <v>1.6025863968707643</v>
      </c>
    </row>
    <row r="94" spans="1:14" x14ac:dyDescent="0.25">
      <c r="A94">
        <v>91</v>
      </c>
      <c r="B94">
        <v>8.3682870000000005</v>
      </c>
      <c r="I94">
        <f>'S-Curve'!A93</f>
        <v>-159</v>
      </c>
      <c r="J94" s="2">
        <f>'S-Curve'!C93</f>
        <v>2.7310014163109999E-4</v>
      </c>
      <c r="K94" s="3">
        <f t="shared" si="4"/>
        <v>6.5195804000870187E-4</v>
      </c>
      <c r="L94" s="3">
        <f t="shared" si="5"/>
        <v>1.3454038149331505E-3</v>
      </c>
      <c r="M94">
        <f t="shared" si="6"/>
        <v>0.77955041030425276</v>
      </c>
      <c r="N94">
        <f t="shared" si="7"/>
        <v>1.6025912579529455</v>
      </c>
    </row>
    <row r="95" spans="1:14" x14ac:dyDescent="0.25">
      <c r="A95">
        <v>92</v>
      </c>
      <c r="B95">
        <v>8.4090419999999995</v>
      </c>
      <c r="I95">
        <f>'S-Curve'!A94</f>
        <v>-158</v>
      </c>
      <c r="J95" s="2">
        <f>'S-Curve'!C94</f>
        <v>2.7310097618160004E-4</v>
      </c>
      <c r="K95" s="3">
        <f t="shared" si="4"/>
        <v>6.5196003228854861E-4</v>
      </c>
      <c r="L95" s="3">
        <f t="shared" si="5"/>
        <v>1.3454079262727487E-3</v>
      </c>
      <c r="M95">
        <f t="shared" si="6"/>
        <v>0.77955278395047678</v>
      </c>
      <c r="N95">
        <f t="shared" si="7"/>
        <v>1.6025961190348603</v>
      </c>
    </row>
    <row r="96" spans="1:14" x14ac:dyDescent="0.25">
      <c r="A96">
        <v>93</v>
      </c>
      <c r="B96">
        <v>8.4137679999999992</v>
      </c>
      <c r="I96">
        <f>'S-Curve'!A95</f>
        <v>-157</v>
      </c>
      <c r="J96" s="2">
        <f>'S-Curve'!C95</f>
        <v>2.7310181073209998E-4</v>
      </c>
      <c r="K96" s="3">
        <f t="shared" si="4"/>
        <v>6.5196202456839502E-4</v>
      </c>
      <c r="L96" s="3">
        <f t="shared" si="5"/>
        <v>1.3454120376123462E-3</v>
      </c>
      <c r="M96">
        <f t="shared" si="6"/>
        <v>0.77955515759675631</v>
      </c>
      <c r="N96">
        <f t="shared" si="7"/>
        <v>1.6026009801164975</v>
      </c>
    </row>
    <row r="97" spans="1:14" x14ac:dyDescent="0.25">
      <c r="A97">
        <v>94</v>
      </c>
      <c r="B97">
        <v>8.4174330000000008</v>
      </c>
      <c r="I97">
        <f>'S-Curve'!A96</f>
        <v>-156</v>
      </c>
      <c r="J97" s="2">
        <f>'S-Curve'!C96</f>
        <v>2.7310264528260003E-4</v>
      </c>
      <c r="K97" s="3">
        <f t="shared" si="4"/>
        <v>6.5196401684824165E-4</v>
      </c>
      <c r="L97" s="3">
        <f t="shared" si="5"/>
        <v>1.3454161489519442E-3</v>
      </c>
      <c r="M97">
        <f t="shared" si="6"/>
        <v>0.77955753124291371</v>
      </c>
      <c r="N97">
        <f t="shared" si="7"/>
        <v>1.6026058411980237</v>
      </c>
    </row>
    <row r="98" spans="1:14" x14ac:dyDescent="0.25">
      <c r="A98">
        <v>95</v>
      </c>
      <c r="B98">
        <v>8.4201759999999997</v>
      </c>
      <c r="I98">
        <f>'S-Curve'!A97</f>
        <v>-155</v>
      </c>
      <c r="J98" s="2">
        <f>'S-Curve'!C97</f>
        <v>2.7310347983310003E-4</v>
      </c>
      <c r="K98" s="3">
        <f t="shared" si="4"/>
        <v>6.5196600912808828E-4</v>
      </c>
      <c r="L98" s="3">
        <f t="shared" si="5"/>
        <v>1.345420260291542E-3</v>
      </c>
      <c r="M98">
        <f t="shared" si="6"/>
        <v>0.77955990488917104</v>
      </c>
      <c r="N98">
        <f t="shared" si="7"/>
        <v>1.6026107022793279</v>
      </c>
    </row>
    <row r="99" spans="1:14" x14ac:dyDescent="0.25">
      <c r="A99">
        <v>96</v>
      </c>
      <c r="B99">
        <v>8.4221350000000008</v>
      </c>
      <c r="I99">
        <f>'S-Curve'!A98</f>
        <v>-154</v>
      </c>
      <c r="J99" s="2">
        <f>'S-Curve'!C98</f>
        <v>2.7310431438360002E-4</v>
      </c>
      <c r="K99" s="3">
        <f t="shared" si="4"/>
        <v>6.5196800140793481E-4</v>
      </c>
      <c r="L99" s="3">
        <f t="shared" si="5"/>
        <v>1.3454243716311397E-3</v>
      </c>
      <c r="M99">
        <f t="shared" si="6"/>
        <v>0.77956227853535065</v>
      </c>
      <c r="N99">
        <f t="shared" si="7"/>
        <v>1.6026155633604655</v>
      </c>
    </row>
    <row r="100" spans="1:14" x14ac:dyDescent="0.25">
      <c r="A100">
        <v>97</v>
      </c>
      <c r="B100">
        <v>8.4234480000000005</v>
      </c>
      <c r="I100">
        <f>'S-Curve'!A99</f>
        <v>-153</v>
      </c>
      <c r="J100" s="2">
        <f>'S-Curve'!C99</f>
        <v>2.7310514893410002E-4</v>
      </c>
      <c r="K100" s="3">
        <f t="shared" si="4"/>
        <v>6.5196999368778144E-4</v>
      </c>
      <c r="L100" s="3">
        <f t="shared" si="5"/>
        <v>1.3454284829707375E-3</v>
      </c>
      <c r="M100">
        <f t="shared" si="6"/>
        <v>0.77956465218130822</v>
      </c>
      <c r="N100">
        <f t="shared" si="7"/>
        <v>1.6026204244413145</v>
      </c>
    </row>
    <row r="101" spans="1:14" x14ac:dyDescent="0.25">
      <c r="A101">
        <v>98</v>
      </c>
      <c r="B101">
        <v>8.4242539999999995</v>
      </c>
      <c r="I101">
        <f>'S-Curve'!A100</f>
        <v>-152</v>
      </c>
      <c r="J101" s="2">
        <f>'S-Curve'!C100</f>
        <v>2.7310598348460001E-4</v>
      </c>
      <c r="K101" s="3">
        <f t="shared" si="4"/>
        <v>6.5197198596762796E-4</v>
      </c>
      <c r="L101" s="3">
        <f t="shared" si="5"/>
        <v>1.3454325943103352E-3</v>
      </c>
      <c r="M101">
        <f t="shared" si="6"/>
        <v>0.77956702582739901</v>
      </c>
      <c r="N101">
        <f t="shared" si="7"/>
        <v>1.6026252855219636</v>
      </c>
    </row>
    <row r="102" spans="1:14" x14ac:dyDescent="0.25">
      <c r="A102">
        <v>99</v>
      </c>
      <c r="B102">
        <v>8.4246909999999993</v>
      </c>
      <c r="I102">
        <f>'S-Curve'!A101</f>
        <v>-151</v>
      </c>
      <c r="J102" s="2">
        <f>'S-Curve'!C101</f>
        <v>2.7310698494520001E-4</v>
      </c>
      <c r="K102" s="3">
        <f t="shared" si="4"/>
        <v>6.5197437670344387E-4</v>
      </c>
      <c r="L102" s="3">
        <f t="shared" si="5"/>
        <v>1.3454375279178528E-3</v>
      </c>
      <c r="M102">
        <f t="shared" si="6"/>
        <v>0.77956987420242374</v>
      </c>
      <c r="N102">
        <f t="shared" si="7"/>
        <v>1.6026311188184206</v>
      </c>
    </row>
    <row r="103" spans="1:14" x14ac:dyDescent="0.25">
      <c r="A103">
        <v>100</v>
      </c>
      <c r="B103">
        <v>8.4248960000000004</v>
      </c>
      <c r="I103">
        <f>'S-Curve'!A102</f>
        <v>-150</v>
      </c>
      <c r="J103" s="2">
        <f>'S-Curve'!C102</f>
        <v>2.7310781949570006E-4</v>
      </c>
      <c r="K103" s="3">
        <f t="shared" si="4"/>
        <v>6.519763689832905E-4</v>
      </c>
      <c r="L103" s="3">
        <f t="shared" si="5"/>
        <v>1.3454416392574507E-3</v>
      </c>
      <c r="M103">
        <f t="shared" si="6"/>
        <v>0.77957224784830359</v>
      </c>
      <c r="N103">
        <f t="shared" si="7"/>
        <v>1.602635979898559</v>
      </c>
    </row>
    <row r="104" spans="1:14" x14ac:dyDescent="0.25">
      <c r="A104">
        <v>101</v>
      </c>
      <c r="B104">
        <v>8.4250100000000003</v>
      </c>
      <c r="I104">
        <f>'S-Curve'!A103</f>
        <v>-149</v>
      </c>
      <c r="J104" s="2">
        <f>'S-Curve'!C103</f>
        <v>2.731086540462E-4</v>
      </c>
      <c r="K104" s="3">
        <f t="shared" si="4"/>
        <v>6.5197836126313692E-4</v>
      </c>
      <c r="L104" s="3">
        <f t="shared" si="5"/>
        <v>1.3454457505970483E-3</v>
      </c>
      <c r="M104">
        <f t="shared" si="6"/>
        <v>0.77957462149423895</v>
      </c>
      <c r="N104">
        <f t="shared" si="7"/>
        <v>1.6026408409785087</v>
      </c>
    </row>
    <row r="105" spans="1:14" x14ac:dyDescent="0.25">
      <c r="A105">
        <v>102</v>
      </c>
      <c r="B105">
        <v>8.4251240000000003</v>
      </c>
      <c r="I105">
        <f>'S-Curve'!A104</f>
        <v>-148</v>
      </c>
      <c r="J105" s="2">
        <f>'S-Curve'!C104</f>
        <v>2.7310948859670005E-4</v>
      </c>
      <c r="K105" s="3">
        <f t="shared" si="4"/>
        <v>6.5198035354298365E-4</v>
      </c>
      <c r="L105" s="3">
        <f t="shared" si="5"/>
        <v>1.3454498619366463E-3</v>
      </c>
      <c r="M105">
        <f t="shared" si="6"/>
        <v>0.77957699513996337</v>
      </c>
      <c r="N105">
        <f t="shared" si="7"/>
        <v>1.6026457020582474</v>
      </c>
    </row>
    <row r="106" spans="1:14" x14ac:dyDescent="0.25">
      <c r="A106">
        <v>103</v>
      </c>
      <c r="B106">
        <v>8.4252380000000002</v>
      </c>
      <c r="I106">
        <f>'S-Curve'!A105</f>
        <v>-147</v>
      </c>
      <c r="J106" s="2">
        <f>'S-Curve'!C105</f>
        <v>2.7311032314719999E-4</v>
      </c>
      <c r="K106" s="3">
        <f t="shared" si="4"/>
        <v>6.5198234582283007E-4</v>
      </c>
      <c r="L106" s="3">
        <f t="shared" si="5"/>
        <v>1.3454539732762438E-3</v>
      </c>
      <c r="M106">
        <f t="shared" si="6"/>
        <v>0.77957936878569889</v>
      </c>
      <c r="N106">
        <f t="shared" si="7"/>
        <v>1.6026505631377419</v>
      </c>
    </row>
    <row r="107" spans="1:14" x14ac:dyDescent="0.25">
      <c r="A107">
        <v>104</v>
      </c>
      <c r="B107">
        <v>8.4253520000000002</v>
      </c>
      <c r="I107">
        <f>'S-Curve'!A106</f>
        <v>-146</v>
      </c>
      <c r="J107" s="2">
        <f>'S-Curve'!C106</f>
        <v>2.7311115769769999E-4</v>
      </c>
      <c r="K107" s="3">
        <f t="shared" si="4"/>
        <v>6.5198433810267659E-4</v>
      </c>
      <c r="L107" s="3">
        <f t="shared" si="5"/>
        <v>1.3454580846158416E-3</v>
      </c>
      <c r="M107">
        <f t="shared" si="6"/>
        <v>0.77958174243135669</v>
      </c>
      <c r="N107">
        <f t="shared" si="7"/>
        <v>1.6026554242170143</v>
      </c>
    </row>
    <row r="108" spans="1:14" x14ac:dyDescent="0.25">
      <c r="A108">
        <v>105</v>
      </c>
      <c r="B108">
        <v>8.4254669999999994</v>
      </c>
      <c r="I108">
        <f>'S-Curve'!A107</f>
        <v>-145</v>
      </c>
      <c r="J108" s="2">
        <f>'S-Curve'!C107</f>
        <v>2.7311199224820004E-4</v>
      </c>
      <c r="K108" s="3">
        <f t="shared" si="4"/>
        <v>6.5198633038252333E-4</v>
      </c>
      <c r="L108" s="3">
        <f t="shared" si="5"/>
        <v>1.3454621959554396E-3</v>
      </c>
      <c r="M108">
        <f t="shared" si="6"/>
        <v>0.7795841160770145</v>
      </c>
      <c r="N108">
        <f t="shared" si="7"/>
        <v>1.602660285296087</v>
      </c>
    </row>
    <row r="109" spans="1:14" x14ac:dyDescent="0.25">
      <c r="A109">
        <v>106</v>
      </c>
      <c r="B109">
        <v>8.4255809999999993</v>
      </c>
      <c r="I109">
        <f>'S-Curve'!A108</f>
        <v>-144</v>
      </c>
      <c r="J109" s="2">
        <f>'S-Curve'!C108</f>
        <v>2.7311282679869998E-4</v>
      </c>
      <c r="K109" s="3">
        <f t="shared" si="4"/>
        <v>6.5198832266236974E-4</v>
      </c>
      <c r="L109" s="3">
        <f t="shared" si="5"/>
        <v>1.3454663072950371E-3</v>
      </c>
      <c r="M109">
        <f t="shared" si="6"/>
        <v>0.77958648972256128</v>
      </c>
      <c r="N109">
        <f t="shared" si="7"/>
        <v>1.6026651463749597</v>
      </c>
    </row>
    <row r="110" spans="1:14" x14ac:dyDescent="0.25">
      <c r="A110">
        <v>107</v>
      </c>
      <c r="B110">
        <v>8.4256949999999993</v>
      </c>
      <c r="I110">
        <f>'S-Curve'!A109</f>
        <v>-143</v>
      </c>
      <c r="J110" s="2">
        <f>'S-Curve'!C109</f>
        <v>2.7311366134920003E-4</v>
      </c>
      <c r="K110" s="3">
        <f t="shared" si="4"/>
        <v>6.5199031494221648E-4</v>
      </c>
      <c r="L110" s="3">
        <f t="shared" si="5"/>
        <v>1.3454704186346353E-3</v>
      </c>
      <c r="M110">
        <f t="shared" si="6"/>
        <v>0.77958886336814137</v>
      </c>
      <c r="N110">
        <f t="shared" si="7"/>
        <v>1.6026700074535882</v>
      </c>
    </row>
    <row r="111" spans="1:14" x14ac:dyDescent="0.25">
      <c r="A111">
        <v>108</v>
      </c>
      <c r="B111">
        <v>8.4258089999999992</v>
      </c>
      <c r="I111">
        <f>'S-Curve'!A110</f>
        <v>-142</v>
      </c>
      <c r="J111" s="2">
        <f>'S-Curve'!C110</f>
        <v>2.7311466280980002E-4</v>
      </c>
      <c r="K111" s="3">
        <f t="shared" si="4"/>
        <v>6.5199270567803229E-4</v>
      </c>
      <c r="L111" s="3">
        <f t="shared" si="5"/>
        <v>1.3454753522421526E-3</v>
      </c>
      <c r="M111">
        <f t="shared" si="6"/>
        <v>0.77959171174271091</v>
      </c>
      <c r="N111">
        <f t="shared" si="7"/>
        <v>1.6026758407475805</v>
      </c>
    </row>
    <row r="112" spans="1:14" x14ac:dyDescent="0.25">
      <c r="A112">
        <v>109</v>
      </c>
      <c r="B112">
        <v>8.4259240000000002</v>
      </c>
      <c r="I112">
        <f>'S-Curve'!A111</f>
        <v>-141</v>
      </c>
      <c r="J112" s="2">
        <f>'S-Curve'!C111</f>
        <v>2.7311549736030002E-4</v>
      </c>
      <c r="K112" s="3">
        <f t="shared" si="4"/>
        <v>6.5199469795787892E-4</v>
      </c>
      <c r="L112" s="3">
        <f t="shared" si="5"/>
        <v>1.3454794635817504E-3</v>
      </c>
      <c r="M112">
        <f t="shared" si="6"/>
        <v>0.77959408538804675</v>
      </c>
      <c r="N112">
        <f t="shared" si="7"/>
        <v>1.6026807018257538</v>
      </c>
    </row>
    <row r="113" spans="1:14" x14ac:dyDescent="0.25">
      <c r="A113">
        <v>110</v>
      </c>
      <c r="B113">
        <v>8.4260380000000001</v>
      </c>
      <c r="I113">
        <f>'S-Curve'!A112</f>
        <v>-140</v>
      </c>
      <c r="J113" s="2">
        <f>'S-Curve'!C112</f>
        <v>2.7311633191080001E-4</v>
      </c>
      <c r="K113" s="3">
        <f t="shared" si="4"/>
        <v>6.5199669023772544E-4</v>
      </c>
      <c r="L113" s="3">
        <f t="shared" si="5"/>
        <v>1.3454835749213481E-3</v>
      </c>
      <c r="M113">
        <f t="shared" si="6"/>
        <v>0.77959645903343811</v>
      </c>
      <c r="N113">
        <f t="shared" si="7"/>
        <v>1.6026855629036607</v>
      </c>
    </row>
    <row r="114" spans="1:14" x14ac:dyDescent="0.25">
      <c r="A114">
        <v>111</v>
      </c>
      <c r="B114">
        <v>8.4261520000000001</v>
      </c>
      <c r="I114">
        <f>'S-Curve'!A113</f>
        <v>-139</v>
      </c>
      <c r="J114" s="2">
        <f>'S-Curve'!C113</f>
        <v>2.7311716646130001E-4</v>
      </c>
      <c r="K114" s="3">
        <f t="shared" si="4"/>
        <v>6.5199868251757207E-4</v>
      </c>
      <c r="L114" s="3">
        <f t="shared" si="5"/>
        <v>1.3454876862609459E-3</v>
      </c>
      <c r="M114">
        <f t="shared" si="6"/>
        <v>0.77959883267868513</v>
      </c>
      <c r="N114">
        <f t="shared" si="7"/>
        <v>1.6026904239813899</v>
      </c>
    </row>
    <row r="115" spans="1:14" x14ac:dyDescent="0.25">
      <c r="A115">
        <v>112</v>
      </c>
      <c r="B115">
        <v>8.4262669999999993</v>
      </c>
      <c r="I115">
        <f>'S-Curve'!A114</f>
        <v>-138</v>
      </c>
      <c r="J115" s="2">
        <f>'S-Curve'!C114</f>
        <v>2.731180010118E-4</v>
      </c>
      <c r="K115" s="3">
        <f t="shared" si="4"/>
        <v>6.5200067479741859E-4</v>
      </c>
      <c r="L115" s="3">
        <f t="shared" si="5"/>
        <v>1.3454917976005436E-3</v>
      </c>
      <c r="M115">
        <f t="shared" si="6"/>
        <v>0.77960120632399876</v>
      </c>
      <c r="N115">
        <f t="shared" si="7"/>
        <v>1.6026952850588749</v>
      </c>
    </row>
    <row r="116" spans="1:14" x14ac:dyDescent="0.25">
      <c r="A116">
        <v>113</v>
      </c>
      <c r="B116">
        <v>8.4263809999999992</v>
      </c>
      <c r="I116">
        <f>'S-Curve'!A115</f>
        <v>-137</v>
      </c>
      <c r="J116" s="2">
        <f>'S-Curve'!C115</f>
        <v>2.7311883556230005E-4</v>
      </c>
      <c r="K116" s="3">
        <f t="shared" si="4"/>
        <v>6.5200266707726533E-4</v>
      </c>
      <c r="L116" s="3">
        <f t="shared" si="5"/>
        <v>1.3454959089401416E-3</v>
      </c>
      <c r="M116">
        <f t="shared" si="6"/>
        <v>0.77960357996914587</v>
      </c>
      <c r="N116">
        <f t="shared" si="7"/>
        <v>1.6027001461361046</v>
      </c>
    </row>
    <row r="117" spans="1:14" x14ac:dyDescent="0.25">
      <c r="A117">
        <v>114</v>
      </c>
      <c r="B117">
        <v>8.4264949999999992</v>
      </c>
      <c r="I117">
        <f>'S-Curve'!A116</f>
        <v>-136</v>
      </c>
      <c r="J117" s="2">
        <f>'S-Curve'!C116</f>
        <v>2.7311967011279999E-4</v>
      </c>
      <c r="K117" s="3">
        <f t="shared" si="4"/>
        <v>6.5200465935711174E-4</v>
      </c>
      <c r="L117" s="3">
        <f t="shared" si="5"/>
        <v>1.3455000202797392E-3</v>
      </c>
      <c r="M117">
        <f t="shared" si="6"/>
        <v>0.77960595361434848</v>
      </c>
      <c r="N117">
        <f t="shared" si="7"/>
        <v>1.6027050072131455</v>
      </c>
    </row>
    <row r="118" spans="1:14" x14ac:dyDescent="0.25">
      <c r="A118">
        <v>115</v>
      </c>
      <c r="B118">
        <v>8.4266089999999991</v>
      </c>
      <c r="I118">
        <f>'S-Curve'!A117</f>
        <v>-135</v>
      </c>
      <c r="J118" s="2">
        <f>'S-Curve'!C117</f>
        <v>2.7312050466330004E-4</v>
      </c>
      <c r="K118" s="3">
        <f t="shared" si="4"/>
        <v>6.5200665163695837E-4</v>
      </c>
      <c r="L118" s="3">
        <f t="shared" si="5"/>
        <v>1.3455041316193374E-3</v>
      </c>
      <c r="M118">
        <f t="shared" si="6"/>
        <v>0.77960832725955109</v>
      </c>
      <c r="N118">
        <f t="shared" si="7"/>
        <v>1.6027098682899976</v>
      </c>
    </row>
    <row r="119" spans="1:14" x14ac:dyDescent="0.25">
      <c r="A119">
        <v>116</v>
      </c>
      <c r="B119">
        <v>8.4267240000000001</v>
      </c>
      <c r="I119">
        <f>'S-Curve'!A118</f>
        <v>-134</v>
      </c>
      <c r="J119" s="2">
        <f>'S-Curve'!C118</f>
        <v>2.7312133921379998E-4</v>
      </c>
      <c r="K119" s="3">
        <f t="shared" si="4"/>
        <v>6.520086439168049E-4</v>
      </c>
      <c r="L119" s="3">
        <f t="shared" si="5"/>
        <v>1.3455082429589349E-3</v>
      </c>
      <c r="M119">
        <f t="shared" si="6"/>
        <v>0.77961070090448725</v>
      </c>
      <c r="N119">
        <f t="shared" si="7"/>
        <v>1.6027147293665833</v>
      </c>
    </row>
    <row r="120" spans="1:14" x14ac:dyDescent="0.25">
      <c r="A120">
        <v>117</v>
      </c>
      <c r="B120">
        <v>8.4268380000000001</v>
      </c>
      <c r="I120">
        <f>'S-Curve'!A119</f>
        <v>-133</v>
      </c>
      <c r="J120" s="2">
        <f>'S-Curve'!C119</f>
        <v>2.7312217376430003E-4</v>
      </c>
      <c r="K120" s="3">
        <f t="shared" si="4"/>
        <v>6.5201063619665153E-4</v>
      </c>
      <c r="L120" s="3">
        <f t="shared" si="5"/>
        <v>1.3455123542985329E-3</v>
      </c>
      <c r="M120">
        <f t="shared" si="6"/>
        <v>0.77961307454957884</v>
      </c>
      <c r="N120">
        <f t="shared" si="7"/>
        <v>1.6027195904429359</v>
      </c>
    </row>
    <row r="121" spans="1:14" x14ac:dyDescent="0.25">
      <c r="A121">
        <v>118</v>
      </c>
      <c r="B121">
        <v>8.426952</v>
      </c>
      <c r="I121">
        <f>'S-Curve'!A120</f>
        <v>-132</v>
      </c>
      <c r="J121" s="2">
        <f>'S-Curve'!C120</f>
        <v>2.7312317522490003E-4</v>
      </c>
      <c r="K121" s="3">
        <f t="shared" si="4"/>
        <v>6.5201302693246744E-4</v>
      </c>
      <c r="L121" s="3">
        <f t="shared" si="5"/>
        <v>1.3455172879060502E-3</v>
      </c>
      <c r="M121">
        <f t="shared" si="6"/>
        <v>0.77961592292348225</v>
      </c>
      <c r="N121">
        <f t="shared" si="7"/>
        <v>1.6027254237341526</v>
      </c>
    </row>
    <row r="122" spans="1:14" x14ac:dyDescent="0.25">
      <c r="A122">
        <v>119</v>
      </c>
      <c r="B122">
        <v>8.4270659999999999</v>
      </c>
      <c r="I122">
        <f>'S-Curve'!A121</f>
        <v>-131</v>
      </c>
      <c r="J122" s="2">
        <f>'S-Curve'!C121</f>
        <v>2.7312400977539997E-4</v>
      </c>
      <c r="K122" s="3">
        <f t="shared" si="4"/>
        <v>6.5201501921231385E-4</v>
      </c>
      <c r="L122" s="3">
        <f t="shared" si="5"/>
        <v>1.3455213992456477E-3</v>
      </c>
      <c r="M122">
        <f t="shared" si="6"/>
        <v>0.77961829656832959</v>
      </c>
      <c r="N122">
        <f t="shared" si="7"/>
        <v>1.6027302848100389</v>
      </c>
    </row>
    <row r="123" spans="1:14" x14ac:dyDescent="0.25">
      <c r="A123">
        <v>120</v>
      </c>
      <c r="B123">
        <v>8.4271809999999991</v>
      </c>
      <c r="I123">
        <f>'S-Curve'!A122</f>
        <v>-130</v>
      </c>
      <c r="J123" s="2">
        <f>'S-Curve'!C122</f>
        <v>2.7312484432590002E-4</v>
      </c>
      <c r="K123" s="3">
        <f t="shared" si="4"/>
        <v>6.5201701149216059E-4</v>
      </c>
      <c r="L123" s="3">
        <f t="shared" si="5"/>
        <v>1.3455255105852457E-3</v>
      </c>
      <c r="M123">
        <f t="shared" si="6"/>
        <v>0.77962067021319914</v>
      </c>
      <c r="N123">
        <f t="shared" si="7"/>
        <v>1.602735145885692</v>
      </c>
    </row>
    <row r="124" spans="1:14" x14ac:dyDescent="0.25">
      <c r="I124">
        <f>'S-Curve'!A123</f>
        <v>-129</v>
      </c>
      <c r="J124" s="2">
        <f>'S-Curve'!C123</f>
        <v>2.7312567887640001E-4</v>
      </c>
      <c r="K124" s="3">
        <f t="shared" si="4"/>
        <v>6.5201900377200711E-4</v>
      </c>
      <c r="L124" s="3">
        <f t="shared" si="5"/>
        <v>1.3455296219248435E-3</v>
      </c>
      <c r="M124">
        <f t="shared" si="6"/>
        <v>0.77962304385786885</v>
      </c>
      <c r="N124">
        <f t="shared" si="7"/>
        <v>1.6027400069611786</v>
      </c>
    </row>
    <row r="125" spans="1:14" x14ac:dyDescent="0.25">
      <c r="I125">
        <f>'S-Curve'!A124</f>
        <v>-128</v>
      </c>
      <c r="J125" s="2">
        <f>'S-Curve'!C124</f>
        <v>2.7312651342690001E-4</v>
      </c>
      <c r="K125" s="3">
        <f t="shared" si="4"/>
        <v>6.5202099605185364E-4</v>
      </c>
      <c r="L125" s="3">
        <f t="shared" si="5"/>
        <v>1.3455337332644412E-3</v>
      </c>
      <c r="M125">
        <f t="shared" si="6"/>
        <v>0.77962541750266068</v>
      </c>
      <c r="N125">
        <f t="shared" si="7"/>
        <v>1.602744868036432</v>
      </c>
    </row>
    <row r="126" spans="1:14" x14ac:dyDescent="0.25">
      <c r="I126">
        <f>'S-Curve'!A125</f>
        <v>-127</v>
      </c>
      <c r="J126" s="2">
        <f>'S-Curve'!C125</f>
        <v>2.731273479774E-4</v>
      </c>
      <c r="K126" s="3">
        <f t="shared" si="4"/>
        <v>6.5202298833170027E-4</v>
      </c>
      <c r="L126" s="3">
        <f t="shared" si="5"/>
        <v>1.3455378446040392E-3</v>
      </c>
      <c r="M126">
        <f t="shared" si="6"/>
        <v>0.77962779114725267</v>
      </c>
      <c r="N126">
        <f t="shared" si="7"/>
        <v>1.6027497291114523</v>
      </c>
    </row>
    <row r="127" spans="1:14" x14ac:dyDescent="0.25">
      <c r="I127">
        <f>'S-Curve'!A126</f>
        <v>-126</v>
      </c>
      <c r="J127" s="2">
        <f>'S-Curve'!C126</f>
        <v>2.731281825279E-4</v>
      </c>
      <c r="K127" s="3">
        <f t="shared" si="4"/>
        <v>6.5202498061154679E-4</v>
      </c>
      <c r="L127" s="3">
        <f t="shared" si="5"/>
        <v>1.345541955943637E-3</v>
      </c>
      <c r="M127">
        <f t="shared" si="6"/>
        <v>0.77963016479191127</v>
      </c>
      <c r="N127">
        <f t="shared" si="7"/>
        <v>1.6027545901862283</v>
      </c>
    </row>
    <row r="128" spans="1:14" x14ac:dyDescent="0.25">
      <c r="I128">
        <f>'S-Curve'!A127</f>
        <v>-125</v>
      </c>
      <c r="J128" s="2">
        <f>'S-Curve'!C127</f>
        <v>2.7312901707839999E-4</v>
      </c>
      <c r="K128" s="3">
        <f t="shared" si="4"/>
        <v>6.5202697289139331E-4</v>
      </c>
      <c r="L128" s="3">
        <f t="shared" si="5"/>
        <v>1.3455460672832347E-3</v>
      </c>
      <c r="M128">
        <f t="shared" si="6"/>
        <v>0.77963253843642555</v>
      </c>
      <c r="N128">
        <f t="shared" si="7"/>
        <v>1.6027594512607712</v>
      </c>
    </row>
    <row r="129" spans="9:14" x14ac:dyDescent="0.25">
      <c r="I129">
        <f>'S-Curve'!A128</f>
        <v>-124</v>
      </c>
      <c r="J129" s="2">
        <f>'S-Curve'!C128</f>
        <v>2.7312985162890004E-4</v>
      </c>
      <c r="K129" s="3">
        <f t="shared" si="4"/>
        <v>6.5202896517124005E-4</v>
      </c>
      <c r="L129" s="3">
        <f t="shared" si="5"/>
        <v>1.3455501786228327E-3</v>
      </c>
      <c r="M129">
        <f t="shared" si="6"/>
        <v>0.77963491208100644</v>
      </c>
      <c r="N129">
        <f t="shared" si="7"/>
        <v>1.6027643123351809</v>
      </c>
    </row>
    <row r="130" spans="9:14" x14ac:dyDescent="0.25">
      <c r="I130">
        <f>'S-Curve'!A129</f>
        <v>-123</v>
      </c>
      <c r="J130" s="2">
        <f>'S-Curve'!C129</f>
        <v>2.7313068617939998E-4</v>
      </c>
      <c r="K130" s="3">
        <f t="shared" si="4"/>
        <v>6.5203095745108646E-4</v>
      </c>
      <c r="L130" s="3">
        <f t="shared" si="5"/>
        <v>1.3455542899624303E-3</v>
      </c>
      <c r="M130">
        <f t="shared" si="6"/>
        <v>0.77963728572540969</v>
      </c>
      <c r="N130">
        <f t="shared" si="7"/>
        <v>1.6027691734092464</v>
      </c>
    </row>
    <row r="131" spans="9:14" x14ac:dyDescent="0.25">
      <c r="I131">
        <f>'S-Curve'!A130</f>
        <v>-122</v>
      </c>
      <c r="J131" s="2">
        <f>'S-Curve'!C130</f>
        <v>2.7313168764000003E-4</v>
      </c>
      <c r="K131" s="3">
        <f t="shared" si="4"/>
        <v>6.5203334818690248E-4</v>
      </c>
      <c r="L131" s="3">
        <f t="shared" si="5"/>
        <v>1.3455592235699478E-3</v>
      </c>
      <c r="M131">
        <f t="shared" si="6"/>
        <v>0.77964013409872468</v>
      </c>
      <c r="N131">
        <f t="shared" si="7"/>
        <v>1.6027750066979429</v>
      </c>
    </row>
    <row r="132" spans="9:14" x14ac:dyDescent="0.25">
      <c r="I132">
        <f>'S-Curve'!A131</f>
        <v>-121</v>
      </c>
      <c r="J132" s="2">
        <f>'S-Curve'!C131</f>
        <v>2.7313252219050003E-4</v>
      </c>
      <c r="K132" s="3">
        <f t="shared" ref="K132:K195" si="8">J132*$E$3</f>
        <v>6.5203534046674901E-4</v>
      </c>
      <c r="L132" s="3">
        <f t="shared" ref="L132:L195" si="9">J132*$F$3</f>
        <v>1.3455633349095455E-3</v>
      </c>
      <c r="M132">
        <f t="shared" ref="M132:M195" si="10">100*(1-(1-K132)^12)</f>
        <v>0.77964250774311683</v>
      </c>
      <c r="N132">
        <f t="shared" ref="N132:N195" si="11">100*(1-(1-L132)^12)</f>
        <v>1.6027798677715532</v>
      </c>
    </row>
    <row r="133" spans="9:14" x14ac:dyDescent="0.25">
      <c r="I133">
        <f>'S-Curve'!A132</f>
        <v>-120</v>
      </c>
      <c r="J133" s="2">
        <f>'S-Curve'!C132</f>
        <v>2.7313335674100002E-4</v>
      </c>
      <c r="K133" s="3">
        <f t="shared" si="8"/>
        <v>6.5203733274659564E-4</v>
      </c>
      <c r="L133" s="3">
        <f t="shared" si="9"/>
        <v>1.3455674462491433E-3</v>
      </c>
      <c r="M133">
        <f t="shared" si="10"/>
        <v>0.77964488138737575</v>
      </c>
      <c r="N133">
        <f t="shared" si="11"/>
        <v>1.6027847288450192</v>
      </c>
    </row>
    <row r="134" spans="9:14" x14ac:dyDescent="0.25">
      <c r="I134">
        <f>'S-Curve'!A133</f>
        <v>-119</v>
      </c>
      <c r="J134" s="2">
        <f>'S-Curve'!C133</f>
        <v>2.7313419129150002E-4</v>
      </c>
      <c r="K134" s="3">
        <f t="shared" si="8"/>
        <v>6.5203932502644216E-4</v>
      </c>
      <c r="L134" s="3">
        <f t="shared" si="9"/>
        <v>1.3455715575887413E-3</v>
      </c>
      <c r="M134">
        <f t="shared" si="10"/>
        <v>0.77964725503161247</v>
      </c>
      <c r="N134">
        <f t="shared" si="11"/>
        <v>1.6027895899182076</v>
      </c>
    </row>
    <row r="135" spans="9:14" x14ac:dyDescent="0.25">
      <c r="I135">
        <f>'S-Curve'!A134</f>
        <v>-118</v>
      </c>
      <c r="J135" s="2">
        <f>'S-Curve'!C134</f>
        <v>2.7313502584200001E-4</v>
      </c>
      <c r="K135" s="3">
        <f t="shared" si="8"/>
        <v>6.5204131730628879E-4</v>
      </c>
      <c r="L135" s="3">
        <f t="shared" si="9"/>
        <v>1.345575668928339E-3</v>
      </c>
      <c r="M135">
        <f t="shared" si="10"/>
        <v>0.77964962867592691</v>
      </c>
      <c r="N135">
        <f t="shared" si="11"/>
        <v>1.6027944509911962</v>
      </c>
    </row>
    <row r="136" spans="9:14" x14ac:dyDescent="0.25">
      <c r="I136">
        <f>'S-Curve'!A135</f>
        <v>-117</v>
      </c>
      <c r="J136" s="2">
        <f>'S-Curve'!C135</f>
        <v>2.7313586039250001E-4</v>
      </c>
      <c r="K136" s="3">
        <f t="shared" si="8"/>
        <v>6.5204330958613531E-4</v>
      </c>
      <c r="L136" s="3">
        <f t="shared" si="9"/>
        <v>1.3455797802679368E-3</v>
      </c>
      <c r="M136">
        <f t="shared" si="10"/>
        <v>0.77965200231996379</v>
      </c>
      <c r="N136">
        <f t="shared" si="11"/>
        <v>1.6027993120639628</v>
      </c>
    </row>
    <row r="137" spans="9:14" x14ac:dyDescent="0.25">
      <c r="I137">
        <f>'S-Curve'!A136</f>
        <v>-116</v>
      </c>
      <c r="J137" s="2">
        <f>'S-Curve'!C136</f>
        <v>2.7313669494300006E-4</v>
      </c>
      <c r="K137" s="3">
        <f t="shared" si="8"/>
        <v>6.5204530186598205E-4</v>
      </c>
      <c r="L137" s="3">
        <f t="shared" si="9"/>
        <v>1.3455838916075348E-3</v>
      </c>
      <c r="M137">
        <f t="shared" si="10"/>
        <v>0.779654375964145</v>
      </c>
      <c r="N137">
        <f t="shared" si="11"/>
        <v>1.6028041731365295</v>
      </c>
    </row>
    <row r="138" spans="9:14" x14ac:dyDescent="0.25">
      <c r="I138">
        <f>'S-Curve'!A137</f>
        <v>-115</v>
      </c>
      <c r="J138" s="2">
        <f>'S-Curve'!C137</f>
        <v>2.731375294935E-4</v>
      </c>
      <c r="K138" s="3">
        <f t="shared" si="8"/>
        <v>6.5204729414582846E-4</v>
      </c>
      <c r="L138" s="3">
        <f t="shared" si="9"/>
        <v>1.3455880029471323E-3</v>
      </c>
      <c r="M138">
        <f t="shared" si="10"/>
        <v>0.77965674960810416</v>
      </c>
      <c r="N138">
        <f t="shared" si="11"/>
        <v>1.6028090342088186</v>
      </c>
    </row>
    <row r="139" spans="9:14" x14ac:dyDescent="0.25">
      <c r="I139">
        <f>'S-Curve'!A138</f>
        <v>-114</v>
      </c>
      <c r="J139" s="2">
        <f>'S-Curve'!C138</f>
        <v>2.7313836404400005E-4</v>
      </c>
      <c r="K139" s="3">
        <f t="shared" si="8"/>
        <v>6.5204928642567509E-4</v>
      </c>
      <c r="L139" s="3">
        <f t="shared" si="9"/>
        <v>1.3455921142867303E-3</v>
      </c>
      <c r="M139">
        <f t="shared" si="10"/>
        <v>0.77965912325212994</v>
      </c>
      <c r="N139">
        <f t="shared" si="11"/>
        <v>1.6028138952809856</v>
      </c>
    </row>
    <row r="140" spans="9:14" x14ac:dyDescent="0.25">
      <c r="I140">
        <f>'S-Curve'!A139</f>
        <v>-113</v>
      </c>
      <c r="J140" s="2">
        <f>'S-Curve'!C139</f>
        <v>2.7313936550459999E-4</v>
      </c>
      <c r="K140" s="3">
        <f t="shared" si="8"/>
        <v>6.520516771614909E-4</v>
      </c>
      <c r="L140" s="3">
        <f t="shared" si="9"/>
        <v>1.3455970478942474E-3</v>
      </c>
      <c r="M140">
        <f t="shared" si="10"/>
        <v>0.77966197162490092</v>
      </c>
      <c r="N140">
        <f t="shared" si="11"/>
        <v>1.6028197285671619</v>
      </c>
    </row>
    <row r="141" spans="9:14" x14ac:dyDescent="0.25">
      <c r="I141">
        <f>'S-Curve'!A140</f>
        <v>-112</v>
      </c>
      <c r="J141" s="2">
        <f>'S-Curve'!C140</f>
        <v>2.7314020005509999E-4</v>
      </c>
      <c r="K141" s="3">
        <f t="shared" si="8"/>
        <v>6.5205366944133742E-4</v>
      </c>
      <c r="L141" s="3">
        <f t="shared" si="9"/>
        <v>1.3456011592338452E-3</v>
      </c>
      <c r="M141">
        <f t="shared" si="10"/>
        <v>0.77966434526867134</v>
      </c>
      <c r="N141">
        <f t="shared" si="11"/>
        <v>1.6028245896388182</v>
      </c>
    </row>
    <row r="142" spans="9:14" x14ac:dyDescent="0.25">
      <c r="I142">
        <f>'S-Curve'!A141</f>
        <v>-111</v>
      </c>
      <c r="J142" s="2">
        <f>'S-Curve'!C141</f>
        <v>2.7314103460560003E-4</v>
      </c>
      <c r="K142" s="3">
        <f t="shared" si="8"/>
        <v>6.5205566172118416E-4</v>
      </c>
      <c r="L142" s="3">
        <f t="shared" si="9"/>
        <v>1.3456052705734434E-3</v>
      </c>
      <c r="M142">
        <f t="shared" si="10"/>
        <v>0.7796667189125861</v>
      </c>
      <c r="N142">
        <f t="shared" si="11"/>
        <v>1.602829450710197</v>
      </c>
    </row>
    <row r="143" spans="9:14" x14ac:dyDescent="0.25">
      <c r="I143">
        <f>'S-Curve'!A142</f>
        <v>-110</v>
      </c>
      <c r="J143" s="2">
        <f>'S-Curve'!C142</f>
        <v>2.7314186915609998E-4</v>
      </c>
      <c r="K143" s="3">
        <f t="shared" si="8"/>
        <v>6.5205765400103057E-4</v>
      </c>
      <c r="L143" s="3">
        <f t="shared" si="9"/>
        <v>1.3456093819130409E-3</v>
      </c>
      <c r="M143">
        <f t="shared" si="10"/>
        <v>0.7796690925562122</v>
      </c>
      <c r="N143">
        <f t="shared" si="11"/>
        <v>1.6028343117813981</v>
      </c>
    </row>
    <row r="144" spans="9:14" x14ac:dyDescent="0.25">
      <c r="I144">
        <f>'S-Curve'!A143</f>
        <v>-109</v>
      </c>
      <c r="J144" s="2">
        <f>'S-Curve'!C143</f>
        <v>2.7314270370660003E-4</v>
      </c>
      <c r="K144" s="3">
        <f t="shared" si="8"/>
        <v>6.520596462808772E-4</v>
      </c>
      <c r="L144" s="3">
        <f t="shared" si="9"/>
        <v>1.3456134932526389E-3</v>
      </c>
      <c r="M144">
        <f t="shared" si="10"/>
        <v>0.77967146619998262</v>
      </c>
      <c r="N144">
        <f t="shared" si="11"/>
        <v>1.6028391728523772</v>
      </c>
    </row>
    <row r="145" spans="9:14" x14ac:dyDescent="0.25">
      <c r="I145">
        <f>'S-Curve'!A144</f>
        <v>-108</v>
      </c>
      <c r="J145" s="2">
        <f>'S-Curve'!C144</f>
        <v>2.7314353825710002E-4</v>
      </c>
      <c r="K145" s="3">
        <f t="shared" si="8"/>
        <v>6.5206163856072383E-4</v>
      </c>
      <c r="L145" s="3">
        <f t="shared" si="9"/>
        <v>1.3456176045922366E-3</v>
      </c>
      <c r="M145">
        <f t="shared" si="10"/>
        <v>0.77967383984360872</v>
      </c>
      <c r="N145">
        <f t="shared" si="11"/>
        <v>1.6028440339230898</v>
      </c>
    </row>
    <row r="146" spans="9:14" x14ac:dyDescent="0.25">
      <c r="I146">
        <f>'S-Curve'!A145</f>
        <v>-107</v>
      </c>
      <c r="J146" s="2">
        <f>'S-Curve'!C145</f>
        <v>2.7314437280760002E-4</v>
      </c>
      <c r="K146" s="3">
        <f t="shared" si="8"/>
        <v>6.5206363084057035E-4</v>
      </c>
      <c r="L146" s="3">
        <f t="shared" si="9"/>
        <v>1.3456217159318344E-3</v>
      </c>
      <c r="M146">
        <f t="shared" si="10"/>
        <v>0.77967621348729033</v>
      </c>
      <c r="N146">
        <f t="shared" si="11"/>
        <v>1.6028488949936137</v>
      </c>
    </row>
    <row r="147" spans="9:14" x14ac:dyDescent="0.25">
      <c r="I147">
        <f>'S-Curve'!A146</f>
        <v>-106</v>
      </c>
      <c r="J147" s="2">
        <f>'S-Curve'!C146</f>
        <v>2.7314520735810001E-4</v>
      </c>
      <c r="K147" s="3">
        <f t="shared" si="8"/>
        <v>6.5206562312041699E-4</v>
      </c>
      <c r="L147" s="3">
        <f t="shared" si="9"/>
        <v>1.3456258272714322E-3</v>
      </c>
      <c r="M147">
        <f t="shared" si="10"/>
        <v>0.77967858713073879</v>
      </c>
      <c r="N147">
        <f t="shared" si="11"/>
        <v>1.6028537560637379</v>
      </c>
    </row>
    <row r="148" spans="9:14" x14ac:dyDescent="0.25">
      <c r="I148">
        <f>'S-Curve'!A147</f>
        <v>-105</v>
      </c>
      <c r="J148" s="2">
        <f>'S-Curve'!C147</f>
        <v>2.7314620881870001E-4</v>
      </c>
      <c r="K148" s="3">
        <f t="shared" si="8"/>
        <v>6.5206801385623279E-4</v>
      </c>
      <c r="L148" s="3">
        <f t="shared" si="9"/>
        <v>1.3456307608789495E-3</v>
      </c>
      <c r="M148">
        <f t="shared" si="10"/>
        <v>0.77968143550296576</v>
      </c>
      <c r="N148">
        <f t="shared" si="11"/>
        <v>1.6028595893478048</v>
      </c>
    </row>
    <row r="149" spans="9:14" x14ac:dyDescent="0.25">
      <c r="I149">
        <f>'S-Curve'!A148</f>
        <v>-104</v>
      </c>
      <c r="J149" s="2">
        <f>'S-Curve'!C148</f>
        <v>2.7314771100960005E-4</v>
      </c>
      <c r="K149" s="3">
        <f t="shared" si="8"/>
        <v>6.5207159995995677E-4</v>
      </c>
      <c r="L149" s="3">
        <f t="shared" si="9"/>
        <v>1.3456381612902259E-3</v>
      </c>
      <c r="M149">
        <f t="shared" si="10"/>
        <v>0.77968570806119519</v>
      </c>
      <c r="N149">
        <f t="shared" si="11"/>
        <v>1.6028683392734</v>
      </c>
    </row>
    <row r="150" spans="9:14" x14ac:dyDescent="0.25">
      <c r="I150">
        <f>'S-Curve'!A149</f>
        <v>-103</v>
      </c>
      <c r="J150" s="2">
        <f>'S-Curve'!C149</f>
        <v>2.7315104921160003E-4</v>
      </c>
      <c r="K150" s="3">
        <f t="shared" si="8"/>
        <v>6.5207956907934296E-4</v>
      </c>
      <c r="L150" s="3">
        <f t="shared" si="9"/>
        <v>1.3456546066486169E-3</v>
      </c>
      <c r="M150">
        <f t="shared" si="10"/>
        <v>0.77969520263420078</v>
      </c>
      <c r="N150">
        <f t="shared" si="11"/>
        <v>1.6028877835496669</v>
      </c>
    </row>
    <row r="151" spans="9:14" x14ac:dyDescent="0.25">
      <c r="I151">
        <f>'S-Curve'!A150</f>
        <v>-102</v>
      </c>
      <c r="J151" s="2">
        <f>'S-Curve'!C150</f>
        <v>2.731568910651E-4</v>
      </c>
      <c r="K151" s="3">
        <f t="shared" si="8"/>
        <v>6.5209351503826894E-4</v>
      </c>
      <c r="L151" s="3">
        <f t="shared" si="9"/>
        <v>1.3456833860258015E-3</v>
      </c>
      <c r="M151">
        <f t="shared" si="10"/>
        <v>0.77971181813515367</v>
      </c>
      <c r="N151">
        <f t="shared" si="11"/>
        <v>1.6029218110248933</v>
      </c>
    </row>
    <row r="152" spans="9:14" x14ac:dyDescent="0.25">
      <c r="I152">
        <f>'S-Curve'!A151</f>
        <v>-101</v>
      </c>
      <c r="J152" s="2">
        <f>'S-Curve'!C151</f>
        <v>2.731662380307E-4</v>
      </c>
      <c r="K152" s="3">
        <f t="shared" si="8"/>
        <v>6.5211582857255062E-4</v>
      </c>
      <c r="L152" s="3">
        <f t="shared" si="9"/>
        <v>1.3457294330292968E-3</v>
      </c>
      <c r="M152">
        <f t="shared" si="10"/>
        <v>0.77973840293126262</v>
      </c>
      <c r="N152">
        <f t="shared" si="11"/>
        <v>1.6029762549625737</v>
      </c>
    </row>
    <row r="153" spans="9:14" x14ac:dyDescent="0.25">
      <c r="I153">
        <f>'S-Curve'!A152</f>
        <v>-100</v>
      </c>
      <c r="J153" s="2">
        <f>'S-Curve'!C152</f>
        <v>2.7318009156900003E-4</v>
      </c>
      <c r="K153" s="3">
        <f t="shared" si="8"/>
        <v>6.5214890041800379E-4</v>
      </c>
      <c r="L153" s="3">
        <f t="shared" si="9"/>
        <v>1.3457976812666205E-3</v>
      </c>
      <c r="M153">
        <f t="shared" si="10"/>
        <v>0.77977780538492913</v>
      </c>
      <c r="N153">
        <f t="shared" si="11"/>
        <v>1.6030569486053081</v>
      </c>
    </row>
    <row r="154" spans="9:14" x14ac:dyDescent="0.25">
      <c r="I154">
        <f>'S-Curve'!A153</f>
        <v>-99</v>
      </c>
      <c r="J154" s="2">
        <f>'S-Curve'!C153</f>
        <v>2.7319911932040003E-4</v>
      </c>
      <c r="K154" s="3">
        <f t="shared" si="8"/>
        <v>6.5219432439850571E-4</v>
      </c>
      <c r="L154" s="3">
        <f t="shared" si="9"/>
        <v>1.3458914198094505E-3</v>
      </c>
      <c r="M154">
        <f t="shared" si="10"/>
        <v>0.77983192439439186</v>
      </c>
      <c r="N154">
        <f t="shared" si="11"/>
        <v>1.6031677807384792</v>
      </c>
    </row>
    <row r="155" spans="9:14" x14ac:dyDescent="0.25">
      <c r="I155">
        <f>'S-Curve'!A154</f>
        <v>-98</v>
      </c>
      <c r="J155" s="2">
        <f>'S-Curve'!C154</f>
        <v>2.732244896556E-4</v>
      </c>
      <c r="K155" s="3">
        <f t="shared" si="8"/>
        <v>6.5225488970584145E-4</v>
      </c>
      <c r="L155" s="3">
        <f t="shared" si="9"/>
        <v>1.3460164045332238E-3</v>
      </c>
      <c r="M155">
        <f t="shared" si="10"/>
        <v>0.77990408303149072</v>
      </c>
      <c r="N155">
        <f t="shared" si="11"/>
        <v>1.6033155567381607</v>
      </c>
    </row>
    <row r="156" spans="9:14" x14ac:dyDescent="0.25">
      <c r="I156">
        <f>'S-Curve'!A155</f>
        <v>-97</v>
      </c>
      <c r="J156" s="2">
        <f>'S-Curve'!C155</f>
        <v>2.7325703712510003E-4</v>
      </c>
      <c r="K156" s="3">
        <f t="shared" si="8"/>
        <v>6.5233258861985798E-4</v>
      </c>
      <c r="L156" s="3">
        <f t="shared" si="9"/>
        <v>1.3461767467775384E-3</v>
      </c>
      <c r="M156">
        <f t="shared" si="10"/>
        <v>0.77999665489675296</v>
      </c>
      <c r="N156">
        <f t="shared" si="11"/>
        <v>1.6035051374922782</v>
      </c>
    </row>
    <row r="157" spans="9:14" x14ac:dyDescent="0.25">
      <c r="I157">
        <f>'S-Curve'!A156</f>
        <v>-96</v>
      </c>
      <c r="J157" s="2">
        <f>'S-Curve'!C156</f>
        <v>2.7329759627940002E-4</v>
      </c>
      <c r="K157" s="3">
        <f t="shared" si="8"/>
        <v>6.5242941342040148E-4</v>
      </c>
      <c r="L157" s="3">
        <f t="shared" si="9"/>
        <v>1.3463765578819917E-3</v>
      </c>
      <c r="M157">
        <f t="shared" si="10"/>
        <v>0.78011201357190973</v>
      </c>
      <c r="N157">
        <f t="shared" si="11"/>
        <v>1.6037413838097203</v>
      </c>
    </row>
    <row r="158" spans="9:14" x14ac:dyDescent="0.25">
      <c r="I158">
        <f>'S-Curve'!A157</f>
        <v>-95</v>
      </c>
      <c r="J158" s="2">
        <f>'S-Curve'!C157</f>
        <v>2.7334716857910002E-4</v>
      </c>
      <c r="K158" s="3">
        <f t="shared" si="8"/>
        <v>6.5254775484328799E-4</v>
      </c>
      <c r="L158" s="3">
        <f t="shared" si="9"/>
        <v>1.3466207714541013E-3</v>
      </c>
      <c r="M158">
        <f t="shared" si="10"/>
        <v>0.78025300734128056</v>
      </c>
      <c r="N158">
        <f t="shared" si="11"/>
        <v>1.6040301286026626</v>
      </c>
    </row>
    <row r="159" spans="9:14" x14ac:dyDescent="0.25">
      <c r="I159">
        <f>'S-Curve'!A158</f>
        <v>-94</v>
      </c>
      <c r="J159" s="2">
        <f>'S-Curve'!C158</f>
        <v>2.7340675548480001E-4</v>
      </c>
      <c r="K159" s="3">
        <f t="shared" si="8"/>
        <v>6.526900036243334E-4</v>
      </c>
      <c r="L159" s="3">
        <f t="shared" si="9"/>
        <v>1.3469143211013847E-3</v>
      </c>
      <c r="M159">
        <f t="shared" si="10"/>
        <v>0.78042248445743256</v>
      </c>
      <c r="N159">
        <f t="shared" si="11"/>
        <v>1.6043772046491434</v>
      </c>
    </row>
    <row r="160" spans="9:14" x14ac:dyDescent="0.25">
      <c r="I160">
        <f>'S-Curve'!A159</f>
        <v>-93</v>
      </c>
      <c r="J160" s="2">
        <f>'S-Curve'!C159</f>
        <v>2.7347719154699999E-4</v>
      </c>
      <c r="K160" s="3">
        <f t="shared" si="8"/>
        <v>6.5285815204338426E-4</v>
      </c>
      <c r="L160" s="3">
        <f t="shared" si="9"/>
        <v>1.3472613181634394E-3</v>
      </c>
      <c r="M160">
        <f t="shared" si="10"/>
        <v>0.78062281840933778</v>
      </c>
      <c r="N160">
        <f t="shared" si="11"/>
        <v>1.604787472365965</v>
      </c>
    </row>
    <row r="161" spans="9:14" x14ac:dyDescent="0.25">
      <c r="I161">
        <f>'S-Curve'!A160</f>
        <v>-92</v>
      </c>
      <c r="J161" s="2">
        <f>'S-Curve'!C160</f>
        <v>2.7355931131620002E-4</v>
      </c>
      <c r="K161" s="3">
        <f t="shared" si="8"/>
        <v>6.5305419238028718E-4</v>
      </c>
      <c r="L161" s="3">
        <f t="shared" si="9"/>
        <v>1.3476658739798636E-3</v>
      </c>
      <c r="M161">
        <f t="shared" si="10"/>
        <v>0.78085638264336898</v>
      </c>
      <c r="N161">
        <f t="shared" si="11"/>
        <v>1.6052657919896296</v>
      </c>
    </row>
    <row r="162" spans="9:14" x14ac:dyDescent="0.25">
      <c r="I162">
        <f>'S-Curve'!A161</f>
        <v>-91</v>
      </c>
      <c r="J162" s="2">
        <f>'S-Curve'!C161</f>
        <v>2.7365411625299998E-4</v>
      </c>
      <c r="K162" s="3">
        <f t="shared" si="8"/>
        <v>6.5328051537085798E-4</v>
      </c>
      <c r="L162" s="3">
        <f t="shared" si="9"/>
        <v>1.3481329221581742E-3</v>
      </c>
      <c r="M162">
        <f t="shared" si="10"/>
        <v>0.78112602527861119</v>
      </c>
      <c r="N162">
        <f t="shared" si="11"/>
        <v>1.6058179957337271</v>
      </c>
    </row>
    <row r="163" spans="9:14" x14ac:dyDescent="0.25">
      <c r="I163">
        <f>'S-Curve'!A162</f>
        <v>-90</v>
      </c>
      <c r="J163" s="2">
        <f>'S-Curve'!C162</f>
        <v>2.7378330467040001E-4</v>
      </c>
      <c r="K163" s="3">
        <f t="shared" si="8"/>
        <v>6.5358892029110784E-4</v>
      </c>
      <c r="L163" s="3">
        <f t="shared" si="9"/>
        <v>1.3487693575279147E-3</v>
      </c>
      <c r="M163">
        <f t="shared" si="10"/>
        <v>0.78149345976017415</v>
      </c>
      <c r="N163">
        <f t="shared" si="11"/>
        <v>1.6065704659809388</v>
      </c>
    </row>
    <row r="164" spans="9:14" x14ac:dyDescent="0.25">
      <c r="I164">
        <f>'S-Curve'!A163</f>
        <v>-89</v>
      </c>
      <c r="J164" s="2">
        <f>'S-Curve'!C163</f>
        <v>2.740266595962E-4</v>
      </c>
      <c r="K164" s="3">
        <f t="shared" si="8"/>
        <v>6.5416986909436886E-4</v>
      </c>
      <c r="L164" s="3">
        <f t="shared" si="9"/>
        <v>1.3499682241546347E-3</v>
      </c>
      <c r="M164">
        <f t="shared" si="10"/>
        <v>0.78218560039573504</v>
      </c>
      <c r="N164">
        <f t="shared" si="11"/>
        <v>1.6079878956079097</v>
      </c>
    </row>
    <row r="165" spans="9:14" x14ac:dyDescent="0.25">
      <c r="I165">
        <f>'S-Curve'!A164</f>
        <v>-88</v>
      </c>
      <c r="J165" s="2">
        <f>'S-Curve'!C164</f>
        <v>2.7439870220910003E-4</v>
      </c>
      <c r="K165" s="3">
        <f t="shared" si="8"/>
        <v>6.550580274499719E-4</v>
      </c>
      <c r="L165" s="3">
        <f t="shared" si="9"/>
        <v>1.3518010593473369E-3</v>
      </c>
      <c r="M165">
        <f t="shared" si="10"/>
        <v>0.78324374100107175</v>
      </c>
      <c r="N165">
        <f t="shared" si="11"/>
        <v>1.6101548351727724</v>
      </c>
    </row>
    <row r="166" spans="9:14" x14ac:dyDescent="0.25">
      <c r="I166">
        <f>'S-Curve'!A165</f>
        <v>-87</v>
      </c>
      <c r="J166" s="2">
        <f>'S-Curve'!C165</f>
        <v>2.749066096434E-4</v>
      </c>
      <c r="K166" s="3">
        <f t="shared" si="8"/>
        <v>6.5627052896459709E-4</v>
      </c>
      <c r="L166" s="3">
        <f t="shared" si="9"/>
        <v>1.3543032206265616E-3</v>
      </c>
      <c r="M166">
        <f t="shared" si="10"/>
        <v>0.78468828323359219</v>
      </c>
      <c r="N166">
        <f t="shared" si="11"/>
        <v>1.6131130404973382</v>
      </c>
    </row>
    <row r="167" spans="9:14" x14ac:dyDescent="0.25">
      <c r="I167">
        <f>'S-Curve'!A166</f>
        <v>-86</v>
      </c>
      <c r="J167" s="2">
        <f>'S-Curve'!C166</f>
        <v>2.7555722521319998E-4</v>
      </c>
      <c r="K167" s="3">
        <f t="shared" si="8"/>
        <v>6.5782371033298653E-4</v>
      </c>
      <c r="L167" s="3">
        <f t="shared" si="9"/>
        <v>1.357508420977011E-3</v>
      </c>
      <c r="M167">
        <f t="shared" si="10"/>
        <v>0.78653867426713431</v>
      </c>
      <c r="N167">
        <f t="shared" si="11"/>
        <v>1.6169023017209683</v>
      </c>
    </row>
    <row r="168" spans="9:14" x14ac:dyDescent="0.25">
      <c r="I168">
        <f>'S-Curve'!A167</f>
        <v>-85</v>
      </c>
      <c r="J168" s="2">
        <f>'S-Curve'!C167</f>
        <v>2.7635822678310004E-4</v>
      </c>
      <c r="K168" s="3">
        <f t="shared" si="8"/>
        <v>6.5973590052972886E-4</v>
      </c>
      <c r="L168" s="3">
        <f t="shared" si="9"/>
        <v>1.3614544847229855E-3</v>
      </c>
      <c r="M168">
        <f t="shared" si="10"/>
        <v>0.78881672896461419</v>
      </c>
      <c r="N168">
        <f t="shared" si="11"/>
        <v>1.6215672448753771</v>
      </c>
    </row>
    <row r="169" spans="9:14" x14ac:dyDescent="0.25">
      <c r="I169">
        <f>'S-Curve'!A168</f>
        <v>-84</v>
      </c>
      <c r="J169" s="2">
        <f>'S-Curve'!C168</f>
        <v>2.7731645766719998E-4</v>
      </c>
      <c r="K169" s="3">
        <f t="shared" si="8"/>
        <v>6.6202343624956553E-4</v>
      </c>
      <c r="L169" s="3">
        <f t="shared" si="9"/>
        <v>1.366175124849186E-3</v>
      </c>
      <c r="M169">
        <f t="shared" si="10"/>
        <v>0.7915418820658604</v>
      </c>
      <c r="N169">
        <f t="shared" si="11"/>
        <v>1.6271476075242819</v>
      </c>
    </row>
    <row r="170" spans="9:14" x14ac:dyDescent="0.25">
      <c r="I170">
        <f>'S-Curve'!A169</f>
        <v>-83</v>
      </c>
      <c r="J170" s="2">
        <f>'S-Curve'!C169</f>
        <v>2.7843926190990003E-4</v>
      </c>
      <c r="K170" s="3">
        <f t="shared" si="8"/>
        <v>6.6470384955514693E-4</v>
      </c>
      <c r="L170" s="3">
        <f t="shared" si="9"/>
        <v>1.3717065211440744E-3</v>
      </c>
      <c r="M170">
        <f t="shared" si="10"/>
        <v>0.79473498495502559</v>
      </c>
      <c r="N170">
        <f t="shared" si="11"/>
        <v>1.6336860119865348</v>
      </c>
    </row>
    <row r="171" spans="9:14" x14ac:dyDescent="0.25">
      <c r="I171">
        <f>'S-Curve'!A170</f>
        <v>-82</v>
      </c>
      <c r="J171" s="2">
        <f>'S-Curve'!C170</f>
        <v>2.7973381664550003E-4</v>
      </c>
      <c r="K171" s="3">
        <f t="shared" si="8"/>
        <v>6.6779427405315331E-4</v>
      </c>
      <c r="L171" s="3">
        <f t="shared" si="9"/>
        <v>1.3780840311281911E-3</v>
      </c>
      <c r="M171">
        <f t="shared" si="10"/>
        <v>0.79841640601095998</v>
      </c>
      <c r="N171">
        <f t="shared" si="11"/>
        <v>1.6412240733781669</v>
      </c>
    </row>
    <row r="172" spans="9:14" x14ac:dyDescent="0.25">
      <c r="I172">
        <f>'S-Curve'!A171</f>
        <v>-81</v>
      </c>
      <c r="J172" s="2">
        <f>'S-Curve'!C171</f>
        <v>2.812074659184E-4</v>
      </c>
      <c r="K172" s="3">
        <f t="shared" si="8"/>
        <v>6.7131224180623451E-4</v>
      </c>
      <c r="L172" s="3">
        <f t="shared" si="9"/>
        <v>1.3853438345899968E-3</v>
      </c>
      <c r="M172">
        <f t="shared" si="10"/>
        <v>0.80260697903404843</v>
      </c>
      <c r="N172">
        <f t="shared" si="11"/>
        <v>1.6498043396837359</v>
      </c>
    </row>
    <row r="173" spans="9:14" x14ac:dyDescent="0.25">
      <c r="I173">
        <f>'S-Curve'!A172</f>
        <v>-80</v>
      </c>
      <c r="J173" s="2">
        <f>'S-Curve'!C172</f>
        <v>2.8286721995280002E-4</v>
      </c>
      <c r="K173" s="3">
        <f t="shared" si="8"/>
        <v>6.7527448796510193E-4</v>
      </c>
      <c r="L173" s="3">
        <f t="shared" si="9"/>
        <v>1.3935204667821135E-3</v>
      </c>
      <c r="M173">
        <f t="shared" si="10"/>
        <v>0.80732657838036292</v>
      </c>
      <c r="N173">
        <f t="shared" si="11"/>
        <v>1.6594673722489683</v>
      </c>
    </row>
    <row r="174" spans="9:14" x14ac:dyDescent="0.25">
      <c r="I174">
        <f>'S-Curve'!A173</f>
        <v>-79</v>
      </c>
      <c r="J174" s="2">
        <f>'S-Curve'!C173</f>
        <v>2.8472025588300004E-4</v>
      </c>
      <c r="K174" s="3">
        <f t="shared" si="8"/>
        <v>6.7969814613643602E-4</v>
      </c>
      <c r="L174" s="3">
        <f t="shared" si="9"/>
        <v>1.402649285225082E-3</v>
      </c>
      <c r="M174">
        <f t="shared" si="10"/>
        <v>0.81259554194513806</v>
      </c>
      <c r="N174">
        <f t="shared" si="11"/>
        <v>1.6702546573426735</v>
      </c>
    </row>
    <row r="175" spans="9:14" x14ac:dyDescent="0.25">
      <c r="I175">
        <f>'S-Curve'!A174</f>
        <v>-78</v>
      </c>
      <c r="J175" s="2">
        <f>'S-Curve'!C174</f>
        <v>2.8677391775340001E-4</v>
      </c>
      <c r="K175" s="3">
        <f t="shared" si="8"/>
        <v>6.8460074838288642E-4</v>
      </c>
      <c r="L175" s="3">
        <f t="shared" si="9"/>
        <v>1.4127664697073628E-3</v>
      </c>
      <c r="M175">
        <f t="shared" si="10"/>
        <v>0.81843467004283355</v>
      </c>
      <c r="N175">
        <f t="shared" si="11"/>
        <v>1.6822086014325888</v>
      </c>
    </row>
    <row r="176" spans="9:14" x14ac:dyDescent="0.25">
      <c r="I176">
        <f>'S-Curve'!A175</f>
        <v>-77</v>
      </c>
      <c r="J176" s="2">
        <f>'S-Curve'!C175</f>
        <v>2.8903538269830001E-4</v>
      </c>
      <c r="K176" s="3">
        <f t="shared" si="8"/>
        <v>6.8999942831113401E-4</v>
      </c>
      <c r="L176" s="3">
        <f t="shared" si="9"/>
        <v>1.4239073777494976E-3</v>
      </c>
      <c r="M176">
        <f t="shared" si="10"/>
        <v>0.82486427515254812</v>
      </c>
      <c r="N176">
        <f t="shared" si="11"/>
        <v>1.6953705833939403</v>
      </c>
    </row>
    <row r="177" spans="9:14" x14ac:dyDescent="0.25">
      <c r="I177">
        <f>'S-Curve'!A176</f>
        <v>-76</v>
      </c>
      <c r="J177" s="2">
        <f>'S-Curve'!C176</f>
        <v>2.91511827852E-4</v>
      </c>
      <c r="K177" s="3">
        <f t="shared" si="8"/>
        <v>6.9591131952785915E-4</v>
      </c>
      <c r="L177" s="3">
        <f t="shared" si="9"/>
        <v>1.436107366872027E-3</v>
      </c>
      <c r="M177">
        <f t="shared" si="10"/>
        <v>0.83190465545290859</v>
      </c>
      <c r="N177">
        <f t="shared" si="11"/>
        <v>1.7097819216943755</v>
      </c>
    </row>
    <row r="178" spans="9:14" x14ac:dyDescent="0.25">
      <c r="I178">
        <f>'S-Curve'!A177</f>
        <v>-75</v>
      </c>
      <c r="J178" s="2">
        <f>'S-Curve'!C177</f>
        <v>2.9421026343870004E-4</v>
      </c>
      <c r="K178" s="3">
        <f t="shared" si="8"/>
        <v>7.0235315718377334E-4</v>
      </c>
      <c r="L178" s="3">
        <f t="shared" si="9"/>
        <v>1.4494009723275733E-3</v>
      </c>
      <c r="M178">
        <f t="shared" si="10"/>
        <v>0.83957561922685109</v>
      </c>
      <c r="N178">
        <f t="shared" si="11"/>
        <v>1.7254828985267534</v>
      </c>
    </row>
    <row r="179" spans="9:14" x14ac:dyDescent="0.25">
      <c r="I179">
        <f>'S-Curve'!A178</f>
        <v>-74</v>
      </c>
      <c r="J179" s="2">
        <f>'S-Curve'!C178</f>
        <v>2.9713820041290005E-4</v>
      </c>
      <c r="K179" s="3">
        <f t="shared" si="8"/>
        <v>7.0934287179749526E-4</v>
      </c>
      <c r="L179" s="3">
        <f t="shared" si="9"/>
        <v>1.4638251961725157E-3</v>
      </c>
      <c r="M179">
        <f t="shared" si="10"/>
        <v>0.84789838159358144</v>
      </c>
      <c r="N179">
        <f t="shared" si="11"/>
        <v>1.742516639458469</v>
      </c>
    </row>
    <row r="180" spans="9:14" x14ac:dyDescent="0.25">
      <c r="I180">
        <f>'S-Curve'!A179</f>
        <v>-73</v>
      </c>
      <c r="J180" s="2">
        <f>'S-Curve'!C179</f>
        <v>3.0030281590890003E-4</v>
      </c>
      <c r="K180" s="3">
        <f t="shared" si="8"/>
        <v>7.1689759697570572E-4</v>
      </c>
      <c r="L180" s="3">
        <f t="shared" si="9"/>
        <v>1.4794153959273961E-3</v>
      </c>
      <c r="M180">
        <f t="shared" si="10"/>
        <v>0.85689319079083059</v>
      </c>
      <c r="N180">
        <f t="shared" si="11"/>
        <v>1.760924252067364</v>
      </c>
    </row>
    <row r="181" spans="9:14" x14ac:dyDescent="0.25">
      <c r="I181">
        <f>'S-Curve'!A180</f>
        <v>-72</v>
      </c>
      <c r="J181" s="2">
        <f>'S-Curve'!C180</f>
        <v>3.0371112015090005E-4</v>
      </c>
      <c r="K181" s="3">
        <f t="shared" si="8"/>
        <v>7.2503406786911609E-4</v>
      </c>
      <c r="L181" s="3">
        <f t="shared" si="9"/>
        <v>1.4962061068448359E-3</v>
      </c>
      <c r="M181">
        <f t="shared" si="10"/>
        <v>0.86657980164385195</v>
      </c>
      <c r="N181">
        <f t="shared" si="11"/>
        <v>1.7807457928557313</v>
      </c>
    </row>
    <row r="182" spans="9:14" x14ac:dyDescent="0.25">
      <c r="I182">
        <f>'S-Curve'!A181</f>
        <v>-71</v>
      </c>
      <c r="J182" s="2">
        <f>'S-Curve'!C181</f>
        <v>3.0737045718330001E-4</v>
      </c>
      <c r="K182" s="3">
        <f t="shared" si="8"/>
        <v>7.3376981654037579E-4</v>
      </c>
      <c r="L182" s="3">
        <f t="shared" si="9"/>
        <v>1.5142335087132955E-3</v>
      </c>
      <c r="M182">
        <f t="shared" si="10"/>
        <v>0.8769788974170023</v>
      </c>
      <c r="N182">
        <f t="shared" si="11"/>
        <v>1.8020231740551451</v>
      </c>
    </row>
    <row r="183" spans="9:14" x14ac:dyDescent="0.25">
      <c r="I183">
        <f>'S-Curve'!A182</f>
        <v>-70</v>
      </c>
      <c r="J183" s="2">
        <f>'S-Curve'!C182</f>
        <v>3.1128783723030005E-4</v>
      </c>
      <c r="K183" s="3">
        <f t="shared" si="8"/>
        <v>7.4312157814019665E-4</v>
      </c>
      <c r="L183" s="3">
        <f t="shared" si="9"/>
        <v>1.533532136785397E-3</v>
      </c>
      <c r="M183">
        <f t="shared" si="10"/>
        <v>0.8881101910268141</v>
      </c>
      <c r="N183">
        <f t="shared" si="11"/>
        <v>1.8247962753405567</v>
      </c>
    </row>
    <row r="184" spans="9:14" x14ac:dyDescent="0.25">
      <c r="I184">
        <f>'S-Curve'!A183</f>
        <v>-69</v>
      </c>
      <c r="J184" s="2">
        <f>'S-Curve'!C183</f>
        <v>3.1547077124640001E-4</v>
      </c>
      <c r="K184" s="3">
        <f t="shared" si="8"/>
        <v>7.5310728318719725E-4</v>
      </c>
      <c r="L184" s="3">
        <f t="shared" si="9"/>
        <v>1.5541389931175199E-3</v>
      </c>
      <c r="M184">
        <f t="shared" si="10"/>
        <v>0.89999479517913761</v>
      </c>
      <c r="N184">
        <f t="shared" si="11"/>
        <v>1.8491077901174657</v>
      </c>
    </row>
    <row r="185" spans="9:14" x14ac:dyDescent="0.25">
      <c r="I185">
        <f>'S-Curve'!A184</f>
        <v>-68</v>
      </c>
      <c r="J185" s="2">
        <f>'S-Curve'!C184</f>
        <v>3.1992610254570001E-4</v>
      </c>
      <c r="K185" s="3">
        <f t="shared" si="8"/>
        <v>7.6374326837611983E-4</v>
      </c>
      <c r="L185" s="3">
        <f t="shared" si="9"/>
        <v>1.5760877906943671E-3</v>
      </c>
      <c r="M185">
        <f t="shared" si="10"/>
        <v>0.91265190115736861</v>
      </c>
      <c r="N185">
        <f t="shared" si="11"/>
        <v>1.8749964280569631</v>
      </c>
    </row>
    <row r="186" spans="9:14" x14ac:dyDescent="0.25">
      <c r="I186">
        <f>'S-Curve'!A185</f>
        <v>-67</v>
      </c>
      <c r="J186" s="2">
        <f>'S-Curve'!C185</f>
        <v>3.2466134208270002E-4</v>
      </c>
      <c r="K186" s="3">
        <f t="shared" si="8"/>
        <v>7.750474642255836E-4</v>
      </c>
      <c r="L186" s="3">
        <f t="shared" si="9"/>
        <v>1.5994155315723184E-3</v>
      </c>
      <c r="M186">
        <f t="shared" si="10"/>
        <v>0.9261025711953863</v>
      </c>
      <c r="N186">
        <f t="shared" si="11"/>
        <v>1.9025046697875636</v>
      </c>
    </row>
    <row r="187" spans="9:14" x14ac:dyDescent="0.25">
      <c r="I187">
        <f>'S-Curve'!A186</f>
        <v>-66</v>
      </c>
      <c r="J187" s="2">
        <f>'S-Curve'!C186</f>
        <v>3.2968350008159999E-4</v>
      </c>
      <c r="K187" s="3">
        <f t="shared" si="8"/>
        <v>7.8703660588629954E-4</v>
      </c>
      <c r="L187" s="3">
        <f t="shared" si="9"/>
        <v>1.6241567510039952E-3</v>
      </c>
      <c r="M187">
        <f t="shared" si="10"/>
        <v>0.94036641766073181</v>
      </c>
      <c r="N187">
        <f t="shared" si="11"/>
        <v>1.9316719711109487</v>
      </c>
    </row>
    <row r="188" spans="9:14" x14ac:dyDescent="0.25">
      <c r="I188">
        <f>'S-Curve'!A187</f>
        <v>-65</v>
      </c>
      <c r="J188" s="2">
        <f>'S-Curve'!C187</f>
        <v>3.3499992058679998E-4</v>
      </c>
      <c r="K188" s="3">
        <f t="shared" si="8"/>
        <v>7.997282254209177E-4</v>
      </c>
      <c r="L188" s="3">
        <f t="shared" si="9"/>
        <v>1.6503476287778585E-3</v>
      </c>
      <c r="M188">
        <f t="shared" si="10"/>
        <v>0.9554639722595959</v>
      </c>
      <c r="N188">
        <f t="shared" si="11"/>
        <v>1.9625396053720046</v>
      </c>
    </row>
    <row r="189" spans="9:14" x14ac:dyDescent="0.25">
      <c r="I189">
        <f>'S-Curve'!A188</f>
        <v>-64</v>
      </c>
      <c r="J189" s="2">
        <f>'S-Curve'!C188</f>
        <v>3.4061761382250003E-4</v>
      </c>
      <c r="K189" s="3">
        <f t="shared" si="8"/>
        <v>8.1313905798014938E-4</v>
      </c>
      <c r="L189" s="3">
        <f t="shared" si="9"/>
        <v>1.6780227001465301E-3</v>
      </c>
      <c r="M189">
        <f t="shared" si="10"/>
        <v>0.97141478828055572</v>
      </c>
      <c r="N189">
        <f t="shared" si="11"/>
        <v>1.9951467795729094</v>
      </c>
    </row>
    <row r="190" spans="9:14" x14ac:dyDescent="0.25">
      <c r="I190">
        <f>'S-Curve'!A189</f>
        <v>-63</v>
      </c>
      <c r="J190" s="2">
        <f>'S-Curve'!C189</f>
        <v>3.4654409074320002E-4</v>
      </c>
      <c r="K190" s="3">
        <f t="shared" si="8"/>
        <v>8.2728703408261359E-4</v>
      </c>
      <c r="L190" s="3">
        <f t="shared" si="9"/>
        <v>1.7072189671663894E-3</v>
      </c>
      <c r="M190">
        <f t="shared" si="10"/>
        <v>0.98823980878623985</v>
      </c>
      <c r="N190">
        <f t="shared" si="11"/>
        <v>2.0295354724787718</v>
      </c>
    </row>
    <row r="191" spans="9:14" x14ac:dyDescent="0.25">
      <c r="I191">
        <f>'S-Curve'!A190</f>
        <v>-62</v>
      </c>
      <c r="J191" s="2">
        <f>'S-Curve'!C190</f>
        <v>3.5278619466300003E-4</v>
      </c>
      <c r="K191" s="3">
        <f t="shared" si="8"/>
        <v>8.4218849042305222E-4</v>
      </c>
      <c r="L191" s="3">
        <f t="shared" si="9"/>
        <v>1.7379701428221392E-3</v>
      </c>
      <c r="M191">
        <f t="shared" si="10"/>
        <v>1.0059580477171925</v>
      </c>
      <c r="N191">
        <f t="shared" si="11"/>
        <v>2.0657436469757928</v>
      </c>
    </row>
    <row r="192" spans="9:14" x14ac:dyDescent="0.25">
      <c r="I192">
        <f>'S-Curve'!A191</f>
        <v>-61</v>
      </c>
      <c r="J192" s="2">
        <f>'S-Curve'!C191</f>
        <v>3.5935143653640001E-4</v>
      </c>
      <c r="K192" s="3">
        <f t="shared" si="8"/>
        <v>8.5786135752008441E-4</v>
      </c>
      <c r="L192" s="3">
        <f t="shared" si="9"/>
        <v>1.7703132291701595E-3</v>
      </c>
      <c r="M192">
        <f t="shared" si="10"/>
        <v>1.0245903790312538</v>
      </c>
      <c r="N192">
        <f t="shared" si="11"/>
        <v>2.1038129911593706</v>
      </c>
    </row>
    <row r="193" spans="9:14" x14ac:dyDescent="0.25">
      <c r="I193">
        <f>'S-Curve'!A192</f>
        <v>-60</v>
      </c>
      <c r="J193" s="2">
        <f>'S-Curve'!C192</f>
        <v>3.6624665967749999E-4</v>
      </c>
      <c r="K193" s="3">
        <f t="shared" si="8"/>
        <v>8.7432197206845227E-4</v>
      </c>
      <c r="L193" s="3">
        <f t="shared" si="9"/>
        <v>1.804281939195152E-3</v>
      </c>
      <c r="M193">
        <f t="shared" si="10"/>
        <v>1.044155744831099</v>
      </c>
      <c r="N193">
        <f t="shared" si="11"/>
        <v>2.1437811658954864</v>
      </c>
    </row>
    <row r="194" spans="9:14" x14ac:dyDescent="0.25">
      <c r="I194">
        <f>'S-Curve'!A193</f>
        <v>-59</v>
      </c>
      <c r="J194" s="2">
        <f>'S-Curve'!C193</f>
        <v>3.7347937504080003E-4</v>
      </c>
      <c r="K194" s="3">
        <f t="shared" si="8"/>
        <v>8.9158826458677492E-4</v>
      </c>
      <c r="L194" s="3">
        <f t="shared" si="9"/>
        <v>1.8399132749534978E-3</v>
      </c>
      <c r="M194">
        <f t="shared" si="10"/>
        <v>1.0646749431861058</v>
      </c>
      <c r="N194">
        <f t="shared" si="11"/>
        <v>2.1856895403728593</v>
      </c>
    </row>
    <row r="195" spans="9:14" x14ac:dyDescent="0.25">
      <c r="I195">
        <f>'S-Curve'!A194</f>
        <v>-58</v>
      </c>
      <c r="J195" s="2">
        <f>'S-Curve'!C194</f>
        <v>3.8105675976060003E-4</v>
      </c>
      <c r="K195" s="3">
        <f t="shared" si="8"/>
        <v>9.0967736868173272E-4</v>
      </c>
      <c r="L195" s="3">
        <f t="shared" si="9"/>
        <v>1.8772425939657372E-3</v>
      </c>
      <c r="M195">
        <f t="shared" si="10"/>
        <v>1.0861677842662565</v>
      </c>
      <c r="N195">
        <f t="shared" si="11"/>
        <v>2.2295773779800632</v>
      </c>
    </row>
    <row r="196" spans="9:14" x14ac:dyDescent="0.25">
      <c r="I196">
        <f>'S-Curve'!A195</f>
        <v>-57</v>
      </c>
      <c r="J196" s="2">
        <f>'S-Curve'!C195</f>
        <v>3.8898599097120001E-4</v>
      </c>
      <c r="K196" s="3">
        <f t="shared" ref="K196:K259" si="12">J196*$E$3</f>
        <v>9.2860641796000635E-4</v>
      </c>
      <c r="L196" s="3">
        <f t="shared" ref="L196:L259" si="13">J196*$F$3</f>
        <v>1.9163052537524113E-3</v>
      </c>
      <c r="M196">
        <f t="shared" ref="M196:M259" si="14">100*(1-(1-K196)^12)</f>
        <v>1.1086540360176866</v>
      </c>
      <c r="N196">
        <f t="shared" ref="N196:N259" si="15">100*(1-(1-L196)^12)</f>
        <v>2.2754837649009652</v>
      </c>
    </row>
    <row r="197" spans="9:14" x14ac:dyDescent="0.25">
      <c r="I197">
        <f>'S-Curve'!A196</f>
        <v>-56</v>
      </c>
      <c r="J197" s="2">
        <f>'S-Curve'!C196</f>
        <v>3.9727407889680004E-4</v>
      </c>
      <c r="K197" s="3">
        <f t="shared" si="12"/>
        <v>9.4839214757230707E-4</v>
      </c>
      <c r="L197" s="3">
        <f t="shared" si="13"/>
        <v>1.9571357895661425E-3</v>
      </c>
      <c r="M197">
        <f t="shared" si="14"/>
        <v>1.1321529491490567</v>
      </c>
      <c r="N197">
        <f t="shared" si="15"/>
        <v>2.3234466368462492</v>
      </c>
    </row>
    <row r="198" spans="9:14" x14ac:dyDescent="0.25">
      <c r="I198">
        <f>'S-Curve'!A197</f>
        <v>-55</v>
      </c>
      <c r="J198" s="2">
        <f>'S-Curve'!C197</f>
        <v>4.0592836758180002E-4</v>
      </c>
      <c r="K198" s="3">
        <f t="shared" si="12"/>
        <v>9.6905208958128464E-4</v>
      </c>
      <c r="L198" s="3">
        <f t="shared" si="13"/>
        <v>1.9997703811953905E-3</v>
      </c>
      <c r="M198">
        <f t="shared" si="14"/>
        <v>1.1566846750277526</v>
      </c>
      <c r="N198">
        <f t="shared" si="15"/>
        <v>2.3735056693011791</v>
      </c>
    </row>
    <row r="199" spans="9:14" x14ac:dyDescent="0.25">
      <c r="I199">
        <f>'S-Curve'!A198</f>
        <v>-54</v>
      </c>
      <c r="J199" s="2">
        <f>'S-Curve'!C198</f>
        <v>4.1495620107060002E-4</v>
      </c>
      <c r="K199" s="3">
        <f t="shared" si="12"/>
        <v>9.906037760495888E-4</v>
      </c>
      <c r="L199" s="3">
        <f t="shared" si="13"/>
        <v>2.0442452084286169E-3</v>
      </c>
      <c r="M199">
        <f t="shared" si="14"/>
        <v>1.182269316775908</v>
      </c>
      <c r="N199">
        <f t="shared" si="15"/>
        <v>2.4257003356229045</v>
      </c>
    </row>
    <row r="200" spans="9:14" x14ac:dyDescent="0.25">
      <c r="I200">
        <f>'S-Curve'!A199</f>
        <v>-53</v>
      </c>
      <c r="J200" s="2">
        <f>'S-Curve'!C199</f>
        <v>4.2436458958740005E-4</v>
      </c>
      <c r="K200" s="3">
        <f t="shared" si="12"/>
        <v>1.0130639421279313E-3</v>
      </c>
      <c r="L200" s="3">
        <f t="shared" si="13"/>
        <v>2.0905948065184426E-3</v>
      </c>
      <c r="M200">
        <f t="shared" si="14"/>
        <v>1.2089259815978748</v>
      </c>
      <c r="N200">
        <f t="shared" si="15"/>
        <v>2.4800679703358863</v>
      </c>
    </row>
    <row r="201" spans="9:14" x14ac:dyDescent="0.25">
      <c r="I201">
        <f>'S-Curve'!A200</f>
        <v>-52</v>
      </c>
      <c r="J201" s="2">
        <f>'S-Curve'!C200</f>
        <v>4.3416071026649997E-4</v>
      </c>
      <c r="K201" s="3">
        <f t="shared" si="12"/>
        <v>1.0364497214229919E-3</v>
      </c>
      <c r="L201" s="3">
        <f t="shared" si="13"/>
        <v>2.1388545329854088E-3</v>
      </c>
      <c r="M201">
        <f t="shared" si="14"/>
        <v>1.2366741981490681</v>
      </c>
      <c r="N201">
        <f t="shared" si="15"/>
        <v>2.5366466572135149</v>
      </c>
    </row>
    <row r="202" spans="9:14" x14ac:dyDescent="0.25">
      <c r="I202">
        <f>'S-Curve'!A201</f>
        <v>-51</v>
      </c>
      <c r="J202" s="2">
        <f>'S-Curve'!C201</f>
        <v>4.4435190715230006E-4</v>
      </c>
      <c r="K202" s="3">
        <f t="shared" si="12"/>
        <v>1.0607786459974212E-3</v>
      </c>
      <c r="L202" s="3">
        <f t="shared" si="13"/>
        <v>2.189060567617977E-3</v>
      </c>
      <c r="M202">
        <f t="shared" si="14"/>
        <v>1.2655339139473698</v>
      </c>
      <c r="N202">
        <f t="shared" si="15"/>
        <v>2.5954752185794794</v>
      </c>
    </row>
    <row r="203" spans="9:14" x14ac:dyDescent="0.25">
      <c r="I203">
        <f>'S-Curve'!A202</f>
        <v>-50</v>
      </c>
      <c r="J203" s="2">
        <f>'S-Curve'!C202</f>
        <v>4.5494519046900006E-4</v>
      </c>
      <c r="K203" s="3">
        <f t="shared" si="12"/>
        <v>1.0860674510019301E-3</v>
      </c>
      <c r="L203" s="3">
        <f t="shared" si="13"/>
        <v>2.2412474456687675E-3</v>
      </c>
      <c r="M203">
        <f t="shared" si="14"/>
        <v>1.2955240752777875</v>
      </c>
      <c r="N203">
        <f t="shared" si="15"/>
        <v>2.6565903161843041</v>
      </c>
    </row>
    <row r="204" spans="9:14" x14ac:dyDescent="0.25">
      <c r="I204">
        <f>'S-Curve'!A203</f>
        <v>-49</v>
      </c>
      <c r="J204" s="2">
        <f>'S-Curve'!C203</f>
        <v>4.6594807117110004E-4</v>
      </c>
      <c r="K204" s="3">
        <f t="shared" si="12"/>
        <v>1.1123340669551374E-3</v>
      </c>
      <c r="L204" s="3">
        <f t="shared" si="13"/>
        <v>2.2954521691941612E-3</v>
      </c>
      <c r="M204">
        <f t="shared" si="14"/>
        <v>1.3266649880817827</v>
      </c>
      <c r="N204">
        <f t="shared" si="15"/>
        <v>2.7200312587224551</v>
      </c>
    </row>
    <row r="205" spans="9:14" x14ac:dyDescent="0.25">
      <c r="I205">
        <f>'S-Curve'!A204</f>
        <v>-48</v>
      </c>
      <c r="J205" s="2">
        <f>'S-Curve'!C204</f>
        <v>4.7736739257270001E-4</v>
      </c>
      <c r="K205" s="3">
        <f t="shared" si="12"/>
        <v>1.1395948305517856E-3</v>
      </c>
      <c r="L205" s="3">
        <f t="shared" si="13"/>
        <v>2.3517084511788604E-3</v>
      </c>
      <c r="M205">
        <f t="shared" si="14"/>
        <v>1.35897500846337</v>
      </c>
      <c r="N205">
        <f t="shared" si="15"/>
        <v>2.7858332540377506</v>
      </c>
    </row>
    <row r="206" spans="9:14" x14ac:dyDescent="0.25">
      <c r="I206">
        <f>'S-Curve'!A205</f>
        <v>-47</v>
      </c>
      <c r="J206" s="2">
        <f>'S-Curve'!C205</f>
        <v>4.892106656283E-4</v>
      </c>
      <c r="K206" s="3">
        <f t="shared" si="12"/>
        <v>1.1678676723104937E-3</v>
      </c>
      <c r="L206" s="3">
        <f t="shared" si="13"/>
        <v>2.4100532936792447E-3</v>
      </c>
      <c r="M206">
        <f t="shared" si="14"/>
        <v>1.3924743197077816</v>
      </c>
      <c r="N206">
        <f t="shared" si="15"/>
        <v>2.8540350993491947</v>
      </c>
    </row>
    <row r="207" spans="9:14" x14ac:dyDescent="0.25">
      <c r="I207">
        <f>'S-Curve'!A206</f>
        <v>-46</v>
      </c>
      <c r="J207" s="2">
        <f>'S-Curve'!C206</f>
        <v>5.014849005621E-4</v>
      </c>
      <c r="K207" s="3">
        <f t="shared" si="12"/>
        <v>1.1971693273819728E-3</v>
      </c>
      <c r="L207" s="3">
        <f t="shared" si="13"/>
        <v>2.4705212319479364E-3</v>
      </c>
      <c r="M207">
        <f t="shared" si="14"/>
        <v>1.4271816239521784</v>
      </c>
      <c r="N207">
        <f t="shared" si="15"/>
        <v>2.924672438400977</v>
      </c>
    </row>
    <row r="208" spans="9:14" x14ac:dyDescent="0.25">
      <c r="I208">
        <f>'S-Curve'!A207</f>
        <v>-45</v>
      </c>
      <c r="J208" s="2">
        <f>'S-Curve'!C207</f>
        <v>5.1419727450840004E-4</v>
      </c>
      <c r="K208" s="3">
        <f t="shared" si="12"/>
        <v>1.2275169293729036E-3</v>
      </c>
      <c r="L208" s="3">
        <f t="shared" si="13"/>
        <v>2.5331476235054759E-3</v>
      </c>
      <c r="M208">
        <f t="shared" si="14"/>
        <v>1.4631160291587952</v>
      </c>
      <c r="N208">
        <f t="shared" si="15"/>
        <v>2.9977816003090241</v>
      </c>
    </row>
    <row r="209" spans="9:14" x14ac:dyDescent="0.25">
      <c r="I209">
        <f>'S-Curve'!A208</f>
        <v>-44</v>
      </c>
      <c r="J209" s="2">
        <f>'S-Curve'!C208</f>
        <v>5.2735513151160008E-4</v>
      </c>
      <c r="K209" s="3">
        <f t="shared" si="12"/>
        <v>1.2589280103459358E-3</v>
      </c>
      <c r="L209" s="3">
        <f t="shared" si="13"/>
        <v>2.5979686481403248E-3</v>
      </c>
      <c r="M209">
        <f t="shared" si="14"/>
        <v>1.5002970461159615</v>
      </c>
      <c r="N209">
        <f t="shared" si="15"/>
        <v>3.0733995873047371</v>
      </c>
    </row>
    <row r="210" spans="9:14" x14ac:dyDescent="0.25">
      <c r="I210">
        <f>'S-Curve'!A209</f>
        <v>-43</v>
      </c>
      <c r="J210" s="2">
        <f>'S-Curve'!C209</f>
        <v>5.4096564870600007E-4</v>
      </c>
      <c r="K210" s="3">
        <f t="shared" si="12"/>
        <v>1.29141970390775E-3</v>
      </c>
      <c r="L210" s="3">
        <f t="shared" si="13"/>
        <v>2.6650196633730234E-3</v>
      </c>
      <c r="M210">
        <f t="shared" si="14"/>
        <v>1.5387436425279066</v>
      </c>
      <c r="N210">
        <f t="shared" si="15"/>
        <v>3.1515621456770559</v>
      </c>
    </row>
    <row r="211" spans="9:14" x14ac:dyDescent="0.25">
      <c r="I211">
        <f>'S-Curve'!A210</f>
        <v>-42</v>
      </c>
      <c r="J211" s="2">
        <f>'S-Curve'!C210</f>
        <v>5.5503600322589998E-4</v>
      </c>
      <c r="K211" s="3">
        <f t="shared" si="12"/>
        <v>1.3250091436650265E-3</v>
      </c>
      <c r="L211" s="3">
        <f t="shared" si="13"/>
        <v>2.7343360267241125E-3</v>
      </c>
      <c r="M211">
        <f t="shared" si="14"/>
        <v>1.5784747127519982</v>
      </c>
      <c r="N211">
        <f t="shared" si="15"/>
        <v>3.2323047173843267</v>
      </c>
    </row>
    <row r="212" spans="9:14" x14ac:dyDescent="0.25">
      <c r="I212">
        <f>'S-Curve'!A211</f>
        <v>-41</v>
      </c>
      <c r="J212" s="2">
        <f>'S-Curve'!C211</f>
        <v>5.6957337220559998E-4</v>
      </c>
      <c r="K212" s="3">
        <f t="shared" si="12"/>
        <v>1.3597134632244465E-3</v>
      </c>
      <c r="L212" s="3">
        <f t="shared" si="13"/>
        <v>2.805953095714134E-3</v>
      </c>
      <c r="M212">
        <f t="shared" si="14"/>
        <v>1.6195090754661856</v>
      </c>
      <c r="N212">
        <f t="shared" si="15"/>
        <v>3.3156624306896476</v>
      </c>
    </row>
    <row r="213" spans="9:14" x14ac:dyDescent="0.25">
      <c r="I213">
        <f>'S-Curve'!A212</f>
        <v>-40</v>
      </c>
      <c r="J213" s="2">
        <f>'S-Curve'!C212</f>
        <v>5.8458476586930003E-4</v>
      </c>
      <c r="K213" s="3">
        <f t="shared" si="12"/>
        <v>1.3955493977367208E-3</v>
      </c>
      <c r="L213" s="3">
        <f t="shared" si="13"/>
        <v>2.8799054055957101E-3</v>
      </c>
      <c r="M213">
        <f t="shared" si="14"/>
        <v>1.6618650004462387</v>
      </c>
      <c r="N213">
        <f t="shared" si="15"/>
        <v>3.4016691347879768</v>
      </c>
    </row>
    <row r="214" spans="9:14" x14ac:dyDescent="0.25">
      <c r="I214">
        <f>'S-Curve'!A213</f>
        <v>-39</v>
      </c>
      <c r="J214" s="2">
        <f>'S-Curve'!C213</f>
        <v>6.0007786208159998E-4</v>
      </c>
      <c r="K214" s="3">
        <f t="shared" si="12"/>
        <v>1.4325352761764376E-3</v>
      </c>
      <c r="L214" s="3">
        <f t="shared" si="13"/>
        <v>2.9562307806931393E-3</v>
      </c>
      <c r="M214">
        <f t="shared" si="14"/>
        <v>1.7055625604620261</v>
      </c>
      <c r="N214">
        <f t="shared" si="15"/>
        <v>3.4903621697982778</v>
      </c>
    </row>
    <row r="215" spans="9:14" x14ac:dyDescent="0.25">
      <c r="I215">
        <f>'S-Curve'!A214</f>
        <v>-38</v>
      </c>
      <c r="J215" s="2">
        <f>'S-Curve'!C214</f>
        <v>6.160595041566E-4</v>
      </c>
      <c r="K215" s="3">
        <f t="shared" si="12"/>
        <v>1.4706874352383393E-3</v>
      </c>
      <c r="L215" s="3">
        <f t="shared" si="13"/>
        <v>3.034962933991124E-3</v>
      </c>
      <c r="M215">
        <f t="shared" si="14"/>
        <v>1.7506193907387724</v>
      </c>
      <c r="N215">
        <f t="shared" si="15"/>
        <v>3.5817737522949256</v>
      </c>
    </row>
    <row r="216" spans="9:14" x14ac:dyDescent="0.25">
      <c r="I216">
        <f>'S-Curve'!A215</f>
        <v>-37</v>
      </c>
      <c r="J216" s="2">
        <f>'S-Curve'!C215</f>
        <v>6.3253686922859996E-4</v>
      </c>
      <c r="K216" s="3">
        <f t="shared" si="12"/>
        <v>1.5100230085291061E-3</v>
      </c>
      <c r="L216" s="3">
        <f t="shared" si="13"/>
        <v>3.1161372230102055E-3</v>
      </c>
      <c r="M216">
        <f t="shared" si="14"/>
        <v>1.797053983271546</v>
      </c>
      <c r="N216">
        <f t="shared" si="15"/>
        <v>3.6759376601323668</v>
      </c>
    </row>
    <row r="217" spans="9:14" x14ac:dyDescent="0.25">
      <c r="I217">
        <f>'S-Curve'!A216</f>
        <v>-36</v>
      </c>
      <c r="J217" s="2">
        <f>'S-Curve'!C216</f>
        <v>6.4951730134200003E-4</v>
      </c>
      <c r="K217" s="3">
        <f t="shared" si="12"/>
        <v>1.5505595281113884E-3</v>
      </c>
      <c r="L217" s="3">
        <f t="shared" si="13"/>
        <v>3.1997898275388449E-3</v>
      </c>
      <c r="M217">
        <f t="shared" si="14"/>
        <v>1.844885212307279</v>
      </c>
      <c r="N217">
        <f t="shared" si="15"/>
        <v>3.7728882617860005</v>
      </c>
    </row>
    <row r="218" spans="9:14" x14ac:dyDescent="0.25">
      <c r="I218">
        <f>'S-Curve'!A217</f>
        <v>-35</v>
      </c>
      <c r="J218" s="2">
        <f>'S-Curve'!C217</f>
        <v>6.6700797763110005E-4</v>
      </c>
      <c r="K218" s="3">
        <f t="shared" si="12"/>
        <v>1.5923141275918662E-3</v>
      </c>
      <c r="L218" s="3">
        <f t="shared" si="13"/>
        <v>3.285956105097583E-3</v>
      </c>
      <c r="M218">
        <f t="shared" si="14"/>
        <v>1.8941313910736945</v>
      </c>
      <c r="N218">
        <f t="shared" si="15"/>
        <v>3.8726585986514794</v>
      </c>
    </row>
    <row r="219" spans="9:14" x14ac:dyDescent="0.25">
      <c r="I219">
        <f>'S-Curve'!A218</f>
        <v>-34</v>
      </c>
      <c r="J219" s="2">
        <f>'S-Curve'!C218</f>
        <v>6.850160752302001E-4</v>
      </c>
      <c r="K219" s="3">
        <f t="shared" si="12"/>
        <v>1.6353039405772201E-3</v>
      </c>
      <c r="L219" s="3">
        <f t="shared" si="13"/>
        <v>3.3746714132069605E-3</v>
      </c>
      <c r="M219">
        <f t="shared" si="14"/>
        <v>1.9448107399035575</v>
      </c>
      <c r="N219">
        <f t="shared" si="15"/>
        <v>3.9752813301675127</v>
      </c>
    </row>
    <row r="220" spans="9:14" x14ac:dyDescent="0.25">
      <c r="I220">
        <f>'S-Curve'!A219</f>
        <v>-33</v>
      </c>
      <c r="J220" s="2">
        <f>'S-Curve'!C219</f>
        <v>7.0354893818370002E-4</v>
      </c>
      <c r="K220" s="3">
        <f t="shared" si="12"/>
        <v>1.6795464991300997E-3</v>
      </c>
      <c r="L220" s="3">
        <f t="shared" si="13"/>
        <v>3.4659719316554381E-3</v>
      </c>
      <c r="M220">
        <f t="shared" si="14"/>
        <v>1.9969418530512262</v>
      </c>
      <c r="N220">
        <f t="shared" si="15"/>
        <v>4.0807896735066791</v>
      </c>
    </row>
    <row r="221" spans="9:14" x14ac:dyDescent="0.25">
      <c r="I221">
        <f>'S-Curve'!A220</f>
        <v>-32</v>
      </c>
      <c r="J221" s="2">
        <f>'S-Curve'!C220</f>
        <v>7.226135767158E-4</v>
      </c>
      <c r="K221" s="3">
        <f t="shared" si="12"/>
        <v>1.7250585384012169E-3</v>
      </c>
      <c r="L221" s="3">
        <f t="shared" si="13"/>
        <v>3.5598921956956379E-3</v>
      </c>
      <c r="M221">
        <f t="shared" si="14"/>
        <v>2.0505422874628976</v>
      </c>
      <c r="N221">
        <f t="shared" si="15"/>
        <v>4.1892145422379734</v>
      </c>
    </row>
    <row r="222" spans="9:14" x14ac:dyDescent="0.25">
      <c r="I222">
        <f>'S-Curve'!A221</f>
        <v>-31</v>
      </c>
      <c r="J222" s="2">
        <f>'S-Curve'!C221</f>
        <v>7.4221716796079998E-4</v>
      </c>
      <c r="K222" s="3">
        <f t="shared" si="12"/>
        <v>1.771857191997252E-3</v>
      </c>
      <c r="L222" s="3">
        <f t="shared" si="13"/>
        <v>3.6564675628481006E-3</v>
      </c>
      <c r="M222">
        <f t="shared" si="14"/>
        <v>2.1056299692340019</v>
      </c>
      <c r="N222">
        <f t="shared" si="15"/>
        <v>4.3005873892317359</v>
      </c>
    </row>
    <row r="223" spans="9:14" x14ac:dyDescent="0.25">
      <c r="I223">
        <f>'S-Curve'!A222</f>
        <v>-30</v>
      </c>
      <c r="J223" s="2">
        <f>'S-Curve'!C222</f>
        <v>7.6236705596310005E-4</v>
      </c>
      <c r="K223" s="3">
        <f t="shared" si="12"/>
        <v>1.8199599919808548E-3</v>
      </c>
      <c r="L223" s="3">
        <f t="shared" si="13"/>
        <v>3.7557342129012875E-3</v>
      </c>
      <c r="M223">
        <f t="shared" si="14"/>
        <v>2.1622231897808208</v>
      </c>
      <c r="N223">
        <f t="shared" si="15"/>
        <v>4.4149401914813868</v>
      </c>
    </row>
    <row r="224" spans="9:14" x14ac:dyDescent="0.25">
      <c r="I224">
        <f>'S-Curve'!A223</f>
        <v>-29</v>
      </c>
      <c r="J224" s="2">
        <f>'S-Curve'!C223</f>
        <v>7.8307041785700005E-4</v>
      </c>
      <c r="K224" s="3">
        <f t="shared" si="12"/>
        <v>1.8693840719587057E-3</v>
      </c>
      <c r="L224" s="3">
        <f t="shared" si="13"/>
        <v>3.8577275033757396E-3</v>
      </c>
      <c r="M224">
        <f t="shared" si="14"/>
        <v>2.2203396650737339</v>
      </c>
      <c r="N224">
        <f t="shared" si="15"/>
        <v>4.5323035431637066</v>
      </c>
    </row>
    <row r="225" spans="9:14" x14ac:dyDescent="0.25">
      <c r="I225">
        <f>'S-Curve'!A224</f>
        <v>-28</v>
      </c>
      <c r="J225" s="2">
        <f>'S-Curve'!C224</f>
        <v>8.0433426386670006E-4</v>
      </c>
      <c r="K225" s="3">
        <f t="shared" si="12"/>
        <v>1.9201461670815159E-3</v>
      </c>
      <c r="L225" s="3">
        <f t="shared" si="13"/>
        <v>3.9624819695240777E-3</v>
      </c>
      <c r="M225">
        <f t="shared" si="14"/>
        <v>2.2799965341750883</v>
      </c>
      <c r="N225">
        <f t="shared" si="15"/>
        <v>4.6527066504587822</v>
      </c>
    </row>
    <row r="226" spans="9:14" x14ac:dyDescent="0.25">
      <c r="I226">
        <f>'S-Curve'!A225</f>
        <v>-27</v>
      </c>
      <c r="J226" s="2">
        <f>'S-Curve'!C225</f>
        <v>8.2616610494670002E-4</v>
      </c>
      <c r="K226" s="3">
        <f t="shared" si="12"/>
        <v>1.9722642078679048E-3</v>
      </c>
      <c r="L226" s="3">
        <f t="shared" si="13"/>
        <v>4.0700346134026821E-3</v>
      </c>
      <c r="M226">
        <f t="shared" si="14"/>
        <v>2.3412122293559712</v>
      </c>
      <c r="N226">
        <f t="shared" si="15"/>
        <v>4.7761811004688788</v>
      </c>
    </row>
    <row r="227" spans="9:14" x14ac:dyDescent="0.25">
      <c r="I227">
        <f>'S-Curve'!A226</f>
        <v>-26</v>
      </c>
      <c r="J227" s="2">
        <f>'S-Curve'!C226</f>
        <v>8.4856911238890003E-4</v>
      </c>
      <c r="K227" s="3">
        <f t="shared" si="12"/>
        <v>2.0257457649812895E-3</v>
      </c>
      <c r="L227" s="3">
        <f t="shared" si="13"/>
        <v>4.1804010581020261E-3</v>
      </c>
      <c r="M227">
        <f t="shared" si="14"/>
        <v>2.403992908881647</v>
      </c>
      <c r="N227">
        <f t="shared" si="15"/>
        <v>4.9027335075461647</v>
      </c>
    </row>
    <row r="228" spans="9:14" x14ac:dyDescent="0.25">
      <c r="I228">
        <f>'S-Curve'!A227</f>
        <v>-25</v>
      </c>
      <c r="J228" s="2">
        <f>'S-Curve'!C227</f>
        <v>8.7139840822650014E-4</v>
      </c>
      <c r="K228" s="3">
        <f t="shared" si="12"/>
        <v>2.0802449786403044E-3</v>
      </c>
      <c r="L228" s="3">
        <f t="shared" si="13"/>
        <v>4.2928675750679287E-3</v>
      </c>
      <c r="M228">
        <f t="shared" si="14"/>
        <v>2.4679301299760925</v>
      </c>
      <c r="N228">
        <f t="shared" si="15"/>
        <v>5.0315353590442591</v>
      </c>
    </row>
    <row r="229" spans="9:14" x14ac:dyDescent="0.25">
      <c r="I229">
        <f>'S-Curve'!A228</f>
        <v>-24</v>
      </c>
      <c r="J229" s="2">
        <f>'S-Curve'!C228</f>
        <v>8.9457754763370013E-4</v>
      </c>
      <c r="K229" s="3">
        <f t="shared" si="12"/>
        <v>2.1355793560110031E-3</v>
      </c>
      <c r="L229" s="3">
        <f t="shared" si="13"/>
        <v>4.4070575655932318E-3</v>
      </c>
      <c r="M229">
        <f t="shared" si="14"/>
        <v>2.5328078606679183</v>
      </c>
      <c r="N229">
        <f t="shared" si="15"/>
        <v>5.1621473855008819</v>
      </c>
    </row>
    <row r="230" spans="9:14" x14ac:dyDescent="0.25">
      <c r="I230">
        <f>'S-Curve'!A229</f>
        <v>-23</v>
      </c>
      <c r="J230" s="2">
        <f>'S-Curve'!C229</f>
        <v>9.181071982509E-4</v>
      </c>
      <c r="K230" s="3">
        <f t="shared" si="12"/>
        <v>2.1917504909172631E-3</v>
      </c>
      <c r="L230" s="3">
        <f t="shared" si="13"/>
        <v>4.5229743187496126E-3</v>
      </c>
      <c r="M230">
        <f t="shared" si="14"/>
        <v>2.5986261980546099</v>
      </c>
      <c r="N230">
        <f t="shared" si="15"/>
        <v>5.2945660698927259</v>
      </c>
    </row>
    <row r="231" spans="9:14" x14ac:dyDescent="0.25">
      <c r="I231">
        <f>'S-Curve'!A230</f>
        <v>-22</v>
      </c>
      <c r="J231" s="2">
        <f>'S-Curve'!C230</f>
        <v>9.4198752698820007E-4</v>
      </c>
      <c r="K231" s="3">
        <f t="shared" si="12"/>
        <v>2.2487587818150537E-3</v>
      </c>
      <c r="L231" s="3">
        <f t="shared" si="13"/>
        <v>4.6406186568049923E-3</v>
      </c>
      <c r="M231">
        <f t="shared" si="14"/>
        <v>2.6653838101555527</v>
      </c>
      <c r="N231">
        <f t="shared" si="15"/>
        <v>5.428784967788336</v>
      </c>
    </row>
    <row r="232" spans="9:14" x14ac:dyDescent="0.25">
      <c r="I232">
        <f>'S-Curve'!A231</f>
        <v>-21</v>
      </c>
      <c r="J232" s="2">
        <f>'S-Curve'!C231</f>
        <v>9.6621870075569991E-4</v>
      </c>
      <c r="K232" s="3">
        <f t="shared" si="12"/>
        <v>2.3066046271603439E-3</v>
      </c>
      <c r="L232" s="3">
        <f t="shared" si="13"/>
        <v>4.7599914020272889E-3</v>
      </c>
      <c r="M232">
        <f t="shared" si="14"/>
        <v>2.7330793387448038</v>
      </c>
      <c r="N232">
        <f t="shared" si="15"/>
        <v>5.5647975346629241</v>
      </c>
    </row>
    <row r="233" spans="9:14" x14ac:dyDescent="0.25">
      <c r="I233">
        <f>'S-Curve'!A232</f>
        <v>-20</v>
      </c>
      <c r="J233" s="2">
        <f>'S-Curve'!C232</f>
        <v>9.9080105337359995E-4</v>
      </c>
      <c r="K233" s="3">
        <f t="shared" si="12"/>
        <v>2.3652888238650731E-3</v>
      </c>
      <c r="L233" s="3">
        <f t="shared" si="13"/>
        <v>4.8810941989523432E-3</v>
      </c>
      <c r="M233">
        <f t="shared" si="14"/>
        <v>2.8017118652384543</v>
      </c>
      <c r="N233">
        <f t="shared" si="15"/>
        <v>5.7025980613855882</v>
      </c>
    </row>
    <row r="234" spans="9:14" x14ac:dyDescent="0.25">
      <c r="I234">
        <f>'S-Curve'!A233</f>
        <v>-19</v>
      </c>
      <c r="J234" s="2">
        <f>'S-Curve'!C233</f>
        <v>1.0157350855722E-3</v>
      </c>
      <c r="K234" s="3">
        <f t="shared" si="12"/>
        <v>2.4248125672971491E-3</v>
      </c>
      <c r="L234" s="3">
        <f t="shared" si="13"/>
        <v>5.0039295143839129E-3</v>
      </c>
      <c r="M234">
        <f t="shared" si="14"/>
        <v>2.8712809092012126</v>
      </c>
      <c r="N234">
        <f t="shared" si="15"/>
        <v>5.8421816683553178</v>
      </c>
    </row>
    <row r="235" spans="9:14" x14ac:dyDescent="0.25">
      <c r="I235">
        <f>'S-Curve'!A234</f>
        <v>-18</v>
      </c>
      <c r="J235" s="2">
        <f>'S-Curve'!C234</f>
        <v>1.0410209642616E-3</v>
      </c>
      <c r="K235" s="3">
        <f t="shared" si="12"/>
        <v>2.4851762559125403E-3</v>
      </c>
      <c r="L235" s="3">
        <f t="shared" si="13"/>
        <v>5.1284981705899176E-3</v>
      </c>
      <c r="M235">
        <f t="shared" si="14"/>
        <v>2.9417850310820559</v>
      </c>
      <c r="N235">
        <f t="shared" si="15"/>
        <v>5.9835415020119909</v>
      </c>
    </row>
    <row r="236" spans="9:14" x14ac:dyDescent="0.25">
      <c r="I236">
        <f>'S-Curve'!A235</f>
        <v>-17</v>
      </c>
      <c r="J236" s="2">
        <f>'S-Curve'!C235</f>
        <v>1.0666590232620001E-3</v>
      </c>
      <c r="K236" s="3">
        <f t="shared" si="12"/>
        <v>2.5463806866231867E-3</v>
      </c>
      <c r="L236" s="3">
        <f t="shared" si="13"/>
        <v>5.2548018121061964E-3</v>
      </c>
      <c r="M236">
        <f t="shared" si="14"/>
        <v>3.013223230077855</v>
      </c>
      <c r="N236">
        <f t="shared" si="15"/>
        <v>6.1266715415069566</v>
      </c>
    </row>
    <row r="237" spans="9:14" x14ac:dyDescent="0.25">
      <c r="I237">
        <f>'S-Curve'!A236</f>
        <v>-16</v>
      </c>
      <c r="J237" s="2">
        <f>'S-Curve'!C236</f>
        <v>1.0926495963936001E-3</v>
      </c>
      <c r="K237" s="3">
        <f t="shared" si="12"/>
        <v>2.6084266563410254E-3</v>
      </c>
      <c r="L237" s="3">
        <f t="shared" si="13"/>
        <v>5.3828420834685885E-3</v>
      </c>
      <c r="M237">
        <f t="shared" si="14"/>
        <v>3.0855944779776934</v>
      </c>
      <c r="N237">
        <f t="shared" si="15"/>
        <v>6.2715656627791549</v>
      </c>
    </row>
    <row r="238" spans="9:14" x14ac:dyDescent="0.25">
      <c r="I238">
        <f>'S-Curve'!A237</f>
        <v>-15</v>
      </c>
      <c r="J238" s="2">
        <f>'S-Curve'!C237</f>
        <v>1.1189930174766E-3</v>
      </c>
      <c r="K238" s="3">
        <f t="shared" si="12"/>
        <v>2.6713149619779961E-3</v>
      </c>
      <c r="L238" s="3">
        <f t="shared" si="13"/>
        <v>5.512620629212932E-3</v>
      </c>
      <c r="M238">
        <f t="shared" si="14"/>
        <v>3.1588977191618017</v>
      </c>
      <c r="N238">
        <f t="shared" si="15"/>
        <v>6.418217638909784</v>
      </c>
    </row>
    <row r="239" spans="9:14" x14ac:dyDescent="0.25">
      <c r="I239">
        <f>'S-Curve'!A238</f>
        <v>-14</v>
      </c>
      <c r="J239" s="2">
        <f>'S-Curve'!C238</f>
        <v>1.1456896203312001E-3</v>
      </c>
      <c r="K239" s="3">
        <f t="shared" si="12"/>
        <v>2.7350464004460375E-3</v>
      </c>
      <c r="L239" s="3">
        <f t="shared" si="13"/>
        <v>5.6441390938750686E-3</v>
      </c>
      <c r="M239">
        <f t="shared" si="14"/>
        <v>3.2331318706017909</v>
      </c>
      <c r="N239">
        <f t="shared" si="15"/>
        <v>6.5666211404868839</v>
      </c>
    </row>
    <row r="240" spans="9:14" x14ac:dyDescent="0.25">
      <c r="I240">
        <f>'S-Curve'!A239</f>
        <v>-13</v>
      </c>
      <c r="J240" s="2">
        <f>'S-Curve'!C239</f>
        <v>1.1727395718675001E-3</v>
      </c>
      <c r="K240" s="3">
        <f t="shared" si="12"/>
        <v>2.799621370201118E-3</v>
      </c>
      <c r="L240" s="3">
        <f t="shared" si="13"/>
        <v>5.7773982997229145E-3</v>
      </c>
      <c r="M240">
        <f t="shared" si="14"/>
        <v>3.3082953582359353</v>
      </c>
      <c r="N240">
        <f t="shared" si="15"/>
        <v>6.7167688101853589</v>
      </c>
    </row>
    <row r="241" spans="9:14" x14ac:dyDescent="0.25">
      <c r="I241">
        <f>'S-Curve'!A240</f>
        <v>-12</v>
      </c>
      <c r="J241" s="2">
        <f>'S-Curve'!C240</f>
        <v>1.2001433728158E-3</v>
      </c>
      <c r="K241" s="3">
        <f t="shared" si="12"/>
        <v>2.8650410666111459E-3</v>
      </c>
      <c r="L241" s="3">
        <f t="shared" si="13"/>
        <v>5.9124007135602308E-3</v>
      </c>
      <c r="M241">
        <f t="shared" si="14"/>
        <v>3.3843875085211361</v>
      </c>
      <c r="N241">
        <f t="shared" si="15"/>
        <v>6.8686550432978111</v>
      </c>
    </row>
    <row r="242" spans="9:14" x14ac:dyDescent="0.25">
      <c r="I242">
        <f>'S-Curve'!A241</f>
        <v>-11</v>
      </c>
      <c r="J242" s="2">
        <f>'S-Curve'!C241</f>
        <v>1.2279013569963001E-3</v>
      </c>
      <c r="K242" s="3">
        <f t="shared" si="12"/>
        <v>2.9313062865880609E-3</v>
      </c>
      <c r="L242" s="3">
        <f t="shared" si="13"/>
        <v>6.0491479799228568E-3</v>
      </c>
      <c r="M242">
        <f t="shared" si="14"/>
        <v>3.4614071562308779</v>
      </c>
      <c r="N242">
        <f t="shared" si="15"/>
        <v>7.0222732052656944</v>
      </c>
    </row>
    <row r="243" spans="9:14" x14ac:dyDescent="0.25">
      <c r="I243">
        <f>'S-Curve'!A242</f>
        <v>-10</v>
      </c>
      <c r="J243" s="2">
        <f>'S-Curve'!C242</f>
        <v>1.256013524409E-3</v>
      </c>
      <c r="K243" s="3">
        <f t="shared" si="12"/>
        <v>2.9984170301318612E-3</v>
      </c>
      <c r="L243" s="3">
        <f t="shared" si="13"/>
        <v>6.1876400988107906E-3</v>
      </c>
      <c r="M243">
        <f t="shared" si="14"/>
        <v>3.5393521835224373</v>
      </c>
      <c r="N243">
        <f t="shared" si="15"/>
        <v>7.1776147173909894</v>
      </c>
    </row>
    <row r="244" spans="9:14" x14ac:dyDescent="0.25">
      <c r="I244">
        <f>'S-Curve'!A243</f>
        <v>-9</v>
      </c>
      <c r="J244" s="2">
        <f>'S-Curve'!C243</f>
        <v>1.2844805426943E-3</v>
      </c>
      <c r="K244" s="3">
        <f t="shared" si="12"/>
        <v>3.0663748910664253E-3</v>
      </c>
      <c r="L244" s="3">
        <f t="shared" si="13"/>
        <v>6.3278803592957122E-3</v>
      </c>
      <c r="M244">
        <f t="shared" si="14"/>
        <v>3.6182222969966871</v>
      </c>
      <c r="N244">
        <f t="shared" si="15"/>
        <v>7.3346745925732098</v>
      </c>
    </row>
    <row r="245" spans="9:14" x14ac:dyDescent="0.25">
      <c r="I245">
        <f>'S-Curve'!A244</f>
        <v>-8</v>
      </c>
      <c r="J245" s="2">
        <f>'S-Curve'!C244</f>
        <v>1.3133024118522E-3</v>
      </c>
      <c r="K245" s="3">
        <f t="shared" si="12"/>
        <v>3.1351798693917531E-3</v>
      </c>
      <c r="L245" s="3">
        <f t="shared" si="13"/>
        <v>6.4698687613776208E-3</v>
      </c>
      <c r="M245">
        <f t="shared" si="14"/>
        <v>3.6980153254630221</v>
      </c>
      <c r="N245">
        <f t="shared" si="15"/>
        <v>7.4934440573329546</v>
      </c>
    </row>
    <row r="246" spans="9:14" x14ac:dyDescent="0.25">
      <c r="I246">
        <f>'S-Curve'!A245</f>
        <v>-7</v>
      </c>
      <c r="J246" s="2">
        <f>'S-Curve'!C245</f>
        <v>1.3424797995231E-3</v>
      </c>
      <c r="K246" s="3">
        <f t="shared" si="12"/>
        <v>3.204833558931721E-3</v>
      </c>
      <c r="L246" s="3">
        <f t="shared" si="13"/>
        <v>6.6136085941281945E-3</v>
      </c>
      <c r="M246">
        <f t="shared" si="14"/>
        <v>3.7787309194342145</v>
      </c>
      <c r="N246">
        <f t="shared" si="15"/>
        <v>7.6539179192694711</v>
      </c>
    </row>
    <row r="247" spans="9:14" x14ac:dyDescent="0.25">
      <c r="I247">
        <f>'S-Curve'!A246</f>
        <v>-6</v>
      </c>
      <c r="J247" s="2">
        <f>'S-Curve'!C246</f>
        <v>1.3720127057070001E-3</v>
      </c>
      <c r="K247" s="3">
        <f t="shared" si="12"/>
        <v>3.2753359596863307E-3</v>
      </c>
      <c r="L247" s="3">
        <f t="shared" si="13"/>
        <v>6.7590998575474343E-3</v>
      </c>
      <c r="M247">
        <f t="shared" si="14"/>
        <v>3.8603668544413106</v>
      </c>
      <c r="N247">
        <f t="shared" si="15"/>
        <v>7.8160872119758977</v>
      </c>
    </row>
    <row r="248" spans="9:14" x14ac:dyDescent="0.25">
      <c r="I248">
        <f>'S-Curve'!A247</f>
        <v>-5</v>
      </c>
      <c r="J248" s="2">
        <f>'S-Curve'!C247</f>
        <v>1.4019016311342001E-3</v>
      </c>
      <c r="K248" s="3">
        <f t="shared" si="12"/>
        <v>3.3466882670234884E-3</v>
      </c>
      <c r="L248" s="3">
        <f t="shared" si="13"/>
        <v>6.906345018439097E-3</v>
      </c>
      <c r="M248">
        <f t="shared" si="14"/>
        <v>3.9429222640813943</v>
      </c>
      <c r="N248">
        <f t="shared" si="15"/>
        <v>7.9799456250958745</v>
      </c>
    </row>
    <row r="249" spans="9:14" x14ac:dyDescent="0.25">
      <c r="I249">
        <f>'S-Curve'!A248</f>
        <v>-4</v>
      </c>
      <c r="J249" s="2">
        <f>'S-Curve'!C248</f>
        <v>1.4321467427148001E-3</v>
      </c>
      <c r="K249" s="3">
        <f t="shared" si="12"/>
        <v>3.4188908793991641E-3</v>
      </c>
      <c r="L249" s="3">
        <f t="shared" si="13"/>
        <v>7.0553448990711039E-3</v>
      </c>
      <c r="M249">
        <f t="shared" si="14"/>
        <v>4.0263953322577928</v>
      </c>
      <c r="N249">
        <f t="shared" si="15"/>
        <v>8.1454849185362939</v>
      </c>
    </row>
    <row r="250" spans="9:14" x14ac:dyDescent="0.25">
      <c r="I250">
        <f>'S-Curve'!A249</f>
        <v>-3</v>
      </c>
      <c r="J250" s="2">
        <f>'S-Curve'!C249</f>
        <v>1.4627485411791001E-3</v>
      </c>
      <c r="K250" s="3">
        <f t="shared" si="12"/>
        <v>3.4919449921812658E-3</v>
      </c>
      <c r="L250" s="3">
        <f t="shared" si="13"/>
        <v>7.2061019662472128E-3</v>
      </c>
      <c r="M250">
        <f t="shared" si="14"/>
        <v>4.1107851372580662</v>
      </c>
      <c r="N250">
        <f t="shared" si="15"/>
        <v>8.3126985830758944</v>
      </c>
    </row>
    <row r="251" spans="9:14" x14ac:dyDescent="0.25">
      <c r="I251">
        <f>'S-Curve'!A250</f>
        <v>-2</v>
      </c>
      <c r="J251" s="2">
        <f>'S-Curve'!C250</f>
        <v>1.4937071934372E-3</v>
      </c>
      <c r="K251" s="3">
        <f t="shared" si="12"/>
        <v>3.5658510038257627E-3</v>
      </c>
      <c r="L251" s="3">
        <f t="shared" si="13"/>
        <v>7.3586170422353433E-3</v>
      </c>
      <c r="M251">
        <f t="shared" si="14"/>
        <v>4.196089809166037</v>
      </c>
      <c r="N251">
        <f t="shared" si="15"/>
        <v>8.4815781867066278</v>
      </c>
    </row>
    <row r="252" spans="9:14" x14ac:dyDescent="0.25">
      <c r="I252">
        <f>'S-Curve'!A251</f>
        <v>-1</v>
      </c>
      <c r="J252" s="2">
        <f>'S-Curve'!C251</f>
        <v>1.5250230333093001E-3</v>
      </c>
      <c r="K252" s="3">
        <f t="shared" si="12"/>
        <v>3.6406097112445935E-3</v>
      </c>
      <c r="L252" s="3">
        <f t="shared" si="13"/>
        <v>7.5128917715713362E-3</v>
      </c>
      <c r="M252">
        <f t="shared" si="14"/>
        <v>4.2823079116624196</v>
      </c>
      <c r="N252">
        <f t="shared" si="15"/>
        <v>8.6521161150251444</v>
      </c>
    </row>
    <row r="253" spans="9:14" x14ac:dyDescent="0.25">
      <c r="I253">
        <f>'S-Curve'!A252</f>
        <v>0</v>
      </c>
      <c r="J253" s="2">
        <f>'S-Curve'!C252</f>
        <v>1.5566963946156002E-3</v>
      </c>
      <c r="K253" s="3">
        <f t="shared" si="12"/>
        <v>3.7162219113496971E-3</v>
      </c>
      <c r="L253" s="3">
        <f t="shared" si="13"/>
        <v>7.668927798791028E-3</v>
      </c>
      <c r="M253">
        <f t="shared" si="14"/>
        <v>4.3694379812056816</v>
      </c>
      <c r="N253">
        <f t="shared" si="15"/>
        <v>8.8243046574355546</v>
      </c>
    </row>
    <row r="254" spans="9:14" x14ac:dyDescent="0.25">
      <c r="I254">
        <f>'S-Curve'!A253</f>
        <v>1</v>
      </c>
      <c r="J254" s="2">
        <f>'S-Curve'!C253</f>
        <v>1.5887276111763002E-3</v>
      </c>
      <c r="K254" s="3">
        <f t="shared" si="12"/>
        <v>3.7926884010530118E-3</v>
      </c>
      <c r="L254" s="3">
        <f t="shared" si="13"/>
        <v>7.8267267684302595E-3</v>
      </c>
      <c r="M254">
        <f t="shared" si="14"/>
        <v>4.4574785270515065</v>
      </c>
      <c r="N254">
        <f t="shared" si="15"/>
        <v>8.9981360076561874</v>
      </c>
    </row>
    <row r="255" spans="9:14" x14ac:dyDescent="0.25">
      <c r="I255">
        <f>'S-Curve'!A254</f>
        <v>2</v>
      </c>
      <c r="J255" s="2">
        <f>'S-Curve'!C254</f>
        <v>1.6211170168116001E-3</v>
      </c>
      <c r="K255" s="3">
        <f t="shared" si="12"/>
        <v>3.8700099772664759E-3</v>
      </c>
      <c r="L255" s="3">
        <f t="shared" si="13"/>
        <v>7.9862903250248682E-3</v>
      </c>
      <c r="M255">
        <f t="shared" si="14"/>
        <v>4.5464280312739742</v>
      </c>
      <c r="N255">
        <f t="shared" si="15"/>
        <v>9.1736022642364912</v>
      </c>
    </row>
    <row r="256" spans="9:14" x14ac:dyDescent="0.25">
      <c r="I256">
        <f>'S-Curve'!A255</f>
        <v>3</v>
      </c>
      <c r="J256" s="2">
        <f>'S-Curve'!C255</f>
        <v>1.6538649453417002E-3</v>
      </c>
      <c r="K256" s="3">
        <f t="shared" si="12"/>
        <v>3.948187436902029E-3</v>
      </c>
      <c r="L256" s="3">
        <f t="shared" si="13"/>
        <v>8.1476201131106957E-3</v>
      </c>
      <c r="M256">
        <f t="shared" si="14"/>
        <v>4.6362849487865958</v>
      </c>
      <c r="N256">
        <f t="shared" si="15"/>
        <v>9.3506954310826114</v>
      </c>
    </row>
    <row r="257" spans="9:14" x14ac:dyDescent="0.25">
      <c r="I257">
        <f>'S-Curve'!A256</f>
        <v>4</v>
      </c>
      <c r="J257" s="2">
        <f>'S-Curve'!C256</f>
        <v>1.6869715636767002E-3</v>
      </c>
      <c r="K257" s="3">
        <f t="shared" si="12"/>
        <v>4.0272211784156391E-3</v>
      </c>
      <c r="L257" s="3">
        <f t="shared" si="13"/>
        <v>8.3107169549556589E-3</v>
      </c>
      <c r="M257">
        <f t="shared" si="14"/>
        <v>4.7270472499790994</v>
      </c>
      <c r="N257">
        <f t="shared" si="15"/>
        <v>9.5294065178190941</v>
      </c>
    </row>
    <row r="258" spans="9:14" x14ac:dyDescent="0.25">
      <c r="I258">
        <f>'S-Curve'!A257</f>
        <v>5</v>
      </c>
      <c r="J258" s="2">
        <f>'S-Curve'!C257</f>
        <v>1.7204372056368001E-3</v>
      </c>
      <c r="K258" s="3">
        <f t="shared" si="12"/>
        <v>4.1071119987192454E-3</v>
      </c>
      <c r="L258" s="3">
        <f t="shared" si="13"/>
        <v>8.4755824950956005E-3</v>
      </c>
      <c r="M258">
        <f t="shared" si="14"/>
        <v>4.818713336726244</v>
      </c>
      <c r="N258">
        <f t="shared" si="15"/>
        <v>9.7097273456151605</v>
      </c>
    </row>
    <row r="259" spans="9:14" x14ac:dyDescent="0.25">
      <c r="I259">
        <f>'S-Curve'!A258</f>
        <v>6</v>
      </c>
      <c r="J259" s="2">
        <f>'S-Curve'!C258</f>
        <v>1.7542623719523003E-3</v>
      </c>
      <c r="K259" s="3">
        <f t="shared" si="12"/>
        <v>4.1878610931807576E-3</v>
      </c>
      <c r="L259" s="3">
        <f t="shared" si="13"/>
        <v>8.6422192003342748E-3</v>
      </c>
      <c r="M259">
        <f t="shared" si="14"/>
        <v>4.9112820404155872</v>
      </c>
      <c r="N259">
        <f t="shared" si="15"/>
        <v>9.8916505395891576</v>
      </c>
    </row>
    <row r="260" spans="9:14" x14ac:dyDescent="0.25">
      <c r="I260">
        <f>'S-Curve'!A259</f>
        <v>7</v>
      </c>
      <c r="J260" s="2">
        <f>'S-Curve'!C259</f>
        <v>1.7884472295333002E-3</v>
      </c>
      <c r="K260" s="3">
        <f t="shared" ref="K260:K323" si="16">J260*$E$3</f>
        <v>4.2694688602561417E-3</v>
      </c>
      <c r="L260" s="3">
        <f t="shared" ref="L260:L323" si="17">J260*$F$3</f>
        <v>8.8106278929396039E-3</v>
      </c>
      <c r="M260">
        <f t="shared" ref="M260:M323" si="18">100*(1-(1-K260)^12)</f>
        <v>5.0047512514243113</v>
      </c>
      <c r="N260">
        <f t="shared" ref="N260:N323" si="19">100*(1-(1-L260)^12)</f>
        <v>10.075166835413151</v>
      </c>
    </row>
    <row r="261" spans="9:14" x14ac:dyDescent="0.25">
      <c r="I261">
        <f>'S-Curve'!A260</f>
        <v>8</v>
      </c>
      <c r="J261" s="2">
        <f>'S-Curve'!C260</f>
        <v>1.8229919452899001E-3</v>
      </c>
      <c r="K261" s="3">
        <f t="shared" si="16"/>
        <v>4.3519356984013692E-3</v>
      </c>
      <c r="L261" s="3">
        <f t="shared" si="17"/>
        <v>8.9808093951795082E-3</v>
      </c>
      <c r="M261">
        <f t="shared" si="18"/>
        <v>5.099118834760052</v>
      </c>
      <c r="N261">
        <f t="shared" si="19"/>
        <v>10.260266883640545</v>
      </c>
    </row>
    <row r="262" spans="9:14" x14ac:dyDescent="0.25">
      <c r="I262">
        <f>'S-Curve'!A261</f>
        <v>9</v>
      </c>
      <c r="J262" s="2">
        <f>'S-Curve'!C261</f>
        <v>1.8578971868624999E-3</v>
      </c>
      <c r="K262" s="3">
        <f t="shared" si="16"/>
        <v>4.4352632014403167E-3</v>
      </c>
      <c r="L262" s="3">
        <f t="shared" si="17"/>
        <v>9.1527669961256625E-3</v>
      </c>
      <c r="M262">
        <f t="shared" si="18"/>
        <v>5.1943839961193783</v>
      </c>
      <c r="N262">
        <f t="shared" si="19"/>
        <v>10.446943925838958</v>
      </c>
    </row>
    <row r="263" spans="9:14" x14ac:dyDescent="0.25">
      <c r="I263">
        <f>'S-Curve'!A262</f>
        <v>10</v>
      </c>
      <c r="J263" s="2">
        <f>'S-Curve'!C262</f>
        <v>1.8931631211612E-3</v>
      </c>
      <c r="K263" s="3">
        <f t="shared" si="16"/>
        <v>4.5194517678289539E-3</v>
      </c>
      <c r="L263" s="3">
        <f t="shared" si="17"/>
        <v>9.326501518045989E-3</v>
      </c>
      <c r="M263">
        <f t="shared" si="18"/>
        <v>5.2905445461699401</v>
      </c>
      <c r="N263">
        <f t="shared" si="19"/>
        <v>10.635188429048604</v>
      </c>
    </row>
    <row r="264" spans="9:14" x14ac:dyDescent="0.25">
      <c r="I264">
        <f>'S-Curve'!A263</f>
        <v>11</v>
      </c>
      <c r="J264" s="2">
        <f>'S-Curve'!C263</f>
        <v>1.9287899150961002E-3</v>
      </c>
      <c r="K264" s="3">
        <f t="shared" si="16"/>
        <v>4.6045017960232503E-3</v>
      </c>
      <c r="L264" s="3">
        <f t="shared" si="17"/>
        <v>9.5020137832084097E-3</v>
      </c>
      <c r="M264">
        <f t="shared" si="18"/>
        <v>5.3875982703493586</v>
      </c>
      <c r="N264">
        <f t="shared" si="19"/>
        <v>10.824990777135158</v>
      </c>
    </row>
    <row r="265" spans="9:14" x14ac:dyDescent="0.25">
      <c r="I265">
        <f>'S-Curve'!A264</f>
        <v>12</v>
      </c>
      <c r="J265" s="2">
        <f>'S-Curve'!C264</f>
        <v>1.9647780693975003E-3</v>
      </c>
      <c r="K265" s="3">
        <f t="shared" si="16"/>
        <v>4.6904144813911131E-3</v>
      </c>
      <c r="L265" s="3">
        <f t="shared" si="17"/>
        <v>9.6793062584166773E-3</v>
      </c>
      <c r="M265">
        <f t="shared" si="18"/>
        <v>5.4855438370356557</v>
      </c>
      <c r="N265">
        <f t="shared" si="19"/>
        <v>11.016343044747979</v>
      </c>
    </row>
    <row r="266" spans="9:14" x14ac:dyDescent="0.25">
      <c r="I266">
        <f>'S-Curve'!A265</f>
        <v>13</v>
      </c>
      <c r="J266" s="2">
        <f>'S-Curve'!C265</f>
        <v>2.0011277509755002E-3</v>
      </c>
      <c r="K266" s="3">
        <f t="shared" si="16"/>
        <v>4.7771902223885119E-3</v>
      </c>
      <c r="L266" s="3">
        <f t="shared" si="17"/>
        <v>9.8583797659387157E-3</v>
      </c>
      <c r="M266">
        <f t="shared" si="18"/>
        <v>5.5843789788175506</v>
      </c>
      <c r="N266">
        <f t="shared" si="19"/>
        <v>11.209235441097343</v>
      </c>
    </row>
    <row r="267" spans="9:14" x14ac:dyDescent="0.25">
      <c r="I267">
        <f>'S-Curve'!A266</f>
        <v>14</v>
      </c>
      <c r="J267" s="2">
        <f>'S-Curve'!C266</f>
        <v>2.0378392936502999E-3</v>
      </c>
      <c r="K267" s="3">
        <f t="shared" si="16"/>
        <v>4.8648298159273849E-3</v>
      </c>
      <c r="L267" s="3">
        <f t="shared" si="17"/>
        <v>1.003923595031036E-2</v>
      </c>
      <c r="M267">
        <f t="shared" si="18"/>
        <v>5.6841018564032897</v>
      </c>
      <c r="N267">
        <f t="shared" si="19"/>
        <v>11.403658977391927</v>
      </c>
    </row>
    <row r="268" spans="9:14" x14ac:dyDescent="0.25">
      <c r="I268">
        <f>'S-Curve'!A267</f>
        <v>15</v>
      </c>
      <c r="J268" s="2">
        <f>'S-Curve'!C267</f>
        <v>2.0749131981522002E-3</v>
      </c>
      <c r="K268" s="3">
        <f t="shared" si="16"/>
        <v>4.9533344573756419E-3</v>
      </c>
      <c r="L268" s="3">
        <f t="shared" si="17"/>
        <v>1.0221877278335376E-2</v>
      </c>
      <c r="M268">
        <f t="shared" si="18"/>
        <v>5.7847110564823279</v>
      </c>
      <c r="N268">
        <f t="shared" si="19"/>
        <v>11.599605458662099</v>
      </c>
    </row>
    <row r="269" spans="9:14" x14ac:dyDescent="0.25">
      <c r="I269">
        <f>'S-Curve'!A268</f>
        <v>16</v>
      </c>
      <c r="J269" s="2">
        <f>'S-Curve'!C268</f>
        <v>2.1123494644812004E-3</v>
      </c>
      <c r="K269" s="3">
        <f t="shared" si="16"/>
        <v>5.0427041467332812E-3</v>
      </c>
      <c r="L269" s="3">
        <f t="shared" si="17"/>
        <v>1.040630375001376E-2</v>
      </c>
      <c r="M269">
        <f t="shared" si="18"/>
        <v>5.8862037803952161</v>
      </c>
      <c r="N269">
        <f t="shared" si="19"/>
        <v>11.797063957500665</v>
      </c>
    </row>
    <row r="270" spans="9:14" x14ac:dyDescent="0.25">
      <c r="I270">
        <f>'S-Curve'!A269</f>
        <v>17</v>
      </c>
      <c r="J270" s="2">
        <f>'S-Curve'!C269</f>
        <v>2.1501487602777003E-3</v>
      </c>
      <c r="K270" s="3">
        <f t="shared" si="16"/>
        <v>5.1329404778241803E-3</v>
      </c>
      <c r="L270" s="3">
        <f t="shared" si="17"/>
        <v>1.0592518654417186E-2</v>
      </c>
      <c r="M270">
        <f t="shared" si="18"/>
        <v>5.9885790137251256</v>
      </c>
      <c r="N270">
        <f t="shared" si="19"/>
        <v>11.996026985408248</v>
      </c>
    </row>
    <row r="271" spans="9:14" x14ac:dyDescent="0.25">
      <c r="I271">
        <f>'S-Curve'!A270</f>
        <v>18</v>
      </c>
      <c r="J271" s="2">
        <f>'S-Curve'!C270</f>
        <v>2.1883110855417001E-3</v>
      </c>
      <c r="K271" s="3">
        <f t="shared" si="16"/>
        <v>5.2240434506483384E-3</v>
      </c>
      <c r="L271" s="3">
        <f t="shared" si="17"/>
        <v>1.0780521991545658E-2</v>
      </c>
      <c r="M271">
        <f t="shared" si="18"/>
        <v>6.0918339063001481</v>
      </c>
      <c r="N271">
        <f t="shared" si="19"/>
        <v>12.196483450534156</v>
      </c>
    </row>
    <row r="272" spans="9:14" x14ac:dyDescent="0.25">
      <c r="I272">
        <f>'S-Curve'!A271</f>
        <v>19</v>
      </c>
      <c r="J272" s="2">
        <f>'S-Curve'!C271</f>
        <v>2.2268369410035002E-3</v>
      </c>
      <c r="K272" s="3">
        <f t="shared" si="16"/>
        <v>5.3160142605736651E-3</v>
      </c>
      <c r="L272" s="3">
        <f t="shared" si="17"/>
        <v>1.0970316228202935E-2</v>
      </c>
      <c r="M272">
        <f t="shared" si="18"/>
        <v>6.1959669377642417</v>
      </c>
      <c r="N272">
        <f t="shared" si="19"/>
        <v>12.398424812797593</v>
      </c>
    </row>
    <row r="273" spans="9:14" x14ac:dyDescent="0.25">
      <c r="I273">
        <f>'S-Curve'!A272</f>
        <v>20</v>
      </c>
      <c r="J273" s="2">
        <f>'S-Curve'!C272</f>
        <v>2.2657266604833E-3</v>
      </c>
      <c r="K273" s="3">
        <f t="shared" si="16"/>
        <v>5.4088537045120979E-3</v>
      </c>
      <c r="L273" s="3">
        <f t="shared" si="17"/>
        <v>1.1161903008924855E-2</v>
      </c>
      <c r="M273">
        <f t="shared" si="18"/>
        <v>6.3009761089340426</v>
      </c>
      <c r="N273">
        <f t="shared" si="19"/>
        <v>12.601841568489981</v>
      </c>
    </row>
    <row r="274" spans="9:14" x14ac:dyDescent="0.25">
      <c r="I274">
        <f>'S-Curve'!A273</f>
        <v>21</v>
      </c>
      <c r="J274" s="2">
        <f>'S-Curve'!C273</f>
        <v>2.3049804108912003E-3</v>
      </c>
      <c r="K274" s="3">
        <f t="shared" si="16"/>
        <v>5.5025621809196073E-3</v>
      </c>
      <c r="L274" s="3">
        <f t="shared" si="17"/>
        <v>1.135528315597934E-2</v>
      </c>
      <c r="M274">
        <f t="shared" si="18"/>
        <v>6.4068589441398371</v>
      </c>
      <c r="N274">
        <f t="shared" si="19"/>
        <v>12.806723260192276</v>
      </c>
    </row>
    <row r="275" spans="9:14" x14ac:dyDescent="0.25">
      <c r="I275">
        <f>'S-Curve'!A274</f>
        <v>22</v>
      </c>
      <c r="J275" s="2">
        <f>'S-Curve'!C274</f>
        <v>2.3445985260473999E-3</v>
      </c>
      <c r="K275" s="3">
        <f t="shared" si="16"/>
        <v>5.59714048670813E-3</v>
      </c>
      <c r="L275" s="3">
        <f t="shared" si="17"/>
        <v>1.1550458313902223E-2</v>
      </c>
      <c r="M275">
        <f t="shared" si="18"/>
        <v>6.5136133926599449</v>
      </c>
      <c r="N275">
        <f t="shared" si="19"/>
        <v>13.0130602236047</v>
      </c>
    </row>
    <row r="276" spans="9:14" x14ac:dyDescent="0.25">
      <c r="I276">
        <f>'S-Curve'!A275</f>
        <v>23</v>
      </c>
      <c r="J276" s="2">
        <f>'S-Curve'!C275</f>
        <v>2.3845815066822003E-3</v>
      </c>
      <c r="K276" s="3">
        <f t="shared" si="16"/>
        <v>5.6925898172455764E-3</v>
      </c>
      <c r="L276" s="3">
        <f t="shared" si="17"/>
        <v>1.1747430949497272E-2</v>
      </c>
      <c r="M276">
        <f t="shared" si="18"/>
        <v>6.6212378264363441</v>
      </c>
      <c r="N276">
        <f t="shared" si="19"/>
        <v>13.220843578876206</v>
      </c>
    </row>
    <row r="277" spans="9:14" x14ac:dyDescent="0.25">
      <c r="I277">
        <f>'S-Curve'!A276</f>
        <v>24</v>
      </c>
      <c r="J277" s="2">
        <f>'S-Curve'!C276</f>
        <v>2.4249293527956002E-3</v>
      </c>
      <c r="K277" s="3">
        <f t="shared" si="16"/>
        <v>5.788910172531944E-3</v>
      </c>
      <c r="L277" s="3">
        <f t="shared" si="17"/>
        <v>1.1946201062764478E-2</v>
      </c>
      <c r="M277">
        <f t="shared" si="18"/>
        <v>6.7297292434682969</v>
      </c>
      <c r="N277">
        <f t="shared" si="19"/>
        <v>13.43006176360938</v>
      </c>
    </row>
    <row r="278" spans="9:14" x14ac:dyDescent="0.25">
      <c r="I278">
        <f>'S-Curve'!A277</f>
        <v>25</v>
      </c>
      <c r="J278" s="2">
        <f>'S-Curve'!C277</f>
        <v>2.4656427320279999E-3</v>
      </c>
      <c r="K278" s="3">
        <f t="shared" si="16"/>
        <v>5.8861031463911112E-3</v>
      </c>
      <c r="L278" s="3">
        <f t="shared" si="17"/>
        <v>1.2146771942775523E-2</v>
      </c>
      <c r="M278">
        <f t="shared" si="18"/>
        <v>6.8390864116425698</v>
      </c>
      <c r="N278">
        <f t="shared" si="19"/>
        <v>13.640706600595287</v>
      </c>
    </row>
    <row r="279" spans="9:14" x14ac:dyDescent="0.25">
      <c r="I279">
        <f>'S-Curve'!A278</f>
        <v>26</v>
      </c>
      <c r="J279" s="2">
        <f>'S-Curve'!C278</f>
        <v>2.5067216443794E-3</v>
      </c>
      <c r="K279" s="3">
        <f t="shared" si="16"/>
        <v>5.9841687388230789E-3</v>
      </c>
      <c r="L279" s="3">
        <f t="shared" si="17"/>
        <v>1.2349143589530409E-2</v>
      </c>
      <c r="M279">
        <f t="shared" si="18"/>
        <v>6.9493062783597903</v>
      </c>
      <c r="N279">
        <f t="shared" si="19"/>
        <v>13.852766374675307</v>
      </c>
    </row>
    <row r="280" spans="9:14" x14ac:dyDescent="0.25">
      <c r="I280">
        <f>'S-Curve'!A279</f>
        <v>27</v>
      </c>
      <c r="J280" s="2">
        <f>'S-Curve'!C279</f>
        <v>2.5481665905801002E-3</v>
      </c>
      <c r="K280" s="3">
        <f t="shared" si="16"/>
        <v>6.0831081451957541E-3</v>
      </c>
      <c r="L280" s="3">
        <f t="shared" si="17"/>
        <v>1.2553318469832892E-2</v>
      </c>
      <c r="M280">
        <f t="shared" si="18"/>
        <v>7.0603871100629156</v>
      </c>
      <c r="N280">
        <f t="shared" si="19"/>
        <v>14.066231883256354</v>
      </c>
    </row>
    <row r="281" spans="9:14" x14ac:dyDescent="0.25">
      <c r="I281">
        <f>'S-Curve'!A280</f>
        <v>28</v>
      </c>
      <c r="J281" s="2">
        <f>'S-Curve'!C280</f>
        <v>2.5899779044503001E-3</v>
      </c>
      <c r="K281" s="3">
        <f t="shared" si="16"/>
        <v>6.1829221624210744E-3</v>
      </c>
      <c r="L281" s="3">
        <f t="shared" si="17"/>
        <v>1.2759298228218812E-2</v>
      </c>
      <c r="M281">
        <f t="shared" si="18"/>
        <v>7.1723266985061818</v>
      </c>
      <c r="N281">
        <f t="shared" si="19"/>
        <v>14.281092980838883</v>
      </c>
    </row>
    <row r="282" spans="9:14" x14ac:dyDescent="0.25">
      <c r="I282">
        <f>'S-Curve'!A281</f>
        <v>29</v>
      </c>
      <c r="J282" s="2">
        <f>'S-Curve'!C281</f>
        <v>2.6321557529001001E-3</v>
      </c>
      <c r="K282" s="3">
        <f t="shared" si="16"/>
        <v>6.2836111889550111E-3</v>
      </c>
      <c r="L282" s="3">
        <f t="shared" si="17"/>
        <v>1.2967083686956088E-2</v>
      </c>
      <c r="M282">
        <f t="shared" si="18"/>
        <v>7.2851223632591555</v>
      </c>
      <c r="N282">
        <f t="shared" si="19"/>
        <v>14.497338589540455</v>
      </c>
    </row>
    <row r="283" spans="9:14" x14ac:dyDescent="0.25">
      <c r="I283">
        <f>'S-Curve'!A282</f>
        <v>30</v>
      </c>
      <c r="J283" s="2">
        <f>'S-Curve'!C282</f>
        <v>2.6747004697497E-3</v>
      </c>
      <c r="K283" s="3">
        <f t="shared" si="16"/>
        <v>6.3851760217095016E-3</v>
      </c>
      <c r="L283" s="3">
        <f t="shared" si="17"/>
        <v>1.3176676490580559E-2</v>
      </c>
      <c r="M283">
        <f t="shared" si="18"/>
        <v>7.3987718455016065</v>
      </c>
      <c r="N283">
        <f t="shared" si="19"/>
        <v>14.714958415349832</v>
      </c>
    </row>
    <row r="284" spans="9:14" x14ac:dyDescent="0.25">
      <c r="I284">
        <f>'S-Curve'!A283</f>
        <v>31</v>
      </c>
      <c r="J284" s="2">
        <f>'S-Curve'!C283</f>
        <v>2.7176125557293999E-3</v>
      </c>
      <c r="K284" s="3">
        <f t="shared" si="16"/>
        <v>6.4876178560524548E-3</v>
      </c>
      <c r="L284" s="3">
        <f t="shared" si="17"/>
        <v>1.3388079105895984E-2</v>
      </c>
      <c r="M284">
        <f t="shared" si="18"/>
        <v>7.5132733055939038</v>
      </c>
      <c r="N284">
        <f t="shared" si="19"/>
        <v>14.933942938983902</v>
      </c>
    </row>
    <row r="285" spans="9:14" x14ac:dyDescent="0.25">
      <c r="I285">
        <f>'S-Curve'!A284</f>
        <v>32</v>
      </c>
      <c r="J285" s="2">
        <f>'S-Curve'!C284</f>
        <v>2.7608920108392002E-3</v>
      </c>
      <c r="K285" s="3">
        <f t="shared" si="16"/>
        <v>6.5909366919838707E-3</v>
      </c>
      <c r="L285" s="3">
        <f t="shared" si="17"/>
        <v>1.3601291532902366E-2</v>
      </c>
      <c r="M285">
        <f t="shared" si="18"/>
        <v>7.6286235421855757</v>
      </c>
      <c r="N285">
        <f t="shared" si="19"/>
        <v>15.154280011618093</v>
      </c>
    </row>
    <row r="286" spans="9:14" x14ac:dyDescent="0.25">
      <c r="I286">
        <f>'S-Curve'!A285</f>
        <v>33</v>
      </c>
      <c r="J286" s="2">
        <f>'S-Curve'!C285</f>
        <v>2.8045395027195001E-3</v>
      </c>
      <c r="K286" s="3">
        <f t="shared" si="16"/>
        <v>6.6951341233276243E-3</v>
      </c>
      <c r="L286" s="3">
        <f t="shared" si="17"/>
        <v>1.3816317060671377E-2</v>
      </c>
      <c r="M286">
        <f t="shared" si="18"/>
        <v>7.7448211085504699</v>
      </c>
      <c r="N286">
        <f t="shared" si="19"/>
        <v>15.3759608129463</v>
      </c>
    </row>
    <row r="287" spans="9:14" x14ac:dyDescent="0.25">
      <c r="I287">
        <f>'S-Curve'!A286</f>
        <v>34</v>
      </c>
      <c r="J287" s="2">
        <f>'S-Curve'!C286</f>
        <v>2.8485550313703005E-3</v>
      </c>
      <c r="K287" s="3">
        <f t="shared" si="16"/>
        <v>6.800210150083719E-3</v>
      </c>
      <c r="L287" s="3">
        <f t="shared" si="17"/>
        <v>1.4033155689203025E-2</v>
      </c>
      <c r="M287">
        <f t="shared" si="18"/>
        <v>7.8618627538157853</v>
      </c>
      <c r="N287">
        <f t="shared" si="19"/>
        <v>15.598973054058284</v>
      </c>
    </row>
    <row r="288" spans="9:14" x14ac:dyDescent="0.25">
      <c r="I288">
        <f>'S-Curve'!A287</f>
        <v>35</v>
      </c>
      <c r="J288" s="2">
        <f>'S-Curve'!C287</f>
        <v>2.8929390975219E-3</v>
      </c>
      <c r="K288" s="3">
        <f t="shared" si="16"/>
        <v>6.9061659676200584E-3</v>
      </c>
      <c r="L288" s="3">
        <f t="shared" si="17"/>
        <v>1.4251809885301059E-2</v>
      </c>
      <c r="M288">
        <f t="shared" si="18"/>
        <v>7.9797465347196894</v>
      </c>
      <c r="N288">
        <f t="shared" si="19"/>
        <v>15.823306917332003</v>
      </c>
    </row>
    <row r="289" spans="9:14" x14ac:dyDescent="0.25">
      <c r="I289">
        <f>'S-Curve'!A288</f>
        <v>36</v>
      </c>
      <c r="J289" s="2">
        <f>'S-Curve'!C288</f>
        <v>2.9376920349945003E-3</v>
      </c>
      <c r="K289" s="3">
        <f t="shared" si="16"/>
        <v>7.0130023728485862E-3</v>
      </c>
      <c r="L289" s="3">
        <f t="shared" si="17"/>
        <v>1.4472281293501326E-2</v>
      </c>
      <c r="M289">
        <f t="shared" si="18"/>
        <v>8.0984700377783607</v>
      </c>
      <c r="N289">
        <f t="shared" si="19"/>
        <v>16.048951664316171</v>
      </c>
    </row>
    <row r="290" spans="9:14" x14ac:dyDescent="0.25">
      <c r="I290">
        <f>'S-Curve'!A289</f>
        <v>37</v>
      </c>
      <c r="J290" s="2">
        <f>'S-Curve'!C289</f>
        <v>2.9828140106982004E-3</v>
      </c>
      <c r="K290" s="3">
        <f t="shared" si="16"/>
        <v>7.1207197642252692E-3</v>
      </c>
      <c r="L290" s="3">
        <f t="shared" si="17"/>
        <v>1.4694570736071742E-2</v>
      </c>
      <c r="M290">
        <f t="shared" si="18"/>
        <v>8.2180303819530351</v>
      </c>
      <c r="N290">
        <f t="shared" si="19"/>
        <v>16.275895646829529</v>
      </c>
    </row>
    <row r="291" spans="9:14" x14ac:dyDescent="0.25">
      <c r="I291">
        <f>'S-Curve'!A290</f>
        <v>38</v>
      </c>
      <c r="J291" s="2">
        <f>'S-Curve'!C290</f>
        <v>3.0283053584532005E-3</v>
      </c>
      <c r="K291" s="3">
        <f t="shared" si="16"/>
        <v>7.229318938662045E-3</v>
      </c>
      <c r="L291" s="3">
        <f t="shared" si="17"/>
        <v>1.4918679857548148E-2</v>
      </c>
      <c r="M291">
        <f t="shared" si="18"/>
        <v>8.3384251043126518</v>
      </c>
      <c r="N291">
        <f t="shared" si="19"/>
        <v>16.504127990951499</v>
      </c>
    </row>
    <row r="292" spans="9:14" x14ac:dyDescent="0.25">
      <c r="I292">
        <f>'S-Curve'!A291</f>
        <v>39</v>
      </c>
      <c r="J292" s="2">
        <f>'S-Curve'!C291</f>
        <v>3.0741665789898003E-3</v>
      </c>
      <c r="K292" s="3">
        <f t="shared" si="16"/>
        <v>7.3388010915268224E-3</v>
      </c>
      <c r="L292" s="3">
        <f t="shared" si="17"/>
        <v>1.51446111247343E-2</v>
      </c>
      <c r="M292">
        <f t="shared" si="18"/>
        <v>8.4596521574625498</v>
      </c>
      <c r="N292">
        <f t="shared" si="19"/>
        <v>16.733638587430168</v>
      </c>
    </row>
    <row r="293" spans="9:14" x14ac:dyDescent="0.25">
      <c r="I293">
        <f>'S-Curve'!A292</f>
        <v>40</v>
      </c>
      <c r="J293" s="2">
        <f>'S-Curve'!C292</f>
        <v>3.1203978392181E-3</v>
      </c>
      <c r="K293" s="3">
        <f t="shared" si="16"/>
        <v>7.4491666212755702E-3</v>
      </c>
      <c r="L293" s="3">
        <f t="shared" si="17"/>
        <v>1.5372365359898119E-2</v>
      </c>
      <c r="M293">
        <f t="shared" si="18"/>
        <v>8.5817085857362478</v>
      </c>
      <c r="N293">
        <f t="shared" si="19"/>
        <v>16.964415585547933</v>
      </c>
    </row>
    <row r="294" spans="9:14" x14ac:dyDescent="0.25">
      <c r="I294">
        <f>'S-Curve'!A293</f>
        <v>41</v>
      </c>
      <c r="J294" s="2">
        <f>'S-Curve'!C293</f>
        <v>3.1669994729583003E-3</v>
      </c>
      <c r="K294" s="3">
        <f t="shared" si="16"/>
        <v>7.5604163248202301E-3</v>
      </c>
      <c r="L294" s="3">
        <f t="shared" si="17"/>
        <v>1.5601944207575446E-2</v>
      </c>
      <c r="M294">
        <f t="shared" si="18"/>
        <v>8.7045918502111519</v>
      </c>
      <c r="N294">
        <f t="shared" si="19"/>
        <v>17.196447905125133</v>
      </c>
    </row>
    <row r="295" spans="9:14" x14ac:dyDescent="0.25">
      <c r="I295">
        <f>'S-Curve'!A294</f>
        <v>42</v>
      </c>
      <c r="J295" s="2">
        <f>'S-Curve'!C294</f>
        <v>3.2139716471205003E-3</v>
      </c>
      <c r="K295" s="3">
        <f t="shared" si="16"/>
        <v>7.6725506006167675E-3</v>
      </c>
      <c r="L295" s="3">
        <f t="shared" si="17"/>
        <v>1.5833348490034198E-2</v>
      </c>
      <c r="M295">
        <f t="shared" si="18"/>
        <v>8.8282989474755986</v>
      </c>
      <c r="N295">
        <f t="shared" si="19"/>
        <v>17.429723571073062</v>
      </c>
    </row>
    <row r="296" spans="9:14" x14ac:dyDescent="0.25">
      <c r="I296">
        <f>'S-Curve'!A295</f>
        <v>43</v>
      </c>
      <c r="J296" s="2">
        <f>'S-Curve'!C295</f>
        <v>3.2613148624350001E-3</v>
      </c>
      <c r="K296" s="3">
        <f t="shared" si="16"/>
        <v>7.785570644033092E-3</v>
      </c>
      <c r="L296" s="3">
        <f t="shared" si="17"/>
        <v>1.6066580674078134E-2</v>
      </c>
      <c r="M296">
        <f t="shared" si="18"/>
        <v>8.9528277287178391</v>
      </c>
      <c r="N296">
        <f t="shared" si="19"/>
        <v>17.664232202094176</v>
      </c>
    </row>
    <row r="297" spans="9:14" x14ac:dyDescent="0.25">
      <c r="I297">
        <f>'S-Curve'!A296</f>
        <v>44</v>
      </c>
      <c r="J297" s="2">
        <f>'S-Curve'!C296</f>
        <v>3.3090294527219999E-3</v>
      </c>
      <c r="K297" s="3">
        <f t="shared" si="16"/>
        <v>7.8994772519811428E-3</v>
      </c>
      <c r="L297" s="3">
        <f t="shared" si="17"/>
        <v>1.6301642404243092E-2</v>
      </c>
      <c r="M297">
        <f t="shared" si="18"/>
        <v>9.0781755796961789</v>
      </c>
      <c r="N297">
        <f t="shared" si="19"/>
        <v>17.89996251941335</v>
      </c>
    </row>
    <row r="298" spans="9:14" x14ac:dyDescent="0.25">
      <c r="I298">
        <f>'S-Curve'!A297</f>
        <v>45</v>
      </c>
      <c r="J298" s="2">
        <f>'S-Curve'!C297</f>
        <v>3.3571157518017002E-3</v>
      </c>
      <c r="K298" s="3">
        <f t="shared" si="16"/>
        <v>8.0142712213728574E-3</v>
      </c>
      <c r="L298" s="3">
        <f t="shared" si="17"/>
        <v>1.6538535325064919E-2</v>
      </c>
      <c r="M298">
        <f t="shared" si="18"/>
        <v>9.2043398612088758</v>
      </c>
      <c r="N298">
        <f t="shared" si="19"/>
        <v>18.136903179764087</v>
      </c>
    </row>
    <row r="299" spans="9:14" x14ac:dyDescent="0.25">
      <c r="I299">
        <f>'S-Curve'!A298</f>
        <v>46</v>
      </c>
      <c r="J299" s="2">
        <f>'S-Curve'!C298</f>
        <v>3.4055737596741004E-3</v>
      </c>
      <c r="K299" s="3">
        <f t="shared" si="16"/>
        <v>8.1299525522082368E-3</v>
      </c>
      <c r="L299" s="3">
        <f t="shared" si="17"/>
        <v>1.6777259436543603E-2</v>
      </c>
      <c r="M299">
        <f t="shared" si="18"/>
        <v>9.3313170350054264</v>
      </c>
      <c r="N299">
        <f t="shared" si="19"/>
        <v>18.375041137950721</v>
      </c>
    </row>
    <row r="300" spans="9:14" x14ac:dyDescent="0.25">
      <c r="I300">
        <f>'S-Curve'!A299</f>
        <v>47</v>
      </c>
      <c r="J300" s="2">
        <f>'S-Curve'!C299</f>
        <v>3.4544041439795998E-3</v>
      </c>
      <c r="K300" s="3">
        <f t="shared" si="16"/>
        <v>8.2465228383111558E-3</v>
      </c>
      <c r="L300" s="3">
        <f t="shared" si="17"/>
        <v>1.701781802775083E-2</v>
      </c>
      <c r="M300">
        <f t="shared" si="18"/>
        <v>9.459105288622883</v>
      </c>
      <c r="N300">
        <f t="shared" si="19"/>
        <v>18.614366571457452</v>
      </c>
    </row>
    <row r="301" spans="9:14" x14ac:dyDescent="0.25">
      <c r="I301">
        <f>'S-Curve'!A300</f>
        <v>48</v>
      </c>
      <c r="J301" s="2">
        <f>'S-Curve'!C300</f>
        <v>3.5036070716283002E-3</v>
      </c>
      <c r="K301" s="3">
        <f t="shared" si="16"/>
        <v>8.3639824781375893E-3</v>
      </c>
      <c r="L301" s="3">
        <f t="shared" si="17"/>
        <v>1.7260211920954519E-2</v>
      </c>
      <c r="M301">
        <f t="shared" si="18"/>
        <v>9.5877014725209602</v>
      </c>
      <c r="N301">
        <f t="shared" si="19"/>
        <v>18.854867134121612</v>
      </c>
    </row>
    <row r="302" spans="9:14" x14ac:dyDescent="0.25">
      <c r="I302">
        <f>'S-Curve'!A301</f>
        <v>49</v>
      </c>
      <c r="J302" s="2">
        <f>'S-Curve'!C301</f>
        <v>3.5531828764404001E-3</v>
      </c>
      <c r="K302" s="3">
        <f t="shared" si="16"/>
        <v>8.4823322685994695E-3</v>
      </c>
      <c r="L302" s="3">
        <f t="shared" si="17"/>
        <v>1.7504442760690506E-2</v>
      </c>
      <c r="M302">
        <f t="shared" si="18"/>
        <v>9.7171028501823802</v>
      </c>
      <c r="N302">
        <f t="shared" si="19"/>
        <v>19.096531240222003</v>
      </c>
    </row>
    <row r="303" spans="9:14" x14ac:dyDescent="0.25">
      <c r="I303">
        <f>'S-Curve'!A302</f>
        <v>50</v>
      </c>
      <c r="J303" s="2">
        <f>'S-Curve'!C302</f>
        <v>3.6031318922361E-3</v>
      </c>
      <c r="K303" s="3">
        <f t="shared" si="16"/>
        <v>8.6015730066087374E-3</v>
      </c>
      <c r="L303" s="3">
        <f t="shared" si="17"/>
        <v>1.7750512191494629E-2</v>
      </c>
      <c r="M303">
        <f t="shared" si="18"/>
        <v>9.8473066605509363</v>
      </c>
      <c r="N303">
        <f t="shared" si="19"/>
        <v>19.339347244029213</v>
      </c>
    </row>
    <row r="304" spans="9:14" x14ac:dyDescent="0.25">
      <c r="I304">
        <f>'S-Curve'!A303</f>
        <v>51</v>
      </c>
      <c r="J304" s="2">
        <f>'S-Curve'!C303</f>
        <v>3.653485164294E-3</v>
      </c>
      <c r="K304" s="3">
        <f t="shared" si="16"/>
        <v>8.721778804975688E-3</v>
      </c>
      <c r="L304" s="3">
        <f t="shared" si="17"/>
        <v>1.7998573155199933E-2</v>
      </c>
      <c r="M304">
        <f t="shared" si="18"/>
        <v>9.9783900151749094</v>
      </c>
      <c r="N304">
        <f t="shared" si="19"/>
        <v>19.583452118495469</v>
      </c>
    </row>
    <row r="305" spans="9:14" x14ac:dyDescent="0.25">
      <c r="I305">
        <f>'S-Curve'!A304</f>
        <v>52</v>
      </c>
      <c r="J305" s="2">
        <f>'S-Curve'!C304</f>
        <v>3.7045516432092002E-3</v>
      </c>
      <c r="K305" s="3">
        <f t="shared" si="16"/>
        <v>8.843687205699521E-3</v>
      </c>
      <c r="L305" s="3">
        <f t="shared" si="17"/>
        <v>1.8250147669725523E-2</v>
      </c>
      <c r="M305">
        <f t="shared" si="18"/>
        <v>10.111151578364129</v>
      </c>
      <c r="N305">
        <f t="shared" si="19"/>
        <v>19.830322710270487</v>
      </c>
    </row>
    <row r="306" spans="9:14" x14ac:dyDescent="0.25">
      <c r="I306">
        <f>'S-Curve'!A305</f>
        <v>53</v>
      </c>
      <c r="J306" s="2">
        <f>'S-Curve'!C305</f>
        <v>3.7564005966732004E-3</v>
      </c>
      <c r="K306" s="3">
        <f t="shared" si="16"/>
        <v>8.9674635680075023E-3</v>
      </c>
      <c r="L306" s="3">
        <f t="shared" si="17"/>
        <v>1.8505576976258015E-2</v>
      </c>
      <c r="M306">
        <f t="shared" si="18"/>
        <v>10.245763757678873</v>
      </c>
      <c r="N306">
        <f t="shared" si="19"/>
        <v>20.080265084096027</v>
      </c>
    </row>
    <row r="307" spans="9:14" x14ac:dyDescent="0.25">
      <c r="I307">
        <f>'S-Curve'!A306</f>
        <v>54</v>
      </c>
      <c r="J307" s="2">
        <f>'S-Curve'!C306</f>
        <v>3.8090185049679003E-3</v>
      </c>
      <c r="K307" s="3">
        <f t="shared" si="16"/>
        <v>9.0930756169661162E-3</v>
      </c>
      <c r="L307" s="3">
        <f t="shared" si="17"/>
        <v>1.8764794471095924E-2</v>
      </c>
      <c r="M307">
        <f t="shared" si="18"/>
        <v>10.382183384313437</v>
      </c>
      <c r="N307">
        <f t="shared" si="19"/>
        <v>20.333183821279942</v>
      </c>
    </row>
    <row r="308" spans="9:14" x14ac:dyDescent="0.25">
      <c r="I308">
        <f>'S-Curve'!A307</f>
        <v>55</v>
      </c>
      <c r="J308" s="2">
        <f>'S-Curve'!C307</f>
        <v>3.8623916814651002E-3</v>
      </c>
      <c r="K308" s="3">
        <f t="shared" si="16"/>
        <v>9.220490679185879E-3</v>
      </c>
      <c r="L308" s="3">
        <f t="shared" si="17"/>
        <v>1.9027732728269846E-2</v>
      </c>
      <c r="M308">
        <f t="shared" si="18"/>
        <v>10.520366950437621</v>
      </c>
      <c r="N308">
        <f t="shared" si="19"/>
        <v>20.588983146995311</v>
      </c>
    </row>
    <row r="309" spans="9:14" x14ac:dyDescent="0.25">
      <c r="I309">
        <f>'S-Curve'!A308</f>
        <v>56</v>
      </c>
      <c r="J309" s="2">
        <f>'S-Curve'!C308</f>
        <v>3.9165064395366E-3</v>
      </c>
      <c r="K309" s="3">
        <f t="shared" si="16"/>
        <v>9.349676081277309E-3</v>
      </c>
      <c r="L309" s="3">
        <f t="shared" si="17"/>
        <v>1.9294324321810382E-2</v>
      </c>
      <c r="M309">
        <f t="shared" si="18"/>
        <v>10.660271050678748</v>
      </c>
      <c r="N309">
        <f t="shared" si="19"/>
        <v>20.847567766398058</v>
      </c>
    </row>
    <row r="310" spans="9:14" x14ac:dyDescent="0.25">
      <c r="I310">
        <f>'S-Curve'!A309</f>
        <v>57</v>
      </c>
      <c r="J310" s="2">
        <f>'S-Curve'!C309</f>
        <v>3.9713490925542003E-3</v>
      </c>
      <c r="K310" s="3">
        <f t="shared" si="16"/>
        <v>9.4805991498509226E-3</v>
      </c>
      <c r="L310" s="3">
        <f t="shared" si="17"/>
        <v>1.9564501825748124E-2</v>
      </c>
      <c r="M310">
        <f t="shared" si="18"/>
        <v>10.801852389205358</v>
      </c>
      <c r="N310">
        <f t="shared" si="19"/>
        <v>21.10884289184861</v>
      </c>
    </row>
    <row r="311" spans="9:14" x14ac:dyDescent="0.25">
      <c r="I311">
        <f>'S-Curve'!A310</f>
        <v>58</v>
      </c>
      <c r="J311" s="2">
        <f>'S-Curve'!C310</f>
        <v>4.0269061207998001E-3</v>
      </c>
      <c r="K311" s="3">
        <f t="shared" si="16"/>
        <v>9.6132276099732024E-3</v>
      </c>
      <c r="L311" s="3">
        <f t="shared" si="17"/>
        <v>1.9838198636381584E-2</v>
      </c>
      <c r="M311">
        <f t="shared" si="18"/>
        <v>10.945068216586762</v>
      </c>
      <c r="N311">
        <f t="shared" si="19"/>
        <v>21.372715060804836</v>
      </c>
    </row>
    <row r="312" spans="9:14" x14ac:dyDescent="0.25">
      <c r="I312">
        <f>'S-Curve'!A311</f>
        <v>59</v>
      </c>
      <c r="J312" s="2">
        <f>'S-Curve'!C311</f>
        <v>4.0831638376452005E-3</v>
      </c>
      <c r="K312" s="3">
        <f t="shared" si="16"/>
        <v>9.7475287882546682E-3</v>
      </c>
      <c r="L312" s="3">
        <f t="shared" si="17"/>
        <v>2.0115347327741367E-2</v>
      </c>
      <c r="M312">
        <f t="shared" si="18"/>
        <v>11.089875474713606</v>
      </c>
      <c r="N312">
        <f t="shared" si="19"/>
        <v>21.639090570873087</v>
      </c>
    </row>
    <row r="313" spans="9:14" x14ac:dyDescent="0.25">
      <c r="I313">
        <f>'S-Curve'!A312</f>
        <v>60</v>
      </c>
      <c r="J313" s="2">
        <f>'S-Curve'!C312</f>
        <v>4.1401087233723004E-3</v>
      </c>
      <c r="K313" s="3">
        <f t="shared" si="16"/>
        <v>9.883470409761801E-3</v>
      </c>
      <c r="L313" s="3">
        <f t="shared" si="17"/>
        <v>2.0395881296125982E-2</v>
      </c>
      <c r="M313">
        <f t="shared" si="18"/>
        <v>11.236231663849505</v>
      </c>
      <c r="N313">
        <f t="shared" si="19"/>
        <v>21.907877089812246</v>
      </c>
    </row>
    <row r="314" spans="9:14" x14ac:dyDescent="0.25">
      <c r="I314">
        <f>'S-Curve'!A313</f>
        <v>61</v>
      </c>
      <c r="J314" s="2">
        <f>'S-Curve'!C313</f>
        <v>4.1977269244428007E-3</v>
      </c>
      <c r="K314" s="3">
        <f t="shared" si="16"/>
        <v>1.0021019402649153E-2</v>
      </c>
      <c r="L314" s="3">
        <f t="shared" si="17"/>
        <v>2.0679732293298107E-2</v>
      </c>
      <c r="M314">
        <f t="shared" si="18"/>
        <v>11.384093561740926</v>
      </c>
      <c r="N314">
        <f t="shared" si="19"/>
        <v>22.178981314529011</v>
      </c>
    </row>
    <row r="315" spans="9:14" x14ac:dyDescent="0.25">
      <c r="I315">
        <f>'S-Curve'!A314</f>
        <v>62</v>
      </c>
      <c r="J315" s="2">
        <f>'S-Curve'!C314</f>
        <v>4.2560049211386002E-3</v>
      </c>
      <c r="K315" s="3">
        <f t="shared" si="16"/>
        <v>1.0160143491983202E-2</v>
      </c>
      <c r="L315" s="3">
        <f t="shared" si="17"/>
        <v>2.0966833715556254E-2</v>
      </c>
      <c r="M315">
        <f t="shared" si="18"/>
        <v>11.533418945753493</v>
      </c>
      <c r="N315">
        <f t="shared" si="19"/>
        <v>22.452312145314004</v>
      </c>
    </row>
    <row r="316" spans="9:14" x14ac:dyDescent="0.25">
      <c r="I316">
        <f>'S-Curve'!A315</f>
        <v>63</v>
      </c>
      <c r="J316" s="2">
        <f>'S-Curve'!C315</f>
        <v>4.3149291937416004E-3</v>
      </c>
      <c r="K316" s="3">
        <f t="shared" si="16"/>
        <v>1.0300810402830443E-2</v>
      </c>
      <c r="L316" s="3">
        <f t="shared" si="17"/>
        <v>2.1257118959198944E-2</v>
      </c>
      <c r="M316">
        <f t="shared" si="18"/>
        <v>11.684165738960338</v>
      </c>
      <c r="N316">
        <f t="shared" si="19"/>
        <v>22.727779124642034</v>
      </c>
    </row>
    <row r="317" spans="9:14" x14ac:dyDescent="0.25">
      <c r="I317">
        <f>'S-Curve'!A316</f>
        <v>64</v>
      </c>
      <c r="J317" s="2">
        <f>'S-Curve'!C316</f>
        <v>4.3744858887135004E-3</v>
      </c>
      <c r="K317" s="3">
        <f t="shared" si="16"/>
        <v>1.0442987063345417E-2</v>
      </c>
      <c r="L317" s="3">
        <f t="shared" si="17"/>
        <v>2.1550519775988854E-2</v>
      </c>
      <c r="M317">
        <f t="shared" si="18"/>
        <v>11.836291163954705</v>
      </c>
      <c r="N317">
        <f t="shared" si="19"/>
        <v>23.005290905301301</v>
      </c>
    </row>
    <row r="318" spans="9:14" x14ac:dyDescent="0.25">
      <c r="I318">
        <f>'S-Curve'!A317</f>
        <v>65</v>
      </c>
      <c r="J318" s="2">
        <f>'S-Curve'!C317</f>
        <v>4.4346614863361999E-3</v>
      </c>
      <c r="K318" s="3">
        <f t="shared" si="16"/>
        <v>1.0586641198594609E-2</v>
      </c>
      <c r="L318" s="3">
        <f t="shared" si="17"/>
        <v>2.184696956222449E-2</v>
      </c>
      <c r="M318">
        <f t="shared" si="18"/>
        <v>11.989753456578301</v>
      </c>
      <c r="N318">
        <f t="shared" si="19"/>
        <v>23.284758391937586</v>
      </c>
    </row>
    <row r="319" spans="9:14" x14ac:dyDescent="0.25">
      <c r="I319">
        <f>'S-Curve'!A318</f>
        <v>66</v>
      </c>
      <c r="J319" s="2">
        <f>'S-Curve'!C318</f>
        <v>4.4954422999815002E-3</v>
      </c>
      <c r="K319" s="3">
        <f t="shared" si="16"/>
        <v>1.0731740135188537E-2</v>
      </c>
      <c r="L319" s="3">
        <f t="shared" si="17"/>
        <v>2.2146400891936462E-2</v>
      </c>
      <c r="M319">
        <f t="shared" si="18"/>
        <v>12.144510590753367</v>
      </c>
      <c r="N319">
        <f t="shared" si="19"/>
        <v>23.566092420981597</v>
      </c>
    </row>
    <row r="320" spans="9:14" x14ac:dyDescent="0.25">
      <c r="I320">
        <f>'S-Curve'!A319</f>
        <v>67</v>
      </c>
      <c r="J320" s="2">
        <f>'S-Curve'!C319</f>
        <v>4.5568148099313002E-3</v>
      </c>
      <c r="K320" s="3">
        <f t="shared" si="16"/>
        <v>1.0878251598193688E-2</v>
      </c>
      <c r="L320" s="3">
        <f t="shared" si="17"/>
        <v>2.2448747161423276E-2</v>
      </c>
      <c r="M320">
        <f t="shared" si="18"/>
        <v>12.300521135135355</v>
      </c>
      <c r="N320">
        <f t="shared" si="19"/>
        <v>23.849205329614875</v>
      </c>
    </row>
    <row r="321" spans="9:14" x14ac:dyDescent="0.25">
      <c r="I321">
        <f>'S-Curve'!A320</f>
        <v>68</v>
      </c>
      <c r="J321" s="2">
        <f>'S-Curve'!C320</f>
        <v>4.6187651626473005E-3</v>
      </c>
      <c r="K321" s="3">
        <f t="shared" si="16"/>
        <v>1.1026142515764606E-2</v>
      </c>
      <c r="L321" s="3">
        <f t="shared" si="17"/>
        <v>2.2753940122447611E-2</v>
      </c>
      <c r="M321">
        <f t="shared" si="18"/>
        <v>12.457742985081833</v>
      </c>
      <c r="N321">
        <f t="shared" si="19"/>
        <v>24.134008662466343</v>
      </c>
    </row>
    <row r="322" spans="9:14" x14ac:dyDescent="0.25">
      <c r="I322">
        <f>'S-Curve'!A321</f>
        <v>69</v>
      </c>
      <c r="J322" s="2">
        <f>'S-Curve'!C321</f>
        <v>4.6812800053215005E-3</v>
      </c>
      <c r="K322" s="3">
        <f t="shared" si="16"/>
        <v>1.1175381011423747E-2</v>
      </c>
      <c r="L322" s="3">
        <f t="shared" si="17"/>
        <v>2.3061913993575905E-2</v>
      </c>
      <c r="M322">
        <f t="shared" si="18"/>
        <v>12.616135487373715</v>
      </c>
      <c r="N322">
        <f t="shared" si="19"/>
        <v>24.420417031898555</v>
      </c>
    </row>
    <row r="323" spans="9:14" x14ac:dyDescent="0.25">
      <c r="I323">
        <f>'S-Curve'!A322</f>
        <v>70</v>
      </c>
      <c r="J323" s="2">
        <f>'S-Curve'!C322</f>
        <v>4.7443453175054998E-3</v>
      </c>
      <c r="K323" s="3">
        <f t="shared" si="16"/>
        <v>1.1325933614869688E-2</v>
      </c>
      <c r="L323" s="3">
        <f t="shared" si="17"/>
        <v>2.3372599704302905E-2</v>
      </c>
      <c r="M323">
        <f t="shared" si="18"/>
        <v>12.775656481649477</v>
      </c>
      <c r="N323">
        <f t="shared" si="19"/>
        <v>24.708342769577229</v>
      </c>
    </row>
    <row r="324" spans="9:14" x14ac:dyDescent="0.25">
      <c r="I324">
        <f>'S-Curve'!A323</f>
        <v>71</v>
      </c>
      <c r="J324" s="2">
        <f>'S-Curve'!C323</f>
        <v>4.8079479133014006E-3</v>
      </c>
      <c r="K324" s="3">
        <f t="shared" ref="K324:K387" si="20">J324*$E$3</f>
        <v>1.1477768848080857E-2</v>
      </c>
      <c r="L324" s="3">
        <f t="shared" ref="L324:L387" si="21">J324*$F$3</f>
        <v>2.368593229546298E-2</v>
      </c>
      <c r="M324">
        <f t="shared" ref="M324:M387" si="22">100*(1-(1-K324)^12)</f>
        <v>12.936266109374506</v>
      </c>
      <c r="N324">
        <f t="shared" ref="N324:N387" si="23">100*(1-(1-L324)^12)</f>
        <v>24.997702817451774</v>
      </c>
    </row>
    <row r="325" spans="9:14" x14ac:dyDescent="0.25">
      <c r="I325">
        <f>'S-Curve'!A324</f>
        <v>72</v>
      </c>
      <c r="J325" s="2">
        <f>'S-Curve'!C324</f>
        <v>4.872073939170901E-3</v>
      </c>
      <c r="K325" s="3">
        <f t="shared" si="20"/>
        <v>1.1630853639211795E-2</v>
      </c>
      <c r="L325" s="3">
        <f t="shared" si="21"/>
        <v>2.4001843518818795E-2</v>
      </c>
      <c r="M325">
        <f t="shared" si="22"/>
        <v>13.097923016854352</v>
      </c>
      <c r="N325">
        <f t="shared" si="23"/>
        <v>25.28841187747296</v>
      </c>
    </row>
    <row r="326" spans="9:14" x14ac:dyDescent="0.25">
      <c r="I326">
        <f>'S-Curve'!A325</f>
        <v>73</v>
      </c>
      <c r="J326" s="2">
        <f>'S-Curve'!C325</f>
        <v>4.9367095415757001E-3</v>
      </c>
      <c r="K326" s="3">
        <f t="shared" si="20"/>
        <v>1.1785154916417049E-2</v>
      </c>
      <c r="L326" s="3">
        <f t="shared" si="21"/>
        <v>2.4320265126133028E-2</v>
      </c>
      <c r="M326">
        <f t="shared" si="22"/>
        <v>13.260586052633649</v>
      </c>
      <c r="N326">
        <f t="shared" si="23"/>
        <v>25.580385489723433</v>
      </c>
    </row>
    <row r="327" spans="9:14" x14ac:dyDescent="0.25">
      <c r="I327">
        <f>'S-Curve'!A326</f>
        <v>74</v>
      </c>
      <c r="J327" s="2">
        <f>'S-Curve'!C326</f>
        <v>5.0018415346179002E-3</v>
      </c>
      <c r="K327" s="3">
        <f t="shared" si="20"/>
        <v>1.1940641201675048E-2</v>
      </c>
      <c r="L327" s="3">
        <f t="shared" si="21"/>
        <v>2.4641132158240039E-2</v>
      </c>
      <c r="M327">
        <f t="shared" si="22"/>
        <v>13.424215947584006</v>
      </c>
      <c r="N327">
        <f t="shared" si="23"/>
        <v>25.873543045291292</v>
      </c>
    </row>
    <row r="328" spans="9:14" x14ac:dyDescent="0.25">
      <c r="I328">
        <f>'S-Curve'!A327</f>
        <v>75</v>
      </c>
      <c r="J328" s="2">
        <f>'S-Curve'!C327</f>
        <v>5.0674558978491E-3</v>
      </c>
      <c r="K328" s="3">
        <f t="shared" si="20"/>
        <v>1.2097279024684366E-2</v>
      </c>
      <c r="L328" s="3">
        <f t="shared" si="21"/>
        <v>2.4964375544634581E-2</v>
      </c>
      <c r="M328">
        <f t="shared" si="22"/>
        <v>13.588771540283718</v>
      </c>
      <c r="N328">
        <f t="shared" si="23"/>
        <v>26.167801019635416</v>
      </c>
    </row>
    <row r="329" spans="9:14" x14ac:dyDescent="0.25">
      <c r="I329">
        <f>'S-Curve'!A328</f>
        <v>76</v>
      </c>
      <c r="J329" s="2">
        <f>'S-Curve'!C328</f>
        <v>5.1335392784613004E-3</v>
      </c>
      <c r="K329" s="3">
        <f t="shared" si="20"/>
        <v>1.2255036508967462E-2</v>
      </c>
      <c r="L329" s="3">
        <f t="shared" si="21"/>
        <v>2.5289929503883091E-2</v>
      </c>
      <c r="M329">
        <f t="shared" si="22"/>
        <v>13.754213556594397</v>
      </c>
      <c r="N329">
        <f t="shared" si="23"/>
        <v>26.463079752254124</v>
      </c>
    </row>
    <row r="330" spans="9:14" x14ac:dyDescent="0.25">
      <c r="I330">
        <f>'S-Curve'!A329</f>
        <v>77</v>
      </c>
      <c r="J330" s="2">
        <f>'S-Curve'!C329</f>
        <v>5.2000778229162005E-3</v>
      </c>
      <c r="K330" s="3">
        <f t="shared" si="20"/>
        <v>1.2413880582678878E-2</v>
      </c>
      <c r="L330" s="3">
        <f t="shared" si="21"/>
        <v>2.5617725787748246E-2</v>
      </c>
      <c r="M330">
        <f t="shared" si="22"/>
        <v>13.920501681363584</v>
      </c>
      <c r="N330">
        <f t="shared" si="23"/>
        <v>26.759298210998129</v>
      </c>
    </row>
    <row r="331" spans="9:14" x14ac:dyDescent="0.25">
      <c r="I331">
        <f>'S-Curve'!A330</f>
        <v>78</v>
      </c>
      <c r="J331" s="2">
        <f>'S-Curve'!C330</f>
        <v>5.2670578445856006E-3</v>
      </c>
      <c r="K331" s="3">
        <f t="shared" si="20"/>
        <v>1.2573778572429131E-2</v>
      </c>
      <c r="L331" s="3">
        <f t="shared" si="21"/>
        <v>2.5947696970260638E-2</v>
      </c>
      <c r="M331">
        <f t="shared" si="22"/>
        <v>14.087596237088961</v>
      </c>
      <c r="N331">
        <f t="shared" si="23"/>
        <v>27.056376999082023</v>
      </c>
    </row>
    <row r="332" spans="9:14" x14ac:dyDescent="0.25">
      <c r="I332">
        <f>'S-Curve'!A331</f>
        <v>79</v>
      </c>
      <c r="J332" s="2">
        <f>'S-Curve'!C331</f>
        <v>5.3344659906614999E-3</v>
      </c>
      <c r="K332" s="3">
        <f t="shared" si="20"/>
        <v>1.2734698601740676E-2</v>
      </c>
      <c r="L332" s="3">
        <f t="shared" si="21"/>
        <v>2.62797772699867E-2</v>
      </c>
      <c r="M332">
        <f t="shared" si="22"/>
        <v>14.255458598885228</v>
      </c>
      <c r="N332">
        <f t="shared" si="23"/>
        <v>27.354239086896158</v>
      </c>
    </row>
    <row r="333" spans="9:14" x14ac:dyDescent="0.25">
      <c r="I333">
        <f>'S-Curve'!A332</f>
        <v>80</v>
      </c>
      <c r="J333" s="2">
        <f>'S-Curve'!C332</f>
        <v>5.4022884076056002E-3</v>
      </c>
      <c r="K333" s="3">
        <f t="shared" si="20"/>
        <v>1.2896607598768062E-2</v>
      </c>
      <c r="L333" s="3">
        <f t="shared" si="21"/>
        <v>2.661389843868912E-2</v>
      </c>
      <c r="M333">
        <f t="shared" si="22"/>
        <v>14.424049117594496</v>
      </c>
      <c r="N333">
        <f t="shared" si="23"/>
        <v>27.652806126025521</v>
      </c>
    </row>
    <row r="334" spans="9:14" x14ac:dyDescent="0.25">
      <c r="I334">
        <f>'S-Curve'!A333</f>
        <v>81</v>
      </c>
      <c r="J334" s="2">
        <f>'S-Curve'!C333</f>
        <v>5.4705115756998003E-3</v>
      </c>
      <c r="K334" s="3">
        <f t="shared" si="20"/>
        <v>1.3059473288577773E-2</v>
      </c>
      <c r="L334" s="3">
        <f t="shared" si="21"/>
        <v>2.6949993872666403E-2</v>
      </c>
      <c r="M334">
        <f t="shared" si="22"/>
        <v>14.593329202928418</v>
      </c>
      <c r="N334">
        <f t="shared" si="23"/>
        <v>27.952002151800958</v>
      </c>
    </row>
    <row r="335" spans="9:14" x14ac:dyDescent="0.25">
      <c r="I335">
        <f>'S-Curve'!A334</f>
        <v>82</v>
      </c>
      <c r="J335" s="2">
        <f>'S-Curve'!C334</f>
        <v>5.5391218083158996E-3</v>
      </c>
      <c r="K335" s="3">
        <f t="shared" si="20"/>
        <v>1.3223262997780323E-2</v>
      </c>
      <c r="L335" s="3">
        <f t="shared" si="21"/>
        <v>2.7287996145949147E-2</v>
      </c>
      <c r="M335">
        <f t="shared" si="22"/>
        <v>14.763260079804075</v>
      </c>
      <c r="N335">
        <f t="shared" si="23"/>
        <v>28.251751379320499</v>
      </c>
    </row>
    <row r="336" spans="9:14" x14ac:dyDescent="0.25">
      <c r="I336">
        <f>'S-Curve'!A335</f>
        <v>83</v>
      </c>
      <c r="J336" s="2">
        <f>'S-Curve'!C335</f>
        <v>5.6081055857357997E-3</v>
      </c>
      <c r="K336" s="3">
        <f t="shared" si="20"/>
        <v>1.3387944451442204E-2</v>
      </c>
      <c r="L336" s="3">
        <f t="shared" si="21"/>
        <v>2.7627838654835871E-2</v>
      </c>
      <c r="M336">
        <f t="shared" si="22"/>
        <v>14.933803619377372</v>
      </c>
      <c r="N336">
        <f t="shared" si="23"/>
        <v>28.55197967398173</v>
      </c>
    </row>
    <row r="337" spans="9:14" x14ac:dyDescent="0.25">
      <c r="I337">
        <f>'S-Curve'!A336</f>
        <v>84</v>
      </c>
      <c r="J337" s="2">
        <f>'S-Curve'!C336</f>
        <v>5.6774488875111001E-3</v>
      </c>
      <c r="K337" s="3">
        <f t="shared" si="20"/>
        <v>1.3553484179261987E-2</v>
      </c>
      <c r="L337" s="3">
        <f t="shared" si="21"/>
        <v>2.7969452328821334E-2</v>
      </c>
      <c r="M337">
        <f t="shared" si="22"/>
        <v>15.104920691836977</v>
      </c>
      <c r="N337">
        <f t="shared" si="23"/>
        <v>28.852611654494574</v>
      </c>
    </row>
    <row r="338" spans="9:14" x14ac:dyDescent="0.25">
      <c r="I338">
        <f>'S-Curve'!A337</f>
        <v>85</v>
      </c>
      <c r="J338" s="2">
        <f>'S-Curve'!C337</f>
        <v>5.7471385277439004E-3</v>
      </c>
      <c r="K338" s="3">
        <f t="shared" si="20"/>
        <v>1.3719850703218099E-2</v>
      </c>
      <c r="L338" s="3">
        <f t="shared" si="21"/>
        <v>2.8312772208739883E-2</v>
      </c>
      <c r="M338">
        <f t="shared" si="22"/>
        <v>15.276574466168945</v>
      </c>
      <c r="N338">
        <f t="shared" si="23"/>
        <v>29.153576495499532</v>
      </c>
    </row>
    <row r="339" spans="9:14" x14ac:dyDescent="0.25">
      <c r="I339">
        <f>'S-Curve'!A338</f>
        <v>86</v>
      </c>
      <c r="J339" s="2">
        <f>'S-Curve'!C338</f>
        <v>5.8171606528959006E-3</v>
      </c>
      <c r="K339" s="3">
        <f t="shared" si="20"/>
        <v>1.3887010951465087E-2</v>
      </c>
      <c r="L339" s="3">
        <f t="shared" si="21"/>
        <v>2.8657730046354201E-2</v>
      </c>
      <c r="M339">
        <f t="shared" si="22"/>
        <v>15.448726703614701</v>
      </c>
      <c r="N339">
        <f t="shared" si="23"/>
        <v>29.454801412517106</v>
      </c>
    </row>
    <row r="340" spans="9:14" x14ac:dyDescent="0.25">
      <c r="I340">
        <f>'S-Curve'!A339</f>
        <v>87</v>
      </c>
      <c r="J340" s="2">
        <f>'S-Curve'!C339</f>
        <v>5.8875017432490004E-3</v>
      </c>
      <c r="K340" s="3">
        <f t="shared" si="20"/>
        <v>1.4054932649069434E-2</v>
      </c>
      <c r="L340" s="3">
        <f t="shared" si="21"/>
        <v>2.9004259237962796E-2</v>
      </c>
      <c r="M340">
        <f t="shared" si="22"/>
        <v>15.621340230324732</v>
      </c>
      <c r="N340">
        <f t="shared" si="23"/>
        <v>29.756216004819947</v>
      </c>
    </row>
    <row r="341" spans="9:14" x14ac:dyDescent="0.25">
      <c r="I341">
        <f>'S-Curve'!A340</f>
        <v>88</v>
      </c>
      <c r="J341" s="2">
        <f>'S-Curve'!C340</f>
        <v>5.9581479452648998E-3</v>
      </c>
      <c r="K341" s="3">
        <f t="shared" si="20"/>
        <v>1.4223582724185687E-2</v>
      </c>
      <c r="L341" s="3">
        <f t="shared" si="21"/>
        <v>2.9352291535328347E-2</v>
      </c>
      <c r="M341">
        <f t="shared" si="22"/>
        <v>15.794377297935636</v>
      </c>
      <c r="N341">
        <f t="shared" si="23"/>
        <v>30.057749386651977</v>
      </c>
    </row>
    <row r="342" spans="9:14" x14ac:dyDescent="0.25">
      <c r="I342">
        <f>'S-Curve'!A341</f>
        <v>89</v>
      </c>
      <c r="J342" s="2">
        <f>'S-Curve'!C341</f>
        <v>6.0290857392255003E-3</v>
      </c>
      <c r="K342" s="3">
        <f t="shared" si="20"/>
        <v>1.4392928901880337E-2</v>
      </c>
      <c r="L342" s="3">
        <f t="shared" si="21"/>
        <v>2.9701760334749375E-2</v>
      </c>
      <c r="M342">
        <f t="shared" si="22"/>
        <v>15.967801223769239</v>
      </c>
      <c r="N342">
        <f t="shared" si="23"/>
        <v>30.359333050777813</v>
      </c>
    </row>
    <row r="343" spans="9:14" x14ac:dyDescent="0.25">
      <c r="I343">
        <f>'S-Curve'!A342</f>
        <v>90</v>
      </c>
      <c r="J343" s="2">
        <f>'S-Curve'!C342</f>
        <v>6.1003016054127007E-3</v>
      </c>
      <c r="K343" s="3">
        <f t="shared" si="20"/>
        <v>1.4562938907219866E-2</v>
      </c>
      <c r="L343" s="3">
        <f t="shared" si="21"/>
        <v>3.0052599032524392E-2</v>
      </c>
      <c r="M343">
        <f t="shared" si="22"/>
        <v>16.141575571035858</v>
      </c>
      <c r="N343">
        <f t="shared" si="23"/>
        <v>30.660899431685319</v>
      </c>
    </row>
    <row r="344" spans="9:14" x14ac:dyDescent="0.25">
      <c r="I344">
        <f>'S-Curve'!A343</f>
        <v>91</v>
      </c>
      <c r="J344" s="2">
        <f>'S-Curve'!C343</f>
        <v>6.1717816902882002E-3</v>
      </c>
      <c r="K344" s="3">
        <f t="shared" si="20"/>
        <v>1.4733579668358816E-2</v>
      </c>
      <c r="L344" s="3">
        <f t="shared" si="21"/>
        <v>3.0404739380416074E-2</v>
      </c>
      <c r="M344">
        <f t="shared" si="22"/>
        <v>16.315663338137242</v>
      </c>
      <c r="N344">
        <f t="shared" si="23"/>
        <v>30.962380501909735</v>
      </c>
    </row>
    <row r="345" spans="9:14" x14ac:dyDescent="0.25">
      <c r="I345">
        <f>'S-Curve'!A344</f>
        <v>92</v>
      </c>
      <c r="J345" s="2">
        <f>'S-Curve'!C344</f>
        <v>6.2435126410440005E-3</v>
      </c>
      <c r="K345" s="3">
        <f t="shared" si="20"/>
        <v>1.490481930881965E-2</v>
      </c>
      <c r="L345" s="3">
        <f t="shared" si="21"/>
        <v>3.0758115596990859E-2</v>
      </c>
      <c r="M345">
        <f t="shared" si="22"/>
        <v>16.490028994530061</v>
      </c>
      <c r="N345">
        <f t="shared" si="23"/>
        <v>31.263711299834497</v>
      </c>
    </row>
    <row r="346" spans="9:14" x14ac:dyDescent="0.25">
      <c r="I346">
        <f>'S-Curve'!A345</f>
        <v>93</v>
      </c>
      <c r="J346" s="2">
        <f>'S-Curve'!C345</f>
        <v>6.3154806041418009E-3</v>
      </c>
      <c r="K346" s="3">
        <f t="shared" si="20"/>
        <v>1.5076624756756911E-2</v>
      </c>
      <c r="L346" s="3">
        <f t="shared" si="21"/>
        <v>3.1112659434011418E-2</v>
      </c>
      <c r="M346">
        <f t="shared" si="22"/>
        <v>16.664636042962865</v>
      </c>
      <c r="N346">
        <f t="shared" si="23"/>
        <v>31.564825706147737</v>
      </c>
    </row>
    <row r="347" spans="9:14" x14ac:dyDescent="0.25">
      <c r="I347">
        <f>'S-Curve'!A346</f>
        <v>94</v>
      </c>
      <c r="J347" s="2">
        <f>'S-Curve'!C346</f>
        <v>6.3876718929533997E-3</v>
      </c>
      <c r="K347" s="3">
        <f t="shared" si="20"/>
        <v>1.5248963338781112E-2</v>
      </c>
      <c r="L347" s="3">
        <f t="shared" si="21"/>
        <v>3.1468303465508343E-2</v>
      </c>
      <c r="M347">
        <f t="shared" si="22"/>
        <v>16.839448647400289</v>
      </c>
      <c r="N347">
        <f t="shared" si="23"/>
        <v>31.865659262310476</v>
      </c>
    </row>
    <row r="348" spans="9:14" x14ac:dyDescent="0.25">
      <c r="I348">
        <f>'S-Curve'!A347</f>
        <v>95</v>
      </c>
      <c r="J348" s="2">
        <f>'S-Curve'!C347</f>
        <v>6.4600729877607004E-3</v>
      </c>
      <c r="K348" s="3">
        <f t="shared" si="20"/>
        <v>1.5421802779958745E-2</v>
      </c>
      <c r="L348" s="3">
        <f t="shared" si="21"/>
        <v>3.1824981087780167E-2</v>
      </c>
      <c r="M348">
        <f t="shared" si="22"/>
        <v>17.014431630126559</v>
      </c>
      <c r="N348">
        <f t="shared" si="23"/>
        <v>32.166149155704879</v>
      </c>
    </row>
    <row r="349" spans="9:14" x14ac:dyDescent="0.25">
      <c r="I349">
        <f>'S-Curve'!A348</f>
        <v>96</v>
      </c>
      <c r="J349" s="2">
        <f>'S-Curve'!C348</f>
        <v>6.5326703688455999E-3</v>
      </c>
      <c r="K349" s="3">
        <f t="shared" si="20"/>
        <v>1.5595110805356291E-2</v>
      </c>
      <c r="L349" s="3">
        <f t="shared" si="21"/>
        <v>3.2182625697125392E-2</v>
      </c>
      <c r="M349">
        <f t="shared" si="22"/>
        <v>17.189550066469085</v>
      </c>
      <c r="N349">
        <f t="shared" si="23"/>
        <v>32.466233515741216</v>
      </c>
    </row>
    <row r="350" spans="9:14" x14ac:dyDescent="0.25">
      <c r="I350">
        <f>'S-Curve'!A349</f>
        <v>97</v>
      </c>
      <c r="J350" s="2">
        <f>'S-Curve'!C349</f>
        <v>6.6054501826698E-3</v>
      </c>
      <c r="K350" s="3">
        <f t="shared" si="20"/>
        <v>1.5768854343128299E-2</v>
      </c>
      <c r="L350" s="3">
        <f t="shared" si="21"/>
        <v>3.2541169045306698E-2</v>
      </c>
      <c r="M350">
        <f t="shared" si="22"/>
        <v>17.364768482609129</v>
      </c>
      <c r="N350">
        <f t="shared" si="23"/>
        <v>32.765850040561894</v>
      </c>
    </row>
    <row r="351" spans="9:14" x14ac:dyDescent="0.25">
      <c r="I351">
        <f>'S-Curve'!A350</f>
        <v>98</v>
      </c>
      <c r="J351" s="2">
        <f>'S-Curve'!C350</f>
        <v>6.6783989095151996E-3</v>
      </c>
      <c r="K351" s="3">
        <f t="shared" si="20"/>
        <v>1.5943001118341252E-2</v>
      </c>
      <c r="L351" s="3">
        <f t="shared" si="21"/>
        <v>3.2900544528622594E-2</v>
      </c>
      <c r="M351">
        <f t="shared" si="22"/>
        <v>17.540052466633703</v>
      </c>
      <c r="N351">
        <f t="shared" si="23"/>
        <v>33.064938754388663</v>
      </c>
    </row>
    <row r="352" spans="9:14" x14ac:dyDescent="0.25">
      <c r="I352">
        <f>'S-Curve'!A351</f>
        <v>99</v>
      </c>
      <c r="J352" s="2">
        <f>'S-Curve'!C351</f>
        <v>6.7515028627535998E-3</v>
      </c>
      <c r="K352" s="3">
        <f t="shared" si="20"/>
        <v>1.6117518457605669E-2</v>
      </c>
      <c r="L352" s="3">
        <f t="shared" si="21"/>
        <v>3.3260684721103689E-2</v>
      </c>
      <c r="M352">
        <f t="shared" si="22"/>
        <v>17.715367461515651</v>
      </c>
      <c r="N352">
        <f t="shared" si="23"/>
        <v>33.363439936252604</v>
      </c>
    </row>
    <row r="353" spans="9:14" x14ac:dyDescent="0.25">
      <c r="I353">
        <f>'S-Curve'!A352</f>
        <v>100</v>
      </c>
      <c r="J353" s="2">
        <f>'S-Curve'!C352</f>
        <v>6.824748355756801E-3</v>
      </c>
      <c r="K353" s="3">
        <f t="shared" si="20"/>
        <v>1.6292373687532068E-2</v>
      </c>
      <c r="L353" s="3">
        <f t="shared" si="21"/>
        <v>3.3621522196780572E-2</v>
      </c>
      <c r="M353">
        <f t="shared" si="22"/>
        <v>17.890679168436442</v>
      </c>
      <c r="N353">
        <f t="shared" si="23"/>
        <v>33.661294807947797</v>
      </c>
    </row>
    <row r="354" spans="9:14" x14ac:dyDescent="0.25">
      <c r="I354">
        <f>'S-Curve'!A353</f>
        <v>101</v>
      </c>
      <c r="J354" s="2">
        <f>'S-Curve'!C353</f>
        <v>6.8981218688067012E-3</v>
      </c>
      <c r="K354" s="3">
        <f t="shared" si="20"/>
        <v>1.6467534533186931E-2</v>
      </c>
      <c r="L354" s="3">
        <f t="shared" si="21"/>
        <v>3.3982990351951757E-2</v>
      </c>
      <c r="M354">
        <f t="shared" si="22"/>
        <v>18.065953945294321</v>
      </c>
      <c r="N354">
        <f t="shared" si="23"/>
        <v>33.958446204740071</v>
      </c>
    </row>
    <row r="355" spans="9:14" x14ac:dyDescent="0.25">
      <c r="I355">
        <f>'S-Curve'!A354</f>
        <v>102</v>
      </c>
      <c r="J355" s="2">
        <f>'S-Curve'!C354</f>
        <v>6.9716097152750997E-3</v>
      </c>
      <c r="K355" s="3">
        <f t="shared" si="20"/>
        <v>1.6642968321180767E-2</v>
      </c>
      <c r="L355" s="3">
        <f t="shared" si="21"/>
        <v>3.4345021760647833E-2</v>
      </c>
      <c r="M355">
        <f t="shared" si="22"/>
        <v>18.241158007766465</v>
      </c>
      <c r="N355">
        <f t="shared" si="23"/>
        <v>34.254837213568187</v>
      </c>
    </row>
    <row r="356" spans="9:14" x14ac:dyDescent="0.25">
      <c r="I356">
        <f>'S-Curve'!A355</f>
        <v>103</v>
      </c>
      <c r="J356" s="2">
        <f>'S-Curve'!C355</f>
        <v>7.0451982085338004E-3</v>
      </c>
      <c r="K356" s="3">
        <f t="shared" si="20"/>
        <v>1.6818642378124107E-2</v>
      </c>
      <c r="L356" s="3">
        <f t="shared" si="21"/>
        <v>3.4707548996899415E-2</v>
      </c>
      <c r="M356">
        <f t="shared" si="22"/>
        <v>18.416257829904648</v>
      </c>
      <c r="N356">
        <f t="shared" si="23"/>
        <v>34.550411851189757</v>
      </c>
    </row>
    <row r="357" spans="9:14" x14ac:dyDescent="0.25">
      <c r="I357">
        <f>'S-Curve'!A356</f>
        <v>104</v>
      </c>
      <c r="J357" s="2">
        <f>'S-Curve'!C356</f>
        <v>7.1188738288646995E-3</v>
      </c>
      <c r="K357" s="3">
        <f t="shared" si="20"/>
        <v>1.6994524429083425E-2</v>
      </c>
      <c r="L357" s="3">
        <f t="shared" si="21"/>
        <v>3.5070505457005005E-2</v>
      </c>
      <c r="M357">
        <f t="shared" si="22"/>
        <v>18.591220539919384</v>
      </c>
      <c r="N357">
        <f t="shared" si="23"/>
        <v>34.845115725211706</v>
      </c>
    </row>
    <row r="358" spans="9:14" x14ac:dyDescent="0.25">
      <c r="I358">
        <f>'S-Curve'!A357</f>
        <v>105</v>
      </c>
      <c r="J358" s="2">
        <f>'S-Curve'!C357</f>
        <v>7.1926228896396008E-3</v>
      </c>
      <c r="K358" s="3">
        <f t="shared" si="20"/>
        <v>1.7170581800669247E-2</v>
      </c>
      <c r="L358" s="3">
        <f t="shared" si="21"/>
        <v>3.5433823714995205E-2</v>
      </c>
      <c r="M358">
        <f t="shared" si="22"/>
        <v>18.766013125551851</v>
      </c>
      <c r="N358">
        <f t="shared" si="23"/>
        <v>35.138894687632394</v>
      </c>
    </row>
    <row r="359" spans="9:14" x14ac:dyDescent="0.25">
      <c r="I359">
        <f>'S-Curve'!A358</f>
        <v>106</v>
      </c>
      <c r="J359" s="2">
        <f>'S-Curve'!C358</f>
        <v>7.2664318711403997E-3</v>
      </c>
      <c r="K359" s="3">
        <f t="shared" si="20"/>
        <v>1.734678221794805E-2</v>
      </c>
      <c r="L359" s="3">
        <f t="shared" si="21"/>
        <v>3.5797437167168517E-2</v>
      </c>
      <c r="M359">
        <f t="shared" si="22"/>
        <v>18.940603226378482</v>
      </c>
      <c r="N359">
        <f t="shared" si="23"/>
        <v>35.431696164086354</v>
      </c>
    </row>
    <row r="360" spans="9:14" x14ac:dyDescent="0.25">
      <c r="I360">
        <f>'S-Curve'!A359</f>
        <v>107</v>
      </c>
      <c r="J360" s="2">
        <f>'S-Curve'!C359</f>
        <v>7.340286752918701E-3</v>
      </c>
      <c r="K360" s="3">
        <f t="shared" si="20"/>
        <v>1.7523092210618419E-2</v>
      </c>
      <c r="L360" s="3">
        <f t="shared" si="21"/>
        <v>3.6161276743019721E-2</v>
      </c>
      <c r="M360">
        <f t="shared" si="22"/>
        <v>19.11495755476458</v>
      </c>
      <c r="N360">
        <f t="shared" si="23"/>
        <v>35.723466501553517</v>
      </c>
    </row>
    <row r="361" spans="9:14" x14ac:dyDescent="0.25">
      <c r="I361">
        <f>'S-Curve'!A360</f>
        <v>108</v>
      </c>
      <c r="J361" s="2">
        <f>'S-Curve'!C360</f>
        <v>7.4141743490766E-3</v>
      </c>
      <c r="K361" s="3">
        <f t="shared" si="20"/>
        <v>1.7699480300658765E-2</v>
      </c>
      <c r="L361" s="3">
        <f t="shared" si="21"/>
        <v>3.6525277483383155E-2</v>
      </c>
      <c r="M361">
        <f t="shared" si="22"/>
        <v>19.289045049803821</v>
      </c>
      <c r="N361">
        <f t="shared" si="23"/>
        <v>36.014156244850014</v>
      </c>
    </row>
    <row r="362" spans="9:14" x14ac:dyDescent="0.25">
      <c r="I362">
        <f>'S-Curve'!A361</f>
        <v>109</v>
      </c>
      <c r="J362" s="2">
        <f>'S-Curve'!C361</f>
        <v>7.4880806391657007E-3</v>
      </c>
      <c r="K362" s="3">
        <f t="shared" si="20"/>
        <v>1.787591301776768E-2</v>
      </c>
      <c r="L362" s="3">
        <f t="shared" si="21"/>
        <v>3.6889370317753578E-2</v>
      </c>
      <c r="M362">
        <f t="shared" si="22"/>
        <v>19.4628329361494</v>
      </c>
      <c r="N362">
        <f t="shared" si="23"/>
        <v>36.303713535394145</v>
      </c>
    </row>
    <row r="363" spans="9:14" x14ac:dyDescent="0.25">
      <c r="I363">
        <f>'S-Curve'!A362</f>
        <v>110</v>
      </c>
      <c r="J363" s="2">
        <f>'S-Curve'!C362</f>
        <v>7.5619924372880998E-3</v>
      </c>
      <c r="K363" s="3">
        <f t="shared" si="20"/>
        <v>1.8052358883923581E-2</v>
      </c>
      <c r="L363" s="3">
        <f t="shared" si="21"/>
        <v>3.7253490286965341E-2</v>
      </c>
      <c r="M363">
        <f t="shared" si="22"/>
        <v>19.636290655692868</v>
      </c>
      <c r="N363">
        <f t="shared" si="23"/>
        <v>36.592090670242882</v>
      </c>
    </row>
    <row r="364" spans="9:14" x14ac:dyDescent="0.25">
      <c r="I364">
        <f>'S-Curve'!A363</f>
        <v>111</v>
      </c>
      <c r="J364" s="2">
        <f>'S-Curve'!C363</f>
        <v>7.6358955560853013E-3</v>
      </c>
      <c r="K364" s="3">
        <f t="shared" si="20"/>
        <v>1.822878403036908E-2</v>
      </c>
      <c r="L364" s="3">
        <f t="shared" si="21"/>
        <v>3.7617567498245304E-2</v>
      </c>
      <c r="M364">
        <f t="shared" si="22"/>
        <v>19.809385551148861</v>
      </c>
      <c r="N364">
        <f t="shared" si="23"/>
        <v>36.879236907508648</v>
      </c>
    </row>
    <row r="365" spans="9:14" x14ac:dyDescent="0.25">
      <c r="I365">
        <f>'S-Curve'!A364</f>
        <v>112</v>
      </c>
      <c r="J365" s="2">
        <f>'S-Curve'!C364</f>
        <v>7.7097768096594001E-3</v>
      </c>
      <c r="K365" s="3">
        <f t="shared" si="20"/>
        <v>1.8405156979082595E-2</v>
      </c>
      <c r="L365" s="3">
        <f t="shared" si="21"/>
        <v>3.7981536992427782E-2</v>
      </c>
      <c r="M365">
        <f t="shared" si="22"/>
        <v>19.982087565408513</v>
      </c>
      <c r="N365">
        <f t="shared" si="23"/>
        <v>37.165106272711768</v>
      </c>
    </row>
    <row r="366" spans="9:14" x14ac:dyDescent="0.25">
      <c r="I366">
        <f>'S-Curve'!A365</f>
        <v>113</v>
      </c>
      <c r="J366" s="2">
        <f>'S-Curve'!C365</f>
        <v>7.7836223444720997E-3</v>
      </c>
      <c r="K366" s="3">
        <f t="shared" si="20"/>
        <v>1.8581444658218677E-2</v>
      </c>
      <c r="L366" s="3">
        <f t="shared" si="21"/>
        <v>3.8345330521275485E-2</v>
      </c>
      <c r="M366">
        <f t="shared" si="22"/>
        <v>20.154365327064173</v>
      </c>
      <c r="N366">
        <f t="shared" si="23"/>
        <v>37.449651051346208</v>
      </c>
    </row>
    <row r="367" spans="9:14" x14ac:dyDescent="0.25">
      <c r="I367">
        <f>'S-Curve'!A366</f>
        <v>114</v>
      </c>
      <c r="J367" s="2">
        <f>'S-Curve'!C366</f>
        <v>7.8574186408053009E-3</v>
      </c>
      <c r="K367" s="3">
        <f t="shared" si="20"/>
        <v>1.8757614792843814E-2</v>
      </c>
      <c r="L367" s="3">
        <f t="shared" si="21"/>
        <v>3.8708881481086921E-2</v>
      </c>
      <c r="M367">
        <f t="shared" si="22"/>
        <v>20.326188493879883</v>
      </c>
      <c r="N367">
        <f t="shared" si="23"/>
        <v>37.732825668292676</v>
      </c>
    </row>
    <row r="368" spans="9:14" x14ac:dyDescent="0.25">
      <c r="I368">
        <f>'S-Curve'!A367</f>
        <v>115</v>
      </c>
      <c r="J368" s="2">
        <f>'S-Curve'!C367</f>
        <v>7.9311520120308003E-3</v>
      </c>
      <c r="K368" s="3">
        <f t="shared" si="20"/>
        <v>1.8933634709568516E-2</v>
      </c>
      <c r="L368" s="3">
        <f t="shared" si="21"/>
        <v>3.9072122445892678E-2</v>
      </c>
      <c r="M368">
        <f t="shared" si="22"/>
        <v>20.497526581205939</v>
      </c>
      <c r="N368">
        <f t="shared" si="23"/>
        <v>38.014584742300741</v>
      </c>
    </row>
    <row r="369" spans="9:14" x14ac:dyDescent="0.25">
      <c r="I369">
        <f>'S-Curve'!A368</f>
        <v>116</v>
      </c>
      <c r="J369" s="2">
        <f>'S-Curve'!C368</f>
        <v>8.0048087715204001E-3</v>
      </c>
      <c r="K369" s="3">
        <f t="shared" si="20"/>
        <v>1.9109471735003304E-2</v>
      </c>
      <c r="L369" s="3">
        <f t="shared" si="21"/>
        <v>3.9434985989723358E-2</v>
      </c>
      <c r="M369">
        <f t="shared" si="22"/>
        <v>20.66834935093409</v>
      </c>
      <c r="N369">
        <f t="shared" si="23"/>
        <v>38.294883723442084</v>
      </c>
    </row>
    <row r="370" spans="9:14" x14ac:dyDescent="0.25">
      <c r="I370">
        <f>'S-Curve'!A369</f>
        <v>117</v>
      </c>
      <c r="J370" s="2">
        <f>'S-Curve'!C369</f>
        <v>8.0783752326458996E-3</v>
      </c>
      <c r="K370" s="3">
        <f t="shared" si="20"/>
        <v>1.9285093195758694E-2</v>
      </c>
      <c r="L370" s="3">
        <f t="shared" si="21"/>
        <v>3.9797404686609548E-2</v>
      </c>
      <c r="M370">
        <f t="shared" si="22"/>
        <v>20.838626809796946</v>
      </c>
      <c r="N370">
        <f t="shared" si="23"/>
        <v>38.57367888308405</v>
      </c>
    </row>
    <row r="371" spans="9:14" x14ac:dyDescent="0.25">
      <c r="I371">
        <f>'S-Curve'!A370</f>
        <v>118</v>
      </c>
      <c r="J371" s="2">
        <f>'S-Curve'!C370</f>
        <v>8.1518380425993006E-3</v>
      </c>
      <c r="K371" s="3">
        <f t="shared" si="20"/>
        <v>1.946046721535714E-2</v>
      </c>
      <c r="L371" s="3">
        <f t="shared" si="21"/>
        <v>4.0159312755117707E-2</v>
      </c>
      <c r="M371">
        <f t="shared" si="22"/>
        <v>21.008329977946239</v>
      </c>
      <c r="N371">
        <f t="shared" si="23"/>
        <v>38.850928560798991</v>
      </c>
    </row>
    <row r="372" spans="9:14" x14ac:dyDescent="0.25">
      <c r="I372">
        <f>'S-Curve'!A371</f>
        <v>119</v>
      </c>
      <c r="J372" s="2">
        <f>'S-Curve'!C371</f>
        <v>8.2251831809322003E-3</v>
      </c>
      <c r="K372" s="3">
        <f t="shared" si="20"/>
        <v>1.9635560323497215E-2</v>
      </c>
      <c r="L372" s="3">
        <f t="shared" si="21"/>
        <v>4.052064112474256E-2</v>
      </c>
      <c r="M372">
        <f t="shared" si="22"/>
        <v>21.17742857286321</v>
      </c>
      <c r="N372">
        <f t="shared" si="23"/>
        <v>39.126589371664544</v>
      </c>
    </row>
    <row r="373" spans="9:14" x14ac:dyDescent="0.25">
      <c r="I373">
        <f>'S-Curve'!A372</f>
        <v>120</v>
      </c>
      <c r="J373" s="2">
        <f>'S-Curve'!C372</f>
        <v>8.2983972948366003E-3</v>
      </c>
      <c r="K373" s="3">
        <f t="shared" si="20"/>
        <v>1.981034064370138E-2</v>
      </c>
      <c r="L373" s="3">
        <f t="shared" si="21"/>
        <v>4.0881324014050563E-2</v>
      </c>
      <c r="M373">
        <f t="shared" si="22"/>
        <v>21.345894091929139</v>
      </c>
      <c r="N373">
        <f t="shared" si="23"/>
        <v>39.40062123480832</v>
      </c>
    </row>
    <row r="374" spans="9:14" x14ac:dyDescent="0.25">
      <c r="I374">
        <f>'S-Curve'!A373</f>
        <v>121</v>
      </c>
      <c r="J374" s="2">
        <f>'S-Curve'!C373</f>
        <v>8.3714666976843002E-3</v>
      </c>
      <c r="K374" s="3">
        <f t="shared" si="20"/>
        <v>1.9984775502580151E-2</v>
      </c>
      <c r="L374" s="3">
        <f t="shared" si="21"/>
        <v>4.1241293997072312E-2</v>
      </c>
      <c r="M374">
        <f t="shared" si="22"/>
        <v>21.513697497650931</v>
      </c>
      <c r="N374">
        <f t="shared" si="23"/>
        <v>39.672983585391052</v>
      </c>
    </row>
    <row r="375" spans="9:14" x14ac:dyDescent="0.25">
      <c r="I375">
        <f>'S-Curve'!A374</f>
        <v>122</v>
      </c>
      <c r="J375" s="2">
        <f>'S-Curve'!C374</f>
        <v>8.4443775359370008E-3</v>
      </c>
      <c r="K375" s="3">
        <f t="shared" si="20"/>
        <v>2.0158831828288072E-2</v>
      </c>
      <c r="L375" s="3">
        <f t="shared" si="21"/>
        <v>4.1600482825570474E-2</v>
      </c>
      <c r="M375">
        <f t="shared" si="22"/>
        <v>21.680809605162988</v>
      </c>
      <c r="N375">
        <f t="shared" si="23"/>
        <v>39.943636007339208</v>
      </c>
    </row>
    <row r="376" spans="9:14" x14ac:dyDescent="0.25">
      <c r="I376">
        <f>'S-Curve'!A375</f>
        <v>123</v>
      </c>
      <c r="J376" s="2">
        <f>'S-Curve'!C375</f>
        <v>8.5171164567867004E-3</v>
      </c>
      <c r="K376" s="3">
        <f t="shared" si="20"/>
        <v>2.0332477744347596E-2</v>
      </c>
      <c r="L376" s="3">
        <f t="shared" si="21"/>
        <v>4.1958824718111486E-2</v>
      </c>
      <c r="M376">
        <f t="shared" si="22"/>
        <v>21.847202609401407</v>
      </c>
      <c r="N376">
        <f t="shared" si="23"/>
        <v>40.212540697463375</v>
      </c>
    </row>
    <row r="377" spans="9:14" x14ac:dyDescent="0.25">
      <c r="I377">
        <f>'S-Curve'!A376</f>
        <v>124</v>
      </c>
      <c r="J377" s="2">
        <f>'S-Curve'!C376</f>
        <v>8.5896697736052019E-3</v>
      </c>
      <c r="K377" s="3">
        <f t="shared" si="20"/>
        <v>2.0505680577369245E-2</v>
      </c>
      <c r="L377" s="3">
        <f t="shared" si="21"/>
        <v>4.2316252248725948E-2</v>
      </c>
      <c r="M377">
        <f t="shared" si="22"/>
        <v>22.01284816804414</v>
      </c>
      <c r="N377">
        <f t="shared" si="23"/>
        <v>40.4796593493041</v>
      </c>
    </row>
    <row r="378" spans="9:14" x14ac:dyDescent="0.25">
      <c r="I378">
        <f>'S-Curve'!A377</f>
        <v>125</v>
      </c>
      <c r="J378" s="2">
        <f>'S-Curve'!C377</f>
        <v>8.6620236328542009E-3</v>
      </c>
      <c r="K378" s="3">
        <f t="shared" si="20"/>
        <v>2.0678407255507559E-2</v>
      </c>
      <c r="L378" s="3">
        <f t="shared" si="21"/>
        <v>4.2672697169176529E-2</v>
      </c>
      <c r="M378">
        <f t="shared" si="22"/>
        <v>22.177717786409634</v>
      </c>
      <c r="N378">
        <f t="shared" si="23"/>
        <v>40.744953777116457</v>
      </c>
    </row>
    <row r="379" spans="9:14" x14ac:dyDescent="0.25">
      <c r="I379">
        <f>'S-Curve'!A378</f>
        <v>126</v>
      </c>
      <c r="J379" s="2">
        <f>'S-Curve'!C378</f>
        <v>8.7341646817257011E-3</v>
      </c>
      <c r="K379" s="3">
        <f t="shared" si="20"/>
        <v>2.0850625902285001E-2</v>
      </c>
      <c r="L379" s="3">
        <f t="shared" si="21"/>
        <v>4.3028093698029672E-2</v>
      </c>
      <c r="M379">
        <f t="shared" si="22"/>
        <v>22.341784335438973</v>
      </c>
      <c r="N379">
        <f t="shared" si="23"/>
        <v>41.00838834897165</v>
      </c>
    </row>
    <row r="380" spans="9:14" x14ac:dyDescent="0.25">
      <c r="I380">
        <f>'S-Curve'!A379</f>
        <v>127</v>
      </c>
      <c r="J380" s="2">
        <f>'S-Curve'!C379</f>
        <v>8.8060792335915E-3</v>
      </c>
      <c r="K380" s="3">
        <f t="shared" si="20"/>
        <v>2.1022303844312078E-2</v>
      </c>
      <c r="L380" s="3">
        <f t="shared" si="21"/>
        <v>4.3382374409315971E-2</v>
      </c>
      <c r="M380">
        <f t="shared" si="22"/>
        <v>22.505020145518206</v>
      </c>
      <c r="N380">
        <f t="shared" si="23"/>
        <v>41.269926908003796</v>
      </c>
    </row>
    <row r="381" spans="9:14" x14ac:dyDescent="0.25">
      <c r="I381">
        <f>'S-Curve'!A380</f>
        <v>128</v>
      </c>
      <c r="J381" s="2">
        <f>'S-Curve'!C380</f>
        <v>8.8777534349133019E-3</v>
      </c>
      <c r="K381" s="3">
        <f t="shared" si="20"/>
        <v>2.1193408009743345E-2</v>
      </c>
      <c r="L381" s="3">
        <f t="shared" si="21"/>
        <v>4.3735471054798108E-2</v>
      </c>
      <c r="M381">
        <f t="shared" si="22"/>
        <v>22.667397388804901</v>
      </c>
      <c r="N381">
        <f t="shared" si="23"/>
        <v>41.529533387835926</v>
      </c>
    </row>
    <row r="382" spans="9:14" x14ac:dyDescent="0.25">
      <c r="I382">
        <f>'S-Curve'!A381</f>
        <v>129</v>
      </c>
      <c r="J382" s="2">
        <f>'S-Curve'!C381</f>
        <v>8.9491737659729998E-3</v>
      </c>
      <c r="K382" s="3">
        <f t="shared" si="20"/>
        <v>2.136390612364528E-2</v>
      </c>
      <c r="L382" s="3">
        <f t="shared" si="21"/>
        <v>4.4087317030774578E-2</v>
      </c>
      <c r="M382">
        <f t="shared" si="22"/>
        <v>22.828889211104897</v>
      </c>
      <c r="N382">
        <f t="shared" si="23"/>
        <v>41.787173614442317</v>
      </c>
    </row>
    <row r="383" spans="9:14" x14ac:dyDescent="0.25">
      <c r="I383">
        <f>'S-Curve'!A382</f>
        <v>130</v>
      </c>
      <c r="J383" s="2">
        <f>'S-Curve'!C382</f>
        <v>9.0203267070525003E-3</v>
      </c>
      <c r="K383" s="3">
        <f t="shared" si="20"/>
        <v>2.1533765911084374E-2</v>
      </c>
      <c r="L383" s="3">
        <f t="shared" si="21"/>
        <v>4.4437845733543924E-2</v>
      </c>
      <c r="M383">
        <f t="shared" si="22"/>
        <v>22.989468969018002</v>
      </c>
      <c r="N383">
        <f t="shared" si="23"/>
        <v>42.042814071640969</v>
      </c>
    </row>
    <row r="384" spans="9:14" x14ac:dyDescent="0.25">
      <c r="I384">
        <f>'S-Curve'!A383</f>
        <v>131</v>
      </c>
      <c r="J384" s="2">
        <f>'S-Curve'!C383</f>
        <v>9.0911985715235993E-3</v>
      </c>
      <c r="K384" s="3">
        <f t="shared" si="20"/>
        <v>2.1702954698671142E-2</v>
      </c>
      <c r="L384" s="3">
        <f t="shared" si="21"/>
        <v>4.4786989737136719E-2</v>
      </c>
      <c r="M384">
        <f t="shared" si="22"/>
        <v>23.149109851306505</v>
      </c>
      <c r="N384">
        <f t="shared" si="23"/>
        <v>42.296421291823449</v>
      </c>
    </row>
    <row r="385" spans="9:14" x14ac:dyDescent="0.25">
      <c r="I385">
        <f>'S-Curve'!A384</f>
        <v>132</v>
      </c>
      <c r="J385" s="2">
        <f>'S-Curve'!C384</f>
        <v>9.1617755058480011E-3</v>
      </c>
      <c r="K385" s="3">
        <f t="shared" si="20"/>
        <v>2.1871439414560136E-2</v>
      </c>
      <c r="L385" s="3">
        <f t="shared" si="21"/>
        <v>4.513468079331566E-2</v>
      </c>
      <c r="M385">
        <f t="shared" si="22"/>
        <v>23.307784879346517</v>
      </c>
      <c r="N385">
        <f t="shared" si="23"/>
        <v>42.547961854489479</v>
      </c>
    </row>
    <row r="386" spans="9:14" x14ac:dyDescent="0.25">
      <c r="I386">
        <f>'S-Curve'!A385</f>
        <v>133</v>
      </c>
      <c r="J386" s="2">
        <f>'S-Curve'!C385</f>
        <v>9.2320441572177007E-3</v>
      </c>
      <c r="K386" s="3">
        <f t="shared" si="20"/>
        <v>2.2039188182273801E-2</v>
      </c>
      <c r="L386" s="3">
        <f t="shared" si="21"/>
        <v>4.5480853120647168E-2</v>
      </c>
      <c r="M386">
        <f t="shared" si="22"/>
        <v>23.465468404207257</v>
      </c>
      <c r="N386">
        <f t="shared" si="23"/>
        <v>42.797404749624576</v>
      </c>
    </row>
    <row r="387" spans="9:14" x14ac:dyDescent="0.25">
      <c r="I387">
        <f>'S-Curve'!A386</f>
        <v>134</v>
      </c>
      <c r="J387" s="2">
        <f>'S-Curve'!C386</f>
        <v>9.3019908390044991E-3</v>
      </c>
      <c r="K387" s="3">
        <f t="shared" si="20"/>
        <v>2.2206168328422652E-2</v>
      </c>
      <c r="L387" s="3">
        <f t="shared" si="21"/>
        <v>4.5825439293161831E-2</v>
      </c>
      <c r="M387">
        <f t="shared" si="22"/>
        <v>23.622134225294023</v>
      </c>
      <c r="N387">
        <f t="shared" si="23"/>
        <v>43.044718383540172</v>
      </c>
    </row>
    <row r="388" spans="9:14" x14ac:dyDescent="0.25">
      <c r="I388">
        <f>'S-Curve'!A387</f>
        <v>135</v>
      </c>
      <c r="J388" s="2">
        <f>'S-Curve'!C387</f>
        <v>9.3716016976701007E-3</v>
      </c>
      <c r="K388" s="3">
        <f t="shared" ref="K388:K451" si="24">J388*$E$3</f>
        <v>2.2372346781161252E-2</v>
      </c>
      <c r="L388" s="3">
        <f t="shared" ref="L388:L451" si="25">J388*$F$3</f>
        <v>4.6168371062622358E-2</v>
      </c>
      <c r="M388">
        <f t="shared" ref="M388:M451" si="26">100*(1-(1-K388)^12)</f>
        <v>23.777755966805593</v>
      </c>
      <c r="N388">
        <f t="shared" ref="N388:N451" si="27">100*(1-(1-L388)^12)</f>
        <v>43.289871175093808</v>
      </c>
    </row>
    <row r="389" spans="9:14" x14ac:dyDescent="0.25">
      <c r="I389">
        <f>'S-Curve'!A388</f>
        <v>136</v>
      </c>
      <c r="J389" s="2">
        <f>'S-Curve'!C388</f>
        <v>9.4408633804065004E-3</v>
      </c>
      <c r="K389" s="3">
        <f t="shared" si="24"/>
        <v>2.2537691664012038E-2</v>
      </c>
      <c r="L389" s="3">
        <f t="shared" si="25"/>
        <v>4.6509582647595152E-2</v>
      </c>
      <c r="M389">
        <f t="shared" si="26"/>
        <v>23.93230856612093</v>
      </c>
      <c r="N389">
        <f t="shared" si="27"/>
        <v>43.53283389039386</v>
      </c>
    </row>
    <row r="390" spans="9:14" x14ac:dyDescent="0.25">
      <c r="I390">
        <f>'S-Curve'!A389</f>
        <v>137</v>
      </c>
      <c r="J390" s="2">
        <f>'S-Curve'!C389</f>
        <v>9.5097622005855011E-3</v>
      </c>
      <c r="K390" s="3">
        <f t="shared" si="24"/>
        <v>2.2702170303585539E-2</v>
      </c>
      <c r="L390" s="3">
        <f t="shared" si="25"/>
        <v>4.684900662211082E-2</v>
      </c>
      <c r="M390">
        <f t="shared" si="26"/>
        <v>24.085766402791197</v>
      </c>
      <c r="N390">
        <f t="shared" si="27"/>
        <v>43.773576683622508</v>
      </c>
    </row>
    <row r="391" spans="9:14" x14ac:dyDescent="0.25">
      <c r="I391">
        <f>'S-Curve'!A390</f>
        <v>138</v>
      </c>
      <c r="J391" s="2">
        <f>'S-Curve'!C390</f>
        <v>9.5782843046688E-3</v>
      </c>
      <c r="K391" s="3">
        <f t="shared" si="24"/>
        <v>2.2865749628036291E-2</v>
      </c>
      <c r="L391" s="3">
        <f t="shared" si="25"/>
        <v>4.718657473793203E-2</v>
      </c>
      <c r="M391">
        <f t="shared" si="26"/>
        <v>24.238103672548881</v>
      </c>
      <c r="N391">
        <f t="shared" si="27"/>
        <v>44.012069685361702</v>
      </c>
    </row>
    <row r="392" spans="9:14" x14ac:dyDescent="0.25">
      <c r="I392">
        <f>'S-Curve'!A391</f>
        <v>139</v>
      </c>
      <c r="J392" s="2">
        <f>'S-Curve'!C391</f>
        <v>9.6464161729383005E-3</v>
      </c>
      <c r="K392" s="3">
        <f t="shared" si="24"/>
        <v>2.3028397362430786E-2</v>
      </c>
      <c r="L392" s="3">
        <f t="shared" si="25"/>
        <v>4.7522220391357319E-2</v>
      </c>
      <c r="M392">
        <f t="shared" si="26"/>
        <v>24.389295497123776</v>
      </c>
      <c r="N392">
        <f t="shared" si="27"/>
        <v>44.248284731829777</v>
      </c>
    </row>
    <row r="393" spans="9:14" x14ac:dyDescent="0.25">
      <c r="I393">
        <f>'S-Curve'!A392</f>
        <v>140</v>
      </c>
      <c r="J393" s="2">
        <f>'S-Curve'!C392</f>
        <v>9.7141442856759005E-3</v>
      </c>
      <c r="K393" s="3">
        <f t="shared" si="24"/>
        <v>2.319008123183551E-2</v>
      </c>
      <c r="L393" s="3">
        <f t="shared" si="25"/>
        <v>4.7855876978685187E-2</v>
      </c>
      <c r="M393">
        <f t="shared" si="26"/>
        <v>24.539317174891728</v>
      </c>
      <c r="N393">
        <f t="shared" si="27"/>
        <v>44.482194176978716</v>
      </c>
    </row>
    <row r="394" spans="9:14" x14ac:dyDescent="0.25">
      <c r="I394">
        <f>'S-Curve'!A393</f>
        <v>141</v>
      </c>
      <c r="J394" s="2">
        <f>'S-Curve'!C393</f>
        <v>9.7814549562533996E-3</v>
      </c>
      <c r="K394" s="3">
        <f t="shared" si="24"/>
        <v>2.3350768562860974E-2</v>
      </c>
      <c r="L394" s="3">
        <f t="shared" si="25"/>
        <v>4.8187477073946224E-2</v>
      </c>
      <c r="M394">
        <f t="shared" si="26"/>
        <v>24.688143808322994</v>
      </c>
      <c r="N394">
        <f t="shared" si="27"/>
        <v>44.713770304637009</v>
      </c>
    </row>
    <row r="395" spans="9:14" x14ac:dyDescent="0.25">
      <c r="I395">
        <f>'S-Curve'!A394</f>
        <v>142</v>
      </c>
      <c r="J395" s="2">
        <f>'S-Curve'!C394</f>
        <v>9.8483343311325001E-3</v>
      </c>
      <c r="K395" s="3">
        <f t="shared" si="24"/>
        <v>2.351042628366173E-2</v>
      </c>
      <c r="L395" s="3">
        <f t="shared" si="25"/>
        <v>4.8516952428903123E-2</v>
      </c>
      <c r="M395">
        <f t="shared" si="26"/>
        <v>24.835750303379168</v>
      </c>
      <c r="N395">
        <f t="shared" si="27"/>
        <v>44.942985324563267</v>
      </c>
    </row>
    <row r="396" spans="9:14" x14ac:dyDescent="0.25">
      <c r="I396">
        <f>'S-Curve'!A395</f>
        <v>143</v>
      </c>
      <c r="J396" s="2">
        <f>'S-Curve'!C395</f>
        <v>9.9147690575052006E-3</v>
      </c>
      <c r="K396" s="3">
        <f t="shared" si="24"/>
        <v>2.3669022517760235E-2</v>
      </c>
      <c r="L396" s="3">
        <f t="shared" si="25"/>
        <v>4.8844237262122309E-2</v>
      </c>
      <c r="M396">
        <f t="shared" si="26"/>
        <v>24.982112838318404</v>
      </c>
      <c r="N396">
        <f t="shared" si="27"/>
        <v>45.169813643269286</v>
      </c>
    </row>
    <row r="397" spans="9:14" x14ac:dyDescent="0.25">
      <c r="I397">
        <f>'S-Curve'!A396</f>
        <v>144</v>
      </c>
      <c r="J397" s="2">
        <f>'S-Curve'!C396</f>
        <v>9.9807454487433004E-3</v>
      </c>
      <c r="K397" s="3">
        <f t="shared" si="24"/>
        <v>2.3826524591766998E-2</v>
      </c>
      <c r="L397" s="3">
        <f t="shared" si="25"/>
        <v>4.9169264147634381E-2</v>
      </c>
      <c r="M397">
        <f t="shared" si="26"/>
        <v>25.127207016042995</v>
      </c>
      <c r="N397">
        <f t="shared" si="27"/>
        <v>45.394228983136998</v>
      </c>
    </row>
    <row r="398" spans="9:14" x14ac:dyDescent="0.25">
      <c r="I398">
        <f>'S-Curve'!A397</f>
        <v>145</v>
      </c>
      <c r="J398" s="2">
        <f>'S-Curve'!C397</f>
        <v>1.0046249818218601E-2</v>
      </c>
      <c r="K398" s="3">
        <f t="shared" si="24"/>
        <v>2.3982899832292539E-2</v>
      </c>
      <c r="L398" s="3">
        <f t="shared" si="25"/>
        <v>4.9491965659469936E-2</v>
      </c>
      <c r="M398">
        <f t="shared" si="26"/>
        <v>25.271008598658639</v>
      </c>
      <c r="N398">
        <f t="shared" si="27"/>
        <v>45.616205517688698</v>
      </c>
    </row>
    <row r="399" spans="9:14" x14ac:dyDescent="0.25">
      <c r="I399">
        <f>'S-Curve'!A398</f>
        <v>146</v>
      </c>
      <c r="J399" s="2">
        <f>'S-Curve'!C398</f>
        <v>1.0111268479302901E-2</v>
      </c>
      <c r="K399" s="3">
        <f t="shared" si="24"/>
        <v>2.4138115565947374E-2</v>
      </c>
      <c r="L399" s="3">
        <f t="shared" si="25"/>
        <v>4.9812274371659561E-2</v>
      </c>
      <c r="M399">
        <f t="shared" si="26"/>
        <v>25.413493503199923</v>
      </c>
      <c r="N399">
        <f t="shared" si="27"/>
        <v>45.835717856065116</v>
      </c>
    </row>
    <row r="400" spans="9:14" x14ac:dyDescent="0.25">
      <c r="I400">
        <f>'S-Curve'!A399</f>
        <v>147</v>
      </c>
      <c r="J400" s="2">
        <f>'S-Curve'!C399</f>
        <v>1.0175787745368002E-2</v>
      </c>
      <c r="K400" s="3">
        <f t="shared" si="24"/>
        <v>2.429213911934202E-2</v>
      </c>
      <c r="L400" s="3">
        <f t="shared" si="25"/>
        <v>5.0130122858233872E-2</v>
      </c>
      <c r="M400">
        <f t="shared" si="26"/>
        <v>25.554637797279646</v>
      </c>
      <c r="N400">
        <f t="shared" si="27"/>
        <v>46.052741027394219</v>
      </c>
    </row>
    <row r="401" spans="9:14" x14ac:dyDescent="0.25">
      <c r="I401">
        <f>'S-Curve'!A400</f>
        <v>148</v>
      </c>
      <c r="J401" s="2">
        <f>'S-Curve'!C400</f>
        <v>1.0239794263605901E-2</v>
      </c>
      <c r="K401" s="3">
        <f t="shared" si="24"/>
        <v>2.4444938615998925E-2</v>
      </c>
      <c r="L401" s="3">
        <f t="shared" si="25"/>
        <v>5.0445445337759277E-2</v>
      </c>
      <c r="M401">
        <f t="shared" si="26"/>
        <v>25.694418423050212</v>
      </c>
      <c r="N401">
        <f t="shared" si="27"/>
        <v>46.26725158177274</v>
      </c>
    </row>
    <row r="402" spans="9:14" x14ac:dyDescent="0.25">
      <c r="I402">
        <f>'S-Curve'!A401</f>
        <v>149</v>
      </c>
      <c r="J402" s="2">
        <f>'S-Curve'!C401</f>
        <v>1.0303274013568202E-2</v>
      </c>
      <c r="K402" s="3">
        <f t="shared" si="24"/>
        <v>2.4596480585616677E-2</v>
      </c>
      <c r="L402" s="3">
        <f t="shared" si="25"/>
        <v>5.0758172739730552E-2</v>
      </c>
      <c r="M402">
        <f t="shared" si="26"/>
        <v>25.832811005061739</v>
      </c>
      <c r="N402">
        <f t="shared" si="27"/>
        <v>46.479224216190396</v>
      </c>
    </row>
    <row r="403" spans="9:14" x14ac:dyDescent="0.25">
      <c r="I403">
        <f>'S-Curve'!A402</f>
        <v>150</v>
      </c>
      <c r="J403" s="2">
        <f>'S-Curve'!C402</f>
        <v>1.03662136424469E-2</v>
      </c>
      <c r="K403" s="3">
        <f t="shared" si="24"/>
        <v>2.4746733151717722E-2</v>
      </c>
      <c r="L403" s="3">
        <f t="shared" si="25"/>
        <v>5.1068239282714117E-2</v>
      </c>
      <c r="M403">
        <f t="shared" si="26"/>
        <v>25.969792761768275</v>
      </c>
      <c r="N403">
        <f t="shared" si="27"/>
        <v>46.688636233729362</v>
      </c>
    </row>
    <row r="404" spans="9:14" x14ac:dyDescent="0.25">
      <c r="I404">
        <f>'S-Curve'!A403</f>
        <v>151</v>
      </c>
      <c r="J404" s="2">
        <f>'S-Curve'!C403</f>
        <v>1.04285994636138E-2</v>
      </c>
      <c r="K404" s="3">
        <f t="shared" si="24"/>
        <v>2.4895663640912582E-2</v>
      </c>
      <c r="L404" s="3">
        <f t="shared" si="25"/>
        <v>5.137557754074059E-2</v>
      </c>
      <c r="M404">
        <f t="shared" si="26"/>
        <v>26.105340314497759</v>
      </c>
      <c r="N404">
        <f t="shared" si="27"/>
        <v>46.895464173378031</v>
      </c>
    </row>
    <row r="405" spans="9:14" x14ac:dyDescent="0.25">
      <c r="I405">
        <f>'S-Curve'!A404</f>
        <v>152</v>
      </c>
      <c r="J405" s="2">
        <f>'S-Curve'!C404</f>
        <v>1.0490417790440701E-2</v>
      </c>
      <c r="K405" s="3">
        <f t="shared" si="24"/>
        <v>2.5043239379811774E-2</v>
      </c>
      <c r="L405" s="3">
        <f t="shared" si="25"/>
        <v>5.1680120087840557E-2</v>
      </c>
      <c r="M405">
        <f t="shared" si="26"/>
        <v>26.239430412377285</v>
      </c>
      <c r="N405">
        <f t="shared" si="27"/>
        <v>47.099684914699544</v>
      </c>
    </row>
    <row r="406" spans="9:14" x14ac:dyDescent="0.25">
      <c r="I406">
        <f>'S-Curve'!A405</f>
        <v>153</v>
      </c>
      <c r="J406" s="2">
        <f>'S-Curve'!C405</f>
        <v>1.0551654936299401E-2</v>
      </c>
      <c r="K406" s="3">
        <f t="shared" si="24"/>
        <v>2.5189427695025812E-2</v>
      </c>
      <c r="L406" s="3">
        <f t="shared" si="25"/>
        <v>5.1981799498044608E-2</v>
      </c>
      <c r="M406">
        <f t="shared" si="26"/>
        <v>26.372039927545877</v>
      </c>
      <c r="N406">
        <f t="shared" si="27"/>
        <v>47.30127566160067</v>
      </c>
    </row>
    <row r="407" spans="9:14" x14ac:dyDescent="0.25">
      <c r="I407">
        <f>'S-Curve'!A406</f>
        <v>154</v>
      </c>
      <c r="J407" s="2">
        <f>'S-Curve'!C406</f>
        <v>1.0612297381471802E-2</v>
      </c>
      <c r="K407" s="3">
        <f t="shared" si="24"/>
        <v>2.533419631162118E-2</v>
      </c>
      <c r="L407" s="3">
        <f t="shared" si="25"/>
        <v>5.2280549167651263E-2</v>
      </c>
      <c r="M407">
        <f t="shared" si="26"/>
        <v>26.503146210852503</v>
      </c>
      <c r="N407">
        <f t="shared" si="27"/>
        <v>47.500214472607979</v>
      </c>
    </row>
    <row r="408" spans="9:14" x14ac:dyDescent="0.25">
      <c r="I408">
        <f>'S-Curve'!A407</f>
        <v>155</v>
      </c>
      <c r="J408" s="2">
        <f>'S-Curve'!C407</f>
        <v>1.06723314393297E-2</v>
      </c>
      <c r="K408" s="3">
        <f t="shared" si="24"/>
        <v>2.5477512556208389E-2</v>
      </c>
      <c r="L408" s="3">
        <f t="shared" si="25"/>
        <v>5.2576301670691106E-2</v>
      </c>
      <c r="M408">
        <f t="shared" si="26"/>
        <v>26.632726364062087</v>
      </c>
      <c r="N408">
        <f t="shared" si="27"/>
        <v>47.696479145620451</v>
      </c>
    </row>
    <row r="409" spans="9:14" x14ac:dyDescent="0.25">
      <c r="I409">
        <f>'S-Curve'!A408</f>
        <v>156</v>
      </c>
      <c r="J409" s="2">
        <f>'S-Curve'!C408</f>
        <v>1.0731743423244901E-2</v>
      </c>
      <c r="K409" s="3">
        <f t="shared" si="24"/>
        <v>2.5619343755397969E-2</v>
      </c>
      <c r="L409" s="3">
        <f t="shared" si="25"/>
        <v>5.2868989581194757E-2</v>
      </c>
      <c r="M409">
        <f t="shared" si="26"/>
        <v>26.760757597200445</v>
      </c>
      <c r="N409">
        <f t="shared" si="27"/>
        <v>47.890047753770013</v>
      </c>
    </row>
    <row r="410" spans="9:14" x14ac:dyDescent="0.25">
      <c r="I410">
        <f>'S-Curve'!A409</f>
        <v>157</v>
      </c>
      <c r="J410" s="2">
        <f>'S-Curve'!C409</f>
        <v>1.0790519813499301E-2</v>
      </c>
      <c r="K410" s="3">
        <f t="shared" si="24"/>
        <v>2.5759657634256396E-2</v>
      </c>
      <c r="L410" s="3">
        <f t="shared" si="25"/>
        <v>5.3158546295460719E-2</v>
      </c>
      <c r="M410">
        <f t="shared" si="26"/>
        <v>26.887217582312196</v>
      </c>
      <c r="N410">
        <f t="shared" si="27"/>
        <v>48.080899169875849</v>
      </c>
    </row>
    <row r="411" spans="9:14" x14ac:dyDescent="0.25">
      <c r="I411">
        <f>'S-Curve'!A410</f>
        <v>158</v>
      </c>
      <c r="J411" s="2">
        <f>'S-Curve'!C410</f>
        <v>1.08486467565546E-2</v>
      </c>
      <c r="K411" s="3">
        <f t="shared" si="24"/>
        <v>2.5898421120938216E-2</v>
      </c>
      <c r="L411" s="3">
        <f t="shared" si="25"/>
        <v>5.344490356525166E-2</v>
      </c>
      <c r="M411">
        <f t="shared" si="26"/>
        <v>27.01208337070473</v>
      </c>
      <c r="N411">
        <f t="shared" si="27"/>
        <v>48.269011422976426</v>
      </c>
    </row>
    <row r="412" spans="9:14" x14ac:dyDescent="0.25">
      <c r="I412">
        <f>'S-Curve'!A411</f>
        <v>159</v>
      </c>
      <c r="J412" s="2">
        <f>'S-Curve'!C411</f>
        <v>1.09061108996028E-2</v>
      </c>
      <c r="K412" s="3">
        <f t="shared" si="24"/>
        <v>2.6035602338965888E-2</v>
      </c>
      <c r="L412" s="3">
        <f t="shared" si="25"/>
        <v>5.3727995609134029E-2</v>
      </c>
      <c r="M412">
        <f t="shared" si="26"/>
        <v>27.13533318192065</v>
      </c>
      <c r="N412">
        <f t="shared" si="27"/>
        <v>48.454364386962844</v>
      </c>
    </row>
    <row r="413" spans="9:14" x14ac:dyDescent="0.25">
      <c r="I413">
        <f>'S-Curve'!A412</f>
        <v>160</v>
      </c>
      <c r="J413" s="2">
        <f>'S-Curve'!C412</f>
        <v>1.0962898389105601E-2</v>
      </c>
      <c r="K413" s="3">
        <f t="shared" si="24"/>
        <v>2.6171168216493956E-2</v>
      </c>
      <c r="L413" s="3">
        <f t="shared" si="25"/>
        <v>5.40077541788705E-2</v>
      </c>
      <c r="M413">
        <f t="shared" si="26"/>
        <v>27.256944247174829</v>
      </c>
      <c r="N413">
        <f t="shared" si="27"/>
        <v>48.636936522788496</v>
      </c>
    </row>
    <row r="414" spans="9:14" x14ac:dyDescent="0.25">
      <c r="I414">
        <f>'S-Curve'!A413</f>
        <v>161</v>
      </c>
      <c r="J414" s="2">
        <f>'S-Curve'!C413</f>
        <v>1.1018995705344901E-2</v>
      </c>
      <c r="K414" s="3">
        <f t="shared" si="24"/>
        <v>2.630508647858891E-2</v>
      </c>
      <c r="L414" s="3">
        <f t="shared" si="25"/>
        <v>5.4284112670759582E-2</v>
      </c>
      <c r="M414">
        <f t="shared" si="26"/>
        <v>27.376894595378143</v>
      </c>
      <c r="N414">
        <f t="shared" si="27"/>
        <v>48.816707557932595</v>
      </c>
    </row>
    <row r="415" spans="9:14" x14ac:dyDescent="0.25">
      <c r="I415">
        <f>'S-Curve'!A414</f>
        <v>162</v>
      </c>
      <c r="J415" s="2">
        <f>'S-Curve'!C414</f>
        <v>1.10743891616925E-2</v>
      </c>
      <c r="K415" s="3">
        <f t="shared" si="24"/>
        <v>2.6437324451861262E-2</v>
      </c>
      <c r="L415" s="3">
        <f t="shared" si="25"/>
        <v>5.4557003658831871E-2</v>
      </c>
      <c r="M415">
        <f t="shared" si="26"/>
        <v>27.495161974034566</v>
      </c>
      <c r="N415">
        <f t="shared" si="27"/>
        <v>48.993656855142767</v>
      </c>
    </row>
    <row r="416" spans="9:14" x14ac:dyDescent="0.25">
      <c r="I416">
        <f>'S-Curve'!A415</f>
        <v>163</v>
      </c>
      <c r="J416" s="2">
        <f>'S-Curve'!C415</f>
        <v>1.11290652384303E-2</v>
      </c>
      <c r="K416" s="3">
        <f t="shared" si="24"/>
        <v>2.6567849861377498E-2</v>
      </c>
      <c r="L416" s="3">
        <f t="shared" si="25"/>
        <v>5.4826360539385895E-2</v>
      </c>
      <c r="M416">
        <f t="shared" si="26"/>
        <v>27.61172455758437</v>
      </c>
      <c r="N416">
        <f t="shared" si="27"/>
        <v>49.167764465201323</v>
      </c>
    </row>
    <row r="417" spans="9:14" x14ac:dyDescent="0.25">
      <c r="I417">
        <f>'S-Curve'!A416</f>
        <v>164</v>
      </c>
      <c r="J417" s="2">
        <f>'S-Curve'!C416</f>
        <v>1.118301008202E-2</v>
      </c>
      <c r="K417" s="3">
        <f t="shared" si="24"/>
        <v>2.6696629635292166E-2</v>
      </c>
      <c r="L417" s="3">
        <f t="shared" si="25"/>
        <v>5.5092115064184315E-2</v>
      </c>
      <c r="M417">
        <f t="shared" si="26"/>
        <v>27.726559874099653</v>
      </c>
      <c r="N417">
        <f t="shared" si="27"/>
        <v>49.339009514384813</v>
      </c>
    </row>
    <row r="418" spans="9:14" x14ac:dyDescent="0.25">
      <c r="I418">
        <f>'S-Curve'!A417</f>
        <v>165</v>
      </c>
      <c r="J418" s="2">
        <f>'S-Curve'!C417</f>
        <v>1.12362101727435E-2</v>
      </c>
      <c r="K418" s="3">
        <f t="shared" si="24"/>
        <v>2.682363149867175E-2</v>
      </c>
      <c r="L418" s="3">
        <f t="shared" si="25"/>
        <v>5.5354200629525653E-2</v>
      </c>
      <c r="M418">
        <f t="shared" si="26"/>
        <v>27.839646222991288</v>
      </c>
      <c r="N418">
        <f t="shared" si="27"/>
        <v>49.507372313160182</v>
      </c>
    </row>
    <row r="419" spans="9:14" x14ac:dyDescent="0.25">
      <c r="I419">
        <f>'S-Curve'!A418</f>
        <v>166</v>
      </c>
      <c r="J419" s="2">
        <f>'S-Curve'!C418</f>
        <v>1.1288651990882701E-2</v>
      </c>
      <c r="K419" s="3">
        <f t="shared" si="24"/>
        <v>2.6948823176582738E-2</v>
      </c>
      <c r="L419" s="3">
        <f t="shared" si="25"/>
        <v>5.5612550631708425E-2</v>
      </c>
      <c r="M419">
        <f t="shared" si="26"/>
        <v>27.950961956129394</v>
      </c>
      <c r="N419">
        <f t="shared" si="27"/>
        <v>49.672833270943407</v>
      </c>
    </row>
    <row r="420" spans="9:14" x14ac:dyDescent="0.25">
      <c r="I420">
        <f>'S-Curve'!A419</f>
        <v>167</v>
      </c>
      <c r="J420" s="2">
        <f>'S-Curve'!C419</f>
        <v>1.13403216828993E-2</v>
      </c>
      <c r="K420" s="3">
        <f t="shared" si="24"/>
        <v>2.7072171597179673E-2</v>
      </c>
      <c r="L420" s="3">
        <f t="shared" si="25"/>
        <v>5.5867096822495306E-2</v>
      </c>
      <c r="M420">
        <f t="shared" si="26"/>
        <v>28.060484765050596</v>
      </c>
      <c r="N420">
        <f t="shared" si="27"/>
        <v>49.835371830261124</v>
      </c>
    </row>
    <row r="421" spans="9:14" x14ac:dyDescent="0.25">
      <c r="I421">
        <f>'S-Curve'!A420</f>
        <v>168</v>
      </c>
      <c r="J421" s="2">
        <f>'S-Curve'!C420</f>
        <v>1.1391205729075201E-2</v>
      </c>
      <c r="K421" s="3">
        <f t="shared" si="24"/>
        <v>2.7193644485529047E-2</v>
      </c>
      <c r="L421" s="3">
        <f t="shared" si="25"/>
        <v>5.6117772598184817E-2</v>
      </c>
      <c r="M421">
        <f t="shared" si="26"/>
        <v>28.168193092296502</v>
      </c>
      <c r="N421">
        <f t="shared" si="27"/>
        <v>49.994968555634159</v>
      </c>
    </row>
    <row r="422" spans="9:14" x14ac:dyDescent="0.25">
      <c r="I422">
        <f>'S-Curve'!A421</f>
        <v>169</v>
      </c>
      <c r="J422" s="2">
        <f>'S-Curve'!C421</f>
        <v>1.14412904427822E-2</v>
      </c>
      <c r="K422" s="3">
        <f t="shared" si="24"/>
        <v>2.7313209168241367E-2</v>
      </c>
      <c r="L422" s="3">
        <f t="shared" si="25"/>
        <v>5.6364510532807541E-2</v>
      </c>
      <c r="M422">
        <f t="shared" si="26"/>
        <v>28.274065062885946</v>
      </c>
      <c r="N422">
        <f t="shared" si="27"/>
        <v>50.151603536776456</v>
      </c>
    </row>
    <row r="423" spans="9:14" x14ac:dyDescent="0.25">
      <c r="I423">
        <f>'S-Curve'!A422</f>
        <v>170</v>
      </c>
      <c r="J423" s="2">
        <f>'S-Curve'!C422</f>
        <v>1.1490562304302201E-2</v>
      </c>
      <c r="K423" s="3">
        <f t="shared" si="24"/>
        <v>2.7430833370383125E-2</v>
      </c>
      <c r="L423" s="3">
        <f t="shared" si="25"/>
        <v>5.6607244022662012E-2</v>
      </c>
      <c r="M423">
        <f t="shared" si="26"/>
        <v>28.378079184986159</v>
      </c>
      <c r="N423">
        <f t="shared" si="27"/>
        <v>50.305257417894907</v>
      </c>
    </row>
    <row r="424" spans="9:14" x14ac:dyDescent="0.25">
      <c r="I424">
        <f>'S-Curve'!A423</f>
        <v>171</v>
      </c>
      <c r="J424" s="2">
        <f>'S-Curve'!C423</f>
        <v>1.15390074600969E-2</v>
      </c>
      <c r="K424" s="3">
        <f t="shared" si="24"/>
        <v>2.7546484020108866E-2</v>
      </c>
      <c r="L424" s="3">
        <f t="shared" si="25"/>
        <v>5.6845904819510892E-2</v>
      </c>
      <c r="M424">
        <f t="shared" si="26"/>
        <v>28.480213286578191</v>
      </c>
      <c r="N424">
        <f t="shared" si="27"/>
        <v>50.455909817480979</v>
      </c>
    </row>
    <row r="425" spans="9:14" x14ac:dyDescent="0.25">
      <c r="I425">
        <f>'S-Curve'!A424</f>
        <v>172</v>
      </c>
      <c r="J425" s="2">
        <f>'S-Curve'!C424</f>
        <v>1.1586612557358301E-2</v>
      </c>
      <c r="K425" s="3">
        <f t="shared" si="24"/>
        <v>2.766012924094105E-2</v>
      </c>
      <c r="L425" s="3">
        <f t="shared" si="25"/>
        <v>5.7080427141920624E-2</v>
      </c>
      <c r="M425">
        <f t="shared" si="26"/>
        <v>28.580446269950109</v>
      </c>
      <c r="N425">
        <f t="shared" si="27"/>
        <v>50.603541909187697</v>
      </c>
    </row>
    <row r="426" spans="9:14" x14ac:dyDescent="0.25">
      <c r="I426">
        <f>'S-Curve'!A425</f>
        <v>173</v>
      </c>
      <c r="J426" s="2">
        <f>'S-Curve'!C425</f>
        <v>1.1633363575638002E-2</v>
      </c>
      <c r="K426" s="3">
        <f t="shared" si="24"/>
        <v>2.7771735562578247E-2</v>
      </c>
      <c r="L426" s="3">
        <f t="shared" si="25"/>
        <v>5.7310741919385962E-2</v>
      </c>
      <c r="M426">
        <f t="shared" si="26"/>
        <v>28.678755643423425</v>
      </c>
      <c r="N426">
        <f t="shared" si="27"/>
        <v>50.748132773821219</v>
      </c>
    </row>
    <row r="427" spans="9:14" x14ac:dyDescent="0.25">
      <c r="I427">
        <f>'S-Curve'!A426</f>
        <v>174</v>
      </c>
      <c r="J427" s="2">
        <f>'S-Curve'!C426</f>
        <v>1.1679247329038101E-2</v>
      </c>
      <c r="K427" s="3">
        <f t="shared" si="24"/>
        <v>2.788127150699888E-2</v>
      </c>
      <c r="L427" s="3">
        <f t="shared" si="25"/>
        <v>5.7536784192741247E-2</v>
      </c>
      <c r="M427">
        <f t="shared" si="26"/>
        <v>28.775120676879652</v>
      </c>
      <c r="N427">
        <f t="shared" si="27"/>
        <v>50.889664036198724</v>
      </c>
    </row>
    <row r="428" spans="9:14" x14ac:dyDescent="0.25">
      <c r="I428">
        <f>'S-Curve'!A427</f>
        <v>175</v>
      </c>
      <c r="J428" s="2">
        <f>'S-Curve'!C427</f>
        <v>1.17242499640203E-2</v>
      </c>
      <c r="K428" s="3">
        <f t="shared" si="24"/>
        <v>2.7988704002357499E-2</v>
      </c>
      <c r="L428" s="3">
        <f t="shared" si="25"/>
        <v>5.7758485713749176E-2</v>
      </c>
      <c r="M428">
        <f t="shared" si="26"/>
        <v>28.869519235472772</v>
      </c>
      <c r="N428">
        <f t="shared" si="27"/>
        <v>51.028115197304814</v>
      </c>
    </row>
    <row r="429" spans="9:14" x14ac:dyDescent="0.25">
      <c r="I429">
        <f>'S-Curve'!A428</f>
        <v>176</v>
      </c>
      <c r="J429" s="2">
        <f>'S-Curve'!C428</f>
        <v>1.1768357793956401E-2</v>
      </c>
      <c r="K429" s="3">
        <f t="shared" si="24"/>
        <v>2.8094000375264626E-2</v>
      </c>
      <c r="L429" s="3">
        <f t="shared" si="25"/>
        <v>5.7975779056440344E-2</v>
      </c>
      <c r="M429">
        <f t="shared" si="26"/>
        <v>28.961929529223042</v>
      </c>
      <c r="N429">
        <f t="shared" si="27"/>
        <v>51.163466200202201</v>
      </c>
    </row>
    <row r="430" spans="9:14" x14ac:dyDescent="0.25">
      <c r="I430">
        <f>'S-Curve'!A429</f>
        <v>177</v>
      </c>
      <c r="J430" s="2">
        <f>'S-Curve'!C429</f>
        <v>1.1811557132218202E-2</v>
      </c>
      <c r="K430" s="3">
        <f t="shared" si="24"/>
        <v>2.8197127952330772E-2</v>
      </c>
      <c r="L430" s="3">
        <f t="shared" si="25"/>
        <v>5.8188596794845338E-2</v>
      </c>
      <c r="M430">
        <f t="shared" si="26"/>
        <v>29.05232975530533</v>
      </c>
      <c r="N430">
        <f t="shared" si="27"/>
        <v>51.295696894333723</v>
      </c>
    </row>
    <row r="431" spans="9:14" x14ac:dyDescent="0.25">
      <c r="I431">
        <f>'S-Curve'!A430</f>
        <v>178</v>
      </c>
      <c r="J431" s="2">
        <f>'S-Curve'!C430</f>
        <v>1.18538344590876E-2</v>
      </c>
      <c r="K431" s="3">
        <f t="shared" si="24"/>
        <v>2.8298054458622417E-2</v>
      </c>
      <c r="L431" s="3">
        <f t="shared" si="25"/>
        <v>5.839687232526266E-2</v>
      </c>
      <c r="M431">
        <f t="shared" si="26"/>
        <v>29.140698440143765</v>
      </c>
      <c r="N431">
        <f t="shared" si="27"/>
        <v>51.4247875256127</v>
      </c>
    </row>
    <row r="432" spans="9:14" x14ac:dyDescent="0.25">
      <c r="I432">
        <f>'S-Curve'!A431</f>
        <v>179</v>
      </c>
      <c r="J432" s="2">
        <f>'S-Curve'!C431</f>
        <v>1.1895189440744402E-2</v>
      </c>
      <c r="K432" s="3">
        <f t="shared" si="24"/>
        <v>2.8396779097227633E-2</v>
      </c>
      <c r="L432" s="3">
        <f t="shared" si="25"/>
        <v>5.860060400315651E-2</v>
      </c>
      <c r="M432">
        <f t="shared" si="26"/>
        <v>29.227041597364167</v>
      </c>
      <c r="N432">
        <f t="shared" si="27"/>
        <v>51.550758321061195</v>
      </c>
    </row>
    <row r="433" spans="9:14" x14ac:dyDescent="0.25">
      <c r="I433">
        <f>'S-Curve'!A432</f>
        <v>180</v>
      </c>
      <c r="J433" s="2">
        <f>'S-Curve'!C432</f>
        <v>1.19357751337503E-2</v>
      </c>
      <c r="K433" s="3">
        <f t="shared" si="24"/>
        <v>2.8493667252270271E-2</v>
      </c>
      <c r="L433" s="3">
        <f t="shared" si="25"/>
        <v>5.8800545848209082E-2</v>
      </c>
      <c r="M433">
        <f t="shared" si="26"/>
        <v>29.31168481364378</v>
      </c>
      <c r="N433">
        <f t="shared" si="27"/>
        <v>51.674094576548576</v>
      </c>
    </row>
    <row r="434" spans="9:14" x14ac:dyDescent="0.25">
      <c r="I434">
        <f>'S-Curve'!A433</f>
        <v>181</v>
      </c>
      <c r="J434" s="2">
        <f>'S-Curve'!C433</f>
        <v>1.1975643447146401E-2</v>
      </c>
      <c r="K434" s="3">
        <f t="shared" si="24"/>
        <v>2.8588842843556801E-2</v>
      </c>
      <c r="L434" s="3">
        <f t="shared" si="25"/>
        <v>5.8996953585743396E-2</v>
      </c>
      <c r="M434">
        <f t="shared" si="26"/>
        <v>29.39474154424444</v>
      </c>
      <c r="N434">
        <f t="shared" si="27"/>
        <v>51.794970493047913</v>
      </c>
    </row>
    <row r="435" spans="9:14" x14ac:dyDescent="0.25">
      <c r="I435">
        <f>'S-Curve'!A434</f>
        <v>182</v>
      </c>
      <c r="J435" s="2">
        <f>'S-Curve'!C434</f>
        <v>1.2014799722055901E-2</v>
      </c>
      <c r="K435" s="3">
        <f t="shared" si="24"/>
        <v>2.8682318621678228E-2</v>
      </c>
      <c r="L435" s="3">
        <f t="shared" si="25"/>
        <v>5.9189853528332857E-2</v>
      </c>
      <c r="M435">
        <f t="shared" si="26"/>
        <v>29.476227818006873</v>
      </c>
      <c r="N435">
        <f t="shared" si="27"/>
        <v>51.913417768109994</v>
      </c>
    </row>
    <row r="436" spans="9:14" x14ac:dyDescent="0.25">
      <c r="I436">
        <f>'S-Curve'!A435</f>
        <v>183</v>
      </c>
      <c r="J436" s="2">
        <f>'S-Curve'!C435</f>
        <v>1.2053249800332301E-2</v>
      </c>
      <c r="K436" s="3">
        <f t="shared" si="24"/>
        <v>2.8774108532593486E-2</v>
      </c>
      <c r="L436" s="3">
        <f t="shared" si="25"/>
        <v>5.9379274455354653E-2</v>
      </c>
      <c r="M436">
        <f t="shared" si="26"/>
        <v>29.556160561753487</v>
      </c>
      <c r="N436">
        <f t="shared" si="27"/>
        <v>52.029469134477878</v>
      </c>
    </row>
    <row r="437" spans="9:14" x14ac:dyDescent="0.25">
      <c r="I437">
        <f>'S-Curve'!A436</f>
        <v>184</v>
      </c>
      <c r="J437" s="2">
        <f>'S-Curve'!C436</f>
        <v>1.20909988561887E-2</v>
      </c>
      <c r="K437" s="3">
        <f t="shared" si="24"/>
        <v>2.8864224928437619E-2</v>
      </c>
      <c r="L437" s="3">
        <f t="shared" si="25"/>
        <v>5.9565241857114287E-2</v>
      </c>
      <c r="M437">
        <f t="shared" si="26"/>
        <v>29.634555172496135</v>
      </c>
      <c r="N437">
        <f t="shared" si="27"/>
        <v>52.143154839056507</v>
      </c>
    </row>
    <row r="438" spans="9:14" x14ac:dyDescent="0.25">
      <c r="I438">
        <f>'S-Curve'!A437</f>
        <v>185</v>
      </c>
      <c r="J438" s="2">
        <f>'S-Curve'!C437</f>
        <v>1.21280527314786E-2</v>
      </c>
      <c r="K438" s="3">
        <f t="shared" si="24"/>
        <v>2.895268175516956E-2</v>
      </c>
      <c r="L438" s="3">
        <f t="shared" si="25"/>
        <v>5.9747784512988955E-2</v>
      </c>
      <c r="M438">
        <f t="shared" si="26"/>
        <v>29.711428296036736</v>
      </c>
      <c r="N438">
        <f t="shared" si="27"/>
        <v>52.254506683449485</v>
      </c>
    </row>
    <row r="439" spans="9:14" x14ac:dyDescent="0.25">
      <c r="I439">
        <f>'S-Curve'!A438</f>
        <v>186</v>
      </c>
      <c r="J439" s="2">
        <f>'S-Curve'!C438</f>
        <v>1.21644166004151E-2</v>
      </c>
      <c r="K439" s="3">
        <f t="shared" si="24"/>
        <v>2.9039491364924352E-2</v>
      </c>
      <c r="L439" s="3">
        <f t="shared" si="25"/>
        <v>5.9926927913284155E-2</v>
      </c>
      <c r="M439">
        <f t="shared" si="26"/>
        <v>29.786795056582694</v>
      </c>
      <c r="N439">
        <f t="shared" si="27"/>
        <v>52.363554012570511</v>
      </c>
    </row>
    <row r="440" spans="9:14" x14ac:dyDescent="0.25">
      <c r="I440">
        <f>'S-Curve'!A439</f>
        <v>187</v>
      </c>
      <c r="J440" s="2">
        <f>'S-Curve'!C439</f>
        <v>1.2200096304851702E-2</v>
      </c>
      <c r="K440" s="3">
        <f t="shared" si="24"/>
        <v>2.9124667703660921E-2</v>
      </c>
      <c r="L440" s="3">
        <f t="shared" si="25"/>
        <v>6.0102700837377079E-2</v>
      </c>
      <c r="M440">
        <f t="shared" si="26"/>
        <v>29.86067182961154</v>
      </c>
      <c r="N440">
        <f t="shared" si="27"/>
        <v>52.470327737294674</v>
      </c>
    </row>
    <row r="441" spans="9:14" x14ac:dyDescent="0.25">
      <c r="I441">
        <f>'S-Curve'!A440</f>
        <v>188</v>
      </c>
      <c r="J441" s="2">
        <f>'S-Curve'!C440</f>
        <v>1.22350970190015E-2</v>
      </c>
      <c r="K441" s="3">
        <f t="shared" si="24"/>
        <v>2.9208223123514315E-2</v>
      </c>
      <c r="L441" s="3">
        <f t="shared" si="25"/>
        <v>6.0275128775573221E-2</v>
      </c>
      <c r="M441">
        <f t="shared" si="26"/>
        <v>29.933073476964324</v>
      </c>
      <c r="N441">
        <f t="shared" si="27"/>
        <v>52.574856339829502</v>
      </c>
    </row>
    <row r="442" spans="9:14" x14ac:dyDescent="0.25">
      <c r="I442">
        <f>'S-Curve'!A441</f>
        <v>189</v>
      </c>
      <c r="J442" s="2">
        <f>'S-Curve'!C441</f>
        <v>1.2269424584718001E-2</v>
      </c>
      <c r="K442" s="3">
        <f t="shared" si="24"/>
        <v>2.9290171570443464E-2</v>
      </c>
      <c r="L442" s="3">
        <f t="shared" si="25"/>
        <v>6.0444240507249773E-2</v>
      </c>
      <c r="M442">
        <f t="shared" si="26"/>
        <v>30.004016114194876</v>
      </c>
      <c r="N442">
        <f t="shared" si="27"/>
        <v>52.677169879205962</v>
      </c>
    </row>
    <row r="443" spans="9:14" x14ac:dyDescent="0.25">
      <c r="I443">
        <f>'S-Curve'!A442</f>
        <v>190</v>
      </c>
      <c r="J443" s="2">
        <f>'S-Curve'!C442</f>
        <v>1.2303084176214301E-2</v>
      </c>
      <c r="K443" s="3">
        <f t="shared" si="24"/>
        <v>2.9370525396583417E-2</v>
      </c>
      <c r="L443" s="3">
        <f t="shared" si="25"/>
        <v>6.0610061522712248E-2</v>
      </c>
      <c r="M443">
        <f t="shared" si="26"/>
        <v>30.073514350928797</v>
      </c>
      <c r="N443">
        <f t="shared" si="27"/>
        <v>52.777296012727795</v>
      </c>
    </row>
    <row r="444" spans="9:14" x14ac:dyDescent="0.25">
      <c r="I444">
        <f>'S-Curve'!A443</f>
        <v>191</v>
      </c>
      <c r="J444" s="2">
        <f>'S-Curve'!C443</f>
        <v>1.2336081635343899E-2</v>
      </c>
      <c r="K444" s="3">
        <f t="shared" si="24"/>
        <v>2.9449298547893091E-2</v>
      </c>
      <c r="L444" s="3">
        <f t="shared" si="25"/>
        <v>6.0772620601337812E-2</v>
      </c>
      <c r="M444">
        <f t="shared" si="26"/>
        <v>30.141584052911575</v>
      </c>
      <c r="N444">
        <f t="shared" si="27"/>
        <v>52.875263985007507</v>
      </c>
    </row>
    <row r="445" spans="9:14" x14ac:dyDescent="0.25">
      <c r="I445">
        <f>'S-Curve'!A444</f>
        <v>192</v>
      </c>
      <c r="J445" s="2">
        <f>'S-Curve'!C444</f>
        <v>1.2368422303230001E-2</v>
      </c>
      <c r="K445" s="3">
        <f t="shared" si="24"/>
        <v>2.952650377496352E-2</v>
      </c>
      <c r="L445" s="3">
        <f t="shared" si="25"/>
        <v>6.0931944055699912E-2</v>
      </c>
      <c r="M445">
        <f t="shared" si="26"/>
        <v>30.208239931284652</v>
      </c>
      <c r="N445">
        <f t="shared" si="27"/>
        <v>52.971101158983501</v>
      </c>
    </row>
    <row r="446" spans="9:14" x14ac:dyDescent="0.25">
      <c r="I446">
        <f>'S-Curve'!A445</f>
        <v>193</v>
      </c>
      <c r="J446" s="2">
        <f>'S-Curve'!C445</f>
        <v>1.2400111687905901E-2</v>
      </c>
      <c r="K446" s="3">
        <f t="shared" si="24"/>
        <v>2.9602154226841676E-2</v>
      </c>
      <c r="L446" s="3">
        <f t="shared" si="25"/>
        <v>6.1088059020639886E-2</v>
      </c>
      <c r="M446">
        <f t="shared" si="26"/>
        <v>30.273496923808231</v>
      </c>
      <c r="N446">
        <f t="shared" si="27"/>
        <v>53.064835011669999</v>
      </c>
    </row>
    <row r="447" spans="9:14" x14ac:dyDescent="0.25">
      <c r="I447">
        <f>'S-Curve'!A446</f>
        <v>194</v>
      </c>
      <c r="J447" s="2">
        <f>'S-Curve'!C446</f>
        <v>1.24311552974049E-2</v>
      </c>
      <c r="K447" s="3">
        <f t="shared" si="24"/>
        <v>2.9676263052574554E-2</v>
      </c>
      <c r="L447" s="3">
        <f t="shared" si="25"/>
        <v>6.1240992630999073E-2</v>
      </c>
      <c r="M447">
        <f t="shared" si="26"/>
        <v>30.337369852457709</v>
      </c>
      <c r="N447">
        <f t="shared" si="27"/>
        <v>53.156492645805706</v>
      </c>
    </row>
    <row r="448" spans="9:14" x14ac:dyDescent="0.25">
      <c r="I448">
        <f>'S-Curve'!A447</f>
        <v>195</v>
      </c>
      <c r="J448" s="2">
        <f>'S-Curve'!C447</f>
        <v>1.2461558806670402E-2</v>
      </c>
      <c r="K448" s="3">
        <f t="shared" si="24"/>
        <v>2.9748843799665112E-2</v>
      </c>
      <c r="L448" s="3">
        <f t="shared" si="25"/>
        <v>6.1390772843886748E-2</v>
      </c>
      <c r="M448">
        <f t="shared" si="26"/>
        <v>30.399873768765563</v>
      </c>
      <c r="N448">
        <f t="shared" si="27"/>
        <v>53.246101289830541</v>
      </c>
    </row>
    <row r="449" spans="9:14" x14ac:dyDescent="0.25">
      <c r="I449">
        <f>'S-Curve'!A448</f>
        <v>196</v>
      </c>
      <c r="J449" s="2">
        <f>'S-Curve'!C448</f>
        <v>1.24913275568256E-2</v>
      </c>
      <c r="K449" s="3">
        <f t="shared" si="24"/>
        <v>2.9819909218704359E-2</v>
      </c>
      <c r="L449" s="3">
        <f t="shared" si="25"/>
        <v>6.1537425971876315E-2</v>
      </c>
      <c r="M449">
        <f t="shared" si="26"/>
        <v>30.461022926599156</v>
      </c>
      <c r="N449">
        <f t="shared" si="27"/>
        <v>53.333686829998506</v>
      </c>
    </row>
    <row r="450" spans="9:14" x14ac:dyDescent="0.25">
      <c r="I450">
        <f>'S-Curve'!A449</f>
        <v>197</v>
      </c>
      <c r="J450" s="2">
        <f>'S-Curve'!C449</f>
        <v>1.2520467055903801E-2</v>
      </c>
      <c r="K450" s="3">
        <f t="shared" si="24"/>
        <v>2.9889472458739297E-2</v>
      </c>
      <c r="L450" s="3">
        <f t="shared" si="25"/>
        <v>6.1680979149809155E-2</v>
      </c>
      <c r="M450">
        <f t="shared" si="26"/>
        <v>30.520831814550398</v>
      </c>
      <c r="N450">
        <f t="shared" si="27"/>
        <v>53.419275296486525</v>
      </c>
    </row>
    <row r="451" spans="9:14" x14ac:dyDescent="0.25">
      <c r="I451">
        <f>'S-Curve'!A450</f>
        <v>198</v>
      </c>
      <c r="J451" s="2">
        <f>'S-Curve'!C450</f>
        <v>1.25489828119383E-2</v>
      </c>
      <c r="K451" s="3">
        <f t="shared" si="24"/>
        <v>2.9957546668816896E-2</v>
      </c>
      <c r="L451" s="3">
        <f t="shared" si="25"/>
        <v>6.1821459512526586E-2</v>
      </c>
      <c r="M451">
        <f t="shared" si="26"/>
        <v>30.579314814621849</v>
      </c>
      <c r="N451">
        <f t="shared" si="27"/>
        <v>53.502892378153874</v>
      </c>
    </row>
    <row r="452" spans="9:14" x14ac:dyDescent="0.25">
      <c r="I452">
        <f>'S-Curve'!A451</f>
        <v>199</v>
      </c>
      <c r="J452" s="2">
        <f>'S-Curve'!C451</f>
        <v>1.2576880499872501E-2</v>
      </c>
      <c r="K452" s="3">
        <f t="shared" ref="K452:K515" si="28">J452*$E$3</f>
        <v>3.0024145396440133E-2</v>
      </c>
      <c r="L452" s="3">
        <f t="shared" ref="L452:L515" si="29">J452*$F$3</f>
        <v>6.1958895017137888E-2</v>
      </c>
      <c r="M452">
        <f t="shared" ref="M452:M515" si="30">100*(1-(1-K452)^12)</f>
        <v>30.636486546372343</v>
      </c>
      <c r="N452">
        <f t="shared" ref="N452:N515" si="31">100*(1-(1-L452)^12)</f>
        <v>53.584563918647852</v>
      </c>
    </row>
    <row r="453" spans="9:14" x14ac:dyDescent="0.25">
      <c r="I453">
        <f>'S-Curve'!A452</f>
        <v>200</v>
      </c>
      <c r="J453" s="2">
        <f>'S-Curve'!C452</f>
        <v>1.2604165627739701E-2</v>
      </c>
      <c r="K453" s="3">
        <f t="shared" si="28"/>
        <v>3.0089281790655977E-2</v>
      </c>
      <c r="L453" s="3">
        <f t="shared" si="29"/>
        <v>6.2093312798484394E-2</v>
      </c>
      <c r="M453">
        <f t="shared" si="30"/>
        <v>30.692361184498484</v>
      </c>
      <c r="N453">
        <f t="shared" si="31"/>
        <v>53.664314945331881</v>
      </c>
    </row>
    <row r="454" spans="9:14" x14ac:dyDescent="0.25">
      <c r="I454">
        <f>'S-Curve'!A453</f>
        <v>201</v>
      </c>
      <c r="J454" s="2">
        <f>'S-Curve'!C453</f>
        <v>1.2630843369753002E-2</v>
      </c>
      <c r="K454" s="3">
        <f t="shared" si="28"/>
        <v>3.0152968203599487E-2</v>
      </c>
      <c r="L454" s="3">
        <f t="shared" si="29"/>
        <v>6.2224738346871623E-2</v>
      </c>
      <c r="M454">
        <f t="shared" si="30"/>
        <v>30.746952120859227</v>
      </c>
      <c r="N454">
        <f t="shared" si="31"/>
        <v>53.742169194078016</v>
      </c>
    </row>
    <row r="455" spans="9:14" x14ac:dyDescent="0.25">
      <c r="I455">
        <f>'S-Curve'!A454</f>
        <v>202</v>
      </c>
      <c r="J455" s="2">
        <f>'S-Curve'!C454</f>
        <v>1.2656919567765901E-2</v>
      </c>
      <c r="K455" s="3">
        <f t="shared" si="28"/>
        <v>3.021521858122958E-2</v>
      </c>
      <c r="L455" s="3">
        <f t="shared" si="29"/>
        <v>6.2353200441676748E-2</v>
      </c>
      <c r="M455">
        <f t="shared" si="30"/>
        <v>30.800274016128391</v>
      </c>
      <c r="N455">
        <f t="shared" si="31"/>
        <v>53.818152039969583</v>
      </c>
    </row>
    <row r="456" spans="9:14" x14ac:dyDescent="0.25">
      <c r="I456">
        <f>'S-Curve'!A455</f>
        <v>203</v>
      </c>
      <c r="J456" s="2">
        <f>'S-Curve'!C455</f>
        <v>1.2682399729811701E-2</v>
      </c>
      <c r="K456" s="3">
        <f t="shared" si="28"/>
        <v>3.0276046072593255E-2</v>
      </c>
      <c r="L456" s="3">
        <f t="shared" si="29"/>
        <v>6.2478726217741122E-2</v>
      </c>
      <c r="M456">
        <f t="shared" si="30"/>
        <v>30.852340751374342</v>
      </c>
      <c r="N456">
        <f t="shared" si="31"/>
        <v>53.892287578301975</v>
      </c>
    </row>
    <row r="457" spans="9:14" x14ac:dyDescent="0.25">
      <c r="I457">
        <f>'S-Curve'!A456</f>
        <v>204</v>
      </c>
      <c r="J457" s="2">
        <f>'S-Curve'!C456</f>
        <v>1.2707289197013602E-2</v>
      </c>
      <c r="K457" s="3">
        <f t="shared" si="28"/>
        <v>3.0335463428281525E-2</v>
      </c>
      <c r="L457" s="3">
        <f t="shared" si="29"/>
        <v>6.260134198763817E-2</v>
      </c>
      <c r="M457">
        <f t="shared" si="30"/>
        <v>30.903165773262387</v>
      </c>
      <c r="N457">
        <f t="shared" si="31"/>
        <v>53.964599123661451</v>
      </c>
    </row>
    <row r="458" spans="9:14" x14ac:dyDescent="0.25">
      <c r="I458">
        <f>'S-Curve'!A457</f>
        <v>205</v>
      </c>
      <c r="J458" s="2">
        <f>'S-Curve'!C457</f>
        <v>1.2731593644315E-2</v>
      </c>
      <c r="K458" s="3">
        <f t="shared" si="28"/>
        <v>3.0393484195797342E-2</v>
      </c>
      <c r="L458" s="3">
        <f t="shared" si="29"/>
        <v>6.2721075708477153E-2</v>
      </c>
      <c r="M458">
        <f t="shared" si="30"/>
        <v>30.952763118707992</v>
      </c>
      <c r="N458">
        <f t="shared" si="31"/>
        <v>54.035110672056838</v>
      </c>
    </row>
    <row r="459" spans="9:14" x14ac:dyDescent="0.25">
      <c r="I459">
        <f>'S-Curve'!A458</f>
        <v>206</v>
      </c>
      <c r="J459" s="2">
        <f>'S-Curve'!C458</f>
        <v>1.2755318412839101E-2</v>
      </c>
      <c r="K459" s="3">
        <f t="shared" si="28"/>
        <v>3.0450121125731734E-2</v>
      </c>
      <c r="L459" s="3">
        <f t="shared" si="29"/>
        <v>6.2837953692831502E-2</v>
      </c>
      <c r="M459">
        <f t="shared" si="30"/>
        <v>31.001146053539742</v>
      </c>
      <c r="N459">
        <f t="shared" si="31"/>
        <v>54.103844968099914</v>
      </c>
    </row>
    <row r="460" spans="9:14" x14ac:dyDescent="0.25">
      <c r="I460">
        <f>'S-Curve'!A459</f>
        <v>207</v>
      </c>
      <c r="J460" s="2">
        <f>'S-Curve'!C459</f>
        <v>1.2778469010619201E-2</v>
      </c>
      <c r="K460" s="3">
        <f t="shared" si="28"/>
        <v>3.0505387367131678E-2</v>
      </c>
      <c r="L460" s="3">
        <f t="shared" si="29"/>
        <v>6.2952003075542551E-2</v>
      </c>
      <c r="M460">
        <f t="shared" si="30"/>
        <v>31.048328096866918</v>
      </c>
      <c r="N460">
        <f t="shared" si="31"/>
        <v>54.170824966190892</v>
      </c>
    </row>
    <row r="461" spans="9:14" x14ac:dyDescent="0.25">
      <c r="I461">
        <f>'S-Curve'!A460</f>
        <v>208</v>
      </c>
      <c r="J461" s="2">
        <f>'S-Curve'!C460</f>
        <v>1.2801051279508801E-2</v>
      </c>
      <c r="K461" s="3">
        <f t="shared" si="28"/>
        <v>3.0559296865956109E-2</v>
      </c>
      <c r="L461" s="3">
        <f t="shared" si="29"/>
        <v>6.3063252635987513E-2</v>
      </c>
      <c r="M461">
        <f t="shared" si="30"/>
        <v>31.094323361803355</v>
      </c>
      <c r="N461">
        <f t="shared" si="31"/>
        <v>54.236074315828155</v>
      </c>
    </row>
    <row r="462" spans="9:14" x14ac:dyDescent="0.25">
      <c r="I462">
        <f>'S-Curve'!A461</f>
        <v>209</v>
      </c>
      <c r="J462" s="2">
        <f>'S-Curve'!C461</f>
        <v>1.2823070393721001E-2</v>
      </c>
      <c r="K462" s="3">
        <f t="shared" si="28"/>
        <v>3.0611861974340068E-2</v>
      </c>
      <c r="L462" s="3">
        <f t="shared" si="29"/>
        <v>6.3171727864471866E-2</v>
      </c>
      <c r="M462">
        <f t="shared" si="30"/>
        <v>31.139144517452401</v>
      </c>
      <c r="N462">
        <f t="shared" si="31"/>
        <v>54.299614473970372</v>
      </c>
    </row>
    <row r="463" spans="9:14" x14ac:dyDescent="0.25">
      <c r="I463">
        <f>'S-Curve'!A462</f>
        <v>210</v>
      </c>
      <c r="J463" s="2">
        <f>'S-Curve'!C462</f>
        <v>1.28445320281992E-2</v>
      </c>
      <c r="K463" s="3">
        <f t="shared" si="28"/>
        <v>3.0663096239786514E-2</v>
      </c>
      <c r="L463" s="3">
        <f t="shared" si="29"/>
        <v>6.3277456718104877E-2</v>
      </c>
      <c r="M463">
        <f t="shared" si="30"/>
        <v>31.182805171061069</v>
      </c>
      <c r="N463">
        <f t="shared" si="31"/>
        <v>54.361468088960365</v>
      </c>
    </row>
    <row r="464" spans="9:14" x14ac:dyDescent="0.25">
      <c r="I464">
        <f>'S-Curve'!A463</f>
        <v>211</v>
      </c>
      <c r="J464" s="2">
        <f>'S-Curve'!C463</f>
        <v>1.2865441524066601E-2</v>
      </c>
      <c r="K464" s="3">
        <f t="shared" si="28"/>
        <v>3.0713012412886473E-2</v>
      </c>
      <c r="L464" s="3">
        <f t="shared" si="29"/>
        <v>6.3380465509459985E-2</v>
      </c>
      <c r="M464">
        <f t="shared" si="30"/>
        <v>31.225318170592598</v>
      </c>
      <c r="N464">
        <f t="shared" si="31"/>
        <v>54.421656596983006</v>
      </c>
    </row>
    <row r="465" spans="9:14" x14ac:dyDescent="0.25">
      <c r="I465">
        <f>'S-Curve'!A464</f>
        <v>212</v>
      </c>
      <c r="J465" s="2">
        <f>'S-Curve'!C464</f>
        <v>1.2885804556266601E-2</v>
      </c>
      <c r="K465" s="3">
        <f t="shared" si="28"/>
        <v>3.0761624041142889E-2</v>
      </c>
      <c r="L465" s="3">
        <f t="shared" si="29"/>
        <v>6.3480782195646457E-2</v>
      </c>
      <c r="M465">
        <f t="shared" si="30"/>
        <v>31.266696964811324</v>
      </c>
      <c r="N465">
        <f t="shared" si="31"/>
        <v>54.48020215248377</v>
      </c>
    </row>
    <row r="466" spans="9:14" x14ac:dyDescent="0.25">
      <c r="I466">
        <f>'S-Curve'!A465</f>
        <v>213</v>
      </c>
      <c r="J466" s="2">
        <f>'S-Curve'!C465</f>
        <v>1.29056266328325E-2</v>
      </c>
      <c r="K466" s="3">
        <f t="shared" si="28"/>
        <v>3.0808944273602756E-2</v>
      </c>
      <c r="L466" s="3">
        <f t="shared" si="29"/>
        <v>6.3578433911505625E-2</v>
      </c>
      <c r="M466">
        <f t="shared" si="30"/>
        <v>31.306954586556124</v>
      </c>
      <c r="N466">
        <f t="shared" si="31"/>
        <v>54.537126191465688</v>
      </c>
    </row>
    <row r="467" spans="9:14" x14ac:dyDescent="0.25">
      <c r="I467">
        <f>'S-Curve'!A466</f>
        <v>214</v>
      </c>
      <c r="J467" s="2">
        <f>'S-Curve'!C466</f>
        <v>1.2924913261797601E-2</v>
      </c>
      <c r="K467" s="3">
        <f t="shared" si="28"/>
        <v>3.0854986259313062E-2</v>
      </c>
      <c r="L467" s="3">
        <f t="shared" si="29"/>
        <v>6.3673447791878848E-2</v>
      </c>
      <c r="M467">
        <f t="shared" si="30"/>
        <v>31.346103994197318</v>
      </c>
      <c r="N467">
        <f t="shared" si="31"/>
        <v>54.592449918823725</v>
      </c>
    </row>
    <row r="468" spans="9:14" x14ac:dyDescent="0.25">
      <c r="I468">
        <f>'S-Curve'!A467</f>
        <v>215</v>
      </c>
      <c r="J468" s="2">
        <f>'S-Curve'!C467</f>
        <v>1.29436697842851E-2</v>
      </c>
      <c r="K468" s="3">
        <f t="shared" si="28"/>
        <v>3.0899762748864822E-2</v>
      </c>
      <c r="L468" s="3">
        <f t="shared" si="29"/>
        <v>6.3765850149339526E-2</v>
      </c>
      <c r="M468">
        <f t="shared" si="30"/>
        <v>31.384157734869945</v>
      </c>
      <c r="N468">
        <f t="shared" si="31"/>
        <v>54.646193836235213</v>
      </c>
    </row>
    <row r="469" spans="9:14" x14ac:dyDescent="0.25">
      <c r="I469">
        <f>'S-Curve'!A468</f>
        <v>216</v>
      </c>
      <c r="J469" s="2">
        <f>'S-Curve'!C468</f>
        <v>1.2961902042148501E-2</v>
      </c>
      <c r="K469" s="3">
        <f t="shared" si="28"/>
        <v>3.0943287688216969E-2</v>
      </c>
      <c r="L469" s="3">
        <f t="shared" si="29"/>
        <v>6.3855669763264886E-2</v>
      </c>
      <c r="M469">
        <f t="shared" si="30"/>
        <v>31.421129300577388</v>
      </c>
      <c r="N469">
        <f t="shared" si="31"/>
        <v>54.698379660429538</v>
      </c>
    </row>
    <row r="470" spans="9:14" x14ac:dyDescent="0.25">
      <c r="I470">
        <f>'S-Curve'!A469</f>
        <v>217</v>
      </c>
      <c r="J470" s="2">
        <f>'S-Curve'!C469</f>
        <v>1.2979615209600901E-2</v>
      </c>
      <c r="K470" s="3">
        <f t="shared" si="28"/>
        <v>3.0985573429504542E-2</v>
      </c>
      <c r="L470" s="3">
        <f t="shared" si="29"/>
        <v>6.3942932123960391E-2</v>
      </c>
      <c r="M470">
        <f t="shared" si="30"/>
        <v>31.457030759924244</v>
      </c>
      <c r="N470">
        <f t="shared" si="31"/>
        <v>54.749026982367212</v>
      </c>
    </row>
    <row r="471" spans="9:14" x14ac:dyDescent="0.25">
      <c r="I471">
        <f>'S-Curve'!A470</f>
        <v>218</v>
      </c>
      <c r="J471" s="2">
        <f>'S-Curve'!C470</f>
        <v>1.2996814961585701E-2</v>
      </c>
      <c r="K471" s="3">
        <f t="shared" si="28"/>
        <v>3.1026633520230506E-2</v>
      </c>
      <c r="L471" s="3">
        <f t="shared" si="29"/>
        <v>6.4027665188535338E-2</v>
      </c>
      <c r="M471">
        <f t="shared" si="30"/>
        <v>31.491875129479297</v>
      </c>
      <c r="N471">
        <f t="shared" si="31"/>
        <v>54.798156618302286</v>
      </c>
    </row>
    <row r="472" spans="9:14" x14ac:dyDescent="0.25">
      <c r="I472">
        <f>'S-Curve'!A471</f>
        <v>219</v>
      </c>
      <c r="J472" s="2">
        <f>'S-Curve'!C471</f>
        <v>1.3013506973046301E-2</v>
      </c>
      <c r="K472" s="3">
        <f t="shared" si="28"/>
        <v>3.1066481507897811E-2</v>
      </c>
      <c r="L472" s="3">
        <f t="shared" si="29"/>
        <v>6.4109896914098977E-2</v>
      </c>
      <c r="M472">
        <f t="shared" si="30"/>
        <v>31.525675359352544</v>
      </c>
      <c r="N472">
        <f t="shared" si="31"/>
        <v>54.84578917987222</v>
      </c>
    </row>
    <row r="473" spans="9:14" x14ac:dyDescent="0.25">
      <c r="I473">
        <f>'S-Curve'!A472</f>
        <v>220</v>
      </c>
      <c r="J473" s="2">
        <f>'S-Curve'!C472</f>
        <v>1.3029696418195801E-2</v>
      </c>
      <c r="K473" s="3">
        <f t="shared" si="28"/>
        <v>3.110512974464151E-2</v>
      </c>
      <c r="L473" s="3">
        <f t="shared" si="29"/>
        <v>6.4189652790956814E-2</v>
      </c>
      <c r="M473">
        <f t="shared" si="30"/>
        <v>31.558443321627816</v>
      </c>
      <c r="N473">
        <f t="shared" si="31"/>
        <v>54.891943652769214</v>
      </c>
    </row>
    <row r="474" spans="9:14" x14ac:dyDescent="0.25">
      <c r="I474">
        <f>'S-Curve'!A473</f>
        <v>221</v>
      </c>
      <c r="J474" s="2">
        <f>'S-Curve'!C473</f>
        <v>1.3045388971977601E-2</v>
      </c>
      <c r="K474" s="3">
        <f t="shared" si="28"/>
        <v>3.1142591777964558E-2</v>
      </c>
      <c r="L474" s="3">
        <f t="shared" si="29"/>
        <v>6.4266960776218116E-2</v>
      </c>
      <c r="M474">
        <f t="shared" si="30"/>
        <v>31.590191839880521</v>
      </c>
      <c r="N474">
        <f t="shared" si="31"/>
        <v>54.93664025979065</v>
      </c>
    </row>
    <row r="475" spans="9:14" x14ac:dyDescent="0.25">
      <c r="I475">
        <f>'S-Curve'!A474</f>
        <v>222</v>
      </c>
      <c r="J475" s="2">
        <f>'S-Curve'!C474</f>
        <v>1.3060590142425001E-2</v>
      </c>
      <c r="K475" s="3">
        <f t="shared" si="28"/>
        <v>3.1178880756913944E-2</v>
      </c>
      <c r="L475" s="3">
        <f t="shared" si="29"/>
        <v>6.4341848004724228E-2</v>
      </c>
      <c r="M475">
        <f t="shared" si="30"/>
        <v>31.620933338713698</v>
      </c>
      <c r="N475">
        <f t="shared" si="31"/>
        <v>54.979898560409204</v>
      </c>
    </row>
    <row r="476" spans="9:14" x14ac:dyDescent="0.25">
      <c r="I476">
        <f>'S-Curve'!A475</f>
        <v>223</v>
      </c>
      <c r="J476" s="2">
        <f>'S-Curve'!C475</f>
        <v>1.3075305437571301E-2</v>
      </c>
      <c r="K476" s="3">
        <f t="shared" si="28"/>
        <v>3.1214009830536654E-2</v>
      </c>
      <c r="L476" s="3">
        <f t="shared" si="29"/>
        <v>6.4414341611316511E-2</v>
      </c>
      <c r="M476">
        <f t="shared" si="30"/>
        <v>31.650680183404557</v>
      </c>
      <c r="N476">
        <f t="shared" si="31"/>
        <v>55.021737932414624</v>
      </c>
    </row>
    <row r="477" spans="9:14" x14ac:dyDescent="0.25">
      <c r="I477">
        <f>'S-Curve'!A476</f>
        <v>224</v>
      </c>
      <c r="J477" s="2">
        <f>'S-Curve'!C476</f>
        <v>1.3089540365449801E-2</v>
      </c>
      <c r="K477" s="3">
        <f t="shared" si="28"/>
        <v>3.1247992147879673E-2</v>
      </c>
      <c r="L477" s="3">
        <f t="shared" si="29"/>
        <v>6.4484468730836284E-2</v>
      </c>
      <c r="M477">
        <f t="shared" si="30"/>
        <v>31.679444681471935</v>
      </c>
      <c r="N477">
        <f t="shared" si="31"/>
        <v>55.062177576939284</v>
      </c>
    </row>
    <row r="478" spans="9:14" x14ac:dyDescent="0.25">
      <c r="I478">
        <f>'S-Curve'!A477</f>
        <v>225</v>
      </c>
      <c r="J478" s="2">
        <f>'S-Curve'!C477</f>
        <v>1.3103300601003901E-2</v>
      </c>
      <c r="K478" s="3">
        <f t="shared" si="28"/>
        <v>3.1280841256445965E-2</v>
      </c>
      <c r="L478" s="3">
        <f t="shared" si="29"/>
        <v>6.4552257320392825E-2</v>
      </c>
      <c r="M478">
        <f t="shared" si="30"/>
        <v>31.707239421304301</v>
      </c>
      <c r="N478">
        <f t="shared" si="31"/>
        <v>55.101236996995297</v>
      </c>
    </row>
    <row r="479" spans="9:14" x14ac:dyDescent="0.25">
      <c r="I479">
        <f>'S-Curve'!A478</f>
        <v>226</v>
      </c>
      <c r="J479" s="2">
        <f>'S-Curve'!C478</f>
        <v>1.31165913184467E-2</v>
      </c>
      <c r="K479" s="3">
        <f t="shared" si="28"/>
        <v>3.1312569508370566E-2</v>
      </c>
      <c r="L479" s="3">
        <f t="shared" si="29"/>
        <v>6.4617732870291641E-2</v>
      </c>
      <c r="M479">
        <f t="shared" si="30"/>
        <v>31.734075925223738</v>
      </c>
      <c r="N479">
        <f t="shared" si="31"/>
        <v>55.138934107572709</v>
      </c>
    </row>
    <row r="480" spans="9:14" x14ac:dyDescent="0.25">
      <c r="I480">
        <f>'S-Curve'!A479</f>
        <v>227</v>
      </c>
      <c r="J480" s="2">
        <f>'S-Curve'!C479</f>
        <v>1.3129418359631701E-2</v>
      </c>
      <c r="K480" s="3">
        <f t="shared" si="28"/>
        <v>3.1343190849612422E-2</v>
      </c>
      <c r="L480" s="3">
        <f t="shared" si="29"/>
        <v>6.4680924159909933E-2</v>
      </c>
      <c r="M480">
        <f t="shared" si="30"/>
        <v>31.759967010705601</v>
      </c>
      <c r="N480">
        <f t="shared" si="31"/>
        <v>55.175288555983371</v>
      </c>
    </row>
    <row r="481" spans="9:14" x14ac:dyDescent="0.25">
      <c r="I481">
        <f>'S-Curve'!A480</f>
        <v>228</v>
      </c>
      <c r="J481" s="2">
        <f>'S-Curve'!C480</f>
        <v>1.3141787065682101E-2</v>
      </c>
      <c r="K481" s="3">
        <f t="shared" si="28"/>
        <v>3.1372718030762532E-2</v>
      </c>
      <c r="L481" s="3">
        <f t="shared" si="29"/>
        <v>6.4741857501821085E-2</v>
      </c>
      <c r="M481">
        <f t="shared" si="30"/>
        <v>31.784924432385196</v>
      </c>
      <c r="N481">
        <f t="shared" si="31"/>
        <v>55.210318411716074</v>
      </c>
    </row>
    <row r="482" spans="9:14" x14ac:dyDescent="0.25">
      <c r="I482">
        <f>'S-Curve'!A481</f>
        <v>229</v>
      </c>
      <c r="J482" s="2">
        <f>'S-Curve'!C481</f>
        <v>1.3153702944631201E-2</v>
      </c>
      <c r="K482" s="3">
        <f t="shared" si="28"/>
        <v>3.1401164200867894E-2</v>
      </c>
      <c r="L482" s="3">
        <f t="shared" si="29"/>
        <v>6.4800560030866483E-2</v>
      </c>
      <c r="M482">
        <f t="shared" si="30"/>
        <v>31.808960231726001</v>
      </c>
      <c r="N482">
        <f t="shared" si="31"/>
        <v>55.244042065056263</v>
      </c>
    </row>
    <row r="483" spans="9:14" x14ac:dyDescent="0.25">
      <c r="I483">
        <f>'S-Curve'!A482</f>
        <v>230</v>
      </c>
      <c r="J483" s="2">
        <f>'S-Curve'!C482</f>
        <v>1.3165171671422402E-2</v>
      </c>
      <c r="K483" s="3">
        <f t="shared" si="28"/>
        <v>3.142854290743146E-2</v>
      </c>
      <c r="L483" s="3">
        <f t="shared" si="29"/>
        <v>6.4857059704155381E-2</v>
      </c>
      <c r="M483">
        <f t="shared" si="30"/>
        <v>31.832086737891132</v>
      </c>
      <c r="N483">
        <f t="shared" si="31"/>
        <v>55.276478229917778</v>
      </c>
    </row>
    <row r="484" spans="9:14" x14ac:dyDescent="0.25">
      <c r="I484">
        <f>'S-Curve'!A483</f>
        <v>231</v>
      </c>
      <c r="J484" s="2">
        <f>'S-Curve'!C483</f>
        <v>1.3176198420268801E-2</v>
      </c>
      <c r="K484" s="3">
        <f t="shared" si="28"/>
        <v>3.1454866502588275E-2</v>
      </c>
      <c r="L484" s="3">
        <f t="shared" si="29"/>
        <v>6.4911382011993257E-2</v>
      </c>
      <c r="M484">
        <f t="shared" si="30"/>
        <v>31.854315222980723</v>
      </c>
      <c r="N484">
        <f t="shared" si="31"/>
        <v>55.307644060379992</v>
      </c>
    </row>
    <row r="485" spans="9:14" x14ac:dyDescent="0.25">
      <c r="I485">
        <f>'S-Curve'!A484</f>
        <v>232</v>
      </c>
      <c r="J485" s="2">
        <f>'S-Curve'!C484</f>
        <v>1.31867890330239E-2</v>
      </c>
      <c r="K485" s="3">
        <f t="shared" si="28"/>
        <v>3.1480148932297274E-2</v>
      </c>
      <c r="L485" s="3">
        <f t="shared" si="29"/>
        <v>6.4963555733757339E-2</v>
      </c>
      <c r="M485">
        <f t="shared" si="30"/>
        <v>31.875658259170137</v>
      </c>
      <c r="N485">
        <f t="shared" si="31"/>
        <v>55.337558458704606</v>
      </c>
    </row>
    <row r="486" spans="9:14" x14ac:dyDescent="0.25">
      <c r="I486">
        <f>'S-Curve'!A485</f>
        <v>233</v>
      </c>
      <c r="J486" s="2">
        <f>'S-Curve'!C485</f>
        <v>1.3196949017721001E-2</v>
      </c>
      <c r="K486" s="3">
        <f t="shared" si="28"/>
        <v>3.1504403345605447E-2</v>
      </c>
      <c r="L486" s="3">
        <f t="shared" si="29"/>
        <v>6.5013608004288959E-2</v>
      </c>
      <c r="M486">
        <f t="shared" si="30"/>
        <v>31.89612770077478</v>
      </c>
      <c r="N486">
        <f t="shared" si="31"/>
        <v>55.366239247636287</v>
      </c>
    </row>
    <row r="487" spans="9:14" x14ac:dyDescent="0.25">
      <c r="I487">
        <f>'S-Curve'!A486</f>
        <v>234</v>
      </c>
      <c r="J487" s="2">
        <f>'S-Curve'!C486</f>
        <v>1.3206683715483301E-2</v>
      </c>
      <c r="K487" s="3">
        <f t="shared" si="28"/>
        <v>3.1527642493103795E-2</v>
      </c>
      <c r="L487" s="3">
        <f t="shared" si="29"/>
        <v>6.5061565136161528E-2</v>
      </c>
      <c r="M487">
        <f t="shared" si="30"/>
        <v>31.915735022710212</v>
      </c>
      <c r="N487">
        <f t="shared" si="31"/>
        <v>55.393703648287307</v>
      </c>
    </row>
    <row r="488" spans="9:14" x14ac:dyDescent="0.25">
      <c r="I488">
        <f>'S-Curve'!A487</f>
        <v>235</v>
      </c>
      <c r="J488" s="2">
        <f>'S-Curve'!C487</f>
        <v>1.3215998634344101E-2</v>
      </c>
      <c r="K488" s="3">
        <f t="shared" si="28"/>
        <v>3.1549879523839322E-2</v>
      </c>
      <c r="L488" s="3">
        <f t="shared" si="29"/>
        <v>6.5107454264216394E-2</v>
      </c>
      <c r="M488">
        <f t="shared" si="30"/>
        <v>31.934491994360993</v>
      </c>
      <c r="N488">
        <f t="shared" si="31"/>
        <v>55.419969226584918</v>
      </c>
    </row>
    <row r="489" spans="9:14" x14ac:dyDescent="0.25">
      <c r="I489">
        <f>'S-Curve'!A488</f>
        <v>236</v>
      </c>
      <c r="J489" s="2">
        <f>'S-Curve'!C488</f>
        <v>1.3224899282336701E-2</v>
      </c>
      <c r="K489" s="3">
        <f t="shared" si="28"/>
        <v>3.157112758685901E-2</v>
      </c>
      <c r="L489" s="3">
        <f t="shared" si="29"/>
        <v>6.5151302523294916E-2</v>
      </c>
      <c r="M489">
        <f t="shared" si="30"/>
        <v>31.952410344475325</v>
      </c>
      <c r="N489">
        <f t="shared" si="31"/>
        <v>55.445053425747304</v>
      </c>
    </row>
    <row r="490" spans="9:14" x14ac:dyDescent="0.25">
      <c r="I490">
        <f>'S-Curve'!A489</f>
        <v>237</v>
      </c>
      <c r="J490" s="2">
        <f>'S-Curve'!C489</f>
        <v>1.3233391334404501E-2</v>
      </c>
      <c r="K490" s="3">
        <f t="shared" si="28"/>
        <v>3.1591400229665813E-2</v>
      </c>
      <c r="L490" s="3">
        <f t="shared" si="29"/>
        <v>6.5193137870506346E-2</v>
      </c>
      <c r="M490">
        <f t="shared" si="30"/>
        <v>31.969502098356138</v>
      </c>
      <c r="N490">
        <f t="shared" si="31"/>
        <v>55.468974040330224</v>
      </c>
    </row>
    <row r="491" spans="9:14" x14ac:dyDescent="0.25">
      <c r="I491">
        <f>'S-Curve'!A490</f>
        <v>238</v>
      </c>
      <c r="J491" s="2">
        <f>'S-Curve'!C490</f>
        <v>1.3241480298580801E-2</v>
      </c>
      <c r="K491" s="3">
        <f t="shared" si="28"/>
        <v>3.161071060130672E-2</v>
      </c>
      <c r="L491" s="3">
        <f t="shared" si="29"/>
        <v>6.5232987440692045E-2</v>
      </c>
      <c r="M491">
        <f t="shared" si="30"/>
        <v>31.985778907118501</v>
      </c>
      <c r="N491">
        <f t="shared" si="31"/>
        <v>55.491748279421174</v>
      </c>
    </row>
    <row r="492" spans="9:14" x14ac:dyDescent="0.25">
      <c r="I492">
        <f>'S-Curve'!A491</f>
        <v>239</v>
      </c>
      <c r="J492" s="2">
        <f>'S-Curve'!C491</f>
        <v>1.3249171515988801E-2</v>
      </c>
      <c r="K492" s="3">
        <f t="shared" si="28"/>
        <v>3.1629071452372752E-2</v>
      </c>
      <c r="L492" s="3">
        <f t="shared" si="29"/>
        <v>6.5270877546425424E-2</v>
      </c>
      <c r="M492">
        <f t="shared" si="30"/>
        <v>32.001252049330816</v>
      </c>
      <c r="N492">
        <f t="shared" si="31"/>
        <v>55.513392771663483</v>
      </c>
    </row>
    <row r="493" spans="9:14" x14ac:dyDescent="0.25">
      <c r="I493">
        <f>'S-Curve'!A492</f>
        <v>240</v>
      </c>
      <c r="J493" s="2">
        <f>'S-Curve'!C492</f>
        <v>1.3256470661571901E-2</v>
      </c>
      <c r="K493" s="3">
        <f t="shared" si="28"/>
        <v>3.1646496330366862E-2</v>
      </c>
      <c r="L493" s="3">
        <f t="shared" si="29"/>
        <v>6.530683614481575E-2</v>
      </c>
      <c r="M493">
        <f t="shared" si="30"/>
        <v>32.015933439642843</v>
      </c>
      <c r="N493">
        <f t="shared" si="31"/>
        <v>55.533924978284375</v>
      </c>
    </row>
    <row r="494" spans="9:14" x14ac:dyDescent="0.25">
      <c r="I494">
        <f>'S-Curve'!A493</f>
        <v>241</v>
      </c>
      <c r="J494" s="2">
        <f>'S-Curve'!C493</f>
        <v>1.32633830764533E-2</v>
      </c>
      <c r="K494" s="3">
        <f t="shared" si="28"/>
        <v>3.166299798588007E-2</v>
      </c>
      <c r="L494" s="3">
        <f t="shared" si="29"/>
        <v>6.5340889548436462E-2</v>
      </c>
      <c r="M494">
        <f t="shared" si="30"/>
        <v>32.029834286838721</v>
      </c>
      <c r="N494">
        <f t="shared" si="31"/>
        <v>55.553361317943818</v>
      </c>
    </row>
    <row r="495" spans="9:14" x14ac:dyDescent="0.25">
      <c r="I495">
        <f>'S-Curve'!A494</f>
        <v>242</v>
      </c>
      <c r="J495" s="2">
        <f>'S-Curve'!C494</f>
        <v>1.3269914435576402E-2</v>
      </c>
      <c r="K495" s="3">
        <f t="shared" si="28"/>
        <v>3.167858996641533E-2</v>
      </c>
      <c r="L495" s="3">
        <f t="shared" si="29"/>
        <v>6.5373065714396814E-2</v>
      </c>
      <c r="M495">
        <f t="shared" si="30"/>
        <v>32.042966437922829</v>
      </c>
      <c r="N495">
        <f t="shared" si="31"/>
        <v>55.571719048467791</v>
      </c>
    </row>
    <row r="496" spans="9:14" x14ac:dyDescent="0.25">
      <c r="I496">
        <f>'S-Curve'!A495</f>
        <v>243</v>
      </c>
      <c r="J496" s="2">
        <f>'S-Curve'!C495</f>
        <v>1.32760700800644E-2</v>
      </c>
      <c r="K496" s="3">
        <f t="shared" si="28"/>
        <v>3.1693285022563661E-2</v>
      </c>
      <c r="L496" s="3">
        <f t="shared" si="29"/>
        <v>6.540339095527023E-2</v>
      </c>
      <c r="M496">
        <f t="shared" si="30"/>
        <v>32.055341036666064</v>
      </c>
      <c r="N496">
        <f t="shared" si="31"/>
        <v>55.589014393157065</v>
      </c>
    </row>
    <row r="497" spans="9:14" x14ac:dyDescent="0.25">
      <c r="I497">
        <f>'S-Curve'!A496</f>
        <v>244</v>
      </c>
      <c r="J497" s="2">
        <f>'S-Curve'!C496</f>
        <v>1.3281855684860702E-2</v>
      </c>
      <c r="K497" s="3">
        <f t="shared" si="28"/>
        <v>3.170709670182803E-2</v>
      </c>
      <c r="L497" s="3">
        <f t="shared" si="29"/>
        <v>6.5431893228165977E-2</v>
      </c>
      <c r="M497">
        <f t="shared" si="30"/>
        <v>32.066969867150561</v>
      </c>
      <c r="N497">
        <f t="shared" si="31"/>
        <v>55.605264420886378</v>
      </c>
    </row>
    <row r="498" spans="9:14" x14ac:dyDescent="0.25">
      <c r="I498">
        <f>'S-Curve'!A497</f>
        <v>245</v>
      </c>
      <c r="J498" s="2">
        <f>'S-Curve'!C497</f>
        <v>1.32872767579986E-2</v>
      </c>
      <c r="K498" s="3">
        <f t="shared" si="28"/>
        <v>3.17200381532554E-2</v>
      </c>
      <c r="L498" s="3">
        <f t="shared" si="29"/>
        <v>6.5458599667925402E-2</v>
      </c>
      <c r="M498">
        <f t="shared" si="30"/>
        <v>32.077864348161157</v>
      </c>
      <c r="N498">
        <f t="shared" si="31"/>
        <v>55.620485642282233</v>
      </c>
    </row>
    <row r="499" spans="9:14" x14ac:dyDescent="0.25">
      <c r="I499">
        <f>'S-Curve'!A498</f>
        <v>246</v>
      </c>
      <c r="J499" s="2">
        <f>'S-Curve'!C498</f>
        <v>1.3292338807511401E-2</v>
      </c>
      <c r="K499" s="3">
        <f t="shared" si="28"/>
        <v>3.1732122525892789E-2</v>
      </c>
      <c r="L499" s="3">
        <f t="shared" si="29"/>
        <v>6.548353740938985E-2</v>
      </c>
      <c r="M499">
        <f t="shared" si="30"/>
        <v>32.088035869931467</v>
      </c>
      <c r="N499">
        <f t="shared" si="31"/>
        <v>55.63469448235815</v>
      </c>
    </row>
    <row r="500" spans="9:14" x14ac:dyDescent="0.25">
      <c r="I500">
        <f>'S-Curve'!A499</f>
        <v>247</v>
      </c>
      <c r="J500" s="2">
        <f>'S-Curve'!C499</f>
        <v>1.32970471745223E-2</v>
      </c>
      <c r="K500" s="3">
        <f t="shared" si="28"/>
        <v>3.1743362570331189E-2</v>
      </c>
      <c r="L500" s="3">
        <f t="shared" si="29"/>
        <v>6.5506732765132761E-2</v>
      </c>
      <c r="M500">
        <f t="shared" si="30"/>
        <v>32.097495459928105</v>
      </c>
      <c r="N500">
        <f t="shared" si="31"/>
        <v>55.647906815556006</v>
      </c>
    </row>
    <row r="501" spans="9:14" x14ac:dyDescent="0.25">
      <c r="I501">
        <f>'S-Curve'!A500</f>
        <v>248</v>
      </c>
      <c r="J501" s="2">
        <f>'S-Curve'!C500</f>
        <v>1.3301407533974701E-2</v>
      </c>
      <c r="K501" s="3">
        <f t="shared" si="28"/>
        <v>3.1753771834073574E-2</v>
      </c>
      <c r="L501" s="3">
        <f t="shared" si="29"/>
        <v>6.5528213692263373E-2</v>
      </c>
      <c r="M501">
        <f t="shared" si="30"/>
        <v>32.106254789968126</v>
      </c>
      <c r="N501">
        <f t="shared" si="31"/>
        <v>55.6601393741986</v>
      </c>
    </row>
    <row r="502" spans="9:14" x14ac:dyDescent="0.25">
      <c r="I502">
        <f>'S-Curve'!A501</f>
        <v>249</v>
      </c>
      <c r="J502" s="2">
        <f>'S-Curve'!C501</f>
        <v>1.3305425393901902E-2</v>
      </c>
      <c r="K502" s="3">
        <f t="shared" si="28"/>
        <v>3.176336346616692E-2</v>
      </c>
      <c r="L502" s="3">
        <f t="shared" si="29"/>
        <v>6.5548007325623062E-2</v>
      </c>
      <c r="M502">
        <f t="shared" si="30"/>
        <v>32.114325171163273</v>
      </c>
      <c r="N502">
        <f t="shared" si="31"/>
        <v>55.671408346290541</v>
      </c>
    </row>
    <row r="503" spans="9:14" x14ac:dyDescent="0.25">
      <c r="I503">
        <f>'S-Curve'!A502</f>
        <v>250</v>
      </c>
      <c r="J503" s="2">
        <f>'S-Curve'!C502</f>
        <v>1.3309106262337202E-2</v>
      </c>
      <c r="K503" s="3">
        <f t="shared" si="28"/>
        <v>3.1772150615658225E-2</v>
      </c>
      <c r="L503" s="3">
        <f t="shared" si="29"/>
        <v>6.5566140800053144E-2</v>
      </c>
      <c r="M503">
        <f t="shared" si="30"/>
        <v>32.121717890374882</v>
      </c>
      <c r="N503">
        <f t="shared" si="31"/>
        <v>55.681729847262197</v>
      </c>
    </row>
    <row r="504" spans="9:14" x14ac:dyDescent="0.25">
      <c r="I504">
        <f>'S-Curve'!A503</f>
        <v>251</v>
      </c>
      <c r="J504" s="2">
        <f>'S-Curve'!C503</f>
        <v>1.3312455647313901E-2</v>
      </c>
      <c r="K504" s="3">
        <f t="shared" si="28"/>
        <v>3.1780146431594464E-2</v>
      </c>
      <c r="L504" s="3">
        <f t="shared" si="29"/>
        <v>6.5582641250394966E-2</v>
      </c>
      <c r="M504">
        <f t="shared" si="30"/>
        <v>32.12844421124386</v>
      </c>
      <c r="N504">
        <f t="shared" si="31"/>
        <v>55.691119923080798</v>
      </c>
    </row>
    <row r="505" spans="9:14" x14ac:dyDescent="0.25">
      <c r="I505">
        <f>'S-Curve'!A504</f>
        <v>252</v>
      </c>
      <c r="J505" s="2">
        <f>'S-Curve'!C504</f>
        <v>1.33154788899552E-2</v>
      </c>
      <c r="K505" s="3">
        <f t="shared" si="28"/>
        <v>3.1787363664566665E-2</v>
      </c>
      <c r="L505" s="3">
        <f t="shared" si="29"/>
        <v>6.5597534989221981E-2</v>
      </c>
      <c r="M505">
        <f t="shared" si="30"/>
        <v>32.134515040052001</v>
      </c>
      <c r="N505">
        <f t="shared" si="31"/>
        <v>55.699594085495605</v>
      </c>
    </row>
    <row r="506" spans="9:14" x14ac:dyDescent="0.25">
      <c r="I506">
        <f>'S-Curve'!A505</f>
        <v>253</v>
      </c>
      <c r="J506" s="2">
        <f>'S-Curve'!C505</f>
        <v>1.3318181832114601E-2</v>
      </c>
      <c r="K506" s="3">
        <f t="shared" si="28"/>
        <v>3.179381626053375E-2</v>
      </c>
      <c r="L506" s="3">
        <f t="shared" si="29"/>
        <v>6.5610850795911363E-2</v>
      </c>
      <c r="M506">
        <f t="shared" si="30"/>
        <v>32.139942267343123</v>
      </c>
      <c r="N506">
        <f t="shared" si="31"/>
        <v>55.70716918634109</v>
      </c>
    </row>
    <row r="507" spans="9:14" x14ac:dyDescent="0.25">
      <c r="I507">
        <f>'S-Curve'!A506</f>
        <v>254</v>
      </c>
      <c r="J507" s="2">
        <f>'S-Curve'!C506</f>
        <v>1.3320569648005201E-2</v>
      </c>
      <c r="K507" s="3">
        <f t="shared" si="28"/>
        <v>3.179951657163077E-2</v>
      </c>
      <c r="L507" s="3">
        <f t="shared" si="29"/>
        <v>6.5622614160768603E-2</v>
      </c>
      <c r="M507">
        <f t="shared" si="30"/>
        <v>32.144736422816052</v>
      </c>
      <c r="N507">
        <f t="shared" si="31"/>
        <v>55.7138601457251</v>
      </c>
    </row>
    <row r="508" spans="9:14" x14ac:dyDescent="0.25">
      <c r="I508">
        <f>'S-Curve'!A507</f>
        <v>255</v>
      </c>
      <c r="J508" s="2">
        <f>'S-Curve'!C507</f>
        <v>1.3322648179480501E-2</v>
      </c>
      <c r="K508" s="3">
        <f t="shared" si="28"/>
        <v>3.1804478543816649E-2</v>
      </c>
      <c r="L508" s="3">
        <f t="shared" si="29"/>
        <v>6.5632853863170901E-2</v>
      </c>
      <c r="M508">
        <f t="shared" si="30"/>
        <v>32.14890935740079</v>
      </c>
      <c r="N508">
        <f t="shared" si="31"/>
        <v>55.719683697122655</v>
      </c>
    </row>
    <row r="509" spans="9:14" x14ac:dyDescent="0.25">
      <c r="I509">
        <f>'S-Curve'!A508</f>
        <v>256</v>
      </c>
      <c r="J509" s="2">
        <f>'S-Curve'!C508</f>
        <v>1.3324422600753602E-2</v>
      </c>
      <c r="K509" s="3">
        <f t="shared" si="28"/>
        <v>3.1808714529226435E-2</v>
      </c>
      <c r="L509" s="3">
        <f t="shared" si="29"/>
        <v>6.5641595393423749E-2</v>
      </c>
      <c r="M509">
        <f t="shared" si="30"/>
        <v>32.15247156326808</v>
      </c>
      <c r="N509">
        <f t="shared" si="31"/>
        <v>55.72465464854546</v>
      </c>
    </row>
    <row r="510" spans="9:14" x14ac:dyDescent="0.25">
      <c r="I510">
        <f>'S-Curve'!A509</f>
        <v>257</v>
      </c>
      <c r="J510" s="2">
        <f>'S-Curve'!C509</f>
        <v>1.3325898586767901E-2</v>
      </c>
      <c r="K510" s="3">
        <f t="shared" si="28"/>
        <v>3.1812238075363083E-2</v>
      </c>
      <c r="L510" s="3">
        <f t="shared" si="29"/>
        <v>6.5648866708636427E-2</v>
      </c>
      <c r="M510">
        <f t="shared" si="30"/>
        <v>32.155434520467161</v>
      </c>
      <c r="N510">
        <f t="shared" si="31"/>
        <v>55.728789158960623</v>
      </c>
    </row>
    <row r="511" spans="9:14" x14ac:dyDescent="0.25">
      <c r="I511">
        <f>'S-Curve'!A510</f>
        <v>258</v>
      </c>
      <c r="J511" s="2">
        <f>'S-Curve'!C510</f>
        <v>1.33270818124668E-2</v>
      </c>
      <c r="K511" s="3">
        <f t="shared" si="28"/>
        <v>3.181506272972956E-2</v>
      </c>
      <c r="L511" s="3">
        <f t="shared" si="29"/>
        <v>6.5654695765918189E-2</v>
      </c>
      <c r="M511">
        <f t="shared" si="30"/>
        <v>32.157809692482317</v>
      </c>
      <c r="N511">
        <f t="shared" si="31"/>
        <v>55.732103337884766</v>
      </c>
    </row>
    <row r="512" spans="9:14" x14ac:dyDescent="0.25">
      <c r="I512">
        <f>'S-Curve'!A511</f>
        <v>259</v>
      </c>
      <c r="J512" s="2">
        <f>'S-Curve'!C511</f>
        <v>1.33279776189735E-2</v>
      </c>
      <c r="K512" s="3">
        <f t="shared" si="28"/>
        <v>3.181720124291687E-2</v>
      </c>
      <c r="L512" s="3">
        <f t="shared" si="29"/>
        <v>6.5659108877842487E-2</v>
      </c>
      <c r="M512">
        <f t="shared" si="30"/>
        <v>32.159607857075386</v>
      </c>
      <c r="N512">
        <f t="shared" si="31"/>
        <v>55.734612313187661</v>
      </c>
    </row>
    <row r="513" spans="9:14" x14ac:dyDescent="0.25">
      <c r="I513">
        <f>'S-Curve'!A512</f>
        <v>260</v>
      </c>
      <c r="J513" s="2">
        <f>'S-Curve'!C512</f>
        <v>1.3328692328021701E-2</v>
      </c>
      <c r="K513" s="3">
        <f t="shared" si="28"/>
        <v>3.1818907431377483E-2</v>
      </c>
      <c r="L513" s="3">
        <f t="shared" si="29"/>
        <v>6.5662629829074046E-2</v>
      </c>
      <c r="M513">
        <f t="shared" si="30"/>
        <v>32.161042470941823</v>
      </c>
      <c r="N513">
        <f t="shared" si="31"/>
        <v>55.736613977152331</v>
      </c>
    </row>
    <row r="514" spans="9:14" x14ac:dyDescent="0.25">
      <c r="I514">
        <f>'S-Curve'!A513</f>
        <v>261</v>
      </c>
      <c r="J514" s="2">
        <f>'S-Curve'!C513</f>
        <v>1.3329391848250801E-2</v>
      </c>
      <c r="K514" s="3">
        <f t="shared" si="28"/>
        <v>3.1820577360344875E-2</v>
      </c>
      <c r="L514" s="3">
        <f t="shared" si="29"/>
        <v>6.5666075953924929E-2</v>
      </c>
      <c r="M514">
        <f t="shared" si="30"/>
        <v>32.162446569821498</v>
      </c>
      <c r="N514">
        <f t="shared" si="31"/>
        <v>55.73857302190612</v>
      </c>
    </row>
    <row r="515" spans="9:14" x14ac:dyDescent="0.25">
      <c r="I515">
        <f>'S-Curve'!A514</f>
        <v>262</v>
      </c>
      <c r="J515" s="2">
        <f>'S-Curve'!C514</f>
        <v>1.3330078349492101E-2</v>
      </c>
      <c r="K515" s="3">
        <f t="shared" si="28"/>
        <v>3.1822216209746672E-2</v>
      </c>
      <c r="L515" s="3">
        <f t="shared" si="29"/>
        <v>6.5669457941878076E-2</v>
      </c>
      <c r="M515">
        <f t="shared" si="30"/>
        <v>32.163824510681195</v>
      </c>
      <c r="N515">
        <f t="shared" si="31"/>
        <v>55.740495528995915</v>
      </c>
    </row>
    <row r="516" spans="9:14" x14ac:dyDescent="0.25">
      <c r="I516">
        <f>'S-Curve'!A515</f>
        <v>263</v>
      </c>
      <c r="J516" s="2">
        <f>'S-Curve'!C515</f>
        <v>1.3330751998655702E-2</v>
      </c>
      <c r="K516" s="3">
        <f t="shared" ref="K516:K579" si="32">J516*$E$3</f>
        <v>3.182382437803883E-2</v>
      </c>
      <c r="L516" s="3">
        <f t="shared" ref="L516:L579" si="33">J516*$F$3</f>
        <v>6.5672776615201434E-2</v>
      </c>
      <c r="M516">
        <f t="shared" ref="M516:M579" si="34">100*(1-(1-K516)^12)</f>
        <v>32.165176629992651</v>
      </c>
      <c r="N516">
        <f t="shared" ref="N516:N579" si="35">100*(1-(1-L516)^12)</f>
        <v>55.742381970174115</v>
      </c>
    </row>
    <row r="517" spans="9:14" x14ac:dyDescent="0.25">
      <c r="I517">
        <f>'S-Curve'!A516</f>
        <v>264</v>
      </c>
      <c r="J517" s="2">
        <f>'S-Curve'!C516</f>
        <v>1.3331412795741602E-2</v>
      </c>
      <c r="K517" s="3">
        <f t="shared" si="32"/>
        <v>3.1825401865221349E-2</v>
      </c>
      <c r="L517" s="3">
        <f t="shared" si="33"/>
        <v>6.5676031973894974E-2</v>
      </c>
      <c r="M517">
        <f t="shared" si="34"/>
        <v>32.166502929170179</v>
      </c>
      <c r="N517">
        <f t="shared" si="35"/>
        <v>55.744232349661857</v>
      </c>
    </row>
    <row r="518" spans="9:14" x14ac:dyDescent="0.25">
      <c r="I518">
        <f>'S-Curve'!A517</f>
        <v>265</v>
      </c>
      <c r="J518" s="2">
        <f>'S-Curve'!C517</f>
        <v>1.333206107457E-2</v>
      </c>
      <c r="K518" s="3">
        <f t="shared" si="32"/>
        <v>3.1826949468206162E-2</v>
      </c>
      <c r="L518" s="3">
        <f t="shared" si="33"/>
        <v>6.5679225662494539E-2</v>
      </c>
      <c r="M518">
        <f t="shared" si="34"/>
        <v>32.167804079600792</v>
      </c>
      <c r="N518">
        <f t="shared" si="35"/>
        <v>55.746047606317596</v>
      </c>
    </row>
    <row r="519" spans="9:14" x14ac:dyDescent="0.25">
      <c r="I519">
        <f>'S-Curve'!A518</f>
        <v>266</v>
      </c>
      <c r="J519" s="2">
        <f>'S-Curve'!C518</f>
        <v>1.3332696835140901E-2</v>
      </c>
      <c r="K519" s="3">
        <f t="shared" si="32"/>
        <v>3.1828467186993281E-2</v>
      </c>
      <c r="L519" s="3">
        <f t="shared" si="33"/>
        <v>6.5682357681000156E-2</v>
      </c>
      <c r="M519">
        <f t="shared" si="34"/>
        <v>32.169080082610122</v>
      </c>
      <c r="N519">
        <f t="shared" si="35"/>
        <v>55.747827744097656</v>
      </c>
    </row>
    <row r="520" spans="9:14" x14ac:dyDescent="0.25">
      <c r="I520">
        <f>'S-Curve'!A519</f>
        <v>267</v>
      </c>
      <c r="J520" s="2">
        <f>'S-Curve'!C519</f>
        <v>1.3333320411274502E-2</v>
      </c>
      <c r="K520" s="3">
        <f t="shared" si="32"/>
        <v>3.1829955818494647E-2</v>
      </c>
      <c r="L520" s="3">
        <f t="shared" si="33"/>
        <v>6.5685429673947637E-2</v>
      </c>
      <c r="M520">
        <f t="shared" si="34"/>
        <v>32.170331609474879</v>
      </c>
      <c r="N520">
        <f t="shared" si="35"/>
        <v>55.749573701531453</v>
      </c>
    </row>
    <row r="521" spans="9:14" x14ac:dyDescent="0.25">
      <c r="I521">
        <f>'S-Curve'!A520</f>
        <v>268</v>
      </c>
      <c r="J521" s="2">
        <f>'S-Curve'!C520</f>
        <v>1.3333931636060701E-2</v>
      </c>
      <c r="K521" s="3">
        <f t="shared" si="32"/>
        <v>3.1831414964254276E-2</v>
      </c>
      <c r="L521" s="3">
        <f t="shared" si="33"/>
        <v>6.5688440819069063E-2</v>
      </c>
      <c r="M521">
        <f t="shared" si="34"/>
        <v>32.171558326453329</v>
      </c>
      <c r="N521">
        <f t="shared" si="35"/>
        <v>55.751285015014361</v>
      </c>
    </row>
    <row r="522" spans="9:14" x14ac:dyDescent="0.25">
      <c r="I522">
        <f>'S-Curve'!A521</f>
        <v>269</v>
      </c>
      <c r="J522" s="2">
        <f>'S-Curve'!C521</f>
        <v>1.3334530676409601E-2</v>
      </c>
      <c r="K522" s="3">
        <f t="shared" si="32"/>
        <v>3.1832845022728144E-2</v>
      </c>
      <c r="L522" s="3">
        <f t="shared" si="33"/>
        <v>6.5691391938632368E-2</v>
      </c>
      <c r="M522">
        <f t="shared" si="34"/>
        <v>32.172760569756164</v>
      </c>
      <c r="N522">
        <f t="shared" si="35"/>
        <v>55.752962155518283</v>
      </c>
    </row>
    <row r="523" spans="9:14" x14ac:dyDescent="0.25">
      <c r="I523">
        <f>'S-Curve'!A522</f>
        <v>270</v>
      </c>
      <c r="J523" s="2">
        <f>'S-Curve'!C522</f>
        <v>1.33351178661414E-2</v>
      </c>
      <c r="K523" s="3">
        <f t="shared" si="32"/>
        <v>3.1834246790828191E-2</v>
      </c>
      <c r="L523" s="3">
        <f t="shared" si="33"/>
        <v>6.5694284677173392E-2</v>
      </c>
      <c r="M523">
        <f t="shared" si="34"/>
        <v>32.173939010519426</v>
      </c>
      <c r="N523">
        <f t="shared" si="35"/>
        <v>55.754606061153225</v>
      </c>
    </row>
    <row r="524" spans="9:14" x14ac:dyDescent="0.25">
      <c r="I524">
        <f>'S-Curve'!A523</f>
        <v>271</v>
      </c>
      <c r="J524" s="2">
        <f>'S-Curve'!C523</f>
        <v>1.3335693038346001E-2</v>
      </c>
      <c r="K524" s="3">
        <f t="shared" si="32"/>
        <v>3.1835619870098454E-2</v>
      </c>
      <c r="L524" s="3">
        <f t="shared" si="33"/>
        <v>6.5697118212424202E-2</v>
      </c>
      <c r="M524">
        <f t="shared" si="34"/>
        <v>32.175093314913049</v>
      </c>
      <c r="N524">
        <f t="shared" si="35"/>
        <v>55.756216268050096</v>
      </c>
    </row>
    <row r="525" spans="9:14" x14ac:dyDescent="0.25">
      <c r="I525">
        <f>'S-Curve'!A524</f>
        <v>272</v>
      </c>
      <c r="J525" s="2">
        <f>'S-Curve'!C524</f>
        <v>1.33362566937537E-2</v>
      </c>
      <c r="K525" s="3">
        <f t="shared" si="32"/>
        <v>3.1836965455906828E-2</v>
      </c>
      <c r="L525" s="3">
        <f t="shared" si="33"/>
        <v>6.5699895011188558E-2</v>
      </c>
      <c r="M525">
        <f t="shared" si="34"/>
        <v>32.176224488950936</v>
      </c>
      <c r="N525">
        <f t="shared" si="35"/>
        <v>55.757794181313614</v>
      </c>
    </row>
    <row r="526" spans="9:14" x14ac:dyDescent="0.25">
      <c r="I526">
        <f>'S-Curve'!A525</f>
        <v>273</v>
      </c>
      <c r="J526" s="2">
        <f>'S-Curve'!C525</f>
        <v>1.33368086654544E-2</v>
      </c>
      <c r="K526" s="3">
        <f t="shared" si="32"/>
        <v>3.1838283149797357E-2</v>
      </c>
      <c r="L526" s="3">
        <f t="shared" si="33"/>
        <v>6.5702614251198541E-2</v>
      </c>
      <c r="M526">
        <f t="shared" si="34"/>
        <v>32.177332198736593</v>
      </c>
      <c r="N526">
        <f t="shared" si="35"/>
        <v>55.759339336876955</v>
      </c>
    </row>
    <row r="527" spans="9:14" x14ac:dyDescent="0.25">
      <c r="I527">
        <f>'S-Curve'!A526</f>
        <v>274</v>
      </c>
      <c r="J527" s="2">
        <f>'S-Curve'!C526</f>
        <v>1.3337349120358201E-2</v>
      </c>
      <c r="K527" s="3">
        <f t="shared" si="32"/>
        <v>3.1839573350225997E-2</v>
      </c>
      <c r="L527" s="3">
        <f t="shared" si="33"/>
        <v>6.5705276754722083E-2</v>
      </c>
      <c r="M527">
        <f t="shared" si="34"/>
        <v>32.178416780275285</v>
      </c>
      <c r="N527">
        <f t="shared" si="35"/>
        <v>55.760852205098701</v>
      </c>
    </row>
    <row r="528" spans="9:14" x14ac:dyDescent="0.25">
      <c r="I528">
        <f>'S-Curve'!A527</f>
        <v>275</v>
      </c>
      <c r="J528" s="2">
        <f>'S-Curve'!C527</f>
        <v>1.33378782253752E-2</v>
      </c>
      <c r="K528" s="3">
        <f t="shared" si="32"/>
        <v>3.1840836455648724E-2</v>
      </c>
      <c r="L528" s="3">
        <f t="shared" si="33"/>
        <v>6.5707883344027093E-2</v>
      </c>
      <c r="M528">
        <f t="shared" si="34"/>
        <v>32.179478569530318</v>
      </c>
      <c r="N528">
        <f t="shared" si="35"/>
        <v>55.762333256213317</v>
      </c>
    </row>
    <row r="529" spans="9:14" x14ac:dyDescent="0.25">
      <c r="I529">
        <f>'S-Curve'!A528</f>
        <v>276</v>
      </c>
      <c r="J529" s="2">
        <f>'S-Curve'!C528</f>
        <v>1.3338395980505402E-2</v>
      </c>
      <c r="K529" s="3">
        <f t="shared" si="32"/>
        <v>3.1842072466065539E-2</v>
      </c>
      <c r="L529" s="3">
        <f t="shared" si="33"/>
        <v>6.5710434019113584E-2</v>
      </c>
      <c r="M529">
        <f t="shared" si="34"/>
        <v>32.180517567482468</v>
      </c>
      <c r="N529">
        <f t="shared" si="35"/>
        <v>55.76378249314704</v>
      </c>
    </row>
    <row r="530" spans="9:14" x14ac:dyDescent="0.25">
      <c r="I530">
        <f>'S-Curve'!A529</f>
        <v>277</v>
      </c>
      <c r="J530" s="2">
        <f>'S-Curve'!C529</f>
        <v>1.3338902719569001E-2</v>
      </c>
      <c r="K530" s="3">
        <f t="shared" si="32"/>
        <v>3.1843282178388381E-2</v>
      </c>
      <c r="L530" s="3">
        <f t="shared" si="33"/>
        <v>6.5712930424517368E-2</v>
      </c>
      <c r="M530">
        <f t="shared" si="34"/>
        <v>32.18153444496685</v>
      </c>
      <c r="N530">
        <f t="shared" si="35"/>
        <v>55.765200853110429</v>
      </c>
    </row>
    <row r="531" spans="9:14" x14ac:dyDescent="0.25">
      <c r="I531">
        <f>'S-Curve'!A530</f>
        <v>278</v>
      </c>
      <c r="J531" s="2">
        <f>'S-Curve'!C530</f>
        <v>1.33393986094761E-2</v>
      </c>
      <c r="K531" s="3">
        <f t="shared" si="32"/>
        <v>3.1844465991073212E-2</v>
      </c>
      <c r="L531" s="3">
        <f t="shared" si="33"/>
        <v>6.5715373382506381E-2</v>
      </c>
      <c r="M531">
        <f t="shared" si="34"/>
        <v>32.182529537828152</v>
      </c>
      <c r="N531">
        <f t="shared" si="35"/>
        <v>55.766588805983631</v>
      </c>
    </row>
    <row r="532" spans="9:14" x14ac:dyDescent="0.25">
      <c r="I532">
        <f>'S-Curve'!A531</f>
        <v>279</v>
      </c>
      <c r="J532" s="2">
        <f>'S-Curve'!C531</f>
        <v>1.3339883483316601E-2</v>
      </c>
      <c r="K532" s="3">
        <f t="shared" si="32"/>
        <v>3.1845623505664077E-2</v>
      </c>
      <c r="L532" s="3">
        <f t="shared" si="33"/>
        <v>6.5717762070812702E-2</v>
      </c>
      <c r="M532">
        <f t="shared" si="34"/>
        <v>32.183502512016183</v>
      </c>
      <c r="N532">
        <f t="shared" si="35"/>
        <v>55.76794588724082</v>
      </c>
    </row>
    <row r="533" spans="9:14" x14ac:dyDescent="0.25">
      <c r="I533">
        <f>'S-Curve'!A532</f>
        <v>280</v>
      </c>
      <c r="J533" s="2">
        <f>'S-Curve'!C532</f>
        <v>1.3340357674910701E-2</v>
      </c>
      <c r="K533" s="3">
        <f t="shared" si="32"/>
        <v>3.18467555190729E-2</v>
      </c>
      <c r="L533" s="3">
        <f t="shared" si="33"/>
        <v>6.5720098133972171E-2</v>
      </c>
      <c r="M533">
        <f t="shared" si="34"/>
        <v>32.184454038252056</v>
      </c>
      <c r="N533">
        <f t="shared" si="35"/>
        <v>55.769273033752739</v>
      </c>
    </row>
    <row r="534" spans="9:14" x14ac:dyDescent="0.25">
      <c r="I534">
        <f>'S-Curve'!A533</f>
        <v>281</v>
      </c>
      <c r="J534" s="2">
        <f>'S-Curve'!C533</f>
        <v>1.3340821184258401E-2</v>
      </c>
      <c r="K534" s="3">
        <f t="shared" si="32"/>
        <v>3.184786203129969E-2</v>
      </c>
      <c r="L534" s="3">
        <f t="shared" si="33"/>
        <v>6.5722381571984803E-2</v>
      </c>
      <c r="M534">
        <f t="shared" si="34"/>
        <v>32.18538411736305</v>
      </c>
      <c r="N534">
        <f t="shared" si="35"/>
        <v>55.770570247987258</v>
      </c>
    </row>
    <row r="535" spans="9:14" x14ac:dyDescent="0.25">
      <c r="I535">
        <f>'S-Curve'!A534</f>
        <v>282</v>
      </c>
      <c r="J535" s="2">
        <f>'S-Curve'!C534</f>
        <v>1.33412743451799E-2</v>
      </c>
      <c r="K535" s="3">
        <f t="shared" si="32"/>
        <v>3.1848943839256377E-2</v>
      </c>
      <c r="L535" s="3">
        <f t="shared" si="33"/>
        <v>6.5724614029386411E-2</v>
      </c>
      <c r="M535">
        <f t="shared" si="34"/>
        <v>32.186293419989894</v>
      </c>
      <c r="N535">
        <f t="shared" si="35"/>
        <v>55.771838466575076</v>
      </c>
    </row>
    <row r="536" spans="9:14" x14ac:dyDescent="0.25">
      <c r="I536">
        <f>'S-Curve'!A535</f>
        <v>283</v>
      </c>
      <c r="J536" s="2">
        <f>'S-Curve'!C535</f>
        <v>1.33417169907651E-2</v>
      </c>
      <c r="K536" s="3">
        <f t="shared" si="32"/>
        <v>3.1850000544486994E-2</v>
      </c>
      <c r="L536" s="3">
        <f t="shared" si="33"/>
        <v>6.5726794683909073E-2</v>
      </c>
      <c r="M536">
        <f t="shared" si="34"/>
        <v>32.187181611986169</v>
      </c>
      <c r="N536">
        <f t="shared" si="35"/>
        <v>55.773077224703435</v>
      </c>
    </row>
    <row r="537" spans="9:14" x14ac:dyDescent="0.25">
      <c r="I537">
        <f>'S-Curve'!A536</f>
        <v>284</v>
      </c>
      <c r="J537" s="2">
        <f>'S-Curve'!C536</f>
        <v>1.3342149454834201E-2</v>
      </c>
      <c r="K537" s="3">
        <f t="shared" si="32"/>
        <v>3.1851032943903491E-2</v>
      </c>
      <c r="L537" s="3">
        <f t="shared" si="33"/>
        <v>6.572892518008866E-2</v>
      </c>
      <c r="M537">
        <f t="shared" si="34"/>
        <v>32.188049363928371</v>
      </c>
      <c r="N537">
        <f t="shared" si="35"/>
        <v>55.774287458810967</v>
      </c>
    </row>
    <row r="538" spans="9:14" x14ac:dyDescent="0.25">
      <c r="I538">
        <f>'S-Curve'!A537</f>
        <v>285</v>
      </c>
      <c r="J538" s="2">
        <f>'S-Curve'!C537</f>
        <v>1.3342571904297301E-2</v>
      </c>
      <c r="K538" s="3">
        <f t="shared" si="32"/>
        <v>3.1852041435961834E-2</v>
      </c>
      <c r="L538" s="3">
        <f t="shared" si="33"/>
        <v>6.5731006340193077E-2</v>
      </c>
      <c r="M538">
        <f t="shared" si="34"/>
        <v>32.1888970114397</v>
      </c>
      <c r="N538">
        <f t="shared" si="35"/>
        <v>55.775469638116668</v>
      </c>
    </row>
    <row r="539" spans="9:14" x14ac:dyDescent="0.25">
      <c r="I539">
        <f>'S-Curve'!A538</f>
        <v>286</v>
      </c>
      <c r="J539" s="2">
        <f>'S-Curve'!C538</f>
        <v>1.3342984172244301E-2</v>
      </c>
      <c r="K539" s="3">
        <f t="shared" si="32"/>
        <v>3.1853025622206037E-2</v>
      </c>
      <c r="L539" s="3">
        <f t="shared" si="33"/>
        <v>6.573303734195439E-2</v>
      </c>
      <c r="M539">
        <f t="shared" si="34"/>
        <v>32.189724220310381</v>
      </c>
      <c r="N539">
        <f t="shared" si="35"/>
        <v>55.776623297618386</v>
      </c>
    </row>
    <row r="540" spans="9:14" x14ac:dyDescent="0.25">
      <c r="I540">
        <f>'S-Curve'!A539</f>
        <v>287</v>
      </c>
      <c r="J540" s="2">
        <f>'S-Curve'!C539</f>
        <v>1.3343386759405501E-2</v>
      </c>
      <c r="K540" s="3">
        <f t="shared" si="32"/>
        <v>3.1853986698004023E-2</v>
      </c>
      <c r="L540" s="3">
        <f t="shared" si="33"/>
        <v>6.5735020652176374E-2</v>
      </c>
      <c r="M540">
        <f t="shared" si="34"/>
        <v>32.190531995916459</v>
      </c>
      <c r="N540">
        <f t="shared" si="35"/>
        <v>55.777749840516996</v>
      </c>
    </row>
    <row r="541" spans="9:14" x14ac:dyDescent="0.25">
      <c r="I541">
        <f>'S-Curve'!A540</f>
        <v>288</v>
      </c>
      <c r="J541" s="2">
        <f>'S-Curve'!C540</f>
        <v>1.3343779498870801E-2</v>
      </c>
      <c r="K541" s="3">
        <f t="shared" si="32"/>
        <v>3.1854924264899824E-2</v>
      </c>
      <c r="L541" s="3">
        <f t="shared" si="33"/>
        <v>6.5736955448591095E-2</v>
      </c>
      <c r="M541">
        <f t="shared" si="34"/>
        <v>32.191320004001071</v>
      </c>
      <c r="N541">
        <f t="shared" si="35"/>
        <v>55.778848801669255</v>
      </c>
    </row>
    <row r="542" spans="9:14" x14ac:dyDescent="0.25">
      <c r="I542">
        <f>'S-Curve'!A541</f>
        <v>289</v>
      </c>
      <c r="J542" s="2">
        <f>'S-Curve'!C541</f>
        <v>1.3344162724460401E-2</v>
      </c>
      <c r="K542" s="3">
        <f t="shared" si="32"/>
        <v>3.1855839119805371E-2</v>
      </c>
      <c r="L542" s="3">
        <f t="shared" si="33"/>
        <v>6.5738843375734407E-2</v>
      </c>
      <c r="M542">
        <f t="shared" si="34"/>
        <v>32.19208891497545</v>
      </c>
      <c r="N542">
        <f t="shared" si="35"/>
        <v>55.779921117021082</v>
      </c>
    </row>
    <row r="543" spans="9:14" x14ac:dyDescent="0.25">
      <c r="I543">
        <f>'S-Curve'!A542</f>
        <v>290</v>
      </c>
      <c r="J543" s="2">
        <f>'S-Curve'!C542</f>
        <v>1.33445364361743E-2</v>
      </c>
      <c r="K543" s="3">
        <f t="shared" si="32"/>
        <v>3.1856731262720664E-2</v>
      </c>
      <c r="L543" s="3">
        <f t="shared" si="33"/>
        <v>6.5740684433606311E-2</v>
      </c>
      <c r="M543">
        <f t="shared" si="34"/>
        <v>32.19283872943479</v>
      </c>
      <c r="N543">
        <f t="shared" si="35"/>
        <v>55.780966788348252</v>
      </c>
    </row>
    <row r="544" spans="9:14" x14ac:dyDescent="0.25">
      <c r="I544">
        <f>'S-Curve'!A543</f>
        <v>291</v>
      </c>
      <c r="J544" s="2">
        <f>'S-Curve'!C543</f>
        <v>1.33449006340125E-2</v>
      </c>
      <c r="K544" s="3">
        <f t="shared" si="32"/>
        <v>3.185760069364571E-2</v>
      </c>
      <c r="L544" s="3">
        <f t="shared" si="33"/>
        <v>6.5742478622206793E-2</v>
      </c>
      <c r="M544">
        <f t="shared" si="34"/>
        <v>32.19356944795959</v>
      </c>
      <c r="N544">
        <f t="shared" si="35"/>
        <v>55.781985817382271</v>
      </c>
    </row>
    <row r="545" spans="9:14" x14ac:dyDescent="0.25">
      <c r="I545">
        <f>'S-Curve'!A544</f>
        <v>292</v>
      </c>
      <c r="J545" s="2">
        <f>'S-Curve'!C544</f>
        <v>1.33452556517952E-2</v>
      </c>
      <c r="K545" s="3">
        <f t="shared" si="32"/>
        <v>3.1858448209492442E-2</v>
      </c>
      <c r="L545" s="3">
        <f t="shared" si="33"/>
        <v>6.5744227586071693E-2</v>
      </c>
      <c r="M545">
        <f t="shared" si="34"/>
        <v>32.194281740875518</v>
      </c>
      <c r="N545">
        <f t="shared" si="35"/>
        <v>55.782979139813648</v>
      </c>
    </row>
    <row r="546" spans="9:14" x14ac:dyDescent="0.25">
      <c r="I546">
        <f>'S-Curve'!A545</f>
        <v>293</v>
      </c>
      <c r="J546" s="2">
        <f>'S-Curve'!C545</f>
        <v>1.3345601656432501E-2</v>
      </c>
      <c r="K546" s="3">
        <f t="shared" si="32"/>
        <v>3.1859274208716835E-2</v>
      </c>
      <c r="L546" s="3">
        <f t="shared" si="33"/>
        <v>6.5745932147468947E-2</v>
      </c>
      <c r="M546">
        <f t="shared" si="34"/>
        <v>32.194975943591288</v>
      </c>
      <c r="N546">
        <f t="shared" si="35"/>
        <v>55.78394722422172</v>
      </c>
    </row>
    <row r="547" spans="9:14" x14ac:dyDescent="0.25">
      <c r="I547">
        <f>'S-Curve'!A546</f>
        <v>294</v>
      </c>
      <c r="J547" s="2">
        <f>'S-Curve'!C546</f>
        <v>1.33459386479244E-2</v>
      </c>
      <c r="K547" s="3">
        <f t="shared" si="32"/>
        <v>3.1860078691318877E-2</v>
      </c>
      <c r="L547" s="3">
        <f t="shared" si="33"/>
        <v>6.5747592306398539E-2</v>
      </c>
      <c r="M547">
        <f t="shared" si="34"/>
        <v>32.195652056616183</v>
      </c>
      <c r="N547">
        <f t="shared" si="35"/>
        <v>55.784890072125123</v>
      </c>
    </row>
    <row r="548" spans="9:14" x14ac:dyDescent="0.25">
      <c r="I548">
        <f>'S-Curve'!A547</f>
        <v>295</v>
      </c>
      <c r="J548" s="2">
        <f>'S-Curve'!C547</f>
        <v>1.3346266793181001E-2</v>
      </c>
      <c r="K548" s="3">
        <f t="shared" si="32"/>
        <v>3.186086205575455E-2</v>
      </c>
      <c r="L548" s="3">
        <f t="shared" si="33"/>
        <v>6.5749208885128405E-2</v>
      </c>
      <c r="M548">
        <f t="shared" si="34"/>
        <v>32.196310415316773</v>
      </c>
      <c r="N548">
        <f t="shared" si="35"/>
        <v>55.785808151977044</v>
      </c>
    </row>
    <row r="549" spans="9:14" x14ac:dyDescent="0.25">
      <c r="I549">
        <f>'S-Curve'!A548</f>
        <v>296</v>
      </c>
      <c r="J549" s="2">
        <f>'S-Curve'!C548</f>
        <v>1.3346586092202302E-2</v>
      </c>
      <c r="K549" s="3">
        <f t="shared" si="32"/>
        <v>3.1861624302023855E-2</v>
      </c>
      <c r="L549" s="3">
        <f t="shared" si="33"/>
        <v>6.5750781883658529E-2</v>
      </c>
      <c r="M549">
        <f t="shared" si="34"/>
        <v>32.196951020167106</v>
      </c>
      <c r="N549">
        <f t="shared" si="35"/>
        <v>55.786701465191101</v>
      </c>
    </row>
    <row r="550" spans="9:14" x14ac:dyDescent="0.25">
      <c r="I550">
        <f>'S-Curve'!A549</f>
        <v>297</v>
      </c>
      <c r="J550" s="2">
        <f>'S-Curve'!C549</f>
        <v>1.33468968788085E-2</v>
      </c>
      <c r="K550" s="3">
        <f t="shared" si="32"/>
        <v>3.1862366227038717E-2</v>
      </c>
      <c r="L550" s="3">
        <f t="shared" si="33"/>
        <v>6.5752312946524741E-2</v>
      </c>
      <c r="M550">
        <f t="shared" si="34"/>
        <v>32.197574541358186</v>
      </c>
      <c r="N550">
        <f t="shared" si="35"/>
        <v>55.787570947056729</v>
      </c>
    </row>
    <row r="551" spans="9:14" x14ac:dyDescent="0.25">
      <c r="I551">
        <f>'S-Curve'!A550</f>
        <v>298</v>
      </c>
      <c r="J551" s="2">
        <f>'S-Curve'!C550</f>
        <v>1.3347199152999601E-2</v>
      </c>
      <c r="K551" s="3">
        <f t="shared" si="32"/>
        <v>3.186308783079915E-2</v>
      </c>
      <c r="L551" s="3">
        <f t="shared" si="33"/>
        <v>6.5753802073727066E-2</v>
      </c>
      <c r="M551">
        <f t="shared" si="34"/>
        <v>32.198180979321918</v>
      </c>
      <c r="N551">
        <f t="shared" si="35"/>
        <v>55.78841659886222</v>
      </c>
    </row>
    <row r="552" spans="9:14" x14ac:dyDescent="0.25">
      <c r="I552">
        <f>'S-Curve'!A551</f>
        <v>299</v>
      </c>
      <c r="J552" s="2">
        <f>'S-Curve'!C551</f>
        <v>1.33474929147756E-2</v>
      </c>
      <c r="K552" s="3">
        <f t="shared" si="32"/>
        <v>3.186378911330514E-2</v>
      </c>
      <c r="L552" s="3">
        <f t="shared" si="33"/>
        <v>6.5755249265265492E-2</v>
      </c>
      <c r="M552">
        <f t="shared" si="34"/>
        <v>32.198770334478489</v>
      </c>
      <c r="N552">
        <f t="shared" si="35"/>
        <v>55.789238421860432</v>
      </c>
    </row>
    <row r="553" spans="9:14" x14ac:dyDescent="0.25">
      <c r="I553">
        <f>'S-Curve'!A552</f>
        <v>300</v>
      </c>
      <c r="J553" s="2">
        <f>'S-Curve'!C552</f>
        <v>1.3347778664866802E-2</v>
      </c>
      <c r="K553" s="3">
        <f t="shared" si="32"/>
        <v>3.1864471269924609E-2</v>
      </c>
      <c r="L553" s="3">
        <f t="shared" si="33"/>
        <v>6.5756656987943793E-2</v>
      </c>
      <c r="M553">
        <f t="shared" si="34"/>
        <v>32.199343611807073</v>
      </c>
      <c r="N553">
        <f t="shared" si="35"/>
        <v>55.790037818068349</v>
      </c>
    </row>
    <row r="554" spans="9:14" x14ac:dyDescent="0.25">
      <c r="I554">
        <f>'S-Curve'!A553</f>
        <v>301</v>
      </c>
      <c r="J554" s="2">
        <f>'S-Curve'!C553</f>
        <v>1.3348056069453001E-2</v>
      </c>
      <c r="K554" s="3">
        <f t="shared" si="32"/>
        <v>3.1865133503745612E-2</v>
      </c>
      <c r="L554" s="3">
        <f t="shared" si="33"/>
        <v>6.5758023597226101E-2</v>
      </c>
      <c r="M554">
        <f t="shared" si="34"/>
        <v>32.199900141972435</v>
      </c>
      <c r="N554">
        <f t="shared" si="35"/>
        <v>55.790813854749523</v>
      </c>
    </row>
    <row r="555" spans="9:14" x14ac:dyDescent="0.25">
      <c r="I555">
        <f>'S-Curve'!A554</f>
        <v>302</v>
      </c>
      <c r="J555" s="2">
        <f>'S-Curve'!C554</f>
        <v>1.3348325629264501E-2</v>
      </c>
      <c r="K555" s="3">
        <f t="shared" si="32"/>
        <v>3.1865777010136057E-2</v>
      </c>
      <c r="L555" s="3">
        <f t="shared" si="33"/>
        <v>6.575935155991619E-2</v>
      </c>
      <c r="M555">
        <f t="shared" si="34"/>
        <v>32.200440929908538</v>
      </c>
      <c r="N555">
        <f t="shared" si="35"/>
        <v>55.791567933786034</v>
      </c>
    </row>
    <row r="556" spans="9:14" x14ac:dyDescent="0.25">
      <c r="I556">
        <f>'S-Curve'!A555</f>
        <v>303</v>
      </c>
      <c r="J556" s="2">
        <f>'S-Curve'!C555</f>
        <v>1.3348587344301301E-2</v>
      </c>
      <c r="K556" s="3">
        <f t="shared" si="32"/>
        <v>3.1866401789095937E-2</v>
      </c>
      <c r="L556" s="3">
        <f t="shared" si="33"/>
        <v>6.5760640876014062E-2</v>
      </c>
      <c r="M556">
        <f t="shared" si="34"/>
        <v>32.200965975960742</v>
      </c>
      <c r="N556">
        <f t="shared" si="35"/>
        <v>55.792300056207601</v>
      </c>
    </row>
    <row r="557" spans="9:14" x14ac:dyDescent="0.25">
      <c r="I557">
        <f>'S-Curve'!A556</f>
        <v>304</v>
      </c>
      <c r="J557" s="2">
        <f>'S-Curve'!C556</f>
        <v>1.33488412145634E-2</v>
      </c>
      <c r="K557" s="3">
        <f t="shared" si="32"/>
        <v>3.1867007840625267E-2</v>
      </c>
      <c r="L557" s="3">
        <f t="shared" si="33"/>
        <v>6.5761891545519716E-2</v>
      </c>
      <c r="M557">
        <f t="shared" si="34"/>
        <v>32.201475280464066</v>
      </c>
      <c r="N557">
        <f t="shared" si="35"/>
        <v>55.793010223013653</v>
      </c>
    </row>
    <row r="558" spans="9:14" x14ac:dyDescent="0.25">
      <c r="I558">
        <f>'S-Curve'!A557</f>
        <v>305</v>
      </c>
      <c r="J558" s="2">
        <f>'S-Curve'!C557</f>
        <v>1.33490874069609E-2</v>
      </c>
      <c r="K558" s="3">
        <f t="shared" si="32"/>
        <v>3.1867595563180001E-2</v>
      </c>
      <c r="L558" s="3">
        <f t="shared" si="33"/>
        <v>6.5763104390701058E-2</v>
      </c>
      <c r="M558">
        <f t="shared" si="34"/>
        <v>32.201969178588833</v>
      </c>
      <c r="N558">
        <f t="shared" si="35"/>
        <v>55.79369890207164</v>
      </c>
    </row>
    <row r="559" spans="9:14" x14ac:dyDescent="0.25">
      <c r="I559">
        <f>'S-Curve'!A558</f>
        <v>306</v>
      </c>
      <c r="J559" s="2">
        <f>'S-Curve'!C558</f>
        <v>1.3349326255314001E-2</v>
      </c>
      <c r="K559" s="3">
        <f t="shared" si="32"/>
        <v>3.1868165753672094E-2</v>
      </c>
      <c r="L559" s="3">
        <f t="shared" si="33"/>
        <v>6.5764281056093957E-2</v>
      </c>
      <c r="M559">
        <f t="shared" si="34"/>
        <v>32.202448340329447</v>
      </c>
      <c r="N559">
        <f t="shared" si="35"/>
        <v>55.794367028084267</v>
      </c>
    </row>
    <row r="560" spans="9:14" x14ac:dyDescent="0.25">
      <c r="I560">
        <f>'S-Curve'!A559</f>
        <v>307</v>
      </c>
      <c r="J560" s="2">
        <f>'S-Curve'!C559</f>
        <v>1.3349557592712601E-2</v>
      </c>
      <c r="K560" s="3">
        <f t="shared" si="32"/>
        <v>3.1868718013645568E-2</v>
      </c>
      <c r="L560" s="3">
        <f t="shared" si="33"/>
        <v>6.5765420719430465E-2</v>
      </c>
      <c r="M560">
        <f t="shared" si="34"/>
        <v>32.202912431131367</v>
      </c>
      <c r="N560">
        <f t="shared" si="35"/>
        <v>55.795014135020494</v>
      </c>
    </row>
    <row r="561" spans="9:14" x14ac:dyDescent="0.25">
      <c r="I561">
        <f>'S-Curve'!A560</f>
        <v>308</v>
      </c>
      <c r="J561" s="2">
        <f>'S-Curve'!C560</f>
        <v>1.3349781919887E-2</v>
      </c>
      <c r="K561" s="3">
        <f t="shared" si="32"/>
        <v>3.1869253538468326E-2</v>
      </c>
      <c r="L561" s="3">
        <f t="shared" si="33"/>
        <v>6.5766525847514357E-2</v>
      </c>
      <c r="M561">
        <f t="shared" si="34"/>
        <v>32.203362455794604</v>
      </c>
      <c r="N561">
        <f t="shared" si="35"/>
        <v>55.795641624363036</v>
      </c>
    </row>
    <row r="562" spans="9:14" x14ac:dyDescent="0.25">
      <c r="I562">
        <f>'S-Curve'!A561</f>
        <v>309</v>
      </c>
      <c r="J562" s="2">
        <f>'S-Curve'!C561</f>
        <v>1.3349998903017002E-2</v>
      </c>
      <c r="K562" s="3">
        <f t="shared" si="32"/>
        <v>3.1869771531228434E-2</v>
      </c>
      <c r="L562" s="3">
        <f t="shared" si="33"/>
        <v>6.5767594795809792E-2</v>
      </c>
      <c r="M562">
        <f t="shared" si="34"/>
        <v>32.203797744902239</v>
      </c>
      <c r="N562">
        <f t="shared" si="35"/>
        <v>55.796248563131336</v>
      </c>
    </row>
    <row r="563" spans="9:14" x14ac:dyDescent="0.25">
      <c r="I563">
        <f>'S-Curve'!A562</f>
        <v>310</v>
      </c>
      <c r="J563" s="2">
        <f>'S-Curve'!C562</f>
        <v>1.3350208875922802E-2</v>
      </c>
      <c r="K563" s="3">
        <f t="shared" si="32"/>
        <v>3.1870272788837833E-2</v>
      </c>
      <c r="L563" s="3">
        <f t="shared" si="33"/>
        <v>6.5768629208852597E-2</v>
      </c>
      <c r="M563">
        <f t="shared" si="34"/>
        <v>32.20421896838436</v>
      </c>
      <c r="N563">
        <f t="shared" si="35"/>
        <v>55.79683588583584</v>
      </c>
    </row>
    <row r="564" spans="9:14" x14ac:dyDescent="0.25">
      <c r="I564">
        <f>'S-Curve'!A563</f>
        <v>311</v>
      </c>
      <c r="J564" s="2">
        <f>'S-Curve'!C563</f>
        <v>1.3350412172424601E-2</v>
      </c>
      <c r="K564" s="3">
        <f t="shared" si="32"/>
        <v>3.1870758108208462E-2</v>
      </c>
      <c r="L564" s="3">
        <f t="shared" si="33"/>
        <v>6.5769630731178627E-2</v>
      </c>
      <c r="M564">
        <f t="shared" si="34"/>
        <v>32.204626796147252</v>
      </c>
      <c r="N564">
        <f t="shared" si="35"/>
        <v>55.797404526916814</v>
      </c>
    </row>
    <row r="565" spans="9:14" x14ac:dyDescent="0.25">
      <c r="I565">
        <f>'S-Curve'!A564</f>
        <v>312</v>
      </c>
      <c r="J565" s="2">
        <f>'S-Curve'!C564</f>
        <v>1.33506086256123E-2</v>
      </c>
      <c r="K565" s="3">
        <f t="shared" si="32"/>
        <v>3.1871227090884337E-2</v>
      </c>
      <c r="L565" s="3">
        <f t="shared" si="33"/>
        <v>6.5770598540519948E-2</v>
      </c>
      <c r="M565">
        <f t="shared" si="34"/>
        <v>32.205020893581079</v>
      </c>
      <c r="N565">
        <f t="shared" si="35"/>
        <v>55.797954020178508</v>
      </c>
    </row>
    <row r="566" spans="9:14" x14ac:dyDescent="0.25">
      <c r="I566">
        <f>'S-Curve'!A565</f>
        <v>313</v>
      </c>
      <c r="J566" s="2">
        <f>'S-Curve'!C565</f>
        <v>1.3350798402396001E-2</v>
      </c>
      <c r="K566" s="3">
        <f t="shared" si="32"/>
        <v>3.1871680135321455E-2</v>
      </c>
      <c r="L566" s="3">
        <f t="shared" si="33"/>
        <v>6.5771533459144493E-2</v>
      </c>
      <c r="M566">
        <f t="shared" si="34"/>
        <v>32.205401595735097</v>
      </c>
      <c r="N566">
        <f t="shared" si="35"/>
        <v>55.798484833126679</v>
      </c>
    </row>
    <row r="567" spans="9:14" x14ac:dyDescent="0.25">
      <c r="I567">
        <f>'S-Curve'!A566</f>
        <v>314</v>
      </c>
      <c r="J567" s="2">
        <f>'S-Curve'!C566</f>
        <v>1.3350981669685801E-2</v>
      </c>
      <c r="K567" s="3">
        <f t="shared" si="32"/>
        <v>3.1872117639975758E-2</v>
      </c>
      <c r="L567" s="3">
        <f t="shared" si="33"/>
        <v>6.577243630932017E-2</v>
      </c>
      <c r="M567">
        <f t="shared" si="34"/>
        <v>32.205769237643814</v>
      </c>
      <c r="N567">
        <f t="shared" si="35"/>
        <v>55.798997433224606</v>
      </c>
    </row>
    <row r="568" spans="9:14" x14ac:dyDescent="0.25">
      <c r="I568">
        <f>'S-Curve'!A567</f>
        <v>315</v>
      </c>
      <c r="J568" s="2">
        <f>'S-Curve'!C567</f>
        <v>1.33511585943918E-2</v>
      </c>
      <c r="K568" s="3">
        <f t="shared" si="32"/>
        <v>3.1872540003303231E-2</v>
      </c>
      <c r="L568" s="3">
        <f t="shared" si="33"/>
        <v>6.5773307913314899E-2</v>
      </c>
      <c r="M568">
        <f t="shared" si="34"/>
        <v>32.206124154328272</v>
      </c>
      <c r="N568">
        <f t="shared" si="35"/>
        <v>55.799492287894516</v>
      </c>
    </row>
    <row r="569" spans="9:14" x14ac:dyDescent="0.25">
      <c r="I569">
        <f>'S-Curve'!A568</f>
        <v>316</v>
      </c>
      <c r="J569" s="2">
        <f>'S-Curve'!C568</f>
        <v>1.33513293434241E-2</v>
      </c>
      <c r="K569" s="3">
        <f t="shared" si="32"/>
        <v>3.1872947623759841E-2</v>
      </c>
      <c r="L569" s="3">
        <f t="shared" si="33"/>
        <v>6.5774149093396614E-2</v>
      </c>
      <c r="M569">
        <f t="shared" si="34"/>
        <v>32.206466680796453</v>
      </c>
      <c r="N569">
        <f t="shared" si="35"/>
        <v>55.799969864519717</v>
      </c>
    </row>
    <row r="570" spans="9:14" x14ac:dyDescent="0.25">
      <c r="I570">
        <f>'S-Curve'!A569</f>
        <v>317</v>
      </c>
      <c r="J570" s="2">
        <f>'S-Curve'!C569</f>
        <v>1.3351493749872601E-2</v>
      </c>
      <c r="K570" s="3">
        <f t="shared" si="32"/>
        <v>3.187334010288962E-2</v>
      </c>
      <c r="L570" s="3">
        <f t="shared" si="33"/>
        <v>6.5774959027297381E-2</v>
      </c>
      <c r="M570">
        <f t="shared" si="34"/>
        <v>32.206796482397316</v>
      </c>
      <c r="N570">
        <f t="shared" si="35"/>
        <v>55.800429696780874</v>
      </c>
    </row>
    <row r="571" spans="9:14" x14ac:dyDescent="0.25">
      <c r="I571">
        <f>'S-Curve'!A570</f>
        <v>318</v>
      </c>
      <c r="J571" s="2">
        <f>'S-Curve'!C570</f>
        <v>1.33516523144676E-2</v>
      </c>
      <c r="K571" s="3">
        <f t="shared" si="32"/>
        <v>3.1873718636060464E-2</v>
      </c>
      <c r="L571" s="3">
        <f t="shared" si="33"/>
        <v>6.577574018182096E-2</v>
      </c>
      <c r="M571">
        <f t="shared" si="34"/>
        <v>32.20711456376614</v>
      </c>
      <c r="N571">
        <f t="shared" si="35"/>
        <v>55.800873185670419</v>
      </c>
    </row>
    <row r="572" spans="9:14" x14ac:dyDescent="0.25">
      <c r="I572">
        <f>'S-Curve'!A571</f>
        <v>319</v>
      </c>
      <c r="J572" s="2">
        <f>'S-Curve'!C571</f>
        <v>1.33518050372091E-2</v>
      </c>
      <c r="K572" s="3">
        <f t="shared" si="32"/>
        <v>3.1874083223272391E-2</v>
      </c>
      <c r="L572" s="3">
        <f t="shared" si="33"/>
        <v>6.5776492556967353E-2</v>
      </c>
      <c r="M572">
        <f t="shared" si="34"/>
        <v>32.207420925054365</v>
      </c>
      <c r="N572">
        <f t="shared" si="35"/>
        <v>55.80130033163924</v>
      </c>
    </row>
    <row r="573" spans="9:14" x14ac:dyDescent="0.25">
      <c r="I573">
        <f>'S-Curve'!A572</f>
        <v>320</v>
      </c>
      <c r="J573" s="2">
        <f>'S-Curve'!C572</f>
        <v>1.3351951918097101E-2</v>
      </c>
      <c r="K573" s="3">
        <f t="shared" si="32"/>
        <v>3.1874433864525389E-2</v>
      </c>
      <c r="L573" s="3">
        <f t="shared" si="33"/>
        <v>6.5777216152736573E-2</v>
      </c>
      <c r="M573">
        <f t="shared" si="34"/>
        <v>32.207715566407671</v>
      </c>
      <c r="N573">
        <f t="shared" si="35"/>
        <v>55.801711135121515</v>
      </c>
    </row>
    <row r="574" spans="9:14" x14ac:dyDescent="0.25">
      <c r="I574">
        <f>'S-Curve'!A573</f>
        <v>321</v>
      </c>
      <c r="J574" s="2">
        <f>'S-Curve'!C573</f>
        <v>1.3352093290951801E-2</v>
      </c>
      <c r="K574" s="3">
        <f t="shared" si="32"/>
        <v>3.1874771356731398E-2</v>
      </c>
      <c r="L574" s="3">
        <f t="shared" si="33"/>
        <v>6.5777912613664447E-2</v>
      </c>
      <c r="M574">
        <f t="shared" si="34"/>
        <v>32.207999157601542</v>
      </c>
      <c r="N574">
        <f t="shared" si="35"/>
        <v>55.80210653016757</v>
      </c>
    </row>
    <row r="575" spans="9:14" x14ac:dyDescent="0.25">
      <c r="I575">
        <f>'S-Curve'!A574</f>
        <v>322</v>
      </c>
      <c r="J575" s="2">
        <f>'S-Curve'!C574</f>
        <v>1.33522291557732E-2</v>
      </c>
      <c r="K575" s="3">
        <f t="shared" si="32"/>
        <v>3.1875095699890416E-2</v>
      </c>
      <c r="L575" s="3">
        <f t="shared" si="33"/>
        <v>6.577858193975096E-2</v>
      </c>
      <c r="M575">
        <f t="shared" si="34"/>
        <v>32.208271698763035</v>
      </c>
      <c r="N575">
        <f t="shared" si="35"/>
        <v>55.802486517156559</v>
      </c>
    </row>
    <row r="576" spans="9:14" x14ac:dyDescent="0.25">
      <c r="I576">
        <f>'S-Curve'!A575</f>
        <v>323</v>
      </c>
      <c r="J576" s="2">
        <f>'S-Curve'!C575</f>
        <v>1.33523595125613E-2</v>
      </c>
      <c r="K576" s="3">
        <f t="shared" si="32"/>
        <v>3.187540689400245E-2</v>
      </c>
      <c r="L576" s="3">
        <f t="shared" si="33"/>
        <v>6.5779224130996142E-2</v>
      </c>
      <c r="M576">
        <f t="shared" si="34"/>
        <v>32.208533190014464</v>
      </c>
      <c r="N576">
        <f t="shared" si="35"/>
        <v>55.802851096452535</v>
      </c>
    </row>
    <row r="577" spans="9:14" x14ac:dyDescent="0.25">
      <c r="I577">
        <f>'S-Curve'!A576</f>
        <v>324</v>
      </c>
      <c r="J577" s="2">
        <f>'S-Curve'!C576</f>
        <v>1.33524846951363E-2</v>
      </c>
      <c r="K577" s="3">
        <f t="shared" si="32"/>
        <v>3.1875705735979441E-2</v>
      </c>
      <c r="L577" s="3">
        <f t="shared" si="33"/>
        <v>6.5779840831935818E-2</v>
      </c>
      <c r="M577">
        <f t="shared" si="34"/>
        <v>32.208784301101332</v>
      </c>
      <c r="N577">
        <f t="shared" si="35"/>
        <v>55.803201202016474</v>
      </c>
    </row>
    <row r="578" spans="9:14" x14ac:dyDescent="0.25">
      <c r="I578">
        <f>'S-Curve'!A577</f>
        <v>325</v>
      </c>
      <c r="J578" s="2">
        <f>'S-Curve'!C577</f>
        <v>1.3352604703498201E-2</v>
      </c>
      <c r="K578" s="3">
        <f t="shared" si="32"/>
        <v>3.1875992225821381E-2</v>
      </c>
      <c r="L578" s="3">
        <f t="shared" si="33"/>
        <v>6.5780432042569975E-2</v>
      </c>
      <c r="M578">
        <f t="shared" si="34"/>
        <v>32.209025032129503</v>
      </c>
      <c r="N578">
        <f t="shared" si="35"/>
        <v>55.803536834163751</v>
      </c>
    </row>
    <row r="579" spans="9:14" x14ac:dyDescent="0.25">
      <c r="I579">
        <f>'S-Curve'!A578</f>
        <v>326</v>
      </c>
      <c r="J579" s="2">
        <f>'S-Curve'!C578</f>
        <v>1.3352719704557101E-2</v>
      </c>
      <c r="K579" s="3">
        <f t="shared" si="32"/>
        <v>3.187626676198424E-2</v>
      </c>
      <c r="L579" s="3">
        <f t="shared" si="33"/>
        <v>6.5780998585166561E-2</v>
      </c>
      <c r="M579">
        <f t="shared" si="34"/>
        <v>32.209255718012344</v>
      </c>
      <c r="N579">
        <f t="shared" si="35"/>
        <v>55.803858459995716</v>
      </c>
    </row>
    <row r="580" spans="9:14" x14ac:dyDescent="0.25">
      <c r="I580">
        <f>'S-Curve'!A579</f>
        <v>327</v>
      </c>
      <c r="J580" s="2">
        <f>'S-Curve'!C579</f>
        <v>1.3352829865223102E-2</v>
      </c>
      <c r="K580" s="3">
        <f t="shared" ref="K580:K643" si="36">J580*$E$3</f>
        <v>3.1876529742923987E-2</v>
      </c>
      <c r="L580" s="3">
        <f t="shared" ref="L580:L643" si="37">J580*$F$3</f>
        <v>6.5781541281993469E-2</v>
      </c>
      <c r="M580">
        <f t="shared" ref="M580:M643" si="38">100*(1-(1-K580)^12)</f>
        <v>32.209476693654878</v>
      </c>
      <c r="N580">
        <f t="shared" ref="N580:N643" si="39">100*(1-(1-L580)^12)</f>
        <v>55.804166546589215</v>
      </c>
    </row>
    <row r="581" spans="9:14" x14ac:dyDescent="0.25">
      <c r="I581">
        <f>'S-Curve'!A580</f>
        <v>328</v>
      </c>
      <c r="J581" s="2">
        <f>'S-Curve'!C580</f>
        <v>1.33529353524063E-2</v>
      </c>
      <c r="K581" s="3">
        <f t="shared" si="36"/>
        <v>3.1876781567096592E-2</v>
      </c>
      <c r="L581" s="3">
        <f t="shared" si="37"/>
        <v>6.5782060955318619E-2</v>
      </c>
      <c r="M581">
        <f t="shared" si="38"/>
        <v>32.209688293954351</v>
      </c>
      <c r="N581">
        <f t="shared" si="39"/>
        <v>55.804461560997176</v>
      </c>
    </row>
    <row r="582" spans="9:14" x14ac:dyDescent="0.25">
      <c r="I582">
        <f>'S-Curve'!A581</f>
        <v>329</v>
      </c>
      <c r="J582" s="2">
        <f>'S-Curve'!C581</f>
        <v>1.33530359991966E-2</v>
      </c>
      <c r="K582" s="3">
        <f t="shared" si="36"/>
        <v>3.1877021836046085E-2</v>
      </c>
      <c r="L582" s="3">
        <f t="shared" si="37"/>
        <v>6.5782556782874119E-2</v>
      </c>
      <c r="M582">
        <f t="shared" si="38"/>
        <v>32.209890184182022</v>
      </c>
      <c r="N582">
        <f t="shared" si="39"/>
        <v>55.804743036668889</v>
      </c>
    </row>
    <row r="583" spans="9:14" x14ac:dyDescent="0.25">
      <c r="I583">
        <f>'S-Curve'!A582</f>
        <v>330</v>
      </c>
      <c r="J583" s="2">
        <f>'S-Curve'!C582</f>
        <v>1.3353132306324301E-2</v>
      </c>
      <c r="K583" s="3">
        <f t="shared" si="36"/>
        <v>3.1877251745140382E-2</v>
      </c>
      <c r="L583" s="3">
        <f t="shared" si="37"/>
        <v>6.5783031231463715E-2</v>
      </c>
      <c r="M583">
        <f t="shared" si="38"/>
        <v>32.210083368842305</v>
      </c>
      <c r="N583">
        <f t="shared" si="39"/>
        <v>55.805012374205823</v>
      </c>
    </row>
    <row r="584" spans="9:14" x14ac:dyDescent="0.25">
      <c r="I584">
        <f>'S-Curve'!A583</f>
        <v>331</v>
      </c>
      <c r="J584" s="2">
        <f>'S-Curve'!C583</f>
        <v>1.3353224273789399E-2</v>
      </c>
      <c r="K584" s="3">
        <f t="shared" si="36"/>
        <v>3.187747129437947E-2</v>
      </c>
      <c r="L584" s="3">
        <f t="shared" si="37"/>
        <v>6.578348430108738E-2</v>
      </c>
      <c r="M584">
        <f t="shared" si="38"/>
        <v>32.210267848003568</v>
      </c>
      <c r="N584">
        <f t="shared" si="39"/>
        <v>55.805269573811564</v>
      </c>
    </row>
    <row r="585" spans="9:14" x14ac:dyDescent="0.25">
      <c r="I585">
        <f>'S-Curve'!A584</f>
        <v>332</v>
      </c>
      <c r="J585" s="2">
        <f>'S-Curve'!C584</f>
        <v>1.3353311901591901E-2</v>
      </c>
      <c r="K585" s="3">
        <f t="shared" si="36"/>
        <v>3.1877680483763368E-2</v>
      </c>
      <c r="L585" s="3">
        <f t="shared" si="37"/>
        <v>6.5783915991745157E-2</v>
      </c>
      <c r="M585">
        <f t="shared" si="38"/>
        <v>32.210443621730967</v>
      </c>
      <c r="N585">
        <f t="shared" si="39"/>
        <v>55.805514635680296</v>
      </c>
    </row>
    <row r="586" spans="9:14" x14ac:dyDescent="0.25">
      <c r="I586">
        <f>'S-Curve'!A585</f>
        <v>333</v>
      </c>
      <c r="J586" s="2">
        <f>'S-Curve'!C585</f>
        <v>1.3353395356641901E-2</v>
      </c>
      <c r="K586" s="3">
        <f t="shared" si="36"/>
        <v>3.1877879711748019E-2</v>
      </c>
      <c r="L586" s="3">
        <f t="shared" si="37"/>
        <v>6.5784327125704936E-2</v>
      </c>
      <c r="M586">
        <f t="shared" si="38"/>
        <v>32.210611024892422</v>
      </c>
      <c r="N586">
        <f t="shared" si="39"/>
        <v>55.805748026778133</v>
      </c>
    </row>
    <row r="587" spans="9:14" x14ac:dyDescent="0.25">
      <c r="I587">
        <f>'S-Curve'!A586</f>
        <v>334</v>
      </c>
      <c r="J587" s="2">
        <f>'S-Curve'!C586</f>
        <v>1.3353474805849501E-2</v>
      </c>
      <c r="K587" s="3">
        <f t="shared" si="36"/>
        <v>3.1878069376789414E-2</v>
      </c>
      <c r="L587" s="3">
        <f t="shared" si="37"/>
        <v>6.5784718525234653E-2</v>
      </c>
      <c r="M587">
        <f t="shared" si="38"/>
        <v>32.210770392349943</v>
      </c>
      <c r="N587">
        <f t="shared" si="39"/>
        <v>55.805970214053538</v>
      </c>
    </row>
    <row r="588" spans="9:14" x14ac:dyDescent="0.25">
      <c r="I588">
        <f>'S-Curve'!A587</f>
        <v>335</v>
      </c>
      <c r="J588" s="2">
        <f>'S-Curve'!C587</f>
        <v>1.3353550416124802E-2</v>
      </c>
      <c r="K588" s="3">
        <f t="shared" si="36"/>
        <v>3.1878249877343522E-2</v>
      </c>
      <c r="L588" s="3">
        <f t="shared" si="37"/>
        <v>6.5785091012602215E-2</v>
      </c>
      <c r="M588">
        <f t="shared" si="38"/>
        <v>32.210922058960222</v>
      </c>
      <c r="N588">
        <f t="shared" si="39"/>
        <v>55.806181664438135</v>
      </c>
    </row>
    <row r="589" spans="9:14" x14ac:dyDescent="0.25">
      <c r="I589">
        <f>'S-Curve'!A588</f>
        <v>336</v>
      </c>
      <c r="J589" s="2">
        <f>'S-Curve'!C588</f>
        <v>1.3353622354377899E-2</v>
      </c>
      <c r="K589" s="3">
        <f t="shared" si="36"/>
        <v>3.1878421611866291E-2</v>
      </c>
      <c r="L589" s="3">
        <f t="shared" si="37"/>
        <v>6.5785445410075541E-2</v>
      </c>
      <c r="M589">
        <f t="shared" si="38"/>
        <v>32.211066359574318</v>
      </c>
      <c r="N589">
        <f t="shared" si="39"/>
        <v>55.806382844848265</v>
      </c>
    </row>
    <row r="590" spans="9:14" x14ac:dyDescent="0.25">
      <c r="I590">
        <f>'S-Curve'!A589</f>
        <v>337</v>
      </c>
      <c r="J590" s="2">
        <f>'S-Curve'!C589</f>
        <v>1.3353690453698702E-2</v>
      </c>
      <c r="K590" s="3">
        <f t="shared" si="36"/>
        <v>3.1878584181901773E-2</v>
      </c>
      <c r="L590" s="3">
        <f t="shared" si="37"/>
        <v>6.5785780895386725E-2</v>
      </c>
      <c r="M590">
        <f t="shared" si="38"/>
        <v>32.211202959432285</v>
      </c>
      <c r="N590">
        <f t="shared" si="39"/>
        <v>55.806573288639363</v>
      </c>
    </row>
    <row r="591" spans="9:14" x14ac:dyDescent="0.25">
      <c r="I591">
        <f>'S-Curve'!A590</f>
        <v>338</v>
      </c>
      <c r="J591" s="2">
        <f>'S-Curve'!C590</f>
        <v>1.3353755214817502E-2</v>
      </c>
      <c r="K591" s="3">
        <f t="shared" si="36"/>
        <v>3.187873878281787E-2</v>
      </c>
      <c r="L591" s="3">
        <f t="shared" si="37"/>
        <v>6.5786099935339529E-2</v>
      </c>
      <c r="M591">
        <f t="shared" si="38"/>
        <v>32.211332862984577</v>
      </c>
      <c r="N591">
        <f t="shared" si="39"/>
        <v>55.806754396252579</v>
      </c>
    </row>
    <row r="592" spans="9:14" x14ac:dyDescent="0.25">
      <c r="I592">
        <f>'S-Curve'!A591</f>
        <v>339</v>
      </c>
      <c r="J592" s="2">
        <f>'S-Curve'!C591</f>
        <v>1.33538164708242E-2</v>
      </c>
      <c r="K592" s="3">
        <f t="shared" si="36"/>
        <v>3.1878885016158605E-2</v>
      </c>
      <c r="L592" s="3">
        <f t="shared" si="37"/>
        <v>6.578640170766599E-2</v>
      </c>
      <c r="M592">
        <f t="shared" si="38"/>
        <v>32.211455735464611</v>
      </c>
      <c r="N592">
        <f t="shared" si="39"/>
        <v>55.806925701023523</v>
      </c>
    </row>
    <row r="593" spans="9:14" x14ac:dyDescent="0.25">
      <c r="I593">
        <f>'S-Curve'!A592</f>
        <v>340</v>
      </c>
      <c r="J593" s="2">
        <f>'S-Curve'!C592</f>
        <v>1.3353874555539E-2</v>
      </c>
      <c r="K593" s="3">
        <f t="shared" si="36"/>
        <v>3.1879023678835924E-2</v>
      </c>
      <c r="L593" s="3">
        <f t="shared" si="37"/>
        <v>6.578668785690199E-2</v>
      </c>
      <c r="M593">
        <f t="shared" si="38"/>
        <v>32.2115722465104</v>
      </c>
      <c r="N593">
        <f t="shared" si="39"/>
        <v>55.807088136592839</v>
      </c>
    </row>
    <row r="594" spans="9:14" x14ac:dyDescent="0.25">
      <c r="I594">
        <f>'S-Curve'!A593</f>
        <v>341</v>
      </c>
      <c r="J594" s="2">
        <f>'S-Curve'!C593</f>
        <v>1.3353929468961901E-2</v>
      </c>
      <c r="K594" s="3">
        <f t="shared" si="36"/>
        <v>3.1879154770849828E-2</v>
      </c>
      <c r="L594" s="3">
        <f t="shared" si="37"/>
        <v>6.5786958383047531E-2</v>
      </c>
      <c r="M594">
        <f t="shared" si="38"/>
        <v>32.211682396152177</v>
      </c>
      <c r="N594">
        <f t="shared" si="39"/>
        <v>55.807241703050181</v>
      </c>
    </row>
    <row r="595" spans="9:14" x14ac:dyDescent="0.25">
      <c r="I595">
        <f>'S-Curve'!A594</f>
        <v>342</v>
      </c>
      <c r="J595" s="2">
        <f>'S-Curve'!C594</f>
        <v>1.3353981378003E-2</v>
      </c>
      <c r="K595" s="3">
        <f t="shared" si="36"/>
        <v>3.1879278690656286E-2</v>
      </c>
      <c r="L595" s="3">
        <f t="shared" si="37"/>
        <v>6.5787214108370518E-2</v>
      </c>
      <c r="M595">
        <f t="shared" si="38"/>
        <v>32.211786519218968</v>
      </c>
      <c r="N595">
        <f t="shared" si="39"/>
        <v>55.807386867245576</v>
      </c>
    </row>
    <row r="596" spans="9:14" x14ac:dyDescent="0.25">
      <c r="I596">
        <f>'S-Curve'!A595</f>
        <v>343</v>
      </c>
      <c r="J596" s="2">
        <f>'S-Curve'!C595</f>
        <v>1.3354030449572401E-2</v>
      </c>
      <c r="K596" s="3">
        <f t="shared" si="36"/>
        <v>3.1879395836711268E-2</v>
      </c>
      <c r="L596" s="3">
        <f t="shared" si="37"/>
        <v>6.5787455855138871E-2</v>
      </c>
      <c r="M596">
        <f t="shared" si="38"/>
        <v>32.211884950536373</v>
      </c>
      <c r="N596">
        <f t="shared" si="39"/>
        <v>55.807524096018767</v>
      </c>
    </row>
    <row r="597" spans="9:14" x14ac:dyDescent="0.25">
      <c r="I597">
        <f>'S-Curve'!A596</f>
        <v>344</v>
      </c>
      <c r="J597" s="2">
        <f>'S-Curve'!C596</f>
        <v>1.3354076683670103E-2</v>
      </c>
      <c r="K597" s="3">
        <f t="shared" si="36"/>
        <v>3.1879506209014773E-2</v>
      </c>
      <c r="L597" s="3">
        <f t="shared" si="37"/>
        <v>6.5787683623352591E-2</v>
      </c>
      <c r="M597">
        <f t="shared" si="38"/>
        <v>32.211977690127092</v>
      </c>
      <c r="N597">
        <f t="shared" si="39"/>
        <v>55.807653389437405</v>
      </c>
    </row>
    <row r="598" spans="9:14" x14ac:dyDescent="0.25">
      <c r="I598">
        <f>'S-Curve'!A597</f>
        <v>345</v>
      </c>
      <c r="J598" s="2">
        <f>'S-Curve'!C597</f>
        <v>1.3354120414116301E-2</v>
      </c>
      <c r="K598" s="3">
        <f t="shared" si="36"/>
        <v>3.1879610604478727E-2</v>
      </c>
      <c r="L598" s="3">
        <f t="shared" si="37"/>
        <v>6.5787899057547519E-2</v>
      </c>
      <c r="M598">
        <f t="shared" si="38"/>
        <v>32.212065407611313</v>
      </c>
      <c r="N598">
        <f t="shared" si="39"/>
        <v>55.807775681088337</v>
      </c>
    </row>
    <row r="599" spans="9:14" x14ac:dyDescent="0.25">
      <c r="I599">
        <f>'S-Curve'!A598</f>
        <v>346</v>
      </c>
      <c r="J599" s="2">
        <f>'S-Curve'!C598</f>
        <v>1.3354161474000899E-2</v>
      </c>
      <c r="K599" s="3">
        <f t="shared" si="36"/>
        <v>3.1879708624647174E-2</v>
      </c>
      <c r="L599" s="3">
        <f t="shared" si="37"/>
        <v>6.578810133545572E-2</v>
      </c>
      <c r="M599">
        <f t="shared" si="38"/>
        <v>32.212147768207842</v>
      </c>
      <c r="N599">
        <f t="shared" si="39"/>
        <v>55.807890504264414</v>
      </c>
    </row>
    <row r="600" spans="9:14" x14ac:dyDescent="0.25">
      <c r="I600">
        <f>'S-Curve'!A599</f>
        <v>347</v>
      </c>
      <c r="J600" s="2">
        <f>'S-Curve'!C599</f>
        <v>1.3354200197144101E-2</v>
      </c>
      <c r="K600" s="3">
        <f t="shared" si="36"/>
        <v>3.1879801066432061E-2</v>
      </c>
      <c r="L600" s="3">
        <f t="shared" si="37"/>
        <v>6.5788292101613063E-2</v>
      </c>
      <c r="M600">
        <f t="shared" si="38"/>
        <v>32.212225441531913</v>
      </c>
      <c r="N600">
        <f t="shared" si="39"/>
        <v>55.807998792537617</v>
      </c>
    </row>
    <row r="601" spans="9:14" x14ac:dyDescent="0.25">
      <c r="I601">
        <f>'S-Curve'!A600</f>
        <v>348</v>
      </c>
      <c r="J601" s="2">
        <f>'S-Curve'!C600</f>
        <v>1.3354236583545899E-2</v>
      </c>
      <c r="K601" s="3">
        <f t="shared" si="36"/>
        <v>3.1879887929833366E-2</v>
      </c>
      <c r="L601" s="3">
        <f t="shared" si="37"/>
        <v>6.5788471356019521E-2</v>
      </c>
      <c r="M601">
        <f t="shared" si="38"/>
        <v>32.212298427598284</v>
      </c>
      <c r="N601">
        <f t="shared" si="39"/>
        <v>55.808100545952009</v>
      </c>
    </row>
    <row r="602" spans="9:14" x14ac:dyDescent="0.25">
      <c r="I602">
        <f>'S-Curve'!A601</f>
        <v>349</v>
      </c>
      <c r="J602" s="2">
        <f>'S-Curve'!C601</f>
        <v>1.3354270967026502E-2</v>
      </c>
      <c r="K602" s="3">
        <f t="shared" si="36"/>
        <v>3.1879970011763049E-2</v>
      </c>
      <c r="L602" s="3">
        <f t="shared" si="37"/>
        <v>6.578864074321096E-2</v>
      </c>
      <c r="M602">
        <f t="shared" si="38"/>
        <v>32.212367396016859</v>
      </c>
      <c r="N602">
        <f t="shared" si="39"/>
        <v>55.808196698063718</v>
      </c>
    </row>
    <row r="603" spans="9:14" x14ac:dyDescent="0.25">
      <c r="I603">
        <f>'S-Curve'!A602</f>
        <v>350</v>
      </c>
      <c r="J603" s="2">
        <f>'S-Curve'!C602</f>
        <v>1.3354303347585901E-2</v>
      </c>
      <c r="K603" s="3">
        <f t="shared" si="36"/>
        <v>3.1880047312221098E-2</v>
      </c>
      <c r="L603" s="3">
        <f t="shared" si="37"/>
        <v>6.5788800263187355E-2</v>
      </c>
      <c r="M603">
        <f t="shared" si="38"/>
        <v>32.212432346798813</v>
      </c>
      <c r="N603">
        <f t="shared" si="39"/>
        <v>55.808287248906083</v>
      </c>
    </row>
    <row r="604" spans="9:14" x14ac:dyDescent="0.25">
      <c r="I604">
        <f>'S-Curve'!A603</f>
        <v>351</v>
      </c>
      <c r="J604" s="2">
        <f>'S-Curve'!C603</f>
        <v>1.3354333725224099E-2</v>
      </c>
      <c r="K604" s="3">
        <f t="shared" si="36"/>
        <v>3.1880119831207504E-2</v>
      </c>
      <c r="L604" s="3">
        <f t="shared" si="37"/>
        <v>6.5788949915948705E-2</v>
      </c>
      <c r="M604">
        <f t="shared" si="38"/>
        <v>32.212493279954813</v>
      </c>
      <c r="N604">
        <f t="shared" si="39"/>
        <v>55.808372198510895</v>
      </c>
    </row>
    <row r="605" spans="9:14" x14ac:dyDescent="0.25">
      <c r="I605">
        <f>'S-Curve'!A604</f>
        <v>352</v>
      </c>
      <c r="J605" s="2">
        <f>'S-Curve'!C604</f>
        <v>1.3354362433761299E-2</v>
      </c>
      <c r="K605" s="3">
        <f t="shared" si="36"/>
        <v>3.1880188365634228E-2</v>
      </c>
      <c r="L605" s="3">
        <f t="shared" si="37"/>
        <v>6.5789091346030865E-2</v>
      </c>
      <c r="M605">
        <f t="shared" si="38"/>
        <v>32.212550865089007</v>
      </c>
      <c r="N605">
        <f t="shared" si="39"/>
        <v>55.808452480417344</v>
      </c>
    </row>
    <row r="606" spans="9:14" x14ac:dyDescent="0.25">
      <c r="I606">
        <f>'S-Curve'!A605</f>
        <v>353</v>
      </c>
      <c r="J606" s="2">
        <f>'S-Curve'!C605</f>
        <v>1.3354389473197502E-2</v>
      </c>
      <c r="K606" s="3">
        <f t="shared" si="36"/>
        <v>3.1880252915501263E-2</v>
      </c>
      <c r="L606" s="3">
        <f t="shared" si="37"/>
        <v>6.5789224553433848E-2</v>
      </c>
      <c r="M606">
        <f t="shared" si="38"/>
        <v>32.212605102209309</v>
      </c>
      <c r="N606">
        <f t="shared" si="39"/>
        <v>55.808528094648871</v>
      </c>
    </row>
    <row r="607" spans="9:14" x14ac:dyDescent="0.25">
      <c r="I607">
        <f>'S-Curve'!A606</f>
        <v>354</v>
      </c>
      <c r="J607" s="2">
        <f>'S-Curve'!C606</f>
        <v>1.3354414843532702E-2</v>
      </c>
      <c r="K607" s="3">
        <f t="shared" si="36"/>
        <v>3.1880313480808602E-2</v>
      </c>
      <c r="L607" s="3">
        <f t="shared" si="37"/>
        <v>6.5789349538157627E-2</v>
      </c>
      <c r="M607">
        <f t="shared" si="38"/>
        <v>32.212655991323011</v>
      </c>
      <c r="N607">
        <f t="shared" si="39"/>
        <v>55.808599041227438</v>
      </c>
    </row>
    <row r="608" spans="9:14" x14ac:dyDescent="0.25">
      <c r="I608">
        <f>'S-Curve'!A607</f>
        <v>355</v>
      </c>
      <c r="J608" s="2">
        <f>'S-Curve'!C607</f>
        <v>1.3354439045497201E-2</v>
      </c>
      <c r="K608" s="3">
        <f t="shared" si="36"/>
        <v>3.1880371256924146E-2</v>
      </c>
      <c r="L608" s="3">
        <f t="shared" si="37"/>
        <v>6.5789468767005962E-2</v>
      </c>
      <c r="M608">
        <f t="shared" si="38"/>
        <v>32.212704536826507</v>
      </c>
      <c r="N608">
        <f t="shared" si="39"/>
        <v>55.808666720432001</v>
      </c>
    </row>
    <row r="609" spans="9:14" x14ac:dyDescent="0.25">
      <c r="I609">
        <f>'S-Curve'!A608</f>
        <v>356</v>
      </c>
      <c r="J609" s="2">
        <f>'S-Curve'!C608</f>
        <v>1.33544619121809E-2</v>
      </c>
      <c r="K609" s="3">
        <f t="shared" si="36"/>
        <v>3.1880425845391941E-2</v>
      </c>
      <c r="L609" s="3">
        <f t="shared" si="37"/>
        <v>6.5789581417710935E-2</v>
      </c>
      <c r="M609">
        <f t="shared" si="38"/>
        <v>32.212750403928162</v>
      </c>
      <c r="N609">
        <f t="shared" si="39"/>
        <v>55.808730665524195</v>
      </c>
    </row>
    <row r="610" spans="9:14" x14ac:dyDescent="0.25">
      <c r="I610">
        <f>'S-Curve'!A609</f>
        <v>357</v>
      </c>
      <c r="J610" s="2">
        <f>'S-Curve'!C609</f>
        <v>1.3354483610493902E-2</v>
      </c>
      <c r="K610" s="3">
        <f t="shared" si="36"/>
        <v>3.1880477644667962E-2</v>
      </c>
      <c r="L610" s="3">
        <f t="shared" si="37"/>
        <v>6.5789688312540492E-2</v>
      </c>
      <c r="M610">
        <f t="shared" si="38"/>
        <v>32.212793927428919</v>
      </c>
      <c r="N610">
        <f t="shared" si="39"/>
        <v>55.808791343270492</v>
      </c>
    </row>
    <row r="611" spans="9:14" x14ac:dyDescent="0.25">
      <c r="I611">
        <f>'S-Curve'!A610</f>
        <v>358</v>
      </c>
      <c r="J611" s="2">
        <f>'S-Curve'!C610</f>
        <v>1.3354504307346301E-2</v>
      </c>
      <c r="K611" s="3">
        <f t="shared" si="36"/>
        <v>3.1880527053208152E-2</v>
      </c>
      <c r="L611" s="3">
        <f t="shared" si="37"/>
        <v>6.57897902737625E-2</v>
      </c>
      <c r="M611">
        <f t="shared" si="38"/>
        <v>32.212835442128771</v>
      </c>
      <c r="N611">
        <f t="shared" si="39"/>
        <v>55.80884922043424</v>
      </c>
    </row>
    <row r="612" spans="9:14" x14ac:dyDescent="0.25">
      <c r="I612">
        <f>'S-Curve'!A611</f>
        <v>359</v>
      </c>
      <c r="J612" s="2">
        <f>'S-Curve'!C611</f>
        <v>1.3354524169648201E-2</v>
      </c>
      <c r="K612" s="3">
        <f t="shared" si="36"/>
        <v>3.1880574469468501E-2</v>
      </c>
      <c r="L612" s="3">
        <f t="shared" si="37"/>
        <v>6.5789888123644932E-2</v>
      </c>
      <c r="M612">
        <f t="shared" si="38"/>
        <v>32.212875282827014</v>
      </c>
      <c r="N612">
        <f t="shared" si="39"/>
        <v>55.808904763776077</v>
      </c>
    </row>
    <row r="613" spans="9:14" x14ac:dyDescent="0.25">
      <c r="I613">
        <f>'S-Curve'!A612</f>
        <v>360</v>
      </c>
      <c r="J613" s="2">
        <f>'S-Curve'!C612</f>
        <v>1.3354543197399602E-2</v>
      </c>
      <c r="K613" s="3">
        <f t="shared" si="36"/>
        <v>3.1880619893449001E-2</v>
      </c>
      <c r="L613" s="3">
        <f t="shared" si="37"/>
        <v>6.5789981862187763E-2</v>
      </c>
      <c r="M613">
        <f t="shared" si="38"/>
        <v>32.212913449526162</v>
      </c>
      <c r="N613">
        <f t="shared" si="39"/>
        <v>55.808957973303997</v>
      </c>
    </row>
    <row r="614" spans="9:14" x14ac:dyDescent="0.25">
      <c r="I614">
        <f>'S-Curve'!A613</f>
        <v>361</v>
      </c>
      <c r="J614" s="2">
        <f>'S-Curve'!C613</f>
        <v>1.3354561557510599E-2</v>
      </c>
      <c r="K614" s="3">
        <f t="shared" si="36"/>
        <v>3.1880663723605623E-2</v>
      </c>
      <c r="L614" s="3">
        <f t="shared" si="37"/>
        <v>6.5790072311658912E-2</v>
      </c>
      <c r="M614">
        <f t="shared" si="38"/>
        <v>32.212950277024177</v>
      </c>
      <c r="N614">
        <f t="shared" si="39"/>
        <v>55.809009315775256</v>
      </c>
    </row>
    <row r="615" spans="9:14" x14ac:dyDescent="0.25">
      <c r="I615">
        <f>'S-Curve'!A614</f>
        <v>362</v>
      </c>
      <c r="J615" s="2">
        <f>'S-Curve'!C614</f>
        <v>1.3354579416891301E-2</v>
      </c>
      <c r="K615" s="3">
        <f t="shared" si="36"/>
        <v>3.1880706358394344E-2</v>
      </c>
      <c r="L615" s="3">
        <f t="shared" si="37"/>
        <v>6.5790160294326314E-2</v>
      </c>
      <c r="M615">
        <f t="shared" si="38"/>
        <v>32.2129861001183</v>
      </c>
      <c r="N615">
        <f t="shared" si="39"/>
        <v>55.809059257944881</v>
      </c>
    </row>
    <row r="616" spans="9:14" x14ac:dyDescent="0.25">
      <c r="I616">
        <f>'S-Curve'!A615</f>
        <v>363</v>
      </c>
      <c r="J616" s="2">
        <f>'S-Curve'!C615</f>
        <v>1.3354596775541702E-2</v>
      </c>
      <c r="K616" s="3">
        <f t="shared" si="36"/>
        <v>3.1880747797815155E-2</v>
      </c>
      <c r="L616" s="3">
        <f t="shared" si="37"/>
        <v>6.579024581018994E-2</v>
      </c>
      <c r="M616">
        <f t="shared" si="38"/>
        <v>32.213020918809974</v>
      </c>
      <c r="N616">
        <f t="shared" si="39"/>
        <v>55.809107799817227</v>
      </c>
    </row>
    <row r="617" spans="9:14" x14ac:dyDescent="0.25">
      <c r="I617">
        <f>'S-Curve'!A616</f>
        <v>364</v>
      </c>
      <c r="J617" s="2">
        <f>'S-Curve'!C616</f>
        <v>1.3354614134192101E-2</v>
      </c>
      <c r="K617" s="3">
        <f t="shared" si="36"/>
        <v>3.188078923723596E-2</v>
      </c>
      <c r="L617" s="3">
        <f t="shared" si="37"/>
        <v>6.579033132605358E-2</v>
      </c>
      <c r="M617">
        <f t="shared" si="38"/>
        <v>32.213055737485242</v>
      </c>
      <c r="N617">
        <f t="shared" si="39"/>
        <v>55.809156341640588</v>
      </c>
    </row>
    <row r="618" spans="9:14" x14ac:dyDescent="0.25">
      <c r="I618">
        <f>'S-Curve'!A617</f>
        <v>365</v>
      </c>
      <c r="J618" s="2">
        <f>'S-Curve'!C617</f>
        <v>1.3354631159022301E-2</v>
      </c>
      <c r="K618" s="3">
        <f t="shared" si="36"/>
        <v>3.1880829879744832E-2</v>
      </c>
      <c r="L618" s="3">
        <f t="shared" si="37"/>
        <v>6.5790415197381366E-2</v>
      </c>
      <c r="M618">
        <f t="shared" si="38"/>
        <v>32.213089886554734</v>
      </c>
      <c r="N618">
        <f t="shared" si="39"/>
        <v>55.809203949919862</v>
      </c>
    </row>
    <row r="619" spans="9:14" x14ac:dyDescent="0.25">
      <c r="I619">
        <f>'S-Curve'!A618</f>
        <v>366</v>
      </c>
      <c r="J619" s="2">
        <f>'S-Curve'!C618</f>
        <v>1.3354648183852501E-2</v>
      </c>
      <c r="K619" s="3">
        <f t="shared" si="36"/>
        <v>3.1880870522253704E-2</v>
      </c>
      <c r="L619" s="3">
        <f t="shared" si="37"/>
        <v>6.5790499068709166E-2</v>
      </c>
      <c r="M619">
        <f t="shared" si="38"/>
        <v>32.213124035608473</v>
      </c>
      <c r="N619">
        <f t="shared" si="39"/>
        <v>55.80925155815217</v>
      </c>
    </row>
    <row r="620" spans="9:14" x14ac:dyDescent="0.25">
      <c r="I620">
        <f>'S-Curve'!A619</f>
        <v>367</v>
      </c>
      <c r="J620" s="2">
        <f>'S-Curve'!C619</f>
        <v>1.33546653755928E-2</v>
      </c>
      <c r="K620" s="3">
        <f t="shared" si="36"/>
        <v>3.1880911563218539E-2</v>
      </c>
      <c r="L620" s="3">
        <f t="shared" si="37"/>
        <v>6.5790583762304872E-2</v>
      </c>
      <c r="M620">
        <f t="shared" si="38"/>
        <v>32.21315851944081</v>
      </c>
      <c r="N620">
        <f t="shared" si="39"/>
        <v>55.809299633084123</v>
      </c>
    </row>
    <row r="621" spans="9:14" x14ac:dyDescent="0.25">
      <c r="I621">
        <f>'S-Curve'!A620</f>
        <v>368</v>
      </c>
      <c r="J621" s="2">
        <f>'S-Curve'!C620</f>
        <v>1.3354682734243201E-2</v>
      </c>
      <c r="K621" s="3">
        <f t="shared" si="36"/>
        <v>3.1880953002639351E-2</v>
      </c>
      <c r="L621" s="3">
        <f t="shared" si="37"/>
        <v>6.5790669278168512E-2</v>
      </c>
      <c r="M621">
        <f t="shared" si="38"/>
        <v>32.213193338051269</v>
      </c>
      <c r="N621">
        <f t="shared" si="39"/>
        <v>55.809348174714344</v>
      </c>
    </row>
    <row r="622" spans="9:14" x14ac:dyDescent="0.25">
      <c r="I622">
        <f>'S-Curve'!A621</f>
        <v>369</v>
      </c>
      <c r="J622" s="2">
        <f>'S-Curve'!C621</f>
        <v>1.33547004267138E-2</v>
      </c>
      <c r="K622" s="3">
        <f t="shared" si="36"/>
        <v>3.1880995238972094E-2</v>
      </c>
      <c r="L622" s="3">
        <f t="shared" si="37"/>
        <v>6.5790756438567993E-2</v>
      </c>
      <c r="M622">
        <f t="shared" si="38"/>
        <v>32.213228826233575</v>
      </c>
      <c r="N622">
        <f t="shared" si="39"/>
        <v>55.809397649787229</v>
      </c>
    </row>
    <row r="623" spans="9:14" x14ac:dyDescent="0.25">
      <c r="I623">
        <f>'S-Curve'!A622</f>
        <v>370</v>
      </c>
      <c r="J623" s="2">
        <f>'S-Curve'!C622</f>
        <v>1.3354718619914699E-2</v>
      </c>
      <c r="K623" s="3">
        <f t="shared" si="36"/>
        <v>3.1881038670672747E-2</v>
      </c>
      <c r="L623" s="3">
        <f t="shared" si="37"/>
        <v>6.5790846065771208E-2</v>
      </c>
      <c r="M623">
        <f t="shared" si="38"/>
        <v>32.213265318780557</v>
      </c>
      <c r="N623">
        <f t="shared" si="39"/>
        <v>55.809448525045028</v>
      </c>
    </row>
    <row r="624" spans="9:14" x14ac:dyDescent="0.25">
      <c r="I624">
        <f>'S-Curve'!A623</f>
        <v>371</v>
      </c>
      <c r="J624" s="2">
        <f>'S-Curve'!C623</f>
        <v>1.3354737313845901E-2</v>
      </c>
      <c r="K624" s="3">
        <f t="shared" si="36"/>
        <v>3.1881083297741315E-2</v>
      </c>
      <c r="L624" s="3">
        <f t="shared" si="37"/>
        <v>6.5790938159778212E-2</v>
      </c>
      <c r="M624">
        <f t="shared" si="38"/>
        <v>32.213302815690902</v>
      </c>
      <c r="N624">
        <f t="shared" si="39"/>
        <v>55.809500800483306</v>
      </c>
    </row>
    <row r="625" spans="9:14" x14ac:dyDescent="0.25">
      <c r="I625">
        <f>'S-Curve'!A624</f>
        <v>372</v>
      </c>
      <c r="J625" s="2">
        <f>'S-Curve'!C624</f>
        <v>1.3354756174687199E-2</v>
      </c>
      <c r="K625" s="3">
        <f t="shared" si="36"/>
        <v>3.1881128323265846E-2</v>
      </c>
      <c r="L625" s="3">
        <f t="shared" si="37"/>
        <v>6.5791031076053122E-2</v>
      </c>
      <c r="M625">
        <f t="shared" si="38"/>
        <v>32.213340647375787</v>
      </c>
      <c r="N625">
        <f t="shared" si="39"/>
        <v>55.809553542609166</v>
      </c>
    </row>
    <row r="626" spans="9:14" x14ac:dyDescent="0.25">
      <c r="I626">
        <f>'S-Curve'!A625</f>
        <v>373</v>
      </c>
      <c r="J626" s="2">
        <f>'S-Curve'!C625</f>
        <v>1.3354775035528501E-2</v>
      </c>
      <c r="K626" s="3">
        <f t="shared" si="36"/>
        <v>3.1881173348790384E-2</v>
      </c>
      <c r="L626" s="3">
        <f t="shared" si="37"/>
        <v>6.5791123992328032E-2</v>
      </c>
      <c r="M626">
        <f t="shared" si="38"/>
        <v>32.213378479041324</v>
      </c>
      <c r="N626">
        <f t="shared" si="39"/>
        <v>55.80960628467728</v>
      </c>
    </row>
    <row r="627" spans="9:14" x14ac:dyDescent="0.25">
      <c r="I627">
        <f>'S-Curve'!A626</f>
        <v>374</v>
      </c>
      <c r="J627" s="2">
        <f>'S-Curve'!C626</f>
        <v>1.3354793896369802E-2</v>
      </c>
      <c r="K627" s="3">
        <f t="shared" si="36"/>
        <v>3.1881218374314915E-2</v>
      </c>
      <c r="L627" s="3">
        <f t="shared" si="37"/>
        <v>6.5791216908602942E-2</v>
      </c>
      <c r="M627">
        <f t="shared" si="38"/>
        <v>32.213416310687514</v>
      </c>
      <c r="N627">
        <f t="shared" si="39"/>
        <v>55.809659026687754</v>
      </c>
    </row>
    <row r="628" spans="9:14" x14ac:dyDescent="0.25">
      <c r="I628">
        <f>'S-Curve'!A627</f>
        <v>375</v>
      </c>
      <c r="J628" s="2">
        <f>'S-Curve'!C627</f>
        <v>1.33548127572111E-2</v>
      </c>
      <c r="K628" s="3">
        <f t="shared" si="36"/>
        <v>3.1881263399839446E-2</v>
      </c>
      <c r="L628" s="3">
        <f t="shared" si="37"/>
        <v>6.5791309824877853E-2</v>
      </c>
      <c r="M628">
        <f t="shared" si="38"/>
        <v>32.213454142314333</v>
      </c>
      <c r="N628">
        <f t="shared" si="39"/>
        <v>55.809711768640533</v>
      </c>
    </row>
    <row r="629" spans="9:14" x14ac:dyDescent="0.25">
      <c r="I629">
        <f>'S-Curve'!A628</f>
        <v>376</v>
      </c>
      <c r="J629" s="2">
        <f>'S-Curve'!C628</f>
        <v>1.33548316180524E-2</v>
      </c>
      <c r="K629" s="3">
        <f t="shared" si="36"/>
        <v>3.1881308425363977E-2</v>
      </c>
      <c r="L629" s="3">
        <f t="shared" si="37"/>
        <v>6.5791402741152763E-2</v>
      </c>
      <c r="M629">
        <f t="shared" si="38"/>
        <v>32.213491973921812</v>
      </c>
      <c r="N629">
        <f t="shared" si="39"/>
        <v>55.809764510535544</v>
      </c>
    </row>
    <row r="630" spans="9:14" x14ac:dyDescent="0.25">
      <c r="I630">
        <f>'S-Curve'!A629</f>
        <v>377</v>
      </c>
      <c r="J630" s="2">
        <f>'S-Curve'!C629</f>
        <v>1.33548503119836E-2</v>
      </c>
      <c r="K630" s="3">
        <f t="shared" si="36"/>
        <v>3.1881353052432539E-2</v>
      </c>
      <c r="L630" s="3">
        <f t="shared" si="37"/>
        <v>6.5791494835159753E-2</v>
      </c>
      <c r="M630">
        <f t="shared" si="38"/>
        <v>32.213529470717219</v>
      </c>
      <c r="N630">
        <f t="shared" si="39"/>
        <v>55.809816785631213</v>
      </c>
    </row>
    <row r="631" spans="9:14" x14ac:dyDescent="0.25">
      <c r="I631">
        <f>'S-Curve'!A630</f>
        <v>378</v>
      </c>
      <c r="J631" s="2">
        <f>'S-Curve'!C630</f>
        <v>1.33548691728249E-2</v>
      </c>
      <c r="K631" s="3">
        <f t="shared" si="36"/>
        <v>3.188139807795707E-2</v>
      </c>
      <c r="L631" s="3">
        <f t="shared" si="37"/>
        <v>6.5791587751434663E-2</v>
      </c>
      <c r="M631">
        <f t="shared" si="38"/>
        <v>32.213567302286187</v>
      </c>
      <c r="N631">
        <f t="shared" si="39"/>
        <v>55.809869527411358</v>
      </c>
    </row>
    <row r="632" spans="9:14" x14ac:dyDescent="0.25">
      <c r="I632">
        <f>'S-Curve'!A631</f>
        <v>379</v>
      </c>
      <c r="J632" s="2">
        <f>'S-Curve'!C631</f>
        <v>1.3354888033666202E-2</v>
      </c>
      <c r="K632" s="3">
        <f t="shared" si="36"/>
        <v>3.1881443103481608E-2</v>
      </c>
      <c r="L632" s="3">
        <f t="shared" si="37"/>
        <v>6.5791680667709587E-2</v>
      </c>
      <c r="M632">
        <f t="shared" si="38"/>
        <v>32.213605133835777</v>
      </c>
      <c r="N632">
        <f t="shared" si="39"/>
        <v>55.809922269133814</v>
      </c>
    </row>
    <row r="633" spans="9:14" x14ac:dyDescent="0.25">
      <c r="I633">
        <f>'S-Curve'!A632</f>
        <v>380</v>
      </c>
      <c r="J633" s="2">
        <f>'S-Curve'!C632</f>
        <v>1.3354906894507499E-2</v>
      </c>
      <c r="K633" s="3">
        <f t="shared" si="36"/>
        <v>3.1881488129006132E-2</v>
      </c>
      <c r="L633" s="3">
        <f t="shared" si="37"/>
        <v>6.5791773583984484E-2</v>
      </c>
      <c r="M633">
        <f t="shared" si="38"/>
        <v>32.213642965365977</v>
      </c>
      <c r="N633">
        <f t="shared" si="39"/>
        <v>55.809975010798517</v>
      </c>
    </row>
    <row r="634" spans="9:14" x14ac:dyDescent="0.25">
      <c r="I634">
        <f>'S-Curve'!A633</f>
        <v>381</v>
      </c>
      <c r="J634" s="2">
        <f>'S-Curve'!C633</f>
        <v>1.3354925755348801E-2</v>
      </c>
      <c r="K634" s="3">
        <f t="shared" si="36"/>
        <v>3.188153315453067E-2</v>
      </c>
      <c r="L634" s="3">
        <f t="shared" si="37"/>
        <v>6.5791866500259394E-2</v>
      </c>
      <c r="M634">
        <f t="shared" si="38"/>
        <v>32.213680796876851</v>
      </c>
      <c r="N634">
        <f t="shared" si="39"/>
        <v>55.810027752405553</v>
      </c>
    </row>
    <row r="635" spans="9:14" x14ac:dyDescent="0.25">
      <c r="I635">
        <f>'S-Curve'!A634</f>
        <v>382</v>
      </c>
      <c r="J635" s="2">
        <f>'S-Curve'!C634</f>
        <v>1.3354944616190101E-2</v>
      </c>
      <c r="K635" s="3">
        <f t="shared" si="36"/>
        <v>3.1881578180055208E-2</v>
      </c>
      <c r="L635" s="3">
        <f t="shared" si="37"/>
        <v>6.5791959416534304E-2</v>
      </c>
      <c r="M635">
        <f t="shared" si="38"/>
        <v>32.213718628368369</v>
      </c>
      <c r="N635">
        <f t="shared" si="39"/>
        <v>55.810080493954892</v>
      </c>
    </row>
    <row r="636" spans="9:14" x14ac:dyDescent="0.25">
      <c r="I636">
        <f>'S-Curve'!A635</f>
        <v>383</v>
      </c>
      <c r="J636" s="2">
        <f>'S-Curve'!C635</f>
        <v>1.33549634770314E-2</v>
      </c>
      <c r="K636" s="3">
        <f t="shared" si="36"/>
        <v>3.1881623205579732E-2</v>
      </c>
      <c r="L636" s="3">
        <f t="shared" si="37"/>
        <v>6.5792052332809214E-2</v>
      </c>
      <c r="M636">
        <f t="shared" si="38"/>
        <v>32.213756459840525</v>
      </c>
      <c r="N636">
        <f t="shared" si="39"/>
        <v>55.810133235446592</v>
      </c>
    </row>
    <row r="637" spans="9:14" x14ac:dyDescent="0.25">
      <c r="I637">
        <f>'S-Curve'!A636</f>
        <v>384</v>
      </c>
      <c r="J637" s="2">
        <f>'S-Curve'!C636</f>
        <v>1.3354982170962601E-2</v>
      </c>
      <c r="K637" s="3">
        <f t="shared" si="36"/>
        <v>3.18816678326483E-2</v>
      </c>
      <c r="L637" s="3">
        <f t="shared" si="37"/>
        <v>6.5792144426816204E-2</v>
      </c>
      <c r="M637">
        <f t="shared" si="38"/>
        <v>32.213793956501831</v>
      </c>
      <c r="N637">
        <f t="shared" si="39"/>
        <v>55.810185510142404</v>
      </c>
    </row>
    <row r="638" spans="9:14" x14ac:dyDescent="0.25">
      <c r="I638">
        <f>'S-Curve'!A637</f>
        <v>385</v>
      </c>
      <c r="J638" s="2">
        <f>'S-Curve'!C637</f>
        <v>1.33550010318039E-2</v>
      </c>
      <c r="K638" s="3">
        <f t="shared" si="36"/>
        <v>3.1881712858172831E-2</v>
      </c>
      <c r="L638" s="3">
        <f t="shared" si="37"/>
        <v>6.5792237343091114E-2</v>
      </c>
      <c r="M638">
        <f t="shared" si="38"/>
        <v>32.213831787935511</v>
      </c>
      <c r="N638">
        <f t="shared" si="39"/>
        <v>55.810238251519117</v>
      </c>
    </row>
    <row r="639" spans="9:14" x14ac:dyDescent="0.25">
      <c r="I639">
        <f>'S-Curve'!A638</f>
        <v>386</v>
      </c>
      <c r="J639" s="2">
        <f>'S-Curve'!C638</f>
        <v>1.3355019892645202E-2</v>
      </c>
      <c r="K639" s="3">
        <f t="shared" si="36"/>
        <v>3.1881757883697369E-2</v>
      </c>
      <c r="L639" s="3">
        <f t="shared" si="37"/>
        <v>6.5792330259366039E-2</v>
      </c>
      <c r="M639">
        <f t="shared" si="38"/>
        <v>32.213869619349765</v>
      </c>
      <c r="N639">
        <f t="shared" si="39"/>
        <v>55.810290992838176</v>
      </c>
    </row>
    <row r="640" spans="9:14" x14ac:dyDescent="0.25">
      <c r="I640">
        <f>'S-Curve'!A639</f>
        <v>387</v>
      </c>
      <c r="J640" s="2">
        <f>'S-Curve'!C639</f>
        <v>1.3355038753486502E-2</v>
      </c>
      <c r="K640" s="3">
        <f t="shared" si="36"/>
        <v>3.18818029092219E-2</v>
      </c>
      <c r="L640" s="3">
        <f t="shared" si="37"/>
        <v>6.5792423175640949E-2</v>
      </c>
      <c r="M640">
        <f t="shared" si="38"/>
        <v>32.213907450744671</v>
      </c>
      <c r="N640">
        <f t="shared" si="39"/>
        <v>55.810343734099497</v>
      </c>
    </row>
    <row r="641" spans="9:14" x14ac:dyDescent="0.25">
      <c r="I641">
        <f>'S-Curve'!A640</f>
        <v>388</v>
      </c>
      <c r="J641" s="2">
        <f>'S-Curve'!C640</f>
        <v>1.33550576143278E-2</v>
      </c>
      <c r="K641" s="3">
        <f t="shared" si="36"/>
        <v>3.1881847934746431E-2</v>
      </c>
      <c r="L641" s="3">
        <f t="shared" si="37"/>
        <v>6.5792516091915845E-2</v>
      </c>
      <c r="M641">
        <f t="shared" si="38"/>
        <v>32.213945282120257</v>
      </c>
      <c r="N641">
        <f t="shared" si="39"/>
        <v>55.810396475303122</v>
      </c>
    </row>
    <row r="642" spans="9:14" x14ac:dyDescent="0.25">
      <c r="I642">
        <f>'S-Curve'!A641</f>
        <v>389</v>
      </c>
      <c r="J642" s="2">
        <f>'S-Curve'!C641</f>
        <v>1.3355076475169101E-2</v>
      </c>
      <c r="K642" s="3">
        <f t="shared" si="36"/>
        <v>3.1881892960270962E-2</v>
      </c>
      <c r="L642" s="3">
        <f t="shared" si="37"/>
        <v>6.5792609008190756E-2</v>
      </c>
      <c r="M642">
        <f t="shared" si="38"/>
        <v>32.213983113476452</v>
      </c>
      <c r="N642">
        <f t="shared" si="39"/>
        <v>55.810449216449044</v>
      </c>
    </row>
    <row r="643" spans="9:14" x14ac:dyDescent="0.25">
      <c r="I643">
        <f>'S-Curve'!A642</f>
        <v>390</v>
      </c>
      <c r="J643" s="2">
        <f>'S-Curve'!C642</f>
        <v>1.3355095336010403E-2</v>
      </c>
      <c r="K643" s="3">
        <f t="shared" si="36"/>
        <v>3.18819379857955E-2</v>
      </c>
      <c r="L643" s="3">
        <f t="shared" si="37"/>
        <v>6.579270192446568E-2</v>
      </c>
      <c r="M643">
        <f t="shared" si="38"/>
        <v>32.214020944813306</v>
      </c>
      <c r="N643">
        <f t="shared" si="39"/>
        <v>55.810501957537319</v>
      </c>
    </row>
    <row r="644" spans="9:14" x14ac:dyDescent="0.25">
      <c r="I644">
        <f>'S-Curve'!A643</f>
        <v>391</v>
      </c>
      <c r="J644" s="2">
        <f>'S-Curve'!C643</f>
        <v>1.3355114196851699E-2</v>
      </c>
      <c r="K644" s="3">
        <f t="shared" ref="K644:K703" si="40">J644*$E$3</f>
        <v>3.1881983011320024E-2</v>
      </c>
      <c r="L644" s="3">
        <f t="shared" ref="L644:L703" si="41">J644*$F$3</f>
        <v>6.5792794840740576E-2</v>
      </c>
      <c r="M644">
        <f t="shared" ref="M644:M703" si="42">100*(1-(1-K644)^12)</f>
        <v>32.214058776130813</v>
      </c>
      <c r="N644">
        <f t="shared" ref="N644:N703" si="43">100*(1-(1-L644)^12)</f>
        <v>55.810554698567842</v>
      </c>
    </row>
    <row r="645" spans="9:14" x14ac:dyDescent="0.25">
      <c r="I645">
        <f>'S-Curve'!A644</f>
        <v>392</v>
      </c>
      <c r="J645" s="2">
        <f>'S-Curve'!C644</f>
        <v>1.3355132890782903E-2</v>
      </c>
      <c r="K645" s="3">
        <f t="shared" si="40"/>
        <v>3.1882027638388599E-2</v>
      </c>
      <c r="L645" s="3">
        <f t="shared" si="41"/>
        <v>6.579288693474758E-2</v>
      </c>
      <c r="M645">
        <f t="shared" si="42"/>
        <v>32.214096272638812</v>
      </c>
      <c r="N645">
        <f t="shared" si="43"/>
        <v>55.810606972806667</v>
      </c>
    </row>
    <row r="646" spans="9:14" x14ac:dyDescent="0.25">
      <c r="I646">
        <f>'S-Curve'!A645</f>
        <v>393</v>
      </c>
      <c r="J646" s="2">
        <f>'S-Curve'!C645</f>
        <v>1.33551517516242E-2</v>
      </c>
      <c r="K646" s="3">
        <f t="shared" si="40"/>
        <v>3.1882072663913123E-2</v>
      </c>
      <c r="L646" s="3">
        <f t="shared" si="41"/>
        <v>6.5792979851022476E-2</v>
      </c>
      <c r="M646">
        <f t="shared" si="42"/>
        <v>32.214134103917722</v>
      </c>
      <c r="N646">
        <f t="shared" si="43"/>
        <v>55.810659713722266</v>
      </c>
    </row>
    <row r="647" spans="9:14" x14ac:dyDescent="0.25">
      <c r="I647">
        <f>'S-Curve'!A646</f>
        <v>394</v>
      </c>
      <c r="J647" s="2">
        <f>'S-Curve'!C646</f>
        <v>1.3355170612465501E-2</v>
      </c>
      <c r="K647" s="3">
        <f t="shared" si="40"/>
        <v>3.1882117689437661E-2</v>
      </c>
      <c r="L647" s="3">
        <f t="shared" si="41"/>
        <v>6.57930727672974E-2</v>
      </c>
      <c r="M647">
        <f t="shared" si="42"/>
        <v>32.21417193517739</v>
      </c>
      <c r="N647">
        <f t="shared" si="43"/>
        <v>55.810712454580205</v>
      </c>
    </row>
    <row r="648" spans="9:14" x14ac:dyDescent="0.25">
      <c r="I648">
        <f>'S-Curve'!A647</f>
        <v>395</v>
      </c>
      <c r="J648" s="2">
        <f>'S-Curve'!C647</f>
        <v>1.3355189473306802E-2</v>
      </c>
      <c r="K648" s="3">
        <f t="shared" si="40"/>
        <v>3.1882162714962192E-2</v>
      </c>
      <c r="L648" s="3">
        <f t="shared" si="41"/>
        <v>6.5793165683572311E-2</v>
      </c>
      <c r="M648">
        <f t="shared" si="42"/>
        <v>32.214209766417603</v>
      </c>
      <c r="N648">
        <f t="shared" si="43"/>
        <v>55.810765195380398</v>
      </c>
    </row>
    <row r="649" spans="9:14" x14ac:dyDescent="0.25">
      <c r="I649">
        <f>'S-Curve'!A648</f>
        <v>396</v>
      </c>
      <c r="J649" s="2">
        <f>'S-Curve'!C648</f>
        <v>1.33552083341481E-2</v>
      </c>
      <c r="K649" s="3">
        <f t="shared" si="40"/>
        <v>3.1882207740486723E-2</v>
      </c>
      <c r="L649" s="3">
        <f t="shared" si="41"/>
        <v>6.5793258599847207E-2</v>
      </c>
      <c r="M649">
        <f t="shared" si="42"/>
        <v>32.214247597638568</v>
      </c>
      <c r="N649">
        <f t="shared" si="43"/>
        <v>55.810817936122923</v>
      </c>
    </row>
    <row r="650" spans="9:14" x14ac:dyDescent="0.25">
      <c r="I650">
        <f>'S-Curve'!A649</f>
        <v>397</v>
      </c>
      <c r="J650" s="2">
        <f>'S-Curve'!C649</f>
        <v>1.33552271949894E-2</v>
      </c>
      <c r="K650" s="3">
        <f t="shared" si="40"/>
        <v>3.1882252766011254E-2</v>
      </c>
      <c r="L650" s="3">
        <f t="shared" si="41"/>
        <v>6.5793351516122117E-2</v>
      </c>
      <c r="M650">
        <f t="shared" si="42"/>
        <v>32.21428542884005</v>
      </c>
      <c r="N650">
        <f t="shared" si="43"/>
        <v>55.810870676807745</v>
      </c>
    </row>
    <row r="651" spans="9:14" x14ac:dyDescent="0.25">
      <c r="I651">
        <f>'S-Curve'!A650</f>
        <v>398</v>
      </c>
      <c r="J651" s="2">
        <f>'S-Curve'!C650</f>
        <v>1.3355246055830702E-2</v>
      </c>
      <c r="K651" s="3">
        <f t="shared" si="40"/>
        <v>3.1882297791535792E-2</v>
      </c>
      <c r="L651" s="3">
        <f t="shared" si="41"/>
        <v>6.5793444432397041E-2</v>
      </c>
      <c r="M651">
        <f t="shared" si="42"/>
        <v>32.214323260022312</v>
      </c>
      <c r="N651">
        <f t="shared" si="43"/>
        <v>55.810923417434942</v>
      </c>
    </row>
    <row r="652" spans="9:14" x14ac:dyDescent="0.25">
      <c r="I652">
        <f>'S-Curve'!A651</f>
        <v>399</v>
      </c>
      <c r="J652" s="2">
        <f>'S-Curve'!C651</f>
        <v>1.3355264916672001E-2</v>
      </c>
      <c r="K652" s="3">
        <f t="shared" si="40"/>
        <v>3.1882342817060316E-2</v>
      </c>
      <c r="L652" s="3">
        <f t="shared" si="41"/>
        <v>6.5793537348671952E-2</v>
      </c>
      <c r="M652">
        <f t="shared" si="42"/>
        <v>32.214361091185062</v>
      </c>
      <c r="N652">
        <f t="shared" si="43"/>
        <v>55.810976158004344</v>
      </c>
    </row>
    <row r="653" spans="9:14" x14ac:dyDescent="0.25">
      <c r="I653">
        <f>'S-Curve'!A652</f>
        <v>400</v>
      </c>
      <c r="J653" s="2">
        <f>'S-Curve'!C652</f>
        <v>1.3355283610603199E-2</v>
      </c>
      <c r="K653" s="3">
        <f t="shared" si="40"/>
        <v>3.1882387444128878E-2</v>
      </c>
      <c r="L653" s="3">
        <f t="shared" si="41"/>
        <v>6.5793629442678928E-2</v>
      </c>
      <c r="M653">
        <f t="shared" si="42"/>
        <v>32.214398587539783</v>
      </c>
      <c r="N653">
        <f t="shared" si="43"/>
        <v>55.811028431786134</v>
      </c>
    </row>
    <row r="654" spans="9:14" x14ac:dyDescent="0.25">
      <c r="I654">
        <f>'S-Curve'!A653</f>
        <v>401</v>
      </c>
      <c r="J654" s="2">
        <f>'S-Curve'!C653</f>
        <v>1.3355302471444501E-2</v>
      </c>
      <c r="K654" s="3">
        <f t="shared" si="40"/>
        <v>3.1882432469653416E-2</v>
      </c>
      <c r="L654" s="3">
        <f t="shared" si="41"/>
        <v>6.5793722358953852E-2</v>
      </c>
      <c r="M654">
        <f t="shared" si="42"/>
        <v>32.214436418664114</v>
      </c>
      <c r="N654">
        <f t="shared" si="43"/>
        <v>55.811081172240641</v>
      </c>
    </row>
    <row r="655" spans="9:14" x14ac:dyDescent="0.25">
      <c r="I655">
        <f>'S-Curve'!A654</f>
        <v>402</v>
      </c>
      <c r="J655" s="2">
        <f>'S-Curve'!C654</f>
        <v>1.3355321332285801E-2</v>
      </c>
      <c r="K655" s="3">
        <f t="shared" si="40"/>
        <v>3.1882477495177947E-2</v>
      </c>
      <c r="L655" s="3">
        <f t="shared" si="41"/>
        <v>6.5793815275228762E-2</v>
      </c>
      <c r="M655">
        <f t="shared" si="42"/>
        <v>32.214474249769033</v>
      </c>
      <c r="N655">
        <f t="shared" si="43"/>
        <v>55.811133912637459</v>
      </c>
    </row>
    <row r="656" spans="9:14" x14ac:dyDescent="0.25">
      <c r="I656">
        <f>'S-Curve'!A655</f>
        <v>403</v>
      </c>
      <c r="J656" s="2">
        <f>'S-Curve'!C655</f>
        <v>1.33553401931271E-2</v>
      </c>
      <c r="K656" s="3">
        <f t="shared" si="40"/>
        <v>3.1882522520702478E-2</v>
      </c>
      <c r="L656" s="3">
        <f t="shared" si="41"/>
        <v>6.5793908191503658E-2</v>
      </c>
      <c r="M656">
        <f t="shared" si="42"/>
        <v>32.214512080854654</v>
      </c>
      <c r="N656">
        <f t="shared" si="43"/>
        <v>55.811186652976595</v>
      </c>
    </row>
    <row r="657" spans="9:14" x14ac:dyDescent="0.25">
      <c r="I657">
        <f>'S-Curve'!A656</f>
        <v>404</v>
      </c>
      <c r="J657" s="2">
        <f>'S-Curve'!C656</f>
        <v>1.33553590539684E-2</v>
      </c>
      <c r="K657" s="3">
        <f t="shared" si="40"/>
        <v>3.1882567546227009E-2</v>
      </c>
      <c r="L657" s="3">
        <f t="shared" si="41"/>
        <v>6.5794001107778569E-2</v>
      </c>
      <c r="M657">
        <f t="shared" si="42"/>
        <v>32.214549911920912</v>
      </c>
      <c r="N657">
        <f t="shared" si="43"/>
        <v>55.811239393258028</v>
      </c>
    </row>
    <row r="658" spans="9:14" x14ac:dyDescent="0.25">
      <c r="I658">
        <f>'S-Curve'!A657</f>
        <v>405</v>
      </c>
      <c r="J658" s="2">
        <f>'S-Curve'!C657</f>
        <v>1.3355377914809702E-2</v>
      </c>
      <c r="K658" s="3">
        <f t="shared" si="40"/>
        <v>3.1882612571751547E-2</v>
      </c>
      <c r="L658" s="3">
        <f t="shared" si="41"/>
        <v>6.5794094024053493E-2</v>
      </c>
      <c r="M658">
        <f t="shared" si="42"/>
        <v>32.214587742967751</v>
      </c>
      <c r="N658">
        <f t="shared" si="43"/>
        <v>55.811292133481707</v>
      </c>
    </row>
    <row r="659" spans="9:14" x14ac:dyDescent="0.25">
      <c r="I659">
        <f>'S-Curve'!A658</f>
        <v>406</v>
      </c>
      <c r="J659" s="2">
        <f>'S-Curve'!C658</f>
        <v>1.3355396775650999E-2</v>
      </c>
      <c r="K659" s="3">
        <f t="shared" si="40"/>
        <v>3.1882657597276071E-2</v>
      </c>
      <c r="L659" s="3">
        <f t="shared" si="41"/>
        <v>6.5794186940328389E-2</v>
      </c>
      <c r="M659">
        <f t="shared" si="42"/>
        <v>32.214625573995313</v>
      </c>
      <c r="N659">
        <f t="shared" si="43"/>
        <v>55.811344873647741</v>
      </c>
    </row>
    <row r="660" spans="9:14" x14ac:dyDescent="0.25">
      <c r="I660">
        <f>'S-Curve'!A659</f>
        <v>407</v>
      </c>
      <c r="J660" s="2">
        <f>'S-Curve'!C659</f>
        <v>1.3355415636492301E-2</v>
      </c>
      <c r="K660" s="3">
        <f t="shared" si="40"/>
        <v>3.1882702622800609E-2</v>
      </c>
      <c r="L660" s="3">
        <f t="shared" si="41"/>
        <v>6.5794279856603313E-2</v>
      </c>
      <c r="M660">
        <f t="shared" si="42"/>
        <v>32.214663405003485</v>
      </c>
      <c r="N660">
        <f t="shared" si="43"/>
        <v>55.811397613756156</v>
      </c>
    </row>
    <row r="661" spans="9:14" x14ac:dyDescent="0.25">
      <c r="I661">
        <f>'S-Curve'!A660</f>
        <v>408</v>
      </c>
      <c r="J661" s="2">
        <f>'S-Curve'!C660</f>
        <v>1.3355434330423499E-2</v>
      </c>
      <c r="K661" s="3">
        <f t="shared" si="40"/>
        <v>3.188274724986917E-2</v>
      </c>
      <c r="L661" s="3">
        <f t="shared" si="41"/>
        <v>6.5794371950610289E-2</v>
      </c>
      <c r="M661">
        <f t="shared" si="42"/>
        <v>32.214700901204928</v>
      </c>
      <c r="N661">
        <f t="shared" si="43"/>
        <v>55.81144988708089</v>
      </c>
    </row>
    <row r="662" spans="9:14" x14ac:dyDescent="0.25">
      <c r="I662">
        <f>'S-Curve'!A661</f>
        <v>409</v>
      </c>
      <c r="J662" s="2">
        <f>'S-Curve'!C661</f>
        <v>1.3355453191264801E-2</v>
      </c>
      <c r="K662" s="3">
        <f t="shared" si="40"/>
        <v>3.1882792275393708E-2</v>
      </c>
      <c r="L662" s="3">
        <f t="shared" si="41"/>
        <v>6.5794464866885213E-2</v>
      </c>
      <c r="M662">
        <f t="shared" si="42"/>
        <v>32.214738732174567</v>
      </c>
      <c r="N662">
        <f t="shared" si="43"/>
        <v>55.811502627074319</v>
      </c>
    </row>
    <row r="663" spans="9:14" x14ac:dyDescent="0.25">
      <c r="I663">
        <f>'S-Curve'!A662</f>
        <v>410</v>
      </c>
      <c r="J663" s="2">
        <f>'S-Curve'!C662</f>
        <v>1.3355472052106101E-2</v>
      </c>
      <c r="K663" s="3">
        <f t="shared" si="40"/>
        <v>3.1882837300918239E-2</v>
      </c>
      <c r="L663" s="3">
        <f t="shared" si="41"/>
        <v>6.5794557783160124E-2</v>
      </c>
      <c r="M663">
        <f t="shared" si="42"/>
        <v>32.214776563124836</v>
      </c>
      <c r="N663">
        <f t="shared" si="43"/>
        <v>55.811555367010037</v>
      </c>
    </row>
    <row r="664" spans="9:14" x14ac:dyDescent="0.25">
      <c r="I664">
        <f>'S-Curve'!A663</f>
        <v>411</v>
      </c>
      <c r="J664" s="2">
        <f>'S-Curve'!C663</f>
        <v>1.3355490912947399E-2</v>
      </c>
      <c r="K664" s="3">
        <f t="shared" si="40"/>
        <v>3.188288232644277E-2</v>
      </c>
      <c r="L664" s="3">
        <f t="shared" si="41"/>
        <v>6.579465069943502E-2</v>
      </c>
      <c r="M664">
        <f t="shared" si="42"/>
        <v>32.214814394055779</v>
      </c>
      <c r="N664">
        <f t="shared" si="43"/>
        <v>55.81160810688808</v>
      </c>
    </row>
    <row r="665" spans="9:14" x14ac:dyDescent="0.25">
      <c r="I665">
        <f>'S-Curve'!A664</f>
        <v>412</v>
      </c>
      <c r="J665" s="2">
        <f>'S-Curve'!C664</f>
        <v>1.3355509773788701E-2</v>
      </c>
      <c r="K665" s="3">
        <f t="shared" si="40"/>
        <v>3.1882927351967308E-2</v>
      </c>
      <c r="L665" s="3">
        <f t="shared" si="41"/>
        <v>6.5794743615709944E-2</v>
      </c>
      <c r="M665">
        <f t="shared" si="42"/>
        <v>32.214852224967373</v>
      </c>
      <c r="N665">
        <f t="shared" si="43"/>
        <v>55.811660846708413</v>
      </c>
    </row>
    <row r="666" spans="9:14" x14ac:dyDescent="0.25">
      <c r="I666">
        <f>'S-Curve'!A665</f>
        <v>413</v>
      </c>
      <c r="J666" s="2">
        <f>'S-Curve'!C665</f>
        <v>1.3355528634630002E-2</v>
      </c>
      <c r="K666" s="3">
        <f t="shared" si="40"/>
        <v>3.1882972377491839E-2</v>
      </c>
      <c r="L666" s="3">
        <f t="shared" si="41"/>
        <v>6.5794836531984854E-2</v>
      </c>
      <c r="M666">
        <f t="shared" si="42"/>
        <v>32.214890055859627</v>
      </c>
      <c r="N666">
        <f t="shared" si="43"/>
        <v>55.811713586471015</v>
      </c>
    </row>
    <row r="667" spans="9:14" x14ac:dyDescent="0.25">
      <c r="I667">
        <f>'S-Curve'!A666</f>
        <v>414</v>
      </c>
      <c r="J667" s="2">
        <f>'S-Curve'!C666</f>
        <v>1.33555474954713E-2</v>
      </c>
      <c r="K667" s="3">
        <f t="shared" si="40"/>
        <v>3.188301740301637E-2</v>
      </c>
      <c r="L667" s="3">
        <f t="shared" si="41"/>
        <v>6.5794929448259765E-2</v>
      </c>
      <c r="M667">
        <f t="shared" si="42"/>
        <v>32.214927886732504</v>
      </c>
      <c r="N667">
        <f t="shared" si="43"/>
        <v>55.811766326176027</v>
      </c>
    </row>
    <row r="668" spans="9:14" x14ac:dyDescent="0.25">
      <c r="I668">
        <f>'S-Curve'!A667</f>
        <v>415</v>
      </c>
      <c r="J668" s="2">
        <f>'S-Curve'!C667</f>
        <v>1.3355566189402502E-2</v>
      </c>
      <c r="K668" s="3">
        <f t="shared" si="40"/>
        <v>3.1883062030084938E-2</v>
      </c>
      <c r="L668" s="3">
        <f t="shared" si="41"/>
        <v>6.5795021542266754E-2</v>
      </c>
      <c r="M668">
        <f t="shared" si="42"/>
        <v>32.214965382799789</v>
      </c>
      <c r="N668">
        <f t="shared" si="43"/>
        <v>55.81181859910096</v>
      </c>
    </row>
    <row r="669" spans="9:14" x14ac:dyDescent="0.25">
      <c r="I669">
        <f>'S-Curve'!A668</f>
        <v>416</v>
      </c>
      <c r="J669" s="2">
        <f>'S-Curve'!C668</f>
        <v>1.33555850502438E-2</v>
      </c>
      <c r="K669" s="3">
        <f t="shared" si="40"/>
        <v>3.1883107055609462E-2</v>
      </c>
      <c r="L669" s="3">
        <f t="shared" si="41"/>
        <v>6.5795114458541665E-2</v>
      </c>
      <c r="M669">
        <f t="shared" si="42"/>
        <v>32.215003213634134</v>
      </c>
      <c r="N669">
        <f t="shared" si="43"/>
        <v>55.811871338690992</v>
      </c>
    </row>
    <row r="670" spans="9:14" x14ac:dyDescent="0.25">
      <c r="I670">
        <f>'S-Curve'!A669</f>
        <v>417</v>
      </c>
      <c r="J670" s="2">
        <f>'S-Curve'!C669</f>
        <v>1.33556039110851E-2</v>
      </c>
      <c r="K670" s="3">
        <f t="shared" si="40"/>
        <v>3.1883152081134E-2</v>
      </c>
      <c r="L670" s="3">
        <f t="shared" si="41"/>
        <v>6.5795207374816575E-2</v>
      </c>
      <c r="M670">
        <f t="shared" si="42"/>
        <v>32.215041044449102</v>
      </c>
      <c r="N670">
        <f t="shared" si="43"/>
        <v>55.811924078223306</v>
      </c>
    </row>
    <row r="671" spans="9:14" x14ac:dyDescent="0.25">
      <c r="I671">
        <f>'S-Curve'!A670</f>
        <v>418</v>
      </c>
      <c r="J671" s="2">
        <f>'S-Curve'!C670</f>
        <v>1.3355622771926402E-2</v>
      </c>
      <c r="K671" s="3">
        <f t="shared" si="40"/>
        <v>3.1883197106658531E-2</v>
      </c>
      <c r="L671" s="3">
        <f t="shared" si="41"/>
        <v>6.5795300291091485E-2</v>
      </c>
      <c r="M671">
        <f t="shared" si="42"/>
        <v>32.215078875244728</v>
      </c>
      <c r="N671">
        <f t="shared" si="43"/>
        <v>55.811976817697918</v>
      </c>
    </row>
    <row r="672" spans="9:14" x14ac:dyDescent="0.25">
      <c r="I672">
        <f>'S-Curve'!A671</f>
        <v>419</v>
      </c>
      <c r="J672" s="2">
        <f>'S-Curve'!C671</f>
        <v>1.3355641632767699E-2</v>
      </c>
      <c r="K672" s="3">
        <f t="shared" si="40"/>
        <v>3.1883242132183062E-2</v>
      </c>
      <c r="L672" s="3">
        <f t="shared" si="41"/>
        <v>6.5795393207366382E-2</v>
      </c>
      <c r="M672">
        <f t="shared" si="42"/>
        <v>32.215116706021007</v>
      </c>
      <c r="N672">
        <f t="shared" si="43"/>
        <v>55.812029557114862</v>
      </c>
    </row>
    <row r="673" spans="9:14" x14ac:dyDescent="0.25">
      <c r="I673">
        <f>'S-Curve'!A672</f>
        <v>420</v>
      </c>
      <c r="J673" s="2">
        <f>'S-Curve'!C672</f>
        <v>1.3355660493609001E-2</v>
      </c>
      <c r="K673" s="3">
        <f t="shared" si="40"/>
        <v>3.1883287157707593E-2</v>
      </c>
      <c r="L673" s="3">
        <f t="shared" si="41"/>
        <v>6.5795486123641306E-2</v>
      </c>
      <c r="M673">
        <f t="shared" si="42"/>
        <v>32.215154536777924</v>
      </c>
      <c r="N673">
        <f t="shared" si="43"/>
        <v>55.812082296474117</v>
      </c>
    </row>
    <row r="674" spans="9:14" x14ac:dyDescent="0.25">
      <c r="I674">
        <f>'S-Curve'!A673</f>
        <v>421</v>
      </c>
      <c r="J674" s="2">
        <f>'S-Curve'!C673</f>
        <v>1.3355679354450301E-2</v>
      </c>
      <c r="K674" s="3">
        <f t="shared" si="40"/>
        <v>3.1883332183232131E-2</v>
      </c>
      <c r="L674" s="3">
        <f t="shared" si="41"/>
        <v>6.5795579039916216E-2</v>
      </c>
      <c r="M674">
        <f t="shared" si="42"/>
        <v>32.21519236751552</v>
      </c>
      <c r="N674">
        <f t="shared" si="43"/>
        <v>55.812135035775626</v>
      </c>
    </row>
    <row r="675" spans="9:14" x14ac:dyDescent="0.25">
      <c r="I675">
        <f>'S-Curve'!A674</f>
        <v>422</v>
      </c>
      <c r="J675" s="2">
        <f>'S-Curve'!C674</f>
        <v>1.33556982152916E-2</v>
      </c>
      <c r="K675" s="3">
        <f t="shared" si="40"/>
        <v>3.1883377208756655E-2</v>
      </c>
      <c r="L675" s="3">
        <f t="shared" si="41"/>
        <v>6.5795671956191126E-2</v>
      </c>
      <c r="M675">
        <f t="shared" si="42"/>
        <v>32.215230198233712</v>
      </c>
      <c r="N675">
        <f t="shared" si="43"/>
        <v>55.812187775019517</v>
      </c>
    </row>
    <row r="676" spans="9:14" x14ac:dyDescent="0.25">
      <c r="I676">
        <f>'S-Curve'!A675</f>
        <v>423</v>
      </c>
      <c r="J676" s="2">
        <f>'S-Curve'!C675</f>
        <v>1.3355716909222801E-2</v>
      </c>
      <c r="K676" s="3">
        <f t="shared" si="40"/>
        <v>3.1883421835825224E-2</v>
      </c>
      <c r="L676" s="3">
        <f t="shared" si="41"/>
        <v>6.5795764050198116E-2</v>
      </c>
      <c r="M676">
        <f t="shared" si="42"/>
        <v>32.215267694147762</v>
      </c>
      <c r="N676">
        <f t="shared" si="43"/>
        <v>55.812240047487464</v>
      </c>
    </row>
    <row r="677" spans="9:14" x14ac:dyDescent="0.25">
      <c r="I677">
        <f>'S-Curve'!A676</f>
        <v>424</v>
      </c>
      <c r="J677" s="2">
        <f>'S-Curve'!C676</f>
        <v>1.33557357700641E-2</v>
      </c>
      <c r="K677" s="3">
        <f t="shared" si="40"/>
        <v>3.1883466861349755E-2</v>
      </c>
      <c r="L677" s="3">
        <f t="shared" si="41"/>
        <v>6.5795856966473026E-2</v>
      </c>
      <c r="M677">
        <f t="shared" si="42"/>
        <v>32.215305524827386</v>
      </c>
      <c r="N677">
        <f t="shared" si="43"/>
        <v>55.812292786616389</v>
      </c>
    </row>
    <row r="678" spans="9:14" x14ac:dyDescent="0.25">
      <c r="I678">
        <f>'S-Curve'!A677</f>
        <v>425</v>
      </c>
      <c r="J678" s="2">
        <f>'S-Curve'!C677</f>
        <v>1.33557546309054E-2</v>
      </c>
      <c r="K678" s="3">
        <f t="shared" si="40"/>
        <v>3.1883511886874286E-2</v>
      </c>
      <c r="L678" s="3">
        <f t="shared" si="41"/>
        <v>6.5795949882747937E-2</v>
      </c>
      <c r="M678">
        <f t="shared" si="42"/>
        <v>32.215343355487725</v>
      </c>
      <c r="N678">
        <f t="shared" si="43"/>
        <v>55.812345525687626</v>
      </c>
    </row>
    <row r="679" spans="9:14" x14ac:dyDescent="0.25">
      <c r="I679">
        <f>'S-Curve'!A678</f>
        <v>426</v>
      </c>
      <c r="J679" s="2">
        <f>'S-Curve'!C678</f>
        <v>1.3355773491746702E-2</v>
      </c>
      <c r="K679" s="3">
        <f t="shared" si="40"/>
        <v>3.1883556912398824E-2</v>
      </c>
      <c r="L679" s="3">
        <f t="shared" si="41"/>
        <v>6.5796042799022847E-2</v>
      </c>
      <c r="M679">
        <f t="shared" si="42"/>
        <v>32.215381186128731</v>
      </c>
      <c r="N679">
        <f t="shared" si="43"/>
        <v>55.81239826470118</v>
      </c>
    </row>
    <row r="680" spans="9:14" x14ac:dyDescent="0.25">
      <c r="I680">
        <f>'S-Curve'!A679</f>
        <v>427</v>
      </c>
      <c r="J680" s="2">
        <f>'S-Curve'!C679</f>
        <v>1.3355792352588E-2</v>
      </c>
      <c r="K680" s="3">
        <f t="shared" si="40"/>
        <v>3.1883601937923355E-2</v>
      </c>
      <c r="L680" s="3">
        <f t="shared" si="41"/>
        <v>6.5796135715297757E-2</v>
      </c>
      <c r="M680">
        <f t="shared" si="42"/>
        <v>32.21541901675036</v>
      </c>
      <c r="N680">
        <f t="shared" si="43"/>
        <v>55.812451003657017</v>
      </c>
    </row>
    <row r="681" spans="9:14" x14ac:dyDescent="0.25">
      <c r="I681">
        <f>'S-Curve'!A680</f>
        <v>428</v>
      </c>
      <c r="J681" s="2">
        <f>'S-Curve'!C680</f>
        <v>1.3355811213429301E-2</v>
      </c>
      <c r="K681" s="3">
        <f t="shared" si="40"/>
        <v>3.1883646963447886E-2</v>
      </c>
      <c r="L681" s="3">
        <f t="shared" si="41"/>
        <v>6.5796228631572667E-2</v>
      </c>
      <c r="M681">
        <f t="shared" si="42"/>
        <v>32.215456847352584</v>
      </c>
      <c r="N681">
        <f t="shared" si="43"/>
        <v>55.812503742555151</v>
      </c>
    </row>
    <row r="682" spans="9:14" x14ac:dyDescent="0.25">
      <c r="I682">
        <f>'S-Curve'!A681</f>
        <v>429</v>
      </c>
      <c r="J682" s="2">
        <f>'S-Curve'!C681</f>
        <v>1.3355830074270603E-2</v>
      </c>
      <c r="K682" s="3">
        <f t="shared" si="40"/>
        <v>3.1883691988972424E-2</v>
      </c>
      <c r="L682" s="3">
        <f t="shared" si="41"/>
        <v>6.5796321547847592E-2</v>
      </c>
      <c r="M682">
        <f t="shared" si="42"/>
        <v>32.215494677935496</v>
      </c>
      <c r="N682">
        <f t="shared" si="43"/>
        <v>55.812556481395667</v>
      </c>
    </row>
    <row r="683" spans="9:14" x14ac:dyDescent="0.25">
      <c r="I683">
        <f>'S-Curve'!A682</f>
        <v>430</v>
      </c>
      <c r="J683" s="2">
        <f>'S-Curve'!C682</f>
        <v>1.3355848935111899E-2</v>
      </c>
      <c r="K683" s="3">
        <f t="shared" si="40"/>
        <v>3.1883737014496948E-2</v>
      </c>
      <c r="L683" s="3">
        <f t="shared" si="41"/>
        <v>6.5796414464122488E-2</v>
      </c>
      <c r="M683">
        <f t="shared" si="42"/>
        <v>32.215532508499031</v>
      </c>
      <c r="N683">
        <f t="shared" si="43"/>
        <v>55.812609220178423</v>
      </c>
    </row>
    <row r="684" spans="9:14" x14ac:dyDescent="0.25">
      <c r="I684">
        <f>'S-Curve'!A683</f>
        <v>431</v>
      </c>
      <c r="J684" s="2">
        <f>'S-Curve'!C683</f>
        <v>1.3355867629043103E-2</v>
      </c>
      <c r="K684" s="3">
        <f t="shared" si="40"/>
        <v>3.1883781641565523E-2</v>
      </c>
      <c r="L684" s="3">
        <f t="shared" si="41"/>
        <v>6.5796506558129492E-2</v>
      </c>
      <c r="M684">
        <f t="shared" si="42"/>
        <v>32.21557000425981</v>
      </c>
      <c r="N684">
        <f t="shared" si="43"/>
        <v>55.812661492189328</v>
      </c>
    </row>
    <row r="685" spans="9:14" x14ac:dyDescent="0.25">
      <c r="I685">
        <f>'S-Curve'!A684</f>
        <v>432</v>
      </c>
      <c r="J685" s="2">
        <f>'S-Curve'!C684</f>
        <v>1.33558864898844E-2</v>
      </c>
      <c r="K685" s="3">
        <f t="shared" si="40"/>
        <v>3.1883826667090047E-2</v>
      </c>
      <c r="L685" s="3">
        <f t="shared" si="41"/>
        <v>6.5796599474404388E-2</v>
      </c>
      <c r="M685">
        <f t="shared" si="42"/>
        <v>32.215607834784734</v>
      </c>
      <c r="N685">
        <f t="shared" si="43"/>
        <v>55.812714230857196</v>
      </c>
    </row>
    <row r="686" spans="9:14" x14ac:dyDescent="0.25">
      <c r="I686">
        <f>'S-Curve'!A685</f>
        <v>433</v>
      </c>
      <c r="J686" s="2">
        <f>'S-Curve'!C685</f>
        <v>1.3355905350725701E-2</v>
      </c>
      <c r="K686" s="3">
        <f t="shared" si="40"/>
        <v>3.1883871692614585E-2</v>
      </c>
      <c r="L686" s="3">
        <f t="shared" si="41"/>
        <v>6.5796692390679298E-2</v>
      </c>
      <c r="M686">
        <f t="shared" si="42"/>
        <v>32.215645665290495</v>
      </c>
      <c r="N686">
        <f t="shared" si="43"/>
        <v>55.812766969467333</v>
      </c>
    </row>
    <row r="687" spans="9:14" x14ac:dyDescent="0.25">
      <c r="I687">
        <f>'S-Curve'!A686</f>
        <v>434</v>
      </c>
      <c r="J687" s="2">
        <f>'S-Curve'!C686</f>
        <v>1.3355924211567002E-2</v>
      </c>
      <c r="K687" s="3">
        <f t="shared" si="40"/>
        <v>3.1883916718139116E-2</v>
      </c>
      <c r="L687" s="3">
        <f t="shared" si="41"/>
        <v>6.5796785306954222E-2</v>
      </c>
      <c r="M687">
        <f t="shared" si="42"/>
        <v>32.21568349577668</v>
      </c>
      <c r="N687">
        <f t="shared" si="43"/>
        <v>55.812819708019788</v>
      </c>
    </row>
    <row r="688" spans="9:14" x14ac:dyDescent="0.25">
      <c r="I688">
        <f>'S-Curve'!A687</f>
        <v>435</v>
      </c>
      <c r="J688" s="2">
        <f>'S-Curve'!C687</f>
        <v>1.33559430724083E-2</v>
      </c>
      <c r="K688" s="3">
        <f t="shared" si="40"/>
        <v>3.1883961743663647E-2</v>
      </c>
      <c r="L688" s="3">
        <f t="shared" si="41"/>
        <v>6.5796878223229119E-2</v>
      </c>
      <c r="M688">
        <f t="shared" si="42"/>
        <v>32.215721326243731</v>
      </c>
      <c r="N688">
        <f t="shared" si="43"/>
        <v>55.812872446514547</v>
      </c>
    </row>
    <row r="689" spans="9:14" x14ac:dyDescent="0.25">
      <c r="I689">
        <f>'S-Curve'!A688</f>
        <v>436</v>
      </c>
      <c r="J689" s="2">
        <f>'S-Curve'!C688</f>
        <v>1.33559619332496E-2</v>
      </c>
      <c r="K689" s="3">
        <f t="shared" si="40"/>
        <v>3.1884006769188178E-2</v>
      </c>
      <c r="L689" s="3">
        <f t="shared" si="41"/>
        <v>6.5796971139504029E-2</v>
      </c>
      <c r="M689">
        <f t="shared" si="42"/>
        <v>32.215759156691263</v>
      </c>
      <c r="N689">
        <f t="shared" si="43"/>
        <v>55.812925184951624</v>
      </c>
    </row>
    <row r="690" spans="9:14" x14ac:dyDescent="0.25">
      <c r="I690">
        <f>'S-Curve'!A689</f>
        <v>437</v>
      </c>
      <c r="J690" s="2">
        <f>'S-Curve'!C689</f>
        <v>1.3355980794090902E-2</v>
      </c>
      <c r="K690" s="3">
        <f t="shared" si="40"/>
        <v>3.1884051794712716E-2</v>
      </c>
      <c r="L690" s="3">
        <f t="shared" si="41"/>
        <v>6.5797064055778953E-2</v>
      </c>
      <c r="M690">
        <f t="shared" si="42"/>
        <v>32.215796987119582</v>
      </c>
      <c r="N690">
        <f t="shared" si="43"/>
        <v>55.81297792333104</v>
      </c>
    </row>
    <row r="691" spans="9:14" x14ac:dyDescent="0.25">
      <c r="I691">
        <f>'S-Curve'!A690</f>
        <v>438</v>
      </c>
      <c r="J691" s="2">
        <f>'S-Curve'!C690</f>
        <v>1.3355999488022101E-2</v>
      </c>
      <c r="K691" s="3">
        <f t="shared" si="40"/>
        <v>3.1884096421781277E-2</v>
      </c>
      <c r="L691" s="3">
        <f t="shared" si="41"/>
        <v>6.5797156149785929E-2</v>
      </c>
      <c r="M691">
        <f t="shared" si="42"/>
        <v>32.215834482746153</v>
      </c>
      <c r="N691">
        <f t="shared" si="43"/>
        <v>55.813030194942037</v>
      </c>
    </row>
    <row r="692" spans="9:14" x14ac:dyDescent="0.25">
      <c r="I692">
        <f>'S-Curve'!A691</f>
        <v>439</v>
      </c>
      <c r="J692" s="2">
        <f>'S-Curve'!C691</f>
        <v>1.3356018348863402E-2</v>
      </c>
      <c r="K692" s="3">
        <f t="shared" si="40"/>
        <v>3.1884141447305808E-2</v>
      </c>
      <c r="L692" s="3">
        <f t="shared" si="41"/>
        <v>6.5797249066060853E-2</v>
      </c>
      <c r="M692">
        <f t="shared" si="42"/>
        <v>32.21587231313584</v>
      </c>
      <c r="N692">
        <f t="shared" si="43"/>
        <v>55.813082933206616</v>
      </c>
    </row>
    <row r="693" spans="9:14" x14ac:dyDescent="0.25">
      <c r="I693">
        <f>'S-Curve'!A692</f>
        <v>440</v>
      </c>
      <c r="J693" s="2">
        <f>'S-Curve'!C692</f>
        <v>1.3356037209704701E-2</v>
      </c>
      <c r="K693" s="3">
        <f t="shared" si="40"/>
        <v>3.1884186472830339E-2</v>
      </c>
      <c r="L693" s="3">
        <f t="shared" si="41"/>
        <v>6.579734198233575E-2</v>
      </c>
      <c r="M693">
        <f t="shared" si="42"/>
        <v>32.215910143506221</v>
      </c>
      <c r="N693">
        <f t="shared" si="43"/>
        <v>55.81313567141337</v>
      </c>
    </row>
    <row r="694" spans="9:14" x14ac:dyDescent="0.25">
      <c r="I694">
        <f>'S-Curve'!A693</f>
        <v>441</v>
      </c>
      <c r="J694" s="2">
        <f>'S-Curve'!C693</f>
        <v>1.3356056070546001E-2</v>
      </c>
      <c r="K694" s="3">
        <f t="shared" si="40"/>
        <v>3.188423149835487E-2</v>
      </c>
      <c r="L694" s="3">
        <f t="shared" si="41"/>
        <v>6.579743489861066E-2</v>
      </c>
      <c r="M694">
        <f t="shared" si="42"/>
        <v>32.215947973857197</v>
      </c>
      <c r="N694">
        <f t="shared" si="43"/>
        <v>55.813188409562429</v>
      </c>
    </row>
    <row r="695" spans="9:14" x14ac:dyDescent="0.25">
      <c r="I695">
        <f>'S-Curve'!A694</f>
        <v>442</v>
      </c>
      <c r="J695" s="2">
        <f>'S-Curve'!C694</f>
        <v>1.3356074931387301E-2</v>
      </c>
      <c r="K695" s="3">
        <f t="shared" si="40"/>
        <v>3.1884276523879408E-2</v>
      </c>
      <c r="L695" s="3">
        <f t="shared" si="41"/>
        <v>6.5797527814885584E-2</v>
      </c>
      <c r="M695">
        <f t="shared" si="42"/>
        <v>32.215985804188882</v>
      </c>
      <c r="N695">
        <f t="shared" si="43"/>
        <v>55.813241147653812</v>
      </c>
    </row>
    <row r="696" spans="9:14" x14ac:dyDescent="0.25">
      <c r="I696">
        <f>'S-Curve'!A695</f>
        <v>443</v>
      </c>
      <c r="J696" s="2">
        <f>'S-Curve'!C695</f>
        <v>1.33560937922286E-2</v>
      </c>
      <c r="K696" s="3">
        <f t="shared" si="40"/>
        <v>3.1884321549403932E-2</v>
      </c>
      <c r="L696" s="3">
        <f t="shared" si="41"/>
        <v>6.579762073116048E-2</v>
      </c>
      <c r="M696">
        <f t="shared" si="42"/>
        <v>32.216023634501148</v>
      </c>
      <c r="N696">
        <f t="shared" si="43"/>
        <v>55.813293885687465</v>
      </c>
    </row>
    <row r="697" spans="9:14" x14ac:dyDescent="0.25">
      <c r="I697">
        <f>'S-Curve'!A696</f>
        <v>444</v>
      </c>
      <c r="J697" s="2">
        <f>'S-Curve'!C696</f>
        <v>1.3356112653069902E-2</v>
      </c>
      <c r="K697" s="3">
        <f t="shared" si="40"/>
        <v>3.188436657492847E-2</v>
      </c>
      <c r="L697" s="3">
        <f t="shared" si="41"/>
        <v>6.5797713647435405E-2</v>
      </c>
      <c r="M697">
        <f t="shared" si="42"/>
        <v>32.216061464794123</v>
      </c>
      <c r="N697">
        <f t="shared" si="43"/>
        <v>55.813346623663449</v>
      </c>
    </row>
    <row r="698" spans="9:14" x14ac:dyDescent="0.25">
      <c r="I698">
        <f>'S-Curve'!A697</f>
        <v>445</v>
      </c>
      <c r="J698" s="2">
        <f>'S-Curve'!C697</f>
        <v>1.3356131513911202E-2</v>
      </c>
      <c r="K698" s="3">
        <f t="shared" si="40"/>
        <v>3.1884411600453008E-2</v>
      </c>
      <c r="L698" s="3">
        <f t="shared" si="41"/>
        <v>6.5797806563710315E-2</v>
      </c>
      <c r="M698">
        <f t="shared" si="42"/>
        <v>32.2160992950677</v>
      </c>
      <c r="N698">
        <f t="shared" si="43"/>
        <v>55.813399361581794</v>
      </c>
    </row>
    <row r="699" spans="9:14" x14ac:dyDescent="0.25">
      <c r="I699">
        <f>'S-Curve'!A698</f>
        <v>446</v>
      </c>
      <c r="J699" s="2">
        <f>'S-Curve'!C698</f>
        <v>1.3356150207842402E-2</v>
      </c>
      <c r="K699" s="3">
        <f t="shared" si="40"/>
        <v>3.188445622752157E-2</v>
      </c>
      <c r="L699" s="3">
        <f t="shared" si="41"/>
        <v>6.5797898657717305E-2</v>
      </c>
      <c r="M699">
        <f t="shared" si="42"/>
        <v>32.216136790541015</v>
      </c>
      <c r="N699">
        <f t="shared" si="43"/>
        <v>55.813451632735898</v>
      </c>
    </row>
    <row r="700" spans="9:14" x14ac:dyDescent="0.25">
      <c r="I700">
        <f>'S-Curve'!A699</f>
        <v>447</v>
      </c>
      <c r="J700" s="2">
        <f>'S-Curve'!C699</f>
        <v>1.3356169068683699E-2</v>
      </c>
      <c r="K700" s="3">
        <f t="shared" si="40"/>
        <v>3.1884501253046094E-2</v>
      </c>
      <c r="L700" s="3">
        <f t="shared" si="41"/>
        <v>6.5797991573992201E-2</v>
      </c>
      <c r="M700">
        <f t="shared" si="42"/>
        <v>32.216174620776108</v>
      </c>
      <c r="N700">
        <f t="shared" si="43"/>
        <v>55.813504370539292</v>
      </c>
    </row>
    <row r="701" spans="9:14" x14ac:dyDescent="0.25">
      <c r="I701">
        <f>'S-Curve'!A700</f>
        <v>448</v>
      </c>
      <c r="J701" s="2">
        <f>'S-Curve'!C700</f>
        <v>1.3356187929525001E-2</v>
      </c>
      <c r="K701" s="3">
        <f t="shared" si="40"/>
        <v>3.1884546278570632E-2</v>
      </c>
      <c r="L701" s="3">
        <f t="shared" si="41"/>
        <v>6.5798084490267111E-2</v>
      </c>
      <c r="M701">
        <f t="shared" si="42"/>
        <v>32.216212450991797</v>
      </c>
      <c r="N701">
        <f t="shared" si="43"/>
        <v>55.813557108284996</v>
      </c>
    </row>
    <row r="702" spans="9:14" x14ac:dyDescent="0.25">
      <c r="I702">
        <f>'S-Curve'!A701</f>
        <v>449</v>
      </c>
      <c r="J702" s="2">
        <f>'S-Curve'!C701</f>
        <v>1.3356206790366301E-2</v>
      </c>
      <c r="K702" s="3">
        <f t="shared" si="40"/>
        <v>3.1884591304095163E-2</v>
      </c>
      <c r="L702" s="3">
        <f t="shared" si="41"/>
        <v>6.5798177406542036E-2</v>
      </c>
      <c r="M702">
        <f t="shared" si="42"/>
        <v>32.216250281188117</v>
      </c>
      <c r="N702">
        <f t="shared" si="43"/>
        <v>55.813609845972969</v>
      </c>
    </row>
    <row r="703" spans="9:14" x14ac:dyDescent="0.25">
      <c r="I703">
        <f>'S-Curve'!A702</f>
        <v>450</v>
      </c>
      <c r="J703" s="2">
        <f>'S-Curve'!C702</f>
        <v>1.3356225651207599E-2</v>
      </c>
      <c r="K703" s="3">
        <f t="shared" si="40"/>
        <v>3.1884636329619694E-2</v>
      </c>
      <c r="L703" s="3">
        <f t="shared" si="41"/>
        <v>6.5798270322816932E-2</v>
      </c>
      <c r="M703">
        <f t="shared" si="42"/>
        <v>32.216288111365131</v>
      </c>
      <c r="N703">
        <f t="shared" si="43"/>
        <v>55.813662583603254</v>
      </c>
    </row>
  </sheetData>
  <mergeCells count="2">
    <mergeCell ref="K1:L1"/>
    <mergeCell ref="M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S-Curve</vt:lpstr>
      <vt:lpstr>Seasoning Ramp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2016-06-15T15:31:31Z</dcterms:created>
  <dcterms:modified xsi:type="dcterms:W3CDTF">2016-06-17T18:36:22Z</dcterms:modified>
</cp:coreProperties>
</file>