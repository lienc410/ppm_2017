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33315" windowHeight="194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2" i="3"/>
  <c r="T2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3" i="1"/>
  <c r="I4" i="1"/>
  <c r="I5" i="1"/>
  <c r="I2" i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2" i="1"/>
  <c r="AA98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</calcChain>
</file>

<file path=xl/sharedStrings.xml><?xml version="1.0" encoding="utf-8"?>
<sst xmlns="http://schemas.openxmlformats.org/spreadsheetml/2006/main" count="45" uniqueCount="21">
  <si>
    <t>originationDate</t>
  </si>
  <si>
    <t>cov_Num</t>
  </si>
  <si>
    <t>cov_Amt</t>
  </si>
  <si>
    <t>cov_WAC</t>
  </si>
  <si>
    <t>jum_Num</t>
  </si>
  <si>
    <t>jum_Amt</t>
  </si>
  <si>
    <t>jum_WAC</t>
  </si>
  <si>
    <t>Spread</t>
  </si>
  <si>
    <t>asOf</t>
  </si>
  <si>
    <t>MA_WAC_Spread</t>
  </si>
  <si>
    <t>asOf_lag1</t>
  </si>
  <si>
    <t>asOf_lag2</t>
  </si>
  <si>
    <t>conv_MtgRate</t>
  </si>
  <si>
    <t>MtgRate</t>
  </si>
  <si>
    <t>Diff</t>
  </si>
  <si>
    <t>Mkt Share</t>
  </si>
  <si>
    <t>cov_LLPA</t>
  </si>
  <si>
    <t>jum_LLPA</t>
  </si>
  <si>
    <t>TBA</t>
  </si>
  <si>
    <t>TBA-large loan size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</si>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</sst>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Spread</c:v>
                </c:pt>
              </c:strCache>
            </c:strRef>
          </c:tx>
          <c:marker>
            <c:symbol val="none"/>
          </c:marker>
          <c:cat>
            <c:numRef>
              <c:f>Sheet1!$A$2:$A$100</c:f>
              <c:numCache>
                <c:formatCode>m/d/yyyy</c:formatCode>
                <c:ptCount val="99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39873</c:v>
                </c:pt>
                <c:pt idx="7">
                  <c:v>39904</c:v>
                </c:pt>
                <c:pt idx="8">
                  <c:v>39934</c:v>
                </c:pt>
                <c:pt idx="9">
                  <c:v>39965</c:v>
                </c:pt>
                <c:pt idx="10">
                  <c:v>39995</c:v>
                </c:pt>
                <c:pt idx="11">
                  <c:v>40026</c:v>
                </c:pt>
                <c:pt idx="12">
                  <c:v>40057</c:v>
                </c:pt>
                <c:pt idx="13">
                  <c:v>40087</c:v>
                </c:pt>
                <c:pt idx="14">
                  <c:v>40118</c:v>
                </c:pt>
                <c:pt idx="15">
                  <c:v>40148</c:v>
                </c:pt>
                <c:pt idx="16">
                  <c:v>40179</c:v>
                </c:pt>
                <c:pt idx="17">
                  <c:v>40210</c:v>
                </c:pt>
                <c:pt idx="18">
                  <c:v>40238</c:v>
                </c:pt>
                <c:pt idx="19">
                  <c:v>40269</c:v>
                </c:pt>
                <c:pt idx="20">
                  <c:v>40299</c:v>
                </c:pt>
                <c:pt idx="21">
                  <c:v>40330</c:v>
                </c:pt>
                <c:pt idx="22">
                  <c:v>40360</c:v>
                </c:pt>
                <c:pt idx="23">
                  <c:v>40391</c:v>
                </c:pt>
                <c:pt idx="24">
                  <c:v>40422</c:v>
                </c:pt>
                <c:pt idx="25">
                  <c:v>40452</c:v>
                </c:pt>
                <c:pt idx="26">
                  <c:v>40483</c:v>
                </c:pt>
                <c:pt idx="27">
                  <c:v>40513</c:v>
                </c:pt>
                <c:pt idx="28">
                  <c:v>40544</c:v>
                </c:pt>
                <c:pt idx="29">
                  <c:v>40575</c:v>
                </c:pt>
                <c:pt idx="30">
                  <c:v>40603</c:v>
                </c:pt>
                <c:pt idx="31">
                  <c:v>40634</c:v>
                </c:pt>
                <c:pt idx="32">
                  <c:v>40664</c:v>
                </c:pt>
                <c:pt idx="33">
                  <c:v>40695</c:v>
                </c:pt>
                <c:pt idx="34">
                  <c:v>40725</c:v>
                </c:pt>
                <c:pt idx="35">
                  <c:v>40756</c:v>
                </c:pt>
                <c:pt idx="36">
                  <c:v>40787</c:v>
                </c:pt>
                <c:pt idx="37">
                  <c:v>40817</c:v>
                </c:pt>
                <c:pt idx="38">
                  <c:v>40848</c:v>
                </c:pt>
                <c:pt idx="39">
                  <c:v>40878</c:v>
                </c:pt>
                <c:pt idx="40">
                  <c:v>40909</c:v>
                </c:pt>
                <c:pt idx="41">
                  <c:v>40940</c:v>
                </c:pt>
                <c:pt idx="42">
                  <c:v>40969</c:v>
                </c:pt>
                <c:pt idx="43">
                  <c:v>41000</c:v>
                </c:pt>
                <c:pt idx="44">
                  <c:v>41030</c:v>
                </c:pt>
                <c:pt idx="45">
                  <c:v>41061</c:v>
                </c:pt>
                <c:pt idx="46">
                  <c:v>41091</c:v>
                </c:pt>
                <c:pt idx="47">
                  <c:v>41122</c:v>
                </c:pt>
                <c:pt idx="48">
                  <c:v>41153</c:v>
                </c:pt>
                <c:pt idx="49">
                  <c:v>41183</c:v>
                </c:pt>
                <c:pt idx="50">
                  <c:v>41214</c:v>
                </c:pt>
                <c:pt idx="51">
                  <c:v>41244</c:v>
                </c:pt>
                <c:pt idx="52">
                  <c:v>41275</c:v>
                </c:pt>
                <c:pt idx="53">
                  <c:v>41306</c:v>
                </c:pt>
                <c:pt idx="54">
                  <c:v>41334</c:v>
                </c:pt>
                <c:pt idx="55">
                  <c:v>41365</c:v>
                </c:pt>
                <c:pt idx="56">
                  <c:v>41395</c:v>
                </c:pt>
                <c:pt idx="57">
                  <c:v>41426</c:v>
                </c:pt>
                <c:pt idx="58">
                  <c:v>41456</c:v>
                </c:pt>
                <c:pt idx="59">
                  <c:v>41487</c:v>
                </c:pt>
                <c:pt idx="60">
                  <c:v>41518</c:v>
                </c:pt>
                <c:pt idx="61">
                  <c:v>41548</c:v>
                </c:pt>
                <c:pt idx="62">
                  <c:v>41579</c:v>
                </c:pt>
                <c:pt idx="63">
                  <c:v>41609</c:v>
                </c:pt>
                <c:pt idx="64">
                  <c:v>41640</c:v>
                </c:pt>
                <c:pt idx="65">
                  <c:v>41671</c:v>
                </c:pt>
                <c:pt idx="66">
                  <c:v>41699</c:v>
                </c:pt>
                <c:pt idx="67">
                  <c:v>41730</c:v>
                </c:pt>
                <c:pt idx="68">
                  <c:v>41760</c:v>
                </c:pt>
                <c:pt idx="69">
                  <c:v>41791</c:v>
                </c:pt>
                <c:pt idx="70">
                  <c:v>41821</c:v>
                </c:pt>
                <c:pt idx="71">
                  <c:v>41852</c:v>
                </c:pt>
                <c:pt idx="72">
                  <c:v>41883</c:v>
                </c:pt>
                <c:pt idx="73">
                  <c:v>41913</c:v>
                </c:pt>
                <c:pt idx="74">
                  <c:v>41944</c:v>
                </c:pt>
                <c:pt idx="75">
                  <c:v>41974</c:v>
                </c:pt>
                <c:pt idx="76">
                  <c:v>42005</c:v>
                </c:pt>
                <c:pt idx="77">
                  <c:v>42036</c:v>
                </c:pt>
                <c:pt idx="78">
                  <c:v>42064</c:v>
                </c:pt>
                <c:pt idx="79">
                  <c:v>42095</c:v>
                </c:pt>
                <c:pt idx="80">
                  <c:v>42125</c:v>
                </c:pt>
                <c:pt idx="81">
                  <c:v>42156</c:v>
                </c:pt>
                <c:pt idx="82">
                  <c:v>42186</c:v>
                </c:pt>
                <c:pt idx="83">
                  <c:v>42217</c:v>
                </c:pt>
                <c:pt idx="84">
                  <c:v>42248</c:v>
                </c:pt>
                <c:pt idx="85">
                  <c:v>42278</c:v>
                </c:pt>
                <c:pt idx="86">
                  <c:v>42309</c:v>
                </c:pt>
                <c:pt idx="87">
                  <c:v>42339</c:v>
                </c:pt>
                <c:pt idx="88">
                  <c:v>42370</c:v>
                </c:pt>
                <c:pt idx="89">
                  <c:v>42401</c:v>
                </c:pt>
                <c:pt idx="90">
                  <c:v>42430</c:v>
                </c:pt>
                <c:pt idx="91">
                  <c:v>42461</c:v>
                </c:pt>
                <c:pt idx="92">
                  <c:v>42491</c:v>
                </c:pt>
                <c:pt idx="93">
                  <c:v>42522</c:v>
                </c:pt>
                <c:pt idx="94">
                  <c:v>42552</c:v>
                </c:pt>
                <c:pt idx="95">
                  <c:v>42583</c:v>
                </c:pt>
                <c:pt idx="96">
                  <c:v>42614</c:v>
                </c:pt>
                <c:pt idx="97">
                  <c:v>42644</c:v>
                </c:pt>
                <c:pt idx="98">
                  <c:v>42675</c:v>
                </c:pt>
              </c:numCache>
            </c:numRef>
          </c:cat>
          <c:val>
            <c:numRef>
              <c:f>Sheet1!$H$2:$H$103</c:f>
              <c:numCache>
                <c:formatCode>0.00</c:formatCode>
                <c:ptCount val="102"/>
                <c:pt idx="0">
                  <c:v>5.1557605185355598E-2</c:v>
                </c:pt>
                <c:pt idx="1">
                  <c:v>9.5468963025563305E-2</c:v>
                </c:pt>
                <c:pt idx="2">
                  <c:v>0.157497730269678</c:v>
                </c:pt>
                <c:pt idx="3">
                  <c:v>0.17943003289343401</c:v>
                </c:pt>
                <c:pt idx="4">
                  <c:v>0.183427332964093</c:v>
                </c:pt>
                <c:pt idx="5">
                  <c:v>0.49051373759093297</c:v>
                </c:pt>
                <c:pt idx="6">
                  <c:v>0.33595671239987002</c:v>
                </c:pt>
                <c:pt idx="7">
                  <c:v>8.5906051591178298E-2</c:v>
                </c:pt>
                <c:pt idx="8">
                  <c:v>0.109634625812963</c:v>
                </c:pt>
                <c:pt idx="9">
                  <c:v>0.38165293464908701</c:v>
                </c:pt>
                <c:pt idx="10">
                  <c:v>0.22645630505158601</c:v>
                </c:pt>
                <c:pt idx="11">
                  <c:v>0.164127211715621</c:v>
                </c:pt>
                <c:pt idx="12">
                  <c:v>4.1419248682399096E-3</c:v>
                </c:pt>
                <c:pt idx="13">
                  <c:v>-4.6366467772108099E-3</c:v>
                </c:pt>
                <c:pt idx="14">
                  <c:v>7.2140534620146399E-2</c:v>
                </c:pt>
                <c:pt idx="15">
                  <c:v>0.119990852772033</c:v>
                </c:pt>
                <c:pt idx="16">
                  <c:v>0.113215607981901</c:v>
                </c:pt>
                <c:pt idx="17">
                  <c:v>0.120438266236279</c:v>
                </c:pt>
                <c:pt idx="18">
                  <c:v>5.28725839668455E-2</c:v>
                </c:pt>
                <c:pt idx="19">
                  <c:v>7.0462627623514906E-2</c:v>
                </c:pt>
                <c:pt idx="20">
                  <c:v>7.0514035884593998E-2</c:v>
                </c:pt>
                <c:pt idx="21">
                  <c:v>5.64658346626839E-2</c:v>
                </c:pt>
                <c:pt idx="22">
                  <c:v>3.8324812897943802E-2</c:v>
                </c:pt>
                <c:pt idx="23">
                  <c:v>3.51879774896557E-2</c:v>
                </c:pt>
                <c:pt idx="24">
                  <c:v>9.0188612492542494E-2</c:v>
                </c:pt>
                <c:pt idx="25">
                  <c:v>0.119728445581107</c:v>
                </c:pt>
                <c:pt idx="26">
                  <c:v>0.113700469795094</c:v>
                </c:pt>
                <c:pt idx="27">
                  <c:v>0.10785514931373801</c:v>
                </c:pt>
                <c:pt idx="28">
                  <c:v>0.12708266958661499</c:v>
                </c:pt>
                <c:pt idx="29">
                  <c:v>5.5312618904289998E-2</c:v>
                </c:pt>
                <c:pt idx="30">
                  <c:v>-3.1920602581872501E-2</c:v>
                </c:pt>
                <c:pt idx="31">
                  <c:v>-5.47564579382325E-2</c:v>
                </c:pt>
                <c:pt idx="32">
                  <c:v>-3.6446848174619399E-2</c:v>
                </c:pt>
                <c:pt idx="33">
                  <c:v>-5.8297975468956003E-3</c:v>
                </c:pt>
                <c:pt idx="34">
                  <c:v>-1.5460380991105801E-2</c:v>
                </c:pt>
                <c:pt idx="35">
                  <c:v>-6.3915009762449205E-4</c:v>
                </c:pt>
                <c:pt idx="36">
                  <c:v>1.1540973259353601E-2</c:v>
                </c:pt>
                <c:pt idx="37">
                  <c:v>-2.0700324849432499E-2</c:v>
                </c:pt>
                <c:pt idx="38">
                  <c:v>8.392560109279E-2</c:v>
                </c:pt>
                <c:pt idx="39">
                  <c:v>0.13937758643456599</c:v>
                </c:pt>
                <c:pt idx="40">
                  <c:v>0.15657165209436799</c:v>
                </c:pt>
                <c:pt idx="41">
                  <c:v>0.15423039117450099</c:v>
                </c:pt>
                <c:pt idx="42">
                  <c:v>0.102776193830753</c:v>
                </c:pt>
                <c:pt idx="43">
                  <c:v>0.10156605049341599</c:v>
                </c:pt>
                <c:pt idx="44">
                  <c:v>7.4422773759592303E-2</c:v>
                </c:pt>
                <c:pt idx="45">
                  <c:v>6.2914593367721802E-2</c:v>
                </c:pt>
                <c:pt idx="46">
                  <c:v>3.9630704352536503E-2</c:v>
                </c:pt>
                <c:pt idx="47">
                  <c:v>7.5256355662756694E-2</c:v>
                </c:pt>
                <c:pt idx="48">
                  <c:v>0.120762495403582</c:v>
                </c:pt>
                <c:pt idx="49">
                  <c:v>0.132000759421743</c:v>
                </c:pt>
                <c:pt idx="50">
                  <c:v>9.4397640232383201E-2</c:v>
                </c:pt>
                <c:pt idx="51">
                  <c:v>5.48436913119092E-2</c:v>
                </c:pt>
                <c:pt idx="52">
                  <c:v>9.0205967046469798E-2</c:v>
                </c:pt>
                <c:pt idx="53">
                  <c:v>0.10123899138492</c:v>
                </c:pt>
                <c:pt idx="54">
                  <c:v>0.11169602949174</c:v>
                </c:pt>
                <c:pt idx="55">
                  <c:v>0.107846047216046</c:v>
                </c:pt>
                <c:pt idx="56">
                  <c:v>0.10849540439482599</c:v>
                </c:pt>
                <c:pt idx="57">
                  <c:v>6.8578240839161003E-2</c:v>
                </c:pt>
                <c:pt idx="58">
                  <c:v>4.3273962268712503E-2</c:v>
                </c:pt>
                <c:pt idx="59">
                  <c:v>5.5921056614207598E-2</c:v>
                </c:pt>
                <c:pt idx="60">
                  <c:v>8.5484054670181497E-2</c:v>
                </c:pt>
                <c:pt idx="61">
                  <c:v>4.9091928173729003E-2</c:v>
                </c:pt>
                <c:pt idx="62">
                  <c:v>5.92653277254203E-2</c:v>
                </c:pt>
                <c:pt idx="63">
                  <c:v>-1.45311373845171E-3</c:v>
                </c:pt>
                <c:pt idx="64">
                  <c:v>1.06766637233035E-2</c:v>
                </c:pt>
                <c:pt idx="65">
                  <c:v>6.8295001761822099E-2</c:v>
                </c:pt>
                <c:pt idx="66">
                  <c:v>3.2661454703602703E-2</c:v>
                </c:pt>
                <c:pt idx="67">
                  <c:v>-1.14041694048E-2</c:v>
                </c:pt>
                <c:pt idx="68">
                  <c:v>1.39489765299363E-2</c:v>
                </c:pt>
                <c:pt idx="69">
                  <c:v>-1.01684745522671E-2</c:v>
                </c:pt>
                <c:pt idx="70">
                  <c:v>-9.6955190454025893E-3</c:v>
                </c:pt>
                <c:pt idx="71">
                  <c:v>-1.8193168757539901E-2</c:v>
                </c:pt>
                <c:pt idx="72">
                  <c:v>4.2517602395128803E-3</c:v>
                </c:pt>
                <c:pt idx="73">
                  <c:v>1.3861467291593E-2</c:v>
                </c:pt>
                <c:pt idx="74">
                  <c:v>2.45865296042868E-2</c:v>
                </c:pt>
                <c:pt idx="75">
                  <c:v>8.5672783919907396E-3</c:v>
                </c:pt>
                <c:pt idx="76">
                  <c:v>-6.7792671478543697E-3</c:v>
                </c:pt>
                <c:pt idx="77">
                  <c:v>1.1632110284179299E-2</c:v>
                </c:pt>
                <c:pt idx="78">
                  <c:v>-1.61390032263116E-2</c:v>
                </c:pt>
                <c:pt idx="79">
                  <c:v>2.7233940401467E-2</c:v>
                </c:pt>
                <c:pt idx="80">
                  <c:v>2.73962023895334E-2</c:v>
                </c:pt>
                <c:pt idx="81">
                  <c:v>3.04237756810493E-2</c:v>
                </c:pt>
                <c:pt idx="82">
                  <c:v>2.00121820575693E-2</c:v>
                </c:pt>
                <c:pt idx="83">
                  <c:v>2.0773934575060202E-2</c:v>
                </c:pt>
                <c:pt idx="84">
                  <c:v>1.19687375475709E-4</c:v>
                </c:pt>
                <c:pt idx="85">
                  <c:v>-1.79686571716491E-2</c:v>
                </c:pt>
                <c:pt idx="86">
                  <c:v>-6.11534129801726E-2</c:v>
                </c:pt>
                <c:pt idx="87">
                  <c:v>-6.2344905030367798E-2</c:v>
                </c:pt>
                <c:pt idx="88">
                  <c:v>-3.7788299216295403E-2</c:v>
                </c:pt>
                <c:pt idx="89">
                  <c:v>-7.3387642713221707E-2</c:v>
                </c:pt>
                <c:pt idx="90">
                  <c:v>-5.1669363052981802E-2</c:v>
                </c:pt>
                <c:pt idx="91">
                  <c:v>-1.06509757259761E-2</c:v>
                </c:pt>
                <c:pt idx="92">
                  <c:v>3.32664935619243E-2</c:v>
                </c:pt>
                <c:pt idx="93">
                  <c:v>5.0820086023443498E-2</c:v>
                </c:pt>
                <c:pt idx="94">
                  <c:v>4.3181443394655898E-2</c:v>
                </c:pt>
                <c:pt idx="95">
                  <c:v>5.2464565822009097E-2</c:v>
                </c:pt>
                <c:pt idx="96">
                  <c:v>2.6778805060617899E-2</c:v>
                </c:pt>
                <c:pt idx="97">
                  <c:v>5.6314799807599999E-2</c:v>
                </c:pt>
                <c:pt idx="98">
                  <c:v>8.7310344475365995E-2</c:v>
                </c:pt>
                <c:pt idx="99">
                  <c:v>8.2929909475397898E-2</c:v>
                </c:pt>
                <c:pt idx="100">
                  <c:v>9.6407576721698099E-2</c:v>
                </c:pt>
                <c:pt idx="101">
                  <c:v>0.132714789221687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457344"/>
        <c:axId val="316458880"/>
      </c:lineChart>
      <c:dateAx>
        <c:axId val="316457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6458880"/>
        <c:crosses val="autoZero"/>
        <c:auto val="1"/>
        <c:lblOffset val="100"/>
        <c:baseTimeUnit val="months"/>
      </c:dateAx>
      <c:valAx>
        <c:axId val="3164588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6457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Spread</c:v>
                </c:pt>
              </c:strCache>
            </c:strRef>
          </c:tx>
          <c:marker>
            <c:symbol val="none"/>
          </c:marker>
          <c:cat>
            <c:numRef>
              <c:f>Sheet1!$S$2:$S$175</c:f>
              <c:numCache>
                <c:formatCode>m/d/yyyy</c:formatCode>
                <c:ptCount val="174"/>
                <c:pt idx="0">
                  <c:v>39873</c:v>
                </c:pt>
                <c:pt idx="1">
                  <c:v>39904</c:v>
                </c:pt>
                <c:pt idx="2">
                  <c:v>39934</c:v>
                </c:pt>
                <c:pt idx="3">
                  <c:v>39965</c:v>
                </c:pt>
                <c:pt idx="4">
                  <c:v>39995</c:v>
                </c:pt>
                <c:pt idx="5">
                  <c:v>40026</c:v>
                </c:pt>
                <c:pt idx="6">
                  <c:v>40057</c:v>
                </c:pt>
                <c:pt idx="7">
                  <c:v>40087</c:v>
                </c:pt>
                <c:pt idx="8">
                  <c:v>40118</c:v>
                </c:pt>
                <c:pt idx="9">
                  <c:v>40148</c:v>
                </c:pt>
                <c:pt idx="10">
                  <c:v>40179</c:v>
                </c:pt>
                <c:pt idx="11">
                  <c:v>40210</c:v>
                </c:pt>
                <c:pt idx="12">
                  <c:v>40238</c:v>
                </c:pt>
                <c:pt idx="13">
                  <c:v>40269</c:v>
                </c:pt>
                <c:pt idx="14">
                  <c:v>40299</c:v>
                </c:pt>
                <c:pt idx="15">
                  <c:v>40330</c:v>
                </c:pt>
                <c:pt idx="16">
                  <c:v>40360</c:v>
                </c:pt>
                <c:pt idx="17">
                  <c:v>40391</c:v>
                </c:pt>
                <c:pt idx="18">
                  <c:v>40422</c:v>
                </c:pt>
                <c:pt idx="19">
                  <c:v>40452</c:v>
                </c:pt>
                <c:pt idx="20">
                  <c:v>40483</c:v>
                </c:pt>
                <c:pt idx="21">
                  <c:v>40513</c:v>
                </c:pt>
                <c:pt idx="22">
                  <c:v>40544</c:v>
                </c:pt>
                <c:pt idx="23">
                  <c:v>40575</c:v>
                </c:pt>
                <c:pt idx="24">
                  <c:v>40603</c:v>
                </c:pt>
                <c:pt idx="25">
                  <c:v>40634</c:v>
                </c:pt>
                <c:pt idx="26">
                  <c:v>40664</c:v>
                </c:pt>
                <c:pt idx="27">
                  <c:v>40695</c:v>
                </c:pt>
                <c:pt idx="28">
                  <c:v>40725</c:v>
                </c:pt>
                <c:pt idx="29">
                  <c:v>40756</c:v>
                </c:pt>
                <c:pt idx="30">
                  <c:v>40787</c:v>
                </c:pt>
                <c:pt idx="31">
                  <c:v>40817</c:v>
                </c:pt>
                <c:pt idx="32">
                  <c:v>40848</c:v>
                </c:pt>
                <c:pt idx="33">
                  <c:v>40878</c:v>
                </c:pt>
                <c:pt idx="34">
                  <c:v>40909</c:v>
                </c:pt>
                <c:pt idx="35">
                  <c:v>40940</c:v>
                </c:pt>
                <c:pt idx="36">
                  <c:v>40969</c:v>
                </c:pt>
                <c:pt idx="37">
                  <c:v>41000</c:v>
                </c:pt>
                <c:pt idx="38">
                  <c:v>41030</c:v>
                </c:pt>
                <c:pt idx="39">
                  <c:v>41061</c:v>
                </c:pt>
                <c:pt idx="40">
                  <c:v>41091</c:v>
                </c:pt>
                <c:pt idx="41">
                  <c:v>41122</c:v>
                </c:pt>
                <c:pt idx="42">
                  <c:v>41153</c:v>
                </c:pt>
                <c:pt idx="43">
                  <c:v>41183</c:v>
                </c:pt>
                <c:pt idx="44">
                  <c:v>41214</c:v>
                </c:pt>
                <c:pt idx="45">
                  <c:v>41244</c:v>
                </c:pt>
                <c:pt idx="46">
                  <c:v>41275</c:v>
                </c:pt>
                <c:pt idx="47">
                  <c:v>41306</c:v>
                </c:pt>
                <c:pt idx="48">
                  <c:v>41334</c:v>
                </c:pt>
                <c:pt idx="49">
                  <c:v>41365</c:v>
                </c:pt>
                <c:pt idx="50">
                  <c:v>41395</c:v>
                </c:pt>
                <c:pt idx="51">
                  <c:v>41426</c:v>
                </c:pt>
                <c:pt idx="52">
                  <c:v>41456</c:v>
                </c:pt>
                <c:pt idx="53">
                  <c:v>41487</c:v>
                </c:pt>
                <c:pt idx="54">
                  <c:v>41518</c:v>
                </c:pt>
                <c:pt idx="55">
                  <c:v>41548</c:v>
                </c:pt>
                <c:pt idx="56">
                  <c:v>41579</c:v>
                </c:pt>
                <c:pt idx="57">
                  <c:v>41609</c:v>
                </c:pt>
                <c:pt idx="58">
                  <c:v>41640</c:v>
                </c:pt>
                <c:pt idx="59">
                  <c:v>41671</c:v>
                </c:pt>
                <c:pt idx="60">
                  <c:v>41699</c:v>
                </c:pt>
                <c:pt idx="61">
                  <c:v>41730</c:v>
                </c:pt>
                <c:pt idx="62">
                  <c:v>41760</c:v>
                </c:pt>
                <c:pt idx="63">
                  <c:v>41791</c:v>
                </c:pt>
                <c:pt idx="64">
                  <c:v>41821</c:v>
                </c:pt>
                <c:pt idx="65">
                  <c:v>41852</c:v>
                </c:pt>
                <c:pt idx="66">
                  <c:v>41883</c:v>
                </c:pt>
                <c:pt idx="67">
                  <c:v>41913</c:v>
                </c:pt>
                <c:pt idx="68">
                  <c:v>41944</c:v>
                </c:pt>
                <c:pt idx="69">
                  <c:v>41974</c:v>
                </c:pt>
                <c:pt idx="70">
                  <c:v>42005</c:v>
                </c:pt>
                <c:pt idx="71">
                  <c:v>42036</c:v>
                </c:pt>
                <c:pt idx="72">
                  <c:v>42064</c:v>
                </c:pt>
                <c:pt idx="73">
                  <c:v>42095</c:v>
                </c:pt>
                <c:pt idx="74">
                  <c:v>42125</c:v>
                </c:pt>
                <c:pt idx="75">
                  <c:v>42156</c:v>
                </c:pt>
                <c:pt idx="76">
                  <c:v>42186</c:v>
                </c:pt>
                <c:pt idx="77">
                  <c:v>42217</c:v>
                </c:pt>
                <c:pt idx="78">
                  <c:v>42248</c:v>
                </c:pt>
                <c:pt idx="79">
                  <c:v>42278</c:v>
                </c:pt>
                <c:pt idx="80">
                  <c:v>42309</c:v>
                </c:pt>
                <c:pt idx="81">
                  <c:v>42339</c:v>
                </c:pt>
                <c:pt idx="82">
                  <c:v>42370</c:v>
                </c:pt>
                <c:pt idx="83">
                  <c:v>42401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</c:numCache>
            </c:numRef>
          </c:cat>
          <c:val>
            <c:numRef>
              <c:f>Sheet1!$T$2:$T$175</c:f>
              <c:numCache>
                <c:formatCode>0.00</c:formatCode>
                <c:ptCount val="174"/>
                <c:pt idx="0">
                  <c:v>0.33595671239987002</c:v>
                </c:pt>
                <c:pt idx="1">
                  <c:v>8.5906051591178298E-2</c:v>
                </c:pt>
                <c:pt idx="2">
                  <c:v>0.109634625812963</c:v>
                </c:pt>
                <c:pt idx="3">
                  <c:v>0.38165293464908701</c:v>
                </c:pt>
                <c:pt idx="4">
                  <c:v>0.22645630505158601</c:v>
                </c:pt>
                <c:pt idx="5">
                  <c:v>0.164127211715621</c:v>
                </c:pt>
                <c:pt idx="6">
                  <c:v>4.1419248682399096E-3</c:v>
                </c:pt>
                <c:pt idx="7">
                  <c:v>-4.6366467772108099E-3</c:v>
                </c:pt>
                <c:pt idx="8">
                  <c:v>7.2140534620146399E-2</c:v>
                </c:pt>
                <c:pt idx="9">
                  <c:v>0.119990852772033</c:v>
                </c:pt>
                <c:pt idx="10">
                  <c:v>0.113215607981901</c:v>
                </c:pt>
                <c:pt idx="11">
                  <c:v>0.120438266236279</c:v>
                </c:pt>
                <c:pt idx="12">
                  <c:v>5.28725839668455E-2</c:v>
                </c:pt>
                <c:pt idx="13">
                  <c:v>7.0462627623514906E-2</c:v>
                </c:pt>
                <c:pt idx="14">
                  <c:v>7.0514035884593998E-2</c:v>
                </c:pt>
                <c:pt idx="15">
                  <c:v>5.64658346626839E-2</c:v>
                </c:pt>
                <c:pt idx="16">
                  <c:v>3.8324812897943802E-2</c:v>
                </c:pt>
                <c:pt idx="17">
                  <c:v>3.51879774896557E-2</c:v>
                </c:pt>
                <c:pt idx="18">
                  <c:v>9.0188612492542494E-2</c:v>
                </c:pt>
                <c:pt idx="19">
                  <c:v>0.119728445581107</c:v>
                </c:pt>
                <c:pt idx="20">
                  <c:v>0.113700469795094</c:v>
                </c:pt>
                <c:pt idx="21">
                  <c:v>0.10785514931373801</c:v>
                </c:pt>
                <c:pt idx="22">
                  <c:v>0.12708266958661499</c:v>
                </c:pt>
                <c:pt idx="23">
                  <c:v>5.5312618904289998E-2</c:v>
                </c:pt>
                <c:pt idx="24">
                  <c:v>-3.1920602581872501E-2</c:v>
                </c:pt>
                <c:pt idx="25">
                  <c:v>-5.47564579382325E-2</c:v>
                </c:pt>
                <c:pt idx="26">
                  <c:v>-3.6446848174619399E-2</c:v>
                </c:pt>
                <c:pt idx="27">
                  <c:v>-5.8297975468956003E-3</c:v>
                </c:pt>
                <c:pt idx="28">
                  <c:v>-1.5460380991105801E-2</c:v>
                </c:pt>
                <c:pt idx="29">
                  <c:v>-6.3915009762449205E-4</c:v>
                </c:pt>
                <c:pt idx="30">
                  <c:v>1.1540973259353601E-2</c:v>
                </c:pt>
                <c:pt idx="31">
                  <c:v>-2.0700324849432499E-2</c:v>
                </c:pt>
                <c:pt idx="32">
                  <c:v>8.392560109279E-2</c:v>
                </c:pt>
                <c:pt idx="33">
                  <c:v>0.13937758643456599</c:v>
                </c:pt>
                <c:pt idx="34">
                  <c:v>0.15657165209436799</c:v>
                </c:pt>
                <c:pt idx="35">
                  <c:v>0.15423039117450099</c:v>
                </c:pt>
                <c:pt idx="36">
                  <c:v>0.102776193830753</c:v>
                </c:pt>
                <c:pt idx="37">
                  <c:v>0.10156605049341599</c:v>
                </c:pt>
                <c:pt idx="38">
                  <c:v>7.4422773759592303E-2</c:v>
                </c:pt>
                <c:pt idx="39">
                  <c:v>6.2914593367721802E-2</c:v>
                </c:pt>
                <c:pt idx="40">
                  <c:v>3.9630704352536503E-2</c:v>
                </c:pt>
                <c:pt idx="41">
                  <c:v>7.5256355662756694E-2</c:v>
                </c:pt>
                <c:pt idx="42">
                  <c:v>0.120762495403582</c:v>
                </c:pt>
                <c:pt idx="43">
                  <c:v>0.132000759421743</c:v>
                </c:pt>
                <c:pt idx="44">
                  <c:v>9.4397640232383201E-2</c:v>
                </c:pt>
                <c:pt idx="45">
                  <c:v>5.48436913119092E-2</c:v>
                </c:pt>
                <c:pt idx="46">
                  <c:v>9.0205967046469798E-2</c:v>
                </c:pt>
                <c:pt idx="47">
                  <c:v>0.10123899138492</c:v>
                </c:pt>
                <c:pt idx="48">
                  <c:v>0.11169602949174</c:v>
                </c:pt>
                <c:pt idx="49">
                  <c:v>0.107846047216046</c:v>
                </c:pt>
                <c:pt idx="50">
                  <c:v>0.10849540439482599</c:v>
                </c:pt>
                <c:pt idx="51">
                  <c:v>6.8578240839161003E-2</c:v>
                </c:pt>
                <c:pt idx="52">
                  <c:v>4.3273962268712503E-2</c:v>
                </c:pt>
                <c:pt idx="53">
                  <c:v>5.5921056614207598E-2</c:v>
                </c:pt>
                <c:pt idx="54">
                  <c:v>8.5484054670181497E-2</c:v>
                </c:pt>
                <c:pt idx="55">
                  <c:v>4.9091928173729003E-2</c:v>
                </c:pt>
                <c:pt idx="56">
                  <c:v>5.92653277254203E-2</c:v>
                </c:pt>
                <c:pt idx="57">
                  <c:v>-1.45311373845171E-3</c:v>
                </c:pt>
                <c:pt idx="58">
                  <c:v>1.06766637233035E-2</c:v>
                </c:pt>
                <c:pt idx="59">
                  <c:v>6.8295001761822099E-2</c:v>
                </c:pt>
                <c:pt idx="60">
                  <c:v>3.2661454703602703E-2</c:v>
                </c:pt>
                <c:pt idx="61">
                  <c:v>-1.14041694048E-2</c:v>
                </c:pt>
                <c:pt idx="62">
                  <c:v>1.39489765299363E-2</c:v>
                </c:pt>
                <c:pt idx="63">
                  <c:v>-1.01684745522671E-2</c:v>
                </c:pt>
                <c:pt idx="64">
                  <c:v>-9.6955190454025893E-3</c:v>
                </c:pt>
                <c:pt idx="65">
                  <c:v>-1.8193168757539901E-2</c:v>
                </c:pt>
                <c:pt idx="66">
                  <c:v>4.2517602395128803E-3</c:v>
                </c:pt>
                <c:pt idx="67">
                  <c:v>1.3861467291593E-2</c:v>
                </c:pt>
                <c:pt idx="68">
                  <c:v>2.45865296042868E-2</c:v>
                </c:pt>
                <c:pt idx="69">
                  <c:v>8.5672783919907396E-3</c:v>
                </c:pt>
                <c:pt idx="70">
                  <c:v>-6.7792671478543697E-3</c:v>
                </c:pt>
                <c:pt idx="71">
                  <c:v>1.1632110284179299E-2</c:v>
                </c:pt>
                <c:pt idx="72">
                  <c:v>-1.61390032263116E-2</c:v>
                </c:pt>
                <c:pt idx="73">
                  <c:v>2.7233940401467E-2</c:v>
                </c:pt>
                <c:pt idx="74">
                  <c:v>2.73962023895334E-2</c:v>
                </c:pt>
                <c:pt idx="75">
                  <c:v>3.04237756810493E-2</c:v>
                </c:pt>
                <c:pt idx="76">
                  <c:v>2.00121820575693E-2</c:v>
                </c:pt>
                <c:pt idx="77">
                  <c:v>2.0773934575060202E-2</c:v>
                </c:pt>
                <c:pt idx="78">
                  <c:v>1.19687375475709E-4</c:v>
                </c:pt>
                <c:pt idx="79">
                  <c:v>-1.79686571716491E-2</c:v>
                </c:pt>
                <c:pt idx="80">
                  <c:v>-6.11534129801726E-2</c:v>
                </c:pt>
                <c:pt idx="81">
                  <c:v>-6.2344905030367798E-2</c:v>
                </c:pt>
                <c:pt idx="82">
                  <c:v>-3.7788299216295403E-2</c:v>
                </c:pt>
                <c:pt idx="83">
                  <c:v>-7.3387642713221707E-2</c:v>
                </c:pt>
                <c:pt idx="84">
                  <c:v>-5.1669363052981802E-2</c:v>
                </c:pt>
                <c:pt idx="85">
                  <c:v>-1.06509757259761E-2</c:v>
                </c:pt>
                <c:pt idx="86">
                  <c:v>3.32664935619243E-2</c:v>
                </c:pt>
                <c:pt idx="87">
                  <c:v>5.0820086023443498E-2</c:v>
                </c:pt>
                <c:pt idx="88">
                  <c:v>4.3181443394655898E-2</c:v>
                </c:pt>
                <c:pt idx="89">
                  <c:v>5.2464565822009097E-2</c:v>
                </c:pt>
                <c:pt idx="90">
                  <c:v>2.6778805060617899E-2</c:v>
                </c:pt>
                <c:pt idx="91">
                  <c:v>5.6314799807599999E-2</c:v>
                </c:pt>
                <c:pt idx="92">
                  <c:v>8.7310344475365995E-2</c:v>
                </c:pt>
                <c:pt idx="93">
                  <c:v>8.2929909475397898E-2</c:v>
                </c:pt>
                <c:pt idx="94">
                  <c:v>9.6407576721698099E-2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MA_WAC_Spread</c:v>
                </c:pt>
              </c:strCache>
            </c:strRef>
          </c:tx>
          <c:marker>
            <c:symbol val="none"/>
          </c:marker>
          <c:cat>
            <c:numRef>
              <c:f>Sheet1!$S$2:$S$175</c:f>
              <c:numCache>
                <c:formatCode>m/d/yyyy</c:formatCode>
                <c:ptCount val="174"/>
                <c:pt idx="0">
                  <c:v>39873</c:v>
                </c:pt>
                <c:pt idx="1">
                  <c:v>39904</c:v>
                </c:pt>
                <c:pt idx="2">
                  <c:v>39934</c:v>
                </c:pt>
                <c:pt idx="3">
                  <c:v>39965</c:v>
                </c:pt>
                <c:pt idx="4">
                  <c:v>39995</c:v>
                </c:pt>
                <c:pt idx="5">
                  <c:v>40026</c:v>
                </c:pt>
                <c:pt idx="6">
                  <c:v>40057</c:v>
                </c:pt>
                <c:pt idx="7">
                  <c:v>40087</c:v>
                </c:pt>
                <c:pt idx="8">
                  <c:v>40118</c:v>
                </c:pt>
                <c:pt idx="9">
                  <c:v>40148</c:v>
                </c:pt>
                <c:pt idx="10">
                  <c:v>40179</c:v>
                </c:pt>
                <c:pt idx="11">
                  <c:v>40210</c:v>
                </c:pt>
                <c:pt idx="12">
                  <c:v>40238</c:v>
                </c:pt>
                <c:pt idx="13">
                  <c:v>40269</c:v>
                </c:pt>
                <c:pt idx="14">
                  <c:v>40299</c:v>
                </c:pt>
                <c:pt idx="15">
                  <c:v>40330</c:v>
                </c:pt>
                <c:pt idx="16">
                  <c:v>40360</c:v>
                </c:pt>
                <c:pt idx="17">
                  <c:v>40391</c:v>
                </c:pt>
                <c:pt idx="18">
                  <c:v>40422</c:v>
                </c:pt>
                <c:pt idx="19">
                  <c:v>40452</c:v>
                </c:pt>
                <c:pt idx="20">
                  <c:v>40483</c:v>
                </c:pt>
                <c:pt idx="21">
                  <c:v>40513</c:v>
                </c:pt>
                <c:pt idx="22">
                  <c:v>40544</c:v>
                </c:pt>
                <c:pt idx="23">
                  <c:v>40575</c:v>
                </c:pt>
                <c:pt idx="24">
                  <c:v>40603</c:v>
                </c:pt>
                <c:pt idx="25">
                  <c:v>40634</c:v>
                </c:pt>
                <c:pt idx="26">
                  <c:v>40664</c:v>
                </c:pt>
                <c:pt idx="27">
                  <c:v>40695</c:v>
                </c:pt>
                <c:pt idx="28">
                  <c:v>40725</c:v>
                </c:pt>
                <c:pt idx="29">
                  <c:v>40756</c:v>
                </c:pt>
                <c:pt idx="30">
                  <c:v>40787</c:v>
                </c:pt>
                <c:pt idx="31">
                  <c:v>40817</c:v>
                </c:pt>
                <c:pt idx="32">
                  <c:v>40848</c:v>
                </c:pt>
                <c:pt idx="33">
                  <c:v>40878</c:v>
                </c:pt>
                <c:pt idx="34">
                  <c:v>40909</c:v>
                </c:pt>
                <c:pt idx="35">
                  <c:v>40940</c:v>
                </c:pt>
                <c:pt idx="36">
                  <c:v>40969</c:v>
                </c:pt>
                <c:pt idx="37">
                  <c:v>41000</c:v>
                </c:pt>
                <c:pt idx="38">
                  <c:v>41030</c:v>
                </c:pt>
                <c:pt idx="39">
                  <c:v>41061</c:v>
                </c:pt>
                <c:pt idx="40">
                  <c:v>41091</c:v>
                </c:pt>
                <c:pt idx="41">
                  <c:v>41122</c:v>
                </c:pt>
                <c:pt idx="42">
                  <c:v>41153</c:v>
                </c:pt>
                <c:pt idx="43">
                  <c:v>41183</c:v>
                </c:pt>
                <c:pt idx="44">
                  <c:v>41214</c:v>
                </c:pt>
                <c:pt idx="45">
                  <c:v>41244</c:v>
                </c:pt>
                <c:pt idx="46">
                  <c:v>41275</c:v>
                </c:pt>
                <c:pt idx="47">
                  <c:v>41306</c:v>
                </c:pt>
                <c:pt idx="48">
                  <c:v>41334</c:v>
                </c:pt>
                <c:pt idx="49">
                  <c:v>41365</c:v>
                </c:pt>
                <c:pt idx="50">
                  <c:v>41395</c:v>
                </c:pt>
                <c:pt idx="51">
                  <c:v>41426</c:v>
                </c:pt>
                <c:pt idx="52">
                  <c:v>41456</c:v>
                </c:pt>
                <c:pt idx="53">
                  <c:v>41487</c:v>
                </c:pt>
                <c:pt idx="54">
                  <c:v>41518</c:v>
                </c:pt>
                <c:pt idx="55">
                  <c:v>41548</c:v>
                </c:pt>
                <c:pt idx="56">
                  <c:v>41579</c:v>
                </c:pt>
                <c:pt idx="57">
                  <c:v>41609</c:v>
                </c:pt>
                <c:pt idx="58">
                  <c:v>41640</c:v>
                </c:pt>
                <c:pt idx="59">
                  <c:v>41671</c:v>
                </c:pt>
                <c:pt idx="60">
                  <c:v>41699</c:v>
                </c:pt>
                <c:pt idx="61">
                  <c:v>41730</c:v>
                </c:pt>
                <c:pt idx="62">
                  <c:v>41760</c:v>
                </c:pt>
                <c:pt idx="63">
                  <c:v>41791</c:v>
                </c:pt>
                <c:pt idx="64">
                  <c:v>41821</c:v>
                </c:pt>
                <c:pt idx="65">
                  <c:v>41852</c:v>
                </c:pt>
                <c:pt idx="66">
                  <c:v>41883</c:v>
                </c:pt>
                <c:pt idx="67">
                  <c:v>41913</c:v>
                </c:pt>
                <c:pt idx="68">
                  <c:v>41944</c:v>
                </c:pt>
                <c:pt idx="69">
                  <c:v>41974</c:v>
                </c:pt>
                <c:pt idx="70">
                  <c:v>42005</c:v>
                </c:pt>
                <c:pt idx="71">
                  <c:v>42036</c:v>
                </c:pt>
                <c:pt idx="72">
                  <c:v>42064</c:v>
                </c:pt>
                <c:pt idx="73">
                  <c:v>42095</c:v>
                </c:pt>
                <c:pt idx="74">
                  <c:v>42125</c:v>
                </c:pt>
                <c:pt idx="75">
                  <c:v>42156</c:v>
                </c:pt>
                <c:pt idx="76">
                  <c:v>42186</c:v>
                </c:pt>
                <c:pt idx="77">
                  <c:v>42217</c:v>
                </c:pt>
                <c:pt idx="78">
                  <c:v>42248</c:v>
                </c:pt>
                <c:pt idx="79">
                  <c:v>42278</c:v>
                </c:pt>
                <c:pt idx="80">
                  <c:v>42309</c:v>
                </c:pt>
                <c:pt idx="81">
                  <c:v>42339</c:v>
                </c:pt>
                <c:pt idx="82">
                  <c:v>42370</c:v>
                </c:pt>
                <c:pt idx="83">
                  <c:v>42401</c:v>
                </c:pt>
                <c:pt idx="84">
                  <c:v>42430</c:v>
                </c:pt>
                <c:pt idx="85">
                  <c:v>42461</c:v>
                </c:pt>
                <c:pt idx="86">
                  <c:v>42491</c:v>
                </c:pt>
                <c:pt idx="87">
                  <c:v>42522</c:v>
                </c:pt>
                <c:pt idx="88">
                  <c:v>42552</c:v>
                </c:pt>
                <c:pt idx="89">
                  <c:v>42583</c:v>
                </c:pt>
                <c:pt idx="90">
                  <c:v>42614</c:v>
                </c:pt>
                <c:pt idx="91">
                  <c:v>42644</c:v>
                </c:pt>
                <c:pt idx="92">
                  <c:v>42675</c:v>
                </c:pt>
                <c:pt idx="93">
                  <c:v>42705</c:v>
                </c:pt>
                <c:pt idx="94">
                  <c:v>42736</c:v>
                </c:pt>
              </c:numCache>
            </c:numRef>
          </c:cat>
          <c:val>
            <c:numRef>
              <c:f>Sheet1!$U$2:$U$175</c:f>
              <c:numCache>
                <c:formatCode>General</c:formatCode>
                <c:ptCount val="174"/>
                <c:pt idx="0">
                  <c:v>0.19298256698817601</c:v>
                </c:pt>
                <c:pt idx="1">
                  <c:v>0.240382418190595</c:v>
                </c:pt>
                <c:pt idx="2">
                  <c:v>0.23878859961819801</c:v>
                </c:pt>
                <c:pt idx="3">
                  <c:v>0.23081141554207801</c:v>
                </c:pt>
                <c:pt idx="4">
                  <c:v>0.264515232501354</c:v>
                </c:pt>
                <c:pt idx="5">
                  <c:v>0.27168672784926901</c:v>
                </c:pt>
                <c:pt idx="6">
                  <c:v>0.217288973536717</c:v>
                </c:pt>
                <c:pt idx="7">
                  <c:v>0.16198650894811201</c:v>
                </c:pt>
                <c:pt idx="8">
                  <c:v>0.146896059220047</c:v>
                </c:pt>
                <c:pt idx="9">
                  <c:v>0.140647044021245</c:v>
                </c:pt>
                <c:pt idx="10">
                  <c:v>9.7036697041736106E-2</c:v>
                </c:pt>
                <c:pt idx="11">
                  <c:v>7.8163247530121896E-2</c:v>
                </c:pt>
                <c:pt idx="12">
                  <c:v>7.0881756616898106E-2</c:v>
                </c:pt>
                <c:pt idx="13">
                  <c:v>7.9003533133332401E-2</c:v>
                </c:pt>
                <c:pt idx="14">
                  <c:v>9.1520078866786703E-2</c:v>
                </c:pt>
                <c:pt idx="15">
                  <c:v>9.1248995744194594E-2</c:v>
                </c:pt>
                <c:pt idx="16">
                  <c:v>8.0661492725969799E-2</c:v>
                </c:pt>
                <c:pt idx="17">
                  <c:v>6.8179693545310199E-2</c:v>
                </c:pt>
                <c:pt idx="18">
                  <c:v>5.3971312087539601E-2</c:v>
                </c:pt>
                <c:pt idx="19">
                  <c:v>6.0190650175155798E-2</c:v>
                </c:pt>
                <c:pt idx="20">
                  <c:v>6.8401619834754596E-2</c:v>
                </c:pt>
                <c:pt idx="21">
                  <c:v>7.5599358819837995E-2</c:v>
                </c:pt>
                <c:pt idx="22">
                  <c:v>8.4164244595013801E-2</c:v>
                </c:pt>
                <c:pt idx="23">
                  <c:v>9.8957220709792404E-2</c:v>
                </c:pt>
                <c:pt idx="24">
                  <c:v>0.102311327612231</c:v>
                </c:pt>
                <c:pt idx="25">
                  <c:v>8.1959791766495593E-2</c:v>
                </c:pt>
                <c:pt idx="26">
                  <c:v>5.2878974513272198E-2</c:v>
                </c:pt>
                <c:pt idx="27">
                  <c:v>2.7854421518319801E-2</c:v>
                </c:pt>
                <c:pt idx="28">
                  <c:v>8.9069303748808507E-3</c:v>
                </c:pt>
                <c:pt idx="29">
                  <c:v>-1.4850244721405901E-2</c:v>
                </c:pt>
                <c:pt idx="30">
                  <c:v>-2.4175539555058401E-2</c:v>
                </c:pt>
                <c:pt idx="31">
                  <c:v>-1.6931943581520701E-2</c:v>
                </c:pt>
                <c:pt idx="32">
                  <c:v>-1.1255921400054001E-2</c:v>
                </c:pt>
                <c:pt idx="33">
                  <c:v>8.8061534778475399E-3</c:v>
                </c:pt>
                <c:pt idx="34">
                  <c:v>3.3007384141424498E-2</c:v>
                </c:pt>
                <c:pt idx="35">
                  <c:v>6.16793896556702E-2</c:v>
                </c:pt>
                <c:pt idx="36">
                  <c:v>8.7490979867691193E-2</c:v>
                </c:pt>
                <c:pt idx="37">
                  <c:v>0.102696849962924</c:v>
                </c:pt>
                <c:pt idx="38">
                  <c:v>0.12307457918673199</c:v>
                </c:pt>
                <c:pt idx="39">
                  <c:v>0.12149077463119901</c:v>
                </c:pt>
                <c:pt idx="40">
                  <c:v>0.108746942453392</c:v>
                </c:pt>
                <c:pt idx="41">
                  <c:v>8.9256784496420299E-2</c:v>
                </c:pt>
                <c:pt idx="42">
                  <c:v>7.6094445244462794E-2</c:v>
                </c:pt>
                <c:pt idx="43">
                  <c:v>7.9092162173267699E-2</c:v>
                </c:pt>
                <c:pt idx="44">
                  <c:v>8.4164613661322205E-2</c:v>
                </c:pt>
                <c:pt idx="45">
                  <c:v>8.7493758073453998E-2</c:v>
                </c:pt>
                <c:pt idx="46">
                  <c:v>8.6148607730818602E-2</c:v>
                </c:pt>
                <c:pt idx="47">
                  <c:v>9.4577818179807399E-2</c:v>
                </c:pt>
                <c:pt idx="48">
                  <c:v>9.8908257466834806E-2</c:v>
                </c:pt>
                <c:pt idx="49">
                  <c:v>9.7397179814861096E-2</c:v>
                </c:pt>
                <c:pt idx="50">
                  <c:v>9.3371394447244904E-2</c:v>
                </c:pt>
                <c:pt idx="51">
                  <c:v>9.5721021807652004E-2</c:v>
                </c:pt>
                <c:pt idx="52">
                  <c:v>9.8010113395527301E-2</c:v>
                </c:pt>
                <c:pt idx="53">
                  <c:v>9.0188112599234399E-2</c:v>
                </c:pt>
                <c:pt idx="54">
                  <c:v>8.2635123470782196E-2</c:v>
                </c:pt>
                <c:pt idx="55">
                  <c:v>7.8266461000522494E-2</c:v>
                </c:pt>
                <c:pt idx="56">
                  <c:v>6.8474107826802993E-2</c:v>
                </c:pt>
                <c:pt idx="57">
                  <c:v>6.0269095048568699E-2</c:v>
                </c:pt>
                <c:pt idx="58">
                  <c:v>4.8597202618966502E-2</c:v>
                </c:pt>
                <c:pt idx="59">
                  <c:v>4.3164319528065001E-2</c:v>
                </c:pt>
                <c:pt idx="60">
                  <c:v>4.5226643719334103E-2</c:v>
                </c:pt>
                <c:pt idx="61">
                  <c:v>3.6422877058237602E-2</c:v>
                </c:pt>
                <c:pt idx="62">
                  <c:v>2.6340194128482802E-2</c:v>
                </c:pt>
                <c:pt idx="63">
                  <c:v>1.8787468929235399E-2</c:v>
                </c:pt>
                <c:pt idx="64">
                  <c:v>1.7334908793599502E-2</c:v>
                </c:pt>
                <c:pt idx="65">
                  <c:v>1.3939544998815201E-2</c:v>
                </c:pt>
                <c:pt idx="66">
                  <c:v>-4.7515008774512901E-4</c:v>
                </c:pt>
                <c:pt idx="67">
                  <c:v>-5.2100991650934399E-3</c:v>
                </c:pt>
                <c:pt idx="68">
                  <c:v>-9.9915971569458596E-4</c:v>
                </c:pt>
                <c:pt idx="69">
                  <c:v>7.7376579669717095E-4</c:v>
                </c:pt>
                <c:pt idx="70">
                  <c:v>3.89639128740682E-3</c:v>
                </c:pt>
                <c:pt idx="71">
                  <c:v>4.3824332703315304E-3</c:v>
                </c:pt>
                <c:pt idx="72">
                  <c:v>9.3533131106180792E-3</c:v>
                </c:pt>
                <c:pt idx="73">
                  <c:v>5.9548525329806701E-3</c:v>
                </c:pt>
                <c:pt idx="74">
                  <c:v>8.1835980512929892E-3</c:v>
                </c:pt>
                <c:pt idx="75">
                  <c:v>8.6518768488340891E-3</c:v>
                </c:pt>
                <c:pt idx="76">
                  <c:v>1.22946263970105E-2</c:v>
                </c:pt>
                <c:pt idx="77">
                  <c:v>1.6759867931247799E-2</c:v>
                </c:pt>
                <c:pt idx="78">
                  <c:v>1.82835053130612E-2</c:v>
                </c:pt>
                <c:pt idx="79">
                  <c:v>2.0993287080025801E-2</c:v>
                </c:pt>
                <c:pt idx="80">
                  <c:v>1.34595208178398E-2</c:v>
                </c:pt>
                <c:pt idx="81">
                  <c:v>-1.2987484104445099E-3</c:v>
                </c:pt>
                <c:pt idx="82">
                  <c:v>-1.6760195195680699E-2</c:v>
                </c:pt>
                <c:pt idx="83">
                  <c:v>-2.6393608741324799E-2</c:v>
                </c:pt>
                <c:pt idx="84">
                  <c:v>-4.2087204956038501E-2</c:v>
                </c:pt>
                <c:pt idx="85">
                  <c:v>-5.0718713360781403E-2</c:v>
                </c:pt>
                <c:pt idx="86">
                  <c:v>-4.9499099786502597E-2</c:v>
                </c:pt>
                <c:pt idx="87">
                  <c:v>-3.3762448696153101E-2</c:v>
                </c:pt>
                <c:pt idx="88">
                  <c:v>-1.4901616853851199E-2</c:v>
                </c:pt>
                <c:pt idx="89">
                  <c:v>-1.4066597520259901E-3</c:v>
                </c:pt>
                <c:pt idx="90">
                  <c:v>1.9568708337179101E-2</c:v>
                </c:pt>
                <c:pt idx="91">
                  <c:v>3.2643403022779099E-2</c:v>
                </c:pt>
                <c:pt idx="92">
                  <c:v>4.3804365611708501E-2</c:v>
                </c:pt>
                <c:pt idx="93">
                  <c:v>4.74789703369018E-2</c:v>
                </c:pt>
                <c:pt idx="94">
                  <c:v>4.5424200260601302E-2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404288"/>
        <c:axId val="317405824"/>
      </c:lineChart>
      <c:dateAx>
        <c:axId val="317404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7405824"/>
        <c:crosses val="autoZero"/>
        <c:auto val="1"/>
        <c:lblOffset val="100"/>
        <c:baseTimeUnit val="months"/>
      </c:dateAx>
      <c:valAx>
        <c:axId val="3174058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7404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Mkt Share</c:v>
                </c:pt>
              </c:strCache>
            </c:strRef>
          </c:tx>
          <c:marker>
            <c:symbol val="none"/>
          </c:marker>
          <c:cat>
            <c:numRef>
              <c:f>Sheet1!$A$2:$A$106</c:f>
              <c:numCache>
                <c:formatCode>m/d/yyyy</c:formatCode>
                <c:ptCount val="105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39873</c:v>
                </c:pt>
                <c:pt idx="7">
                  <c:v>39904</c:v>
                </c:pt>
                <c:pt idx="8">
                  <c:v>39934</c:v>
                </c:pt>
                <c:pt idx="9">
                  <c:v>39965</c:v>
                </c:pt>
                <c:pt idx="10">
                  <c:v>39995</c:v>
                </c:pt>
                <c:pt idx="11">
                  <c:v>40026</c:v>
                </c:pt>
                <c:pt idx="12">
                  <c:v>40057</c:v>
                </c:pt>
                <c:pt idx="13">
                  <c:v>40087</c:v>
                </c:pt>
                <c:pt idx="14">
                  <c:v>40118</c:v>
                </c:pt>
                <c:pt idx="15">
                  <c:v>40148</c:v>
                </c:pt>
                <c:pt idx="16">
                  <c:v>40179</c:v>
                </c:pt>
                <c:pt idx="17">
                  <c:v>40210</c:v>
                </c:pt>
                <c:pt idx="18">
                  <c:v>40238</c:v>
                </c:pt>
                <c:pt idx="19">
                  <c:v>40269</c:v>
                </c:pt>
                <c:pt idx="20">
                  <c:v>40299</c:v>
                </c:pt>
                <c:pt idx="21">
                  <c:v>40330</c:v>
                </c:pt>
                <c:pt idx="22">
                  <c:v>40360</c:v>
                </c:pt>
                <c:pt idx="23">
                  <c:v>40391</c:v>
                </c:pt>
                <c:pt idx="24">
                  <c:v>40422</c:v>
                </c:pt>
                <c:pt idx="25">
                  <c:v>40452</c:v>
                </c:pt>
                <c:pt idx="26">
                  <c:v>40483</c:v>
                </c:pt>
                <c:pt idx="27">
                  <c:v>40513</c:v>
                </c:pt>
                <c:pt idx="28">
                  <c:v>40544</c:v>
                </c:pt>
                <c:pt idx="29">
                  <c:v>40575</c:v>
                </c:pt>
                <c:pt idx="30">
                  <c:v>40603</c:v>
                </c:pt>
                <c:pt idx="31">
                  <c:v>40634</c:v>
                </c:pt>
                <c:pt idx="32">
                  <c:v>40664</c:v>
                </c:pt>
                <c:pt idx="33">
                  <c:v>40695</c:v>
                </c:pt>
                <c:pt idx="34">
                  <c:v>40725</c:v>
                </c:pt>
                <c:pt idx="35">
                  <c:v>40756</c:v>
                </c:pt>
                <c:pt idx="36">
                  <c:v>40787</c:v>
                </c:pt>
                <c:pt idx="37">
                  <c:v>40817</c:v>
                </c:pt>
                <c:pt idx="38">
                  <c:v>40848</c:v>
                </c:pt>
                <c:pt idx="39">
                  <c:v>40878</c:v>
                </c:pt>
                <c:pt idx="40">
                  <c:v>40909</c:v>
                </c:pt>
                <c:pt idx="41">
                  <c:v>40940</c:v>
                </c:pt>
                <c:pt idx="42">
                  <c:v>40969</c:v>
                </c:pt>
                <c:pt idx="43">
                  <c:v>41000</c:v>
                </c:pt>
                <c:pt idx="44">
                  <c:v>41030</c:v>
                </c:pt>
                <c:pt idx="45">
                  <c:v>41061</c:v>
                </c:pt>
                <c:pt idx="46">
                  <c:v>41091</c:v>
                </c:pt>
                <c:pt idx="47">
                  <c:v>41122</c:v>
                </c:pt>
                <c:pt idx="48">
                  <c:v>41153</c:v>
                </c:pt>
                <c:pt idx="49">
                  <c:v>41183</c:v>
                </c:pt>
                <c:pt idx="50">
                  <c:v>41214</c:v>
                </c:pt>
                <c:pt idx="51">
                  <c:v>41244</c:v>
                </c:pt>
                <c:pt idx="52">
                  <c:v>41275</c:v>
                </c:pt>
                <c:pt idx="53">
                  <c:v>41306</c:v>
                </c:pt>
                <c:pt idx="54">
                  <c:v>41334</c:v>
                </c:pt>
                <c:pt idx="55">
                  <c:v>41365</c:v>
                </c:pt>
                <c:pt idx="56">
                  <c:v>41395</c:v>
                </c:pt>
                <c:pt idx="57">
                  <c:v>41426</c:v>
                </c:pt>
                <c:pt idx="58">
                  <c:v>41456</c:v>
                </c:pt>
                <c:pt idx="59">
                  <c:v>41487</c:v>
                </c:pt>
                <c:pt idx="60">
                  <c:v>41518</c:v>
                </c:pt>
                <c:pt idx="61">
                  <c:v>41548</c:v>
                </c:pt>
                <c:pt idx="62">
                  <c:v>41579</c:v>
                </c:pt>
                <c:pt idx="63">
                  <c:v>41609</c:v>
                </c:pt>
                <c:pt idx="64">
                  <c:v>41640</c:v>
                </c:pt>
                <c:pt idx="65">
                  <c:v>41671</c:v>
                </c:pt>
                <c:pt idx="66">
                  <c:v>41699</c:v>
                </c:pt>
                <c:pt idx="67">
                  <c:v>41730</c:v>
                </c:pt>
                <c:pt idx="68">
                  <c:v>41760</c:v>
                </c:pt>
                <c:pt idx="69">
                  <c:v>41791</c:v>
                </c:pt>
                <c:pt idx="70">
                  <c:v>41821</c:v>
                </c:pt>
                <c:pt idx="71">
                  <c:v>41852</c:v>
                </c:pt>
                <c:pt idx="72">
                  <c:v>41883</c:v>
                </c:pt>
                <c:pt idx="73">
                  <c:v>41913</c:v>
                </c:pt>
                <c:pt idx="74">
                  <c:v>41944</c:v>
                </c:pt>
                <c:pt idx="75">
                  <c:v>41974</c:v>
                </c:pt>
                <c:pt idx="76">
                  <c:v>42005</c:v>
                </c:pt>
                <c:pt idx="77">
                  <c:v>42036</c:v>
                </c:pt>
                <c:pt idx="78">
                  <c:v>42064</c:v>
                </c:pt>
                <c:pt idx="79">
                  <c:v>42095</c:v>
                </c:pt>
                <c:pt idx="80">
                  <c:v>42125</c:v>
                </c:pt>
                <c:pt idx="81">
                  <c:v>42156</c:v>
                </c:pt>
                <c:pt idx="82">
                  <c:v>42186</c:v>
                </c:pt>
                <c:pt idx="83">
                  <c:v>42217</c:v>
                </c:pt>
                <c:pt idx="84">
                  <c:v>42248</c:v>
                </c:pt>
                <c:pt idx="85">
                  <c:v>42278</c:v>
                </c:pt>
                <c:pt idx="86">
                  <c:v>42309</c:v>
                </c:pt>
                <c:pt idx="87">
                  <c:v>42339</c:v>
                </c:pt>
                <c:pt idx="88">
                  <c:v>42370</c:v>
                </c:pt>
                <c:pt idx="89">
                  <c:v>42401</c:v>
                </c:pt>
                <c:pt idx="90">
                  <c:v>42430</c:v>
                </c:pt>
                <c:pt idx="91">
                  <c:v>42461</c:v>
                </c:pt>
                <c:pt idx="92">
                  <c:v>42491</c:v>
                </c:pt>
                <c:pt idx="93">
                  <c:v>42522</c:v>
                </c:pt>
                <c:pt idx="94">
                  <c:v>42552</c:v>
                </c:pt>
                <c:pt idx="95">
                  <c:v>42583</c:v>
                </c:pt>
                <c:pt idx="96">
                  <c:v>42614</c:v>
                </c:pt>
                <c:pt idx="97">
                  <c:v>42644</c:v>
                </c:pt>
                <c:pt idx="98">
                  <c:v>42675</c:v>
                </c:pt>
                <c:pt idx="99">
                  <c:v>42705</c:v>
                </c:pt>
                <c:pt idx="100">
                  <c:v>42736</c:v>
                </c:pt>
                <c:pt idx="101">
                  <c:v>42767</c:v>
                </c:pt>
              </c:numCache>
            </c:numRef>
          </c:cat>
          <c:val>
            <c:numRef>
              <c:f>Sheet1!$I$2:$I$106</c:f>
              <c:numCache>
                <c:formatCode>0%</c:formatCode>
                <c:ptCount val="105"/>
                <c:pt idx="0">
                  <c:v>1.5735980252152566E-2</c:v>
                </c:pt>
                <c:pt idx="1">
                  <c:v>1.5833419536238031E-2</c:v>
                </c:pt>
                <c:pt idx="2">
                  <c:v>9.5043708849302053E-3</c:v>
                </c:pt>
                <c:pt idx="3">
                  <c:v>8.1627151384468678E-3</c:v>
                </c:pt>
                <c:pt idx="4">
                  <c:v>8.5823830981778381E-3</c:v>
                </c:pt>
                <c:pt idx="5">
                  <c:v>2.4477420334816846E-3</c:v>
                </c:pt>
                <c:pt idx="6">
                  <c:v>8.452658380802597E-4</c:v>
                </c:pt>
                <c:pt idx="7">
                  <c:v>1.860078897290696E-3</c:v>
                </c:pt>
                <c:pt idx="8">
                  <c:v>1.8857327460491664E-3</c:v>
                </c:pt>
                <c:pt idx="9">
                  <c:v>1.6677884773852794E-3</c:v>
                </c:pt>
                <c:pt idx="10">
                  <c:v>2.4034621610772668E-3</c:v>
                </c:pt>
                <c:pt idx="11">
                  <c:v>8.6795876668116553E-3</c:v>
                </c:pt>
                <c:pt idx="12">
                  <c:v>2.1005609611436511E-2</c:v>
                </c:pt>
                <c:pt idx="13">
                  <c:v>2.6680773108965231E-2</c:v>
                </c:pt>
                <c:pt idx="14">
                  <c:v>2.1757165898815389E-2</c:v>
                </c:pt>
                <c:pt idx="15">
                  <c:v>1.7190026792910425E-2</c:v>
                </c:pt>
                <c:pt idx="16">
                  <c:v>1.9912661734376835E-2</c:v>
                </c:pt>
                <c:pt idx="17">
                  <c:v>2.2973206699363164E-2</c:v>
                </c:pt>
                <c:pt idx="18">
                  <c:v>2.4282391842632905E-2</c:v>
                </c:pt>
                <c:pt idx="19">
                  <c:v>2.3365634215122628E-2</c:v>
                </c:pt>
                <c:pt idx="20">
                  <c:v>2.0887424754979109E-2</c:v>
                </c:pt>
                <c:pt idx="21">
                  <c:v>2.2092397132553118E-2</c:v>
                </c:pt>
                <c:pt idx="22">
                  <c:v>2.1801994878959927E-2</c:v>
                </c:pt>
                <c:pt idx="23">
                  <c:v>3.6713760954122543E-2</c:v>
                </c:pt>
                <c:pt idx="24">
                  <c:v>4.3732295419435081E-2</c:v>
                </c:pt>
                <c:pt idx="25">
                  <c:v>4.5559704741873909E-2</c:v>
                </c:pt>
                <c:pt idx="26">
                  <c:v>5.3735686114979891E-2</c:v>
                </c:pt>
                <c:pt idx="27">
                  <c:v>5.8061202083101865E-2</c:v>
                </c:pt>
                <c:pt idx="28">
                  <c:v>7.1181162951014704E-2</c:v>
                </c:pt>
                <c:pt idx="29">
                  <c:v>8.502634266904352E-2</c:v>
                </c:pt>
                <c:pt idx="30">
                  <c:v>8.6750588513609408E-2</c:v>
                </c:pt>
                <c:pt idx="31">
                  <c:v>6.3417153097153733E-2</c:v>
                </c:pt>
                <c:pt idx="32">
                  <c:v>7.2067985699745166E-2</c:v>
                </c:pt>
                <c:pt idx="33">
                  <c:v>7.7214377827368577E-2</c:v>
                </c:pt>
                <c:pt idx="34">
                  <c:v>9.5285163761734931E-2</c:v>
                </c:pt>
                <c:pt idx="35">
                  <c:v>9.6484310453446756E-2</c:v>
                </c:pt>
                <c:pt idx="36">
                  <c:v>0.10222683602344899</c:v>
                </c:pt>
                <c:pt idx="37">
                  <c:v>0.12007704862731676</c:v>
                </c:pt>
                <c:pt idx="38">
                  <c:v>0.1802793656615235</c:v>
                </c:pt>
                <c:pt idx="39">
                  <c:v>6.785840772758886E-2</c:v>
                </c:pt>
                <c:pt idx="40">
                  <c:v>6.1581298191325379E-2</c:v>
                </c:pt>
                <c:pt idx="41">
                  <c:v>6.0373135944979762E-2</c:v>
                </c:pt>
                <c:pt idx="42">
                  <c:v>6.3201770617868608E-2</c:v>
                </c:pt>
                <c:pt idx="43">
                  <c:v>7.4772198100510126E-2</c:v>
                </c:pt>
                <c:pt idx="44">
                  <c:v>6.2932758815278086E-2</c:v>
                </c:pt>
                <c:pt idx="45">
                  <c:v>7.4099809910096445E-2</c:v>
                </c:pt>
                <c:pt idx="46">
                  <c:v>8.5629105273695008E-2</c:v>
                </c:pt>
                <c:pt idx="47">
                  <c:v>0.10261653474361387</c:v>
                </c:pt>
                <c:pt idx="48">
                  <c:v>9.9494308636467271E-2</c:v>
                </c:pt>
                <c:pt idx="49">
                  <c:v>8.3075787202667409E-2</c:v>
                </c:pt>
                <c:pt idx="50">
                  <c:v>7.3338789492006465E-2</c:v>
                </c:pt>
                <c:pt idx="51">
                  <c:v>8.3699611037907476E-2</c:v>
                </c:pt>
                <c:pt idx="52">
                  <c:v>7.6704358626512495E-2</c:v>
                </c:pt>
                <c:pt idx="53">
                  <c:v>6.9419198633486764E-2</c:v>
                </c:pt>
                <c:pt idx="54">
                  <c:v>6.8724792782237656E-2</c:v>
                </c:pt>
                <c:pt idx="55">
                  <c:v>6.0798367803640202E-2</c:v>
                </c:pt>
                <c:pt idx="56">
                  <c:v>5.3376748669749521E-2</c:v>
                </c:pt>
                <c:pt idx="57">
                  <c:v>6.2295572029674923E-2</c:v>
                </c:pt>
                <c:pt idx="58">
                  <c:v>6.8963646307056647E-2</c:v>
                </c:pt>
                <c:pt idx="59">
                  <c:v>5.5967686461337506E-2</c:v>
                </c:pt>
                <c:pt idx="60">
                  <c:v>4.4973540769200952E-2</c:v>
                </c:pt>
                <c:pt idx="61">
                  <c:v>3.9705181150283091E-2</c:v>
                </c:pt>
                <c:pt idx="62">
                  <c:v>4.3090894194385797E-2</c:v>
                </c:pt>
                <c:pt idx="63">
                  <c:v>4.2859963965598165E-2</c:v>
                </c:pt>
                <c:pt idx="64">
                  <c:v>4.2994200783836103E-2</c:v>
                </c:pt>
                <c:pt idx="65">
                  <c:v>3.5148405246595821E-2</c:v>
                </c:pt>
                <c:pt idx="66">
                  <c:v>3.0214279232807201E-2</c:v>
                </c:pt>
                <c:pt idx="67">
                  <c:v>3.2910272904327027E-2</c:v>
                </c:pt>
                <c:pt idx="68">
                  <c:v>3.4849199606419599E-2</c:v>
                </c:pt>
                <c:pt idx="69">
                  <c:v>3.154083803501561E-2</c:v>
                </c:pt>
                <c:pt idx="70">
                  <c:v>3.2169837864091749E-2</c:v>
                </c:pt>
                <c:pt idx="71">
                  <c:v>3.5887681053534265E-2</c:v>
                </c:pt>
                <c:pt idx="72">
                  <c:v>3.4175686076759533E-2</c:v>
                </c:pt>
                <c:pt idx="73">
                  <c:v>3.0603226704668054E-2</c:v>
                </c:pt>
                <c:pt idx="74">
                  <c:v>3.472164467623147E-2</c:v>
                </c:pt>
                <c:pt idx="75">
                  <c:v>3.628555509414759E-2</c:v>
                </c:pt>
                <c:pt idx="76">
                  <c:v>4.8111891475834799E-2</c:v>
                </c:pt>
                <c:pt idx="77">
                  <c:v>4.8182638363467437E-2</c:v>
                </c:pt>
                <c:pt idx="78">
                  <c:v>5.340127664267609E-2</c:v>
                </c:pt>
                <c:pt idx="79">
                  <c:v>6.4375816707971684E-2</c:v>
                </c:pt>
                <c:pt idx="80">
                  <c:v>4.8281897627026983E-2</c:v>
                </c:pt>
                <c:pt idx="81">
                  <c:v>4.3900396299076321E-2</c:v>
                </c:pt>
                <c:pt idx="82">
                  <c:v>4.8614693976374038E-2</c:v>
                </c:pt>
                <c:pt idx="83">
                  <c:v>4.4930131175135848E-2</c:v>
                </c:pt>
                <c:pt idx="84">
                  <c:v>4.0505876116054808E-2</c:v>
                </c:pt>
                <c:pt idx="85">
                  <c:v>3.3850873598115158E-2</c:v>
                </c:pt>
                <c:pt idx="86">
                  <c:v>3.4618927041759374E-2</c:v>
                </c:pt>
                <c:pt idx="87">
                  <c:v>3.2270771177084767E-2</c:v>
                </c:pt>
                <c:pt idx="88">
                  <c:v>3.3506327672734676E-2</c:v>
                </c:pt>
                <c:pt idx="89">
                  <c:v>2.5648306192218674E-2</c:v>
                </c:pt>
                <c:pt idx="90">
                  <c:v>2.1112104067626862E-2</c:v>
                </c:pt>
                <c:pt idx="91">
                  <c:v>3.8591477994992462E-2</c:v>
                </c:pt>
                <c:pt idx="92">
                  <c:v>5.1336786746692287E-2</c:v>
                </c:pt>
                <c:pt idx="93">
                  <c:v>4.8842819422092683E-2</c:v>
                </c:pt>
                <c:pt idx="94">
                  <c:v>5.8656850057537006E-2</c:v>
                </c:pt>
                <c:pt idx="95">
                  <c:v>5.8122950347162514E-2</c:v>
                </c:pt>
                <c:pt idx="96">
                  <c:v>7.157501593205591E-2</c:v>
                </c:pt>
                <c:pt idx="97">
                  <c:v>6.9711306929463451E-2</c:v>
                </c:pt>
                <c:pt idx="98">
                  <c:v>0.13699359422219745</c:v>
                </c:pt>
                <c:pt idx="99">
                  <c:v>0.14049219265628213</c:v>
                </c:pt>
                <c:pt idx="100">
                  <c:v>0.12797493200157437</c:v>
                </c:pt>
                <c:pt idx="101">
                  <c:v>0.10046856510380549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386304"/>
        <c:axId val="462387840"/>
      </c:lineChart>
      <c:dateAx>
        <c:axId val="462386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2387840"/>
        <c:crosses val="autoZero"/>
        <c:auto val="1"/>
        <c:lblOffset val="100"/>
        <c:baseTimeUnit val="months"/>
      </c:dateAx>
      <c:valAx>
        <c:axId val="4623878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62386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cov_LLPA</c:v>
                </c:pt>
              </c:strCache>
            </c:strRef>
          </c:tx>
          <c:marker>
            <c:symbol val="none"/>
          </c:marker>
          <c:cat>
            <c:numRef>
              <c:f>Sheet2!$A$2:$A$103</c:f>
              <c:numCache>
                <c:formatCode>m/d/yyyy</c:formatCode>
                <c:ptCount val="102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39873</c:v>
                </c:pt>
                <c:pt idx="7">
                  <c:v>39904</c:v>
                </c:pt>
                <c:pt idx="8">
                  <c:v>39934</c:v>
                </c:pt>
                <c:pt idx="9">
                  <c:v>39965</c:v>
                </c:pt>
                <c:pt idx="10">
                  <c:v>39995</c:v>
                </c:pt>
                <c:pt idx="11">
                  <c:v>40026</c:v>
                </c:pt>
                <c:pt idx="12">
                  <c:v>40057</c:v>
                </c:pt>
                <c:pt idx="13">
                  <c:v>40087</c:v>
                </c:pt>
                <c:pt idx="14">
                  <c:v>40118</c:v>
                </c:pt>
                <c:pt idx="15">
                  <c:v>40148</c:v>
                </c:pt>
                <c:pt idx="16">
                  <c:v>40179</c:v>
                </c:pt>
                <c:pt idx="17">
                  <c:v>40210</c:v>
                </c:pt>
                <c:pt idx="18">
                  <c:v>40238</c:v>
                </c:pt>
                <c:pt idx="19">
                  <c:v>40269</c:v>
                </c:pt>
                <c:pt idx="20">
                  <c:v>40299</c:v>
                </c:pt>
                <c:pt idx="21">
                  <c:v>40330</c:v>
                </c:pt>
                <c:pt idx="22">
                  <c:v>40360</c:v>
                </c:pt>
                <c:pt idx="23">
                  <c:v>40391</c:v>
                </c:pt>
                <c:pt idx="24">
                  <c:v>40422</c:v>
                </c:pt>
                <c:pt idx="25">
                  <c:v>40452</c:v>
                </c:pt>
                <c:pt idx="26">
                  <c:v>40483</c:v>
                </c:pt>
                <c:pt idx="27">
                  <c:v>40513</c:v>
                </c:pt>
                <c:pt idx="28">
                  <c:v>40544</c:v>
                </c:pt>
                <c:pt idx="29">
                  <c:v>40575</c:v>
                </c:pt>
                <c:pt idx="30">
                  <c:v>40603</c:v>
                </c:pt>
                <c:pt idx="31">
                  <c:v>40634</c:v>
                </c:pt>
                <c:pt idx="32">
                  <c:v>40664</c:v>
                </c:pt>
                <c:pt idx="33">
                  <c:v>40695</c:v>
                </c:pt>
                <c:pt idx="34">
                  <c:v>40725</c:v>
                </c:pt>
                <c:pt idx="35">
                  <c:v>40756</c:v>
                </c:pt>
                <c:pt idx="36">
                  <c:v>40787</c:v>
                </c:pt>
                <c:pt idx="37">
                  <c:v>40817</c:v>
                </c:pt>
                <c:pt idx="38">
                  <c:v>40848</c:v>
                </c:pt>
                <c:pt idx="39">
                  <c:v>40878</c:v>
                </c:pt>
                <c:pt idx="40">
                  <c:v>40909</c:v>
                </c:pt>
                <c:pt idx="41">
                  <c:v>40940</c:v>
                </c:pt>
                <c:pt idx="42">
                  <c:v>40969</c:v>
                </c:pt>
                <c:pt idx="43">
                  <c:v>41000</c:v>
                </c:pt>
                <c:pt idx="44">
                  <c:v>41030</c:v>
                </c:pt>
                <c:pt idx="45">
                  <c:v>41061</c:v>
                </c:pt>
                <c:pt idx="46">
                  <c:v>41091</c:v>
                </c:pt>
                <c:pt idx="47">
                  <c:v>41122</c:v>
                </c:pt>
                <c:pt idx="48">
                  <c:v>41153</c:v>
                </c:pt>
                <c:pt idx="49">
                  <c:v>41183</c:v>
                </c:pt>
                <c:pt idx="50">
                  <c:v>41214</c:v>
                </c:pt>
                <c:pt idx="51">
                  <c:v>41244</c:v>
                </c:pt>
                <c:pt idx="52">
                  <c:v>41275</c:v>
                </c:pt>
                <c:pt idx="53">
                  <c:v>41306</c:v>
                </c:pt>
                <c:pt idx="54">
                  <c:v>41334</c:v>
                </c:pt>
                <c:pt idx="55">
                  <c:v>41365</c:v>
                </c:pt>
                <c:pt idx="56">
                  <c:v>41395</c:v>
                </c:pt>
                <c:pt idx="57">
                  <c:v>41426</c:v>
                </c:pt>
                <c:pt idx="58">
                  <c:v>41456</c:v>
                </c:pt>
                <c:pt idx="59">
                  <c:v>41487</c:v>
                </c:pt>
                <c:pt idx="60">
                  <c:v>41518</c:v>
                </c:pt>
                <c:pt idx="61">
                  <c:v>41548</c:v>
                </c:pt>
                <c:pt idx="62">
                  <c:v>41579</c:v>
                </c:pt>
                <c:pt idx="63">
                  <c:v>41609</c:v>
                </c:pt>
                <c:pt idx="64">
                  <c:v>41640</c:v>
                </c:pt>
                <c:pt idx="65">
                  <c:v>41671</c:v>
                </c:pt>
                <c:pt idx="66">
                  <c:v>41699</c:v>
                </c:pt>
                <c:pt idx="67">
                  <c:v>41730</c:v>
                </c:pt>
                <c:pt idx="68">
                  <c:v>41760</c:v>
                </c:pt>
                <c:pt idx="69">
                  <c:v>41791</c:v>
                </c:pt>
                <c:pt idx="70">
                  <c:v>41821</c:v>
                </c:pt>
                <c:pt idx="71">
                  <c:v>41852</c:v>
                </c:pt>
                <c:pt idx="72">
                  <c:v>41883</c:v>
                </c:pt>
                <c:pt idx="73">
                  <c:v>41913</c:v>
                </c:pt>
                <c:pt idx="74">
                  <c:v>41944</c:v>
                </c:pt>
                <c:pt idx="75">
                  <c:v>41974</c:v>
                </c:pt>
                <c:pt idx="76">
                  <c:v>42005</c:v>
                </c:pt>
                <c:pt idx="77">
                  <c:v>42036</c:v>
                </c:pt>
                <c:pt idx="78">
                  <c:v>42064</c:v>
                </c:pt>
                <c:pt idx="79">
                  <c:v>42095</c:v>
                </c:pt>
                <c:pt idx="80">
                  <c:v>42125</c:v>
                </c:pt>
                <c:pt idx="81">
                  <c:v>42156</c:v>
                </c:pt>
                <c:pt idx="82">
                  <c:v>42186</c:v>
                </c:pt>
                <c:pt idx="83">
                  <c:v>42217</c:v>
                </c:pt>
                <c:pt idx="84">
                  <c:v>42248</c:v>
                </c:pt>
                <c:pt idx="85">
                  <c:v>42278</c:v>
                </c:pt>
                <c:pt idx="86">
                  <c:v>42309</c:v>
                </c:pt>
                <c:pt idx="87">
                  <c:v>42339</c:v>
                </c:pt>
                <c:pt idx="88">
                  <c:v>42370</c:v>
                </c:pt>
                <c:pt idx="89">
                  <c:v>42401</c:v>
                </c:pt>
                <c:pt idx="90">
                  <c:v>42430</c:v>
                </c:pt>
                <c:pt idx="91">
                  <c:v>42461</c:v>
                </c:pt>
                <c:pt idx="92">
                  <c:v>42491</c:v>
                </c:pt>
                <c:pt idx="93">
                  <c:v>42522</c:v>
                </c:pt>
                <c:pt idx="94">
                  <c:v>42552</c:v>
                </c:pt>
                <c:pt idx="95">
                  <c:v>42583</c:v>
                </c:pt>
                <c:pt idx="96">
                  <c:v>42614</c:v>
                </c:pt>
                <c:pt idx="97">
                  <c:v>42644</c:v>
                </c:pt>
                <c:pt idx="98">
                  <c:v>42675</c:v>
                </c:pt>
                <c:pt idx="99">
                  <c:v>42705</c:v>
                </c:pt>
                <c:pt idx="100">
                  <c:v>42736</c:v>
                </c:pt>
                <c:pt idx="101">
                  <c:v>42767</c:v>
                </c:pt>
              </c:numCache>
            </c:numRef>
          </c:cat>
          <c:val>
            <c:numRef>
              <c:f>Sheet2!$E$2:$E$103</c:f>
              <c:numCache>
                <c:formatCode>General</c:formatCode>
                <c:ptCount val="102"/>
                <c:pt idx="0">
                  <c:v>51.928081312248402</c:v>
                </c:pt>
                <c:pt idx="1">
                  <c:v>46.116907747560802</c:v>
                </c:pt>
                <c:pt idx="2">
                  <c:v>48.842741102824398</c:v>
                </c:pt>
                <c:pt idx="3">
                  <c:v>38.374151469448698</c:v>
                </c:pt>
                <c:pt idx="4">
                  <c:v>50.073020446096002</c:v>
                </c:pt>
                <c:pt idx="5">
                  <c:v>37.122185410092101</c:v>
                </c:pt>
                <c:pt idx="6">
                  <c:v>30.294851676535799</c:v>
                </c:pt>
                <c:pt idx="7">
                  <c:v>25.6559595633457</c:v>
                </c:pt>
                <c:pt idx="8">
                  <c:v>27.919953277596001</c:v>
                </c:pt>
                <c:pt idx="9">
                  <c:v>25.5550546293439</c:v>
                </c:pt>
                <c:pt idx="10">
                  <c:v>25.0141148750551</c:v>
                </c:pt>
                <c:pt idx="11">
                  <c:v>30.395026593245401</c:v>
                </c:pt>
                <c:pt idx="12">
                  <c:v>33.172333109813103</c:v>
                </c:pt>
                <c:pt idx="13">
                  <c:v>36.306257775619599</c:v>
                </c:pt>
                <c:pt idx="14">
                  <c:v>36.650243024939599</c:v>
                </c:pt>
                <c:pt idx="15">
                  <c:v>35.850222745023501</c:v>
                </c:pt>
                <c:pt idx="16">
                  <c:v>34.294768843444601</c:v>
                </c:pt>
                <c:pt idx="17">
                  <c:v>32.756961525333601</c:v>
                </c:pt>
                <c:pt idx="18">
                  <c:v>34.084626321570198</c:v>
                </c:pt>
                <c:pt idx="19">
                  <c:v>34.768078992296097</c:v>
                </c:pt>
                <c:pt idx="20">
                  <c:v>39.032179542909702</c:v>
                </c:pt>
                <c:pt idx="21">
                  <c:v>39.805593469925</c:v>
                </c:pt>
                <c:pt idx="22">
                  <c:v>41.396064008154099</c:v>
                </c:pt>
                <c:pt idx="23">
                  <c:v>42.233763090422897</c:v>
                </c:pt>
                <c:pt idx="24">
                  <c:v>40.869632854240898</c:v>
                </c:pt>
                <c:pt idx="25">
                  <c:v>37.162725027719198</c:v>
                </c:pt>
                <c:pt idx="26">
                  <c:v>35.523464520407899</c:v>
                </c:pt>
                <c:pt idx="27">
                  <c:v>34.1345621710853</c:v>
                </c:pt>
                <c:pt idx="28">
                  <c:v>34.561646352962399</c:v>
                </c:pt>
                <c:pt idx="29">
                  <c:v>39.566268574880802</c:v>
                </c:pt>
                <c:pt idx="30">
                  <c:v>39.519279057256703</c:v>
                </c:pt>
                <c:pt idx="31">
                  <c:v>37.033235485501997</c:v>
                </c:pt>
                <c:pt idx="32">
                  <c:v>42.887025447851997</c:v>
                </c:pt>
                <c:pt idx="33">
                  <c:v>44.941903343089002</c:v>
                </c:pt>
                <c:pt idx="34">
                  <c:v>47.140564031851099</c:v>
                </c:pt>
                <c:pt idx="35">
                  <c:v>46.329755273741597</c:v>
                </c:pt>
                <c:pt idx="36">
                  <c:v>44.525369352235202</c:v>
                </c:pt>
                <c:pt idx="37">
                  <c:v>45.906535040090297</c:v>
                </c:pt>
                <c:pt idx="38">
                  <c:v>37.143625572959202</c:v>
                </c:pt>
                <c:pt idx="39">
                  <c:v>32.112361258106901</c:v>
                </c:pt>
                <c:pt idx="40">
                  <c:v>32.788992706162098</c:v>
                </c:pt>
                <c:pt idx="41">
                  <c:v>34.044282629330603</c:v>
                </c:pt>
                <c:pt idx="42">
                  <c:v>32.2765320774161</c:v>
                </c:pt>
                <c:pt idx="43">
                  <c:v>31.010528167120199</c:v>
                </c:pt>
                <c:pt idx="44">
                  <c:v>32.342908239790802</c:v>
                </c:pt>
                <c:pt idx="45">
                  <c:v>36.200332631895797</c:v>
                </c:pt>
                <c:pt idx="46">
                  <c:v>35.506044002732096</c:v>
                </c:pt>
                <c:pt idx="47">
                  <c:v>36.989739366336003</c:v>
                </c:pt>
                <c:pt idx="48">
                  <c:v>36.856767045946498</c:v>
                </c:pt>
                <c:pt idx="49">
                  <c:v>38.5667203756486</c:v>
                </c:pt>
                <c:pt idx="50">
                  <c:v>37.936835538307797</c:v>
                </c:pt>
                <c:pt idx="51">
                  <c:v>38.794284941945399</c:v>
                </c:pt>
                <c:pt idx="52">
                  <c:v>38.209413659184101</c:v>
                </c:pt>
                <c:pt idx="53">
                  <c:v>39.774209538127899</c:v>
                </c:pt>
                <c:pt idx="54">
                  <c:v>39.786510231589702</c:v>
                </c:pt>
                <c:pt idx="55">
                  <c:v>38.076478019883098</c:v>
                </c:pt>
                <c:pt idx="56">
                  <c:v>45.243365864516498</c:v>
                </c:pt>
                <c:pt idx="57">
                  <c:v>48.169121398349702</c:v>
                </c:pt>
                <c:pt idx="58">
                  <c:v>45.996646106359599</c:v>
                </c:pt>
                <c:pt idx="59">
                  <c:v>44.049734623593203</c:v>
                </c:pt>
                <c:pt idx="60">
                  <c:v>46.703291614638403</c:v>
                </c:pt>
                <c:pt idx="61">
                  <c:v>49.153401632084801</c:v>
                </c:pt>
                <c:pt idx="62">
                  <c:v>52.482940267309502</c:v>
                </c:pt>
                <c:pt idx="63">
                  <c:v>58.366224749597997</c:v>
                </c:pt>
                <c:pt idx="64">
                  <c:v>46.868787679127102</c:v>
                </c:pt>
                <c:pt idx="65">
                  <c:v>49.124722835454698</c:v>
                </c:pt>
                <c:pt idx="66">
                  <c:v>50.842404452862198</c:v>
                </c:pt>
                <c:pt idx="67">
                  <c:v>51.050153348573403</c:v>
                </c:pt>
                <c:pt idx="68">
                  <c:v>50.283362429238302</c:v>
                </c:pt>
                <c:pt idx="69">
                  <c:v>50.213272902860801</c:v>
                </c:pt>
                <c:pt idx="70">
                  <c:v>50.2726770777399</c:v>
                </c:pt>
                <c:pt idx="71">
                  <c:v>49.6116171180146</c:v>
                </c:pt>
                <c:pt idx="72">
                  <c:v>49.928013617931498</c:v>
                </c:pt>
                <c:pt idx="73">
                  <c:v>52.549990670815198</c:v>
                </c:pt>
                <c:pt idx="74">
                  <c:v>52.310400446434798</c:v>
                </c:pt>
                <c:pt idx="75">
                  <c:v>52.113393920261302</c:v>
                </c:pt>
                <c:pt idx="76">
                  <c:v>43.329362245750801</c:v>
                </c:pt>
                <c:pt idx="77">
                  <c:v>45.080857754951097</c:v>
                </c:pt>
                <c:pt idx="78">
                  <c:v>43.587664054836303</c:v>
                </c:pt>
                <c:pt idx="79">
                  <c:v>38.887551345975503</c:v>
                </c:pt>
                <c:pt idx="80">
                  <c:v>39.974838553832498</c:v>
                </c:pt>
                <c:pt idx="81">
                  <c:v>43.017465907746001</c:v>
                </c:pt>
                <c:pt idx="82">
                  <c:v>44.196779739298599</c:v>
                </c:pt>
                <c:pt idx="83">
                  <c:v>46.3061834772491</c:v>
                </c:pt>
                <c:pt idx="84">
                  <c:v>52.434332729654898</c:v>
                </c:pt>
                <c:pt idx="85">
                  <c:v>52.282058518095702</c:v>
                </c:pt>
                <c:pt idx="86">
                  <c:v>52.229476944095303</c:v>
                </c:pt>
                <c:pt idx="87">
                  <c:v>52.911199997015601</c:v>
                </c:pt>
                <c:pt idx="88">
                  <c:v>50.724934067964803</c:v>
                </c:pt>
                <c:pt idx="89">
                  <c:v>52.478468338909302</c:v>
                </c:pt>
                <c:pt idx="90">
                  <c:v>53.628618946630198</c:v>
                </c:pt>
                <c:pt idx="91">
                  <c:v>52.443292430108201</c:v>
                </c:pt>
                <c:pt idx="92">
                  <c:v>49.223638455877698</c:v>
                </c:pt>
                <c:pt idx="93">
                  <c:v>50.588429846076103</c:v>
                </c:pt>
                <c:pt idx="94">
                  <c:v>51.590624427133697</c:v>
                </c:pt>
                <c:pt idx="95">
                  <c:v>51.582868011820899</c:v>
                </c:pt>
                <c:pt idx="96">
                  <c:v>49.3714279142782</c:v>
                </c:pt>
                <c:pt idx="97">
                  <c:v>46.161999973620503</c:v>
                </c:pt>
                <c:pt idx="98">
                  <c:v>46.821083350191202</c:v>
                </c:pt>
                <c:pt idx="99">
                  <c:v>47.0392341168793</c:v>
                </c:pt>
                <c:pt idx="100">
                  <c:v>48.137932507555497</c:v>
                </c:pt>
                <c:pt idx="101">
                  <c:v>53.2774838355041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jum_LLPA</c:v>
                </c:pt>
              </c:strCache>
            </c:strRef>
          </c:tx>
          <c:marker>
            <c:symbol val="none"/>
          </c:marker>
          <c:cat>
            <c:numRef>
              <c:f>Sheet2!$A$2:$A$103</c:f>
              <c:numCache>
                <c:formatCode>m/d/yyyy</c:formatCode>
                <c:ptCount val="102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39873</c:v>
                </c:pt>
                <c:pt idx="7">
                  <c:v>39904</c:v>
                </c:pt>
                <c:pt idx="8">
                  <c:v>39934</c:v>
                </c:pt>
                <c:pt idx="9">
                  <c:v>39965</c:v>
                </c:pt>
                <c:pt idx="10">
                  <c:v>39995</c:v>
                </c:pt>
                <c:pt idx="11">
                  <c:v>40026</c:v>
                </c:pt>
                <c:pt idx="12">
                  <c:v>40057</c:v>
                </c:pt>
                <c:pt idx="13">
                  <c:v>40087</c:v>
                </c:pt>
                <c:pt idx="14">
                  <c:v>40118</c:v>
                </c:pt>
                <c:pt idx="15">
                  <c:v>40148</c:v>
                </c:pt>
                <c:pt idx="16">
                  <c:v>40179</c:v>
                </c:pt>
                <c:pt idx="17">
                  <c:v>40210</c:v>
                </c:pt>
                <c:pt idx="18">
                  <c:v>40238</c:v>
                </c:pt>
                <c:pt idx="19">
                  <c:v>40269</c:v>
                </c:pt>
                <c:pt idx="20">
                  <c:v>40299</c:v>
                </c:pt>
                <c:pt idx="21">
                  <c:v>40330</c:v>
                </c:pt>
                <c:pt idx="22">
                  <c:v>40360</c:v>
                </c:pt>
                <c:pt idx="23">
                  <c:v>40391</c:v>
                </c:pt>
                <c:pt idx="24">
                  <c:v>40422</c:v>
                </c:pt>
                <c:pt idx="25">
                  <c:v>40452</c:v>
                </c:pt>
                <c:pt idx="26">
                  <c:v>40483</c:v>
                </c:pt>
                <c:pt idx="27">
                  <c:v>40513</c:v>
                </c:pt>
                <c:pt idx="28">
                  <c:v>40544</c:v>
                </c:pt>
                <c:pt idx="29">
                  <c:v>40575</c:v>
                </c:pt>
                <c:pt idx="30">
                  <c:v>40603</c:v>
                </c:pt>
                <c:pt idx="31">
                  <c:v>40634</c:v>
                </c:pt>
                <c:pt idx="32">
                  <c:v>40664</c:v>
                </c:pt>
                <c:pt idx="33">
                  <c:v>40695</c:v>
                </c:pt>
                <c:pt idx="34">
                  <c:v>40725</c:v>
                </c:pt>
                <c:pt idx="35">
                  <c:v>40756</c:v>
                </c:pt>
                <c:pt idx="36">
                  <c:v>40787</c:v>
                </c:pt>
                <c:pt idx="37">
                  <c:v>40817</c:v>
                </c:pt>
                <c:pt idx="38">
                  <c:v>40848</c:v>
                </c:pt>
                <c:pt idx="39">
                  <c:v>40878</c:v>
                </c:pt>
                <c:pt idx="40">
                  <c:v>40909</c:v>
                </c:pt>
                <c:pt idx="41">
                  <c:v>40940</c:v>
                </c:pt>
                <c:pt idx="42">
                  <c:v>40969</c:v>
                </c:pt>
                <c:pt idx="43">
                  <c:v>41000</c:v>
                </c:pt>
                <c:pt idx="44">
                  <c:v>41030</c:v>
                </c:pt>
                <c:pt idx="45">
                  <c:v>41061</c:v>
                </c:pt>
                <c:pt idx="46">
                  <c:v>41091</c:v>
                </c:pt>
                <c:pt idx="47">
                  <c:v>41122</c:v>
                </c:pt>
                <c:pt idx="48">
                  <c:v>41153</c:v>
                </c:pt>
                <c:pt idx="49">
                  <c:v>41183</c:v>
                </c:pt>
                <c:pt idx="50">
                  <c:v>41214</c:v>
                </c:pt>
                <c:pt idx="51">
                  <c:v>41244</c:v>
                </c:pt>
                <c:pt idx="52">
                  <c:v>41275</c:v>
                </c:pt>
                <c:pt idx="53">
                  <c:v>41306</c:v>
                </c:pt>
                <c:pt idx="54">
                  <c:v>41334</c:v>
                </c:pt>
                <c:pt idx="55">
                  <c:v>41365</c:v>
                </c:pt>
                <c:pt idx="56">
                  <c:v>41395</c:v>
                </c:pt>
                <c:pt idx="57">
                  <c:v>41426</c:v>
                </c:pt>
                <c:pt idx="58">
                  <c:v>41456</c:v>
                </c:pt>
                <c:pt idx="59">
                  <c:v>41487</c:v>
                </c:pt>
                <c:pt idx="60">
                  <c:v>41518</c:v>
                </c:pt>
                <c:pt idx="61">
                  <c:v>41548</c:v>
                </c:pt>
                <c:pt idx="62">
                  <c:v>41579</c:v>
                </c:pt>
                <c:pt idx="63">
                  <c:v>41609</c:v>
                </c:pt>
                <c:pt idx="64">
                  <c:v>41640</c:v>
                </c:pt>
                <c:pt idx="65">
                  <c:v>41671</c:v>
                </c:pt>
                <c:pt idx="66">
                  <c:v>41699</c:v>
                </c:pt>
                <c:pt idx="67">
                  <c:v>41730</c:v>
                </c:pt>
                <c:pt idx="68">
                  <c:v>41760</c:v>
                </c:pt>
                <c:pt idx="69">
                  <c:v>41791</c:v>
                </c:pt>
                <c:pt idx="70">
                  <c:v>41821</c:v>
                </c:pt>
                <c:pt idx="71">
                  <c:v>41852</c:v>
                </c:pt>
                <c:pt idx="72">
                  <c:v>41883</c:v>
                </c:pt>
                <c:pt idx="73">
                  <c:v>41913</c:v>
                </c:pt>
                <c:pt idx="74">
                  <c:v>41944</c:v>
                </c:pt>
                <c:pt idx="75">
                  <c:v>41974</c:v>
                </c:pt>
                <c:pt idx="76">
                  <c:v>42005</c:v>
                </c:pt>
                <c:pt idx="77">
                  <c:v>42036</c:v>
                </c:pt>
                <c:pt idx="78">
                  <c:v>42064</c:v>
                </c:pt>
                <c:pt idx="79">
                  <c:v>42095</c:v>
                </c:pt>
                <c:pt idx="80">
                  <c:v>42125</c:v>
                </c:pt>
                <c:pt idx="81">
                  <c:v>42156</c:v>
                </c:pt>
                <c:pt idx="82">
                  <c:v>42186</c:v>
                </c:pt>
                <c:pt idx="83">
                  <c:v>42217</c:v>
                </c:pt>
                <c:pt idx="84">
                  <c:v>42248</c:v>
                </c:pt>
                <c:pt idx="85">
                  <c:v>42278</c:v>
                </c:pt>
                <c:pt idx="86">
                  <c:v>42309</c:v>
                </c:pt>
                <c:pt idx="87">
                  <c:v>42339</c:v>
                </c:pt>
                <c:pt idx="88">
                  <c:v>42370</c:v>
                </c:pt>
                <c:pt idx="89">
                  <c:v>42401</c:v>
                </c:pt>
                <c:pt idx="90">
                  <c:v>42430</c:v>
                </c:pt>
                <c:pt idx="91">
                  <c:v>42461</c:v>
                </c:pt>
                <c:pt idx="92">
                  <c:v>42491</c:v>
                </c:pt>
                <c:pt idx="93">
                  <c:v>42522</c:v>
                </c:pt>
                <c:pt idx="94">
                  <c:v>42552</c:v>
                </c:pt>
                <c:pt idx="95">
                  <c:v>42583</c:v>
                </c:pt>
                <c:pt idx="96">
                  <c:v>42614</c:v>
                </c:pt>
                <c:pt idx="97">
                  <c:v>42644</c:v>
                </c:pt>
                <c:pt idx="98">
                  <c:v>42675</c:v>
                </c:pt>
                <c:pt idx="99">
                  <c:v>42705</c:v>
                </c:pt>
                <c:pt idx="100">
                  <c:v>42736</c:v>
                </c:pt>
                <c:pt idx="101">
                  <c:v>42767</c:v>
                </c:pt>
              </c:numCache>
            </c:numRef>
          </c:cat>
          <c:val>
            <c:numRef>
              <c:f>Sheet2!$I$2:$I$103</c:f>
              <c:numCache>
                <c:formatCode>General</c:formatCode>
                <c:ptCount val="102"/>
                <c:pt idx="0">
                  <c:v>34.180443269023499</c:v>
                </c:pt>
                <c:pt idx="1">
                  <c:v>33.998702611221603</c:v>
                </c:pt>
                <c:pt idx="2">
                  <c:v>34.196354180664898</c:v>
                </c:pt>
                <c:pt idx="3">
                  <c:v>36.074521818547097</c:v>
                </c:pt>
                <c:pt idx="4">
                  <c:v>35.139622724528799</c:v>
                </c:pt>
                <c:pt idx="5">
                  <c:v>27.083925127455</c:v>
                </c:pt>
                <c:pt idx="6">
                  <c:v>24.304802666385498</c:v>
                </c:pt>
                <c:pt idx="7">
                  <c:v>22.222522596808599</c:v>
                </c:pt>
                <c:pt idx="8">
                  <c:v>24.694809046637101</c:v>
                </c:pt>
                <c:pt idx="9">
                  <c:v>23.6820414702763</c:v>
                </c:pt>
                <c:pt idx="10">
                  <c:v>23.4075080670886</c:v>
                </c:pt>
                <c:pt idx="11">
                  <c:v>24.955330409330699</c:v>
                </c:pt>
                <c:pt idx="12">
                  <c:v>27.449638952018098</c:v>
                </c:pt>
                <c:pt idx="13">
                  <c:v>31.413105437200901</c:v>
                </c:pt>
                <c:pt idx="14">
                  <c:v>29.522383983110199</c:v>
                </c:pt>
                <c:pt idx="15">
                  <c:v>28.752393876639001</c:v>
                </c:pt>
                <c:pt idx="16">
                  <c:v>28.9072048990101</c:v>
                </c:pt>
                <c:pt idx="17">
                  <c:v>29.5485028836864</c:v>
                </c:pt>
                <c:pt idx="18">
                  <c:v>27.638643310065799</c:v>
                </c:pt>
                <c:pt idx="19">
                  <c:v>31.381687097239901</c:v>
                </c:pt>
                <c:pt idx="20">
                  <c:v>32.327729180927498</c:v>
                </c:pt>
                <c:pt idx="21">
                  <c:v>32.658292506265298</c:v>
                </c:pt>
                <c:pt idx="22">
                  <c:v>31.652220108552498</c:v>
                </c:pt>
                <c:pt idx="23">
                  <c:v>35.220274570101097</c:v>
                </c:pt>
                <c:pt idx="24">
                  <c:v>32.168111204469</c:v>
                </c:pt>
                <c:pt idx="25">
                  <c:v>28.336420609325899</c:v>
                </c:pt>
                <c:pt idx="26">
                  <c:v>33.471721286348703</c:v>
                </c:pt>
                <c:pt idx="27">
                  <c:v>32.053243660350802</c:v>
                </c:pt>
                <c:pt idx="28">
                  <c:v>32.096586362793303</c:v>
                </c:pt>
                <c:pt idx="29">
                  <c:v>31.171408143172702</c:v>
                </c:pt>
                <c:pt idx="30">
                  <c:v>31.3334626374706</c:v>
                </c:pt>
                <c:pt idx="31">
                  <c:v>30.3118103406869</c:v>
                </c:pt>
                <c:pt idx="32">
                  <c:v>31.957779850959501</c:v>
                </c:pt>
                <c:pt idx="33">
                  <c:v>35.2919906911415</c:v>
                </c:pt>
                <c:pt idx="34">
                  <c:v>35.156999267426002</c:v>
                </c:pt>
                <c:pt idx="35">
                  <c:v>37.029860944030901</c:v>
                </c:pt>
                <c:pt idx="36">
                  <c:v>33.8454653506857</c:v>
                </c:pt>
                <c:pt idx="37">
                  <c:v>38.004418483007399</c:v>
                </c:pt>
                <c:pt idx="38">
                  <c:v>30.5812952972442</c:v>
                </c:pt>
                <c:pt idx="39">
                  <c:v>32.770794185108699</c:v>
                </c:pt>
                <c:pt idx="40">
                  <c:v>29.182934236005199</c:v>
                </c:pt>
                <c:pt idx="41">
                  <c:v>29.473126514222901</c:v>
                </c:pt>
                <c:pt idx="42">
                  <c:v>27.950861260050701</c:v>
                </c:pt>
                <c:pt idx="43">
                  <c:v>25.075739365626799</c:v>
                </c:pt>
                <c:pt idx="44">
                  <c:v>27.198051475754401</c:v>
                </c:pt>
                <c:pt idx="45">
                  <c:v>30.430974231173401</c:v>
                </c:pt>
                <c:pt idx="46">
                  <c:v>30.355847431053402</c:v>
                </c:pt>
                <c:pt idx="47">
                  <c:v>29.847822765494001</c:v>
                </c:pt>
                <c:pt idx="48">
                  <c:v>29.494377809119001</c:v>
                </c:pt>
                <c:pt idx="49">
                  <c:v>27.137876380368301</c:v>
                </c:pt>
                <c:pt idx="50">
                  <c:v>27.846915311595399</c:v>
                </c:pt>
                <c:pt idx="51">
                  <c:v>26.314507446269999</c:v>
                </c:pt>
                <c:pt idx="52">
                  <c:v>27.564541652778999</c:v>
                </c:pt>
                <c:pt idx="53">
                  <c:v>26.145725805758602</c:v>
                </c:pt>
                <c:pt idx="54">
                  <c:v>26.824050484119599</c:v>
                </c:pt>
                <c:pt idx="55">
                  <c:v>29.897050238458799</c:v>
                </c:pt>
                <c:pt idx="56">
                  <c:v>34.279369261587497</c:v>
                </c:pt>
                <c:pt idx="57">
                  <c:v>34.138698022477897</c:v>
                </c:pt>
                <c:pt idx="58">
                  <c:v>34.303344068382103</c:v>
                </c:pt>
                <c:pt idx="59">
                  <c:v>35.264229916243103</c:v>
                </c:pt>
                <c:pt idx="60">
                  <c:v>38.962721818922098</c:v>
                </c:pt>
                <c:pt idx="61">
                  <c:v>41.975054533987603</c:v>
                </c:pt>
                <c:pt idx="62">
                  <c:v>46.449078763409602</c:v>
                </c:pt>
                <c:pt idx="63">
                  <c:v>48.566508221080603</c:v>
                </c:pt>
                <c:pt idx="64">
                  <c:v>32.836213728729099</c:v>
                </c:pt>
                <c:pt idx="65">
                  <c:v>36.1951788690386</c:v>
                </c:pt>
                <c:pt idx="66">
                  <c:v>33.653064021009001</c:v>
                </c:pt>
                <c:pt idx="67">
                  <c:v>37.766288246925903</c:v>
                </c:pt>
                <c:pt idx="68">
                  <c:v>38.780647568593103</c:v>
                </c:pt>
                <c:pt idx="69">
                  <c:v>38.709283134315903</c:v>
                </c:pt>
                <c:pt idx="70">
                  <c:v>38.346518767750901</c:v>
                </c:pt>
                <c:pt idx="71">
                  <c:v>39.517131482734399</c:v>
                </c:pt>
                <c:pt idx="72">
                  <c:v>39.430729716729402</c:v>
                </c:pt>
                <c:pt idx="73">
                  <c:v>40.178983687273302</c:v>
                </c:pt>
                <c:pt idx="74">
                  <c:v>41.1655673346363</c:v>
                </c:pt>
                <c:pt idx="75">
                  <c:v>39.218649757893203</c:v>
                </c:pt>
                <c:pt idx="76">
                  <c:v>31.819206576401101</c:v>
                </c:pt>
                <c:pt idx="77">
                  <c:v>33.903043018060103</c:v>
                </c:pt>
                <c:pt idx="78">
                  <c:v>32.1616921264879</c:v>
                </c:pt>
                <c:pt idx="79">
                  <c:v>27.8354090746876</c:v>
                </c:pt>
                <c:pt idx="80">
                  <c:v>29.720322104280601</c:v>
                </c:pt>
                <c:pt idx="81">
                  <c:v>32.328252325499001</c:v>
                </c:pt>
                <c:pt idx="82">
                  <c:v>33.5225499678671</c:v>
                </c:pt>
                <c:pt idx="83">
                  <c:v>35.189553050304902</c:v>
                </c:pt>
                <c:pt idx="84">
                  <c:v>64.103192015610404</c:v>
                </c:pt>
                <c:pt idx="85">
                  <c:v>62.735415112553198</c:v>
                </c:pt>
                <c:pt idx="86">
                  <c:v>61.779832635408098</c:v>
                </c:pt>
                <c:pt idx="87">
                  <c:v>64.666592187492</c:v>
                </c:pt>
                <c:pt idx="88">
                  <c:v>64.252280045398194</c:v>
                </c:pt>
                <c:pt idx="89">
                  <c:v>65.232221830873598</c:v>
                </c:pt>
                <c:pt idx="90">
                  <c:v>68.243172275210796</c:v>
                </c:pt>
                <c:pt idx="91">
                  <c:v>63.8161685103141</c:v>
                </c:pt>
                <c:pt idx="92">
                  <c:v>60.408291520372998</c:v>
                </c:pt>
                <c:pt idx="93">
                  <c:v>64.958354231117198</c:v>
                </c:pt>
                <c:pt idx="94">
                  <c:v>62.931847210918001</c:v>
                </c:pt>
                <c:pt idx="95">
                  <c:v>63.905665400291497</c:v>
                </c:pt>
                <c:pt idx="96">
                  <c:v>61.546327802069499</c:v>
                </c:pt>
                <c:pt idx="97">
                  <c:v>57.867983191765703</c:v>
                </c:pt>
                <c:pt idx="98">
                  <c:v>57.430493241540603</c:v>
                </c:pt>
                <c:pt idx="99">
                  <c:v>58.072796045507303</c:v>
                </c:pt>
                <c:pt idx="100">
                  <c:v>62.267249485195499</c:v>
                </c:pt>
                <c:pt idx="101">
                  <c:v>68.020942349456504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631040"/>
        <c:axId val="650632576"/>
      </c:lineChart>
      <c:dateAx>
        <c:axId val="650631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50632576"/>
        <c:crosses val="autoZero"/>
        <c:auto val="1"/>
        <c:lblOffset val="100"/>
        <c:baseTimeUnit val="months"/>
      </c:dateAx>
      <c:valAx>
        <c:axId val="65063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0631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Sheet3!$T$1</c:f>
              <c:strCache>
                <c:ptCount val="1"/>
                <c:pt idx="0">
                  <c:v>share</c:v>
                </c:pt>
              </c:strCache>
            </c:strRef>
          </c:tx>
          <c:marker>
            <c:symbol val="none"/>
          </c:marker>
          <c:cat>
            <c:numRef>
              <c:f>Sheet3!$L$2:$L$103</c:f>
              <c:numCache>
                <c:formatCode>m/d/yyyy</c:formatCode>
                <c:ptCount val="102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39873</c:v>
                </c:pt>
                <c:pt idx="7">
                  <c:v>39904</c:v>
                </c:pt>
                <c:pt idx="8">
                  <c:v>39934</c:v>
                </c:pt>
                <c:pt idx="9">
                  <c:v>39965</c:v>
                </c:pt>
                <c:pt idx="10">
                  <c:v>39995</c:v>
                </c:pt>
                <c:pt idx="11">
                  <c:v>40026</c:v>
                </c:pt>
                <c:pt idx="12">
                  <c:v>40057</c:v>
                </c:pt>
                <c:pt idx="13">
                  <c:v>40087</c:v>
                </c:pt>
                <c:pt idx="14">
                  <c:v>40118</c:v>
                </c:pt>
                <c:pt idx="15">
                  <c:v>40148</c:v>
                </c:pt>
                <c:pt idx="16">
                  <c:v>40179</c:v>
                </c:pt>
                <c:pt idx="17">
                  <c:v>40210</c:v>
                </c:pt>
                <c:pt idx="18">
                  <c:v>40238</c:v>
                </c:pt>
                <c:pt idx="19">
                  <c:v>40269</c:v>
                </c:pt>
                <c:pt idx="20">
                  <c:v>40299</c:v>
                </c:pt>
                <c:pt idx="21">
                  <c:v>40330</c:v>
                </c:pt>
                <c:pt idx="22">
                  <c:v>40360</c:v>
                </c:pt>
                <c:pt idx="23">
                  <c:v>40391</c:v>
                </c:pt>
                <c:pt idx="24">
                  <c:v>40422</c:v>
                </c:pt>
                <c:pt idx="25">
                  <c:v>40452</c:v>
                </c:pt>
                <c:pt idx="26">
                  <c:v>40483</c:v>
                </c:pt>
                <c:pt idx="27">
                  <c:v>40513</c:v>
                </c:pt>
                <c:pt idx="28">
                  <c:v>40544</c:v>
                </c:pt>
                <c:pt idx="29">
                  <c:v>40575</c:v>
                </c:pt>
                <c:pt idx="30">
                  <c:v>40603</c:v>
                </c:pt>
                <c:pt idx="31">
                  <c:v>40634</c:v>
                </c:pt>
                <c:pt idx="32">
                  <c:v>40664</c:v>
                </c:pt>
                <c:pt idx="33">
                  <c:v>40695</c:v>
                </c:pt>
                <c:pt idx="34">
                  <c:v>40725</c:v>
                </c:pt>
                <c:pt idx="35">
                  <c:v>40756</c:v>
                </c:pt>
                <c:pt idx="36">
                  <c:v>40787</c:v>
                </c:pt>
                <c:pt idx="37">
                  <c:v>40817</c:v>
                </c:pt>
                <c:pt idx="38">
                  <c:v>40848</c:v>
                </c:pt>
                <c:pt idx="39">
                  <c:v>40878</c:v>
                </c:pt>
                <c:pt idx="40">
                  <c:v>40909</c:v>
                </c:pt>
                <c:pt idx="41">
                  <c:v>40940</c:v>
                </c:pt>
                <c:pt idx="42">
                  <c:v>40969</c:v>
                </c:pt>
                <c:pt idx="43">
                  <c:v>41000</c:v>
                </c:pt>
                <c:pt idx="44">
                  <c:v>41030</c:v>
                </c:pt>
                <c:pt idx="45">
                  <c:v>41061</c:v>
                </c:pt>
                <c:pt idx="46">
                  <c:v>41091</c:v>
                </c:pt>
                <c:pt idx="47">
                  <c:v>41122</c:v>
                </c:pt>
                <c:pt idx="48">
                  <c:v>41153</c:v>
                </c:pt>
                <c:pt idx="49">
                  <c:v>41183</c:v>
                </c:pt>
                <c:pt idx="50">
                  <c:v>41214</c:v>
                </c:pt>
                <c:pt idx="51">
                  <c:v>41244</c:v>
                </c:pt>
                <c:pt idx="52">
                  <c:v>41275</c:v>
                </c:pt>
                <c:pt idx="53">
                  <c:v>41306</c:v>
                </c:pt>
                <c:pt idx="54">
                  <c:v>41334</c:v>
                </c:pt>
                <c:pt idx="55">
                  <c:v>41365</c:v>
                </c:pt>
                <c:pt idx="56">
                  <c:v>41395</c:v>
                </c:pt>
                <c:pt idx="57">
                  <c:v>41426</c:v>
                </c:pt>
                <c:pt idx="58">
                  <c:v>41456</c:v>
                </c:pt>
                <c:pt idx="59">
                  <c:v>41487</c:v>
                </c:pt>
                <c:pt idx="60">
                  <c:v>41518</c:v>
                </c:pt>
                <c:pt idx="61">
                  <c:v>41548</c:v>
                </c:pt>
                <c:pt idx="62">
                  <c:v>41579</c:v>
                </c:pt>
                <c:pt idx="63">
                  <c:v>41609</c:v>
                </c:pt>
                <c:pt idx="64">
                  <c:v>41640</c:v>
                </c:pt>
                <c:pt idx="65">
                  <c:v>41671</c:v>
                </c:pt>
                <c:pt idx="66">
                  <c:v>41699</c:v>
                </c:pt>
                <c:pt idx="67">
                  <c:v>41730</c:v>
                </c:pt>
                <c:pt idx="68">
                  <c:v>41760</c:v>
                </c:pt>
                <c:pt idx="69">
                  <c:v>41791</c:v>
                </c:pt>
                <c:pt idx="70">
                  <c:v>41821</c:v>
                </c:pt>
                <c:pt idx="71">
                  <c:v>41852</c:v>
                </c:pt>
                <c:pt idx="72">
                  <c:v>41883</c:v>
                </c:pt>
                <c:pt idx="73">
                  <c:v>41913</c:v>
                </c:pt>
                <c:pt idx="74">
                  <c:v>41944</c:v>
                </c:pt>
                <c:pt idx="75">
                  <c:v>41974</c:v>
                </c:pt>
                <c:pt idx="76">
                  <c:v>42005</c:v>
                </c:pt>
                <c:pt idx="77">
                  <c:v>42036</c:v>
                </c:pt>
                <c:pt idx="78">
                  <c:v>42064</c:v>
                </c:pt>
                <c:pt idx="79">
                  <c:v>42095</c:v>
                </c:pt>
                <c:pt idx="80">
                  <c:v>42125</c:v>
                </c:pt>
                <c:pt idx="81">
                  <c:v>42156</c:v>
                </c:pt>
                <c:pt idx="82">
                  <c:v>42186</c:v>
                </c:pt>
                <c:pt idx="83">
                  <c:v>42217</c:v>
                </c:pt>
                <c:pt idx="84">
                  <c:v>42248</c:v>
                </c:pt>
                <c:pt idx="85">
                  <c:v>42278</c:v>
                </c:pt>
                <c:pt idx="86">
                  <c:v>42309</c:v>
                </c:pt>
                <c:pt idx="87">
                  <c:v>42339</c:v>
                </c:pt>
                <c:pt idx="88">
                  <c:v>42370</c:v>
                </c:pt>
                <c:pt idx="89">
                  <c:v>42401</c:v>
                </c:pt>
                <c:pt idx="90">
                  <c:v>42430</c:v>
                </c:pt>
                <c:pt idx="91">
                  <c:v>42461</c:v>
                </c:pt>
                <c:pt idx="92">
                  <c:v>42491</c:v>
                </c:pt>
                <c:pt idx="93">
                  <c:v>42522</c:v>
                </c:pt>
                <c:pt idx="94">
                  <c:v>42552</c:v>
                </c:pt>
                <c:pt idx="95">
                  <c:v>42583</c:v>
                </c:pt>
                <c:pt idx="96">
                  <c:v>42614</c:v>
                </c:pt>
                <c:pt idx="97">
                  <c:v>42644</c:v>
                </c:pt>
                <c:pt idx="98">
                  <c:v>42675</c:v>
                </c:pt>
                <c:pt idx="99">
                  <c:v>42705</c:v>
                </c:pt>
                <c:pt idx="100">
                  <c:v>42736</c:v>
                </c:pt>
                <c:pt idx="101">
                  <c:v>42767</c:v>
                </c:pt>
              </c:numCache>
            </c:numRef>
          </c:cat>
          <c:val>
            <c:numRef>
              <c:f>Sheet3!$T$2:$T$103</c:f>
              <c:numCache>
                <c:formatCode>0%</c:formatCode>
                <c:ptCount val="102"/>
                <c:pt idx="0">
                  <c:v>0.8928127483723941</c:v>
                </c:pt>
                <c:pt idx="1">
                  <c:v>0.8835327362864146</c:v>
                </c:pt>
                <c:pt idx="2">
                  <c:v>0.92294204359106502</c:v>
                </c:pt>
                <c:pt idx="3">
                  <c:v>0.93748547347504962</c:v>
                </c:pt>
                <c:pt idx="4">
                  <c:v>0.93208086752954089</c:v>
                </c:pt>
                <c:pt idx="5">
                  <c:v>0.98304888091634013</c:v>
                </c:pt>
                <c:pt idx="6">
                  <c:v>0.99378612332888816</c:v>
                </c:pt>
                <c:pt idx="7">
                  <c:v>0.98784637239123729</c:v>
                </c:pt>
                <c:pt idx="8">
                  <c:v>0.98854554229935254</c:v>
                </c:pt>
                <c:pt idx="9">
                  <c:v>0.99005377344511314</c:v>
                </c:pt>
                <c:pt idx="10">
                  <c:v>0.98564108619429458</c:v>
                </c:pt>
                <c:pt idx="11">
                  <c:v>0.9523951442669446</c:v>
                </c:pt>
                <c:pt idx="12">
                  <c:v>0.89996484782762121</c:v>
                </c:pt>
                <c:pt idx="13">
                  <c:v>0.85551905548914398</c:v>
                </c:pt>
                <c:pt idx="14">
                  <c:v>0.87957662099366252</c:v>
                </c:pt>
                <c:pt idx="15">
                  <c:v>0.90730393871286652</c:v>
                </c:pt>
                <c:pt idx="16">
                  <c:v>0.89451121393184652</c:v>
                </c:pt>
                <c:pt idx="17">
                  <c:v>0.88578693688559529</c:v>
                </c:pt>
                <c:pt idx="18">
                  <c:v>0.87397648208803358</c:v>
                </c:pt>
                <c:pt idx="19">
                  <c:v>0.88148262044192105</c:v>
                </c:pt>
                <c:pt idx="20">
                  <c:v>0.88347702391518468</c:v>
                </c:pt>
                <c:pt idx="21">
                  <c:v>0.8805784029316206</c:v>
                </c:pt>
                <c:pt idx="22">
                  <c:v>0.87517284773353443</c:v>
                </c:pt>
                <c:pt idx="23">
                  <c:v>0.80286388441821355</c:v>
                </c:pt>
                <c:pt idx="24">
                  <c:v>0.76243033117134396</c:v>
                </c:pt>
                <c:pt idx="25">
                  <c:v>0.74524996822142142</c:v>
                </c:pt>
                <c:pt idx="26">
                  <c:v>0.68977443196006927</c:v>
                </c:pt>
                <c:pt idx="27">
                  <c:v>0.6850457521973462</c:v>
                </c:pt>
                <c:pt idx="28">
                  <c:v>0.65138042435399912</c:v>
                </c:pt>
                <c:pt idx="29">
                  <c:v>0.60810076904288612</c:v>
                </c:pt>
                <c:pt idx="30">
                  <c:v>0.57201332573729136</c:v>
                </c:pt>
                <c:pt idx="31">
                  <c:v>0.65057985338867452</c:v>
                </c:pt>
                <c:pt idx="32">
                  <c:v>0.61843262879459893</c:v>
                </c:pt>
                <c:pt idx="33">
                  <c:v>0.60617547975644614</c:v>
                </c:pt>
                <c:pt idx="34">
                  <c:v>0.53477076857926864</c:v>
                </c:pt>
                <c:pt idx="35">
                  <c:v>0.5708098996753348</c:v>
                </c:pt>
                <c:pt idx="36">
                  <c:v>0.54324682422022275</c:v>
                </c:pt>
                <c:pt idx="37">
                  <c:v>0.49282324831363206</c:v>
                </c:pt>
                <c:pt idx="38">
                  <c:v>0.44220846256205865</c:v>
                </c:pt>
                <c:pt idx="39">
                  <c:v>0.62997767248992131</c:v>
                </c:pt>
                <c:pt idx="40">
                  <c:v>0.68130256754227747</c:v>
                </c:pt>
                <c:pt idx="41">
                  <c:v>0.69518371592696571</c:v>
                </c:pt>
                <c:pt idx="42">
                  <c:v>0.68840591617586788</c:v>
                </c:pt>
                <c:pt idx="43">
                  <c:v>0.64377231058267415</c:v>
                </c:pt>
                <c:pt idx="44">
                  <c:v>0.69501402308254279</c:v>
                </c:pt>
                <c:pt idx="45">
                  <c:v>0.64949118738618661</c:v>
                </c:pt>
                <c:pt idx="46">
                  <c:v>0.62593059994286782</c:v>
                </c:pt>
                <c:pt idx="47">
                  <c:v>0.58718356729164201</c:v>
                </c:pt>
                <c:pt idx="48">
                  <c:v>0.57393834259737242</c:v>
                </c:pt>
                <c:pt idx="49">
                  <c:v>0.64677912663724291</c:v>
                </c:pt>
                <c:pt idx="50">
                  <c:v>0.67245651601836098</c:v>
                </c:pt>
                <c:pt idx="51">
                  <c:v>0.62553506559894678</c:v>
                </c:pt>
                <c:pt idx="52">
                  <c:v>0.64675874802628874</c:v>
                </c:pt>
                <c:pt idx="53">
                  <c:v>0.67624339798324107</c:v>
                </c:pt>
                <c:pt idx="54">
                  <c:v>0.66866829165317565</c:v>
                </c:pt>
                <c:pt idx="55">
                  <c:v>0.70021092211462599</c:v>
                </c:pt>
                <c:pt idx="56">
                  <c:v>0.74350043461952875</c:v>
                </c:pt>
                <c:pt idx="57">
                  <c:v>0.71213896477132954</c:v>
                </c:pt>
                <c:pt idx="58">
                  <c:v>0.71262438104487114</c:v>
                </c:pt>
                <c:pt idx="59">
                  <c:v>0.75732983976824308</c:v>
                </c:pt>
                <c:pt idx="60">
                  <c:v>0.78155959619983684</c:v>
                </c:pt>
                <c:pt idx="61">
                  <c:v>0.80397412062274343</c:v>
                </c:pt>
                <c:pt idx="62">
                  <c:v>0.78534083689237766</c:v>
                </c:pt>
                <c:pt idx="63">
                  <c:v>0.79488812985868518</c:v>
                </c:pt>
                <c:pt idx="64">
                  <c:v>0.8018353955697215</c:v>
                </c:pt>
                <c:pt idx="65">
                  <c:v>0.82434361082840768</c:v>
                </c:pt>
                <c:pt idx="66">
                  <c:v>0.83515467062404281</c:v>
                </c:pt>
                <c:pt idx="67">
                  <c:v>0.83005380595635614</c:v>
                </c:pt>
                <c:pt idx="68">
                  <c:v>0.82289678685528833</c:v>
                </c:pt>
                <c:pt idx="69">
                  <c:v>0.83297770583153807</c:v>
                </c:pt>
                <c:pt idx="70">
                  <c:v>0.83043335613942437</c:v>
                </c:pt>
                <c:pt idx="71">
                  <c:v>0.83022296501011394</c:v>
                </c:pt>
                <c:pt idx="72">
                  <c:v>0.82424909205027286</c:v>
                </c:pt>
                <c:pt idx="73">
                  <c:v>0.84042721150249233</c:v>
                </c:pt>
                <c:pt idx="74">
                  <c:v>0.81607276284512087</c:v>
                </c:pt>
                <c:pt idx="75">
                  <c:v>0.80828723137875591</c:v>
                </c:pt>
                <c:pt idx="76">
                  <c:v>0.77732225256177823</c:v>
                </c:pt>
                <c:pt idx="77">
                  <c:v>0.76995026713432857</c:v>
                </c:pt>
                <c:pt idx="78">
                  <c:v>0.76464034151558036</c:v>
                </c:pt>
                <c:pt idx="79">
                  <c:v>0.72856951644565227</c:v>
                </c:pt>
                <c:pt idx="80">
                  <c:v>0.7746054647733025</c:v>
                </c:pt>
                <c:pt idx="81">
                  <c:v>0.79802810356323117</c:v>
                </c:pt>
                <c:pt idx="82">
                  <c:v>0.77320602557274454</c:v>
                </c:pt>
                <c:pt idx="83">
                  <c:v>0.78046238480783536</c:v>
                </c:pt>
                <c:pt idx="84">
                  <c:v>0.78873136784553433</c:v>
                </c:pt>
                <c:pt idx="85">
                  <c:v>0.82437584442691259</c:v>
                </c:pt>
                <c:pt idx="86">
                  <c:v>0.82005736270884411</c:v>
                </c:pt>
                <c:pt idx="87">
                  <c:v>0.82953555192647332</c:v>
                </c:pt>
                <c:pt idx="88">
                  <c:v>0.83134426029262354</c:v>
                </c:pt>
                <c:pt idx="89">
                  <c:v>0.86230539826550967</c:v>
                </c:pt>
                <c:pt idx="90">
                  <c:v>0.8768080745244915</c:v>
                </c:pt>
                <c:pt idx="91">
                  <c:v>0.80081914681886512</c:v>
                </c:pt>
                <c:pt idx="92">
                  <c:v>0.76949659706263318</c:v>
                </c:pt>
                <c:pt idx="93">
                  <c:v>0.77044928603232621</c:v>
                </c:pt>
                <c:pt idx="94">
                  <c:v>0.73130747721752065</c:v>
                </c:pt>
                <c:pt idx="95">
                  <c:v>0.73535489166232726</c:v>
                </c:pt>
                <c:pt idx="96">
                  <c:v>0.6926994811598095</c:v>
                </c:pt>
                <c:pt idx="97">
                  <c:v>0.70037486894261358</c:v>
                </c:pt>
                <c:pt idx="98">
                  <c:v>0.72029471128659905</c:v>
                </c:pt>
                <c:pt idx="99">
                  <c:v>0.73027550079598935</c:v>
                </c:pt>
                <c:pt idx="100">
                  <c:v>0.78044705980408258</c:v>
                </c:pt>
                <c:pt idx="101">
                  <c:v>0.8140255781734832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792256"/>
        <c:axId val="701083648"/>
      </c:lineChart>
      <c:dateAx>
        <c:axId val="789792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01083648"/>
        <c:crosses val="autoZero"/>
        <c:auto val="1"/>
        <c:lblOffset val="100"/>
        <c:baseTimeUnit val="months"/>
      </c:dateAx>
      <c:valAx>
        <c:axId val="7010836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789792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109537</xdr:colOff>
      <xdr:row>3</xdr:row>
      <xdr:rowOff>23812</xdr:rowOff>
    </xdr:from>
    <xdr:to>
      <xdr:col>17</xdr:col>
      <xdr:colOff>414337</xdr:colOff>
      <xdr:row>17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100012</xdr:colOff>
      <xdr:row>20</xdr:row>
      <xdr:rowOff>52387</xdr:rowOff>
    </xdr:from>
    <xdr:to>
      <xdr:col>17</xdr:col>
      <xdr:colOff>404812</xdr:colOff>
      <xdr:row>34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90487</xdr:colOff>
      <xdr:row>36</xdr:row>
      <xdr:rowOff>100012</xdr:rowOff>
    </xdr:from>
    <xdr:to>
      <xdr:col>17</xdr:col>
      <xdr:colOff>395287</xdr:colOff>
      <xdr:row>50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509587</xdr:colOff>
      <xdr:row>11</xdr:row>
      <xdr:rowOff>100012</xdr:rowOff>
    </xdr:from>
    <xdr:to>
      <xdr:col>23</xdr:col>
      <xdr:colOff>204787</xdr:colOff>
      <xdr:row>25</xdr:row>
      <xdr:rowOff>176212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</xdr:colOff>
      <xdr:row>14</xdr:row>
      <xdr:rowOff>80962</xdr:rowOff>
    </xdr:from>
    <xdr:to>
      <xdr:col>30</xdr:col>
      <xdr:colOff>357187</xdr:colOff>
      <xdr:row>28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6"/>
  <sheetViews>
    <sheetView tabSelected="1" workbookViewId="0">
      <selection activeCell="AI47" sqref="AI47"/>
    </sheetView>
  </sheetViews>
  <sheetFormatPr defaultRowHeight="15" x14ac:dyDescent="0.25"/>
  <cols>
    <col min="8" max="8" width="9.140625" style="2"/>
  </cols>
  <sheetData>
    <row r="1" spans="1:3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15</v>
      </c>
      <c r="S1" t="s">
        <v>8</v>
      </c>
      <c r="T1" t="s">
        <v>7</v>
      </c>
      <c r="U1" s="5" t="s">
        <v>9</v>
      </c>
      <c r="X1" t="s">
        <v>8</v>
      </c>
      <c r="Y1" t="s">
        <v>10</v>
      </c>
      <c r="Z1" t="s">
        <v>11</v>
      </c>
      <c r="AA1" t="s">
        <v>9</v>
      </c>
      <c r="AB1" t="s">
        <v>12</v>
      </c>
      <c r="AC1" t="s">
        <v>13</v>
      </c>
      <c r="AD1" t="s">
        <v>14</v>
      </c>
    </row>
    <row r="2" spans="1:30" x14ac:dyDescent="0.25">
      <c r="A2" s="1">
        <v>39692</v>
      </c>
      <c r="B2">
        <v>48455369602.785004</v>
      </c>
      <c r="C2">
        <v>7646960799.3299999</v>
      </c>
      <c r="D2">
        <v>6.3365526350063801</v>
      </c>
      <c r="E2">
        <v>780986376.99999905</v>
      </c>
      <c r="F2">
        <v>122256246</v>
      </c>
      <c r="G2">
        <v>6.3881102401917298</v>
      </c>
      <c r="H2" s="2">
        <v>5.1557605185355598E-2</v>
      </c>
      <c r="I2" s="3">
        <f>F2/(C2+F2)</f>
        <v>1.5735980252152566E-2</v>
      </c>
      <c r="S2" s="1">
        <v>39873</v>
      </c>
      <c r="T2" s="2">
        <f>VLOOKUP(S2,A:H,8,0)</f>
        <v>0.33595671239987002</v>
      </c>
      <c r="U2">
        <v>0.19298256698817601</v>
      </c>
      <c r="X2" s="1">
        <v>39845</v>
      </c>
      <c r="Y2" s="1">
        <v>39873</v>
      </c>
      <c r="Z2" s="1">
        <v>39904</v>
      </c>
      <c r="AA2">
        <v>9.3737071219812507E-2</v>
      </c>
      <c r="AB2">
        <v>5.0612500000000002</v>
      </c>
      <c r="AC2">
        <v>5.1549870712198098</v>
      </c>
      <c r="AD2">
        <f>(AC2-AB2)*100</f>
        <v>9.3737071219809565</v>
      </c>
    </row>
    <row r="3" spans="1:30" x14ac:dyDescent="0.25">
      <c r="A3" s="1">
        <v>39722</v>
      </c>
      <c r="B3">
        <v>33898967372.721699</v>
      </c>
      <c r="C3">
        <v>5263105465.1099997</v>
      </c>
      <c r="D3">
        <v>6.4408679623548597</v>
      </c>
      <c r="E3">
        <v>553455374.37499905</v>
      </c>
      <c r="F3">
        <v>84673630</v>
      </c>
      <c r="G3">
        <v>6.5363369253804198</v>
      </c>
      <c r="H3" s="2">
        <v>9.5468963025563305E-2</v>
      </c>
      <c r="I3" s="3">
        <f t="shared" ref="I3:I66" si="0">F3/(C3+F3)</f>
        <v>1.5833419536238031E-2</v>
      </c>
      <c r="S3" s="1">
        <v>39904</v>
      </c>
      <c r="T3" s="2">
        <f>VLOOKUP(S3,A:H,8,0)</f>
        <v>8.5906051591178298E-2</v>
      </c>
      <c r="U3">
        <v>0.240382418190595</v>
      </c>
      <c r="X3" s="1">
        <v>39873</v>
      </c>
      <c r="Y3" s="1">
        <v>39904</v>
      </c>
      <c r="Z3" s="1">
        <v>39934</v>
      </c>
      <c r="AA3">
        <v>0.127257688313755</v>
      </c>
      <c r="AB3">
        <v>4.9275000000000002</v>
      </c>
      <c r="AC3">
        <v>5.0547576883137504</v>
      </c>
      <c r="AD3">
        <f t="shared" ref="AD3:AD66" si="1">(AC3-AB3)*100</f>
        <v>12.725768831375017</v>
      </c>
    </row>
    <row r="4" spans="1:30" x14ac:dyDescent="0.25">
      <c r="A4" s="1">
        <v>39753</v>
      </c>
      <c r="B4">
        <v>41495980428.085602</v>
      </c>
      <c r="C4">
        <v>6766384793.9799995</v>
      </c>
      <c r="D4">
        <v>6.1326663634329899</v>
      </c>
      <c r="E4">
        <v>408403522.12499899</v>
      </c>
      <c r="F4">
        <v>64927324</v>
      </c>
      <c r="G4">
        <v>6.2901640937026704</v>
      </c>
      <c r="H4" s="2">
        <v>0.157497730269678</v>
      </c>
      <c r="I4" s="3">
        <f t="shared" si="0"/>
        <v>9.5043708849302053E-3</v>
      </c>
      <c r="S4" s="1">
        <v>39934</v>
      </c>
      <c r="T4" s="2">
        <f>VLOOKUP(S4,A:H,8,0)</f>
        <v>0.109634625812963</v>
      </c>
      <c r="U4">
        <v>0.23878859961819801</v>
      </c>
      <c r="X4" s="1">
        <v>39904</v>
      </c>
      <c r="Y4" s="1">
        <v>39934</v>
      </c>
      <c r="Z4" s="1">
        <v>39965</v>
      </c>
      <c r="AA4">
        <v>0.12888572577743801</v>
      </c>
      <c r="AB4">
        <v>4.7300000000000004</v>
      </c>
      <c r="AC4">
        <v>4.8588857257774301</v>
      </c>
      <c r="AD4">
        <f t="shared" si="1"/>
        <v>12.888572577742963</v>
      </c>
    </row>
    <row r="5" spans="1:30" x14ac:dyDescent="0.25">
      <c r="A5" s="1">
        <v>39783</v>
      </c>
      <c r="B5">
        <v>50708691461.646896</v>
      </c>
      <c r="C5">
        <v>8517217960.6499996</v>
      </c>
      <c r="D5">
        <v>5.9536684039229399</v>
      </c>
      <c r="E5">
        <v>429904416.87499899</v>
      </c>
      <c r="F5">
        <v>70095796</v>
      </c>
      <c r="G5">
        <v>6.1330984368163799</v>
      </c>
      <c r="H5" s="2">
        <v>0.17943003289343401</v>
      </c>
      <c r="I5" s="3">
        <f t="shared" si="0"/>
        <v>8.1627151384468678E-3</v>
      </c>
      <c r="S5" s="1">
        <v>39965</v>
      </c>
      <c r="T5" s="2">
        <f>VLOOKUP(S5,A:H,8,0)</f>
        <v>0.38165293464908701</v>
      </c>
      <c r="U5">
        <v>0.23081141554207801</v>
      </c>
      <c r="X5" s="1">
        <v>39934</v>
      </c>
      <c r="Y5" s="1">
        <v>39965</v>
      </c>
      <c r="Z5" s="1">
        <v>39995</v>
      </c>
      <c r="AA5">
        <v>0.13714018871790701</v>
      </c>
      <c r="AB5">
        <v>4.7762500000000001</v>
      </c>
      <c r="AC5">
        <v>4.9133901887178997</v>
      </c>
      <c r="AD5">
        <f t="shared" si="1"/>
        <v>13.714018871789957</v>
      </c>
    </row>
    <row r="6" spans="1:30" x14ac:dyDescent="0.25">
      <c r="A6" s="1">
        <v>39814</v>
      </c>
      <c r="B6">
        <v>27670985596.7551</v>
      </c>
      <c r="C6">
        <v>4550929685.1099997</v>
      </c>
      <c r="D6">
        <v>6.08029293163783</v>
      </c>
      <c r="E6">
        <v>246765103.87499899</v>
      </c>
      <c r="F6">
        <v>39395933</v>
      </c>
      <c r="G6">
        <v>6.2637202646019299</v>
      </c>
      <c r="H6" s="2">
        <v>0.183427332964093</v>
      </c>
      <c r="I6" s="3">
        <f t="shared" si="0"/>
        <v>8.5823830981778381E-3</v>
      </c>
      <c r="S6" s="1">
        <v>39995</v>
      </c>
      <c r="T6" s="2">
        <f>VLOOKUP(S6,A:H,8,0)</f>
        <v>0.22645630505158601</v>
      </c>
      <c r="U6">
        <v>0.264515232501354</v>
      </c>
      <c r="X6" s="1">
        <v>39965</v>
      </c>
      <c r="Y6" s="1">
        <v>39995</v>
      </c>
      <c r="Z6" s="1">
        <v>40026</v>
      </c>
      <c r="AA6">
        <v>0.18438495883165901</v>
      </c>
      <c r="AB6">
        <v>5.3449999999999998</v>
      </c>
      <c r="AC6">
        <v>5.5293849588316597</v>
      </c>
      <c r="AD6">
        <f t="shared" si="1"/>
        <v>18.438495883165995</v>
      </c>
    </row>
    <row r="7" spans="1:30" x14ac:dyDescent="0.25">
      <c r="A7" s="1">
        <v>39845</v>
      </c>
      <c r="B7">
        <v>73781990281.683105</v>
      </c>
      <c r="C7">
        <v>13719050442.43</v>
      </c>
      <c r="D7">
        <v>5.3780682993548599</v>
      </c>
      <c r="E7">
        <v>197554634.62499899</v>
      </c>
      <c r="F7">
        <v>33663095</v>
      </c>
      <c r="G7">
        <v>5.8685820369458002</v>
      </c>
      <c r="H7" s="2">
        <v>0.49051373759093297</v>
      </c>
      <c r="I7" s="3">
        <f t="shared" si="0"/>
        <v>2.4477420334816846E-3</v>
      </c>
      <c r="S7" s="1">
        <v>40026</v>
      </c>
      <c r="T7" s="2">
        <f>VLOOKUP(S7,A:H,8,0)</f>
        <v>0.164127211715621</v>
      </c>
      <c r="U7">
        <v>0.27168672784926901</v>
      </c>
      <c r="X7" s="1">
        <v>39995</v>
      </c>
      <c r="Y7" s="1">
        <v>40026</v>
      </c>
      <c r="Z7" s="1">
        <v>40057</v>
      </c>
      <c r="AA7">
        <v>0.21906287824812201</v>
      </c>
      <c r="AB7">
        <v>5.1470000000000002</v>
      </c>
      <c r="AC7">
        <v>5.3660628782481199</v>
      </c>
      <c r="AD7">
        <f t="shared" si="1"/>
        <v>21.906287824811965</v>
      </c>
    </row>
    <row r="8" spans="1:30" x14ac:dyDescent="0.25">
      <c r="A8" s="1">
        <v>39873</v>
      </c>
      <c r="B8">
        <v>152802116190.409</v>
      </c>
      <c r="C8">
        <v>30954266790.720001</v>
      </c>
      <c r="D8">
        <v>4.9363829944186799</v>
      </c>
      <c r="E8">
        <v>138065278.37499899</v>
      </c>
      <c r="F8">
        <v>26186719</v>
      </c>
      <c r="G8">
        <v>5.27233970681855</v>
      </c>
      <c r="H8" s="2">
        <v>0.33595671239987002</v>
      </c>
      <c r="I8" s="3">
        <f t="shared" si="0"/>
        <v>8.452658380802597E-4</v>
      </c>
      <c r="S8" s="1">
        <v>40057</v>
      </c>
      <c r="T8" s="2">
        <f>VLOOKUP(S8,A:H,8,0)</f>
        <v>4.1419248682399096E-3</v>
      </c>
      <c r="U8">
        <v>0.217288973536717</v>
      </c>
      <c r="X8" s="1">
        <v>40026</v>
      </c>
      <c r="Y8" s="1">
        <v>40057</v>
      </c>
      <c r="Z8" s="1">
        <v>40087</v>
      </c>
      <c r="AA8">
        <v>0.20505961737442099</v>
      </c>
      <c r="AB8">
        <v>5.1112500000000001</v>
      </c>
      <c r="AC8">
        <v>5.3163096173744204</v>
      </c>
      <c r="AD8">
        <f t="shared" si="1"/>
        <v>20.505961737442036</v>
      </c>
    </row>
    <row r="9" spans="1:30" x14ac:dyDescent="0.25">
      <c r="A9" s="1">
        <v>39904</v>
      </c>
      <c r="B9">
        <v>190626406569.55899</v>
      </c>
      <c r="C9">
        <v>39198499447.349998</v>
      </c>
      <c r="D9">
        <v>4.8631046916885596</v>
      </c>
      <c r="E9">
        <v>361516212.74999899</v>
      </c>
      <c r="F9">
        <v>73048177</v>
      </c>
      <c r="G9">
        <v>4.9490107432797297</v>
      </c>
      <c r="H9" s="2">
        <v>8.5906051591178298E-2</v>
      </c>
      <c r="I9" s="3">
        <f t="shared" si="0"/>
        <v>1.860078897290696E-3</v>
      </c>
      <c r="S9" s="1">
        <v>40087</v>
      </c>
      <c r="T9" s="2">
        <f>VLOOKUP(S9,A:H,8,0)</f>
        <v>-4.6366467772108099E-3</v>
      </c>
      <c r="U9">
        <v>0.16198650894811201</v>
      </c>
      <c r="X9" s="1">
        <v>40057</v>
      </c>
      <c r="Y9" s="1">
        <v>40087</v>
      </c>
      <c r="Z9" s="1">
        <v>40118</v>
      </c>
      <c r="AA9">
        <v>0.1630043987665</v>
      </c>
      <c r="AB9">
        <v>4.9539999999999997</v>
      </c>
      <c r="AC9">
        <v>5.1170043987665004</v>
      </c>
      <c r="AD9">
        <f t="shared" si="1"/>
        <v>16.300439876650064</v>
      </c>
    </row>
    <row r="10" spans="1:30" x14ac:dyDescent="0.25">
      <c r="A10" s="1">
        <v>39934</v>
      </c>
      <c r="B10">
        <v>204406885448.17001</v>
      </c>
      <c r="C10">
        <v>41797298512.389999</v>
      </c>
      <c r="D10">
        <v>4.8904329400039597</v>
      </c>
      <c r="E10">
        <v>394842565.49999899</v>
      </c>
      <c r="F10">
        <v>78967446</v>
      </c>
      <c r="G10">
        <v>5.0000675658169298</v>
      </c>
      <c r="H10" s="2">
        <v>0.109634625812963</v>
      </c>
      <c r="I10" s="3">
        <f t="shared" si="0"/>
        <v>1.8857327460491664E-3</v>
      </c>
      <c r="S10" s="1">
        <v>40118</v>
      </c>
      <c r="T10" s="2">
        <f>VLOOKUP(S10,A:H,8,0)</f>
        <v>7.2140534620146399E-2</v>
      </c>
      <c r="U10">
        <v>0.146896059220047</v>
      </c>
      <c r="X10" s="1">
        <v>40087</v>
      </c>
      <c r="Y10" s="1">
        <v>40118</v>
      </c>
      <c r="Z10" s="1">
        <v>40148</v>
      </c>
      <c r="AA10">
        <v>0.144859131845473</v>
      </c>
      <c r="AB10">
        <v>4.88</v>
      </c>
      <c r="AC10">
        <v>5.0248591318454698</v>
      </c>
      <c r="AD10">
        <f t="shared" si="1"/>
        <v>14.485913184546995</v>
      </c>
    </row>
    <row r="11" spans="1:30" x14ac:dyDescent="0.25">
      <c r="A11" s="1">
        <v>39965</v>
      </c>
      <c r="B11">
        <v>212195569161.54501</v>
      </c>
      <c r="C11">
        <v>44105702387.919998</v>
      </c>
      <c r="D11">
        <v>4.8110688113576696</v>
      </c>
      <c r="E11">
        <v>382609438.24999899</v>
      </c>
      <c r="F11">
        <v>73681868</v>
      </c>
      <c r="G11">
        <v>5.1927217460067601</v>
      </c>
      <c r="H11" s="2">
        <v>0.38165293464908701</v>
      </c>
      <c r="I11" s="3">
        <f t="shared" si="0"/>
        <v>1.6677884773852794E-3</v>
      </c>
      <c r="S11" s="1">
        <v>40148</v>
      </c>
      <c r="T11" s="2">
        <f>VLOOKUP(S11,A:H,8,0)</f>
        <v>0.119990852772033</v>
      </c>
      <c r="U11">
        <v>0.140647044021245</v>
      </c>
      <c r="X11" s="1">
        <v>40118</v>
      </c>
      <c r="Y11" s="1">
        <v>40148</v>
      </c>
      <c r="Z11" s="1">
        <v>40179</v>
      </c>
      <c r="AA11">
        <v>0.137048949182214</v>
      </c>
      <c r="AB11">
        <v>4.8</v>
      </c>
      <c r="AC11">
        <v>4.93704894918221</v>
      </c>
      <c r="AD11">
        <f t="shared" si="1"/>
        <v>13.704894918221022</v>
      </c>
    </row>
    <row r="12" spans="1:30" x14ac:dyDescent="0.25">
      <c r="A12" s="1">
        <v>39995</v>
      </c>
      <c r="B12">
        <v>231913917771.79199</v>
      </c>
      <c r="C12">
        <v>48508543521.879997</v>
      </c>
      <c r="D12">
        <v>4.7808880855634399</v>
      </c>
      <c r="E12">
        <v>585205033.48299897</v>
      </c>
      <c r="F12">
        <v>116869339.88</v>
      </c>
      <c r="G12">
        <v>5.0073443906150299</v>
      </c>
      <c r="H12" s="2">
        <v>0.22645630505158601</v>
      </c>
      <c r="I12" s="3">
        <f t="shared" si="0"/>
        <v>2.4034621610772668E-3</v>
      </c>
      <c r="S12" s="1">
        <v>40179</v>
      </c>
      <c r="T12" s="2">
        <f>VLOOKUP(S12,A:H,8,0)</f>
        <v>0.113215607981901</v>
      </c>
      <c r="U12">
        <v>9.7036697041736106E-2</v>
      </c>
      <c r="X12" s="1">
        <v>40148</v>
      </c>
      <c r="Y12" s="1">
        <v>40179</v>
      </c>
      <c r="Z12" s="1">
        <v>40210</v>
      </c>
      <c r="AA12">
        <v>9.7385101547180594E-2</v>
      </c>
      <c r="AB12">
        <v>4.8550000000000004</v>
      </c>
      <c r="AC12">
        <v>4.95238510154718</v>
      </c>
      <c r="AD12">
        <f t="shared" si="1"/>
        <v>9.7385101547179609</v>
      </c>
    </row>
    <row r="13" spans="1:30" x14ac:dyDescent="0.25">
      <c r="A13" s="1">
        <v>40026</v>
      </c>
      <c r="B13">
        <v>199883528261.57001</v>
      </c>
      <c r="C13">
        <v>41176149893.25</v>
      </c>
      <c r="D13">
        <v>4.8543520649641296</v>
      </c>
      <c r="E13">
        <v>1809268060.34624</v>
      </c>
      <c r="F13">
        <v>360521177.94999999</v>
      </c>
      <c r="G13">
        <v>5.0184792766797504</v>
      </c>
      <c r="H13" s="2">
        <v>0.164127211715621</v>
      </c>
      <c r="I13" s="3">
        <f t="shared" si="0"/>
        <v>8.6795876668116553E-3</v>
      </c>
      <c r="S13" s="1">
        <v>40210</v>
      </c>
      <c r="T13" s="2">
        <f>VLOOKUP(S13,A:H,8,0)</f>
        <v>0.120438266236279</v>
      </c>
      <c r="U13">
        <v>7.8163247530121896E-2</v>
      </c>
      <c r="X13" s="1">
        <v>40179</v>
      </c>
      <c r="Y13" s="1">
        <v>40210</v>
      </c>
      <c r="Z13" s="1">
        <v>40238</v>
      </c>
      <c r="AA13">
        <v>7.6314400695429899E-2</v>
      </c>
      <c r="AB13">
        <v>4.9487500000000004</v>
      </c>
      <c r="AC13">
        <v>5.0250644006954301</v>
      </c>
      <c r="AD13">
        <f t="shared" si="1"/>
        <v>7.6314400695429718</v>
      </c>
    </row>
    <row r="14" spans="1:30" x14ac:dyDescent="0.25">
      <c r="A14" s="1">
        <v>40057</v>
      </c>
      <c r="B14">
        <v>140936318598.55701</v>
      </c>
      <c r="C14">
        <v>28022240283.529999</v>
      </c>
      <c r="D14">
        <v>5.0294450826400299</v>
      </c>
      <c r="E14">
        <v>3026464048.2315402</v>
      </c>
      <c r="F14">
        <v>601253945.49000001</v>
      </c>
      <c r="G14">
        <v>5.0335870075082703</v>
      </c>
      <c r="H14" s="2">
        <v>4.1419248682399096E-3</v>
      </c>
      <c r="I14" s="3">
        <f t="shared" si="0"/>
        <v>2.1005609611436511E-2</v>
      </c>
      <c r="S14" s="1">
        <v>40238</v>
      </c>
      <c r="T14" s="2">
        <f>VLOOKUP(S14,A:H,8,0)</f>
        <v>5.28725839668455E-2</v>
      </c>
      <c r="U14">
        <v>7.0881756616898106E-2</v>
      </c>
      <c r="X14" s="1">
        <v>40210</v>
      </c>
      <c r="Y14" s="1">
        <v>40238</v>
      </c>
      <c r="Z14" s="1">
        <v>40269</v>
      </c>
      <c r="AA14">
        <v>6.5554906371980304E-2</v>
      </c>
      <c r="AB14">
        <v>4.9149999999999903</v>
      </c>
      <c r="AC14">
        <v>4.9805549063719798</v>
      </c>
      <c r="AD14">
        <f t="shared" si="1"/>
        <v>6.5554906371989574</v>
      </c>
    </row>
    <row r="15" spans="1:30" x14ac:dyDescent="0.25">
      <c r="A15" s="1">
        <v>40087</v>
      </c>
      <c r="B15">
        <v>92876473725.852798</v>
      </c>
      <c r="C15">
        <v>18088433683.07</v>
      </c>
      <c r="D15">
        <v>5.1345780045500096</v>
      </c>
      <c r="E15">
        <v>2543644825.24999</v>
      </c>
      <c r="F15">
        <v>495842866</v>
      </c>
      <c r="G15">
        <v>5.1299413577728004</v>
      </c>
      <c r="H15" s="2">
        <v>-4.6366467772108099E-3</v>
      </c>
      <c r="I15" s="3">
        <f t="shared" si="0"/>
        <v>2.6680773108965231E-2</v>
      </c>
      <c r="S15" s="1">
        <v>40269</v>
      </c>
      <c r="T15" s="2">
        <f>VLOOKUP(S15,A:H,8,0)</f>
        <v>7.0462627623514906E-2</v>
      </c>
      <c r="U15">
        <v>7.9003533133332401E-2</v>
      </c>
      <c r="X15" s="1">
        <v>40238</v>
      </c>
      <c r="Y15" s="1">
        <v>40269</v>
      </c>
      <c r="Z15" s="1">
        <v>40299</v>
      </c>
      <c r="AA15">
        <v>7.2878557514980194E-2</v>
      </c>
      <c r="AB15">
        <v>4.91</v>
      </c>
      <c r="AC15">
        <v>4.9828785575149803</v>
      </c>
      <c r="AD15">
        <f t="shared" si="1"/>
        <v>7.287855751498018</v>
      </c>
    </row>
    <row r="16" spans="1:30" x14ac:dyDescent="0.25">
      <c r="A16" s="1">
        <v>40118</v>
      </c>
      <c r="B16">
        <v>82531272419.842407</v>
      </c>
      <c r="C16">
        <v>16084451416.440001</v>
      </c>
      <c r="D16">
        <v>5.1311213720032001</v>
      </c>
      <c r="E16">
        <v>1861390906.62499</v>
      </c>
      <c r="F16">
        <v>357735386</v>
      </c>
      <c r="G16">
        <v>5.2032619066233403</v>
      </c>
      <c r="H16" s="2">
        <v>7.2140534620146399E-2</v>
      </c>
      <c r="I16" s="3">
        <f t="shared" si="0"/>
        <v>2.1757165898815389E-2</v>
      </c>
      <c r="S16" s="1">
        <v>40299</v>
      </c>
      <c r="T16" s="2">
        <f>VLOOKUP(S16,A:H,8,0)</f>
        <v>7.0514035884593998E-2</v>
      </c>
      <c r="U16">
        <v>9.1520078866786703E-2</v>
      </c>
      <c r="X16" s="1">
        <v>40269</v>
      </c>
      <c r="Y16" s="1">
        <v>40299</v>
      </c>
      <c r="Z16" s="1">
        <v>40330</v>
      </c>
      <c r="AA16">
        <v>8.5250142440726998E-2</v>
      </c>
      <c r="AB16">
        <v>5.0149999999999997</v>
      </c>
      <c r="AC16">
        <v>5.1002501424407196</v>
      </c>
      <c r="AD16">
        <f t="shared" si="1"/>
        <v>8.5250142440719934</v>
      </c>
    </row>
    <row r="17" spans="1:30" x14ac:dyDescent="0.25">
      <c r="A17" s="1">
        <v>40148</v>
      </c>
      <c r="B17">
        <v>92755378730.034195</v>
      </c>
      <c r="C17">
        <v>18472980381.169998</v>
      </c>
      <c r="D17">
        <v>5.02113772743364</v>
      </c>
      <c r="E17">
        <v>1661125455.24999</v>
      </c>
      <c r="F17">
        <v>323105215</v>
      </c>
      <c r="G17">
        <v>5.1411285802056703</v>
      </c>
      <c r="H17" s="2">
        <v>0.119990852772033</v>
      </c>
      <c r="I17" s="3">
        <f t="shared" si="0"/>
        <v>1.7190026792910425E-2</v>
      </c>
      <c r="S17" s="1">
        <v>40330</v>
      </c>
      <c r="T17" s="2">
        <f>VLOOKUP(S17,A:H,8,0)</f>
        <v>5.64658346626839E-2</v>
      </c>
      <c r="U17">
        <v>9.1248995744194594E-2</v>
      </c>
      <c r="X17" s="1">
        <v>40299</v>
      </c>
      <c r="Y17" s="1">
        <v>40330</v>
      </c>
      <c r="Z17" s="1">
        <v>40360</v>
      </c>
      <c r="AA17">
        <v>8.4842239389619004E-2</v>
      </c>
      <c r="AB17">
        <v>4.8125</v>
      </c>
      <c r="AC17">
        <v>4.8973422393896104</v>
      </c>
      <c r="AD17">
        <f t="shared" si="1"/>
        <v>8.4842239389610441</v>
      </c>
    </row>
    <row r="18" spans="1:30" x14ac:dyDescent="0.25">
      <c r="A18" s="1">
        <v>40179</v>
      </c>
      <c r="B18">
        <v>96042801499.446594</v>
      </c>
      <c r="C18">
        <v>19234729647.330002</v>
      </c>
      <c r="D18">
        <v>4.9931973706102202</v>
      </c>
      <c r="E18">
        <v>1995568129.5787399</v>
      </c>
      <c r="F18">
        <v>390796462.79000002</v>
      </c>
      <c r="G18">
        <v>5.10641297859212</v>
      </c>
      <c r="H18" s="2">
        <v>0.113215607981901</v>
      </c>
      <c r="I18" s="3">
        <f t="shared" si="0"/>
        <v>1.9912661734376835E-2</v>
      </c>
      <c r="S18" s="1">
        <v>40360</v>
      </c>
      <c r="T18" s="2">
        <f>VLOOKUP(S18,A:H,8,0)</f>
        <v>3.8324812897943802E-2</v>
      </c>
      <c r="U18">
        <v>8.0661492725969799E-2</v>
      </c>
      <c r="X18" s="1">
        <v>40330</v>
      </c>
      <c r="Y18" s="1">
        <v>40360</v>
      </c>
      <c r="Z18" s="1">
        <v>40391</v>
      </c>
      <c r="AA18">
        <v>7.3999804826975296E-2</v>
      </c>
      <c r="AB18">
        <v>4.6359999999999904</v>
      </c>
      <c r="AC18">
        <v>4.7099998048269702</v>
      </c>
      <c r="AD18">
        <f t="shared" si="1"/>
        <v>7.3999804826979876</v>
      </c>
    </row>
    <row r="19" spans="1:30" x14ac:dyDescent="0.25">
      <c r="A19" s="1">
        <v>40210</v>
      </c>
      <c r="B19">
        <v>94567476080.513107</v>
      </c>
      <c r="C19">
        <v>19138652189.5</v>
      </c>
      <c r="D19">
        <v>4.9411774216992903</v>
      </c>
      <c r="E19">
        <v>2277800395.0935898</v>
      </c>
      <c r="F19">
        <v>450014488.56</v>
      </c>
      <c r="G19">
        <v>5.0616156879355696</v>
      </c>
      <c r="H19" s="2">
        <v>0.120438266236279</v>
      </c>
      <c r="I19" s="3">
        <f t="shared" si="0"/>
        <v>2.2973206699363164E-2</v>
      </c>
      <c r="S19" s="1">
        <v>40391</v>
      </c>
      <c r="T19" s="2">
        <f>VLOOKUP(S19,A:H,8,0)</f>
        <v>3.51879774896557E-2</v>
      </c>
      <c r="U19">
        <v>6.8179693545310199E-2</v>
      </c>
      <c r="X19" s="1">
        <v>40360</v>
      </c>
      <c r="Y19" s="1">
        <v>40391</v>
      </c>
      <c r="Z19" s="1">
        <v>40422</v>
      </c>
      <c r="AA19">
        <v>6.3507059200447705E-2</v>
      </c>
      <c r="AB19">
        <v>4.4849999999999897</v>
      </c>
      <c r="AC19">
        <v>4.54850705920044</v>
      </c>
      <c r="AD19">
        <f t="shared" si="1"/>
        <v>6.35070592004503</v>
      </c>
    </row>
    <row r="20" spans="1:30" x14ac:dyDescent="0.25">
      <c r="A20" s="1">
        <v>40238</v>
      </c>
      <c r="B20">
        <v>76574299623.554001</v>
      </c>
      <c r="C20">
        <v>15359006111.52</v>
      </c>
      <c r="D20">
        <v>4.9856285665593596</v>
      </c>
      <c r="E20">
        <v>1925891408.5699899</v>
      </c>
      <c r="F20">
        <v>382234984.38</v>
      </c>
      <c r="G20">
        <v>5.0385011505262103</v>
      </c>
      <c r="H20" s="2">
        <v>5.28725839668455E-2</v>
      </c>
      <c r="I20" s="3">
        <f t="shared" si="0"/>
        <v>2.4282391842632905E-2</v>
      </c>
      <c r="S20" s="1">
        <v>40422</v>
      </c>
      <c r="T20" s="2">
        <f>VLOOKUP(S20,A:H,8,0)</f>
        <v>9.0188612492542494E-2</v>
      </c>
      <c r="U20">
        <v>5.3971312087539601E-2</v>
      </c>
      <c r="X20" s="1">
        <v>40391</v>
      </c>
      <c r="Y20" s="1">
        <v>40422</v>
      </c>
      <c r="Z20" s="1">
        <v>40452</v>
      </c>
      <c r="AA20">
        <v>5.0654287589573299E-2</v>
      </c>
      <c r="AB20">
        <v>4.3525</v>
      </c>
      <c r="AC20">
        <v>4.4031542875895697</v>
      </c>
      <c r="AD20">
        <f t="shared" si="1"/>
        <v>5.0654287589569691</v>
      </c>
    </row>
    <row r="21" spans="1:30" x14ac:dyDescent="0.25">
      <c r="A21" s="1">
        <v>40269</v>
      </c>
      <c r="B21">
        <v>60099277764.4953</v>
      </c>
      <c r="C21">
        <v>11880076772.379999</v>
      </c>
      <c r="D21">
        <v>5.0588290729080203</v>
      </c>
      <c r="E21">
        <v>1457881471.75124</v>
      </c>
      <c r="F21">
        <v>284226664.58999997</v>
      </c>
      <c r="G21">
        <v>5.1292917005315397</v>
      </c>
      <c r="H21" s="2">
        <v>7.0462627623514906E-2</v>
      </c>
      <c r="I21" s="3">
        <f t="shared" si="0"/>
        <v>2.3365634215122628E-2</v>
      </c>
      <c r="S21" s="1">
        <v>40452</v>
      </c>
      <c r="T21" s="2">
        <f>VLOOKUP(S21,A:H,8,0)</f>
        <v>0.119728445581107</v>
      </c>
      <c r="U21">
        <v>6.0190650175155798E-2</v>
      </c>
      <c r="X21" s="1">
        <v>40422</v>
      </c>
      <c r="Y21" s="1">
        <v>40452</v>
      </c>
      <c r="Z21" s="1">
        <v>40483</v>
      </c>
      <c r="AA21">
        <v>5.7865301710850997E-2</v>
      </c>
      <c r="AB21">
        <v>4.2759999999999998</v>
      </c>
      <c r="AC21">
        <v>4.3338653017108504</v>
      </c>
      <c r="AD21">
        <f t="shared" si="1"/>
        <v>5.7865301710850581</v>
      </c>
    </row>
    <row r="22" spans="1:30" x14ac:dyDescent="0.25">
      <c r="A22" s="1">
        <v>40299</v>
      </c>
      <c r="B22">
        <v>72958546510.241592</v>
      </c>
      <c r="C22">
        <v>14430413758.389999</v>
      </c>
      <c r="D22">
        <v>5.0558873592812104</v>
      </c>
      <c r="E22">
        <v>1578133219.7611599</v>
      </c>
      <c r="F22">
        <v>307844255.27999997</v>
      </c>
      <c r="G22">
        <v>5.1264013951658001</v>
      </c>
      <c r="H22" s="2">
        <v>7.0514035884593998E-2</v>
      </c>
      <c r="I22" s="3">
        <f t="shared" si="0"/>
        <v>2.0887424754979109E-2</v>
      </c>
      <c r="S22" s="1">
        <v>40483</v>
      </c>
      <c r="T22" s="2">
        <f>VLOOKUP(S22,A:H,8,0)</f>
        <v>0.113700469795094</v>
      </c>
      <c r="U22">
        <v>6.8401619834754596E-2</v>
      </c>
      <c r="X22" s="1">
        <v>40452</v>
      </c>
      <c r="Y22" s="1">
        <v>40483</v>
      </c>
      <c r="Z22" s="1">
        <v>40513</v>
      </c>
      <c r="AA22">
        <v>6.5885471191026598E-2</v>
      </c>
      <c r="AB22">
        <v>4.1749999999999998</v>
      </c>
      <c r="AC22">
        <v>4.24088547119102</v>
      </c>
      <c r="AD22">
        <f t="shared" si="1"/>
        <v>6.5885471191020173</v>
      </c>
    </row>
    <row r="23" spans="1:30" x14ac:dyDescent="0.25">
      <c r="A23" s="1">
        <v>40330</v>
      </c>
      <c r="B23">
        <v>70617803944.523804</v>
      </c>
      <c r="C23">
        <v>13922868170.549999</v>
      </c>
      <c r="D23">
        <v>5.0720730153788498</v>
      </c>
      <c r="E23">
        <v>1613122614.49999</v>
      </c>
      <c r="F23">
        <v>314538441</v>
      </c>
      <c r="G23">
        <v>5.1285388500415401</v>
      </c>
      <c r="H23" s="2">
        <v>5.64658346626839E-2</v>
      </c>
      <c r="I23" s="3">
        <f t="shared" si="0"/>
        <v>2.2092397132553118E-2</v>
      </c>
      <c r="S23" s="1">
        <v>40513</v>
      </c>
      <c r="T23" s="2">
        <f>VLOOKUP(S23,A:H,8,0)</f>
        <v>0.10785514931373801</v>
      </c>
      <c r="U23">
        <v>7.5599358819837995E-2</v>
      </c>
      <c r="X23" s="1">
        <v>40483</v>
      </c>
      <c r="Y23" s="1">
        <v>40513</v>
      </c>
      <c r="Z23" s="1">
        <v>40544</v>
      </c>
      <c r="AA23">
        <v>7.3826956265673205E-2</v>
      </c>
      <c r="AB23">
        <v>4.2562499999999996</v>
      </c>
      <c r="AC23">
        <v>4.3300769562656702</v>
      </c>
      <c r="AD23">
        <f t="shared" si="1"/>
        <v>7.3826956265670596</v>
      </c>
    </row>
    <row r="24" spans="1:30" x14ac:dyDescent="0.25">
      <c r="A24" s="1">
        <v>40360</v>
      </c>
      <c r="B24">
        <v>67401860732.275398</v>
      </c>
      <c r="C24">
        <v>13213251370.969999</v>
      </c>
      <c r="D24">
        <v>5.1010806379086802</v>
      </c>
      <c r="E24">
        <v>1513533501.79739</v>
      </c>
      <c r="F24">
        <v>294495835.42000002</v>
      </c>
      <c r="G24">
        <v>5.1394054508066196</v>
      </c>
      <c r="H24" s="2">
        <v>3.8324812897943802E-2</v>
      </c>
      <c r="I24" s="3">
        <f t="shared" si="0"/>
        <v>2.1801994878959927E-2</v>
      </c>
      <c r="S24" s="1">
        <v>40544</v>
      </c>
      <c r="T24" s="2">
        <f>VLOOKUP(S24,A:H,8,0)</f>
        <v>0.12708266958661499</v>
      </c>
      <c r="U24">
        <v>8.4164244595013801E-2</v>
      </c>
      <c r="X24" s="1">
        <v>40513</v>
      </c>
      <c r="Y24" s="1">
        <v>40544</v>
      </c>
      <c r="Z24" s="1">
        <v>40575</v>
      </c>
      <c r="AA24">
        <v>8.4434984637305102E-2</v>
      </c>
      <c r="AB24">
        <v>4.6489999999999903</v>
      </c>
      <c r="AC24">
        <v>4.7334349846372996</v>
      </c>
      <c r="AD24">
        <f t="shared" si="1"/>
        <v>8.4434984637309363</v>
      </c>
    </row>
    <row r="25" spans="1:30" x14ac:dyDescent="0.25">
      <c r="A25" s="1">
        <v>40391</v>
      </c>
      <c r="B25">
        <v>85233860640.078903</v>
      </c>
      <c r="C25">
        <v>17223205670.200001</v>
      </c>
      <c r="D25">
        <v>4.9487802835422503</v>
      </c>
      <c r="E25">
        <v>3271619403.9749899</v>
      </c>
      <c r="F25">
        <v>656428619.25</v>
      </c>
      <c r="G25">
        <v>4.9839682610319</v>
      </c>
      <c r="H25" s="2">
        <v>3.51879774896557E-2</v>
      </c>
      <c r="I25" s="3">
        <f t="shared" si="0"/>
        <v>3.6713760954122543E-2</v>
      </c>
      <c r="S25" s="1">
        <v>40575</v>
      </c>
      <c r="T25" s="2">
        <f>VLOOKUP(S25,A:H,8,0)</f>
        <v>5.5312618904289998E-2</v>
      </c>
      <c r="U25">
        <v>9.8957220709792404E-2</v>
      </c>
      <c r="X25" s="1">
        <v>40544</v>
      </c>
      <c r="Y25" s="1">
        <v>40575</v>
      </c>
      <c r="Z25" s="1">
        <v>40603</v>
      </c>
      <c r="AA25">
        <v>9.9301549355353194E-2</v>
      </c>
      <c r="AB25">
        <v>4.6987500000000004</v>
      </c>
      <c r="AC25">
        <v>4.7980515493553497</v>
      </c>
      <c r="AD25">
        <f t="shared" si="1"/>
        <v>9.9301549355349295</v>
      </c>
    </row>
    <row r="26" spans="1:30" x14ac:dyDescent="0.25">
      <c r="A26" s="1">
        <v>40422</v>
      </c>
      <c r="B26">
        <v>92078134650.721695</v>
      </c>
      <c r="C26">
        <v>19261217802.889999</v>
      </c>
      <c r="D26">
        <v>4.7804939227106402</v>
      </c>
      <c r="E26">
        <v>4290385836.4487901</v>
      </c>
      <c r="F26">
        <v>880859264.67999995</v>
      </c>
      <c r="G26">
        <v>4.87068253520318</v>
      </c>
      <c r="H26" s="2">
        <v>9.0188612492542494E-2</v>
      </c>
      <c r="I26" s="3">
        <f t="shared" si="0"/>
        <v>4.3732295419435081E-2</v>
      </c>
      <c r="S26" s="1">
        <v>40603</v>
      </c>
      <c r="T26" s="2">
        <f>VLOOKUP(S26,A:H,8,0)</f>
        <v>-3.1920602581872501E-2</v>
      </c>
      <c r="U26">
        <v>0.102311327612231</v>
      </c>
      <c r="X26" s="1">
        <v>40575</v>
      </c>
      <c r="Y26" s="1">
        <v>40603</v>
      </c>
      <c r="Z26" s="1">
        <v>40634</v>
      </c>
      <c r="AA26">
        <v>0.103523811701666</v>
      </c>
      <c r="AB26">
        <v>4.8775000000000004</v>
      </c>
      <c r="AC26">
        <v>4.9810238117016601</v>
      </c>
      <c r="AD26">
        <f t="shared" si="1"/>
        <v>10.35238117016597</v>
      </c>
    </row>
    <row r="27" spans="1:30" x14ac:dyDescent="0.25">
      <c r="A27" s="1">
        <v>40452</v>
      </c>
      <c r="B27">
        <v>116675482701.006</v>
      </c>
      <c r="C27">
        <v>25257412733.52</v>
      </c>
      <c r="D27">
        <v>4.6194550460096</v>
      </c>
      <c r="E27">
        <v>5713793223.5218401</v>
      </c>
      <c r="F27">
        <v>1205649292.47</v>
      </c>
      <c r="G27">
        <v>4.7391834915907101</v>
      </c>
      <c r="H27" s="2">
        <v>0.119728445581107</v>
      </c>
      <c r="I27" s="3">
        <f t="shared" si="0"/>
        <v>4.5559704741873909E-2</v>
      </c>
      <c r="S27" s="1">
        <v>40634</v>
      </c>
      <c r="T27" s="2">
        <f>VLOOKUP(S27,A:H,8,0)</f>
        <v>-5.47564579382325E-2</v>
      </c>
      <c r="U27">
        <v>8.1959791766495593E-2</v>
      </c>
      <c r="X27" s="1">
        <v>40603</v>
      </c>
      <c r="Y27" s="1">
        <v>40634</v>
      </c>
      <c r="Z27" s="1">
        <v>40664</v>
      </c>
      <c r="AA27">
        <v>8.6559836309543101E-2</v>
      </c>
      <c r="AB27">
        <v>4.7610000000000001</v>
      </c>
      <c r="AC27">
        <v>4.8475598363095402</v>
      </c>
      <c r="AD27">
        <f t="shared" si="1"/>
        <v>8.6559836309540117</v>
      </c>
    </row>
    <row r="28" spans="1:30" x14ac:dyDescent="0.25">
      <c r="A28" s="1">
        <v>40483</v>
      </c>
      <c r="B28">
        <v>122526421262.494</v>
      </c>
      <c r="C28">
        <v>27209554864.66</v>
      </c>
      <c r="D28">
        <v>4.5030659954541301</v>
      </c>
      <c r="E28">
        <v>7133615219.0447397</v>
      </c>
      <c r="F28">
        <v>1545154010.4400001</v>
      </c>
      <c r="G28">
        <v>4.6167664652492197</v>
      </c>
      <c r="H28" s="2">
        <v>0.113700469795094</v>
      </c>
      <c r="I28" s="3">
        <f t="shared" si="0"/>
        <v>5.3735686114979891E-2</v>
      </c>
      <c r="S28" s="1">
        <v>40664</v>
      </c>
      <c r="T28" s="2">
        <f>VLOOKUP(S28,A:H,8,0)</f>
        <v>-3.6446848174619399E-2</v>
      </c>
      <c r="U28">
        <v>5.2878974513272198E-2</v>
      </c>
      <c r="X28" s="1">
        <v>40634</v>
      </c>
      <c r="Y28" s="1">
        <v>40664</v>
      </c>
      <c r="Z28" s="1">
        <v>40695</v>
      </c>
      <c r="AA28">
        <v>6.0775458953863201E-2</v>
      </c>
      <c r="AB28">
        <v>4.75875</v>
      </c>
      <c r="AC28">
        <v>4.8195254589538603</v>
      </c>
      <c r="AD28">
        <f t="shared" si="1"/>
        <v>6.0775458953860273</v>
      </c>
    </row>
    <row r="29" spans="1:30" x14ac:dyDescent="0.25">
      <c r="A29" s="1">
        <v>40513</v>
      </c>
      <c r="B29">
        <v>127146676137.742</v>
      </c>
      <c r="C29">
        <v>28664995310.110001</v>
      </c>
      <c r="D29">
        <v>4.4356077774378004</v>
      </c>
      <c r="E29">
        <v>8027904569.69135</v>
      </c>
      <c r="F29">
        <v>1766913189.1500001</v>
      </c>
      <c r="G29">
        <v>4.5434629267515403</v>
      </c>
      <c r="H29" s="2">
        <v>0.10785514931373801</v>
      </c>
      <c r="I29" s="3">
        <f t="shared" si="0"/>
        <v>5.8061202083101865E-2</v>
      </c>
      <c r="S29" s="1">
        <v>40695</v>
      </c>
      <c r="T29" s="2">
        <f>VLOOKUP(S29,A:H,8,0)</f>
        <v>-5.8297975468956003E-3</v>
      </c>
      <c r="U29">
        <v>2.7854421518319801E-2</v>
      </c>
      <c r="X29" s="1">
        <v>40664</v>
      </c>
      <c r="Y29" s="1">
        <v>40695</v>
      </c>
      <c r="Z29" s="1">
        <v>40725</v>
      </c>
      <c r="AA29">
        <v>3.6297033015940297E-2</v>
      </c>
      <c r="AB29">
        <v>4.5625</v>
      </c>
      <c r="AC29">
        <v>4.5987970330159396</v>
      </c>
      <c r="AD29">
        <f t="shared" si="1"/>
        <v>3.6297033015939562</v>
      </c>
    </row>
    <row r="30" spans="1:30" x14ac:dyDescent="0.25">
      <c r="A30" s="1">
        <v>40544</v>
      </c>
      <c r="B30">
        <v>122353419407.29401</v>
      </c>
      <c r="C30">
        <v>28111228485.049999</v>
      </c>
      <c r="D30">
        <v>4.3524750073574197</v>
      </c>
      <c r="E30">
        <v>9650482386.5851898</v>
      </c>
      <c r="F30">
        <v>2154338236.6199999</v>
      </c>
      <c r="G30">
        <v>4.4795576769440304</v>
      </c>
      <c r="H30" s="2">
        <v>0.12708266958661499</v>
      </c>
      <c r="I30" s="3">
        <f t="shared" si="0"/>
        <v>7.1181162951014704E-2</v>
      </c>
      <c r="S30" s="1">
        <v>40725</v>
      </c>
      <c r="T30" s="2">
        <f>VLOOKUP(S30,A:H,8,0)</f>
        <v>-1.5460380991105801E-2</v>
      </c>
      <c r="U30">
        <v>8.9069303748808507E-3</v>
      </c>
      <c r="X30" s="1">
        <v>40695</v>
      </c>
      <c r="Y30" s="1">
        <v>40725</v>
      </c>
      <c r="Z30" s="1">
        <v>40756</v>
      </c>
      <c r="AA30">
        <v>1.64598556189198E-2</v>
      </c>
      <c r="AB30">
        <v>4.4349999999999996</v>
      </c>
      <c r="AC30">
        <v>4.4514598556189204</v>
      </c>
      <c r="AD30">
        <f t="shared" si="1"/>
        <v>1.6459855618920827</v>
      </c>
    </row>
    <row r="31" spans="1:30" x14ac:dyDescent="0.25">
      <c r="A31" s="1">
        <v>40575</v>
      </c>
      <c r="B31">
        <v>109265416168.94</v>
      </c>
      <c r="C31">
        <v>24691429681.959999</v>
      </c>
      <c r="D31">
        <v>4.4252365122774604</v>
      </c>
      <c r="E31">
        <v>10280692966.998301</v>
      </c>
      <c r="F31">
        <v>2294516289.4099998</v>
      </c>
      <c r="G31">
        <v>4.4805491311817498</v>
      </c>
      <c r="H31" s="2">
        <v>5.5312618904289998E-2</v>
      </c>
      <c r="I31" s="3">
        <f t="shared" si="0"/>
        <v>8.502634266904352E-2</v>
      </c>
      <c r="S31" s="1">
        <v>40756</v>
      </c>
      <c r="T31" s="2">
        <f>VLOOKUP(S31,A:H,8,0)</f>
        <v>-6.3915009762449205E-4</v>
      </c>
      <c r="U31">
        <v>-1.4850244721405901E-2</v>
      </c>
      <c r="X31" s="1">
        <v>40725</v>
      </c>
      <c r="Y31" s="1">
        <v>40756</v>
      </c>
      <c r="Z31" s="1">
        <v>40787</v>
      </c>
      <c r="AA31">
        <v>-6.8530918267427502E-3</v>
      </c>
      <c r="AB31">
        <v>4.4762499999999896</v>
      </c>
      <c r="AC31">
        <v>4.4693969081732501</v>
      </c>
      <c r="AD31">
        <f t="shared" si="1"/>
        <v>-0.68530918267395435</v>
      </c>
    </row>
    <row r="32" spans="1:30" x14ac:dyDescent="0.25">
      <c r="A32" s="1">
        <v>40603</v>
      </c>
      <c r="B32">
        <v>75565735760.732697</v>
      </c>
      <c r="C32">
        <v>16193892565.040001</v>
      </c>
      <c r="D32">
        <v>4.6663107994100699</v>
      </c>
      <c r="E32">
        <v>7128971511.9902897</v>
      </c>
      <c r="F32">
        <v>1538276064.21</v>
      </c>
      <c r="G32">
        <v>4.6343901968281997</v>
      </c>
      <c r="H32" s="2">
        <v>-3.1920602581872501E-2</v>
      </c>
      <c r="I32" s="3">
        <f t="shared" si="0"/>
        <v>8.6750588513609408E-2</v>
      </c>
      <c r="S32" s="1">
        <v>40787</v>
      </c>
      <c r="T32" s="2">
        <f>VLOOKUP(S32,A:H,8,0)</f>
        <v>1.1540973259353601E-2</v>
      </c>
      <c r="U32">
        <v>-2.4175539555058401E-2</v>
      </c>
      <c r="X32" s="1">
        <v>40756</v>
      </c>
      <c r="Y32" s="1">
        <v>40787</v>
      </c>
      <c r="Z32" s="1">
        <v>40817</v>
      </c>
      <c r="AA32">
        <v>-1.6533301984487402E-2</v>
      </c>
      <c r="AB32">
        <v>4.1900000000000004</v>
      </c>
      <c r="AC32">
        <v>4.1734666980155097</v>
      </c>
      <c r="AD32">
        <f t="shared" si="1"/>
        <v>-1.6533301984490656</v>
      </c>
    </row>
    <row r="33" spans="1:30" x14ac:dyDescent="0.25">
      <c r="A33" s="1">
        <v>40634</v>
      </c>
      <c r="B33">
        <v>54767371754.875801</v>
      </c>
      <c r="C33">
        <v>11338344966.58</v>
      </c>
      <c r="D33">
        <v>4.8302791912138598</v>
      </c>
      <c r="E33">
        <v>3666326393.6307902</v>
      </c>
      <c r="F33">
        <v>767732999.79999995</v>
      </c>
      <c r="G33">
        <v>4.77552273327563</v>
      </c>
      <c r="H33" s="2">
        <v>-5.47564579382325E-2</v>
      </c>
      <c r="I33" s="3">
        <f t="shared" si="0"/>
        <v>6.3417153097153733E-2</v>
      </c>
      <c r="S33" s="1">
        <v>40817</v>
      </c>
      <c r="T33" s="2">
        <f>VLOOKUP(S33,A:H,8,0)</f>
        <v>-2.0700324849432499E-2</v>
      </c>
      <c r="U33">
        <v>-1.6931943581520701E-2</v>
      </c>
      <c r="X33" s="1">
        <v>40787</v>
      </c>
      <c r="Y33" s="1">
        <v>40817</v>
      </c>
      <c r="Z33" s="1">
        <v>40848</v>
      </c>
      <c r="AA33">
        <v>-1.16919195300259E-2</v>
      </c>
      <c r="AB33">
        <v>4.0025000000000004</v>
      </c>
      <c r="AC33">
        <v>3.9908080804699702</v>
      </c>
      <c r="AD33">
        <f t="shared" si="1"/>
        <v>-1.1691919530030237</v>
      </c>
    </row>
    <row r="34" spans="1:30" x14ac:dyDescent="0.25">
      <c r="A34" s="1">
        <v>40664</v>
      </c>
      <c r="B34">
        <v>53946885664.590401</v>
      </c>
      <c r="C34">
        <v>10842022620.950001</v>
      </c>
      <c r="D34">
        <v>4.9757215558976098</v>
      </c>
      <c r="E34">
        <v>4159103378.60079</v>
      </c>
      <c r="F34">
        <v>842047390.5</v>
      </c>
      <c r="G34">
        <v>4.9392747077229897</v>
      </c>
      <c r="H34" s="2">
        <v>-3.6446848174619399E-2</v>
      </c>
      <c r="I34" s="3">
        <f t="shared" si="0"/>
        <v>7.2067985699745166E-2</v>
      </c>
      <c r="S34" s="1">
        <v>40848</v>
      </c>
      <c r="T34" s="2">
        <f>VLOOKUP(S34,A:H,8,0)</f>
        <v>8.392560109279E-2</v>
      </c>
      <c r="U34">
        <v>-1.1255921400054001E-2</v>
      </c>
      <c r="X34" s="1">
        <v>40817</v>
      </c>
      <c r="Y34" s="1">
        <v>40848</v>
      </c>
      <c r="Z34" s="1">
        <v>40878</v>
      </c>
      <c r="AA34">
        <v>-8.1328285827781208E-3</v>
      </c>
      <c r="AB34">
        <v>4.0175000000000001</v>
      </c>
      <c r="AC34">
        <v>4.0093671714172201</v>
      </c>
      <c r="AD34">
        <f t="shared" si="1"/>
        <v>-0.81328285827799718</v>
      </c>
    </row>
    <row r="35" spans="1:30" x14ac:dyDescent="0.25">
      <c r="A35" s="1">
        <v>40695</v>
      </c>
      <c r="B35">
        <v>46298472087.298897</v>
      </c>
      <c r="C35">
        <v>9304164705.3999996</v>
      </c>
      <c r="D35">
        <v>4.9761019450169499</v>
      </c>
      <c r="E35">
        <v>3869500580.73349</v>
      </c>
      <c r="F35">
        <v>778528914.70000005</v>
      </c>
      <c r="G35">
        <v>4.97027214747005</v>
      </c>
      <c r="H35" s="2">
        <v>-5.8297975468956003E-3</v>
      </c>
      <c r="I35" s="3">
        <f t="shared" si="0"/>
        <v>7.7214377827368577E-2</v>
      </c>
      <c r="S35" s="1">
        <v>40878</v>
      </c>
      <c r="T35" s="2">
        <f>VLOOKUP(S35,A:H,8,0)</f>
        <v>0.13937758643456599</v>
      </c>
      <c r="U35">
        <v>8.8061534778475399E-3</v>
      </c>
      <c r="X35" s="1">
        <v>40848</v>
      </c>
      <c r="Y35" s="1">
        <v>40878</v>
      </c>
      <c r="Z35" s="1">
        <v>40909</v>
      </c>
      <c r="AA35">
        <v>1.02142267848804E-2</v>
      </c>
      <c r="AB35">
        <v>3.919</v>
      </c>
      <c r="AC35">
        <v>3.9292142267848802</v>
      </c>
      <c r="AD35">
        <f t="shared" si="1"/>
        <v>1.0214226784880154</v>
      </c>
    </row>
    <row r="36" spans="1:30" x14ac:dyDescent="0.25">
      <c r="A36" s="1">
        <v>40725</v>
      </c>
      <c r="B36">
        <v>43899396385.833199</v>
      </c>
      <c r="C36">
        <v>8895427478.7399998</v>
      </c>
      <c r="D36">
        <v>4.9350519118673501</v>
      </c>
      <c r="E36">
        <v>4609029003.0749903</v>
      </c>
      <c r="F36">
        <v>936872294</v>
      </c>
      <c r="G36">
        <v>4.9195915308762403</v>
      </c>
      <c r="H36" s="2">
        <v>-1.5460380991105801E-2</v>
      </c>
      <c r="I36" s="3">
        <f t="shared" si="0"/>
        <v>9.5285163761734931E-2</v>
      </c>
      <c r="S36" s="1">
        <v>40909</v>
      </c>
      <c r="T36" s="2">
        <f>VLOOKUP(S36,A:H,8,0)</f>
        <v>0.15657165209436799</v>
      </c>
      <c r="U36">
        <v>3.3007384141424498E-2</v>
      </c>
      <c r="X36" s="1">
        <v>40878</v>
      </c>
      <c r="Y36" s="1">
        <v>40909</v>
      </c>
      <c r="Z36" s="1">
        <v>40940</v>
      </c>
      <c r="AA36">
        <v>3.4463433328708597E-2</v>
      </c>
      <c r="AB36">
        <v>3.8787500000000001</v>
      </c>
      <c r="AC36">
        <v>3.9132134333286999</v>
      </c>
      <c r="AD36">
        <f t="shared" si="1"/>
        <v>3.4463433328699722</v>
      </c>
    </row>
    <row r="37" spans="1:30" x14ac:dyDescent="0.25">
      <c r="A37" s="1">
        <v>40756</v>
      </c>
      <c r="B37">
        <v>53315906228.7798</v>
      </c>
      <c r="C37">
        <v>11197077404.700001</v>
      </c>
      <c r="D37">
        <v>4.7615912886696998</v>
      </c>
      <c r="E37">
        <v>5692715696.3749905</v>
      </c>
      <c r="F37">
        <v>1195709499</v>
      </c>
      <c r="G37">
        <v>4.7609521385720699</v>
      </c>
      <c r="H37" s="2">
        <v>-6.3915009762449205E-4</v>
      </c>
      <c r="I37" s="3">
        <f t="shared" si="0"/>
        <v>9.6484310453446756E-2</v>
      </c>
      <c r="S37" s="1">
        <v>40940</v>
      </c>
      <c r="T37" s="2">
        <f>VLOOKUP(S37,A:H,8,0)</f>
        <v>0.15423039117450099</v>
      </c>
      <c r="U37">
        <v>6.16793896556702E-2</v>
      </c>
      <c r="X37" s="1">
        <v>40909</v>
      </c>
      <c r="Y37" s="1">
        <v>40940</v>
      </c>
      <c r="Z37" s="1">
        <v>40969</v>
      </c>
      <c r="AA37">
        <v>6.1794822879168702E-2</v>
      </c>
      <c r="AB37">
        <v>3.8525</v>
      </c>
      <c r="AC37">
        <v>3.9142948228791599</v>
      </c>
      <c r="AD37">
        <f t="shared" si="1"/>
        <v>6.1794822879159828</v>
      </c>
    </row>
    <row r="38" spans="1:30" x14ac:dyDescent="0.25">
      <c r="A38" s="1">
        <v>40787</v>
      </c>
      <c r="B38">
        <v>51584008916.317703</v>
      </c>
      <c r="C38">
        <v>11013689604.23</v>
      </c>
      <c r="D38">
        <v>4.6836265384223301</v>
      </c>
      <c r="E38">
        <v>5888195540.9009895</v>
      </c>
      <c r="F38">
        <v>1254097010.6500001</v>
      </c>
      <c r="G38">
        <v>4.6951675116816798</v>
      </c>
      <c r="H38" s="2">
        <v>1.1540973259353601E-2</v>
      </c>
      <c r="I38" s="3">
        <f t="shared" si="0"/>
        <v>0.10222683602344899</v>
      </c>
      <c r="S38" s="1">
        <v>40969</v>
      </c>
      <c r="T38" s="2">
        <f>VLOOKUP(S38,A:H,8,0)</f>
        <v>0.102776193830753</v>
      </c>
      <c r="U38">
        <v>8.7490979867691193E-2</v>
      </c>
      <c r="X38" s="1">
        <v>40940</v>
      </c>
      <c r="Y38" s="1">
        <v>40969</v>
      </c>
      <c r="Z38" s="1">
        <v>41000</v>
      </c>
      <c r="AA38">
        <v>8.6526067821467406E-2</v>
      </c>
      <c r="AB38">
        <v>3.8420000000000001</v>
      </c>
      <c r="AC38">
        <v>3.9285260678214602</v>
      </c>
      <c r="AD38">
        <f t="shared" si="1"/>
        <v>8.6526067821460106</v>
      </c>
    </row>
    <row r="39" spans="1:30" x14ac:dyDescent="0.25">
      <c r="A39" s="1">
        <v>40817</v>
      </c>
      <c r="B39">
        <v>56601221094.394302</v>
      </c>
      <c r="C39">
        <v>12385820920.52</v>
      </c>
      <c r="D39">
        <v>4.5698400984161802</v>
      </c>
      <c r="E39">
        <v>7688992485.8027401</v>
      </c>
      <c r="F39">
        <v>1690208010.4200001</v>
      </c>
      <c r="G39">
        <v>4.5491397735667496</v>
      </c>
      <c r="H39" s="2">
        <v>-2.0700324849432499E-2</v>
      </c>
      <c r="I39" s="3">
        <f t="shared" si="0"/>
        <v>0.12007704862731676</v>
      </c>
      <c r="S39" s="1">
        <v>41000</v>
      </c>
      <c r="T39" s="2">
        <f>VLOOKUP(S39,A:H,8,0)</f>
        <v>0.10156605049341599</v>
      </c>
      <c r="U39">
        <v>0.102696849962924</v>
      </c>
      <c r="X39" s="1">
        <v>40969</v>
      </c>
      <c r="Y39" s="1">
        <v>41000</v>
      </c>
      <c r="Z39" s="1">
        <v>41030</v>
      </c>
      <c r="AA39">
        <v>0.100546614089793</v>
      </c>
      <c r="AB39">
        <v>3.9112499999999999</v>
      </c>
      <c r="AC39">
        <v>4.01179661408979</v>
      </c>
      <c r="AD39">
        <f t="shared" si="1"/>
        <v>10.054661408979015</v>
      </c>
    </row>
    <row r="40" spans="1:30" x14ac:dyDescent="0.25">
      <c r="A40" s="1">
        <v>40848</v>
      </c>
      <c r="B40">
        <v>75506461375.965393</v>
      </c>
      <c r="C40">
        <v>17484556351.119999</v>
      </c>
      <c r="D40">
        <v>4.3184659570231902</v>
      </c>
      <c r="E40">
        <v>16928693341.2339</v>
      </c>
      <c r="F40">
        <v>3845340224.23</v>
      </c>
      <c r="G40">
        <v>4.4023915581159798</v>
      </c>
      <c r="H40" s="2">
        <v>8.392560109279E-2</v>
      </c>
      <c r="I40" s="3">
        <f t="shared" si="0"/>
        <v>0.1802793656615235</v>
      </c>
      <c r="S40" s="1">
        <v>41030</v>
      </c>
      <c r="T40" s="2">
        <f>VLOOKUP(S40,A:H,8,0)</f>
        <v>7.4422773759592303E-2</v>
      </c>
      <c r="U40">
        <v>0.12307457918673199</v>
      </c>
      <c r="X40" s="1">
        <v>41000</v>
      </c>
      <c r="Y40" s="1">
        <v>41030</v>
      </c>
      <c r="Z40" s="1">
        <v>41061</v>
      </c>
      <c r="AA40">
        <v>0.11968232515942499</v>
      </c>
      <c r="AB40">
        <v>3.8412500000000001</v>
      </c>
      <c r="AC40">
        <v>3.96093232515942</v>
      </c>
      <c r="AD40">
        <f t="shared" si="1"/>
        <v>11.96823251594199</v>
      </c>
    </row>
    <row r="41" spans="1:30" x14ac:dyDescent="0.25">
      <c r="A41" s="1">
        <v>40878</v>
      </c>
      <c r="B41">
        <v>91397347958.296097</v>
      </c>
      <c r="C41">
        <v>21863426087.16</v>
      </c>
      <c r="D41">
        <v>4.1803762865863003</v>
      </c>
      <c r="E41">
        <v>6875416301.5864897</v>
      </c>
      <c r="F41">
        <v>1591622232.1199999</v>
      </c>
      <c r="G41">
        <v>4.3197538730208702</v>
      </c>
      <c r="H41" s="2">
        <v>0.13937758643456599</v>
      </c>
      <c r="I41" s="3">
        <f t="shared" si="0"/>
        <v>6.785840772758886E-2</v>
      </c>
      <c r="S41" s="1">
        <v>41061</v>
      </c>
      <c r="T41" s="2">
        <f>VLOOKUP(S41,A:H,8,0)</f>
        <v>6.2914593367721802E-2</v>
      </c>
      <c r="U41">
        <v>0.12149077463119901</v>
      </c>
      <c r="X41" s="1">
        <v>41030</v>
      </c>
      <c r="Y41" s="1">
        <v>41061</v>
      </c>
      <c r="Z41" s="1">
        <v>41091</v>
      </c>
      <c r="AA41">
        <v>0.118248244849029</v>
      </c>
      <c r="AB41">
        <v>3.738</v>
      </c>
      <c r="AC41">
        <v>3.8562482448490201</v>
      </c>
      <c r="AD41">
        <f t="shared" si="1"/>
        <v>11.824824484902008</v>
      </c>
    </row>
    <row r="42" spans="1:30" x14ac:dyDescent="0.25">
      <c r="A42" s="1">
        <v>40909</v>
      </c>
      <c r="B42">
        <v>99121471543.991501</v>
      </c>
      <c r="C42">
        <v>23912828870.669998</v>
      </c>
      <c r="D42">
        <v>4.1451169194610697</v>
      </c>
      <c r="E42">
        <v>6750284968.0537395</v>
      </c>
      <c r="F42">
        <v>1569217495.8199999</v>
      </c>
      <c r="G42">
        <v>4.3016885715554398</v>
      </c>
      <c r="H42" s="2">
        <v>0.15657165209436799</v>
      </c>
      <c r="I42" s="3">
        <f t="shared" si="0"/>
        <v>6.1581298191325379E-2</v>
      </c>
      <c r="S42" s="1">
        <v>41091</v>
      </c>
      <c r="T42" s="2">
        <f>VLOOKUP(S42,A:H,8,0)</f>
        <v>3.9630704352536503E-2</v>
      </c>
      <c r="U42">
        <v>0.108746942453392</v>
      </c>
      <c r="X42" s="1">
        <v>41061</v>
      </c>
      <c r="Y42" s="1">
        <v>41091</v>
      </c>
      <c r="Z42" s="1">
        <v>41122</v>
      </c>
      <c r="AA42">
        <v>0.105272193888135</v>
      </c>
      <c r="AB42">
        <v>3.6</v>
      </c>
      <c r="AC42">
        <v>3.7052721938881299</v>
      </c>
      <c r="AD42">
        <f t="shared" si="1"/>
        <v>10.527219388812981</v>
      </c>
    </row>
    <row r="43" spans="1:30" x14ac:dyDescent="0.25">
      <c r="A43" s="1">
        <v>40940</v>
      </c>
      <c r="B43">
        <v>103657326964.114</v>
      </c>
      <c r="C43">
        <v>25080463188.66</v>
      </c>
      <c r="D43">
        <v>4.1329909333963997</v>
      </c>
      <c r="E43">
        <v>6908754605.5517397</v>
      </c>
      <c r="F43">
        <v>1611476077.98</v>
      </c>
      <c r="G43">
        <v>4.2872213245708997</v>
      </c>
      <c r="H43" s="2">
        <v>0.15423039117450099</v>
      </c>
      <c r="I43" s="3">
        <f t="shared" si="0"/>
        <v>6.0373135944979762E-2</v>
      </c>
      <c r="S43" s="1">
        <v>41122</v>
      </c>
      <c r="T43" s="2">
        <f>VLOOKUP(S43,A:H,8,0)</f>
        <v>7.5256355662756694E-2</v>
      </c>
      <c r="U43">
        <v>8.9256784496420299E-2</v>
      </c>
      <c r="X43" s="1">
        <v>41091</v>
      </c>
      <c r="Y43" s="1">
        <v>41122</v>
      </c>
      <c r="Z43" s="1">
        <v>41153</v>
      </c>
      <c r="AA43">
        <v>8.7142123934849894E-2</v>
      </c>
      <c r="AB43">
        <v>3.4812500000000002</v>
      </c>
      <c r="AC43">
        <v>3.5683921239348502</v>
      </c>
      <c r="AD43">
        <f t="shared" si="1"/>
        <v>8.7142123934849991</v>
      </c>
    </row>
    <row r="44" spans="1:30" x14ac:dyDescent="0.25">
      <c r="A44" s="1">
        <v>40969</v>
      </c>
      <c r="B44">
        <v>100474420094.5</v>
      </c>
      <c r="C44">
        <v>24699785045.279999</v>
      </c>
      <c r="D44">
        <v>4.0678256879689201</v>
      </c>
      <c r="E44">
        <v>6949844583.1399899</v>
      </c>
      <c r="F44">
        <v>1666388876.26</v>
      </c>
      <c r="G44">
        <v>4.1706018817996702</v>
      </c>
      <c r="H44" s="2">
        <v>0.102776193830753</v>
      </c>
      <c r="I44" s="3">
        <f t="shared" si="0"/>
        <v>6.3201770617868608E-2</v>
      </c>
      <c r="S44" s="1">
        <v>41153</v>
      </c>
      <c r="T44" s="2">
        <f>VLOOKUP(S44,A:H,8,0)</f>
        <v>0.120762495403582</v>
      </c>
      <c r="U44">
        <v>7.6094445244462794E-2</v>
      </c>
      <c r="X44" s="1">
        <v>41122</v>
      </c>
      <c r="Y44" s="1">
        <v>41153</v>
      </c>
      <c r="Z44" s="1">
        <v>41183</v>
      </c>
      <c r="AA44">
        <v>7.47931149628588E-2</v>
      </c>
      <c r="AB44">
        <v>3.512</v>
      </c>
      <c r="AC44">
        <v>3.58679311496285</v>
      </c>
      <c r="AD44">
        <f t="shared" si="1"/>
        <v>7.4793114962850016</v>
      </c>
    </row>
    <row r="45" spans="1:30" x14ac:dyDescent="0.25">
      <c r="A45" s="1">
        <v>41000</v>
      </c>
      <c r="B45">
        <v>111996994647.895</v>
      </c>
      <c r="C45">
        <v>27926337680.200001</v>
      </c>
      <c r="D45">
        <v>4.0104433288186803</v>
      </c>
      <c r="E45">
        <v>9280247426.1884899</v>
      </c>
      <c r="F45">
        <v>2256864362.4400001</v>
      </c>
      <c r="G45">
        <v>4.1120093793120898</v>
      </c>
      <c r="H45" s="2">
        <v>0.10156605049341599</v>
      </c>
      <c r="I45" s="3">
        <f t="shared" si="0"/>
        <v>7.4772198100510126E-2</v>
      </c>
      <c r="S45" s="1">
        <v>41183</v>
      </c>
      <c r="T45" s="2">
        <f>VLOOKUP(S45,A:H,8,0)</f>
        <v>0.132000759421743</v>
      </c>
      <c r="U45">
        <v>7.9092162173267699E-2</v>
      </c>
      <c r="X45" s="1">
        <v>41153</v>
      </c>
      <c r="Y45" s="1">
        <v>41183</v>
      </c>
      <c r="Z45" s="1">
        <v>41214</v>
      </c>
      <c r="AA45">
        <v>7.81319322374769E-2</v>
      </c>
      <c r="AB45">
        <v>3.4037500000000001</v>
      </c>
      <c r="AC45">
        <v>3.4818819322374699</v>
      </c>
      <c r="AD45">
        <f t="shared" si="1"/>
        <v>7.8131932237469837</v>
      </c>
    </row>
    <row r="46" spans="1:30" x14ac:dyDescent="0.25">
      <c r="A46" s="1">
        <v>41030</v>
      </c>
      <c r="B46">
        <v>111559354950.537</v>
      </c>
      <c r="C46">
        <v>27882656656.939999</v>
      </c>
      <c r="D46">
        <v>4.00103032946721</v>
      </c>
      <c r="E46">
        <v>7631608197.0704899</v>
      </c>
      <c r="F46">
        <v>1872579073.73</v>
      </c>
      <c r="G46">
        <v>4.0754531032268</v>
      </c>
      <c r="H46" s="2">
        <v>7.4422773759592303E-2</v>
      </c>
      <c r="I46" s="3">
        <f t="shared" si="0"/>
        <v>6.2932758815278086E-2</v>
      </c>
      <c r="S46" s="1">
        <v>41214</v>
      </c>
      <c r="T46" s="2">
        <f>VLOOKUP(S46,A:H,8,0)</f>
        <v>9.4397640232383201E-2</v>
      </c>
      <c r="U46">
        <v>8.4164613661322205E-2</v>
      </c>
      <c r="X46" s="1">
        <v>41183</v>
      </c>
      <c r="Y46" s="1">
        <v>41214</v>
      </c>
      <c r="Z46" s="1">
        <v>41244</v>
      </c>
      <c r="AA46">
        <v>8.2257011793977902E-2</v>
      </c>
      <c r="AB46">
        <v>3.3039999999999998</v>
      </c>
      <c r="AC46">
        <v>3.3862570117939699</v>
      </c>
      <c r="AD46">
        <f t="shared" si="1"/>
        <v>8.2257011793970047</v>
      </c>
    </row>
    <row r="47" spans="1:30" x14ac:dyDescent="0.25">
      <c r="A47" s="1">
        <v>41061</v>
      </c>
      <c r="B47">
        <v>95729027567.647797</v>
      </c>
      <c r="C47">
        <v>23620214067.66</v>
      </c>
      <c r="D47">
        <v>4.0528433524536398</v>
      </c>
      <c r="E47">
        <v>7780125009.1111403</v>
      </c>
      <c r="F47">
        <v>1890326183.3</v>
      </c>
      <c r="G47">
        <v>4.1157579458213602</v>
      </c>
      <c r="H47" s="2">
        <v>6.2914593367721802E-2</v>
      </c>
      <c r="I47" s="3">
        <f t="shared" si="0"/>
        <v>7.4099809910096445E-2</v>
      </c>
      <c r="S47" s="1">
        <v>41244</v>
      </c>
      <c r="T47" s="2">
        <f>VLOOKUP(S47,A:H,8,0)</f>
        <v>5.48436913119092E-2</v>
      </c>
      <c r="U47">
        <v>8.7493758073453998E-2</v>
      </c>
      <c r="X47" s="1">
        <v>41214</v>
      </c>
      <c r="Y47" s="1">
        <v>41244</v>
      </c>
      <c r="Z47" s="1">
        <v>41275</v>
      </c>
      <c r="AA47">
        <v>8.4832217781216704E-2</v>
      </c>
      <c r="AB47">
        <v>3.2737500000000002</v>
      </c>
      <c r="AC47">
        <v>3.3585822177812101</v>
      </c>
      <c r="AD47">
        <f t="shared" si="1"/>
        <v>8.4832217781209973</v>
      </c>
    </row>
    <row r="48" spans="1:30" x14ac:dyDescent="0.25">
      <c r="A48" s="1">
        <v>41091</v>
      </c>
      <c r="B48">
        <v>96202987052.636505</v>
      </c>
      <c r="C48">
        <v>23957208161.48</v>
      </c>
      <c r="D48">
        <v>4.0156176130455004</v>
      </c>
      <c r="E48">
        <v>9098141181.2054901</v>
      </c>
      <c r="F48">
        <v>2243547242.7600002</v>
      </c>
      <c r="G48">
        <v>4.0552483173980303</v>
      </c>
      <c r="H48" s="2">
        <v>3.9630704352536503E-2</v>
      </c>
      <c r="I48" s="3">
        <f t="shared" si="0"/>
        <v>8.5629105273695008E-2</v>
      </c>
      <c r="S48" s="1">
        <v>41275</v>
      </c>
      <c r="T48" s="2">
        <f>VLOOKUP(S48,A:H,8,0)</f>
        <v>9.0205967046469798E-2</v>
      </c>
      <c r="U48">
        <v>8.6148607730818602E-2</v>
      </c>
      <c r="X48" s="1">
        <v>41244</v>
      </c>
      <c r="Y48" s="1">
        <v>41275</v>
      </c>
      <c r="Z48" s="1">
        <v>41306</v>
      </c>
      <c r="AA48">
        <v>8.3606893159703405E-2</v>
      </c>
      <c r="AB48">
        <v>3.27</v>
      </c>
      <c r="AC48">
        <v>3.3536068931597001</v>
      </c>
      <c r="AD48">
        <f t="shared" si="1"/>
        <v>8.3606893159700046</v>
      </c>
    </row>
    <row r="49" spans="1:30" x14ac:dyDescent="0.25">
      <c r="A49" s="1">
        <v>41122</v>
      </c>
      <c r="B49">
        <v>107049180205.37399</v>
      </c>
      <c r="C49">
        <v>27479273574.709999</v>
      </c>
      <c r="D49">
        <v>3.8956335550258099</v>
      </c>
      <c r="E49">
        <v>12477637843.2789</v>
      </c>
      <c r="F49">
        <v>3142277455.1599998</v>
      </c>
      <c r="G49">
        <v>3.97088991068857</v>
      </c>
      <c r="H49" s="2">
        <v>7.5256355662756694E-2</v>
      </c>
      <c r="I49" s="3">
        <f t="shared" si="0"/>
        <v>0.10261653474361387</v>
      </c>
      <c r="S49" s="1">
        <v>41306</v>
      </c>
      <c r="T49" s="2">
        <f>VLOOKUP(S49,A:H,8,0)</f>
        <v>0.10123899138492</v>
      </c>
      <c r="U49">
        <v>9.4577818179807399E-2</v>
      </c>
      <c r="X49" s="1">
        <v>41275</v>
      </c>
      <c r="Y49" s="1">
        <v>41306</v>
      </c>
      <c r="Z49" s="1">
        <v>41334</v>
      </c>
      <c r="AA49">
        <v>9.0931516351977104E-2</v>
      </c>
      <c r="AB49">
        <v>3.339</v>
      </c>
      <c r="AC49">
        <v>3.4299315163519699</v>
      </c>
      <c r="AD49">
        <f t="shared" si="1"/>
        <v>9.0931516351969943</v>
      </c>
    </row>
    <row r="50" spans="1:30" x14ac:dyDescent="0.25">
      <c r="A50" s="1">
        <v>41153</v>
      </c>
      <c r="B50">
        <v>115190072311.166</v>
      </c>
      <c r="C50">
        <v>30365608730.540001</v>
      </c>
      <c r="D50">
        <v>3.79343860132516</v>
      </c>
      <c r="E50">
        <v>13132182288.8521</v>
      </c>
      <c r="F50">
        <v>3355009608.4299998</v>
      </c>
      <c r="G50">
        <v>3.9142010967287399</v>
      </c>
      <c r="H50" s="2">
        <v>0.120762495403582</v>
      </c>
      <c r="I50" s="3">
        <f t="shared" si="0"/>
        <v>9.9494308636467271E-2</v>
      </c>
      <c r="S50" s="1">
        <v>41334</v>
      </c>
      <c r="T50" s="2">
        <f>VLOOKUP(S50,A:H,8,0)</f>
        <v>0.11169602949174</v>
      </c>
      <c r="U50">
        <v>9.8908257466834806E-2</v>
      </c>
      <c r="X50" s="1">
        <v>41306</v>
      </c>
      <c r="Y50" s="1">
        <v>41334</v>
      </c>
      <c r="Z50" s="1">
        <v>41365</v>
      </c>
      <c r="AA50">
        <v>9.5882367752490094E-2</v>
      </c>
      <c r="AB50">
        <v>3.4824999999999999</v>
      </c>
      <c r="AC50">
        <v>3.5783823677524902</v>
      </c>
      <c r="AD50">
        <f t="shared" si="1"/>
        <v>9.5882367752490261</v>
      </c>
    </row>
    <row r="51" spans="1:30" x14ac:dyDescent="0.25">
      <c r="A51" s="1">
        <v>41183</v>
      </c>
      <c r="B51">
        <v>131746797243.339</v>
      </c>
      <c r="C51">
        <v>35656590086.190002</v>
      </c>
      <c r="D51">
        <v>3.69487931753648</v>
      </c>
      <c r="E51">
        <v>12363051700.5597</v>
      </c>
      <c r="F51">
        <v>3230582472.3899999</v>
      </c>
      <c r="G51">
        <v>3.8268800769582199</v>
      </c>
      <c r="H51" s="2">
        <v>0.132000759421743</v>
      </c>
      <c r="I51" s="3">
        <f t="shared" si="0"/>
        <v>8.3075787202667409E-2</v>
      </c>
      <c r="S51" s="1">
        <v>41365</v>
      </c>
      <c r="T51" s="2">
        <f>VLOOKUP(S51,A:H,8,0)</f>
        <v>0.107846047216046</v>
      </c>
      <c r="U51">
        <v>9.7397179814861096E-2</v>
      </c>
      <c r="X51" s="1">
        <v>41334</v>
      </c>
      <c r="Y51" s="1">
        <v>41365</v>
      </c>
      <c r="Z51" s="1">
        <v>41395</v>
      </c>
      <c r="AA51">
        <v>9.3146411456464004E-2</v>
      </c>
      <c r="AB51">
        <v>3.50875</v>
      </c>
      <c r="AC51">
        <v>3.60189641145646</v>
      </c>
      <c r="AD51">
        <f t="shared" si="1"/>
        <v>9.3146411456459965</v>
      </c>
    </row>
    <row r="52" spans="1:30" x14ac:dyDescent="0.25">
      <c r="A52" s="1">
        <v>41214</v>
      </c>
      <c r="B52">
        <v>121968728487.729</v>
      </c>
      <c r="C52">
        <v>33165000220.59</v>
      </c>
      <c r="D52">
        <v>3.6776338813954501</v>
      </c>
      <c r="E52">
        <v>9900749468.14674</v>
      </c>
      <c r="F52">
        <v>2624779090.8899999</v>
      </c>
      <c r="G52">
        <v>3.7720315216278402</v>
      </c>
      <c r="H52" s="2">
        <v>9.4397640232383201E-2</v>
      </c>
      <c r="I52" s="3">
        <f t="shared" si="0"/>
        <v>7.3338789492006465E-2</v>
      </c>
      <c r="S52" s="1">
        <v>41395</v>
      </c>
      <c r="T52" s="2">
        <f>VLOOKUP(S52,A:H,8,0)</f>
        <v>0.10849540439482599</v>
      </c>
      <c r="U52">
        <v>9.3371394447244904E-2</v>
      </c>
      <c r="X52" s="1">
        <v>41365</v>
      </c>
      <c r="Y52" s="1">
        <v>41395</v>
      </c>
      <c r="Z52" s="1">
        <v>41426</v>
      </c>
      <c r="AA52">
        <v>8.87856583958887E-2</v>
      </c>
      <c r="AB52">
        <v>3.3887499999999999</v>
      </c>
      <c r="AC52">
        <v>3.4775356583958801</v>
      </c>
      <c r="AD52">
        <f t="shared" si="1"/>
        <v>8.8785658395880152</v>
      </c>
    </row>
    <row r="53" spans="1:30" x14ac:dyDescent="0.25">
      <c r="A53" s="1">
        <v>41244</v>
      </c>
      <c r="B53">
        <v>130940069663.884</v>
      </c>
      <c r="C53">
        <v>36353915530.419998</v>
      </c>
      <c r="D53">
        <v>3.6018147633730702</v>
      </c>
      <c r="E53">
        <v>12142864817.241899</v>
      </c>
      <c r="F53">
        <v>3320754445</v>
      </c>
      <c r="G53">
        <v>3.6566584546849801</v>
      </c>
      <c r="H53" s="2">
        <v>5.48436913119092E-2</v>
      </c>
      <c r="I53" s="3">
        <f t="shared" si="0"/>
        <v>8.3699611037907476E-2</v>
      </c>
      <c r="S53" s="1">
        <v>41426</v>
      </c>
      <c r="T53" s="2">
        <f>VLOOKUP(S53,A:H,8,0)</f>
        <v>6.8578240839161003E-2</v>
      </c>
      <c r="U53">
        <v>9.5721021807652004E-2</v>
      </c>
      <c r="X53" s="1">
        <v>41395</v>
      </c>
      <c r="Y53" s="1">
        <v>41426</v>
      </c>
      <c r="Z53" s="1">
        <v>41456</v>
      </c>
      <c r="AA53">
        <v>9.0774806487323501E-2</v>
      </c>
      <c r="AB53">
        <v>3.4660000000000002</v>
      </c>
      <c r="AC53">
        <v>3.5567748064873199</v>
      </c>
      <c r="AD53">
        <f t="shared" si="1"/>
        <v>9.0774806487319726</v>
      </c>
    </row>
    <row r="54" spans="1:30" x14ac:dyDescent="0.25">
      <c r="A54" s="1">
        <v>41275</v>
      </c>
      <c r="B54">
        <v>121259493646.97701</v>
      </c>
      <c r="C54">
        <v>34356591352.150002</v>
      </c>
      <c r="D54">
        <v>3.5294390064510499</v>
      </c>
      <c r="E54">
        <v>10331307841.744699</v>
      </c>
      <c r="F54">
        <v>2854232367.3699999</v>
      </c>
      <c r="G54">
        <v>3.61964497349752</v>
      </c>
      <c r="H54" s="2">
        <v>9.0205967046469798E-2</v>
      </c>
      <c r="I54" s="3">
        <f t="shared" si="0"/>
        <v>7.6704358626512495E-2</v>
      </c>
      <c r="S54" s="1">
        <v>41456</v>
      </c>
      <c r="T54" s="2">
        <f>VLOOKUP(S54,A:H,8,0)</f>
        <v>4.3273962268712503E-2</v>
      </c>
      <c r="U54">
        <v>9.8010113395527301E-2</v>
      </c>
      <c r="X54" s="1">
        <v>41426</v>
      </c>
      <c r="Y54" s="1">
        <v>41456</v>
      </c>
      <c r="Z54" s="1">
        <v>41487</v>
      </c>
      <c r="AA54">
        <v>9.2220002209855101E-2</v>
      </c>
      <c r="AB54">
        <v>4.0075000000000003</v>
      </c>
      <c r="AC54">
        <v>4.0997200022098497</v>
      </c>
      <c r="AD54">
        <f t="shared" si="1"/>
        <v>9.2220002209849383</v>
      </c>
    </row>
    <row r="55" spans="1:30" x14ac:dyDescent="0.25">
      <c r="A55" s="1">
        <v>41306</v>
      </c>
      <c r="B55">
        <v>122983117979.554</v>
      </c>
      <c r="C55">
        <v>35010680956.029999</v>
      </c>
      <c r="D55">
        <v>3.5127313900009201</v>
      </c>
      <c r="E55">
        <v>9438666782.6499901</v>
      </c>
      <c r="F55">
        <v>2611716695.6500001</v>
      </c>
      <c r="G55">
        <v>3.6139703813858399</v>
      </c>
      <c r="H55" s="2">
        <v>0.10123899138492</v>
      </c>
      <c r="I55" s="3">
        <f t="shared" si="0"/>
        <v>6.9419198633486764E-2</v>
      </c>
      <c r="S55" s="1">
        <v>41487</v>
      </c>
      <c r="T55" s="2">
        <f>VLOOKUP(S55,A:H,8,0)</f>
        <v>5.5921056614207598E-2</v>
      </c>
      <c r="U55">
        <v>9.0188112599234399E-2</v>
      </c>
      <c r="X55" s="1">
        <v>41456</v>
      </c>
      <c r="Y55" s="1">
        <v>41487</v>
      </c>
      <c r="Z55" s="1">
        <v>41518</v>
      </c>
      <c r="AA55">
        <v>8.3749926521954399E-2</v>
      </c>
      <c r="AB55">
        <v>4.3090000000000002</v>
      </c>
      <c r="AC55">
        <v>4.3927499265219501</v>
      </c>
      <c r="AD55">
        <f t="shared" si="1"/>
        <v>8.3749926521949902</v>
      </c>
    </row>
    <row r="56" spans="1:30" x14ac:dyDescent="0.25">
      <c r="A56" s="1">
        <v>41334</v>
      </c>
      <c r="B56">
        <v>118079814132.593</v>
      </c>
      <c r="C56">
        <v>33529449300.580002</v>
      </c>
      <c r="D56">
        <v>3.5216747246293298</v>
      </c>
      <c r="E56">
        <v>8990245151.5229893</v>
      </c>
      <c r="F56">
        <v>2474353915.3899999</v>
      </c>
      <c r="G56">
        <v>3.6333707541210698</v>
      </c>
      <c r="H56" s="2">
        <v>0.11169602949174</v>
      </c>
      <c r="I56" s="3">
        <f t="shared" si="0"/>
        <v>6.8724792782237656E-2</v>
      </c>
      <c r="S56" s="1">
        <v>41518</v>
      </c>
      <c r="T56" s="2">
        <f>VLOOKUP(S56,A:H,8,0)</f>
        <v>8.5484054670181497E-2</v>
      </c>
      <c r="U56">
        <v>8.2635123470782196E-2</v>
      </c>
      <c r="X56" s="1">
        <v>41487</v>
      </c>
      <c r="Y56" s="1">
        <v>41518</v>
      </c>
      <c r="Z56" s="1">
        <v>41548</v>
      </c>
      <c r="AA56">
        <v>7.3497410022041798E-2</v>
      </c>
      <c r="AB56">
        <v>4.4037499999999996</v>
      </c>
      <c r="AC56">
        <v>4.4772474100220396</v>
      </c>
      <c r="AD56">
        <f t="shared" si="1"/>
        <v>7.3497410022040022</v>
      </c>
    </row>
    <row r="57" spans="1:30" x14ac:dyDescent="0.25">
      <c r="A57" s="1">
        <v>41365</v>
      </c>
      <c r="B57">
        <v>102026477091.37</v>
      </c>
      <c r="C57">
        <v>28373356299.150002</v>
      </c>
      <c r="D57">
        <v>3.59585506965302</v>
      </c>
      <c r="E57">
        <v>6802675047.9221401</v>
      </c>
      <c r="F57">
        <v>1836723545.79</v>
      </c>
      <c r="G57">
        <v>3.7037011168690701</v>
      </c>
      <c r="H57" s="2">
        <v>0.107846047216046</v>
      </c>
      <c r="I57" s="3">
        <f t="shared" si="0"/>
        <v>6.0798367803640202E-2</v>
      </c>
      <c r="S57" s="1">
        <v>41548</v>
      </c>
      <c r="T57" s="2">
        <f>VLOOKUP(S57,A:H,8,0)</f>
        <v>4.9091928173729003E-2</v>
      </c>
      <c r="U57">
        <v>7.8266461000522494E-2</v>
      </c>
      <c r="X57" s="1">
        <v>41518</v>
      </c>
      <c r="Y57" s="1">
        <v>41548</v>
      </c>
      <c r="Z57" s="1">
        <v>41579</v>
      </c>
      <c r="AA57">
        <v>6.6770433312639196E-2</v>
      </c>
      <c r="AB57">
        <v>4.4212499999999997</v>
      </c>
      <c r="AC57">
        <v>4.4880204333126397</v>
      </c>
      <c r="AD57">
        <f t="shared" si="1"/>
        <v>6.6770433312639987</v>
      </c>
    </row>
    <row r="58" spans="1:30" x14ac:dyDescent="0.25">
      <c r="A58" s="1">
        <v>41395</v>
      </c>
      <c r="B58">
        <v>107173425222.617</v>
      </c>
      <c r="C58">
        <v>29048558710.349998</v>
      </c>
      <c r="D58">
        <v>3.6894575834646002</v>
      </c>
      <c r="E58">
        <v>6220841300.7398901</v>
      </c>
      <c r="F58">
        <v>1637945840.99</v>
      </c>
      <c r="G58">
        <v>3.7979529878594298</v>
      </c>
      <c r="H58" s="2">
        <v>0.10849540439482599</v>
      </c>
      <c r="I58" s="3">
        <f t="shared" si="0"/>
        <v>5.3376748669749521E-2</v>
      </c>
      <c r="S58" s="1">
        <v>41579</v>
      </c>
      <c r="T58" s="2">
        <f>VLOOKUP(S58,A:H,8,0)</f>
        <v>5.92653277254203E-2</v>
      </c>
      <c r="U58">
        <v>6.8474107826802993E-2</v>
      </c>
      <c r="X58" s="1">
        <v>41548</v>
      </c>
      <c r="Y58" s="1">
        <v>41579</v>
      </c>
      <c r="Z58" s="1">
        <v>41609</v>
      </c>
      <c r="AA58">
        <v>5.5053699008788197E-2</v>
      </c>
      <c r="AB58">
        <v>4.1219999999999999</v>
      </c>
      <c r="AC58">
        <v>4.1770536990087797</v>
      </c>
      <c r="AD58">
        <f t="shared" si="1"/>
        <v>5.5053699008779766</v>
      </c>
    </row>
    <row r="59" spans="1:30" x14ac:dyDescent="0.25">
      <c r="A59" s="1">
        <v>41426</v>
      </c>
      <c r="B59">
        <v>103294682192.323</v>
      </c>
      <c r="C59">
        <v>27731929601.009998</v>
      </c>
      <c r="D59">
        <v>3.7247563973536502</v>
      </c>
      <c r="E59">
        <v>6988636579.9074898</v>
      </c>
      <c r="F59">
        <v>1842346443.5599999</v>
      </c>
      <c r="G59">
        <v>3.7933346381928099</v>
      </c>
      <c r="H59" s="2">
        <v>6.8578240839161003E-2</v>
      </c>
      <c r="I59" s="3">
        <f t="shared" si="0"/>
        <v>6.2295572029674923E-2</v>
      </c>
      <c r="S59" s="1">
        <v>41609</v>
      </c>
      <c r="T59" s="2">
        <f>VLOOKUP(S59,A:H,8,0)</f>
        <v>-1.45311373845171E-3</v>
      </c>
      <c r="U59">
        <v>6.0269095048568699E-2</v>
      </c>
      <c r="X59" s="1">
        <v>41579</v>
      </c>
      <c r="Y59" s="1">
        <v>41609</v>
      </c>
      <c r="Z59" s="1">
        <v>41640</v>
      </c>
      <c r="AA59">
        <v>4.79198423239455E-2</v>
      </c>
      <c r="AB59">
        <v>4.1862499999999896</v>
      </c>
      <c r="AC59">
        <v>4.23416984232394</v>
      </c>
      <c r="AD59">
        <f t="shared" si="1"/>
        <v>4.7919842323950412</v>
      </c>
    </row>
    <row r="60" spans="1:30" x14ac:dyDescent="0.25">
      <c r="A60" s="1">
        <v>41456</v>
      </c>
      <c r="B60">
        <v>109849399257.202</v>
      </c>
      <c r="C60">
        <v>30037686502.599998</v>
      </c>
      <c r="D60">
        <v>3.6570525911738998</v>
      </c>
      <c r="E60">
        <v>8233037800.1108904</v>
      </c>
      <c r="F60">
        <v>2224948982.5300002</v>
      </c>
      <c r="G60">
        <v>3.7003265534426202</v>
      </c>
      <c r="H60" s="2">
        <v>4.3273962268712503E-2</v>
      </c>
      <c r="I60" s="3">
        <f t="shared" si="0"/>
        <v>6.8963646307056647E-2</v>
      </c>
      <c r="S60" s="1">
        <v>41640</v>
      </c>
      <c r="T60" s="2">
        <f>VLOOKUP(S60,A:H,8,0)</f>
        <v>1.06766637233035E-2</v>
      </c>
      <c r="U60">
        <v>4.8597202618966502E-2</v>
      </c>
      <c r="X60" s="1">
        <v>41609</v>
      </c>
      <c r="Y60" s="1">
        <v>41640</v>
      </c>
      <c r="Z60" s="1">
        <v>41671</v>
      </c>
      <c r="AA60">
        <v>3.5868009519113897E-2</v>
      </c>
      <c r="AB60">
        <v>4.37</v>
      </c>
      <c r="AC60">
        <v>4.4058680095191098</v>
      </c>
      <c r="AD60">
        <f t="shared" si="1"/>
        <v>3.5868009519109734</v>
      </c>
    </row>
    <row r="61" spans="1:30" x14ac:dyDescent="0.25">
      <c r="A61" s="1">
        <v>41487</v>
      </c>
      <c r="B61">
        <v>104526997164.53799</v>
      </c>
      <c r="C61">
        <v>27792107216.73</v>
      </c>
      <c r="D61">
        <v>3.7610317328373002</v>
      </c>
      <c r="E61">
        <v>6289103754.6349897</v>
      </c>
      <c r="F61">
        <v>1647676589.5599999</v>
      </c>
      <c r="G61">
        <v>3.8169527894515101</v>
      </c>
      <c r="H61" s="2">
        <v>5.5921056614207598E-2</v>
      </c>
      <c r="I61" s="3">
        <f t="shared" si="0"/>
        <v>5.5967686461337506E-2</v>
      </c>
      <c r="S61" s="1">
        <v>41671</v>
      </c>
      <c r="T61" s="2">
        <f>VLOOKUP(S61,A:H,8,0)</f>
        <v>6.8295001761822099E-2</v>
      </c>
      <c r="U61">
        <v>4.3164319528065001E-2</v>
      </c>
      <c r="X61" s="1">
        <v>41640</v>
      </c>
      <c r="Y61" s="1">
        <v>41671</v>
      </c>
      <c r="Z61" s="1">
        <v>41699</v>
      </c>
      <c r="AA61">
        <v>2.9865735629193799E-2</v>
      </c>
      <c r="AB61">
        <v>4.3620000000000001</v>
      </c>
      <c r="AC61">
        <v>4.3918657356291897</v>
      </c>
      <c r="AD61">
        <f t="shared" si="1"/>
        <v>2.9865735629189594</v>
      </c>
    </row>
    <row r="62" spans="1:30" x14ac:dyDescent="0.25">
      <c r="A62" s="1">
        <v>41518</v>
      </c>
      <c r="B62">
        <v>92759298926.344406</v>
      </c>
      <c r="C62">
        <v>22441031777.84</v>
      </c>
      <c r="D62">
        <v>4.1334685430079903</v>
      </c>
      <c r="E62">
        <v>4458503824.8794899</v>
      </c>
      <c r="F62">
        <v>1056779786.37</v>
      </c>
      <c r="G62">
        <v>4.2189525976781699</v>
      </c>
      <c r="H62" s="2">
        <v>8.5484054670181497E-2</v>
      </c>
      <c r="I62" s="3">
        <f t="shared" si="0"/>
        <v>4.4973540769200952E-2</v>
      </c>
      <c r="S62" s="1">
        <v>41699</v>
      </c>
      <c r="T62" s="2">
        <f>VLOOKUP(S62,A:H,8,0)</f>
        <v>3.2661454703602703E-2</v>
      </c>
      <c r="U62">
        <v>4.5226643719334103E-2</v>
      </c>
      <c r="X62" s="1">
        <v>41671</v>
      </c>
      <c r="Y62" s="1">
        <v>41699</v>
      </c>
      <c r="Z62" s="1">
        <v>41730</v>
      </c>
      <c r="AA62">
        <v>2.8800146363091202E-2</v>
      </c>
      <c r="AB62">
        <v>4.2274999999999903</v>
      </c>
      <c r="AC62">
        <v>4.2563001463630901</v>
      </c>
      <c r="AD62">
        <f t="shared" si="1"/>
        <v>2.8800146363099799</v>
      </c>
    </row>
    <row r="63" spans="1:30" x14ac:dyDescent="0.25">
      <c r="A63" s="1">
        <v>41548</v>
      </c>
      <c r="B63">
        <v>79216427389.724197</v>
      </c>
      <c r="C63">
        <v>17778697548.119999</v>
      </c>
      <c r="D63">
        <v>4.4556935160922899</v>
      </c>
      <c r="E63">
        <v>3311438158.1424899</v>
      </c>
      <c r="F63">
        <v>735093424.34000003</v>
      </c>
      <c r="G63">
        <v>4.5047854442660196</v>
      </c>
      <c r="H63" s="2">
        <v>4.9091928173729003E-2</v>
      </c>
      <c r="I63" s="3">
        <f t="shared" si="0"/>
        <v>3.9705181150283091E-2</v>
      </c>
      <c r="S63" s="1">
        <v>41730</v>
      </c>
      <c r="T63" s="2">
        <f>VLOOKUP(S63,A:H,8,0)</f>
        <v>-1.14041694048E-2</v>
      </c>
      <c r="U63">
        <v>3.6422877058237602E-2</v>
      </c>
      <c r="X63" s="1">
        <v>41699</v>
      </c>
      <c r="Y63" s="1">
        <v>41730</v>
      </c>
      <c r="Z63" s="1">
        <v>41760</v>
      </c>
      <c r="AA63">
        <v>1.72808362694402E-2</v>
      </c>
      <c r="AB63">
        <v>4.2487500000000002</v>
      </c>
      <c r="AC63">
        <v>4.2660308362694401</v>
      </c>
      <c r="AD63">
        <f t="shared" si="1"/>
        <v>1.7280836269439881</v>
      </c>
    </row>
    <row r="64" spans="1:30" x14ac:dyDescent="0.25">
      <c r="A64" s="1">
        <v>41579</v>
      </c>
      <c r="B64">
        <v>63145905732.682098</v>
      </c>
      <c r="C64">
        <v>13698276716.66</v>
      </c>
      <c r="D64">
        <v>4.6097700490955402</v>
      </c>
      <c r="E64">
        <v>2880102331.3924899</v>
      </c>
      <c r="F64">
        <v>616851683.25999999</v>
      </c>
      <c r="G64">
        <v>4.6690353768209603</v>
      </c>
      <c r="H64" s="2">
        <v>5.92653277254203E-2</v>
      </c>
      <c r="I64" s="3">
        <f t="shared" si="0"/>
        <v>4.3090894194385797E-2</v>
      </c>
      <c r="S64" s="1">
        <v>41760</v>
      </c>
      <c r="T64" s="2">
        <f>VLOOKUP(S64,A:H,8,0)</f>
        <v>1.39489765299363E-2</v>
      </c>
      <c r="U64">
        <v>2.6340194128482802E-2</v>
      </c>
      <c r="X64" s="1">
        <v>41730</v>
      </c>
      <c r="Y64" s="1">
        <v>41760</v>
      </c>
      <c r="Z64" s="1">
        <v>41791</v>
      </c>
      <c r="AA64">
        <v>5.8008270937187599E-3</v>
      </c>
      <c r="AB64">
        <v>4.2479999999999896</v>
      </c>
      <c r="AC64">
        <v>4.25380082709371</v>
      </c>
      <c r="AD64">
        <f t="shared" si="1"/>
        <v>0.58008270937204287</v>
      </c>
    </row>
    <row r="65" spans="1:30" x14ac:dyDescent="0.25">
      <c r="A65" s="1">
        <v>41609</v>
      </c>
      <c r="B65">
        <v>61443725315.307503</v>
      </c>
      <c r="C65">
        <v>13490305601.51</v>
      </c>
      <c r="D65">
        <v>4.5546577765021103</v>
      </c>
      <c r="E65">
        <v>2750522987.3899899</v>
      </c>
      <c r="F65">
        <v>604085076.58000004</v>
      </c>
      <c r="G65">
        <v>4.55320466276366</v>
      </c>
      <c r="H65" s="2">
        <v>-1.45311373845171E-3</v>
      </c>
      <c r="I65" s="3">
        <f t="shared" si="0"/>
        <v>4.2859963965598165E-2</v>
      </c>
      <c r="S65" s="1">
        <v>41791</v>
      </c>
      <c r="T65" s="2">
        <f>VLOOKUP(S65,A:H,8,0)</f>
        <v>-1.01684745522671E-2</v>
      </c>
      <c r="U65">
        <v>1.8787468929235399E-2</v>
      </c>
      <c r="X65" s="1">
        <v>41760</v>
      </c>
      <c r="Y65" s="1">
        <v>41791</v>
      </c>
      <c r="Z65" s="1">
        <v>41821</v>
      </c>
      <c r="AA65">
        <v>-6.3458128326058499E-3</v>
      </c>
      <c r="AB65">
        <v>4.0674999999999999</v>
      </c>
      <c r="AC65">
        <v>4.0611541871673902</v>
      </c>
      <c r="AD65">
        <f t="shared" si="1"/>
        <v>-0.63458128326097096</v>
      </c>
    </row>
    <row r="66" spans="1:30" x14ac:dyDescent="0.25">
      <c r="A66" s="1">
        <v>41640</v>
      </c>
      <c r="B66">
        <v>53474714064.949898</v>
      </c>
      <c r="C66">
        <v>12113056468.66</v>
      </c>
      <c r="D66">
        <v>4.4146342587690004</v>
      </c>
      <c r="E66">
        <v>2408201609.1999898</v>
      </c>
      <c r="F66">
        <v>544188115</v>
      </c>
      <c r="G66">
        <v>4.4253109224923</v>
      </c>
      <c r="H66" s="2">
        <v>1.06766637233035E-2</v>
      </c>
      <c r="I66" s="3">
        <f t="shared" si="0"/>
        <v>4.2994200783836103E-2</v>
      </c>
      <c r="S66" s="1">
        <v>41821</v>
      </c>
      <c r="T66" s="2">
        <f>VLOOKUP(S66,A:H,8,0)</f>
        <v>-9.6955190454025893E-3</v>
      </c>
      <c r="U66">
        <v>1.7334908793599502E-2</v>
      </c>
      <c r="X66" s="1">
        <v>41791</v>
      </c>
      <c r="Y66" s="1">
        <v>41821</v>
      </c>
      <c r="Z66" s="1">
        <v>41852</v>
      </c>
      <c r="AA66">
        <v>-1.21322662722312E-2</v>
      </c>
      <c r="AB66">
        <v>4.05</v>
      </c>
      <c r="AC66">
        <v>4.0378677337277598</v>
      </c>
      <c r="AD66">
        <f t="shared" si="1"/>
        <v>-1.2132266272240066</v>
      </c>
    </row>
    <row r="67" spans="1:30" x14ac:dyDescent="0.25">
      <c r="A67" s="1">
        <v>41671</v>
      </c>
      <c r="B67">
        <v>52113840552.770103</v>
      </c>
      <c r="C67">
        <v>11666088449.99</v>
      </c>
      <c r="D67">
        <v>4.4671220157614</v>
      </c>
      <c r="E67">
        <v>1927469861.8362401</v>
      </c>
      <c r="F67">
        <v>424981838.36000001</v>
      </c>
      <c r="G67">
        <v>4.53541701752322</v>
      </c>
      <c r="H67" s="2">
        <v>6.8295001761822099E-2</v>
      </c>
      <c r="I67" s="3">
        <f t="shared" ref="I67:I103" si="2">F67/(C67+F67)</f>
        <v>3.5148405246595821E-2</v>
      </c>
      <c r="S67" s="1">
        <v>41852</v>
      </c>
      <c r="T67" s="2">
        <f>VLOOKUP(S67,A:H,8,0)</f>
        <v>-1.8193168757539901E-2</v>
      </c>
      <c r="U67">
        <v>1.3939544998815201E-2</v>
      </c>
      <c r="X67" s="1">
        <v>41821</v>
      </c>
      <c r="Y67" s="1">
        <v>41852</v>
      </c>
      <c r="Z67" s="1">
        <v>41883</v>
      </c>
      <c r="AA67">
        <v>-1.6240067397438801E-2</v>
      </c>
      <c r="AB67">
        <v>4.03</v>
      </c>
      <c r="AC67">
        <v>4.0137599326025599</v>
      </c>
      <c r="AD67">
        <f t="shared" ref="AD67:AD98" si="3">(AC67-AB67)*100</f>
        <v>-1.6240067397440328</v>
      </c>
    </row>
    <row r="68" spans="1:30" x14ac:dyDescent="0.25">
      <c r="A68" s="1">
        <v>41699</v>
      </c>
      <c r="B68">
        <v>38571039139.181099</v>
      </c>
      <c r="C68">
        <v>8365653545.5500002</v>
      </c>
      <c r="D68">
        <v>4.6106426627837704</v>
      </c>
      <c r="E68">
        <v>1210217579.62499</v>
      </c>
      <c r="F68">
        <v>260637156</v>
      </c>
      <c r="G68">
        <v>4.6433041174873697</v>
      </c>
      <c r="H68" s="2">
        <v>3.2661454703602703E-2</v>
      </c>
      <c r="I68" s="3">
        <f t="shared" si="2"/>
        <v>3.0214279232807201E-2</v>
      </c>
      <c r="S68" s="1">
        <v>41883</v>
      </c>
      <c r="T68" s="2">
        <f>VLOOKUP(S68,A:H,8,0)</f>
        <v>4.2517602395128803E-3</v>
      </c>
      <c r="U68">
        <v>-4.7515008774512901E-4</v>
      </c>
      <c r="X68" s="1">
        <v>41852</v>
      </c>
      <c r="Y68" s="1">
        <v>41883</v>
      </c>
      <c r="Z68" s="1">
        <v>41913</v>
      </c>
      <c r="AA68">
        <v>-2.7212077438125901E-2</v>
      </c>
      <c r="AB68">
        <v>4.00875</v>
      </c>
      <c r="AC68">
        <v>3.9815379225618699</v>
      </c>
      <c r="AD68">
        <f t="shared" si="3"/>
        <v>-2.7212077438130144</v>
      </c>
    </row>
    <row r="69" spans="1:30" x14ac:dyDescent="0.25">
      <c r="A69" s="1">
        <v>41730</v>
      </c>
      <c r="B69">
        <v>37611545733.363899</v>
      </c>
      <c r="C69">
        <v>8221814339.9399996</v>
      </c>
      <c r="D69">
        <v>4.57460411756737</v>
      </c>
      <c r="E69">
        <v>1276738274.76999</v>
      </c>
      <c r="F69">
        <v>279790123</v>
      </c>
      <c r="G69">
        <v>4.5631999481625698</v>
      </c>
      <c r="H69" s="2">
        <v>-1.14041694048E-2</v>
      </c>
      <c r="I69" s="3">
        <f t="shared" si="2"/>
        <v>3.2910272904327027E-2</v>
      </c>
      <c r="S69" s="1">
        <v>41913</v>
      </c>
      <c r="T69" s="2">
        <f>VLOOKUP(S69,A:H,8,0)</f>
        <v>1.3861467291593E-2</v>
      </c>
      <c r="U69">
        <v>-5.2100991650934399E-3</v>
      </c>
      <c r="X69" s="1">
        <v>41883</v>
      </c>
      <c r="Y69" s="1">
        <v>41913</v>
      </c>
      <c r="Z69" s="1">
        <v>41944</v>
      </c>
      <c r="AA69">
        <v>-3.05739590346529E-2</v>
      </c>
      <c r="AB69">
        <v>4.0374999999999996</v>
      </c>
      <c r="AC69">
        <v>4.0069260409653404</v>
      </c>
      <c r="AD69">
        <f t="shared" si="3"/>
        <v>-3.0573959034659204</v>
      </c>
    </row>
    <row r="70" spans="1:30" x14ac:dyDescent="0.25">
      <c r="A70" s="1">
        <v>41760</v>
      </c>
      <c r="B70">
        <v>46201147459.663803</v>
      </c>
      <c r="C70">
        <v>10243509346</v>
      </c>
      <c r="D70">
        <v>4.5102850887430499</v>
      </c>
      <c r="E70">
        <v>1673368025.3629899</v>
      </c>
      <c r="F70">
        <v>369867695</v>
      </c>
      <c r="G70">
        <v>4.5242340652729798</v>
      </c>
      <c r="H70" s="2">
        <v>1.39489765299363E-2</v>
      </c>
      <c r="I70" s="3">
        <f t="shared" si="2"/>
        <v>3.4849199606419599E-2</v>
      </c>
      <c r="S70" s="1">
        <v>41944</v>
      </c>
      <c r="T70" s="2">
        <f>VLOOKUP(S70,A:H,8,0)</f>
        <v>2.45865296042868E-2</v>
      </c>
      <c r="U70">
        <v>-9.9915971569458596E-4</v>
      </c>
      <c r="X70" s="1">
        <v>41913</v>
      </c>
      <c r="Y70" s="1">
        <v>41944</v>
      </c>
      <c r="Z70" s="1">
        <v>41974</v>
      </c>
      <c r="AA70">
        <v>-2.7938541202710498E-2</v>
      </c>
      <c r="AB70">
        <v>3.9060000000000001</v>
      </c>
      <c r="AC70">
        <v>3.8780614587972901</v>
      </c>
      <c r="AD70">
        <f t="shared" si="3"/>
        <v>-2.7938541202709999</v>
      </c>
    </row>
    <row r="71" spans="1:30" x14ac:dyDescent="0.25">
      <c r="A71" s="1">
        <v>41791</v>
      </c>
      <c r="B71">
        <v>48568744027.109001</v>
      </c>
      <c r="C71">
        <v>10723737812.809999</v>
      </c>
      <c r="D71">
        <v>4.52908723384596</v>
      </c>
      <c r="E71">
        <v>1578238513.37499</v>
      </c>
      <c r="F71">
        <v>349251358</v>
      </c>
      <c r="G71">
        <v>4.5189187592937001</v>
      </c>
      <c r="H71" s="2">
        <v>-1.01684745522671E-2</v>
      </c>
      <c r="I71" s="3">
        <f t="shared" si="2"/>
        <v>3.154083803501561E-2</v>
      </c>
      <c r="S71" s="1">
        <v>41974</v>
      </c>
      <c r="T71" s="2">
        <f>VLOOKUP(S71,A:H,8,0)</f>
        <v>8.5672783919907396E-3</v>
      </c>
      <c r="U71">
        <v>7.7376579669717095E-4</v>
      </c>
      <c r="X71" s="1">
        <v>41944</v>
      </c>
      <c r="Y71" s="1">
        <v>41974</v>
      </c>
      <c r="Z71" s="1">
        <v>42005</v>
      </c>
      <c r="AA71">
        <v>-2.6470574096926401E-2</v>
      </c>
      <c r="AB71">
        <v>3.8725000000000001</v>
      </c>
      <c r="AC71">
        <v>3.8460294259030698</v>
      </c>
      <c r="AD71">
        <f t="shared" si="3"/>
        <v>-2.6470574096930211</v>
      </c>
    </row>
    <row r="72" spans="1:30" x14ac:dyDescent="0.25">
      <c r="A72" s="1">
        <v>41821</v>
      </c>
      <c r="B72">
        <v>53794435485.786903</v>
      </c>
      <c r="C72">
        <v>12023338917.73</v>
      </c>
      <c r="D72">
        <v>4.4741677710224002</v>
      </c>
      <c r="E72">
        <v>1784205758.74999</v>
      </c>
      <c r="F72">
        <v>399645391</v>
      </c>
      <c r="G72">
        <v>4.4644722519769999</v>
      </c>
      <c r="H72" s="2">
        <v>-9.6955190454025893E-3</v>
      </c>
      <c r="I72" s="3">
        <f t="shared" si="2"/>
        <v>3.2169837864091749E-2</v>
      </c>
      <c r="S72" s="1">
        <v>42005</v>
      </c>
      <c r="T72" s="2">
        <f>VLOOKUP(S72,A:H,8,0)</f>
        <v>-6.7792671478543697E-3</v>
      </c>
      <c r="U72">
        <v>3.89639128740682E-3</v>
      </c>
      <c r="X72" s="1">
        <v>41974</v>
      </c>
      <c r="Y72" s="1">
        <v>42005</v>
      </c>
      <c r="Z72" s="1">
        <v>42036</v>
      </c>
      <c r="AA72">
        <v>-2.5179590983378301E-2</v>
      </c>
      <c r="AB72">
        <v>3.754</v>
      </c>
      <c r="AC72">
        <v>3.7288204090166199</v>
      </c>
      <c r="AD72">
        <f t="shared" si="3"/>
        <v>-2.5179590983380074</v>
      </c>
    </row>
    <row r="73" spans="1:30" x14ac:dyDescent="0.25">
      <c r="A73" s="1">
        <v>41852</v>
      </c>
      <c r="B73">
        <v>60535697158.678398</v>
      </c>
      <c r="C73">
        <v>13916391868.93</v>
      </c>
      <c r="D73">
        <v>4.3499563485152803</v>
      </c>
      <c r="E73">
        <v>2243929041.43999</v>
      </c>
      <c r="F73">
        <v>518017478.87</v>
      </c>
      <c r="G73">
        <v>4.3317631797577398</v>
      </c>
      <c r="H73" s="2">
        <v>-1.8193168757539901E-2</v>
      </c>
      <c r="I73" s="3">
        <f t="shared" si="2"/>
        <v>3.5887681053534265E-2</v>
      </c>
      <c r="S73" s="1">
        <v>42036</v>
      </c>
      <c r="T73" s="2">
        <f>VLOOKUP(S73,A:H,8,0)</f>
        <v>1.1632110284179299E-2</v>
      </c>
      <c r="U73">
        <v>4.3824332703315304E-3</v>
      </c>
      <c r="X73" s="1">
        <v>42005</v>
      </c>
      <c r="Y73" s="1">
        <v>42036</v>
      </c>
      <c r="Z73" s="1">
        <v>42064</v>
      </c>
      <c r="AA73">
        <v>-2.77656570266951E-2</v>
      </c>
      <c r="AB73">
        <v>3.5762499999999999</v>
      </c>
      <c r="AC73">
        <v>3.5484843429733002</v>
      </c>
      <c r="AD73">
        <f t="shared" si="3"/>
        <v>-2.7765657026699753</v>
      </c>
    </row>
    <row r="74" spans="1:30" x14ac:dyDescent="0.25">
      <c r="A74" s="1">
        <v>41883</v>
      </c>
      <c r="B74">
        <v>61341740250.199699</v>
      </c>
      <c r="C74">
        <v>14196499615.129999</v>
      </c>
      <c r="D74">
        <v>4.32090599184213</v>
      </c>
      <c r="E74">
        <v>2172712859.05899</v>
      </c>
      <c r="F74">
        <v>502343032</v>
      </c>
      <c r="G74">
        <v>4.3251577520816404</v>
      </c>
      <c r="H74" s="2">
        <v>4.2517602395128803E-3</v>
      </c>
      <c r="I74" s="3">
        <f t="shared" si="2"/>
        <v>3.4175686076759533E-2</v>
      </c>
      <c r="S74" s="1">
        <v>42064</v>
      </c>
      <c r="T74" s="2">
        <f>VLOOKUP(S74,A:H,8,0)</f>
        <v>-1.61390032263116E-2</v>
      </c>
      <c r="U74">
        <v>9.3533131106180792E-3</v>
      </c>
      <c r="X74" s="1">
        <v>42036</v>
      </c>
      <c r="Y74" s="1">
        <v>42064</v>
      </c>
      <c r="Z74" s="1">
        <v>42095</v>
      </c>
      <c r="AA74">
        <v>-2.8170324774174402E-2</v>
      </c>
      <c r="AB74">
        <v>3.61625</v>
      </c>
      <c r="AC74">
        <v>3.5880796752258202</v>
      </c>
      <c r="AD74">
        <f t="shared" si="3"/>
        <v>-2.81703247741798</v>
      </c>
    </row>
    <row r="75" spans="1:30" x14ac:dyDescent="0.25">
      <c r="A75" s="1">
        <v>41913</v>
      </c>
      <c r="B75">
        <v>60382534492.928299</v>
      </c>
      <c r="C75">
        <v>13989431970.950001</v>
      </c>
      <c r="D75">
        <v>4.3162963741713503</v>
      </c>
      <c r="E75">
        <v>1912359148.39499</v>
      </c>
      <c r="F75">
        <v>441637284</v>
      </c>
      <c r="G75">
        <v>4.3301578414629498</v>
      </c>
      <c r="H75" s="2">
        <v>1.3861467291593E-2</v>
      </c>
      <c r="I75" s="3">
        <f t="shared" si="2"/>
        <v>3.0603226704668054E-2</v>
      </c>
      <c r="S75" s="1">
        <v>42095</v>
      </c>
      <c r="T75" s="2">
        <f>VLOOKUP(S75,A:H,8,0)</f>
        <v>2.7233940401467E-2</v>
      </c>
      <c r="U75">
        <v>5.9548525329806701E-3</v>
      </c>
      <c r="X75" s="1">
        <v>42064</v>
      </c>
      <c r="Y75" s="1">
        <v>42095</v>
      </c>
      <c r="Z75" s="1">
        <v>42125</v>
      </c>
      <c r="AA75">
        <v>-2.7495862187584999E-2</v>
      </c>
      <c r="AB75">
        <v>3.67</v>
      </c>
      <c r="AC75">
        <v>3.6425041378124101</v>
      </c>
      <c r="AD75">
        <f t="shared" si="3"/>
        <v>-2.7495862187589815</v>
      </c>
    </row>
    <row r="76" spans="1:30" x14ac:dyDescent="0.25">
      <c r="A76" s="1">
        <v>41944</v>
      </c>
      <c r="B76">
        <v>58113249765.9758</v>
      </c>
      <c r="C76">
        <v>13494021120.25</v>
      </c>
      <c r="D76">
        <v>4.30659247144406</v>
      </c>
      <c r="E76">
        <v>2102302655.1239901</v>
      </c>
      <c r="F76">
        <v>485388079</v>
      </c>
      <c r="G76">
        <v>4.3311790010483504</v>
      </c>
      <c r="H76" s="2">
        <v>2.45865296042868E-2</v>
      </c>
      <c r="I76" s="3">
        <f t="shared" si="2"/>
        <v>3.472164467623147E-2</v>
      </c>
      <c r="S76" s="1">
        <v>42125</v>
      </c>
      <c r="T76" s="2">
        <f>VLOOKUP(S76,A:H,8,0)</f>
        <v>2.73962023895334E-2</v>
      </c>
      <c r="U76">
        <v>8.1835980512929892E-3</v>
      </c>
      <c r="X76" s="1">
        <v>42095</v>
      </c>
      <c r="Y76" s="1">
        <v>42125</v>
      </c>
      <c r="Z76" s="1">
        <v>42156</v>
      </c>
      <c r="AA76">
        <v>-1.9037254500458602E-2</v>
      </c>
      <c r="AB76">
        <v>3.577</v>
      </c>
      <c r="AC76">
        <v>3.5579627454995402</v>
      </c>
      <c r="AD76">
        <f t="shared" si="3"/>
        <v>-1.9037254500459788</v>
      </c>
    </row>
    <row r="77" spans="1:30" x14ac:dyDescent="0.25">
      <c r="A77" s="1">
        <v>41974</v>
      </c>
      <c r="B77">
        <v>57278263311.233704</v>
      </c>
      <c r="C77">
        <v>13336014952.860001</v>
      </c>
      <c r="D77">
        <v>4.2950059304597596</v>
      </c>
      <c r="E77">
        <v>2160929865.0762401</v>
      </c>
      <c r="F77">
        <v>502124574.20999998</v>
      </c>
      <c r="G77">
        <v>4.3035732088517502</v>
      </c>
      <c r="H77" s="2">
        <v>8.5672783919907396E-3</v>
      </c>
      <c r="I77" s="3">
        <f t="shared" si="2"/>
        <v>3.628555509414759E-2</v>
      </c>
      <c r="S77" s="1">
        <v>42156</v>
      </c>
      <c r="T77" s="2">
        <f>VLOOKUP(S77,A:H,8,0)</f>
        <v>3.04237756810493E-2</v>
      </c>
      <c r="U77">
        <v>8.6518768488340891E-3</v>
      </c>
      <c r="X77" s="1">
        <v>42125</v>
      </c>
      <c r="Y77" s="1">
        <v>42156</v>
      </c>
      <c r="Z77" s="1">
        <v>42186</v>
      </c>
      <c r="AA77">
        <v>-1.35051723810825E-2</v>
      </c>
      <c r="AB77">
        <v>3.7462499999999999</v>
      </c>
      <c r="AC77">
        <v>3.7327448276189101</v>
      </c>
      <c r="AD77">
        <f t="shared" si="3"/>
        <v>-1.3505172381089725</v>
      </c>
    </row>
    <row r="78" spans="1:30" x14ac:dyDescent="0.25">
      <c r="A78" s="1">
        <v>42005</v>
      </c>
      <c r="B78">
        <v>57345301467.012802</v>
      </c>
      <c r="C78">
        <v>13754882852.209999</v>
      </c>
      <c r="D78">
        <v>4.1690868677808597</v>
      </c>
      <c r="E78">
        <v>2893727274.5429902</v>
      </c>
      <c r="F78">
        <v>695221870.22000003</v>
      </c>
      <c r="G78">
        <v>4.1623076006330004</v>
      </c>
      <c r="H78" s="2">
        <v>-6.7792671478543697E-3</v>
      </c>
      <c r="I78" s="3">
        <f t="shared" si="2"/>
        <v>4.8111891475834799E-2</v>
      </c>
      <c r="S78" s="1">
        <v>42186</v>
      </c>
      <c r="T78" s="2">
        <f>VLOOKUP(S78,A:H,8,0)</f>
        <v>2.00121820575693E-2</v>
      </c>
      <c r="U78">
        <v>1.22946263970105E-2</v>
      </c>
      <c r="X78" s="1">
        <v>42156</v>
      </c>
      <c r="Y78" s="1">
        <v>42186</v>
      </c>
      <c r="Z78" s="1">
        <v>42217</v>
      </c>
      <c r="AA78">
        <v>-3.02789083248323E-3</v>
      </c>
      <c r="AB78">
        <v>3.895</v>
      </c>
      <c r="AC78">
        <v>3.8919721091675101</v>
      </c>
      <c r="AD78">
        <f t="shared" si="3"/>
        <v>-0.30278908324898879</v>
      </c>
    </row>
    <row r="79" spans="1:30" x14ac:dyDescent="0.25">
      <c r="A79" s="1">
        <v>42036</v>
      </c>
      <c r="B79">
        <v>61347202042.628998</v>
      </c>
      <c r="C79">
        <v>14822134649.27</v>
      </c>
      <c r="D79">
        <v>4.1388911580053902</v>
      </c>
      <c r="E79">
        <v>3114229125.36799</v>
      </c>
      <c r="F79">
        <v>750322049.54999995</v>
      </c>
      <c r="G79">
        <v>4.1505232682895699</v>
      </c>
      <c r="H79" s="2">
        <v>1.1632110284179299E-2</v>
      </c>
      <c r="I79" s="3">
        <f t="shared" si="2"/>
        <v>4.8182638363467437E-2</v>
      </c>
      <c r="S79" s="1">
        <v>42217</v>
      </c>
      <c r="T79" s="2">
        <f>VLOOKUP(S79,A:H,8,0)</f>
        <v>2.0773934575060202E-2</v>
      </c>
      <c r="U79">
        <v>1.6759867931247799E-2</v>
      </c>
      <c r="X79" s="1">
        <v>42186</v>
      </c>
      <c r="Y79" s="1">
        <v>42217</v>
      </c>
      <c r="Z79" s="1">
        <v>42248</v>
      </c>
      <c r="AA79">
        <v>5.93930066334629E-3</v>
      </c>
      <c r="AB79">
        <v>3.9460000000000002</v>
      </c>
      <c r="AC79">
        <v>3.9519393006633399</v>
      </c>
      <c r="AD79">
        <f t="shared" si="3"/>
        <v>0.59393006633396972</v>
      </c>
    </row>
    <row r="80" spans="1:30" x14ac:dyDescent="0.25">
      <c r="A80" s="1">
        <v>42064</v>
      </c>
      <c r="B80">
        <v>53896068318.875801</v>
      </c>
      <c r="C80">
        <v>13415872914.889999</v>
      </c>
      <c r="D80">
        <v>4.0173359319062802</v>
      </c>
      <c r="E80">
        <v>3028269954.6399899</v>
      </c>
      <c r="F80">
        <v>756841017.48000002</v>
      </c>
      <c r="G80">
        <v>4.0011969286799696</v>
      </c>
      <c r="H80" s="2">
        <v>-1.61390032263116E-2</v>
      </c>
      <c r="I80" s="3">
        <f t="shared" si="2"/>
        <v>5.340127664267609E-2</v>
      </c>
      <c r="S80" s="1">
        <v>42248</v>
      </c>
      <c r="T80" s="2">
        <f>VLOOKUP(S80,A:H,8,0)</f>
        <v>1.19687375475709E-4</v>
      </c>
      <c r="U80">
        <v>1.82835053130612E-2</v>
      </c>
      <c r="X80" s="1">
        <v>42217</v>
      </c>
      <c r="Y80" s="1">
        <v>42248</v>
      </c>
      <c r="Z80" s="1">
        <v>42278</v>
      </c>
      <c r="AA80">
        <v>1.31525202410123E-2</v>
      </c>
      <c r="AB80">
        <v>3.8050000000000002</v>
      </c>
      <c r="AC80">
        <v>3.8181525202410098</v>
      </c>
      <c r="AD80">
        <f t="shared" si="3"/>
        <v>1.3152520241009658</v>
      </c>
    </row>
    <row r="81" spans="1:30" x14ac:dyDescent="0.25">
      <c r="A81" s="1">
        <v>42095</v>
      </c>
      <c r="B81">
        <v>76300813342.358398</v>
      </c>
      <c r="C81">
        <v>19825882184.919998</v>
      </c>
      <c r="D81">
        <v>3.8485456854169402</v>
      </c>
      <c r="E81">
        <v>5287043816.5704899</v>
      </c>
      <c r="F81">
        <v>1364123951.05</v>
      </c>
      <c r="G81">
        <v>3.8757796258183999</v>
      </c>
      <c r="H81" s="2">
        <v>2.7233940401467E-2</v>
      </c>
      <c r="I81" s="3">
        <f t="shared" si="2"/>
        <v>6.4375816707971684E-2</v>
      </c>
      <c r="S81" s="1">
        <v>42278</v>
      </c>
      <c r="T81" s="2">
        <f>VLOOKUP(S81,A:H,8,0)</f>
        <v>-1.79686571716491E-2</v>
      </c>
      <c r="U81">
        <v>2.0993287080025801E-2</v>
      </c>
      <c r="X81" s="1">
        <v>42248</v>
      </c>
      <c r="Y81" s="1">
        <v>42278</v>
      </c>
      <c r="Z81" s="1">
        <v>42309</v>
      </c>
      <c r="AA81">
        <v>1.5996191523639701E-2</v>
      </c>
      <c r="AB81">
        <v>3.7869999999999999</v>
      </c>
      <c r="AC81">
        <v>3.8029961915236399</v>
      </c>
      <c r="AD81">
        <f t="shared" si="3"/>
        <v>1.5996191523639958</v>
      </c>
    </row>
    <row r="82" spans="1:30" x14ac:dyDescent="0.25">
      <c r="A82" s="1">
        <v>42125</v>
      </c>
      <c r="B82">
        <v>91598182117.126694</v>
      </c>
      <c r="C82">
        <v>23624215018.639999</v>
      </c>
      <c r="D82">
        <v>3.8773005598219399</v>
      </c>
      <c r="E82">
        <v>4679728955.4217396</v>
      </c>
      <c r="F82">
        <v>1198487165.6900001</v>
      </c>
      <c r="G82">
        <v>3.9046967622114699</v>
      </c>
      <c r="H82" s="2">
        <v>2.73962023895334E-2</v>
      </c>
      <c r="I82" s="3">
        <f t="shared" si="2"/>
        <v>4.8281897627026983E-2</v>
      </c>
      <c r="S82" s="1">
        <v>42309</v>
      </c>
      <c r="T82" s="2">
        <f>VLOOKUP(S82,A:H,8,0)</f>
        <v>-6.11534129801726E-2</v>
      </c>
      <c r="U82">
        <v>1.34595208178398E-2</v>
      </c>
      <c r="X82" s="1">
        <v>42278</v>
      </c>
      <c r="Y82" s="1">
        <v>42309</v>
      </c>
      <c r="Z82" s="1">
        <v>42339</v>
      </c>
      <c r="AA82">
        <v>7.6542593959930396E-3</v>
      </c>
      <c r="AB82">
        <v>3.6825000000000001</v>
      </c>
      <c r="AC82">
        <v>3.6901542593959902</v>
      </c>
      <c r="AD82">
        <f t="shared" si="3"/>
        <v>0.76542593959900707</v>
      </c>
    </row>
    <row r="83" spans="1:30" x14ac:dyDescent="0.25">
      <c r="A83" s="1">
        <v>42156</v>
      </c>
      <c r="B83">
        <v>77120977725.168503</v>
      </c>
      <c r="C83">
        <v>19659256829.040001</v>
      </c>
      <c r="D83">
        <v>3.9228836774362699</v>
      </c>
      <c r="E83">
        <v>3568559892.8399901</v>
      </c>
      <c r="F83">
        <v>902677045.77999997</v>
      </c>
      <c r="G83">
        <v>3.9533074531173198</v>
      </c>
      <c r="H83" s="2">
        <v>3.04237756810493E-2</v>
      </c>
      <c r="I83" s="3">
        <f t="shared" si="2"/>
        <v>4.3900396299076321E-2</v>
      </c>
      <c r="S83" s="1">
        <v>42339</v>
      </c>
      <c r="T83" s="2">
        <f>VLOOKUP(S83,A:H,8,0)</f>
        <v>-6.2344905030367798E-2</v>
      </c>
      <c r="U83">
        <v>-1.2987484104445099E-3</v>
      </c>
      <c r="X83" s="1">
        <v>42309</v>
      </c>
      <c r="Y83" s="1">
        <v>42339</v>
      </c>
      <c r="Z83" s="1">
        <v>42370</v>
      </c>
      <c r="AA83">
        <v>-7.2422061861373002E-3</v>
      </c>
      <c r="AB83">
        <v>3.8487499999999999</v>
      </c>
      <c r="AC83">
        <v>3.84150779381386</v>
      </c>
      <c r="AD83">
        <f t="shared" si="3"/>
        <v>-0.72422061861399101</v>
      </c>
    </row>
    <row r="84" spans="1:30" x14ac:dyDescent="0.25">
      <c r="A84" s="1">
        <v>42186</v>
      </c>
      <c r="B84">
        <v>77289164103.819</v>
      </c>
      <c r="C84">
        <v>19838820444.049999</v>
      </c>
      <c r="D84">
        <v>3.8958548126282002</v>
      </c>
      <c r="E84">
        <v>3969674483.5819898</v>
      </c>
      <c r="F84">
        <v>1013740887.77</v>
      </c>
      <c r="G84">
        <v>3.91586699468577</v>
      </c>
      <c r="H84" s="2">
        <v>2.00121820575693E-2</v>
      </c>
      <c r="I84" s="3">
        <f t="shared" si="2"/>
        <v>4.8614693976374038E-2</v>
      </c>
      <c r="S84" s="1">
        <v>42370</v>
      </c>
      <c r="T84" s="2">
        <f>VLOOKUP(S84,A:H,8,0)</f>
        <v>-3.7788299216295403E-2</v>
      </c>
      <c r="U84">
        <v>-1.6760195195680699E-2</v>
      </c>
      <c r="X84" s="1">
        <v>42339</v>
      </c>
      <c r="Y84" s="1">
        <v>42370</v>
      </c>
      <c r="Z84" s="1">
        <v>42401</v>
      </c>
      <c r="AA84">
        <v>-2.4069185526193498E-2</v>
      </c>
      <c r="AB84">
        <v>3.8639999999999999</v>
      </c>
      <c r="AC84">
        <v>3.8399308144737998</v>
      </c>
      <c r="AD84">
        <f t="shared" si="3"/>
        <v>-2.4069185526200076</v>
      </c>
    </row>
    <row r="85" spans="1:30" x14ac:dyDescent="0.25">
      <c r="A85" s="1">
        <v>42217</v>
      </c>
      <c r="B85">
        <v>78152336945.796906</v>
      </c>
      <c r="C85">
        <v>19527958086.150002</v>
      </c>
      <c r="D85">
        <v>4.0020741851768697</v>
      </c>
      <c r="E85">
        <v>3695668542.7249899</v>
      </c>
      <c r="F85">
        <v>918669667.03999996</v>
      </c>
      <c r="G85">
        <v>4.0228481197519299</v>
      </c>
      <c r="H85" s="2">
        <v>2.0773934575060202E-2</v>
      </c>
      <c r="I85" s="3">
        <f t="shared" si="2"/>
        <v>4.4930131175135848E-2</v>
      </c>
      <c r="S85" s="1">
        <v>42401</v>
      </c>
      <c r="T85" s="2">
        <f>VLOOKUP(S85,A:H,8,0)</f>
        <v>-7.3387642713221707E-2</v>
      </c>
      <c r="U85">
        <v>-2.6393608741324799E-2</v>
      </c>
      <c r="X85" s="1">
        <v>42370</v>
      </c>
      <c r="Y85" s="1">
        <v>42401</v>
      </c>
      <c r="Z85" s="1">
        <v>42430</v>
      </c>
      <c r="AA85">
        <v>-3.5479196162139001E-2</v>
      </c>
      <c r="AB85">
        <v>3.7725</v>
      </c>
      <c r="AC85">
        <v>3.7370208038378601</v>
      </c>
      <c r="AD85">
        <f t="shared" si="3"/>
        <v>-3.5479196162139903</v>
      </c>
    </row>
    <row r="86" spans="1:30" x14ac:dyDescent="0.25">
      <c r="A86" s="1">
        <v>42248</v>
      </c>
      <c r="B86">
        <v>71764252106.168701</v>
      </c>
      <c r="C86">
        <v>17226589558.91</v>
      </c>
      <c r="D86">
        <v>4.1659001545695098</v>
      </c>
      <c r="E86">
        <v>3029677147.8249898</v>
      </c>
      <c r="F86">
        <v>727235410</v>
      </c>
      <c r="G86">
        <v>4.1660198419449799</v>
      </c>
      <c r="H86" s="2">
        <v>1.19687375475709E-4</v>
      </c>
      <c r="I86" s="3">
        <f t="shared" si="2"/>
        <v>4.0505876116054808E-2</v>
      </c>
      <c r="S86" s="1">
        <v>42430</v>
      </c>
      <c r="T86" s="2">
        <f>VLOOKUP(S86,A:H,8,0)</f>
        <v>-5.1669363052981802E-2</v>
      </c>
      <c r="U86">
        <v>-4.2087204956038501E-2</v>
      </c>
      <c r="X86" s="1">
        <v>42401</v>
      </c>
      <c r="Y86" s="1">
        <v>42430</v>
      </c>
      <c r="Z86" s="1">
        <v>42461</v>
      </c>
      <c r="AA86">
        <v>-5.0767190434303902E-2</v>
      </c>
      <c r="AB86">
        <v>3.5474999999999999</v>
      </c>
      <c r="AC86">
        <v>3.4967328095656902</v>
      </c>
      <c r="AD86">
        <f t="shared" si="3"/>
        <v>-5.0767190434309661</v>
      </c>
    </row>
    <row r="87" spans="1:30" x14ac:dyDescent="0.25">
      <c r="A87" s="1">
        <v>42278</v>
      </c>
      <c r="B87">
        <v>66666008932.232803</v>
      </c>
      <c r="C87">
        <v>15885474691.35</v>
      </c>
      <c r="D87">
        <v>4.1966645773911901</v>
      </c>
      <c r="E87">
        <v>2325769557.6499901</v>
      </c>
      <c r="F87">
        <v>556577842</v>
      </c>
      <c r="G87">
        <v>4.1786959202195399</v>
      </c>
      <c r="H87" s="2">
        <v>-1.79686571716491E-2</v>
      </c>
      <c r="I87" s="3">
        <f t="shared" si="2"/>
        <v>3.3850873598115158E-2</v>
      </c>
      <c r="S87" s="1">
        <v>42461</v>
      </c>
      <c r="T87" s="2">
        <f>VLOOKUP(S87,A:H,8,0)</f>
        <v>-1.06509757259761E-2</v>
      </c>
      <c r="U87">
        <v>-5.0718713360781403E-2</v>
      </c>
      <c r="X87" s="1">
        <v>42430</v>
      </c>
      <c r="Y87" s="1">
        <v>42461</v>
      </c>
      <c r="Z87" s="1">
        <v>42491</v>
      </c>
      <c r="AA87">
        <v>-6.6379291934721904E-2</v>
      </c>
      <c r="AB87">
        <v>3.569</v>
      </c>
      <c r="AC87">
        <v>3.5026207080652698</v>
      </c>
      <c r="AD87">
        <f t="shared" si="3"/>
        <v>-6.6379291934730134</v>
      </c>
    </row>
    <row r="88" spans="1:30" x14ac:dyDescent="0.25">
      <c r="A88" s="1">
        <v>42309</v>
      </c>
      <c r="B88">
        <v>64454497356.087601</v>
      </c>
      <c r="C88">
        <v>15574968194.629999</v>
      </c>
      <c r="D88">
        <v>4.1383389391646102</v>
      </c>
      <c r="E88">
        <v>2277206767.9549899</v>
      </c>
      <c r="F88">
        <v>558524196</v>
      </c>
      <c r="G88">
        <v>4.0771855261844303</v>
      </c>
      <c r="H88" s="2">
        <v>-6.11534129801726E-2</v>
      </c>
      <c r="I88" s="3">
        <f t="shared" si="2"/>
        <v>3.4618927041759374E-2</v>
      </c>
      <c r="S88" s="1">
        <v>42491</v>
      </c>
      <c r="T88" s="2">
        <f>VLOOKUP(S88,A:H,8,0)</f>
        <v>3.32664935619243E-2</v>
      </c>
      <c r="U88">
        <v>-4.9499099786502597E-2</v>
      </c>
      <c r="X88" s="1">
        <v>42461</v>
      </c>
      <c r="Y88" s="1">
        <v>42491</v>
      </c>
      <c r="Z88" s="1">
        <v>42522</v>
      </c>
      <c r="AA88">
        <v>-7.0195902838284405E-2</v>
      </c>
      <c r="AB88">
        <v>3.4925000000000002</v>
      </c>
      <c r="AC88">
        <v>3.4223040971617098</v>
      </c>
      <c r="AD88">
        <f t="shared" si="3"/>
        <v>-7.0195902838290358</v>
      </c>
    </row>
    <row r="89" spans="1:30" x14ac:dyDescent="0.25">
      <c r="A89" s="1">
        <v>42339</v>
      </c>
      <c r="B89">
        <v>61739664000.430801</v>
      </c>
      <c r="C89">
        <v>15093798939.129999</v>
      </c>
      <c r="D89">
        <v>4.0903992592861096</v>
      </c>
      <c r="E89">
        <v>2027446338.10499</v>
      </c>
      <c r="F89">
        <v>503331425</v>
      </c>
      <c r="G89">
        <v>4.0280543542557403</v>
      </c>
      <c r="H89" s="2">
        <v>-6.2344905030367798E-2</v>
      </c>
      <c r="I89" s="3">
        <f t="shared" si="2"/>
        <v>3.2270771177084767E-2</v>
      </c>
      <c r="S89" s="1">
        <v>42522</v>
      </c>
      <c r="T89" s="2">
        <f>VLOOKUP(S89,A:H,8,0)</f>
        <v>5.0820086023443498E-2</v>
      </c>
      <c r="U89">
        <v>-3.3762448696153101E-2</v>
      </c>
      <c r="X89" s="1">
        <v>42491</v>
      </c>
      <c r="Y89" s="1">
        <v>42522</v>
      </c>
      <c r="Z89" s="1">
        <v>42552</v>
      </c>
      <c r="AA89">
        <v>-5.8174661494933701E-2</v>
      </c>
      <c r="AB89">
        <v>3.4874999999999998</v>
      </c>
      <c r="AC89">
        <v>3.4293253385050599</v>
      </c>
      <c r="AD89">
        <f t="shared" si="3"/>
        <v>-5.8174661494939883</v>
      </c>
    </row>
    <row r="90" spans="1:30" x14ac:dyDescent="0.25">
      <c r="A90" s="1">
        <v>42370</v>
      </c>
      <c r="B90">
        <v>54077052275.768204</v>
      </c>
      <c r="C90">
        <v>13414539442.93</v>
      </c>
      <c r="D90">
        <v>4.0312269016637003</v>
      </c>
      <c r="E90">
        <v>1857165446.4249899</v>
      </c>
      <c r="F90">
        <v>465054213</v>
      </c>
      <c r="G90">
        <v>3.9934386024473998</v>
      </c>
      <c r="H90" s="2">
        <v>-3.7788299216295403E-2</v>
      </c>
      <c r="I90" s="3">
        <f t="shared" si="2"/>
        <v>3.3506327672734676E-2</v>
      </c>
      <c r="S90" s="1">
        <v>42552</v>
      </c>
      <c r="T90" s="2">
        <f>VLOOKUP(S90,A:H,8,0)</f>
        <v>4.3181443394655898E-2</v>
      </c>
      <c r="U90">
        <v>-1.4901616853851199E-2</v>
      </c>
      <c r="X90" s="1">
        <v>42522</v>
      </c>
      <c r="Y90" s="1">
        <v>42552</v>
      </c>
      <c r="Z90" s="1">
        <v>42583</v>
      </c>
      <c r="AA90">
        <v>-4.0202164180375602E-2</v>
      </c>
      <c r="AB90">
        <v>3.448</v>
      </c>
      <c r="AC90">
        <v>3.4077978358196201</v>
      </c>
      <c r="AD90">
        <f t="shared" si="3"/>
        <v>-4.0202164180379807</v>
      </c>
    </row>
    <row r="91" spans="1:30" x14ac:dyDescent="0.25">
      <c r="A91" s="1">
        <v>42401</v>
      </c>
      <c r="B91">
        <v>61945297617.563301</v>
      </c>
      <c r="C91">
        <v>15122207435.540001</v>
      </c>
      <c r="D91">
        <v>4.0963131792505596</v>
      </c>
      <c r="E91">
        <v>1601401128.74999</v>
      </c>
      <c r="F91">
        <v>398068797</v>
      </c>
      <c r="G91">
        <v>4.0229255365373398</v>
      </c>
      <c r="H91" s="2">
        <v>-7.3387642713221707E-2</v>
      </c>
      <c r="I91" s="3">
        <f t="shared" si="2"/>
        <v>2.5648306192218674E-2</v>
      </c>
      <c r="S91" s="1">
        <v>42583</v>
      </c>
      <c r="T91" s="2">
        <f>VLOOKUP(S91,A:H,8,0)</f>
        <v>5.2464565822009097E-2</v>
      </c>
      <c r="U91">
        <v>-1.4066597520259901E-3</v>
      </c>
      <c r="X91" s="1">
        <v>42552</v>
      </c>
      <c r="Y91" s="1">
        <v>42583</v>
      </c>
      <c r="Z91" s="1">
        <v>42614</v>
      </c>
      <c r="AA91">
        <v>-2.6102508449203601E-2</v>
      </c>
      <c r="AB91">
        <v>3.3149999999999999</v>
      </c>
      <c r="AC91">
        <v>3.2888974915507898</v>
      </c>
      <c r="AD91">
        <f t="shared" si="3"/>
        <v>-2.6102508449210138</v>
      </c>
    </row>
    <row r="92" spans="1:30" x14ac:dyDescent="0.25">
      <c r="A92" s="1">
        <v>42430</v>
      </c>
      <c r="B92">
        <v>49464905266.697403</v>
      </c>
      <c r="C92">
        <v>11913186406.35</v>
      </c>
      <c r="D92">
        <v>4.1521137653257503</v>
      </c>
      <c r="E92">
        <v>1053555514.22374</v>
      </c>
      <c r="F92">
        <v>256936909.97</v>
      </c>
      <c r="G92">
        <v>4.1004444022727702</v>
      </c>
      <c r="H92" s="2">
        <v>-5.1669363052981802E-2</v>
      </c>
      <c r="I92" s="3">
        <f t="shared" si="2"/>
        <v>2.1112104067626862E-2</v>
      </c>
      <c r="S92" s="1">
        <v>42614</v>
      </c>
      <c r="T92" s="2">
        <f>VLOOKUP(S92,A:H,8,0)</f>
        <v>2.6778805060617899E-2</v>
      </c>
      <c r="U92">
        <v>1.9568708337179101E-2</v>
      </c>
      <c r="X92" s="1">
        <v>42583</v>
      </c>
      <c r="Y92" s="1">
        <v>42614</v>
      </c>
      <c r="Z92" s="1">
        <v>42644</v>
      </c>
      <c r="AA92">
        <v>-8.2058989226136397E-3</v>
      </c>
      <c r="AB92">
        <v>3.32</v>
      </c>
      <c r="AC92">
        <v>3.3117941010773801</v>
      </c>
      <c r="AD92">
        <f t="shared" si="3"/>
        <v>-0.82058989226196921</v>
      </c>
    </row>
    <row r="93" spans="1:30" x14ac:dyDescent="0.25">
      <c r="A93" s="1">
        <v>42461</v>
      </c>
      <c r="B93">
        <v>53190774088.653503</v>
      </c>
      <c r="C93">
        <v>13166230998.940001</v>
      </c>
      <c r="D93">
        <v>4.0399393032779001</v>
      </c>
      <c r="E93">
        <v>2129478503.88921</v>
      </c>
      <c r="F93">
        <v>528499906.38</v>
      </c>
      <c r="G93">
        <v>4.02928832755192</v>
      </c>
      <c r="H93" s="2">
        <v>-1.06509757259761E-2</v>
      </c>
      <c r="I93" s="3">
        <f t="shared" si="2"/>
        <v>3.8591477994992462E-2</v>
      </c>
      <c r="S93" s="1">
        <v>42644</v>
      </c>
      <c r="T93" s="2">
        <f>VLOOKUP(S93,A:H,8,0)</f>
        <v>5.6314799807599999E-2</v>
      </c>
      <c r="U93">
        <v>3.2643403022779099E-2</v>
      </c>
      <c r="X93" s="1">
        <v>42614</v>
      </c>
      <c r="Y93" s="1">
        <v>42644</v>
      </c>
      <c r="Z93" s="1">
        <v>42675</v>
      </c>
      <c r="AA93">
        <v>1.0674538055772601E-2</v>
      </c>
      <c r="AB93">
        <v>3.3475000000000001</v>
      </c>
      <c r="AC93">
        <v>3.3581745380557702</v>
      </c>
      <c r="AD93">
        <f t="shared" si="3"/>
        <v>1.0674538055770011</v>
      </c>
    </row>
    <row r="94" spans="1:30" x14ac:dyDescent="0.25">
      <c r="A94" s="1">
        <v>42491</v>
      </c>
      <c r="B94">
        <v>79476483314.945496</v>
      </c>
      <c r="C94">
        <v>20545584360.990002</v>
      </c>
      <c r="D94">
        <v>3.86829996745421</v>
      </c>
      <c r="E94">
        <v>4337845993.9449902</v>
      </c>
      <c r="F94">
        <v>1111821633</v>
      </c>
      <c r="G94">
        <v>3.9015664610161398</v>
      </c>
      <c r="H94" s="2">
        <v>3.32664935619243E-2</v>
      </c>
      <c r="I94" s="3">
        <f t="shared" si="2"/>
        <v>5.1336786746692287E-2</v>
      </c>
      <c r="S94" s="1">
        <v>42675</v>
      </c>
      <c r="T94" s="2">
        <f>VLOOKUP(S94,A:H,8,0)</f>
        <v>8.7310344475365995E-2</v>
      </c>
      <c r="U94">
        <v>4.3804365611708501E-2</v>
      </c>
      <c r="X94" s="1">
        <v>42644</v>
      </c>
      <c r="Y94" s="1">
        <v>42675</v>
      </c>
      <c r="Z94" s="1">
        <v>42705</v>
      </c>
      <c r="AA94">
        <v>2.8099721690382901E-2</v>
      </c>
      <c r="AB94">
        <v>3.3574999999999999</v>
      </c>
      <c r="AC94">
        <v>3.3855997216903799</v>
      </c>
      <c r="AD94">
        <f t="shared" si="3"/>
        <v>2.8099721690379997</v>
      </c>
    </row>
    <row r="95" spans="1:30" x14ac:dyDescent="0.25">
      <c r="A95" s="1">
        <v>42522</v>
      </c>
      <c r="B95">
        <v>75765305198.436203</v>
      </c>
      <c r="C95">
        <v>19583649030.450001</v>
      </c>
      <c r="D95">
        <v>3.8688042805828</v>
      </c>
      <c r="E95">
        <v>3941726622.7779899</v>
      </c>
      <c r="F95">
        <v>1005638871</v>
      </c>
      <c r="G95">
        <v>3.91962436660625</v>
      </c>
      <c r="H95" s="2">
        <v>5.0820086023443498E-2</v>
      </c>
      <c r="I95" s="3">
        <f t="shared" si="2"/>
        <v>4.8842819422092683E-2</v>
      </c>
      <c r="S95" s="1">
        <v>42705</v>
      </c>
      <c r="T95" s="2">
        <f>VLOOKUP(S95,A:H,8,0)</f>
        <v>8.2929909475397898E-2</v>
      </c>
      <c r="U95">
        <v>4.74789703369018E-2</v>
      </c>
      <c r="X95" s="1">
        <v>42675</v>
      </c>
      <c r="Y95" s="1">
        <v>42705</v>
      </c>
      <c r="Z95" s="1">
        <v>42736</v>
      </c>
      <c r="AA95">
        <v>3.5370329739789201E-2</v>
      </c>
      <c r="AB95">
        <v>3.7069999999999901</v>
      </c>
      <c r="AC95">
        <v>3.7423703297397801</v>
      </c>
      <c r="AD95">
        <f t="shared" si="3"/>
        <v>3.5370329739790041</v>
      </c>
    </row>
    <row r="96" spans="1:30" x14ac:dyDescent="0.25">
      <c r="A96" s="1">
        <v>42552</v>
      </c>
      <c r="B96">
        <v>82895133348.303802</v>
      </c>
      <c r="C96">
        <v>21668839346.810001</v>
      </c>
      <c r="D96">
        <v>3.82554561513731</v>
      </c>
      <c r="E96">
        <v>5223655304.5074902</v>
      </c>
      <c r="F96">
        <v>1350225856.0699999</v>
      </c>
      <c r="G96">
        <v>3.86872705853196</v>
      </c>
      <c r="H96" s="2">
        <v>4.3181443394655898E-2</v>
      </c>
      <c r="I96" s="3">
        <f t="shared" si="2"/>
        <v>5.8656850057537006E-2</v>
      </c>
      <c r="S96" s="1">
        <v>42736</v>
      </c>
      <c r="T96" s="2">
        <f>VLOOKUP(S96,A:H,8,0)</f>
        <v>9.6407576721698099E-2</v>
      </c>
      <c r="U96">
        <v>4.5424200260601302E-2</v>
      </c>
      <c r="X96" s="1">
        <v>42705</v>
      </c>
      <c r="Y96" s="1">
        <v>42736</v>
      </c>
      <c r="Z96" s="1">
        <v>42767</v>
      </c>
      <c r="AA96">
        <v>3.4819049890936302E-2</v>
      </c>
      <c r="AB96">
        <v>4.1025</v>
      </c>
      <c r="AC96">
        <v>4.1373190498909302</v>
      </c>
      <c r="AD96">
        <f t="shared" si="3"/>
        <v>3.4819049890930209</v>
      </c>
    </row>
    <row r="97" spans="1:30" x14ac:dyDescent="0.25">
      <c r="A97" s="1">
        <v>42583</v>
      </c>
      <c r="B97">
        <v>89248748078.148193</v>
      </c>
      <c r="C97">
        <v>23476480743.029999</v>
      </c>
      <c r="D97">
        <v>3.80162380618507</v>
      </c>
      <c r="E97">
        <v>5583520297.4136896</v>
      </c>
      <c r="F97">
        <v>1448726588.0999999</v>
      </c>
      <c r="G97">
        <v>3.85408837200707</v>
      </c>
      <c r="H97" s="2">
        <v>5.2464565822009097E-2</v>
      </c>
      <c r="I97" s="3">
        <f t="shared" si="2"/>
        <v>5.8122950347162514E-2</v>
      </c>
      <c r="S97" s="1"/>
      <c r="T97" s="2"/>
      <c r="X97" s="1">
        <v>42736</v>
      </c>
      <c r="Y97" s="1">
        <v>42767</v>
      </c>
      <c r="Z97" s="1">
        <v>42795</v>
      </c>
      <c r="AA97">
        <v>4.5812974070070497E-2</v>
      </c>
      <c r="AB97">
        <v>4.0187499999999998</v>
      </c>
      <c r="AC97">
        <v>4.0645629740700704</v>
      </c>
      <c r="AD97">
        <f t="shared" si="3"/>
        <v>4.5812974070070567</v>
      </c>
    </row>
    <row r="98" spans="1:30" x14ac:dyDescent="0.25">
      <c r="A98" s="1">
        <v>42614</v>
      </c>
      <c r="B98">
        <v>85474629627.940796</v>
      </c>
      <c r="C98">
        <v>22931955342.380001</v>
      </c>
      <c r="D98">
        <v>3.72731537070357</v>
      </c>
      <c r="E98">
        <v>6636832927.34729</v>
      </c>
      <c r="F98">
        <v>1767891964.51</v>
      </c>
      <c r="G98">
        <v>3.7540941757641799</v>
      </c>
      <c r="H98" s="2">
        <v>2.6778805060617899E-2</v>
      </c>
      <c r="I98" s="3">
        <f t="shared" si="2"/>
        <v>7.157501593205591E-2</v>
      </c>
      <c r="S98" s="1"/>
      <c r="T98" s="2"/>
      <c r="X98" s="1">
        <v>40725</v>
      </c>
      <c r="Y98">
        <v>4.4762499999999896</v>
      </c>
      <c r="Z98">
        <v>4.4693969081732501</v>
      </c>
      <c r="AA98">
        <f t="shared" ref="AA67:AA106" si="4">(Z98-Y98)*100</f>
        <v>-0.68530918267395435</v>
      </c>
      <c r="AD98">
        <f t="shared" si="3"/>
        <v>0</v>
      </c>
    </row>
    <row r="99" spans="1:30" x14ac:dyDescent="0.25">
      <c r="A99" s="1">
        <v>42644</v>
      </c>
      <c r="B99">
        <v>113393905183.088</v>
      </c>
      <c r="C99">
        <v>31272255065.009998</v>
      </c>
      <c r="D99">
        <v>3.6260226500250998</v>
      </c>
      <c r="E99">
        <v>8629154936.6176891</v>
      </c>
      <c r="F99">
        <v>2343390592.0300002</v>
      </c>
      <c r="G99">
        <v>3.6823374498326999</v>
      </c>
      <c r="H99" s="2">
        <v>5.6314799807599999E-2</v>
      </c>
      <c r="I99" s="3">
        <f t="shared" si="2"/>
        <v>6.9711306929463451E-2</v>
      </c>
      <c r="S99" s="1"/>
      <c r="T99" s="2"/>
      <c r="X99" s="1"/>
    </row>
    <row r="100" spans="1:30" x14ac:dyDescent="0.25">
      <c r="A100" s="1">
        <v>42675</v>
      </c>
      <c r="B100">
        <v>103627348461.80099</v>
      </c>
      <c r="C100">
        <v>28634653204.93</v>
      </c>
      <c r="D100">
        <v>3.61894896090309</v>
      </c>
      <c r="E100">
        <v>16846666154.1528</v>
      </c>
      <c r="F100">
        <v>4545463435.25</v>
      </c>
      <c r="G100">
        <v>3.7062593053784498</v>
      </c>
      <c r="H100" s="2">
        <v>8.7310344475365995E-2</v>
      </c>
      <c r="I100" s="3">
        <f t="shared" si="2"/>
        <v>0.13699359422219745</v>
      </c>
      <c r="S100" s="1"/>
      <c r="T100" s="2"/>
      <c r="X100" s="1"/>
    </row>
    <row r="101" spans="1:30" x14ac:dyDescent="0.25">
      <c r="A101" s="1">
        <v>42705</v>
      </c>
      <c r="B101">
        <v>99643382095.594696</v>
      </c>
      <c r="C101">
        <v>27457592254.73</v>
      </c>
      <c r="D101">
        <v>3.62899198047598</v>
      </c>
      <c r="E101">
        <v>16659564522.430401</v>
      </c>
      <c r="F101">
        <v>4488123677.2600002</v>
      </c>
      <c r="G101">
        <v>3.7119218899513799</v>
      </c>
      <c r="H101" s="2">
        <v>8.2929909475397898E-2</v>
      </c>
      <c r="I101" s="3">
        <f t="shared" si="2"/>
        <v>0.14049219265628213</v>
      </c>
      <c r="S101" s="1"/>
      <c r="T101" s="2"/>
      <c r="X101" s="1"/>
    </row>
    <row r="102" spans="1:30" x14ac:dyDescent="0.25">
      <c r="A102" s="1">
        <v>42736</v>
      </c>
      <c r="B102">
        <v>86634775920.738403</v>
      </c>
      <c r="C102">
        <v>23596781316.220001</v>
      </c>
      <c r="D102">
        <v>3.6714658139068801</v>
      </c>
      <c r="E102">
        <v>13048031801.193899</v>
      </c>
      <c r="F102">
        <v>3462969810.4099998</v>
      </c>
      <c r="G102">
        <v>3.76787339062858</v>
      </c>
      <c r="H102" s="2">
        <v>9.6407576721698099E-2</v>
      </c>
      <c r="I102" s="3">
        <f t="shared" si="2"/>
        <v>0.12797493200157437</v>
      </c>
      <c r="S102" s="1"/>
      <c r="T102" s="2"/>
      <c r="X102" s="1"/>
    </row>
    <row r="103" spans="1:30" x14ac:dyDescent="0.25">
      <c r="A103" s="1">
        <v>42767</v>
      </c>
      <c r="B103">
        <v>77532729284.340195</v>
      </c>
      <c r="C103">
        <v>19880938124.68</v>
      </c>
      <c r="D103">
        <v>3.8998526527323101</v>
      </c>
      <c r="E103">
        <v>8954314996.7169895</v>
      </c>
      <c r="F103">
        <v>2220499750</v>
      </c>
      <c r="G103">
        <v>4.0325674419539999</v>
      </c>
      <c r="H103" s="2">
        <v>0.132714789221687</v>
      </c>
      <c r="I103" s="3">
        <f t="shared" si="2"/>
        <v>0.10046856510380549</v>
      </c>
      <c r="S103" s="1"/>
      <c r="T103" s="2"/>
      <c r="X103" s="1"/>
    </row>
    <row r="104" spans="1:30" x14ac:dyDescent="0.25">
      <c r="I104" s="4"/>
      <c r="S104" s="1"/>
      <c r="T104" s="2"/>
      <c r="X104" s="1"/>
    </row>
    <row r="105" spans="1:30" x14ac:dyDescent="0.25">
      <c r="I105" s="4"/>
      <c r="S105" s="1"/>
      <c r="T105" s="2"/>
      <c r="X105" s="1"/>
    </row>
    <row r="106" spans="1:30" x14ac:dyDescent="0.25">
      <c r="I106" s="4"/>
      <c r="S106" s="1"/>
      <c r="T106" s="2"/>
      <c r="X10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M32" sqref="M3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5</v>
      </c>
      <c r="H1" t="s">
        <v>6</v>
      </c>
      <c r="I1" t="s">
        <v>17</v>
      </c>
    </row>
    <row r="2" spans="1:9" x14ac:dyDescent="0.25">
      <c r="A2" s="1">
        <v>39692</v>
      </c>
      <c r="B2">
        <v>25552274012.095901</v>
      </c>
      <c r="C2">
        <v>4045701237</v>
      </c>
      <c r="D2">
        <v>6.3159073088263202</v>
      </c>
      <c r="E2">
        <v>51.928081312248402</v>
      </c>
      <c r="F2">
        <v>369748368.74999899</v>
      </c>
      <c r="G2">
        <v>58456600</v>
      </c>
      <c r="H2">
        <v>6.32517746071444</v>
      </c>
      <c r="I2">
        <v>34.180443269023499</v>
      </c>
    </row>
    <row r="3" spans="1:9" x14ac:dyDescent="0.25">
      <c r="A3" s="1">
        <v>39722</v>
      </c>
      <c r="B3">
        <v>21973865833.573898</v>
      </c>
      <c r="C3">
        <v>3429020175</v>
      </c>
      <c r="D3">
        <v>6.40820546749159</v>
      </c>
      <c r="E3">
        <v>46.116907747560802</v>
      </c>
      <c r="F3">
        <v>258950696.62499899</v>
      </c>
      <c r="G3">
        <v>40798873</v>
      </c>
      <c r="H3">
        <v>6.3470061201200298</v>
      </c>
      <c r="I3">
        <v>33.998702611221603</v>
      </c>
    </row>
    <row r="4" spans="1:9" x14ac:dyDescent="0.25">
      <c r="A4" s="1">
        <v>39753</v>
      </c>
      <c r="B4">
        <v>20965201241.606899</v>
      </c>
      <c r="C4">
        <v>3371039086</v>
      </c>
      <c r="D4">
        <v>6.2192103700832</v>
      </c>
      <c r="E4">
        <v>48.842741102824398</v>
      </c>
      <c r="F4">
        <v>234996912.49999899</v>
      </c>
      <c r="G4">
        <v>37207000</v>
      </c>
      <c r="H4">
        <v>6.3159328217808399</v>
      </c>
      <c r="I4">
        <v>34.196354180664898</v>
      </c>
    </row>
    <row r="5" spans="1:9" x14ac:dyDescent="0.25">
      <c r="A5" s="1">
        <v>39783</v>
      </c>
      <c r="B5">
        <v>27764283565.7169</v>
      </c>
      <c r="C5">
        <v>4720254320</v>
      </c>
      <c r="D5">
        <v>5.8819465400578199</v>
      </c>
      <c r="E5">
        <v>38.374151469448698</v>
      </c>
      <c r="F5">
        <v>266735130.12499899</v>
      </c>
      <c r="G5">
        <v>44723922</v>
      </c>
      <c r="H5">
        <v>5.9640371013302396</v>
      </c>
      <c r="I5">
        <v>36.074521818547097</v>
      </c>
    </row>
    <row r="6" spans="1:9" x14ac:dyDescent="0.25">
      <c r="A6" s="1">
        <v>39814</v>
      </c>
      <c r="B6">
        <v>15008808284.4499</v>
      </c>
      <c r="C6">
        <v>2448958950</v>
      </c>
      <c r="D6">
        <v>6.1286483729953902</v>
      </c>
      <c r="E6">
        <v>50.073020446096002</v>
      </c>
      <c r="F6">
        <v>165847469.74999899</v>
      </c>
      <c r="G6">
        <v>27363454</v>
      </c>
      <c r="H6">
        <v>6.06091138019345</v>
      </c>
      <c r="I6">
        <v>35.139622724528799</v>
      </c>
    </row>
    <row r="7" spans="1:9" x14ac:dyDescent="0.25">
      <c r="A7" s="1">
        <v>39845</v>
      </c>
      <c r="B7">
        <v>28406400975.463902</v>
      </c>
      <c r="C7">
        <v>5201306977</v>
      </c>
      <c r="D7">
        <v>5.4613967414490396</v>
      </c>
      <c r="E7">
        <v>37.122185410092101</v>
      </c>
      <c r="F7">
        <v>821352574.24999905</v>
      </c>
      <c r="G7">
        <v>150928755</v>
      </c>
      <c r="H7">
        <v>5.4419886671032298</v>
      </c>
      <c r="I7">
        <v>27.083925127455</v>
      </c>
    </row>
    <row r="8" spans="1:9" x14ac:dyDescent="0.25">
      <c r="A8" s="1">
        <v>39873</v>
      </c>
      <c r="B8">
        <v>57976405215.508904</v>
      </c>
      <c r="C8">
        <v>11541915871</v>
      </c>
      <c r="D8">
        <v>5.0231179869521796</v>
      </c>
      <c r="E8">
        <v>30.294851676535799</v>
      </c>
      <c r="F8">
        <v>2615052080.99999</v>
      </c>
      <c r="G8">
        <v>515200516</v>
      </c>
      <c r="H8">
        <v>5.0757947629850504</v>
      </c>
      <c r="I8">
        <v>24.304802666385498</v>
      </c>
    </row>
    <row r="9" spans="1:9" x14ac:dyDescent="0.25">
      <c r="A9" s="1">
        <v>39904</v>
      </c>
      <c r="B9">
        <v>110197374293.414</v>
      </c>
      <c r="C9">
        <v>22595394828</v>
      </c>
      <c r="D9">
        <v>4.8769837894958696</v>
      </c>
      <c r="E9">
        <v>25.6559595633457</v>
      </c>
      <c r="F9">
        <v>5900594090.7669897</v>
      </c>
      <c r="G9">
        <v>1187628213</v>
      </c>
      <c r="H9">
        <v>4.9683849088275203</v>
      </c>
      <c r="I9">
        <v>22.222522596808599</v>
      </c>
    </row>
    <row r="10" spans="1:9" x14ac:dyDescent="0.25">
      <c r="A10" s="1">
        <v>39934</v>
      </c>
      <c r="B10">
        <v>110502332954.937</v>
      </c>
      <c r="C10">
        <v>22542965081</v>
      </c>
      <c r="D10">
        <v>4.9018544170160299</v>
      </c>
      <c r="E10">
        <v>27.919953277596001</v>
      </c>
      <c r="F10">
        <v>7421480718.7499905</v>
      </c>
      <c r="G10">
        <v>1499082607</v>
      </c>
      <c r="H10">
        <v>4.95068162627945</v>
      </c>
      <c r="I10">
        <v>24.694809046637101</v>
      </c>
    </row>
    <row r="11" spans="1:9" x14ac:dyDescent="0.25">
      <c r="A11" s="1">
        <v>39965</v>
      </c>
      <c r="B11">
        <v>84708298714.971893</v>
      </c>
      <c r="C11">
        <v>17528406639</v>
      </c>
      <c r="D11">
        <v>4.8326297112767396</v>
      </c>
      <c r="E11">
        <v>25.5550546293439</v>
      </c>
      <c r="F11">
        <v>6785010892.3749905</v>
      </c>
      <c r="G11">
        <v>1382165037</v>
      </c>
      <c r="H11">
        <v>4.9089730319773599</v>
      </c>
      <c r="I11">
        <v>23.6820414702763</v>
      </c>
    </row>
    <row r="12" spans="1:9" x14ac:dyDescent="0.25">
      <c r="A12" s="1">
        <v>39995</v>
      </c>
      <c r="B12">
        <v>100493348067.506</v>
      </c>
      <c r="C12">
        <v>20840149052</v>
      </c>
      <c r="D12">
        <v>4.8221031345196996</v>
      </c>
      <c r="E12">
        <v>25.0141148750551</v>
      </c>
      <c r="F12">
        <v>7598204480.4999905</v>
      </c>
      <c r="G12">
        <v>1563676571</v>
      </c>
      <c r="H12">
        <v>4.8591918696081802</v>
      </c>
      <c r="I12">
        <v>23.4075080670886</v>
      </c>
    </row>
    <row r="13" spans="1:9" x14ac:dyDescent="0.25">
      <c r="A13" s="1">
        <v>40026</v>
      </c>
      <c r="B13">
        <v>74945585711.696899</v>
      </c>
      <c r="C13">
        <v>15415237921</v>
      </c>
      <c r="D13">
        <v>4.8617858573301298</v>
      </c>
      <c r="E13">
        <v>30.395026593245401</v>
      </c>
      <c r="F13">
        <v>5937569988.3499899</v>
      </c>
      <c r="G13">
        <v>1208217362</v>
      </c>
      <c r="H13">
        <v>4.9143226832308997</v>
      </c>
      <c r="I13">
        <v>24.955330409330699</v>
      </c>
    </row>
    <row r="14" spans="1:9" x14ac:dyDescent="0.25">
      <c r="A14" s="1">
        <v>40057</v>
      </c>
      <c r="B14">
        <v>63678142726.744904</v>
      </c>
      <c r="C14">
        <v>12606499113</v>
      </c>
      <c r="D14">
        <v>5.0512154211853399</v>
      </c>
      <c r="E14">
        <v>33.172333109813103</v>
      </c>
      <c r="F14">
        <v>5538645653.0749903</v>
      </c>
      <c r="G14">
        <v>1087060778</v>
      </c>
      <c r="H14">
        <v>5.0950653037681297</v>
      </c>
      <c r="I14">
        <v>27.449638952018098</v>
      </c>
    </row>
    <row r="15" spans="1:9" x14ac:dyDescent="0.25">
      <c r="A15" s="1">
        <v>40087</v>
      </c>
      <c r="B15">
        <v>39428970194.103897</v>
      </c>
      <c r="C15">
        <v>7616908179</v>
      </c>
      <c r="D15">
        <v>5.1765059086324001</v>
      </c>
      <c r="E15">
        <v>36.306257775619599</v>
      </c>
      <c r="F15">
        <v>2829785636.8299899</v>
      </c>
      <c r="G15">
        <v>542948983</v>
      </c>
      <c r="H15">
        <v>5.2118812732539901</v>
      </c>
      <c r="I15">
        <v>31.413105437200901</v>
      </c>
    </row>
    <row r="16" spans="1:9" x14ac:dyDescent="0.25">
      <c r="A16" s="1">
        <v>40118</v>
      </c>
      <c r="B16">
        <v>31788069538.676899</v>
      </c>
      <c r="C16">
        <v>6140345729</v>
      </c>
      <c r="D16">
        <v>5.1769185224451304</v>
      </c>
      <c r="E16">
        <v>36.650243024939599</v>
      </c>
      <c r="F16">
        <v>2865923547.49999</v>
      </c>
      <c r="G16">
        <v>550115743</v>
      </c>
      <c r="H16">
        <v>5.2096737531468902</v>
      </c>
      <c r="I16">
        <v>29.522383983110199</v>
      </c>
    </row>
    <row r="17" spans="1:9" x14ac:dyDescent="0.25">
      <c r="A17" s="1">
        <v>40148</v>
      </c>
      <c r="B17">
        <v>34511909032.158897</v>
      </c>
      <c r="C17">
        <v>6842984752</v>
      </c>
      <c r="D17">
        <v>5.0433999611167</v>
      </c>
      <c r="E17">
        <v>35.850222745023501</v>
      </c>
      <c r="F17">
        <v>3451583478.1499901</v>
      </c>
      <c r="G17">
        <v>677778242</v>
      </c>
      <c r="H17">
        <v>5.09249672572109</v>
      </c>
      <c r="I17">
        <v>28.752393876639001</v>
      </c>
    </row>
    <row r="18" spans="1:9" x14ac:dyDescent="0.25">
      <c r="A18" s="1">
        <v>40179</v>
      </c>
      <c r="B18">
        <v>45492223933.471901</v>
      </c>
      <c r="C18">
        <v>9086401601</v>
      </c>
      <c r="D18">
        <v>5.0066270379756599</v>
      </c>
      <c r="E18">
        <v>34.294768843444601</v>
      </c>
      <c r="F18">
        <v>5279377964.6749897</v>
      </c>
      <c r="G18">
        <v>1036822666</v>
      </c>
      <c r="H18">
        <v>5.0918813195341501</v>
      </c>
      <c r="I18">
        <v>28.9072048990101</v>
      </c>
    </row>
    <row r="19" spans="1:9" x14ac:dyDescent="0.25">
      <c r="A19" s="1">
        <v>40210</v>
      </c>
      <c r="B19">
        <v>35947163313.4179</v>
      </c>
      <c r="C19">
        <v>7253530057</v>
      </c>
      <c r="D19">
        <v>4.9558164136546496</v>
      </c>
      <c r="E19">
        <v>32.756961525333601</v>
      </c>
      <c r="F19">
        <v>4227285968.1749902</v>
      </c>
      <c r="G19">
        <v>842731883</v>
      </c>
      <c r="H19">
        <v>5.0161694999914896</v>
      </c>
      <c r="I19">
        <v>29.5485028836864</v>
      </c>
    </row>
    <row r="20" spans="1:9" x14ac:dyDescent="0.25">
      <c r="A20" s="1">
        <v>40238</v>
      </c>
      <c r="B20">
        <v>29829859397.095901</v>
      </c>
      <c r="C20">
        <v>5974320077</v>
      </c>
      <c r="D20">
        <v>4.9930132655488704</v>
      </c>
      <c r="E20">
        <v>34.084626321570198</v>
      </c>
      <c r="F20">
        <v>3381751084.7749901</v>
      </c>
      <c r="G20">
        <v>668559954</v>
      </c>
      <c r="H20">
        <v>5.0582615134842399</v>
      </c>
      <c r="I20">
        <v>27.638643310065799</v>
      </c>
    </row>
    <row r="21" spans="1:9" x14ac:dyDescent="0.25">
      <c r="A21" s="1">
        <v>40269</v>
      </c>
      <c r="B21">
        <v>27690922827.454899</v>
      </c>
      <c r="C21">
        <v>5470641028</v>
      </c>
      <c r="D21">
        <v>5.0617327449793299</v>
      </c>
      <c r="E21">
        <v>34.768078992296097</v>
      </c>
      <c r="F21">
        <v>3000898326.74999</v>
      </c>
      <c r="G21">
        <v>587315465</v>
      </c>
      <c r="H21">
        <v>5.1095169556790001</v>
      </c>
      <c r="I21">
        <v>31.381687097239901</v>
      </c>
    </row>
    <row r="22" spans="1:9" x14ac:dyDescent="0.25">
      <c r="A22" s="1">
        <v>40299</v>
      </c>
      <c r="B22">
        <v>27437049130.823898</v>
      </c>
      <c r="C22">
        <v>5408648982</v>
      </c>
      <c r="D22">
        <v>5.0728100903080504</v>
      </c>
      <c r="E22">
        <v>39.032179542909702</v>
      </c>
      <c r="F22">
        <v>3077252015.0749898</v>
      </c>
      <c r="G22">
        <v>599020647</v>
      </c>
      <c r="H22">
        <v>5.1371384784254301</v>
      </c>
      <c r="I22">
        <v>32.327729180927498</v>
      </c>
    </row>
    <row r="23" spans="1:9" x14ac:dyDescent="0.25">
      <c r="A23" s="1">
        <v>40330</v>
      </c>
      <c r="B23">
        <v>25738129235.858898</v>
      </c>
      <c r="C23">
        <v>5085272931</v>
      </c>
      <c r="D23">
        <v>5.0613073447756296</v>
      </c>
      <c r="E23">
        <v>39.805593469925</v>
      </c>
      <c r="F23">
        <v>3263059256.8599901</v>
      </c>
      <c r="G23">
        <v>637767857</v>
      </c>
      <c r="H23">
        <v>5.1163745884107703</v>
      </c>
      <c r="I23">
        <v>32.658292506265298</v>
      </c>
    </row>
    <row r="24" spans="1:9" x14ac:dyDescent="0.25">
      <c r="A24" s="1">
        <v>40360</v>
      </c>
      <c r="B24">
        <v>39518096630.447899</v>
      </c>
      <c r="C24">
        <v>7748124944</v>
      </c>
      <c r="D24">
        <v>5.1003432335006398</v>
      </c>
      <c r="E24">
        <v>41.396064008154099</v>
      </c>
      <c r="F24">
        <v>4213698029.6299901</v>
      </c>
      <c r="G24">
        <v>819028420</v>
      </c>
      <c r="H24">
        <v>5.1447519118200997</v>
      </c>
      <c r="I24">
        <v>31.652220108552498</v>
      </c>
    </row>
    <row r="25" spans="1:9" x14ac:dyDescent="0.25">
      <c r="A25" s="1">
        <v>40391</v>
      </c>
      <c r="B25">
        <v>48159801381.363899</v>
      </c>
      <c r="C25">
        <v>9730622875</v>
      </c>
      <c r="D25">
        <v>4.9493030405172203</v>
      </c>
      <c r="E25">
        <v>42.233763090422897</v>
      </c>
      <c r="F25">
        <v>4804494068.9099903</v>
      </c>
      <c r="G25">
        <v>959632017</v>
      </c>
      <c r="H25">
        <v>5.0066004299541804</v>
      </c>
      <c r="I25">
        <v>35.220274570101097</v>
      </c>
    </row>
    <row r="26" spans="1:9" x14ac:dyDescent="0.25">
      <c r="A26" s="1">
        <v>40422</v>
      </c>
      <c r="B26">
        <v>46732885564.132896</v>
      </c>
      <c r="C26">
        <v>9715253361</v>
      </c>
      <c r="D26">
        <v>4.8102590666068501</v>
      </c>
      <c r="E26">
        <v>40.869632854240898</v>
      </c>
      <c r="F26">
        <v>4606789635.2849903</v>
      </c>
      <c r="G26">
        <v>946867917</v>
      </c>
      <c r="H26">
        <v>4.8652927748158099</v>
      </c>
      <c r="I26">
        <v>32.168111204469</v>
      </c>
    </row>
    <row r="27" spans="1:9" x14ac:dyDescent="0.25">
      <c r="A27" s="1">
        <v>40452</v>
      </c>
      <c r="B27">
        <v>53389722835.922897</v>
      </c>
      <c r="C27">
        <v>11517766494</v>
      </c>
      <c r="D27">
        <v>4.63542327097319</v>
      </c>
      <c r="E27">
        <v>37.162725027719198</v>
      </c>
      <c r="F27">
        <v>5020570125.1249905</v>
      </c>
      <c r="G27">
        <v>1055080058</v>
      </c>
      <c r="H27">
        <v>4.7584731481343097</v>
      </c>
      <c r="I27">
        <v>28.336420609325899</v>
      </c>
    </row>
    <row r="28" spans="1:9" x14ac:dyDescent="0.25">
      <c r="A28" s="1">
        <v>40483</v>
      </c>
      <c r="B28">
        <v>49427183473.169899</v>
      </c>
      <c r="C28">
        <v>10953249631</v>
      </c>
      <c r="D28">
        <v>4.5125588421979002</v>
      </c>
      <c r="E28">
        <v>35.523464520407899</v>
      </c>
      <c r="F28">
        <v>3861711305.4319901</v>
      </c>
      <c r="G28">
        <v>837447233</v>
      </c>
      <c r="H28">
        <v>4.6112891096411301</v>
      </c>
      <c r="I28">
        <v>33.471721286348703</v>
      </c>
    </row>
    <row r="29" spans="1:9" x14ac:dyDescent="0.25">
      <c r="A29" s="1">
        <v>40513</v>
      </c>
      <c r="B29">
        <v>55725181570.936897</v>
      </c>
      <c r="C29">
        <v>12554580707</v>
      </c>
      <c r="D29">
        <v>4.4386334256361497</v>
      </c>
      <c r="E29">
        <v>34.1345621710853</v>
      </c>
      <c r="F29">
        <v>4939757135.1799898</v>
      </c>
      <c r="G29">
        <v>1097768328</v>
      </c>
      <c r="H29">
        <v>4.4998175017306501</v>
      </c>
      <c r="I29">
        <v>32.053243660350802</v>
      </c>
    </row>
    <row r="30" spans="1:9" x14ac:dyDescent="0.25">
      <c r="A30" s="1">
        <v>40544</v>
      </c>
      <c r="B30">
        <v>49274356701.274902</v>
      </c>
      <c r="C30">
        <v>11316141450</v>
      </c>
      <c r="D30">
        <v>4.3543425927461303</v>
      </c>
      <c r="E30">
        <v>34.561646352962399</v>
      </c>
      <c r="F30">
        <v>5593819891.3819904</v>
      </c>
      <c r="G30">
        <v>1259171476</v>
      </c>
      <c r="H30">
        <v>4.4424607752010399</v>
      </c>
      <c r="I30">
        <v>32.096586362793303</v>
      </c>
    </row>
    <row r="31" spans="1:9" x14ac:dyDescent="0.25">
      <c r="A31" s="1">
        <v>40575</v>
      </c>
      <c r="B31">
        <v>44860806941.105904</v>
      </c>
      <c r="C31">
        <v>10155068782</v>
      </c>
      <c r="D31">
        <v>4.4175778524141904</v>
      </c>
      <c r="E31">
        <v>39.566268574880802</v>
      </c>
      <c r="F31">
        <v>6862303402.7149897</v>
      </c>
      <c r="G31">
        <v>1516498955</v>
      </c>
      <c r="H31">
        <v>4.5250960312827901</v>
      </c>
      <c r="I31">
        <v>31.171408143172702</v>
      </c>
    </row>
    <row r="32" spans="1:9" x14ac:dyDescent="0.25">
      <c r="A32" s="1">
        <v>40603</v>
      </c>
      <c r="B32">
        <v>33760998588.129902</v>
      </c>
      <c r="C32">
        <v>7209101262</v>
      </c>
      <c r="D32">
        <v>4.6831078328845299</v>
      </c>
      <c r="E32">
        <v>39.519279057256703</v>
      </c>
      <c r="F32">
        <v>5259413983.6749897</v>
      </c>
      <c r="G32">
        <v>1113733376</v>
      </c>
      <c r="H32">
        <v>4.7223277105731603</v>
      </c>
      <c r="I32">
        <v>31.3334626374706</v>
      </c>
    </row>
    <row r="33" spans="1:9" x14ac:dyDescent="0.25">
      <c r="A33" s="1">
        <v>40634</v>
      </c>
      <c r="B33">
        <v>22133202914.304901</v>
      </c>
      <c r="C33">
        <v>4582359779</v>
      </c>
      <c r="D33">
        <v>4.8300884220695304</v>
      </c>
      <c r="E33">
        <v>37.033235485501997</v>
      </c>
      <c r="F33">
        <v>3033957307.24999</v>
      </c>
      <c r="G33">
        <v>615430680</v>
      </c>
      <c r="H33">
        <v>4.9298116032336798</v>
      </c>
      <c r="I33">
        <v>30.3118103406869</v>
      </c>
    </row>
    <row r="34" spans="1:9" x14ac:dyDescent="0.25">
      <c r="A34" s="1">
        <v>40664</v>
      </c>
      <c r="B34">
        <v>23539604148.314899</v>
      </c>
      <c r="C34">
        <v>4764759831</v>
      </c>
      <c r="D34">
        <v>4.9403548097354202</v>
      </c>
      <c r="E34">
        <v>42.887025447851997</v>
      </c>
      <c r="F34">
        <v>3955080681.7899899</v>
      </c>
      <c r="G34">
        <v>790081318</v>
      </c>
      <c r="H34">
        <v>5.0059159629312902</v>
      </c>
      <c r="I34">
        <v>31.957779850959501</v>
      </c>
    </row>
    <row r="35" spans="1:9" x14ac:dyDescent="0.25">
      <c r="A35" s="1">
        <v>40695</v>
      </c>
      <c r="B35">
        <v>22422873704.534901</v>
      </c>
      <c r="C35">
        <v>4547500821</v>
      </c>
      <c r="D35">
        <v>4.9308124587878899</v>
      </c>
      <c r="E35">
        <v>44.941903343089002</v>
      </c>
      <c r="F35">
        <v>4359162850.5249901</v>
      </c>
      <c r="G35">
        <v>871458090</v>
      </c>
      <c r="H35">
        <v>5.0021485835595296</v>
      </c>
      <c r="I35">
        <v>35.2919906911415</v>
      </c>
    </row>
    <row r="36" spans="1:9" x14ac:dyDescent="0.25">
      <c r="A36" s="1">
        <v>40725</v>
      </c>
      <c r="B36">
        <v>20021592119.659901</v>
      </c>
      <c r="C36">
        <v>4087385766</v>
      </c>
      <c r="D36">
        <v>4.8983857325641003</v>
      </c>
      <c r="E36">
        <v>47.140564031851099</v>
      </c>
      <c r="F36">
        <v>3955157466.20999</v>
      </c>
      <c r="G36">
        <v>801392147</v>
      </c>
      <c r="H36">
        <v>4.93535840227044</v>
      </c>
      <c r="I36">
        <v>35.156999267426002</v>
      </c>
    </row>
    <row r="37" spans="1:9" x14ac:dyDescent="0.25">
      <c r="A37" s="1">
        <v>40756</v>
      </c>
      <c r="B37">
        <v>25384048957.9049</v>
      </c>
      <c r="C37">
        <v>5368330471</v>
      </c>
      <c r="D37">
        <v>4.7284810603652101</v>
      </c>
      <c r="E37">
        <v>46.329755273741597</v>
      </c>
      <c r="F37">
        <v>4492527373.7749901</v>
      </c>
      <c r="G37">
        <v>944564846</v>
      </c>
      <c r="H37">
        <v>4.7561873520910103</v>
      </c>
      <c r="I37">
        <v>37.029860944030901</v>
      </c>
    </row>
    <row r="38" spans="1:9" x14ac:dyDescent="0.25">
      <c r="A38" s="1">
        <v>40787</v>
      </c>
      <c r="B38">
        <v>24943140431.982899</v>
      </c>
      <c r="C38">
        <v>5365470913</v>
      </c>
      <c r="D38">
        <v>4.6488259532911096</v>
      </c>
      <c r="E38">
        <v>44.525369352235202</v>
      </c>
      <c r="F38">
        <v>4286621591.95999</v>
      </c>
      <c r="G38">
        <v>913832617</v>
      </c>
      <c r="H38">
        <v>4.6908170185831697</v>
      </c>
      <c r="I38">
        <v>33.8454653506857</v>
      </c>
    </row>
    <row r="39" spans="1:9" x14ac:dyDescent="0.25">
      <c r="A39" s="1">
        <v>40817</v>
      </c>
      <c r="B39">
        <v>25206712662.885899</v>
      </c>
      <c r="C39">
        <v>5557240644</v>
      </c>
      <c r="D39">
        <v>4.5358324891150703</v>
      </c>
      <c r="E39">
        <v>45.906535040090297</v>
      </c>
      <c r="F39">
        <v>4120713285.99999</v>
      </c>
      <c r="G39">
        <v>908562960</v>
      </c>
      <c r="H39">
        <v>4.5354185316997704</v>
      </c>
      <c r="I39">
        <v>38.004418483007399</v>
      </c>
    </row>
    <row r="40" spans="1:9" x14ac:dyDescent="0.25">
      <c r="A40" s="1">
        <v>40848</v>
      </c>
      <c r="B40">
        <v>32518913502.712898</v>
      </c>
      <c r="C40">
        <v>7603722537</v>
      </c>
      <c r="D40">
        <v>4.2767096437928496</v>
      </c>
      <c r="E40">
        <v>37.143625572959202</v>
      </c>
      <c r="F40">
        <v>8024574263.2049904</v>
      </c>
      <c r="G40">
        <v>1844564613</v>
      </c>
      <c r="H40">
        <v>4.35038935836128</v>
      </c>
      <c r="I40">
        <v>30.5812952972442</v>
      </c>
    </row>
    <row r="41" spans="1:9" x14ac:dyDescent="0.25">
      <c r="A41" s="1">
        <v>40878</v>
      </c>
      <c r="B41">
        <v>25748150790.273899</v>
      </c>
      <c r="C41">
        <v>6217164971</v>
      </c>
      <c r="D41">
        <v>4.1414617289996896</v>
      </c>
      <c r="E41">
        <v>32.112361258106901</v>
      </c>
      <c r="F41">
        <v>3905509320.20999</v>
      </c>
      <c r="G41">
        <v>920058752</v>
      </c>
      <c r="H41">
        <v>4.2448477466469399</v>
      </c>
      <c r="I41">
        <v>32.770794185108699</v>
      </c>
    </row>
    <row r="42" spans="1:9" x14ac:dyDescent="0.25">
      <c r="A42" s="1">
        <v>40909</v>
      </c>
      <c r="B42">
        <v>24381267436.838902</v>
      </c>
      <c r="C42">
        <v>5934156584</v>
      </c>
      <c r="D42">
        <v>4.1086323038015404</v>
      </c>
      <c r="E42">
        <v>32.788992706162098</v>
      </c>
      <c r="F42">
        <v>4355461899.64499</v>
      </c>
      <c r="G42">
        <v>1033490549</v>
      </c>
      <c r="H42">
        <v>4.21432194407517</v>
      </c>
      <c r="I42">
        <v>29.182934236005199</v>
      </c>
    </row>
    <row r="43" spans="1:9" x14ac:dyDescent="0.25">
      <c r="A43" s="1">
        <v>40940</v>
      </c>
      <c r="B43">
        <v>33225160676.447899</v>
      </c>
      <c r="C43">
        <v>8114211835</v>
      </c>
      <c r="D43">
        <v>4.0946873648447202</v>
      </c>
      <c r="E43">
        <v>34.044282629330603</v>
      </c>
      <c r="F43">
        <v>5525567882.01999</v>
      </c>
      <c r="G43">
        <v>1313584672</v>
      </c>
      <c r="H43">
        <v>4.2064801758131303</v>
      </c>
      <c r="I43">
        <v>29.473126514222901</v>
      </c>
    </row>
    <row r="44" spans="1:9" x14ac:dyDescent="0.25">
      <c r="A44" s="1">
        <v>40969</v>
      </c>
      <c r="B44">
        <v>27387136168.796902</v>
      </c>
      <c r="C44">
        <v>6797079632</v>
      </c>
      <c r="D44">
        <v>4.0292504504229996</v>
      </c>
      <c r="E44">
        <v>32.2765320774161</v>
      </c>
      <c r="F44">
        <v>4854013754.8349895</v>
      </c>
      <c r="G44">
        <v>1182854527</v>
      </c>
      <c r="H44">
        <v>4.10364389198892</v>
      </c>
      <c r="I44">
        <v>27.950861260050701</v>
      </c>
    </row>
    <row r="45" spans="1:9" x14ac:dyDescent="0.25">
      <c r="A45" s="1">
        <v>41000</v>
      </c>
      <c r="B45">
        <v>25352797089.881901</v>
      </c>
      <c r="C45">
        <v>6389713825</v>
      </c>
      <c r="D45">
        <v>3.96775157452094</v>
      </c>
      <c r="E45">
        <v>31.010528167120199</v>
      </c>
      <c r="F45">
        <v>5480667378.9999905</v>
      </c>
      <c r="G45">
        <v>1360776845</v>
      </c>
      <c r="H45">
        <v>4.0276018798658999</v>
      </c>
      <c r="I45">
        <v>25.075739365626799</v>
      </c>
    </row>
    <row r="46" spans="1:9" x14ac:dyDescent="0.25">
      <c r="A46" s="1">
        <v>41030</v>
      </c>
      <c r="B46">
        <v>25850936040.568901</v>
      </c>
      <c r="C46">
        <v>6522210211</v>
      </c>
      <c r="D46">
        <v>3.9635238982285799</v>
      </c>
      <c r="E46">
        <v>32.342908239790802</v>
      </c>
      <c r="F46">
        <v>4571362950.9249897</v>
      </c>
      <c r="G46">
        <v>1137737652</v>
      </c>
      <c r="H46">
        <v>4.0179411685014701</v>
      </c>
      <c r="I46">
        <v>27.198051475754401</v>
      </c>
    </row>
    <row r="47" spans="1:9" x14ac:dyDescent="0.25">
      <c r="A47" s="1">
        <v>41061</v>
      </c>
      <c r="B47">
        <v>25296644864.731899</v>
      </c>
      <c r="C47">
        <v>6299939441</v>
      </c>
      <c r="D47">
        <v>4.0153790527098403</v>
      </c>
      <c r="E47">
        <v>36.200332631895797</v>
      </c>
      <c r="F47">
        <v>4795213210.5999899</v>
      </c>
      <c r="G47">
        <v>1171646095</v>
      </c>
      <c r="H47">
        <v>4.0927147122868996</v>
      </c>
      <c r="I47">
        <v>30.430974231173401</v>
      </c>
    </row>
    <row r="48" spans="1:9" x14ac:dyDescent="0.25">
      <c r="A48" s="1">
        <v>41091</v>
      </c>
      <c r="B48">
        <v>33224269039.295898</v>
      </c>
      <c r="C48">
        <v>8350568611</v>
      </c>
      <c r="D48">
        <v>3.9786834390571202</v>
      </c>
      <c r="E48">
        <v>35.506044002732096</v>
      </c>
      <c r="F48">
        <v>5276217529.8499899</v>
      </c>
      <c r="G48">
        <v>1309187279</v>
      </c>
      <c r="H48">
        <v>4.0301472634840598</v>
      </c>
      <c r="I48">
        <v>30.355847431053402</v>
      </c>
    </row>
    <row r="49" spans="1:9" x14ac:dyDescent="0.25">
      <c r="A49" s="1">
        <v>41122</v>
      </c>
      <c r="B49">
        <v>29376098140.378899</v>
      </c>
      <c r="C49">
        <v>7554624065</v>
      </c>
      <c r="D49">
        <v>3.8884923839527898</v>
      </c>
      <c r="E49">
        <v>36.989739366336003</v>
      </c>
      <c r="F49">
        <v>5126897045.9999905</v>
      </c>
      <c r="G49">
        <v>1309690248</v>
      </c>
      <c r="H49">
        <v>3.9145874788555299</v>
      </c>
      <c r="I49">
        <v>29.847822765494001</v>
      </c>
    </row>
    <row r="50" spans="1:9" x14ac:dyDescent="0.25">
      <c r="A50" s="1">
        <v>41153</v>
      </c>
      <c r="B50">
        <v>33181867196.7659</v>
      </c>
      <c r="C50">
        <v>8735071236</v>
      </c>
      <c r="D50">
        <v>3.79869451550812</v>
      </c>
      <c r="E50">
        <v>36.856767045946498</v>
      </c>
      <c r="F50">
        <v>5496187702.7639904</v>
      </c>
      <c r="G50">
        <v>1427977486</v>
      </c>
      <c r="H50">
        <v>3.84893162297658</v>
      </c>
      <c r="I50">
        <v>29.494377809119001</v>
      </c>
    </row>
    <row r="51" spans="1:9" x14ac:dyDescent="0.25">
      <c r="A51" s="1">
        <v>41183</v>
      </c>
      <c r="B51">
        <v>38408292664.818901</v>
      </c>
      <c r="C51">
        <v>10400703552</v>
      </c>
      <c r="D51">
        <v>3.6928552451082299</v>
      </c>
      <c r="E51">
        <v>38.5667203756486</v>
      </c>
      <c r="F51">
        <v>7714847244.9249897</v>
      </c>
      <c r="G51">
        <v>2044101399</v>
      </c>
      <c r="H51">
        <v>3.77419987516235</v>
      </c>
      <c r="I51">
        <v>27.137876380368301</v>
      </c>
    </row>
    <row r="52" spans="1:9" x14ac:dyDescent="0.25">
      <c r="A52" s="1">
        <v>41214</v>
      </c>
      <c r="B52">
        <v>46849771242.601898</v>
      </c>
      <c r="C52">
        <v>12722114532</v>
      </c>
      <c r="D52">
        <v>3.68254594193131</v>
      </c>
      <c r="E52">
        <v>37.936835538307797</v>
      </c>
      <c r="F52">
        <v>8481038614.47999</v>
      </c>
      <c r="G52">
        <v>2265850998</v>
      </c>
      <c r="H52">
        <v>3.7429816091022499</v>
      </c>
      <c r="I52">
        <v>27.846915311595399</v>
      </c>
    </row>
    <row r="53" spans="1:9" x14ac:dyDescent="0.25">
      <c r="A53" s="1">
        <v>41244</v>
      </c>
      <c r="B53">
        <v>43472372834.3759</v>
      </c>
      <c r="C53">
        <v>11934421934</v>
      </c>
      <c r="D53">
        <v>3.6426039798817098</v>
      </c>
      <c r="E53">
        <v>38.794284941945399</v>
      </c>
      <c r="F53">
        <v>7325557044.7999897</v>
      </c>
      <c r="G53">
        <v>2009984525</v>
      </c>
      <c r="H53">
        <v>3.6445838033504199</v>
      </c>
      <c r="I53">
        <v>26.314507446269999</v>
      </c>
    </row>
    <row r="54" spans="1:9" x14ac:dyDescent="0.25">
      <c r="A54" s="1">
        <v>41275</v>
      </c>
      <c r="B54">
        <v>34007108323.4529</v>
      </c>
      <c r="C54">
        <v>9512330694</v>
      </c>
      <c r="D54">
        <v>3.5750553063617998</v>
      </c>
      <c r="E54">
        <v>38.209413659184101</v>
      </c>
      <c r="F54">
        <v>6117336538.7249899</v>
      </c>
      <c r="G54">
        <v>1688120544</v>
      </c>
      <c r="H54">
        <v>3.6237557563454401</v>
      </c>
      <c r="I54">
        <v>27.564541652778999</v>
      </c>
    </row>
    <row r="55" spans="1:9" x14ac:dyDescent="0.25">
      <c r="A55" s="1">
        <v>41306</v>
      </c>
      <c r="B55">
        <v>36592990145.704903</v>
      </c>
      <c r="C55">
        <v>10275318345</v>
      </c>
      <c r="D55">
        <v>3.56125123495675</v>
      </c>
      <c r="E55">
        <v>39.774209538127899</v>
      </c>
      <c r="F55">
        <v>5104620069.8419905</v>
      </c>
      <c r="G55">
        <v>1424621006</v>
      </c>
      <c r="H55">
        <v>3.5831424977893298</v>
      </c>
      <c r="I55">
        <v>26.145725805758602</v>
      </c>
    </row>
    <row r="56" spans="1:9" x14ac:dyDescent="0.25">
      <c r="A56" s="1">
        <v>41334</v>
      </c>
      <c r="B56">
        <v>40818503273.076897</v>
      </c>
      <c r="C56">
        <v>11546908165</v>
      </c>
      <c r="D56">
        <v>3.5350158405868801</v>
      </c>
      <c r="E56">
        <v>39.786510231589702</v>
      </c>
      <c r="F56">
        <v>6187713214.2649899</v>
      </c>
      <c r="G56">
        <v>1709006646</v>
      </c>
      <c r="H56">
        <v>3.6206490061039802</v>
      </c>
      <c r="I56">
        <v>26.824050484119599</v>
      </c>
    </row>
    <row r="57" spans="1:9" x14ac:dyDescent="0.25">
      <c r="A57" s="1">
        <v>41365</v>
      </c>
      <c r="B57">
        <v>41133435065.119904</v>
      </c>
      <c r="C57">
        <v>11510241993</v>
      </c>
      <c r="D57">
        <v>3.57363772978321</v>
      </c>
      <c r="E57">
        <v>38.076478019883098</v>
      </c>
      <c r="F57">
        <v>4741749691.2859898</v>
      </c>
      <c r="G57">
        <v>1285396615</v>
      </c>
      <c r="H57">
        <v>3.6889389904656</v>
      </c>
      <c r="I57">
        <v>29.897050238458799</v>
      </c>
    </row>
    <row r="58" spans="1:9" x14ac:dyDescent="0.25">
      <c r="A58" s="1">
        <v>41395</v>
      </c>
      <c r="B58">
        <v>33817103108.296902</v>
      </c>
      <c r="C58">
        <v>9184055843</v>
      </c>
      <c r="D58">
        <v>3.6821534718859601</v>
      </c>
      <c r="E58">
        <v>45.243365864516498</v>
      </c>
      <c r="F58">
        <v>4217247367.5379901</v>
      </c>
      <c r="G58">
        <v>1120139611</v>
      </c>
      <c r="H58">
        <v>3.7649301266768598</v>
      </c>
      <c r="I58">
        <v>34.279369261587497</v>
      </c>
    </row>
    <row r="59" spans="1:9" x14ac:dyDescent="0.25">
      <c r="A59" s="1">
        <v>41426</v>
      </c>
      <c r="B59">
        <v>31271456228.755901</v>
      </c>
      <c r="C59">
        <v>8360116223</v>
      </c>
      <c r="D59">
        <v>3.7405528098668301</v>
      </c>
      <c r="E59">
        <v>48.169121398349702</v>
      </c>
      <c r="F59">
        <v>4546749757.7669897</v>
      </c>
      <c r="G59">
        <v>1204267826</v>
      </c>
      <c r="H59">
        <v>3.7755303758874899</v>
      </c>
      <c r="I59">
        <v>34.138698022477897</v>
      </c>
    </row>
    <row r="60" spans="1:9" x14ac:dyDescent="0.25">
      <c r="A60" s="1">
        <v>41456</v>
      </c>
      <c r="B60">
        <v>39264454612.925903</v>
      </c>
      <c r="C60">
        <v>10733998409</v>
      </c>
      <c r="D60">
        <v>3.6579523414130901</v>
      </c>
      <c r="E60">
        <v>45.996646106359599</v>
      </c>
      <c r="F60">
        <v>6522696453.6699896</v>
      </c>
      <c r="G60">
        <v>1767486135</v>
      </c>
      <c r="H60">
        <v>3.69038054924826</v>
      </c>
      <c r="I60">
        <v>34.303344068382103</v>
      </c>
    </row>
    <row r="61" spans="1:9" x14ac:dyDescent="0.25">
      <c r="A61" s="1">
        <v>41487</v>
      </c>
      <c r="B61">
        <v>38721326887.883904</v>
      </c>
      <c r="C61">
        <v>10413297791</v>
      </c>
      <c r="D61">
        <v>3.7184499728174498</v>
      </c>
      <c r="E61">
        <v>44.049734623593203</v>
      </c>
      <c r="F61">
        <v>5422166858.4749899</v>
      </c>
      <c r="G61">
        <v>1425555896</v>
      </c>
      <c r="H61">
        <v>3.8035456018870799</v>
      </c>
      <c r="I61">
        <v>35.264229916243103</v>
      </c>
    </row>
    <row r="62" spans="1:9" x14ac:dyDescent="0.25">
      <c r="A62" s="1">
        <v>41518</v>
      </c>
      <c r="B62">
        <v>30816046147.483898</v>
      </c>
      <c r="C62">
        <v>7563793498</v>
      </c>
      <c r="D62">
        <v>4.0741522300459803</v>
      </c>
      <c r="E62">
        <v>46.703291614638403</v>
      </c>
      <c r="F62">
        <v>3382942122.83599</v>
      </c>
      <c r="G62">
        <v>809353518</v>
      </c>
      <c r="H62">
        <v>4.1798077695339</v>
      </c>
      <c r="I62">
        <v>38.962721818922098</v>
      </c>
    </row>
    <row r="63" spans="1:9" x14ac:dyDescent="0.25">
      <c r="A63" s="1">
        <v>41548</v>
      </c>
      <c r="B63">
        <v>24979509854.394901</v>
      </c>
      <c r="C63">
        <v>5650238568</v>
      </c>
      <c r="D63">
        <v>4.4209655138927904</v>
      </c>
      <c r="E63">
        <v>49.153401632084801</v>
      </c>
      <c r="F63">
        <v>2786568370.1499901</v>
      </c>
      <c r="G63">
        <v>613954736</v>
      </c>
      <c r="H63">
        <v>4.5387195614857099</v>
      </c>
      <c r="I63">
        <v>41.975054533987603</v>
      </c>
    </row>
    <row r="64" spans="1:9" x14ac:dyDescent="0.25">
      <c r="A64" s="1">
        <v>41579</v>
      </c>
      <c r="B64">
        <v>19201288936.467899</v>
      </c>
      <c r="C64">
        <v>4198876313</v>
      </c>
      <c r="D64">
        <v>4.5729589311834502</v>
      </c>
      <c r="E64">
        <v>52.482940267309502</v>
      </c>
      <c r="F64">
        <v>1945542911.27999</v>
      </c>
      <c r="G64">
        <v>417705076</v>
      </c>
      <c r="H64">
        <v>4.6576951611667701</v>
      </c>
      <c r="I64">
        <v>46.449078763409602</v>
      </c>
    </row>
    <row r="65" spans="1:9" x14ac:dyDescent="0.25">
      <c r="A65" s="1">
        <v>41609</v>
      </c>
      <c r="B65">
        <v>21305208386.754902</v>
      </c>
      <c r="C65">
        <v>4695356242</v>
      </c>
      <c r="D65">
        <v>4.5375062697436501</v>
      </c>
      <c r="E65">
        <v>58.366224749597997</v>
      </c>
      <c r="F65">
        <v>2895006208.24999</v>
      </c>
      <c r="G65">
        <v>633525590</v>
      </c>
      <c r="H65">
        <v>4.5696752490297898</v>
      </c>
      <c r="I65">
        <v>48.566508221080603</v>
      </c>
    </row>
    <row r="66" spans="1:9" x14ac:dyDescent="0.25">
      <c r="A66" s="1">
        <v>41640</v>
      </c>
      <c r="B66">
        <v>50351825400.653198</v>
      </c>
      <c r="C66">
        <v>11399504354.85</v>
      </c>
      <c r="D66">
        <v>4.4170188311065202</v>
      </c>
      <c r="E66">
        <v>46.868787679127102</v>
      </c>
      <c r="F66">
        <v>7469476862.9989901</v>
      </c>
      <c r="G66">
        <v>1684405206</v>
      </c>
      <c r="H66">
        <v>4.4344893000758097</v>
      </c>
      <c r="I66">
        <v>32.836213728729099</v>
      </c>
    </row>
    <row r="67" spans="1:9" x14ac:dyDescent="0.25">
      <c r="A67" s="1">
        <v>41671</v>
      </c>
      <c r="B67">
        <v>50177385713.155098</v>
      </c>
      <c r="C67">
        <v>11236011103.82</v>
      </c>
      <c r="D67">
        <v>4.4657650521630297</v>
      </c>
      <c r="E67">
        <v>49.124722835454698</v>
      </c>
      <c r="F67">
        <v>6578251661.3492403</v>
      </c>
      <c r="G67">
        <v>1456779354.96</v>
      </c>
      <c r="H67">
        <v>4.51561290936188</v>
      </c>
      <c r="I67">
        <v>36.1951788690386</v>
      </c>
    </row>
    <row r="68" spans="1:9" x14ac:dyDescent="0.25">
      <c r="A68" s="1">
        <v>41699</v>
      </c>
      <c r="B68">
        <v>36572613970.129997</v>
      </c>
      <c r="C68">
        <v>7930037671.1000004</v>
      </c>
      <c r="D68">
        <v>4.6119092351117397</v>
      </c>
      <c r="E68">
        <v>50.842404452862198</v>
      </c>
      <c r="F68">
        <v>4245014143.5774899</v>
      </c>
      <c r="G68">
        <v>913920225.98000002</v>
      </c>
      <c r="H68">
        <v>4.6448410078960096</v>
      </c>
      <c r="I68">
        <v>33.653064021009001</v>
      </c>
    </row>
    <row r="69" spans="1:9" x14ac:dyDescent="0.25">
      <c r="A69" s="1">
        <v>41730</v>
      </c>
      <c r="B69">
        <v>35879752257.398903</v>
      </c>
      <c r="C69">
        <v>7841820599.7600002</v>
      </c>
      <c r="D69">
        <v>4.5754365074989201</v>
      </c>
      <c r="E69">
        <v>51.050153348573403</v>
      </c>
      <c r="F69">
        <v>4587920605.3729897</v>
      </c>
      <c r="G69">
        <v>1004246279.5</v>
      </c>
      <c r="H69">
        <v>4.5685213866634902</v>
      </c>
      <c r="I69">
        <v>37.766288246925903</v>
      </c>
    </row>
    <row r="70" spans="1:9" x14ac:dyDescent="0.25">
      <c r="A70" s="1">
        <v>41760</v>
      </c>
      <c r="B70">
        <v>44148452531.243797</v>
      </c>
      <c r="C70">
        <v>9790772980.9400005</v>
      </c>
      <c r="D70">
        <v>4.5091896847357198</v>
      </c>
      <c r="E70">
        <v>50.283362429238302</v>
      </c>
      <c r="F70">
        <v>5891085520.0516901</v>
      </c>
      <c r="G70">
        <v>1301554458.27</v>
      </c>
      <c r="H70">
        <v>4.52619211022642</v>
      </c>
      <c r="I70">
        <v>38.780647568593103</v>
      </c>
    </row>
    <row r="71" spans="1:9" x14ac:dyDescent="0.25">
      <c r="A71" s="1">
        <v>41791</v>
      </c>
      <c r="B71">
        <v>46285013539.459198</v>
      </c>
      <c r="C71">
        <v>10221724675.32</v>
      </c>
      <c r="D71">
        <v>4.5281021559123804</v>
      </c>
      <c r="E71">
        <v>50.213272902860801</v>
      </c>
      <c r="F71">
        <v>5682985829.8119898</v>
      </c>
      <c r="G71">
        <v>1252553907.47</v>
      </c>
      <c r="H71">
        <v>4.5371187586575799</v>
      </c>
      <c r="I71">
        <v>38.709283134315903</v>
      </c>
    </row>
    <row r="72" spans="1:9" x14ac:dyDescent="0.25">
      <c r="A72" s="1">
        <v>41821</v>
      </c>
      <c r="B72">
        <v>51450168358.738197</v>
      </c>
      <c r="C72">
        <v>11498461431.879999</v>
      </c>
      <c r="D72">
        <v>4.4745263236775603</v>
      </c>
      <c r="E72">
        <v>50.2726770777399</v>
      </c>
      <c r="F72">
        <v>6439654431.8104897</v>
      </c>
      <c r="G72">
        <v>1442071084.99</v>
      </c>
      <c r="H72">
        <v>4.4655596376895303</v>
      </c>
      <c r="I72">
        <v>38.346518767750901</v>
      </c>
    </row>
    <row r="73" spans="1:9" x14ac:dyDescent="0.25">
      <c r="A73" s="1">
        <v>41852</v>
      </c>
      <c r="B73">
        <v>57238841935.198997</v>
      </c>
      <c r="C73">
        <v>13157327947.559999</v>
      </c>
      <c r="D73">
        <v>4.3503393822310104</v>
      </c>
      <c r="E73">
        <v>49.6116171180146</v>
      </c>
      <c r="F73">
        <v>8068958286.2454901</v>
      </c>
      <c r="G73">
        <v>1856585456.9000001</v>
      </c>
      <c r="H73">
        <v>4.3461281333736697</v>
      </c>
      <c r="I73">
        <v>39.517131482734399</v>
      </c>
    </row>
    <row r="74" spans="1:9" x14ac:dyDescent="0.25">
      <c r="A74" s="1">
        <v>41883</v>
      </c>
      <c r="B74">
        <v>57259359999.658897</v>
      </c>
      <c r="C74">
        <v>13253680166.1</v>
      </c>
      <c r="D74">
        <v>4.32026118648281</v>
      </c>
      <c r="E74">
        <v>49.928013617931498</v>
      </c>
      <c r="F74">
        <v>7379090780.9474897</v>
      </c>
      <c r="G74">
        <v>1703729227.9300001</v>
      </c>
      <c r="H74">
        <v>4.3311405709186301</v>
      </c>
      <c r="I74">
        <v>39.430729716729402</v>
      </c>
    </row>
    <row r="75" spans="1:9" x14ac:dyDescent="0.25">
      <c r="A75" s="1">
        <v>41913</v>
      </c>
      <c r="B75">
        <v>55765897266.553703</v>
      </c>
      <c r="C75">
        <v>12914099351.379999</v>
      </c>
      <c r="D75">
        <v>4.31821807694197</v>
      </c>
      <c r="E75">
        <v>52.549990670815198</v>
      </c>
      <c r="F75">
        <v>7025987114.2009897</v>
      </c>
      <c r="G75">
        <v>1621392310.78</v>
      </c>
      <c r="H75">
        <v>4.3333048192519303</v>
      </c>
      <c r="I75">
        <v>40.178983687273302</v>
      </c>
    </row>
    <row r="76" spans="1:9" x14ac:dyDescent="0.25">
      <c r="A76" s="1">
        <v>41944</v>
      </c>
      <c r="B76">
        <v>54576178123.3508</v>
      </c>
      <c r="C76">
        <v>12673114755.25</v>
      </c>
      <c r="D76">
        <v>4.3064533997644103</v>
      </c>
      <c r="E76">
        <v>52.310400446434798</v>
      </c>
      <c r="F76">
        <v>7152838342.8264904</v>
      </c>
      <c r="G76">
        <v>1655912334.23</v>
      </c>
      <c r="H76">
        <v>4.3195754962188699</v>
      </c>
      <c r="I76">
        <v>41.1655673346363</v>
      </c>
    </row>
    <row r="77" spans="1:9" x14ac:dyDescent="0.25">
      <c r="A77" s="1">
        <v>41974</v>
      </c>
      <c r="B77">
        <v>54322023573.620102</v>
      </c>
      <c r="C77">
        <v>12638844902.940001</v>
      </c>
      <c r="D77">
        <v>4.2980212187732301</v>
      </c>
      <c r="E77">
        <v>52.113393920261302</v>
      </c>
      <c r="F77">
        <v>7127182333.8284903</v>
      </c>
      <c r="G77">
        <v>1657830077.53</v>
      </c>
      <c r="H77">
        <v>4.2991030446541796</v>
      </c>
      <c r="I77">
        <v>39.218649757893203</v>
      </c>
    </row>
    <row r="78" spans="1:9" x14ac:dyDescent="0.25">
      <c r="A78" s="1">
        <v>42005</v>
      </c>
      <c r="B78">
        <v>54089998184.994301</v>
      </c>
      <c r="C78">
        <v>12971720768.51</v>
      </c>
      <c r="D78">
        <v>4.1698398501070502</v>
      </c>
      <c r="E78">
        <v>43.329362245750801</v>
      </c>
      <c r="F78">
        <v>8653637170.1682396</v>
      </c>
      <c r="G78">
        <v>2075628675.3699999</v>
      </c>
      <c r="H78">
        <v>4.1691643947950601</v>
      </c>
      <c r="I78">
        <v>31.819206576401101</v>
      </c>
    </row>
    <row r="79" spans="1:9" x14ac:dyDescent="0.25">
      <c r="A79" s="1">
        <v>42036</v>
      </c>
      <c r="B79">
        <v>58071984502.863503</v>
      </c>
      <c r="C79">
        <v>14023251862.290001</v>
      </c>
      <c r="D79">
        <v>4.1411211231986202</v>
      </c>
      <c r="E79">
        <v>45.080857754951097</v>
      </c>
      <c r="F79">
        <v>8154414557.6849899</v>
      </c>
      <c r="G79">
        <v>1965948024.54</v>
      </c>
      <c r="H79">
        <v>4.1478281500310699</v>
      </c>
      <c r="I79">
        <v>33.903043018060103</v>
      </c>
    </row>
    <row r="80" spans="1:9" x14ac:dyDescent="0.25">
      <c r="A80" s="1">
        <v>42064</v>
      </c>
      <c r="B80">
        <v>51795305794.0504</v>
      </c>
      <c r="C80">
        <v>12889685223.15</v>
      </c>
      <c r="D80">
        <v>4.0183530394540199</v>
      </c>
      <c r="E80">
        <v>43.587664054836303</v>
      </c>
      <c r="F80">
        <v>8540215609.0709896</v>
      </c>
      <c r="G80">
        <v>2129959894.6500001</v>
      </c>
      <c r="H80">
        <v>4.00956639161243</v>
      </c>
      <c r="I80">
        <v>32.1616921264879</v>
      </c>
    </row>
    <row r="81" spans="1:9" x14ac:dyDescent="0.25">
      <c r="A81" s="1">
        <v>42095</v>
      </c>
      <c r="B81">
        <v>73397697341.893295</v>
      </c>
      <c r="C81">
        <v>19074628597.27</v>
      </c>
      <c r="D81">
        <v>3.8479227507684302</v>
      </c>
      <c r="E81">
        <v>38.887551345975503</v>
      </c>
      <c r="F81">
        <v>13253700777.3972</v>
      </c>
      <c r="G81">
        <v>3423223142.3499999</v>
      </c>
      <c r="H81">
        <v>3.8717022601975999</v>
      </c>
      <c r="I81">
        <v>27.8354090746876</v>
      </c>
    </row>
    <row r="82" spans="1:9" x14ac:dyDescent="0.25">
      <c r="A82" s="1">
        <v>42125</v>
      </c>
      <c r="B82">
        <v>87910372686.985001</v>
      </c>
      <c r="C82">
        <v>22683911081.720001</v>
      </c>
      <c r="D82">
        <v>3.8754504181524601</v>
      </c>
      <c r="E82">
        <v>39.974838553832498</v>
      </c>
      <c r="F82">
        <v>13296924106.4265</v>
      </c>
      <c r="G82">
        <v>3394895902.3299999</v>
      </c>
      <c r="H82">
        <v>3.9167398615376001</v>
      </c>
      <c r="I82">
        <v>29.720322104280601</v>
      </c>
    </row>
    <row r="83" spans="1:9" x14ac:dyDescent="0.25">
      <c r="A83" s="1">
        <v>42156</v>
      </c>
      <c r="B83">
        <v>72898576532.475906</v>
      </c>
      <c r="C83">
        <v>18580017011.900002</v>
      </c>
      <c r="D83">
        <v>3.9234935299459801</v>
      </c>
      <c r="E83">
        <v>43.017465907746001</v>
      </c>
      <c r="F83">
        <v>10840314604.438299</v>
      </c>
      <c r="G83">
        <v>2745557088.5900002</v>
      </c>
      <c r="H83">
        <v>3.9483114918602902</v>
      </c>
      <c r="I83">
        <v>32.328252325499001</v>
      </c>
    </row>
    <row r="84" spans="1:9" x14ac:dyDescent="0.25">
      <c r="A84" s="1">
        <v>42186</v>
      </c>
      <c r="B84">
        <v>73946733554.643707</v>
      </c>
      <c r="C84">
        <v>18990123617.75</v>
      </c>
      <c r="D84">
        <v>3.89395746142094</v>
      </c>
      <c r="E84">
        <v>44.196779739298599</v>
      </c>
      <c r="F84">
        <v>10761873656.729401</v>
      </c>
      <c r="G84">
        <v>2741587957.4299998</v>
      </c>
      <c r="H84">
        <v>3.9254161543727402</v>
      </c>
      <c r="I84">
        <v>33.5225499678671</v>
      </c>
    </row>
    <row r="85" spans="1:9" x14ac:dyDescent="0.25">
      <c r="A85" s="1">
        <v>42217</v>
      </c>
      <c r="B85">
        <v>74458803787.387894</v>
      </c>
      <c r="C85">
        <v>18605423092.880001</v>
      </c>
      <c r="D85">
        <v>4.0019946558421502</v>
      </c>
      <c r="E85">
        <v>46.3061834772491</v>
      </c>
      <c r="F85">
        <v>10373825600.8894</v>
      </c>
      <c r="G85">
        <v>2560223901.0100002</v>
      </c>
      <c r="H85">
        <v>4.0519212389186103</v>
      </c>
      <c r="I85">
        <v>35.189553050304902</v>
      </c>
    </row>
    <row r="86" spans="1:9" x14ac:dyDescent="0.25">
      <c r="A86" s="1">
        <v>42248</v>
      </c>
      <c r="B86">
        <v>69224205105.348907</v>
      </c>
      <c r="C86">
        <v>16617420595.780001</v>
      </c>
      <c r="D86">
        <v>4.1657611484497403</v>
      </c>
      <c r="E86">
        <v>52.434332729654898</v>
      </c>
      <c r="F86">
        <v>8711700921.1789894</v>
      </c>
      <c r="G86">
        <v>2072567715</v>
      </c>
      <c r="H86">
        <v>4.2033371735596097</v>
      </c>
      <c r="I86">
        <v>64.103192015610404</v>
      </c>
    </row>
    <row r="87" spans="1:9" x14ac:dyDescent="0.25">
      <c r="A87" s="1">
        <v>42278</v>
      </c>
      <c r="B87">
        <v>64398748033.511902</v>
      </c>
      <c r="C87">
        <v>15347064600.9</v>
      </c>
      <c r="D87">
        <v>4.1961606149579502</v>
      </c>
      <c r="E87">
        <v>52.282058518095702</v>
      </c>
      <c r="F87">
        <v>8190846555.7459898</v>
      </c>
      <c r="G87">
        <v>1949327575.1199999</v>
      </c>
      <c r="H87">
        <v>4.2018830802420499</v>
      </c>
      <c r="I87">
        <v>62.735415112553198</v>
      </c>
    </row>
    <row r="88" spans="1:9" x14ac:dyDescent="0.25">
      <c r="A88" s="1">
        <v>42309</v>
      </c>
      <c r="B88">
        <v>61449240521.792603</v>
      </c>
      <c r="C88">
        <v>14847759990.709999</v>
      </c>
      <c r="D88">
        <v>4.1386202740507896</v>
      </c>
      <c r="E88">
        <v>52.229476944095303</v>
      </c>
      <c r="F88">
        <v>7710527787.1332397</v>
      </c>
      <c r="G88">
        <v>1869173086.6099999</v>
      </c>
      <c r="H88">
        <v>4.1251010098360297</v>
      </c>
      <c r="I88">
        <v>61.779832635408098</v>
      </c>
    </row>
    <row r="89" spans="1:9" x14ac:dyDescent="0.25">
      <c r="A89" s="1">
        <v>42339</v>
      </c>
      <c r="B89">
        <v>59363485442.619598</v>
      </c>
      <c r="C89">
        <v>14507517490.139999</v>
      </c>
      <c r="D89">
        <v>4.0919120368433699</v>
      </c>
      <c r="E89">
        <v>52.911199997015601</v>
      </c>
      <c r="F89">
        <v>7530041646.07199</v>
      </c>
      <c r="G89">
        <v>1846310650.8199999</v>
      </c>
      <c r="H89">
        <v>4.0784261536527904</v>
      </c>
      <c r="I89">
        <v>64.666592187492</v>
      </c>
    </row>
    <row r="90" spans="1:9" x14ac:dyDescent="0.25">
      <c r="A90" s="1">
        <v>42370</v>
      </c>
      <c r="B90">
        <v>50446716555.213501</v>
      </c>
      <c r="C90">
        <v>12508514592.17</v>
      </c>
      <c r="D90">
        <v>4.0329901830863104</v>
      </c>
      <c r="E90">
        <v>50.724934067964803</v>
      </c>
      <c r="F90">
        <v>6793399444.6839895</v>
      </c>
      <c r="G90">
        <v>1683949293.45</v>
      </c>
      <c r="H90">
        <v>4.0342066540293402</v>
      </c>
      <c r="I90">
        <v>64.252280045398194</v>
      </c>
    </row>
    <row r="91" spans="1:9" x14ac:dyDescent="0.25">
      <c r="A91" s="1">
        <v>42401</v>
      </c>
      <c r="B91">
        <v>56347607263.678902</v>
      </c>
      <c r="C91">
        <v>13733840802.15</v>
      </c>
      <c r="D91">
        <v>4.1028295052654098</v>
      </c>
      <c r="E91">
        <v>52.478468338909302</v>
      </c>
      <c r="F91">
        <v>6549464417.7919903</v>
      </c>
      <c r="G91">
        <v>1590240254.1600001</v>
      </c>
      <c r="H91">
        <v>4.1185376867796402</v>
      </c>
      <c r="I91">
        <v>65.232221830873598</v>
      </c>
    </row>
    <row r="92" spans="1:9" x14ac:dyDescent="0.25">
      <c r="A92" s="1">
        <v>42430</v>
      </c>
      <c r="B92">
        <v>47611859508.9403</v>
      </c>
      <c r="C92">
        <v>11465172355.9</v>
      </c>
      <c r="D92">
        <v>4.1527382259054502</v>
      </c>
      <c r="E92">
        <v>53.628618946630198</v>
      </c>
      <c r="F92">
        <v>5043036535.2617397</v>
      </c>
      <c r="G92">
        <v>1210017257.97</v>
      </c>
      <c r="H92">
        <v>4.1677393459017704</v>
      </c>
      <c r="I92">
        <v>68.243172275210796</v>
      </c>
    </row>
    <row r="93" spans="1:9" x14ac:dyDescent="0.25">
      <c r="A93" s="1">
        <v>42461</v>
      </c>
      <c r="B93">
        <v>51414014561.198502</v>
      </c>
      <c r="C93">
        <v>12723288423.870001</v>
      </c>
      <c r="D93">
        <v>4.0409375979201503</v>
      </c>
      <c r="E93">
        <v>52.443292430108201</v>
      </c>
      <c r="F93">
        <v>6845284250.9402103</v>
      </c>
      <c r="G93">
        <v>1696974546.3800001</v>
      </c>
      <c r="H93">
        <v>4.0338166919136302</v>
      </c>
      <c r="I93">
        <v>63.8161685103141</v>
      </c>
    </row>
    <row r="94" spans="1:9" x14ac:dyDescent="0.25">
      <c r="A94" s="1">
        <v>42491</v>
      </c>
      <c r="B94">
        <v>76946869422.150497</v>
      </c>
      <c r="C94">
        <v>19898308935.549999</v>
      </c>
      <c r="D94">
        <v>3.8670054662121802</v>
      </c>
      <c r="E94">
        <v>49.223638455877698</v>
      </c>
      <c r="F94">
        <v>12725805303.5119</v>
      </c>
      <c r="G94">
        <v>3264736753</v>
      </c>
      <c r="H94">
        <v>3.8979575586969202</v>
      </c>
      <c r="I94">
        <v>60.408291520372998</v>
      </c>
    </row>
    <row r="95" spans="1:9" x14ac:dyDescent="0.25">
      <c r="A95" s="1">
        <v>42522</v>
      </c>
      <c r="B95">
        <v>72579488349.613007</v>
      </c>
      <c r="C95">
        <v>18767659517.98</v>
      </c>
      <c r="D95">
        <v>3.86726369796295</v>
      </c>
      <c r="E95">
        <v>50.588429846076103</v>
      </c>
      <c r="F95">
        <v>10828490092.5159</v>
      </c>
      <c r="G95">
        <v>2765873415</v>
      </c>
      <c r="H95">
        <v>3.91503459044455</v>
      </c>
      <c r="I95">
        <v>64.958354231117198</v>
      </c>
    </row>
    <row r="96" spans="1:9" x14ac:dyDescent="0.25">
      <c r="A96" s="1">
        <v>42552</v>
      </c>
      <c r="B96">
        <v>78758063924.252899</v>
      </c>
      <c r="C96">
        <v>20586951099.689999</v>
      </c>
      <c r="D96">
        <v>3.8256303006149799</v>
      </c>
      <c r="E96">
        <v>51.590624427133697</v>
      </c>
      <c r="F96">
        <v>12339087222.055401</v>
      </c>
      <c r="G96">
        <v>3178375857.0700002</v>
      </c>
      <c r="H96">
        <v>3.8821988892875399</v>
      </c>
      <c r="I96">
        <v>62.931847210918001</v>
      </c>
    </row>
    <row r="97" spans="1:9" x14ac:dyDescent="0.25">
      <c r="A97" s="1">
        <v>42583</v>
      </c>
      <c r="B97">
        <v>84445310103.2332</v>
      </c>
      <c r="C97">
        <v>22209487659.560001</v>
      </c>
      <c r="D97">
        <v>3.8022178358033401</v>
      </c>
      <c r="E97">
        <v>51.582868011820899</v>
      </c>
      <c r="F97">
        <v>12777822599.7351</v>
      </c>
      <c r="G97">
        <v>3306647646.4000001</v>
      </c>
      <c r="H97">
        <v>3.8642830945857201</v>
      </c>
      <c r="I97">
        <v>63.905665400291497</v>
      </c>
    </row>
    <row r="98" spans="1:9" x14ac:dyDescent="0.25">
      <c r="A98" s="1">
        <v>42614</v>
      </c>
      <c r="B98">
        <v>82410123756.925797</v>
      </c>
      <c r="C98">
        <v>22114346252.610001</v>
      </c>
      <c r="D98">
        <v>3.7265457823425101</v>
      </c>
      <c r="E98">
        <v>49.3714279142782</v>
      </c>
      <c r="F98">
        <v>13806628442.814699</v>
      </c>
      <c r="G98">
        <v>3650387612.4099998</v>
      </c>
      <c r="H98">
        <v>3.7822362742732398</v>
      </c>
      <c r="I98">
        <v>61.546327802069499</v>
      </c>
    </row>
    <row r="99" spans="1:9" x14ac:dyDescent="0.25">
      <c r="A99" s="1">
        <v>42644</v>
      </c>
      <c r="B99">
        <v>108017664458.588</v>
      </c>
      <c r="C99">
        <v>29810999282.27</v>
      </c>
      <c r="D99">
        <v>3.6234164254544501</v>
      </c>
      <c r="E99">
        <v>46.161999973620503</v>
      </c>
      <c r="F99">
        <v>18282421793.448101</v>
      </c>
      <c r="G99">
        <v>4931432024.3599997</v>
      </c>
      <c r="H99">
        <v>3.7073251143152199</v>
      </c>
      <c r="I99">
        <v>57.867983191765703</v>
      </c>
    </row>
    <row r="100" spans="1:9" x14ac:dyDescent="0.25">
      <c r="A100" s="1">
        <v>42675</v>
      </c>
      <c r="B100">
        <v>97788650275.046204</v>
      </c>
      <c r="C100">
        <v>27044709788.450001</v>
      </c>
      <c r="D100">
        <v>3.6158143696113498</v>
      </c>
      <c r="E100">
        <v>46.821083350191202</v>
      </c>
      <c r="F100">
        <v>15507195720.545799</v>
      </c>
      <c r="G100">
        <v>4194249920.25</v>
      </c>
      <c r="H100">
        <v>3.69725124048438</v>
      </c>
      <c r="I100">
        <v>57.430493241540603</v>
      </c>
    </row>
    <row r="101" spans="1:9" x14ac:dyDescent="0.25">
      <c r="A101" s="1">
        <v>42705</v>
      </c>
      <c r="B101">
        <v>188481446869.20901</v>
      </c>
      <c r="C101">
        <v>51979502933.220001</v>
      </c>
      <c r="D101">
        <v>3.6260725138399001</v>
      </c>
      <c r="E101">
        <v>47.0392341168793</v>
      </c>
      <c r="F101">
        <v>30853276287.650902</v>
      </c>
      <c r="G101">
        <v>8330101238.5200005</v>
      </c>
      <c r="H101">
        <v>3.7038296899657599</v>
      </c>
      <c r="I101">
        <v>58.072796045507303</v>
      </c>
    </row>
    <row r="102" spans="1:9" x14ac:dyDescent="0.25">
      <c r="A102" s="1">
        <v>42736</v>
      </c>
      <c r="B102">
        <v>145702236768.02499</v>
      </c>
      <c r="C102">
        <v>39663540251.860001</v>
      </c>
      <c r="D102">
        <v>3.6734551641842601</v>
      </c>
      <c r="E102">
        <v>48.137932507555497</v>
      </c>
      <c r="F102">
        <v>20154542623.117802</v>
      </c>
      <c r="G102">
        <v>5374271211.8199997</v>
      </c>
      <c r="H102">
        <v>3.7501908312313299</v>
      </c>
      <c r="I102">
        <v>62.267249485195499</v>
      </c>
    </row>
    <row r="103" spans="1:9" x14ac:dyDescent="0.25">
      <c r="A103" s="1">
        <v>42767</v>
      </c>
      <c r="B103">
        <v>70437952211.240005</v>
      </c>
      <c r="C103">
        <v>18063245064.34</v>
      </c>
      <c r="D103">
        <v>3.89951816300698</v>
      </c>
      <c r="E103">
        <v>53.2774838355041</v>
      </c>
      <c r="F103">
        <v>7254487462.0599899</v>
      </c>
      <c r="G103">
        <v>1812632297</v>
      </c>
      <c r="H103">
        <v>4.0021837159508502</v>
      </c>
      <c r="I103">
        <v>68.020942349456504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topLeftCell="A49" workbookViewId="0">
      <selection activeCell="T90" sqref="T90:T103"/>
    </sheetView>
  </sheetViews>
  <sheetFormatPr defaultRowHeight="15" x14ac:dyDescent="0.25"/>
  <cols>
    <col min="15" max="15" width="9.140625" customWidth="1"/>
  </cols>
  <sheetData>
    <row r="1" spans="1:20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19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20</v>
      </c>
    </row>
    <row r="2" spans="1:20" x14ac:dyDescent="0.25">
      <c r="B2" s="1">
        <v>39692</v>
      </c>
      <c r="C2">
        <v>48641121209.035004</v>
      </c>
      <c r="D2">
        <v>7677417249.3299999</v>
      </c>
      <c r="E2">
        <v>6.3356099622278403</v>
      </c>
      <c r="F2">
        <v>780986376.99999905</v>
      </c>
      <c r="G2">
        <v>122256246</v>
      </c>
      <c r="H2">
        <v>6.3881102401917298</v>
      </c>
      <c r="I2">
        <v>5.25002779638961E-2</v>
      </c>
      <c r="L2" s="1">
        <v>39692</v>
      </c>
      <c r="M2">
        <v>6380428386.2499905</v>
      </c>
      <c r="N2">
        <v>1018329450</v>
      </c>
      <c r="O2">
        <v>6.2655836834042198</v>
      </c>
      <c r="P2">
        <v>780986376.99999905</v>
      </c>
      <c r="Q2">
        <v>122256246</v>
      </c>
      <c r="R2">
        <v>6.3881102401917298</v>
      </c>
      <c r="S2">
        <v>0.122526556787509</v>
      </c>
      <c r="T2" s="3">
        <f>N2/(N2+Q2)</f>
        <v>0.8928127483723941</v>
      </c>
    </row>
    <row r="3" spans="1:20" x14ac:dyDescent="0.25">
      <c r="B3" s="1">
        <v>39722</v>
      </c>
      <c r="C3">
        <v>34056524908.971699</v>
      </c>
      <c r="D3">
        <v>5288288400.1099997</v>
      </c>
      <c r="E3">
        <v>6.4399900936309296</v>
      </c>
      <c r="F3">
        <v>553455374.37499905</v>
      </c>
      <c r="G3">
        <v>84673630</v>
      </c>
      <c r="H3">
        <v>6.5363369253804198</v>
      </c>
      <c r="I3">
        <v>9.63468317494907E-2</v>
      </c>
      <c r="L3" s="1">
        <v>39722</v>
      </c>
      <c r="M3">
        <v>4083956144.24999</v>
      </c>
      <c r="N3">
        <v>642342935</v>
      </c>
      <c r="O3">
        <v>6.3579062237992803</v>
      </c>
      <c r="P3">
        <v>553455374.37499905</v>
      </c>
      <c r="Q3">
        <v>84673630</v>
      </c>
      <c r="R3">
        <v>6.5363369253804198</v>
      </c>
      <c r="S3">
        <v>0.17843070158114199</v>
      </c>
      <c r="T3" s="3">
        <f t="shared" ref="T3:T66" si="0">N3/(N3+Q3)</f>
        <v>0.8835327362864146</v>
      </c>
    </row>
    <row r="4" spans="1:20" x14ac:dyDescent="0.25">
      <c r="B4" s="1">
        <v>39753</v>
      </c>
      <c r="C4">
        <v>41643236969.585602</v>
      </c>
      <c r="D4">
        <v>6791350277.9799995</v>
      </c>
      <c r="E4">
        <v>6.1318052029517602</v>
      </c>
      <c r="F4">
        <v>408403522.12499899</v>
      </c>
      <c r="G4">
        <v>64927324</v>
      </c>
      <c r="H4">
        <v>6.2901640937026704</v>
      </c>
      <c r="I4">
        <v>0.158358890750913</v>
      </c>
      <c r="L4" s="1">
        <v>39753</v>
      </c>
      <c r="M4">
        <v>4689507854.4999905</v>
      </c>
      <c r="N4">
        <v>777650484</v>
      </c>
      <c r="O4">
        <v>6.0303541899422202</v>
      </c>
      <c r="P4">
        <v>408403522.12499899</v>
      </c>
      <c r="Q4">
        <v>64927324</v>
      </c>
      <c r="R4">
        <v>6.2901640937026704</v>
      </c>
      <c r="S4">
        <v>0.25980990376044899</v>
      </c>
      <c r="T4" s="3">
        <f t="shared" si="0"/>
        <v>0.92294204359106502</v>
      </c>
    </row>
    <row r="5" spans="1:20" x14ac:dyDescent="0.25">
      <c r="B5" s="1">
        <v>39783</v>
      </c>
      <c r="C5">
        <v>50971873163.021896</v>
      </c>
      <c r="D5">
        <v>8562590289.6499996</v>
      </c>
      <c r="E5">
        <v>5.9528567219470903</v>
      </c>
      <c r="F5">
        <v>429904416.87499899</v>
      </c>
      <c r="G5">
        <v>70095796</v>
      </c>
      <c r="H5">
        <v>6.1330984368163799</v>
      </c>
      <c r="I5">
        <v>0.180241714869284</v>
      </c>
      <c r="L5" s="1">
        <v>39783</v>
      </c>
      <c r="M5">
        <v>6173274329.3749905</v>
      </c>
      <c r="N5">
        <v>1051176329</v>
      </c>
      <c r="O5">
        <v>5.8727295878587</v>
      </c>
      <c r="P5">
        <v>429904416.87499899</v>
      </c>
      <c r="Q5">
        <v>70095796</v>
      </c>
      <c r="R5">
        <v>6.1330984368163799</v>
      </c>
      <c r="S5">
        <v>0.26036884895767298</v>
      </c>
      <c r="T5" s="3">
        <f t="shared" si="0"/>
        <v>0.93748547347504962</v>
      </c>
    </row>
    <row r="6" spans="1:20" x14ac:dyDescent="0.25">
      <c r="B6" s="1">
        <v>39814</v>
      </c>
      <c r="C6">
        <v>27957468583.8801</v>
      </c>
      <c r="D6">
        <v>4599515510.1099997</v>
      </c>
      <c r="E6">
        <v>6.0783507572543201</v>
      </c>
      <c r="F6">
        <v>246765103.87499899</v>
      </c>
      <c r="G6">
        <v>39395933</v>
      </c>
      <c r="H6">
        <v>6.2637202646019299</v>
      </c>
      <c r="I6">
        <v>0.18536950734760299</v>
      </c>
      <c r="L6" s="1">
        <v>39814</v>
      </c>
      <c r="M6">
        <v>3231735222.12499</v>
      </c>
      <c r="N6">
        <v>540645825</v>
      </c>
      <c r="O6">
        <v>5.9775458769611296</v>
      </c>
      <c r="P6">
        <v>246765103.87499899</v>
      </c>
      <c r="Q6">
        <v>39395933</v>
      </c>
      <c r="R6">
        <v>6.2637202646019299</v>
      </c>
      <c r="S6">
        <v>0.286174387640799</v>
      </c>
      <c r="T6" s="3">
        <f t="shared" si="0"/>
        <v>0.93208086752954089</v>
      </c>
    </row>
    <row r="7" spans="1:20" x14ac:dyDescent="0.25">
      <c r="B7" s="1">
        <v>39845</v>
      </c>
      <c r="C7">
        <v>76418419719.308105</v>
      </c>
      <c r="D7">
        <v>14204273537.43</v>
      </c>
      <c r="E7">
        <v>5.3799597366198402</v>
      </c>
      <c r="F7">
        <v>197554634.62499899</v>
      </c>
      <c r="G7">
        <v>33663095</v>
      </c>
      <c r="H7">
        <v>5.8685820369458002</v>
      </c>
      <c r="I7">
        <v>0.488622300325954</v>
      </c>
      <c r="L7" s="1">
        <v>39845</v>
      </c>
      <c r="M7">
        <v>10479408388.624901</v>
      </c>
      <c r="N7">
        <v>1952229095</v>
      </c>
      <c r="O7">
        <v>5.3679193776307201</v>
      </c>
      <c r="P7">
        <v>197554634.62499899</v>
      </c>
      <c r="Q7">
        <v>33663095</v>
      </c>
      <c r="R7">
        <v>5.8685820369458002</v>
      </c>
      <c r="S7">
        <v>0.50066265931507203</v>
      </c>
      <c r="T7" s="3">
        <f t="shared" si="0"/>
        <v>0.98304888091634013</v>
      </c>
    </row>
    <row r="8" spans="1:20" x14ac:dyDescent="0.25">
      <c r="B8" s="1">
        <v>39873</v>
      </c>
      <c r="C8">
        <v>159523308826.05099</v>
      </c>
      <c r="D8">
        <v>32294619246.900002</v>
      </c>
      <c r="E8">
        <v>4.9396250070780603</v>
      </c>
      <c r="F8">
        <v>138065278.37499899</v>
      </c>
      <c r="G8">
        <v>26186719</v>
      </c>
      <c r="H8">
        <v>5.27233970681855</v>
      </c>
      <c r="I8">
        <v>0.332714699740493</v>
      </c>
      <c r="L8" s="1">
        <v>39873</v>
      </c>
      <c r="M8">
        <v>20761516749.642399</v>
      </c>
      <c r="N8">
        <v>4188045456.1799998</v>
      </c>
      <c r="O8">
        <v>4.9573284165304798</v>
      </c>
      <c r="P8">
        <v>138065278.37499899</v>
      </c>
      <c r="Q8">
        <v>26186719</v>
      </c>
      <c r="R8">
        <v>5.27233970681855</v>
      </c>
      <c r="S8">
        <v>0.31501129028807201</v>
      </c>
      <c r="T8" s="3">
        <f t="shared" si="0"/>
        <v>0.99378612332888816</v>
      </c>
    </row>
    <row r="9" spans="1:20" x14ac:dyDescent="0.25">
      <c r="B9" s="1">
        <v>39904</v>
      </c>
      <c r="C9">
        <v>200832365543.76801</v>
      </c>
      <c r="D9">
        <v>41267043134.57</v>
      </c>
      <c r="E9">
        <v>4.8666526673322101</v>
      </c>
      <c r="F9">
        <v>363549087.74999899</v>
      </c>
      <c r="G9">
        <v>73465177</v>
      </c>
      <c r="H9">
        <v>4.94859064655898</v>
      </c>
      <c r="I9">
        <v>8.1937979226766003E-2</v>
      </c>
      <c r="L9" s="1">
        <v>39904</v>
      </c>
      <c r="M9">
        <v>29083980569.209301</v>
      </c>
      <c r="N9">
        <v>5971246687.2200003</v>
      </c>
      <c r="O9">
        <v>4.87067141798991</v>
      </c>
      <c r="P9">
        <v>363549087.74999899</v>
      </c>
      <c r="Q9">
        <v>73465177</v>
      </c>
      <c r="R9">
        <v>4.94859064655898</v>
      </c>
      <c r="S9">
        <v>7.7919228569069507E-2</v>
      </c>
      <c r="T9" s="3">
        <f t="shared" si="0"/>
        <v>0.98784637239123729</v>
      </c>
    </row>
    <row r="10" spans="1:20" x14ac:dyDescent="0.25">
      <c r="B10" s="1">
        <v>39934</v>
      </c>
      <c r="C10">
        <v>217796649305.022</v>
      </c>
      <c r="D10">
        <v>44518678262.93</v>
      </c>
      <c r="E10">
        <v>4.8922532699354297</v>
      </c>
      <c r="F10">
        <v>394842565.49999899</v>
      </c>
      <c r="G10">
        <v>78967446</v>
      </c>
      <c r="H10">
        <v>5.0000675658169298</v>
      </c>
      <c r="I10">
        <v>0.107814295881501</v>
      </c>
      <c r="L10" s="1">
        <v>39934</v>
      </c>
      <c r="M10">
        <v>33201587312.8517</v>
      </c>
      <c r="N10">
        <v>6815068750.54</v>
      </c>
      <c r="O10">
        <v>4.8717905171860396</v>
      </c>
      <c r="P10">
        <v>394842565.49999899</v>
      </c>
      <c r="Q10">
        <v>78967446</v>
      </c>
      <c r="R10">
        <v>5.0000675658169298</v>
      </c>
      <c r="S10">
        <v>0.12827704863088199</v>
      </c>
      <c r="T10" s="3">
        <f t="shared" si="0"/>
        <v>0.98854554229935254</v>
      </c>
    </row>
    <row r="11" spans="1:20" x14ac:dyDescent="0.25">
      <c r="B11" s="1">
        <v>39965</v>
      </c>
      <c r="C11">
        <v>227289797459.634</v>
      </c>
      <c r="D11">
        <v>47197484807.910004</v>
      </c>
      <c r="E11">
        <v>4.8157184304351297</v>
      </c>
      <c r="F11">
        <v>382609438.24999899</v>
      </c>
      <c r="G11">
        <v>73681868</v>
      </c>
      <c r="H11">
        <v>5.1927217460067601</v>
      </c>
      <c r="I11">
        <v>0.37700331557163003</v>
      </c>
      <c r="L11" s="1">
        <v>39965</v>
      </c>
      <c r="M11">
        <v>35340216725.0886</v>
      </c>
      <c r="N11">
        <v>7334340419.9899998</v>
      </c>
      <c r="O11">
        <v>4.8184587435794102</v>
      </c>
      <c r="P11">
        <v>382609438.24999899</v>
      </c>
      <c r="Q11">
        <v>73681868</v>
      </c>
      <c r="R11">
        <v>5.1927217460067601</v>
      </c>
      <c r="S11">
        <v>0.374263002427354</v>
      </c>
      <c r="T11" s="3">
        <f t="shared" si="0"/>
        <v>0.99005377344511314</v>
      </c>
    </row>
    <row r="12" spans="1:20" x14ac:dyDescent="0.25">
      <c r="B12" s="1">
        <v>39995</v>
      </c>
      <c r="C12">
        <v>248887838111.61401</v>
      </c>
      <c r="D12">
        <v>52017632247.269997</v>
      </c>
      <c r="E12">
        <v>4.7846821810055902</v>
      </c>
      <c r="F12">
        <v>585205033.48299897</v>
      </c>
      <c r="G12">
        <v>116869339.88</v>
      </c>
      <c r="H12">
        <v>5.0073443906150299</v>
      </c>
      <c r="I12">
        <v>0.222662209609443</v>
      </c>
      <c r="L12" s="1">
        <v>39995</v>
      </c>
      <c r="M12">
        <v>38346177394.822403</v>
      </c>
      <c r="N12">
        <v>8022279725.3900003</v>
      </c>
      <c r="O12">
        <v>4.7799601494147899</v>
      </c>
      <c r="P12">
        <v>585205033.48299897</v>
      </c>
      <c r="Q12">
        <v>116869339.88</v>
      </c>
      <c r="R12">
        <v>5.0073443906150299</v>
      </c>
      <c r="S12">
        <v>0.22738424120023501</v>
      </c>
      <c r="T12" s="3">
        <f t="shared" si="0"/>
        <v>0.98564108619429458</v>
      </c>
    </row>
    <row r="13" spans="1:20" x14ac:dyDescent="0.25">
      <c r="B13" s="1">
        <v>40026</v>
      </c>
      <c r="C13">
        <v>216292908422.23001</v>
      </c>
      <c r="D13">
        <v>44526993490.589996</v>
      </c>
      <c r="E13">
        <v>4.8575682179831103</v>
      </c>
      <c r="F13">
        <v>1809268060.34624</v>
      </c>
      <c r="G13">
        <v>360521177.94999999</v>
      </c>
      <c r="H13">
        <v>5.0184792766797504</v>
      </c>
      <c r="I13">
        <v>0.16091105869664399</v>
      </c>
      <c r="L13" s="1">
        <v>40026</v>
      </c>
      <c r="M13">
        <v>34983036791.659897</v>
      </c>
      <c r="N13">
        <v>7212680597.3400002</v>
      </c>
      <c r="O13">
        <v>4.8502129436539203</v>
      </c>
      <c r="P13">
        <v>1809268060.34624</v>
      </c>
      <c r="Q13">
        <v>360521177.94999999</v>
      </c>
      <c r="R13">
        <v>5.0184792766797504</v>
      </c>
      <c r="S13">
        <v>0.16826633302582999</v>
      </c>
      <c r="T13" s="3">
        <f t="shared" si="0"/>
        <v>0.9523951442669446</v>
      </c>
    </row>
    <row r="14" spans="1:20" x14ac:dyDescent="0.25">
      <c r="B14" s="1">
        <v>40057</v>
      </c>
      <c r="C14">
        <v>154689387441.63901</v>
      </c>
      <c r="D14">
        <v>30719244997.400002</v>
      </c>
      <c r="E14">
        <v>5.0355855899040503</v>
      </c>
      <c r="F14">
        <v>3026464048.2315402</v>
      </c>
      <c r="G14">
        <v>601253945.49000001</v>
      </c>
      <c r="H14">
        <v>5.0335870075082703</v>
      </c>
      <c r="I14">
        <v>-1.9985823957849799E-3</v>
      </c>
      <c r="L14" s="1">
        <v>40057</v>
      </c>
      <c r="M14">
        <v>27245030451.082298</v>
      </c>
      <c r="N14">
        <v>5409172713.8699999</v>
      </c>
      <c r="O14">
        <v>5.0368202111982203</v>
      </c>
      <c r="P14">
        <v>3026464048.2315402</v>
      </c>
      <c r="Q14">
        <v>601253945.49000001</v>
      </c>
      <c r="R14">
        <v>5.0335870075082703</v>
      </c>
      <c r="S14">
        <v>-3.2332036899507502E-3</v>
      </c>
      <c r="T14" s="3">
        <f t="shared" si="0"/>
        <v>0.89996484782762121</v>
      </c>
    </row>
    <row r="15" spans="1:20" x14ac:dyDescent="0.25">
      <c r="B15" s="1">
        <v>40087</v>
      </c>
      <c r="C15">
        <v>100145956578.39999</v>
      </c>
      <c r="D15">
        <v>19493674906.09</v>
      </c>
      <c r="E15">
        <v>5.1373564533547098</v>
      </c>
      <c r="F15">
        <v>2543644825.24999</v>
      </c>
      <c r="G15">
        <v>495842866</v>
      </c>
      <c r="H15">
        <v>5.1299413577728004</v>
      </c>
      <c r="I15">
        <v>-7.4150955819111001E-3</v>
      </c>
      <c r="L15" s="1">
        <v>40087</v>
      </c>
      <c r="M15">
        <v>15038563982.5474</v>
      </c>
      <c r="N15">
        <v>2936048223.02</v>
      </c>
      <c r="O15">
        <v>5.1220425688645301</v>
      </c>
      <c r="P15">
        <v>2543644825.24999</v>
      </c>
      <c r="Q15">
        <v>495842866</v>
      </c>
      <c r="R15">
        <v>5.1299413577728004</v>
      </c>
      <c r="S15">
        <v>7.8987889082767493E-3</v>
      </c>
      <c r="T15" s="3">
        <f t="shared" si="0"/>
        <v>0.85551905548914398</v>
      </c>
    </row>
    <row r="16" spans="1:20" x14ac:dyDescent="0.25">
      <c r="B16" s="1">
        <v>40118</v>
      </c>
      <c r="C16">
        <v>89037726576.207397</v>
      </c>
      <c r="D16">
        <v>17344476188.360001</v>
      </c>
      <c r="E16">
        <v>5.1334918166027501</v>
      </c>
      <c r="F16">
        <v>1863066094.12499</v>
      </c>
      <c r="G16">
        <v>358058886</v>
      </c>
      <c r="H16">
        <v>5.2032393747798196</v>
      </c>
      <c r="I16">
        <v>6.9747558177063795E-2</v>
      </c>
      <c r="L16" s="1">
        <v>40118</v>
      </c>
      <c r="M16">
        <v>13372406277.364901</v>
      </c>
      <c r="N16">
        <v>2615274771.9200001</v>
      </c>
      <c r="O16">
        <v>5.1131936196316596</v>
      </c>
      <c r="P16">
        <v>1863066094.12499</v>
      </c>
      <c r="Q16">
        <v>358058886</v>
      </c>
      <c r="R16">
        <v>5.2032393747798196</v>
      </c>
      <c r="S16">
        <v>9.0045755148158907E-2</v>
      </c>
      <c r="T16" s="3">
        <f t="shared" si="0"/>
        <v>0.87957662099366252</v>
      </c>
    </row>
    <row r="17" spans="2:20" x14ac:dyDescent="0.25">
      <c r="B17" s="1">
        <v>40148</v>
      </c>
      <c r="C17">
        <v>101633534054.763</v>
      </c>
      <c r="D17">
        <v>20221309257.549999</v>
      </c>
      <c r="E17">
        <v>5.0260610111987196</v>
      </c>
      <c r="F17">
        <v>1706929740.74999</v>
      </c>
      <c r="G17">
        <v>331950365</v>
      </c>
      <c r="H17">
        <v>5.1421234037504302</v>
      </c>
      <c r="I17">
        <v>0.11606239255171499</v>
      </c>
      <c r="L17" s="1">
        <v>40148</v>
      </c>
      <c r="M17">
        <v>16300337073.7295</v>
      </c>
      <c r="N17">
        <v>3249111876.3800001</v>
      </c>
      <c r="O17">
        <v>5.0168592815248401</v>
      </c>
      <c r="P17">
        <v>1706929740.74999</v>
      </c>
      <c r="Q17">
        <v>331950365</v>
      </c>
      <c r="R17">
        <v>5.1421234037504302</v>
      </c>
      <c r="S17">
        <v>0.12526412222559399</v>
      </c>
      <c r="T17" s="3">
        <f t="shared" si="0"/>
        <v>0.90730393871286652</v>
      </c>
    </row>
    <row r="18" spans="2:20" x14ac:dyDescent="0.25">
      <c r="B18" s="1">
        <v>40179</v>
      </c>
      <c r="C18">
        <v>105247721412.621</v>
      </c>
      <c r="D18">
        <v>21053943180.330002</v>
      </c>
      <c r="E18">
        <v>4.9989553268554001</v>
      </c>
      <c r="F18">
        <v>2006613079.5787399</v>
      </c>
      <c r="G18">
        <v>392999062.79000002</v>
      </c>
      <c r="H18">
        <v>5.1058978750058399</v>
      </c>
      <c r="I18">
        <v>0.106942548150442</v>
      </c>
      <c r="L18" s="1">
        <v>40179</v>
      </c>
      <c r="M18">
        <v>16640082038.1749</v>
      </c>
      <c r="N18">
        <v>3332506533</v>
      </c>
      <c r="O18">
        <v>4.9932631409413002</v>
      </c>
      <c r="P18">
        <v>2006613079.5787399</v>
      </c>
      <c r="Q18">
        <v>392999062.79000002</v>
      </c>
      <c r="R18">
        <v>5.1058978750058399</v>
      </c>
      <c r="S18">
        <v>0.11263473406454</v>
      </c>
      <c r="T18" s="3">
        <f t="shared" si="0"/>
        <v>0.89451121393184652</v>
      </c>
    </row>
    <row r="19" spans="2:20" x14ac:dyDescent="0.25">
      <c r="B19" s="1">
        <v>40210</v>
      </c>
      <c r="C19">
        <v>104766503082.789</v>
      </c>
      <c r="D19">
        <v>21172188208.57</v>
      </c>
      <c r="E19">
        <v>4.9483077540554996</v>
      </c>
      <c r="F19">
        <v>2277800395.0935898</v>
      </c>
      <c r="G19">
        <v>450014488.56</v>
      </c>
      <c r="H19">
        <v>5.0616156879355696</v>
      </c>
      <c r="I19">
        <v>0.11330793388007</v>
      </c>
      <c r="L19" s="1">
        <v>40210</v>
      </c>
      <c r="M19">
        <v>17288865172.276199</v>
      </c>
      <c r="N19">
        <v>3490117019.0700002</v>
      </c>
      <c r="O19">
        <v>4.9536634668149704</v>
      </c>
      <c r="P19">
        <v>2277800395.0935898</v>
      </c>
      <c r="Q19">
        <v>450014488.56</v>
      </c>
      <c r="R19">
        <v>5.0616156879355696</v>
      </c>
      <c r="S19">
        <v>0.10795222112059701</v>
      </c>
      <c r="T19" s="3">
        <f t="shared" si="0"/>
        <v>0.88578693688559529</v>
      </c>
    </row>
    <row r="20" spans="2:20" x14ac:dyDescent="0.25">
      <c r="B20" s="1">
        <v>40238</v>
      </c>
      <c r="C20">
        <v>84075461911.699005</v>
      </c>
      <c r="D20">
        <v>16839713996.17</v>
      </c>
      <c r="E20">
        <v>4.9926894204272703</v>
      </c>
      <c r="F20">
        <v>1925891408.5699899</v>
      </c>
      <c r="G20">
        <v>382234984.38</v>
      </c>
      <c r="H20">
        <v>5.0385011505262103</v>
      </c>
      <c r="I20">
        <v>4.5811730098940899E-2</v>
      </c>
      <c r="L20" s="1">
        <v>40238</v>
      </c>
      <c r="M20">
        <v>13248765445.144899</v>
      </c>
      <c r="N20">
        <v>2650809884.6500001</v>
      </c>
      <c r="O20">
        <v>4.9980066551978704</v>
      </c>
      <c r="P20">
        <v>1925891408.5699899</v>
      </c>
      <c r="Q20">
        <v>382234984.38</v>
      </c>
      <c r="R20">
        <v>5.0385011505262103</v>
      </c>
      <c r="S20">
        <v>4.0494495328344697E-2</v>
      </c>
      <c r="T20" s="3">
        <f t="shared" si="0"/>
        <v>0.87397648208803358</v>
      </c>
    </row>
    <row r="21" spans="2:20" x14ac:dyDescent="0.25">
      <c r="B21" s="1">
        <v>40269</v>
      </c>
      <c r="C21">
        <v>66147803969.188301</v>
      </c>
      <c r="D21">
        <v>13064542636.780001</v>
      </c>
      <c r="E21">
        <v>5.0631549690048399</v>
      </c>
      <c r="F21">
        <v>1457881471.75124</v>
      </c>
      <c r="G21">
        <v>284226664.58999997</v>
      </c>
      <c r="H21">
        <v>5.1292917005315397</v>
      </c>
      <c r="I21">
        <v>6.6136731526698397E-2</v>
      </c>
      <c r="L21" s="1">
        <v>40269</v>
      </c>
      <c r="M21">
        <v>10686996097.6929</v>
      </c>
      <c r="N21">
        <v>2113958864.4000001</v>
      </c>
      <c r="O21">
        <v>5.0554418431061796</v>
      </c>
      <c r="P21">
        <v>1457881471.75124</v>
      </c>
      <c r="Q21">
        <v>284226664.58999997</v>
      </c>
      <c r="R21">
        <v>5.1292917005315397</v>
      </c>
      <c r="S21">
        <v>7.3849857425356394E-2</v>
      </c>
      <c r="T21" s="3">
        <f t="shared" si="0"/>
        <v>0.88148262044192105</v>
      </c>
    </row>
    <row r="22" spans="2:20" x14ac:dyDescent="0.25">
      <c r="B22" s="1">
        <v>40299</v>
      </c>
      <c r="C22">
        <v>79887475408.847595</v>
      </c>
      <c r="D22">
        <v>15785372424.370001</v>
      </c>
      <c r="E22">
        <v>5.0608546482891104</v>
      </c>
      <c r="F22">
        <v>1578133219.7611599</v>
      </c>
      <c r="G22">
        <v>307844255.27999997</v>
      </c>
      <c r="H22">
        <v>5.1264013951658001</v>
      </c>
      <c r="I22">
        <v>6.5546746876693707E-2</v>
      </c>
      <c r="L22" s="1">
        <v>40299</v>
      </c>
      <c r="M22">
        <v>11800885848.6059</v>
      </c>
      <c r="N22">
        <v>2334074665.98</v>
      </c>
      <c r="O22">
        <v>5.05591617123833</v>
      </c>
      <c r="P22">
        <v>1578133219.7611599</v>
      </c>
      <c r="Q22">
        <v>307844255.27999997</v>
      </c>
      <c r="R22">
        <v>5.1264013951658001</v>
      </c>
      <c r="S22">
        <v>7.0485223927468005E-2</v>
      </c>
      <c r="T22" s="3">
        <f t="shared" si="0"/>
        <v>0.88347702391518468</v>
      </c>
    </row>
    <row r="23" spans="2:20" x14ac:dyDescent="0.25">
      <c r="B23" s="1">
        <v>40330</v>
      </c>
      <c r="C23">
        <v>77501744992.183807</v>
      </c>
      <c r="D23">
        <v>15266815620.549999</v>
      </c>
      <c r="E23">
        <v>5.0764839845096503</v>
      </c>
      <c r="F23">
        <v>1613122614.49999</v>
      </c>
      <c r="G23">
        <v>314538441</v>
      </c>
      <c r="H23">
        <v>5.1285388500415401</v>
      </c>
      <c r="I23">
        <v>5.2054865531889802E-2</v>
      </c>
      <c r="L23" s="1">
        <v>40330</v>
      </c>
      <c r="M23">
        <v>11750371913.659901</v>
      </c>
      <c r="N23">
        <v>2319310450</v>
      </c>
      <c r="O23">
        <v>5.0663212911665099</v>
      </c>
      <c r="P23">
        <v>1613122614.49999</v>
      </c>
      <c r="Q23">
        <v>314538441</v>
      </c>
      <c r="R23">
        <v>5.1285388500415401</v>
      </c>
      <c r="S23">
        <v>6.2217558875024899E-2</v>
      </c>
      <c r="T23" s="3">
        <f t="shared" si="0"/>
        <v>0.8805784029316206</v>
      </c>
    </row>
    <row r="24" spans="2:20" x14ac:dyDescent="0.25">
      <c r="B24" s="1">
        <v>40360</v>
      </c>
      <c r="C24">
        <v>73210412110.065399</v>
      </c>
      <c r="D24">
        <v>14345572517.969999</v>
      </c>
      <c r="E24">
        <v>5.1033454411358097</v>
      </c>
      <c r="F24">
        <v>1513533501.79739</v>
      </c>
      <c r="G24">
        <v>294495835.42000002</v>
      </c>
      <c r="H24">
        <v>5.1394054508066196</v>
      </c>
      <c r="I24">
        <v>3.6060009670812403E-2</v>
      </c>
      <c r="L24" s="1">
        <v>40360</v>
      </c>
      <c r="M24">
        <v>10469927080.7899</v>
      </c>
      <c r="N24">
        <v>2064733147</v>
      </c>
      <c r="O24">
        <v>5.0708378930238496</v>
      </c>
      <c r="P24">
        <v>1513533501.79739</v>
      </c>
      <c r="Q24">
        <v>294495835.42000002</v>
      </c>
      <c r="R24">
        <v>5.1394054508066196</v>
      </c>
      <c r="S24">
        <v>6.8567557782771099E-2</v>
      </c>
      <c r="T24" s="3">
        <f t="shared" si="0"/>
        <v>0.87517284773353443</v>
      </c>
    </row>
    <row r="25" spans="2:20" x14ac:dyDescent="0.25">
      <c r="B25" s="1">
        <v>40391</v>
      </c>
      <c r="C25">
        <v>92422401690.483902</v>
      </c>
      <c r="D25">
        <v>18662698306.200001</v>
      </c>
      <c r="E25">
        <v>4.9522528936654302</v>
      </c>
      <c r="F25">
        <v>3271619403.9749899</v>
      </c>
      <c r="G25">
        <v>656428619.25</v>
      </c>
      <c r="H25">
        <v>4.9839682610319</v>
      </c>
      <c r="I25">
        <v>3.1715367366477398E-2</v>
      </c>
      <c r="L25" s="1">
        <v>40391</v>
      </c>
      <c r="M25">
        <v>13202367432.4049</v>
      </c>
      <c r="N25">
        <v>2673395636</v>
      </c>
      <c r="O25">
        <v>4.9384263423720904</v>
      </c>
      <c r="P25">
        <v>3271619403.9749899</v>
      </c>
      <c r="Q25">
        <v>656428619.25</v>
      </c>
      <c r="R25">
        <v>4.9839682610319</v>
      </c>
      <c r="S25">
        <v>4.5541918659814801E-2</v>
      </c>
      <c r="T25" s="3">
        <f t="shared" si="0"/>
        <v>0.80286388441821355</v>
      </c>
    </row>
    <row r="26" spans="2:20" x14ac:dyDescent="0.25">
      <c r="B26" s="1">
        <v>40422</v>
      </c>
      <c r="C26">
        <v>99882274390.731705</v>
      </c>
      <c r="D26">
        <v>20876406577.889999</v>
      </c>
      <c r="E26">
        <v>4.7844572301305899</v>
      </c>
      <c r="F26">
        <v>4291842711.4487901</v>
      </c>
      <c r="G26">
        <v>881136764.67999995</v>
      </c>
      <c r="H26">
        <v>4.8708019952015604</v>
      </c>
      <c r="I26">
        <v>8.6344765070972399E-2</v>
      </c>
      <c r="L26" s="1">
        <v>40422</v>
      </c>
      <c r="M26">
        <v>13501632424.009899</v>
      </c>
      <c r="N26">
        <v>2827824775</v>
      </c>
      <c r="O26">
        <v>4.7745647267023399</v>
      </c>
      <c r="P26">
        <v>4291842711.4487901</v>
      </c>
      <c r="Q26">
        <v>881136764.67999995</v>
      </c>
      <c r="R26">
        <v>4.8708019952015604</v>
      </c>
      <c r="S26">
        <v>9.6237268499222997E-2</v>
      </c>
      <c r="T26" s="3">
        <f t="shared" si="0"/>
        <v>0.76243033117134396</v>
      </c>
    </row>
    <row r="27" spans="2:20" x14ac:dyDescent="0.25">
      <c r="B27" s="1">
        <v>40452</v>
      </c>
      <c r="C27">
        <v>125893845941.976</v>
      </c>
      <c r="D27">
        <v>27220272170.48</v>
      </c>
      <c r="E27">
        <v>4.6250032017867504</v>
      </c>
      <c r="F27">
        <v>5713793223.5218401</v>
      </c>
      <c r="G27">
        <v>1205649292.47</v>
      </c>
      <c r="H27">
        <v>4.7391834915907101</v>
      </c>
      <c r="I27">
        <v>0.114180289803957</v>
      </c>
      <c r="L27" s="1">
        <v>40452</v>
      </c>
      <c r="M27">
        <v>16311329744.9706</v>
      </c>
      <c r="N27">
        <v>3527026436.96</v>
      </c>
      <c r="O27">
        <v>4.6246689772560003</v>
      </c>
      <c r="P27">
        <v>5713793223.5218401</v>
      </c>
      <c r="Q27">
        <v>1205649292.47</v>
      </c>
      <c r="R27">
        <v>4.7391834915907101</v>
      </c>
      <c r="S27">
        <v>0.114514514334708</v>
      </c>
      <c r="T27" s="3">
        <f t="shared" si="0"/>
        <v>0.74524996822142142</v>
      </c>
    </row>
    <row r="28" spans="2:20" x14ac:dyDescent="0.25">
      <c r="B28" s="1">
        <v>40483</v>
      </c>
      <c r="C28">
        <v>131060441606.28999</v>
      </c>
      <c r="D28">
        <v>29076807447.349998</v>
      </c>
      <c r="E28">
        <v>4.5073876093035299</v>
      </c>
      <c r="F28">
        <v>7133615219.0447397</v>
      </c>
      <c r="G28">
        <v>1545154010.4400001</v>
      </c>
      <c r="H28">
        <v>4.6167664652492197</v>
      </c>
      <c r="I28">
        <v>0.10937885594569099</v>
      </c>
      <c r="L28" s="1">
        <v>40483</v>
      </c>
      <c r="M28">
        <v>15453393500.796101</v>
      </c>
      <c r="N28">
        <v>3435589582.6900001</v>
      </c>
      <c r="O28">
        <v>4.4980324712407702</v>
      </c>
      <c r="P28">
        <v>7133615219.0447397</v>
      </c>
      <c r="Q28">
        <v>1545154010.4400001</v>
      </c>
      <c r="R28">
        <v>4.6167664652492197</v>
      </c>
      <c r="S28">
        <v>0.11873399400845799</v>
      </c>
      <c r="T28" s="3">
        <f t="shared" si="0"/>
        <v>0.68977443196006927</v>
      </c>
    </row>
    <row r="29" spans="2:20" x14ac:dyDescent="0.25">
      <c r="B29" s="1">
        <v>40513</v>
      </c>
      <c r="C29">
        <v>136942290476.397</v>
      </c>
      <c r="D29">
        <v>30853906174.490002</v>
      </c>
      <c r="E29">
        <v>4.4384101546798904</v>
      </c>
      <c r="F29">
        <v>8027904569.69135</v>
      </c>
      <c r="G29">
        <v>1766913189.1500001</v>
      </c>
      <c r="H29">
        <v>4.5434629267515403</v>
      </c>
      <c r="I29">
        <v>0.105052772071648</v>
      </c>
      <c r="L29" s="1">
        <v>40513</v>
      </c>
      <c r="M29">
        <v>16973613397.6549</v>
      </c>
      <c r="N29">
        <v>3843149864.3800001</v>
      </c>
      <c r="O29">
        <v>4.4165889951297199</v>
      </c>
      <c r="P29">
        <v>8027904569.69135</v>
      </c>
      <c r="Q29">
        <v>1766913189.1500001</v>
      </c>
      <c r="R29">
        <v>4.5434629267515403</v>
      </c>
      <c r="S29">
        <v>0.12687393162181701</v>
      </c>
      <c r="T29" s="3">
        <f t="shared" si="0"/>
        <v>0.6850457521973462</v>
      </c>
    </row>
    <row r="30" spans="2:20" x14ac:dyDescent="0.25">
      <c r="B30" s="1">
        <v>40544</v>
      </c>
      <c r="C30">
        <v>132786221005.01801</v>
      </c>
      <c r="D30">
        <v>30482583876.490002</v>
      </c>
      <c r="E30">
        <v>4.3561340319129096</v>
      </c>
      <c r="F30">
        <v>9651285084.5851898</v>
      </c>
      <c r="G30">
        <v>2154502892.6199999</v>
      </c>
      <c r="H30">
        <v>4.4795878982778596</v>
      </c>
      <c r="I30">
        <v>0.123453866364944</v>
      </c>
      <c r="L30" s="1">
        <v>40544</v>
      </c>
      <c r="M30">
        <v>17477357320.723801</v>
      </c>
      <c r="N30">
        <v>4025594391.4400001</v>
      </c>
      <c r="O30">
        <v>4.3415594372566799</v>
      </c>
      <c r="P30">
        <v>9651285084.5851898</v>
      </c>
      <c r="Q30">
        <v>2154502892.6199999</v>
      </c>
      <c r="R30">
        <v>4.4795878982778596</v>
      </c>
      <c r="S30">
        <v>0.13802846102117999</v>
      </c>
      <c r="T30" s="3">
        <f t="shared" si="0"/>
        <v>0.65138042435399912</v>
      </c>
    </row>
    <row r="31" spans="2:20" x14ac:dyDescent="0.25">
      <c r="B31" s="1">
        <v>40575</v>
      </c>
      <c r="C31">
        <v>118352589547.321</v>
      </c>
      <c r="D31">
        <v>26724877515.150002</v>
      </c>
      <c r="E31">
        <v>4.4285549851530197</v>
      </c>
      <c r="F31">
        <v>10281180466.998301</v>
      </c>
      <c r="G31">
        <v>2294616289.4099998</v>
      </c>
      <c r="H31">
        <v>4.48056632145755</v>
      </c>
      <c r="I31">
        <v>5.2011336304528102E-2</v>
      </c>
      <c r="L31" s="1">
        <v>40575</v>
      </c>
      <c r="M31">
        <v>15697901066.380699</v>
      </c>
      <c r="N31">
        <v>3560501833.1900001</v>
      </c>
      <c r="O31">
        <v>4.4089012734242399</v>
      </c>
      <c r="P31">
        <v>10281180466.998301</v>
      </c>
      <c r="Q31">
        <v>2294616289.4099998</v>
      </c>
      <c r="R31">
        <v>4.48056632145755</v>
      </c>
      <c r="S31">
        <v>7.1665048033310697E-2</v>
      </c>
      <c r="T31" s="3">
        <f t="shared" si="0"/>
        <v>0.60810076904288612</v>
      </c>
    </row>
    <row r="32" spans="2:20" x14ac:dyDescent="0.25">
      <c r="B32" s="1">
        <v>40603</v>
      </c>
      <c r="C32">
        <v>80787503344.647705</v>
      </c>
      <c r="D32">
        <v>17318568773.810001</v>
      </c>
      <c r="E32">
        <v>4.6647909766549898</v>
      </c>
      <c r="F32">
        <v>7131848511.9902897</v>
      </c>
      <c r="G32">
        <v>1538824064.21</v>
      </c>
      <c r="H32">
        <v>4.63460942538069</v>
      </c>
      <c r="I32">
        <v>-3.0181551274291899E-2</v>
      </c>
      <c r="L32" s="1">
        <v>40603</v>
      </c>
      <c r="M32">
        <v>9502219207.9150391</v>
      </c>
      <c r="N32">
        <v>2056671208.77</v>
      </c>
      <c r="O32">
        <v>4.6201936252114297</v>
      </c>
      <c r="P32">
        <v>7131848511.9902897</v>
      </c>
      <c r="Q32">
        <v>1538824064.21</v>
      </c>
      <c r="R32">
        <v>4.63460942538069</v>
      </c>
      <c r="S32">
        <v>1.4415800169264199E-2</v>
      </c>
      <c r="T32" s="3">
        <f t="shared" si="0"/>
        <v>0.57201332573729136</v>
      </c>
    </row>
    <row r="33" spans="2:20" x14ac:dyDescent="0.25">
      <c r="B33" s="1">
        <v>40634</v>
      </c>
      <c r="C33">
        <v>58575337608.886597</v>
      </c>
      <c r="D33">
        <v>12122675915.870001</v>
      </c>
      <c r="E33">
        <v>4.8318818399000998</v>
      </c>
      <c r="F33">
        <v>3666326393.6307902</v>
      </c>
      <c r="G33">
        <v>767732999.79999995</v>
      </c>
      <c r="H33">
        <v>4.77552273327563</v>
      </c>
      <c r="I33">
        <v>-5.6359106624469198E-2</v>
      </c>
      <c r="L33" s="1">
        <v>40634</v>
      </c>
      <c r="M33">
        <v>6871994701.0107403</v>
      </c>
      <c r="N33">
        <v>1429429949.29</v>
      </c>
      <c r="O33">
        <v>4.80750714956271</v>
      </c>
      <c r="P33">
        <v>3666326393.6307902</v>
      </c>
      <c r="Q33">
        <v>767732999.79999995</v>
      </c>
      <c r="R33">
        <v>4.77552273327563</v>
      </c>
      <c r="S33">
        <v>-3.1984416287082103E-2</v>
      </c>
      <c r="T33" s="3">
        <f t="shared" si="0"/>
        <v>0.65057985338867452</v>
      </c>
    </row>
    <row r="34" spans="2:20" x14ac:dyDescent="0.25">
      <c r="B34" s="1">
        <v>40664</v>
      </c>
      <c r="C34">
        <v>57341111482.071404</v>
      </c>
      <c r="D34">
        <v>11525409065.120001</v>
      </c>
      <c r="E34">
        <v>4.9751910026001598</v>
      </c>
      <c r="F34">
        <v>4159103378.60079</v>
      </c>
      <c r="G34">
        <v>842047390.5</v>
      </c>
      <c r="H34">
        <v>4.9392747077229897</v>
      </c>
      <c r="I34">
        <v>-3.59162948771709E-2</v>
      </c>
      <c r="L34" s="1">
        <v>40664</v>
      </c>
      <c r="M34">
        <v>6716116205.4809399</v>
      </c>
      <c r="N34">
        <v>1364764444.1700001</v>
      </c>
      <c r="O34">
        <v>4.9210808752901203</v>
      </c>
      <c r="P34">
        <v>4159103378.60079</v>
      </c>
      <c r="Q34">
        <v>842047390.5</v>
      </c>
      <c r="R34">
        <v>4.9392747077229897</v>
      </c>
      <c r="S34">
        <v>1.81938324328682E-2</v>
      </c>
      <c r="T34" s="3">
        <f t="shared" si="0"/>
        <v>0.61843262879459893</v>
      </c>
    </row>
    <row r="35" spans="2:20" x14ac:dyDescent="0.25">
      <c r="B35" s="1">
        <v>40695</v>
      </c>
      <c r="C35">
        <v>49404279267.274101</v>
      </c>
      <c r="D35">
        <v>9926600949.2800007</v>
      </c>
      <c r="E35">
        <v>4.9769583284052104</v>
      </c>
      <c r="F35">
        <v>3869500580.73349</v>
      </c>
      <c r="G35">
        <v>778528914.70000005</v>
      </c>
      <c r="H35">
        <v>4.97027214747005</v>
      </c>
      <c r="I35">
        <v>-6.6861809351594099E-3</v>
      </c>
      <c r="L35" s="1">
        <v>40695</v>
      </c>
      <c r="M35">
        <v>5911403612.9751902</v>
      </c>
      <c r="N35">
        <v>1198313243.8800001</v>
      </c>
      <c r="O35">
        <v>4.9331037966623397</v>
      </c>
      <c r="P35">
        <v>3869500580.73349</v>
      </c>
      <c r="Q35">
        <v>778528914.70000005</v>
      </c>
      <c r="R35">
        <v>4.97027214747005</v>
      </c>
      <c r="S35">
        <v>3.7168350807708403E-2</v>
      </c>
      <c r="T35" s="3">
        <f t="shared" si="0"/>
        <v>0.60617547975644614</v>
      </c>
    </row>
    <row r="36" spans="2:20" x14ac:dyDescent="0.25">
      <c r="B36" s="1">
        <v>40725</v>
      </c>
      <c r="C36">
        <v>46495615601.023201</v>
      </c>
      <c r="D36">
        <v>9423152573.7399998</v>
      </c>
      <c r="E36">
        <v>4.9341889815723601</v>
      </c>
      <c r="F36">
        <v>4609029003.0749903</v>
      </c>
      <c r="G36">
        <v>936872294</v>
      </c>
      <c r="H36">
        <v>4.9195915308762403</v>
      </c>
      <c r="I36">
        <v>-1.45974506961225E-2</v>
      </c>
      <c r="L36" s="1">
        <v>40725</v>
      </c>
      <c r="M36">
        <v>5244084147.18999</v>
      </c>
      <c r="N36">
        <v>1076914095</v>
      </c>
      <c r="O36">
        <v>4.8695473218687804</v>
      </c>
      <c r="P36">
        <v>4609029003.0749903</v>
      </c>
      <c r="Q36">
        <v>936872294</v>
      </c>
      <c r="R36">
        <v>4.9195915308762403</v>
      </c>
      <c r="S36">
        <v>5.0044209007457097E-2</v>
      </c>
      <c r="T36" s="3">
        <f t="shared" si="0"/>
        <v>0.53477076857926864</v>
      </c>
    </row>
    <row r="37" spans="2:20" x14ac:dyDescent="0.25">
      <c r="B37" s="1">
        <v>40756</v>
      </c>
      <c r="C37">
        <v>57463518014.495796</v>
      </c>
      <c r="D37">
        <v>12070095005.35</v>
      </c>
      <c r="E37">
        <v>4.7608173745961002</v>
      </c>
      <c r="F37">
        <v>5692715696.3749905</v>
      </c>
      <c r="G37">
        <v>1195709499</v>
      </c>
      <c r="H37">
        <v>4.7609521385720699</v>
      </c>
      <c r="I37">
        <v>1.3476397597859301E-4</v>
      </c>
      <c r="L37" s="1">
        <v>40756</v>
      </c>
      <c r="M37">
        <v>7494192743.7159901</v>
      </c>
      <c r="N37">
        <v>1590257600.6500001</v>
      </c>
      <c r="O37">
        <v>4.7125652728544303</v>
      </c>
      <c r="P37">
        <v>5692715696.3749905</v>
      </c>
      <c r="Q37">
        <v>1195709499</v>
      </c>
      <c r="R37">
        <v>4.7609521385720699</v>
      </c>
      <c r="S37">
        <v>4.8386865717648699E-2</v>
      </c>
      <c r="T37" s="3">
        <f t="shared" si="0"/>
        <v>0.5708098996753348</v>
      </c>
    </row>
    <row r="38" spans="2:20" x14ac:dyDescent="0.25">
      <c r="B38" s="1">
        <v>40787</v>
      </c>
      <c r="C38">
        <v>55473424118.2117</v>
      </c>
      <c r="D38">
        <v>11843908296.879999</v>
      </c>
      <c r="E38">
        <v>4.6837093573938704</v>
      </c>
      <c r="F38">
        <v>5888195540.9009895</v>
      </c>
      <c r="G38">
        <v>1254097010.6500001</v>
      </c>
      <c r="H38">
        <v>4.6951675116816798</v>
      </c>
      <c r="I38">
        <v>1.14581542878132E-2</v>
      </c>
      <c r="L38" s="1">
        <v>40787</v>
      </c>
      <c r="M38">
        <v>6922439264.8939896</v>
      </c>
      <c r="N38">
        <v>1491580692.6500001</v>
      </c>
      <c r="O38">
        <v>4.6410088968068601</v>
      </c>
      <c r="P38">
        <v>5888195540.9009895</v>
      </c>
      <c r="Q38">
        <v>1254097010.6500001</v>
      </c>
      <c r="R38">
        <v>4.6951675116816798</v>
      </c>
      <c r="S38">
        <v>5.4158614874817199E-2</v>
      </c>
      <c r="T38" s="3">
        <f t="shared" si="0"/>
        <v>0.54324682422022275</v>
      </c>
    </row>
    <row r="39" spans="2:20" x14ac:dyDescent="0.25">
      <c r="B39" s="1">
        <v>40817</v>
      </c>
      <c r="C39">
        <v>60780186398.5867</v>
      </c>
      <c r="D39">
        <v>13309703706.879999</v>
      </c>
      <c r="E39">
        <v>4.5666070212493501</v>
      </c>
      <c r="F39">
        <v>7688992485.8027401</v>
      </c>
      <c r="G39">
        <v>1690208010.4200001</v>
      </c>
      <c r="H39">
        <v>4.5491397735667496</v>
      </c>
      <c r="I39">
        <v>-1.74672476826013E-2</v>
      </c>
      <c r="L39" s="1">
        <v>40817</v>
      </c>
      <c r="M39">
        <v>7376339075.1923904</v>
      </c>
      <c r="N39">
        <v>1642373786.3599999</v>
      </c>
      <c r="O39">
        <v>4.4912669311050104</v>
      </c>
      <c r="P39">
        <v>7688992485.8027401</v>
      </c>
      <c r="Q39">
        <v>1690208010.4200001</v>
      </c>
      <c r="R39">
        <v>4.5491397735667496</v>
      </c>
      <c r="S39">
        <v>5.7872842461737899E-2</v>
      </c>
      <c r="T39" s="3">
        <f t="shared" si="0"/>
        <v>0.49282324831363206</v>
      </c>
    </row>
    <row r="40" spans="2:20" x14ac:dyDescent="0.25">
      <c r="B40" s="1">
        <v>40848</v>
      </c>
      <c r="C40">
        <v>84454983167.817596</v>
      </c>
      <c r="D40">
        <v>19551047322.66</v>
      </c>
      <c r="E40">
        <v>4.3197165744636496</v>
      </c>
      <c r="F40">
        <v>16928693341.2339</v>
      </c>
      <c r="G40">
        <v>3845340224.23</v>
      </c>
      <c r="H40">
        <v>4.4023915581159798</v>
      </c>
      <c r="I40">
        <v>8.2674983652333306E-2</v>
      </c>
      <c r="L40" s="1">
        <v>40848</v>
      </c>
      <c r="M40">
        <v>13091717031.8521</v>
      </c>
      <c r="N40">
        <v>3048525971.54</v>
      </c>
      <c r="O40">
        <v>4.2944416921725397</v>
      </c>
      <c r="P40">
        <v>16928693341.2339</v>
      </c>
      <c r="Q40">
        <v>3845340224.23</v>
      </c>
      <c r="R40">
        <v>4.4023915581159798</v>
      </c>
      <c r="S40">
        <v>0.107949865943441</v>
      </c>
      <c r="T40" s="3">
        <f t="shared" si="0"/>
        <v>0.44220846256205865</v>
      </c>
    </row>
    <row r="41" spans="2:20" x14ac:dyDescent="0.25">
      <c r="B41" s="1">
        <v>40878</v>
      </c>
      <c r="C41">
        <v>97603761637.578293</v>
      </c>
      <c r="D41">
        <v>23340990995.779999</v>
      </c>
      <c r="E41">
        <v>4.1816460001730302</v>
      </c>
      <c r="F41">
        <v>6875416301.5864897</v>
      </c>
      <c r="G41">
        <v>1591622232.1199999</v>
      </c>
      <c r="H41">
        <v>4.3197538730208702</v>
      </c>
      <c r="I41">
        <v>0.13810787284783599</v>
      </c>
      <c r="L41" s="1">
        <v>40878</v>
      </c>
      <c r="M41">
        <v>11240428505.282101</v>
      </c>
      <c r="N41">
        <v>2709799908.6199999</v>
      </c>
      <c r="O41">
        <v>4.1480658662382597</v>
      </c>
      <c r="P41">
        <v>6875416301.5864897</v>
      </c>
      <c r="Q41">
        <v>1591622232.1199999</v>
      </c>
      <c r="R41">
        <v>4.3197538730208702</v>
      </c>
      <c r="S41">
        <v>0.17168800678260601</v>
      </c>
      <c r="T41" s="3">
        <f t="shared" si="0"/>
        <v>0.62997767248992131</v>
      </c>
    </row>
    <row r="42" spans="2:20" x14ac:dyDescent="0.25">
      <c r="B42" s="1">
        <v>40909</v>
      </c>
      <c r="C42">
        <v>107015417104.26401</v>
      </c>
      <c r="D42">
        <v>25803371685.82</v>
      </c>
      <c r="E42">
        <v>4.1473423863856498</v>
      </c>
      <c r="F42">
        <v>6750284968.0537395</v>
      </c>
      <c r="G42">
        <v>1569217495.8199999</v>
      </c>
      <c r="H42">
        <v>4.3016885715554398</v>
      </c>
      <c r="I42">
        <v>0.15434618516978901</v>
      </c>
      <c r="L42" s="1">
        <v>40909</v>
      </c>
      <c r="M42">
        <v>13841288798.273199</v>
      </c>
      <c r="N42">
        <v>3354629815.1500001</v>
      </c>
      <c r="O42">
        <v>4.1260256901563199</v>
      </c>
      <c r="P42">
        <v>6750284968.0537395</v>
      </c>
      <c r="Q42">
        <v>1569217495.8199999</v>
      </c>
      <c r="R42">
        <v>4.3016885715554398</v>
      </c>
      <c r="S42">
        <v>0.175662881399125</v>
      </c>
      <c r="T42" s="3">
        <f t="shared" si="0"/>
        <v>0.68130256754227747</v>
      </c>
    </row>
    <row r="43" spans="2:20" x14ac:dyDescent="0.25">
      <c r="B43" s="1">
        <v>40940</v>
      </c>
      <c r="C43">
        <v>112241141926.715</v>
      </c>
      <c r="D43">
        <v>27131067672.25</v>
      </c>
      <c r="E43">
        <v>4.13699686582983</v>
      </c>
      <c r="F43">
        <v>6908754605.5517397</v>
      </c>
      <c r="G43">
        <v>1611476077.98</v>
      </c>
      <c r="H43">
        <v>4.2872213245708997</v>
      </c>
      <c r="I43">
        <v>0.15022445874107401</v>
      </c>
      <c r="L43" s="1">
        <v>40940</v>
      </c>
      <c r="M43">
        <v>15165309282.6012</v>
      </c>
      <c r="N43">
        <v>3675236483.5900002</v>
      </c>
      <c r="O43">
        <v>4.1263492431887396</v>
      </c>
      <c r="P43">
        <v>6908754605.5517397</v>
      </c>
      <c r="Q43">
        <v>1611476077.98</v>
      </c>
      <c r="R43">
        <v>4.2872213245708997</v>
      </c>
      <c r="S43">
        <v>0.160872081382162</v>
      </c>
      <c r="T43" s="3">
        <f t="shared" si="0"/>
        <v>0.69518371592696571</v>
      </c>
    </row>
    <row r="44" spans="2:20" x14ac:dyDescent="0.25">
      <c r="B44" s="1">
        <v>40969</v>
      </c>
      <c r="C44">
        <v>109444339626.117</v>
      </c>
      <c r="D44">
        <v>26877224908.619999</v>
      </c>
      <c r="E44">
        <v>4.0720104102346104</v>
      </c>
      <c r="F44">
        <v>6949844583.1399899</v>
      </c>
      <c r="G44">
        <v>1666388876.26</v>
      </c>
      <c r="H44">
        <v>4.1706018817996702</v>
      </c>
      <c r="I44">
        <v>9.8591471565055905E-2</v>
      </c>
      <c r="L44" s="1">
        <v>40969</v>
      </c>
      <c r="M44">
        <v>14971433154.617201</v>
      </c>
      <c r="N44">
        <v>3681558863.3400002</v>
      </c>
      <c r="O44">
        <v>4.0666015974099601</v>
      </c>
      <c r="P44">
        <v>6949844583.1399899</v>
      </c>
      <c r="Q44">
        <v>1666388876.26</v>
      </c>
      <c r="R44">
        <v>4.1706018817996702</v>
      </c>
      <c r="S44">
        <v>0.104000284389711</v>
      </c>
      <c r="T44" s="3">
        <f t="shared" si="0"/>
        <v>0.68840591617586788</v>
      </c>
    </row>
    <row r="45" spans="2:20" x14ac:dyDescent="0.25">
      <c r="B45" s="1">
        <v>41000</v>
      </c>
      <c r="C45">
        <v>121610400011.558</v>
      </c>
      <c r="D45">
        <v>30303984942.669998</v>
      </c>
      <c r="E45">
        <v>4.0130167778800203</v>
      </c>
      <c r="F45">
        <v>9280247426.1884899</v>
      </c>
      <c r="G45">
        <v>2256864362.4400001</v>
      </c>
      <c r="H45">
        <v>4.1120093793120898</v>
      </c>
      <c r="I45">
        <v>9.8992601432072697E-2</v>
      </c>
      <c r="L45" s="1">
        <v>41000</v>
      </c>
      <c r="M45">
        <v>16313173810.662399</v>
      </c>
      <c r="N45">
        <v>4078590262.4699998</v>
      </c>
      <c r="O45">
        <v>3.9997089094169498</v>
      </c>
      <c r="P45">
        <v>9280247426.1884899</v>
      </c>
      <c r="Q45">
        <v>2256864362.4400001</v>
      </c>
      <c r="R45">
        <v>4.1120093793120898</v>
      </c>
      <c r="S45">
        <v>0.112300469895142</v>
      </c>
      <c r="T45" s="3">
        <f t="shared" si="0"/>
        <v>0.64377231058267415</v>
      </c>
    </row>
    <row r="46" spans="2:20" x14ac:dyDescent="0.25">
      <c r="B46" s="1">
        <v>41030</v>
      </c>
      <c r="C46">
        <v>121670848964.00999</v>
      </c>
      <c r="D46">
        <v>30378130399.130001</v>
      </c>
      <c r="E46">
        <v>4.0052118864923703</v>
      </c>
      <c r="F46">
        <v>7631608197.0704899</v>
      </c>
      <c r="G46">
        <v>1872579073.73</v>
      </c>
      <c r="H46">
        <v>4.0754531032268</v>
      </c>
      <c r="I46">
        <v>7.0241216734424294E-2</v>
      </c>
      <c r="L46" s="1">
        <v>41030</v>
      </c>
      <c r="M46">
        <v>17064880192.473101</v>
      </c>
      <c r="N46">
        <v>4267306742.1900001</v>
      </c>
      <c r="O46">
        <v>3.9989813771192302</v>
      </c>
      <c r="P46">
        <v>7631608197.0704899</v>
      </c>
      <c r="Q46">
        <v>1872579073.73</v>
      </c>
      <c r="R46">
        <v>4.0754531032268</v>
      </c>
      <c r="S46">
        <v>7.6471726107563406E-2</v>
      </c>
      <c r="T46" s="3">
        <f t="shared" si="0"/>
        <v>0.69501402308254279</v>
      </c>
    </row>
    <row r="47" spans="2:20" x14ac:dyDescent="0.25">
      <c r="B47" s="1">
        <v>41061</v>
      </c>
      <c r="C47">
        <v>103591688727.83701</v>
      </c>
      <c r="D47">
        <v>25538379627.77</v>
      </c>
      <c r="E47">
        <v>4.0563140746483901</v>
      </c>
      <c r="F47">
        <v>7780125009.1111403</v>
      </c>
      <c r="G47">
        <v>1890326183.3</v>
      </c>
      <c r="H47">
        <v>4.1157579458213602</v>
      </c>
      <c r="I47">
        <v>5.9443871172975102E-2</v>
      </c>
      <c r="L47" s="1">
        <v>41061</v>
      </c>
      <c r="M47">
        <v>14164556980.189199</v>
      </c>
      <c r="N47">
        <v>3502765560.1100001</v>
      </c>
      <c r="O47">
        <v>4.0438210143143198</v>
      </c>
      <c r="P47">
        <v>7780125009.1111403</v>
      </c>
      <c r="Q47">
        <v>1890326183.3</v>
      </c>
      <c r="R47">
        <v>4.1157579458213602</v>
      </c>
      <c r="S47">
        <v>7.1936931507041793E-2</v>
      </c>
      <c r="T47" s="3">
        <f t="shared" si="0"/>
        <v>0.64949118738618661</v>
      </c>
    </row>
    <row r="48" spans="2:20" x14ac:dyDescent="0.25">
      <c r="B48" s="1">
        <v>41091</v>
      </c>
      <c r="C48">
        <v>104463562275.03</v>
      </c>
      <c r="D48">
        <v>25988710399.119999</v>
      </c>
      <c r="E48">
        <v>4.0195746795719396</v>
      </c>
      <c r="F48">
        <v>9098141181.2054901</v>
      </c>
      <c r="G48">
        <v>2243547242.7600002</v>
      </c>
      <c r="H48">
        <v>4.0552483173980303</v>
      </c>
      <c r="I48">
        <v>3.5673637826092099E-2</v>
      </c>
      <c r="L48" s="1">
        <v>41091</v>
      </c>
      <c r="M48">
        <v>15056738640.3943</v>
      </c>
      <c r="N48">
        <v>3754129237.6399999</v>
      </c>
      <c r="O48">
        <v>4.01071398646351</v>
      </c>
      <c r="P48">
        <v>9098141181.2054901</v>
      </c>
      <c r="Q48">
        <v>2243547242.7600002</v>
      </c>
      <c r="R48">
        <v>4.0552483173980303</v>
      </c>
      <c r="S48">
        <v>4.4534330934527001E-2</v>
      </c>
      <c r="T48" s="3">
        <f t="shared" si="0"/>
        <v>0.62593059994286782</v>
      </c>
    </row>
    <row r="49" spans="2:20" x14ac:dyDescent="0.25">
      <c r="B49" s="1">
        <v>41122</v>
      </c>
      <c r="C49">
        <v>116845230138.825</v>
      </c>
      <c r="D49">
        <v>29963879347.790001</v>
      </c>
      <c r="E49">
        <v>3.8995361309063501</v>
      </c>
      <c r="F49">
        <v>12477637843.2789</v>
      </c>
      <c r="G49">
        <v>3142277455.1599998</v>
      </c>
      <c r="H49">
        <v>3.97088991068857</v>
      </c>
      <c r="I49">
        <v>7.1353779782213203E-2</v>
      </c>
      <c r="L49" s="1">
        <v>41122</v>
      </c>
      <c r="M49">
        <v>17378879264.451401</v>
      </c>
      <c r="N49">
        <v>4469525773.0799999</v>
      </c>
      <c r="O49">
        <v>3.8883049671901802</v>
      </c>
      <c r="P49">
        <v>12477637843.2789</v>
      </c>
      <c r="Q49">
        <v>3142277455.1599998</v>
      </c>
      <c r="R49">
        <v>3.97088991068857</v>
      </c>
      <c r="S49">
        <v>8.2584943498388602E-2</v>
      </c>
      <c r="T49" s="3">
        <f t="shared" si="0"/>
        <v>0.58718356729164201</v>
      </c>
    </row>
    <row r="50" spans="2:20" x14ac:dyDescent="0.25">
      <c r="B50" s="1">
        <v>41153</v>
      </c>
      <c r="C50">
        <v>124674383868.252</v>
      </c>
      <c r="D50">
        <v>32832177814.790001</v>
      </c>
      <c r="E50">
        <v>3.7973229973215501</v>
      </c>
      <c r="F50">
        <v>13132182288.8521</v>
      </c>
      <c r="G50">
        <v>3355009608.4299998</v>
      </c>
      <c r="H50">
        <v>3.9142010967287399</v>
      </c>
      <c r="I50">
        <v>0.116878099407192</v>
      </c>
      <c r="L50" s="1">
        <v>41153</v>
      </c>
      <c r="M50">
        <v>17091129230.085699</v>
      </c>
      <c r="N50">
        <v>4519460084.25</v>
      </c>
      <c r="O50">
        <v>3.7816750035357298</v>
      </c>
      <c r="P50">
        <v>13132182288.8521</v>
      </c>
      <c r="Q50">
        <v>3355009608.4299998</v>
      </c>
      <c r="R50">
        <v>3.9142010967287399</v>
      </c>
      <c r="S50">
        <v>0.13252609319301001</v>
      </c>
      <c r="T50" s="3">
        <f t="shared" si="0"/>
        <v>0.57393834259737242</v>
      </c>
    </row>
    <row r="51" spans="2:20" x14ac:dyDescent="0.25">
      <c r="B51" s="1">
        <v>41183</v>
      </c>
      <c r="C51">
        <v>145525831327.26599</v>
      </c>
      <c r="D51">
        <v>39319442592.209999</v>
      </c>
      <c r="E51">
        <v>3.70111633668221</v>
      </c>
      <c r="F51">
        <v>12363051700.5597</v>
      </c>
      <c r="G51">
        <v>3230582472.3899999</v>
      </c>
      <c r="H51">
        <v>3.8268800769582199</v>
      </c>
      <c r="I51">
        <v>0.125763740276013</v>
      </c>
      <c r="L51" s="1">
        <v>41183</v>
      </c>
      <c r="M51">
        <v>21910435254.926998</v>
      </c>
      <c r="N51">
        <v>5915486506.0200005</v>
      </c>
      <c r="O51">
        <v>3.7039109518091999</v>
      </c>
      <c r="P51">
        <v>12363051700.5597</v>
      </c>
      <c r="Q51">
        <v>3230582472.3899999</v>
      </c>
      <c r="R51">
        <v>3.8268800769582199</v>
      </c>
      <c r="S51">
        <v>0.122969125149025</v>
      </c>
      <c r="T51" s="3">
        <f t="shared" si="0"/>
        <v>0.64677912663724291</v>
      </c>
    </row>
    <row r="52" spans="2:20" x14ac:dyDescent="0.25">
      <c r="B52" s="1">
        <v>41214</v>
      </c>
      <c r="C52">
        <v>134528081348.731</v>
      </c>
      <c r="D52">
        <v>36510448482.099998</v>
      </c>
      <c r="E52">
        <v>3.6846460928763101</v>
      </c>
      <c r="F52">
        <v>9902321168.14674</v>
      </c>
      <c r="G52">
        <v>2625184690.8899999</v>
      </c>
      <c r="H52">
        <v>3.7720474306093901</v>
      </c>
      <c r="I52">
        <v>8.7401337733081397E-2</v>
      </c>
      <c r="L52" s="1">
        <v>41214</v>
      </c>
      <c r="M52">
        <v>19907927438.002102</v>
      </c>
      <c r="N52">
        <v>5389582261.5100002</v>
      </c>
      <c r="O52">
        <v>3.6937793083103498</v>
      </c>
      <c r="P52">
        <v>9902321168.14674</v>
      </c>
      <c r="Q52">
        <v>2625184690.8899999</v>
      </c>
      <c r="R52">
        <v>3.7720474306093901</v>
      </c>
      <c r="S52">
        <v>7.8268122299045603E-2</v>
      </c>
      <c r="T52" s="3">
        <f t="shared" si="0"/>
        <v>0.67245651601836098</v>
      </c>
    </row>
    <row r="53" spans="2:20" x14ac:dyDescent="0.25">
      <c r="B53" s="1">
        <v>41244</v>
      </c>
      <c r="C53">
        <v>143206922120.86401</v>
      </c>
      <c r="D53">
        <v>39697731501.110001</v>
      </c>
      <c r="E53">
        <v>3.6074333899119599</v>
      </c>
      <c r="F53">
        <v>12142864817.241899</v>
      </c>
      <c r="G53">
        <v>3320754445</v>
      </c>
      <c r="H53">
        <v>3.6566584546849801</v>
      </c>
      <c r="I53">
        <v>4.9225064773026399E-2</v>
      </c>
      <c r="L53" s="1">
        <v>41244</v>
      </c>
      <c r="M53">
        <v>20004161522.979401</v>
      </c>
      <c r="N53">
        <v>5547243970.6899996</v>
      </c>
      <c r="O53">
        <v>3.6061441733364501</v>
      </c>
      <c r="P53">
        <v>12142864817.241899</v>
      </c>
      <c r="Q53">
        <v>3320754445</v>
      </c>
      <c r="R53">
        <v>3.6566584546849801</v>
      </c>
      <c r="S53">
        <v>5.0514281348535799E-2</v>
      </c>
      <c r="T53" s="3">
        <f t="shared" si="0"/>
        <v>0.62553506559894678</v>
      </c>
    </row>
    <row r="54" spans="2:20" x14ac:dyDescent="0.25">
      <c r="B54" s="1">
        <v>41275</v>
      </c>
      <c r="C54">
        <v>132595937080.72</v>
      </c>
      <c r="D54">
        <v>37488723860.190002</v>
      </c>
      <c r="E54">
        <v>3.5369552075238002</v>
      </c>
      <c r="F54">
        <v>10331307841.744699</v>
      </c>
      <c r="G54">
        <v>2854232367.3699999</v>
      </c>
      <c r="H54">
        <v>3.61964497349752</v>
      </c>
      <c r="I54">
        <v>8.2689765973719104E-2</v>
      </c>
      <c r="L54" s="1">
        <v>41275</v>
      </c>
      <c r="M54">
        <v>18549903338.743698</v>
      </c>
      <c r="N54">
        <v>5225889508.04</v>
      </c>
      <c r="O54">
        <v>3.54961644523957</v>
      </c>
      <c r="P54">
        <v>10331307841.744699</v>
      </c>
      <c r="Q54">
        <v>2854232367.3699999</v>
      </c>
      <c r="R54">
        <v>3.61964497349752</v>
      </c>
      <c r="S54">
        <v>7.0028528257943201E-2</v>
      </c>
      <c r="T54" s="3">
        <f t="shared" si="0"/>
        <v>0.64675874802628874</v>
      </c>
    </row>
    <row r="55" spans="2:20" x14ac:dyDescent="0.25">
      <c r="B55" s="1">
        <v>41306</v>
      </c>
      <c r="C55">
        <v>134658344719.856</v>
      </c>
      <c r="D55">
        <v>38261616353.809998</v>
      </c>
      <c r="E55">
        <v>3.51941077121921</v>
      </c>
      <c r="F55">
        <v>9438666782.6499901</v>
      </c>
      <c r="G55">
        <v>2611716695.6500001</v>
      </c>
      <c r="H55">
        <v>3.6139703813858399</v>
      </c>
      <c r="I55">
        <v>9.4559610166622496E-2</v>
      </c>
      <c r="L55" s="1">
        <v>41306</v>
      </c>
      <c r="M55">
        <v>19242023672.302299</v>
      </c>
      <c r="N55">
        <v>5455197397.7799997</v>
      </c>
      <c r="O55">
        <v>3.5272827487659502</v>
      </c>
      <c r="P55">
        <v>9438666782.6499901</v>
      </c>
      <c r="Q55">
        <v>2611716695.6500001</v>
      </c>
      <c r="R55">
        <v>3.6139703813858399</v>
      </c>
      <c r="S55">
        <v>8.6687632619888794E-2</v>
      </c>
      <c r="T55" s="3">
        <f t="shared" si="0"/>
        <v>0.67624339798324107</v>
      </c>
    </row>
    <row r="56" spans="2:20" x14ac:dyDescent="0.25">
      <c r="B56" s="1">
        <v>41334</v>
      </c>
      <c r="C56">
        <v>129065416082.093</v>
      </c>
      <c r="D56">
        <v>36567270970.610001</v>
      </c>
      <c r="E56">
        <v>3.5295337239091902</v>
      </c>
      <c r="F56">
        <v>8990245151.5229893</v>
      </c>
      <c r="G56">
        <v>2474353915.3899999</v>
      </c>
      <c r="H56">
        <v>3.6333707541210698</v>
      </c>
      <c r="I56">
        <v>0.103837030211878</v>
      </c>
      <c r="L56" s="1">
        <v>41334</v>
      </c>
      <c r="M56">
        <v>17715093322.500401</v>
      </c>
      <c r="N56">
        <v>4993551670.0299997</v>
      </c>
      <c r="O56">
        <v>3.54759387568207</v>
      </c>
      <c r="P56">
        <v>8990245151.5229893</v>
      </c>
      <c r="Q56">
        <v>2474353915.3899999</v>
      </c>
      <c r="R56">
        <v>3.6333707541210698</v>
      </c>
      <c r="S56">
        <v>8.5776878438995605E-2</v>
      </c>
      <c r="T56" s="3">
        <f t="shared" si="0"/>
        <v>0.66866829165317565</v>
      </c>
    </row>
    <row r="57" spans="2:20" x14ac:dyDescent="0.25">
      <c r="B57" s="1">
        <v>41365</v>
      </c>
      <c r="C57">
        <v>111259646655.47099</v>
      </c>
      <c r="D57">
        <v>30881094108</v>
      </c>
      <c r="E57">
        <v>3.60284018002615</v>
      </c>
      <c r="F57">
        <v>6802675047.9221401</v>
      </c>
      <c r="G57">
        <v>1836723545.79</v>
      </c>
      <c r="H57">
        <v>3.7037011168690701</v>
      </c>
      <c r="I57">
        <v>0.10086093684292401</v>
      </c>
      <c r="L57" s="1">
        <v>41365</v>
      </c>
      <c r="M57">
        <v>15502355070.100901</v>
      </c>
      <c r="N57">
        <v>4289995808.8499999</v>
      </c>
      <c r="O57">
        <v>3.6136061107846702</v>
      </c>
      <c r="P57">
        <v>6802675047.9221401</v>
      </c>
      <c r="Q57">
        <v>1836723545.79</v>
      </c>
      <c r="R57">
        <v>3.7037011168690701</v>
      </c>
      <c r="S57">
        <v>9.00950060844007E-2</v>
      </c>
      <c r="T57" s="3">
        <f t="shared" si="0"/>
        <v>0.70021092211462599</v>
      </c>
    </row>
    <row r="58" spans="2:20" x14ac:dyDescent="0.25">
      <c r="B58" s="1">
        <v>41395</v>
      </c>
      <c r="C58">
        <v>117769396798.571</v>
      </c>
      <c r="D58">
        <v>31871922455.59</v>
      </c>
      <c r="E58">
        <v>3.6950829358558499</v>
      </c>
      <c r="F58">
        <v>6220841300.7398901</v>
      </c>
      <c r="G58">
        <v>1637945840.99</v>
      </c>
      <c r="H58">
        <v>3.7979529878594298</v>
      </c>
      <c r="I58">
        <v>0.102870052003577</v>
      </c>
      <c r="L58" s="1">
        <v>41395</v>
      </c>
      <c r="M58">
        <v>17544829134.953899</v>
      </c>
      <c r="N58">
        <v>4747818745.2399998</v>
      </c>
      <c r="O58">
        <v>3.6953451840476901</v>
      </c>
      <c r="P58">
        <v>6220841300.7398901</v>
      </c>
      <c r="Q58">
        <v>1637945840.99</v>
      </c>
      <c r="R58">
        <v>3.7979529878594298</v>
      </c>
      <c r="S58">
        <v>0.10260780381173699</v>
      </c>
      <c r="T58" s="3">
        <f t="shared" si="0"/>
        <v>0.74350043461952875</v>
      </c>
    </row>
    <row r="59" spans="2:20" x14ac:dyDescent="0.25">
      <c r="B59" s="1">
        <v>41426</v>
      </c>
      <c r="C59">
        <v>113320632509.355</v>
      </c>
      <c r="D59">
        <v>30400843249.66</v>
      </c>
      <c r="E59">
        <v>3.7275489886492901</v>
      </c>
      <c r="F59">
        <v>6990171079.9074898</v>
      </c>
      <c r="G59">
        <v>1842742443.5599999</v>
      </c>
      <c r="H59">
        <v>3.7933521878419199</v>
      </c>
      <c r="I59">
        <v>6.5803199192627795E-2</v>
      </c>
      <c r="L59" s="1">
        <v>41426</v>
      </c>
      <c r="M59">
        <v>16914802827.0326</v>
      </c>
      <c r="N59">
        <v>4558757648.6499996</v>
      </c>
      <c r="O59">
        <v>3.71039746586258</v>
      </c>
      <c r="P59">
        <v>6990171079.9074898</v>
      </c>
      <c r="Q59">
        <v>1842742443.5599999</v>
      </c>
      <c r="R59">
        <v>3.7933521878419199</v>
      </c>
      <c r="S59">
        <v>8.2954721979336496E-2</v>
      </c>
      <c r="T59" s="3">
        <f t="shared" si="0"/>
        <v>0.71213896477132954</v>
      </c>
    </row>
    <row r="60" spans="2:20" x14ac:dyDescent="0.25">
      <c r="B60" s="1">
        <v>41456</v>
      </c>
      <c r="C60">
        <v>122309149817.364</v>
      </c>
      <c r="D60">
        <v>33408741052.970001</v>
      </c>
      <c r="E60">
        <v>3.6609924816814199</v>
      </c>
      <c r="F60">
        <v>8233037800.1108904</v>
      </c>
      <c r="G60">
        <v>2224948982.5300002</v>
      </c>
      <c r="H60">
        <v>3.7003265534426202</v>
      </c>
      <c r="I60">
        <v>3.9334071761192198E-2</v>
      </c>
      <c r="L60" s="1">
        <v>41456</v>
      </c>
      <c r="M60">
        <v>20145814496.1619</v>
      </c>
      <c r="N60">
        <v>5517353550.3699999</v>
      </c>
      <c r="O60">
        <v>3.6513546417214799</v>
      </c>
      <c r="P60">
        <v>8233037800.1108904</v>
      </c>
      <c r="Q60">
        <v>2224948982.5300002</v>
      </c>
      <c r="R60">
        <v>3.7003265534426202</v>
      </c>
      <c r="S60">
        <v>4.8971911721138003E-2</v>
      </c>
      <c r="T60" s="3">
        <f t="shared" si="0"/>
        <v>0.71262438104487114</v>
      </c>
    </row>
    <row r="61" spans="2:20" x14ac:dyDescent="0.25">
      <c r="B61" s="1">
        <v>41487</v>
      </c>
      <c r="C61">
        <v>116058035770.996</v>
      </c>
      <c r="D61">
        <v>30796179422.779999</v>
      </c>
      <c r="E61">
        <v>3.7685855176290999</v>
      </c>
      <c r="F61">
        <v>6291547442.1349897</v>
      </c>
      <c r="G61">
        <v>1648322089.5599999</v>
      </c>
      <c r="H61">
        <v>3.8169405615467098</v>
      </c>
      <c r="I61">
        <v>4.8355043917606297E-2</v>
      </c>
      <c r="L61" s="1">
        <v>41487</v>
      </c>
      <c r="M61">
        <v>19444143613.457901</v>
      </c>
      <c r="N61">
        <v>5144116206.0500002</v>
      </c>
      <c r="O61">
        <v>3.77988032046976</v>
      </c>
      <c r="P61">
        <v>6291547442.1349897</v>
      </c>
      <c r="Q61">
        <v>1648322089.5599999</v>
      </c>
      <c r="R61">
        <v>3.8169405615467098</v>
      </c>
      <c r="S61">
        <v>3.7060241076946498E-2</v>
      </c>
      <c r="T61" s="3">
        <f t="shared" si="0"/>
        <v>0.75732983976824308</v>
      </c>
    </row>
    <row r="62" spans="2:20" x14ac:dyDescent="0.25">
      <c r="B62" s="1">
        <v>41518</v>
      </c>
      <c r="C62">
        <v>101257917152.618</v>
      </c>
      <c r="D62">
        <v>24456097281.02</v>
      </c>
      <c r="E62">
        <v>4.1403955827082601</v>
      </c>
      <c r="F62">
        <v>4458503824.8794899</v>
      </c>
      <c r="G62">
        <v>1056779786.37</v>
      </c>
      <c r="H62">
        <v>4.2189525976781699</v>
      </c>
      <c r="I62">
        <v>7.8557014969907399E-2</v>
      </c>
      <c r="L62" s="1">
        <v>41518</v>
      </c>
      <c r="M62">
        <v>15700264104.274401</v>
      </c>
      <c r="N62">
        <v>3781060503.1799998</v>
      </c>
      <c r="O62">
        <v>4.1523440556082196</v>
      </c>
      <c r="P62">
        <v>4458503824.8794899</v>
      </c>
      <c r="Q62">
        <v>1056779786.37</v>
      </c>
      <c r="R62">
        <v>4.2189525976781699</v>
      </c>
      <c r="S62">
        <v>6.6608542069956103E-2</v>
      </c>
      <c r="T62" s="3">
        <f t="shared" si="0"/>
        <v>0.78155959619983684</v>
      </c>
    </row>
    <row r="63" spans="2:20" x14ac:dyDescent="0.25">
      <c r="B63" s="1">
        <v>41548</v>
      </c>
      <c r="C63">
        <v>86500525389.786697</v>
      </c>
      <c r="D63">
        <v>19381623639.869999</v>
      </c>
      <c r="E63">
        <v>4.4630174951827097</v>
      </c>
      <c r="F63">
        <v>3311438158.1424899</v>
      </c>
      <c r="G63">
        <v>735093424.34000003</v>
      </c>
      <c r="H63">
        <v>4.5047854442660196</v>
      </c>
      <c r="I63">
        <v>4.1767949083305798E-2</v>
      </c>
      <c r="L63" s="1">
        <v>41548</v>
      </c>
      <c r="M63">
        <v>13512355373.062401</v>
      </c>
      <c r="N63">
        <v>3014888091.75</v>
      </c>
      <c r="O63">
        <v>4.48187626268383</v>
      </c>
      <c r="P63">
        <v>3311438158.1424899</v>
      </c>
      <c r="Q63">
        <v>735093424.34000003</v>
      </c>
      <c r="R63">
        <v>4.5047854442660196</v>
      </c>
      <c r="S63">
        <v>2.2909181582185599E-2</v>
      </c>
      <c r="T63" s="3">
        <f t="shared" si="0"/>
        <v>0.80397412062274343</v>
      </c>
    </row>
    <row r="64" spans="2:20" x14ac:dyDescent="0.25">
      <c r="B64" s="1">
        <v>41579</v>
      </c>
      <c r="C64">
        <v>68704578723.156799</v>
      </c>
      <c r="D64">
        <v>14891291165.709999</v>
      </c>
      <c r="E64">
        <v>4.6137422174218203</v>
      </c>
      <c r="F64">
        <v>2880102331.3924899</v>
      </c>
      <c r="G64">
        <v>616851683.25999999</v>
      </c>
      <c r="H64">
        <v>4.6690353768209603</v>
      </c>
      <c r="I64">
        <v>5.5293159399140798E-2</v>
      </c>
      <c r="L64" s="1">
        <v>41579</v>
      </c>
      <c r="M64">
        <v>10402114646.474701</v>
      </c>
      <c r="N64">
        <v>2256781449.0500002</v>
      </c>
      <c r="O64">
        <v>4.6092698302060002</v>
      </c>
      <c r="P64">
        <v>2880102331.3924899</v>
      </c>
      <c r="Q64">
        <v>616851683.25999999</v>
      </c>
      <c r="R64">
        <v>4.6690353768209603</v>
      </c>
      <c r="S64">
        <v>5.97655466149613E-2</v>
      </c>
      <c r="T64" s="3">
        <f t="shared" si="0"/>
        <v>0.78534083689237766</v>
      </c>
    </row>
    <row r="65" spans="2:20" x14ac:dyDescent="0.25">
      <c r="B65" s="1">
        <v>41609</v>
      </c>
      <c r="C65">
        <v>67288211006.601501</v>
      </c>
      <c r="D65">
        <v>14768853804.51</v>
      </c>
      <c r="E65">
        <v>4.55608890827083</v>
      </c>
      <c r="F65">
        <v>2750522987.3899899</v>
      </c>
      <c r="G65">
        <v>604085076.58000004</v>
      </c>
      <c r="H65">
        <v>4.55320466276366</v>
      </c>
      <c r="I65">
        <v>-2.88424550717381E-3</v>
      </c>
      <c r="L65" s="1">
        <v>41609</v>
      </c>
      <c r="M65">
        <v>10598286525.2939</v>
      </c>
      <c r="N65">
        <v>2341064203</v>
      </c>
      <c r="O65">
        <v>4.5271233961514703</v>
      </c>
      <c r="P65">
        <v>2750522987.3899899</v>
      </c>
      <c r="Q65">
        <v>604085076.58000004</v>
      </c>
      <c r="R65">
        <v>4.55320466276366</v>
      </c>
      <c r="S65">
        <v>2.6081266612189801E-2</v>
      </c>
      <c r="T65" s="3">
        <f t="shared" si="0"/>
        <v>0.79488812985868518</v>
      </c>
    </row>
    <row r="66" spans="2:20" x14ac:dyDescent="0.25">
      <c r="B66" s="1">
        <v>41640</v>
      </c>
      <c r="C66">
        <v>59082498851.773903</v>
      </c>
      <c r="D66">
        <v>13375092211.66</v>
      </c>
      <c r="E66">
        <v>4.4173526370358402</v>
      </c>
      <c r="F66">
        <v>2408201609.1999898</v>
      </c>
      <c r="G66">
        <v>544188115</v>
      </c>
      <c r="H66">
        <v>4.4253109224923</v>
      </c>
      <c r="I66">
        <v>7.9582854564599001E-3</v>
      </c>
      <c r="L66" s="1">
        <v>41640</v>
      </c>
      <c r="M66">
        <v>9680070844.8239899</v>
      </c>
      <c r="N66">
        <v>2201953743</v>
      </c>
      <c r="O66">
        <v>4.3961281546430699</v>
      </c>
      <c r="P66">
        <v>2408201609.1999898</v>
      </c>
      <c r="Q66">
        <v>544188115</v>
      </c>
      <c r="R66">
        <v>4.4253109224923</v>
      </c>
      <c r="S66">
        <v>2.9182767849233401E-2</v>
      </c>
      <c r="T66" s="3">
        <f t="shared" si="0"/>
        <v>0.8018353955697215</v>
      </c>
    </row>
    <row r="67" spans="2:20" x14ac:dyDescent="0.25">
      <c r="B67" s="1">
        <v>41671</v>
      </c>
      <c r="C67">
        <v>57197925305.408096</v>
      </c>
      <c r="D67">
        <v>12792722611.59</v>
      </c>
      <c r="E67">
        <v>4.4711299574015397</v>
      </c>
      <c r="F67">
        <v>1927469861.8362401</v>
      </c>
      <c r="G67">
        <v>424981838.36000001</v>
      </c>
      <c r="H67">
        <v>4.53541701752322</v>
      </c>
      <c r="I67">
        <v>6.4287060121682602E-2</v>
      </c>
      <c r="L67" s="1">
        <v>41671</v>
      </c>
      <c r="M67">
        <v>8898883735.637991</v>
      </c>
      <c r="N67">
        <v>1994411161.5999999</v>
      </c>
      <c r="O67">
        <v>4.4619103156737898</v>
      </c>
      <c r="P67">
        <v>1927469861.8362401</v>
      </c>
      <c r="Q67">
        <v>424981838.36000001</v>
      </c>
      <c r="R67">
        <v>4.53541701752322</v>
      </c>
      <c r="S67">
        <v>7.3506701849431602E-2</v>
      </c>
      <c r="T67" s="3">
        <f t="shared" ref="T67:T103" si="1">N67/(N67+Q67)</f>
        <v>0.82434361082840768</v>
      </c>
    </row>
    <row r="68" spans="2:20" x14ac:dyDescent="0.25">
      <c r="B68" s="1">
        <v>41699</v>
      </c>
      <c r="C68">
        <v>41897724668.703598</v>
      </c>
      <c r="D68">
        <v>9081050637.5300007</v>
      </c>
      <c r="E68">
        <v>4.6137530051368199</v>
      </c>
      <c r="F68">
        <v>1210217579.62499</v>
      </c>
      <c r="G68">
        <v>260637156</v>
      </c>
      <c r="H68">
        <v>4.6433041174873697</v>
      </c>
      <c r="I68">
        <v>2.95511123505569E-2</v>
      </c>
      <c r="L68" s="1">
        <v>41699</v>
      </c>
      <c r="M68">
        <v>6072250225.5224895</v>
      </c>
      <c r="N68">
        <v>1320464091.98</v>
      </c>
      <c r="O68">
        <v>4.5985727763466198</v>
      </c>
      <c r="P68">
        <v>1210217579.62499</v>
      </c>
      <c r="Q68">
        <v>260637156</v>
      </c>
      <c r="R68">
        <v>4.6433041174873697</v>
      </c>
      <c r="S68">
        <v>4.4731341140747997E-2</v>
      </c>
      <c r="T68" s="3">
        <f t="shared" si="1"/>
        <v>0.83515467062404281</v>
      </c>
    </row>
    <row r="69" spans="2:20" x14ac:dyDescent="0.25">
      <c r="B69" s="1">
        <v>41730</v>
      </c>
      <c r="C69">
        <v>41319008673.341904</v>
      </c>
      <c r="D69">
        <v>9032925547.4400005</v>
      </c>
      <c r="E69">
        <v>4.5742664938771798</v>
      </c>
      <c r="F69">
        <v>1276738274.76999</v>
      </c>
      <c r="G69">
        <v>279790123</v>
      </c>
      <c r="H69">
        <v>4.5631999481625698</v>
      </c>
      <c r="I69">
        <v>-1.10665457146094E-2</v>
      </c>
      <c r="L69" s="1">
        <v>41730</v>
      </c>
      <c r="M69">
        <v>6210220211.9779902</v>
      </c>
      <c r="N69">
        <v>1366555207.5</v>
      </c>
      <c r="O69">
        <v>4.5444341932874304</v>
      </c>
      <c r="P69">
        <v>1276738274.76999</v>
      </c>
      <c r="Q69">
        <v>279790123</v>
      </c>
      <c r="R69">
        <v>4.5631999481625698</v>
      </c>
      <c r="S69">
        <v>1.8765754875142499E-2</v>
      </c>
      <c r="T69" s="3">
        <f t="shared" si="1"/>
        <v>0.83005380595635614</v>
      </c>
    </row>
    <row r="70" spans="2:20" x14ac:dyDescent="0.25">
      <c r="B70" s="1">
        <v>41760</v>
      </c>
      <c r="C70">
        <v>50864193021.727501</v>
      </c>
      <c r="D70">
        <v>11272770829.27</v>
      </c>
      <c r="E70">
        <v>4.5121287207984002</v>
      </c>
      <c r="F70">
        <v>1673368025.3629899</v>
      </c>
      <c r="G70">
        <v>369867695</v>
      </c>
      <c r="H70">
        <v>4.5242340652729798</v>
      </c>
      <c r="I70">
        <v>1.21053444745858E-2</v>
      </c>
      <c r="L70" s="1">
        <v>41760</v>
      </c>
      <c r="M70">
        <v>7725314252.0636902</v>
      </c>
      <c r="N70">
        <v>1718562483.27</v>
      </c>
      <c r="O70">
        <v>4.4952187233625196</v>
      </c>
      <c r="P70">
        <v>1673368025.3629899</v>
      </c>
      <c r="Q70">
        <v>369867695</v>
      </c>
      <c r="R70">
        <v>4.5242340652729798</v>
      </c>
      <c r="S70">
        <v>2.90153419104641E-2</v>
      </c>
      <c r="T70" s="3">
        <f t="shared" si="1"/>
        <v>0.82289678685528833</v>
      </c>
    </row>
    <row r="71" spans="2:20" x14ac:dyDescent="0.25">
      <c r="B71" s="1">
        <v>41791</v>
      </c>
      <c r="C71">
        <v>53281418972.795998</v>
      </c>
      <c r="D71">
        <v>11759968801.280001</v>
      </c>
      <c r="E71">
        <v>4.5307449257005397</v>
      </c>
      <c r="F71">
        <v>1578238513.37499</v>
      </c>
      <c r="G71">
        <v>349251358</v>
      </c>
      <c r="H71">
        <v>4.5189187592937001</v>
      </c>
      <c r="I71">
        <v>-1.18261664068419E-2</v>
      </c>
      <c r="L71" s="1">
        <v>41791</v>
      </c>
      <c r="M71">
        <v>7866912985.6869898</v>
      </c>
      <c r="N71">
        <v>1741794988.47</v>
      </c>
      <c r="O71">
        <v>4.51655506977737</v>
      </c>
      <c r="P71">
        <v>1578238513.37499</v>
      </c>
      <c r="Q71">
        <v>349251358</v>
      </c>
      <c r="R71">
        <v>4.5189187592937001</v>
      </c>
      <c r="S71">
        <v>2.3636895163271199E-3</v>
      </c>
      <c r="T71" s="3">
        <f t="shared" si="1"/>
        <v>0.83297770583153807</v>
      </c>
    </row>
    <row r="72" spans="2:20" x14ac:dyDescent="0.25">
      <c r="B72" s="1">
        <v>41821</v>
      </c>
      <c r="C72">
        <v>58980913507.347397</v>
      </c>
      <c r="D72">
        <v>13183669774.719999</v>
      </c>
      <c r="E72">
        <v>4.4737857148428199</v>
      </c>
      <c r="F72">
        <v>1784205758.74999</v>
      </c>
      <c r="G72">
        <v>399645391</v>
      </c>
      <c r="H72">
        <v>4.4644722519769999</v>
      </c>
      <c r="I72">
        <v>-9.3134628658231699E-3</v>
      </c>
      <c r="L72" s="1">
        <v>41821</v>
      </c>
      <c r="M72">
        <v>8694866238.5604897</v>
      </c>
      <c r="N72">
        <v>1957217856.99</v>
      </c>
      <c r="O72">
        <v>4.4424621446752504</v>
      </c>
      <c r="P72">
        <v>1784205758.74999</v>
      </c>
      <c r="Q72">
        <v>399645391</v>
      </c>
      <c r="R72">
        <v>4.4644722519769999</v>
      </c>
      <c r="S72">
        <v>2.20101073017492E-2</v>
      </c>
      <c r="T72" s="3">
        <f t="shared" si="1"/>
        <v>0.83043335613942437</v>
      </c>
    </row>
    <row r="73" spans="2:20" x14ac:dyDescent="0.25">
      <c r="B73" s="1">
        <v>41852</v>
      </c>
      <c r="C73">
        <v>67387391707.983902</v>
      </c>
      <c r="D73">
        <v>15490854810.959999</v>
      </c>
      <c r="E73">
        <v>4.3501402944081802</v>
      </c>
      <c r="F73">
        <v>2243929041.43999</v>
      </c>
      <c r="G73">
        <v>518017478.87</v>
      </c>
      <c r="H73">
        <v>4.3317631797577398</v>
      </c>
      <c r="I73">
        <v>-1.8377114650444299E-2</v>
      </c>
      <c r="L73" s="1">
        <v>41852</v>
      </c>
      <c r="M73">
        <v>10973978907.305401</v>
      </c>
      <c r="N73">
        <v>2533145942.0300002</v>
      </c>
      <c r="O73">
        <v>4.3321542297366502</v>
      </c>
      <c r="P73">
        <v>2243929041.43999</v>
      </c>
      <c r="Q73">
        <v>518017478.87</v>
      </c>
      <c r="R73">
        <v>4.3317631797577398</v>
      </c>
      <c r="S73">
        <v>-3.9104997891010101E-4</v>
      </c>
      <c r="T73" s="3">
        <f t="shared" si="1"/>
        <v>0.83022296501011394</v>
      </c>
    </row>
    <row r="74" spans="2:20" x14ac:dyDescent="0.25">
      <c r="B74" s="1">
        <v>41883</v>
      </c>
      <c r="C74">
        <v>67580881041.088203</v>
      </c>
      <c r="D74">
        <v>15635857649.059999</v>
      </c>
      <c r="E74">
        <v>4.3221729538546301</v>
      </c>
      <c r="F74">
        <v>2172712859.05899</v>
      </c>
      <c r="G74">
        <v>502343032</v>
      </c>
      <c r="H74">
        <v>4.3251577520816404</v>
      </c>
      <c r="I74">
        <v>2.9847982270110002E-3</v>
      </c>
      <c r="L74" s="1">
        <v>41883</v>
      </c>
      <c r="M74">
        <v>10154101088.888399</v>
      </c>
      <c r="N74">
        <v>2355924033.9299998</v>
      </c>
      <c r="O74">
        <v>4.3100290767653</v>
      </c>
      <c r="P74">
        <v>2172712859.05899</v>
      </c>
      <c r="Q74">
        <v>502343032</v>
      </c>
      <c r="R74">
        <v>4.3251577520816404</v>
      </c>
      <c r="S74">
        <v>1.51286753163489E-2</v>
      </c>
      <c r="T74" s="3">
        <f t="shared" si="1"/>
        <v>0.82424909205027286</v>
      </c>
    </row>
    <row r="75" spans="2:20" x14ac:dyDescent="0.25">
      <c r="B75" s="1">
        <v>41913</v>
      </c>
      <c r="C75">
        <v>66521373288.714302</v>
      </c>
      <c r="D75">
        <v>15405523463.73</v>
      </c>
      <c r="E75">
        <v>4.3180209647097598</v>
      </c>
      <c r="F75">
        <v>1912359148.39499</v>
      </c>
      <c r="G75">
        <v>441637284</v>
      </c>
      <c r="H75">
        <v>4.3301578414629498</v>
      </c>
      <c r="I75">
        <v>1.21368767531844E-2</v>
      </c>
      <c r="L75" s="1">
        <v>41913</v>
      </c>
      <c r="M75">
        <v>10022570797.7859</v>
      </c>
      <c r="N75">
        <v>2325985492.7800002</v>
      </c>
      <c r="O75">
        <v>4.3089567105627502</v>
      </c>
      <c r="P75">
        <v>1912359148.39499</v>
      </c>
      <c r="Q75">
        <v>441637284</v>
      </c>
      <c r="R75">
        <v>4.3301578414629498</v>
      </c>
      <c r="S75">
        <v>2.12011309001943E-2</v>
      </c>
      <c r="T75" s="3">
        <f t="shared" si="1"/>
        <v>0.84042721150249233</v>
      </c>
    </row>
    <row r="76" spans="2:20" x14ac:dyDescent="0.25">
      <c r="B76" s="1">
        <v>41944</v>
      </c>
      <c r="C76">
        <v>63884459269.928299</v>
      </c>
      <c r="D76">
        <v>14831169333.48</v>
      </c>
      <c r="E76">
        <v>4.3074458819450596</v>
      </c>
      <c r="F76">
        <v>2102302655.1239901</v>
      </c>
      <c r="G76">
        <v>485388079</v>
      </c>
      <c r="H76">
        <v>4.3311790010483504</v>
      </c>
      <c r="I76">
        <v>2.3733119103287199E-2</v>
      </c>
      <c r="L76" s="1">
        <v>41944</v>
      </c>
      <c r="M76">
        <v>9238736724.9524899</v>
      </c>
      <c r="N76">
        <v>2153634213.23</v>
      </c>
      <c r="O76">
        <v>4.2898356035569796</v>
      </c>
      <c r="P76">
        <v>2102302655.1239901</v>
      </c>
      <c r="Q76">
        <v>485388079</v>
      </c>
      <c r="R76">
        <v>4.3311790010483504</v>
      </c>
      <c r="S76">
        <v>4.1343397491365098E-2</v>
      </c>
      <c r="T76" s="3">
        <f t="shared" si="1"/>
        <v>0.81607276284512087</v>
      </c>
    </row>
    <row r="77" spans="2:20" x14ac:dyDescent="0.25">
      <c r="B77" s="1">
        <v>41974</v>
      </c>
      <c r="C77">
        <v>62977114444.736</v>
      </c>
      <c r="D77">
        <v>14662830390.18</v>
      </c>
      <c r="E77">
        <v>4.2950175899813301</v>
      </c>
      <c r="F77">
        <v>2161392365.0762401</v>
      </c>
      <c r="G77">
        <v>502224574.20999998</v>
      </c>
      <c r="H77">
        <v>4.3036372094617601</v>
      </c>
      <c r="I77">
        <v>8.6196194804323296E-3</v>
      </c>
      <c r="L77" s="1">
        <v>41974</v>
      </c>
      <c r="M77">
        <v>9042716170.5022392</v>
      </c>
      <c r="N77">
        <v>2117447437.3199999</v>
      </c>
      <c r="O77">
        <v>4.27057409365844</v>
      </c>
      <c r="P77">
        <v>2161392365.0762401</v>
      </c>
      <c r="Q77">
        <v>502224574.20999998</v>
      </c>
      <c r="R77">
        <v>4.3036372094617601</v>
      </c>
      <c r="S77">
        <v>3.3063115803327797E-2</v>
      </c>
      <c r="T77" s="3">
        <f t="shared" si="1"/>
        <v>0.80828723137875591</v>
      </c>
    </row>
    <row r="78" spans="2:20" x14ac:dyDescent="0.25">
      <c r="B78" s="1">
        <v>42005</v>
      </c>
      <c r="C78">
        <v>63897372155.510597</v>
      </c>
      <c r="D78">
        <v>15324023080.540001</v>
      </c>
      <c r="E78">
        <v>4.1697517564205402</v>
      </c>
      <c r="F78">
        <v>2894951794.2929902</v>
      </c>
      <c r="G78">
        <v>695470111.22000003</v>
      </c>
      <c r="H78">
        <v>4.1625826151100096</v>
      </c>
      <c r="I78">
        <v>-7.1691413105298097E-3</v>
      </c>
      <c r="L78" s="1">
        <v>42005</v>
      </c>
      <c r="M78">
        <v>10070640377.4977</v>
      </c>
      <c r="N78">
        <v>2427743228.3299999</v>
      </c>
      <c r="O78">
        <v>4.1481488898746299</v>
      </c>
      <c r="P78">
        <v>2894951794.2929902</v>
      </c>
      <c r="Q78">
        <v>695470111.22000003</v>
      </c>
      <c r="R78">
        <v>4.1625826151100096</v>
      </c>
      <c r="S78">
        <v>1.4433725235379899E-2</v>
      </c>
      <c r="T78" s="3">
        <f t="shared" si="1"/>
        <v>0.77732225256177823</v>
      </c>
    </row>
    <row r="79" spans="2:20" x14ac:dyDescent="0.25">
      <c r="B79" s="1">
        <v>42036</v>
      </c>
      <c r="C79">
        <v>67630229887.569504</v>
      </c>
      <c r="D79">
        <v>16336747132.76</v>
      </c>
      <c r="E79">
        <v>4.1397610759335901</v>
      </c>
      <c r="F79">
        <v>3114229125.36799</v>
      </c>
      <c r="G79">
        <v>750322049.54999995</v>
      </c>
      <c r="H79">
        <v>4.1505232682895699</v>
      </c>
      <c r="I79">
        <v>1.07621923559864E-2</v>
      </c>
      <c r="L79" s="1">
        <v>42036</v>
      </c>
      <c r="M79">
        <v>10336156922.940399</v>
      </c>
      <c r="N79">
        <v>2511242483.4899998</v>
      </c>
      <c r="O79">
        <v>4.11595335412445</v>
      </c>
      <c r="P79">
        <v>3114229125.36799</v>
      </c>
      <c r="Q79">
        <v>750322049.54999995</v>
      </c>
      <c r="R79">
        <v>4.1505232682895699</v>
      </c>
      <c r="S79">
        <v>3.4569914165118801E-2</v>
      </c>
      <c r="T79" s="3">
        <f t="shared" si="1"/>
        <v>0.76995026713432857</v>
      </c>
    </row>
    <row r="80" spans="2:20" x14ac:dyDescent="0.25">
      <c r="B80" s="1">
        <v>42064</v>
      </c>
      <c r="C80">
        <v>60473309445.431801</v>
      </c>
      <c r="D80">
        <v>15051969499.059999</v>
      </c>
      <c r="E80">
        <v>4.0176343334477496</v>
      </c>
      <c r="F80">
        <v>3028269954.6399899</v>
      </c>
      <c r="G80">
        <v>756841017.48000002</v>
      </c>
      <c r="H80">
        <v>4.0011969286799696</v>
      </c>
      <c r="I80">
        <v>-1.64374047677848E-2</v>
      </c>
      <c r="L80" s="1">
        <v>42064</v>
      </c>
      <c r="M80">
        <v>9814258670.5559902</v>
      </c>
      <c r="N80">
        <v>2458837584.1700001</v>
      </c>
      <c r="O80">
        <v>3.9914220986941999</v>
      </c>
      <c r="P80">
        <v>3028269954.6399899</v>
      </c>
      <c r="Q80">
        <v>756841017.48000002</v>
      </c>
      <c r="R80">
        <v>4.0011969286799696</v>
      </c>
      <c r="S80">
        <v>9.7748299857698707E-3</v>
      </c>
      <c r="T80" s="3">
        <f t="shared" si="1"/>
        <v>0.76464034151558036</v>
      </c>
    </row>
    <row r="81" spans="2:20" x14ac:dyDescent="0.25">
      <c r="B81" s="1">
        <v>42095</v>
      </c>
      <c r="C81">
        <v>85459864673.135193</v>
      </c>
      <c r="D81">
        <v>22190572649.220001</v>
      </c>
      <c r="E81">
        <v>3.8511788778077798</v>
      </c>
      <c r="F81">
        <v>5287043816.5704899</v>
      </c>
      <c r="G81">
        <v>1364123951.05</v>
      </c>
      <c r="H81">
        <v>3.8757796258183999</v>
      </c>
      <c r="I81">
        <v>2.4600748010622901E-2</v>
      </c>
      <c r="L81" s="1">
        <v>42095</v>
      </c>
      <c r="M81">
        <v>14072194119.776699</v>
      </c>
      <c r="N81">
        <v>3661560464.3000002</v>
      </c>
      <c r="O81">
        <v>3.8432231986825802</v>
      </c>
      <c r="P81">
        <v>5287043816.5704899</v>
      </c>
      <c r="Q81">
        <v>1364123951.05</v>
      </c>
      <c r="R81">
        <v>3.8757796258183999</v>
      </c>
      <c r="S81">
        <v>3.2556427135821402E-2</v>
      </c>
      <c r="T81" s="3">
        <f t="shared" si="1"/>
        <v>0.72856951644565227</v>
      </c>
    </row>
    <row r="82" spans="2:20" x14ac:dyDescent="0.25">
      <c r="B82" s="1">
        <v>42125</v>
      </c>
      <c r="C82">
        <v>101387546094.246</v>
      </c>
      <c r="D82">
        <v>26117130671.279999</v>
      </c>
      <c r="E82">
        <v>3.8820323476705099</v>
      </c>
      <c r="F82">
        <v>4679728955.4217396</v>
      </c>
      <c r="G82">
        <v>1198487165.6900001</v>
      </c>
      <c r="H82">
        <v>3.9046967622114699</v>
      </c>
      <c r="I82">
        <v>2.2664414540962598E-2</v>
      </c>
      <c r="L82" s="1">
        <v>42125</v>
      </c>
      <c r="M82">
        <v>16000613171.119801</v>
      </c>
      <c r="N82">
        <v>4118798652.6399999</v>
      </c>
      <c r="O82">
        <v>3.8847767323765701</v>
      </c>
      <c r="P82">
        <v>4679728955.4217396</v>
      </c>
      <c r="Q82">
        <v>1198487165.6900001</v>
      </c>
      <c r="R82">
        <v>3.9046967622114699</v>
      </c>
      <c r="S82">
        <v>1.9920029834901699E-2</v>
      </c>
      <c r="T82" s="3">
        <f t="shared" si="1"/>
        <v>0.7746054647733025</v>
      </c>
    </row>
    <row r="83" spans="2:20" x14ac:dyDescent="0.25">
      <c r="B83" s="1">
        <v>42156</v>
      </c>
      <c r="C83">
        <v>85621457546.729401</v>
      </c>
      <c r="D83">
        <v>21813500474.459999</v>
      </c>
      <c r="E83">
        <v>3.92515899256875</v>
      </c>
      <c r="F83">
        <v>3570123642.8399901</v>
      </c>
      <c r="G83">
        <v>903094045.77999997</v>
      </c>
      <c r="H83">
        <v>3.9532135767283099</v>
      </c>
      <c r="I83">
        <v>2.80545841595609E-2</v>
      </c>
      <c r="L83" s="1">
        <v>42156</v>
      </c>
      <c r="M83">
        <v>13953535862.560801</v>
      </c>
      <c r="N83">
        <v>3568290645.4200001</v>
      </c>
      <c r="O83">
        <v>3.9104258170423001</v>
      </c>
      <c r="P83">
        <v>3570123642.8399901</v>
      </c>
      <c r="Q83">
        <v>903094045.77999997</v>
      </c>
      <c r="R83">
        <v>3.9532135767283099</v>
      </c>
      <c r="S83">
        <v>4.2787759686016502E-2</v>
      </c>
      <c r="T83" s="3">
        <f t="shared" si="1"/>
        <v>0.79802810356323117</v>
      </c>
    </row>
    <row r="84" spans="2:20" x14ac:dyDescent="0.25">
      <c r="B84" s="1">
        <v>42186</v>
      </c>
      <c r="C84">
        <v>85211393448.826508</v>
      </c>
      <c r="D84">
        <v>21852552311.709999</v>
      </c>
      <c r="E84">
        <v>3.8993794515785098</v>
      </c>
      <c r="F84">
        <v>3969674483.5819898</v>
      </c>
      <c r="G84">
        <v>1013740887.77</v>
      </c>
      <c r="H84">
        <v>3.91586699468577</v>
      </c>
      <c r="I84">
        <v>1.6487543107260999E-2</v>
      </c>
      <c r="L84" s="1">
        <v>42186</v>
      </c>
      <c r="M84">
        <v>13466603799.007401</v>
      </c>
      <c r="N84">
        <v>3456134867.6599998</v>
      </c>
      <c r="O84">
        <v>3.8964346921233299</v>
      </c>
      <c r="P84">
        <v>3969674483.5819898</v>
      </c>
      <c r="Q84">
        <v>1013740887.77</v>
      </c>
      <c r="R84">
        <v>3.91586699468577</v>
      </c>
      <c r="S84">
        <v>1.9432302562444902E-2</v>
      </c>
      <c r="T84" s="3">
        <f t="shared" si="1"/>
        <v>0.77320602557274454</v>
      </c>
    </row>
    <row r="85" spans="2:20" x14ac:dyDescent="0.25">
      <c r="B85" s="1">
        <v>42217</v>
      </c>
      <c r="C85">
        <v>85615666911.101395</v>
      </c>
      <c r="D85">
        <v>21362293541.119999</v>
      </c>
      <c r="E85">
        <v>4.00779376738274</v>
      </c>
      <c r="F85">
        <v>3695668542.7249899</v>
      </c>
      <c r="G85">
        <v>918669667.03999996</v>
      </c>
      <c r="H85">
        <v>4.0228481197519299</v>
      </c>
      <c r="I85">
        <v>1.5054352369189099E-2</v>
      </c>
      <c r="L85" s="1">
        <v>42217</v>
      </c>
      <c r="M85">
        <v>13134087528.304399</v>
      </c>
      <c r="N85">
        <v>3265896454.9699998</v>
      </c>
      <c r="O85">
        <v>4.0215872454612596</v>
      </c>
      <c r="P85">
        <v>3695668542.7249899</v>
      </c>
      <c r="Q85">
        <v>918669667.03999996</v>
      </c>
      <c r="R85">
        <v>4.0228481197519299</v>
      </c>
      <c r="S85">
        <v>1.26087429067366E-3</v>
      </c>
      <c r="T85" s="3">
        <f t="shared" si="1"/>
        <v>0.78046238480783536</v>
      </c>
    </row>
    <row r="86" spans="2:20" x14ac:dyDescent="0.25">
      <c r="B86" s="1">
        <v>42248</v>
      </c>
      <c r="C86">
        <v>77950630087.272705</v>
      </c>
      <c r="D86">
        <v>18690585030.91</v>
      </c>
      <c r="E86">
        <v>4.1705826734882798</v>
      </c>
      <c r="F86">
        <v>3029677147.8249898</v>
      </c>
      <c r="G86">
        <v>727235410</v>
      </c>
      <c r="H86">
        <v>4.1660198419449799</v>
      </c>
      <c r="I86">
        <v>-4.5628315432951197E-3</v>
      </c>
      <c r="L86" s="1">
        <v>42248</v>
      </c>
      <c r="M86">
        <v>11337863375.103901</v>
      </c>
      <c r="N86">
        <v>2714995472</v>
      </c>
      <c r="O86">
        <v>4.1760155742550698</v>
      </c>
      <c r="P86">
        <v>3029677147.8249898</v>
      </c>
      <c r="Q86">
        <v>727235410</v>
      </c>
      <c r="R86">
        <v>4.1660198419449799</v>
      </c>
      <c r="S86">
        <v>-9.9957323100818996E-3</v>
      </c>
      <c r="T86" s="3">
        <f t="shared" si="1"/>
        <v>0.78873136784553433</v>
      </c>
    </row>
    <row r="87" spans="2:20" x14ac:dyDescent="0.25">
      <c r="B87" s="1">
        <v>42278</v>
      </c>
      <c r="C87">
        <v>72993788084.653793</v>
      </c>
      <c r="D87">
        <v>17388401589.470001</v>
      </c>
      <c r="E87">
        <v>4.1978434710673502</v>
      </c>
      <c r="F87">
        <v>2325769557.6499901</v>
      </c>
      <c r="G87">
        <v>556577842</v>
      </c>
      <c r="H87">
        <v>4.1786959202195399</v>
      </c>
      <c r="I87">
        <v>-1.91475508478097E-2</v>
      </c>
      <c r="L87" s="1">
        <v>42278</v>
      </c>
      <c r="M87">
        <v>10927703233.4209</v>
      </c>
      <c r="N87">
        <v>2612563898.1199999</v>
      </c>
      <c r="O87">
        <v>4.1827506080461996</v>
      </c>
      <c r="P87">
        <v>2325769557.6499901</v>
      </c>
      <c r="Q87">
        <v>556577842</v>
      </c>
      <c r="R87">
        <v>4.1786959202195399</v>
      </c>
      <c r="S87">
        <v>-4.0546878266598E-3</v>
      </c>
      <c r="T87" s="3">
        <f t="shared" si="1"/>
        <v>0.82437584442691259</v>
      </c>
    </row>
    <row r="88" spans="2:20" x14ac:dyDescent="0.25">
      <c r="B88" s="1">
        <v>42309</v>
      </c>
      <c r="C88">
        <v>70577225410.040894</v>
      </c>
      <c r="D88">
        <v>17050323355.24</v>
      </c>
      <c r="E88">
        <v>4.1393482070444501</v>
      </c>
      <c r="F88">
        <v>2277206767.9549899</v>
      </c>
      <c r="G88">
        <v>558524196</v>
      </c>
      <c r="H88">
        <v>4.0771855261844303</v>
      </c>
      <c r="I88">
        <v>-6.2162680860018402E-2</v>
      </c>
      <c r="L88" s="1">
        <v>42309</v>
      </c>
      <c r="M88">
        <v>10507471377.953199</v>
      </c>
      <c r="N88">
        <v>2545377160.6100001</v>
      </c>
      <c r="O88">
        <v>4.1280606821486199</v>
      </c>
      <c r="P88">
        <v>2277206767.9549899</v>
      </c>
      <c r="Q88">
        <v>558524196</v>
      </c>
      <c r="R88">
        <v>4.0771855261844303</v>
      </c>
      <c r="S88">
        <v>-5.0875155964188498E-2</v>
      </c>
      <c r="T88" s="3">
        <f t="shared" si="1"/>
        <v>0.82005736270884411</v>
      </c>
    </row>
    <row r="89" spans="2:20" x14ac:dyDescent="0.25">
      <c r="B89" s="1">
        <v>42339</v>
      </c>
      <c r="C89">
        <v>67818370611.022797</v>
      </c>
      <c r="D89">
        <v>16576922113.950001</v>
      </c>
      <c r="E89">
        <v>4.0911316434280396</v>
      </c>
      <c r="F89">
        <v>2029004838.10499</v>
      </c>
      <c r="G89">
        <v>503747025</v>
      </c>
      <c r="H89">
        <v>4.02782495460891</v>
      </c>
      <c r="I89">
        <v>-6.3306688819127904E-2</v>
      </c>
      <c r="L89" s="1">
        <v>42339</v>
      </c>
      <c r="M89">
        <v>10002868013.5919</v>
      </c>
      <c r="N89">
        <v>2451397174.8200002</v>
      </c>
      <c r="O89">
        <v>4.0804762754638002</v>
      </c>
      <c r="P89">
        <v>2029004838.10499</v>
      </c>
      <c r="Q89">
        <v>503747025</v>
      </c>
      <c r="R89">
        <v>4.02782495460891</v>
      </c>
      <c r="S89">
        <v>-5.2651320854888703E-2</v>
      </c>
      <c r="T89" s="3">
        <f t="shared" si="1"/>
        <v>0.82953555192647332</v>
      </c>
    </row>
    <row r="90" spans="2:20" x14ac:dyDescent="0.25">
      <c r="B90" s="1">
        <v>42370</v>
      </c>
      <c r="C90">
        <v>59642975803.077202</v>
      </c>
      <c r="D90">
        <v>14789085284.379999</v>
      </c>
      <c r="E90">
        <v>4.0329049874417304</v>
      </c>
      <c r="F90">
        <v>1857165446.4249899</v>
      </c>
      <c r="G90">
        <v>465054213</v>
      </c>
      <c r="H90">
        <v>3.9934386024473998</v>
      </c>
      <c r="I90">
        <v>-3.9466384994325102E-2</v>
      </c>
      <c r="L90" s="1">
        <v>42370</v>
      </c>
      <c r="M90">
        <v>9229131334.3089905</v>
      </c>
      <c r="N90">
        <v>2292362841.4499998</v>
      </c>
      <c r="O90">
        <v>4.0260342592498297</v>
      </c>
      <c r="P90">
        <v>1857165446.4249899</v>
      </c>
      <c r="Q90">
        <v>465054213</v>
      </c>
      <c r="R90">
        <v>3.9934386024473998</v>
      </c>
      <c r="S90">
        <v>-3.2595656802426203E-2</v>
      </c>
      <c r="T90" s="3">
        <f t="shared" si="1"/>
        <v>0.83134426029262354</v>
      </c>
    </row>
    <row r="91" spans="2:20" x14ac:dyDescent="0.25">
      <c r="B91" s="1">
        <v>42401</v>
      </c>
      <c r="C91">
        <v>67891432356.490303</v>
      </c>
      <c r="D91">
        <v>16556746909.700001</v>
      </c>
      <c r="E91">
        <v>4.1005296950402199</v>
      </c>
      <c r="F91">
        <v>1601401128.74999</v>
      </c>
      <c r="G91">
        <v>398068797</v>
      </c>
      <c r="H91">
        <v>4.0229255365373398</v>
      </c>
      <c r="I91">
        <v>-7.7604158502885406E-2</v>
      </c>
      <c r="L91" s="1">
        <v>42401</v>
      </c>
      <c r="M91">
        <v>10248489704.926901</v>
      </c>
      <c r="N91">
        <v>2492885474.1599998</v>
      </c>
      <c r="O91">
        <v>4.1110952794092199</v>
      </c>
      <c r="P91">
        <v>1601401128.74999</v>
      </c>
      <c r="Q91">
        <v>398068797</v>
      </c>
      <c r="R91">
        <v>4.0229255365373398</v>
      </c>
      <c r="S91">
        <v>-8.8169742871879703E-2</v>
      </c>
      <c r="T91" s="3">
        <f t="shared" si="1"/>
        <v>0.86230539826550967</v>
      </c>
    </row>
    <row r="92" spans="2:20" x14ac:dyDescent="0.25">
      <c r="B92" s="1">
        <v>42430</v>
      </c>
      <c r="C92">
        <v>54005676924.685402</v>
      </c>
      <c r="D92">
        <v>12995900057.35</v>
      </c>
      <c r="E92">
        <v>4.1555934322641903</v>
      </c>
      <c r="F92">
        <v>1053555514.22374</v>
      </c>
      <c r="G92">
        <v>256936909.97</v>
      </c>
      <c r="H92">
        <v>4.1004444022727702</v>
      </c>
      <c r="I92">
        <v>-5.5149029991418998E-2</v>
      </c>
      <c r="L92" s="1">
        <v>42430</v>
      </c>
      <c r="M92">
        <v>7607226610.9879904</v>
      </c>
      <c r="N92">
        <v>1828726651</v>
      </c>
      <c r="O92">
        <v>4.1598489346825804</v>
      </c>
      <c r="P92">
        <v>1053555514.22374</v>
      </c>
      <c r="Q92">
        <v>256936909.97</v>
      </c>
      <c r="R92">
        <v>4.1004444022727702</v>
      </c>
      <c r="S92">
        <v>-5.9404532409810903E-2</v>
      </c>
      <c r="T92" s="3">
        <f t="shared" si="1"/>
        <v>0.8768080745244915</v>
      </c>
    </row>
    <row r="93" spans="2:20" x14ac:dyDescent="0.25">
      <c r="B93" s="1">
        <v>42461</v>
      </c>
      <c r="C93">
        <v>58318298272.329498</v>
      </c>
      <c r="D93">
        <v>14436164646.940001</v>
      </c>
      <c r="E93">
        <v>4.0397362941334398</v>
      </c>
      <c r="F93">
        <v>2131524260.13921</v>
      </c>
      <c r="G93">
        <v>528997731.38</v>
      </c>
      <c r="H93">
        <v>4.0293637074372599</v>
      </c>
      <c r="I93">
        <v>-1.03725866961745E-2</v>
      </c>
      <c r="L93" s="1">
        <v>42461</v>
      </c>
      <c r="M93">
        <v>8539298504.6759901</v>
      </c>
      <c r="N93">
        <v>2126868648</v>
      </c>
      <c r="O93">
        <v>4.0149628011611904</v>
      </c>
      <c r="P93">
        <v>2131524260.13921</v>
      </c>
      <c r="Q93">
        <v>528997731.38</v>
      </c>
      <c r="R93">
        <v>4.0293637074372599</v>
      </c>
      <c r="S93">
        <v>1.44009062760731E-2</v>
      </c>
      <c r="T93" s="3">
        <f t="shared" si="1"/>
        <v>0.80081914681886512</v>
      </c>
    </row>
    <row r="94" spans="2:20" x14ac:dyDescent="0.25">
      <c r="B94" s="1">
        <v>42491</v>
      </c>
      <c r="C94">
        <v>88612015090.387497</v>
      </c>
      <c r="D94">
        <v>22889622671.990002</v>
      </c>
      <c r="E94">
        <v>3.8712746103421698</v>
      </c>
      <c r="F94">
        <v>4339124138.9449902</v>
      </c>
      <c r="G94">
        <v>1112122373</v>
      </c>
      <c r="H94">
        <v>3.9016606843723598</v>
      </c>
      <c r="I94">
        <v>3.03860740301896E-2</v>
      </c>
      <c r="L94" s="1">
        <v>42491</v>
      </c>
      <c r="M94">
        <v>14376856900.4419</v>
      </c>
      <c r="N94">
        <v>3712632311</v>
      </c>
      <c r="O94">
        <v>3.87241603695723</v>
      </c>
      <c r="P94">
        <v>4339124138.9449902</v>
      </c>
      <c r="Q94">
        <v>1112122373</v>
      </c>
      <c r="R94">
        <v>3.9016606843723598</v>
      </c>
      <c r="S94">
        <v>2.92446474151314E-2</v>
      </c>
      <c r="T94" s="3">
        <f t="shared" si="1"/>
        <v>0.76949659706263318</v>
      </c>
    </row>
    <row r="95" spans="2:20" x14ac:dyDescent="0.25">
      <c r="B95" s="1">
        <v>42522</v>
      </c>
      <c r="C95">
        <v>83600501723.671204</v>
      </c>
      <c r="D95">
        <v>21582499292.82</v>
      </c>
      <c r="E95">
        <v>3.8735320033803098</v>
      </c>
      <c r="F95">
        <v>3943995760.2779899</v>
      </c>
      <c r="G95">
        <v>1006167271</v>
      </c>
      <c r="H95">
        <v>3.91982116090715</v>
      </c>
      <c r="I95">
        <v>4.6289157526835302E-2</v>
      </c>
      <c r="L95" s="1">
        <v>42522</v>
      </c>
      <c r="M95">
        <v>13115225922.2349</v>
      </c>
      <c r="N95">
        <v>3377035262.3699999</v>
      </c>
      <c r="O95">
        <v>3.8836508663017999</v>
      </c>
      <c r="P95">
        <v>3943995760.2779899</v>
      </c>
      <c r="Q95">
        <v>1006167271</v>
      </c>
      <c r="R95">
        <v>3.91982116090715</v>
      </c>
      <c r="S95">
        <v>3.61702946053441E-2</v>
      </c>
      <c r="T95" s="3">
        <f t="shared" si="1"/>
        <v>0.77044928603232621</v>
      </c>
    </row>
    <row r="96" spans="2:20" x14ac:dyDescent="0.25">
      <c r="B96" s="1">
        <v>42552</v>
      </c>
      <c r="C96">
        <v>91403262698.253403</v>
      </c>
      <c r="D96">
        <v>23855511426.23</v>
      </c>
      <c r="E96">
        <v>3.8315364975890698</v>
      </c>
      <c r="F96">
        <v>5223655304.5074902</v>
      </c>
      <c r="G96">
        <v>1350225856.0699999</v>
      </c>
      <c r="H96">
        <v>3.86872705853196</v>
      </c>
      <c r="I96">
        <v>3.7190560942893101E-2</v>
      </c>
      <c r="L96" s="1">
        <v>42552</v>
      </c>
      <c r="M96">
        <v>14146734544.949499</v>
      </c>
      <c r="N96">
        <v>3674945079.4200001</v>
      </c>
      <c r="O96">
        <v>3.8495091053666299</v>
      </c>
      <c r="P96">
        <v>5223655304.5074902</v>
      </c>
      <c r="Q96">
        <v>1350225856.0699999</v>
      </c>
      <c r="R96">
        <v>3.86872705853196</v>
      </c>
      <c r="S96">
        <v>1.9217953165333802E-2</v>
      </c>
      <c r="T96" s="3">
        <f t="shared" si="1"/>
        <v>0.73130747721752065</v>
      </c>
    </row>
    <row r="97" spans="2:20" x14ac:dyDescent="0.25">
      <c r="B97" s="1">
        <v>42583</v>
      </c>
      <c r="C97">
        <v>98257414475.445694</v>
      </c>
      <c r="D97">
        <v>25802286096.57</v>
      </c>
      <c r="E97">
        <v>3.8080894889583998</v>
      </c>
      <c r="F97">
        <v>5583520297.4136896</v>
      </c>
      <c r="G97">
        <v>1448726588.0999999</v>
      </c>
      <c r="H97">
        <v>3.85408837200707</v>
      </c>
      <c r="I97">
        <v>4.5998883048678003E-2</v>
      </c>
      <c r="L97" s="1">
        <v>42583</v>
      </c>
      <c r="M97">
        <v>15411110508.2974</v>
      </c>
      <c r="N97">
        <v>4025497353.54</v>
      </c>
      <c r="O97">
        <v>3.8283742739875399</v>
      </c>
      <c r="P97">
        <v>5583520297.4136896</v>
      </c>
      <c r="Q97">
        <v>1448726588.0999999</v>
      </c>
      <c r="R97">
        <v>3.85408837200707</v>
      </c>
      <c r="S97">
        <v>2.57140980195299E-2</v>
      </c>
      <c r="T97" s="3">
        <f t="shared" si="1"/>
        <v>0.73535489166232726</v>
      </c>
    </row>
    <row r="98" spans="2:20" x14ac:dyDescent="0.25">
      <c r="B98" s="1">
        <v>42614</v>
      </c>
      <c r="C98">
        <v>94197967528.908295</v>
      </c>
      <c r="D98">
        <v>25224114114.279999</v>
      </c>
      <c r="E98">
        <v>3.7344410631087501</v>
      </c>
      <c r="F98">
        <v>6638329327.34729</v>
      </c>
      <c r="G98">
        <v>1768304764.51</v>
      </c>
      <c r="H98">
        <v>3.7540640395134499</v>
      </c>
      <c r="I98">
        <v>1.9622976404701301E-2</v>
      </c>
      <c r="L98" s="1">
        <v>42614</v>
      </c>
      <c r="M98">
        <v>14966503023.9674</v>
      </c>
      <c r="N98">
        <v>3986012771.9000001</v>
      </c>
      <c r="O98">
        <v>3.7547554110905299</v>
      </c>
      <c r="P98">
        <v>6638329327.34729</v>
      </c>
      <c r="Q98">
        <v>1768304764.51</v>
      </c>
      <c r="R98">
        <v>3.7540640395134499</v>
      </c>
      <c r="S98">
        <v>-6.9137157707778701E-4</v>
      </c>
      <c r="T98" s="3">
        <f t="shared" si="1"/>
        <v>0.6926994811598095</v>
      </c>
    </row>
    <row r="99" spans="2:20" x14ac:dyDescent="0.25">
      <c r="B99" s="1">
        <v>42644</v>
      </c>
      <c r="C99">
        <v>125069772232.869</v>
      </c>
      <c r="D99">
        <v>34406399373.339996</v>
      </c>
      <c r="E99">
        <v>3.63507296639066</v>
      </c>
      <c r="F99">
        <v>8629154936.6176891</v>
      </c>
      <c r="G99">
        <v>2343390592.0300002</v>
      </c>
      <c r="H99">
        <v>3.6823374498326999</v>
      </c>
      <c r="I99">
        <v>4.7264483442036397E-2</v>
      </c>
      <c r="L99" s="1">
        <v>42644</v>
      </c>
      <c r="M99">
        <v>20061954306.780399</v>
      </c>
      <c r="N99">
        <v>5477684308.3299999</v>
      </c>
      <c r="O99">
        <v>3.6624882299755699</v>
      </c>
      <c r="P99">
        <v>8629154936.6176891</v>
      </c>
      <c r="Q99">
        <v>2343390592.0300002</v>
      </c>
      <c r="R99">
        <v>3.6823374498326999</v>
      </c>
      <c r="S99">
        <v>1.9849219857133001E-2</v>
      </c>
      <c r="T99" s="3">
        <f t="shared" si="1"/>
        <v>0.70037486894261358</v>
      </c>
    </row>
    <row r="100" spans="2:20" x14ac:dyDescent="0.25">
      <c r="B100" s="1">
        <v>42675</v>
      </c>
      <c r="C100">
        <v>113540363555.599</v>
      </c>
      <c r="D100">
        <v>31293030466.959999</v>
      </c>
      <c r="E100">
        <v>3.6282955617059298</v>
      </c>
      <c r="F100">
        <v>6935701710.3550901</v>
      </c>
      <c r="G100">
        <v>1887615373.22</v>
      </c>
      <c r="H100">
        <v>3.67431936015852</v>
      </c>
      <c r="I100">
        <v>4.6023798452586001E-2</v>
      </c>
      <c r="L100" s="1">
        <v>42675</v>
      </c>
      <c r="M100">
        <v>17784261223.797699</v>
      </c>
      <c r="N100">
        <v>4860971262.0299997</v>
      </c>
      <c r="O100">
        <v>3.6585818481820902</v>
      </c>
      <c r="P100">
        <v>6935701710.3550901</v>
      </c>
      <c r="Q100">
        <v>1887615373.22</v>
      </c>
      <c r="R100">
        <v>3.67431936015852</v>
      </c>
      <c r="S100">
        <v>1.5737511976430599E-2</v>
      </c>
      <c r="T100" s="3">
        <f t="shared" si="1"/>
        <v>0.72029471128659905</v>
      </c>
    </row>
    <row r="101" spans="2:20" x14ac:dyDescent="0.25">
      <c r="B101" s="1">
        <v>42705</v>
      </c>
      <c r="C101">
        <v>109786452971.14301</v>
      </c>
      <c r="D101">
        <v>30168886194.990002</v>
      </c>
      <c r="E101">
        <v>3.6390621868358801</v>
      </c>
      <c r="F101">
        <v>6519089896.8819904</v>
      </c>
      <c r="G101">
        <v>1777499737</v>
      </c>
      <c r="H101">
        <v>3.6675616660763501</v>
      </c>
      <c r="I101">
        <v>2.84994792404684E-2</v>
      </c>
      <c r="L101" s="1">
        <v>42705</v>
      </c>
      <c r="M101">
        <v>17679898434.548401</v>
      </c>
      <c r="N101">
        <v>4812556940.2600002</v>
      </c>
      <c r="O101">
        <v>3.6737016629653199</v>
      </c>
      <c r="P101">
        <v>6519089896.8819904</v>
      </c>
      <c r="Q101">
        <v>1777499737</v>
      </c>
      <c r="R101">
        <v>3.6675616660763501</v>
      </c>
      <c r="S101">
        <v>-6.1399968889761097E-3</v>
      </c>
      <c r="T101" s="3">
        <f t="shared" si="1"/>
        <v>0.73027550079598935</v>
      </c>
    </row>
    <row r="102" spans="2:20" x14ac:dyDescent="0.25">
      <c r="B102" s="1">
        <v>42736</v>
      </c>
      <c r="C102">
        <v>95299972446.292297</v>
      </c>
      <c r="D102">
        <v>25900971863.630001</v>
      </c>
      <c r="E102">
        <v>3.6793975511054802</v>
      </c>
      <c r="F102">
        <v>4387998775.6399899</v>
      </c>
      <c r="G102">
        <v>1160027513</v>
      </c>
      <c r="H102">
        <v>3.7826678474995701</v>
      </c>
      <c r="I102">
        <v>0.103270296394089</v>
      </c>
      <c r="L102" s="1">
        <v>42736</v>
      </c>
      <c r="M102">
        <v>15267238937.5539</v>
      </c>
      <c r="N102">
        <v>4123561547.4099998</v>
      </c>
      <c r="O102">
        <v>3.7024399325731499</v>
      </c>
      <c r="P102">
        <v>4387998775.6399899</v>
      </c>
      <c r="Q102">
        <v>1160027513</v>
      </c>
      <c r="R102">
        <v>3.7826678474995701</v>
      </c>
      <c r="S102">
        <v>8.0227914926420396E-2</v>
      </c>
      <c r="T102" s="3">
        <f t="shared" si="1"/>
        <v>0.78044705980408258</v>
      </c>
    </row>
    <row r="103" spans="2:20" x14ac:dyDescent="0.25">
      <c r="B103" s="1">
        <v>42767</v>
      </c>
      <c r="C103">
        <v>83717221651.519196</v>
      </c>
      <c r="D103">
        <v>21419660113.68</v>
      </c>
      <c r="E103">
        <v>3.90842904169389</v>
      </c>
      <c r="F103">
        <v>2783302790.5379901</v>
      </c>
      <c r="G103">
        <v>685172209</v>
      </c>
      <c r="H103">
        <v>4.0621945169086597</v>
      </c>
      <c r="I103">
        <v>0.15376547521477099</v>
      </c>
      <c r="L103" s="1">
        <v>42767</v>
      </c>
      <c r="M103">
        <v>11825099162.1789</v>
      </c>
      <c r="N103">
        <v>2999055989</v>
      </c>
      <c r="O103">
        <v>3.94294044711113</v>
      </c>
      <c r="P103">
        <v>2783302790.5379901</v>
      </c>
      <c r="Q103">
        <v>685172209</v>
      </c>
      <c r="R103">
        <v>4.0621945169086597</v>
      </c>
      <c r="S103">
        <v>0.11925406979752801</v>
      </c>
      <c r="T103" s="3">
        <f t="shared" si="1"/>
        <v>0.8140255781734832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2017-03-02T14:59:00Z</dcterms:created>
  <dcterms:modified xsi:type="dcterms:W3CDTF">2017-03-03T18:58:10Z</dcterms:modified>
</cp:coreProperties>
</file>