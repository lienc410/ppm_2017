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30675" windowHeight="17685"/>
  </bookViews>
  <sheets>
    <sheet name="Sheet2" sheetId="2" r:id="rId1"/>
    <sheet name="LTV 90_97" sheetId="3" r:id="rId2"/>
    <sheet name="Mtg Rate" sheetId="5" r:id="rId3"/>
  </sheets>
  <calcPr calcId="145621"/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2" i="3"/>
  <c r="K3" i="3"/>
  <c r="L3" i="3"/>
  <c r="K4" i="3"/>
  <c r="L4" i="3"/>
  <c r="K5" i="3"/>
  <c r="L5" i="3"/>
  <c r="K6" i="3"/>
  <c r="L6" i="3"/>
  <c r="K7" i="3"/>
  <c r="L7" i="3"/>
  <c r="K8" i="3"/>
  <c r="L8" i="3"/>
  <c r="K9" i="3"/>
  <c r="L9" i="3"/>
  <c r="K10" i="3"/>
  <c r="L10" i="3"/>
  <c r="K11" i="3"/>
  <c r="L11" i="3"/>
  <c r="K12" i="3"/>
  <c r="L12" i="3"/>
  <c r="K13" i="3"/>
  <c r="L13" i="3"/>
  <c r="K14" i="3"/>
  <c r="L14" i="3"/>
  <c r="K15" i="3"/>
  <c r="L15" i="3"/>
  <c r="K16" i="3"/>
  <c r="L16" i="3"/>
  <c r="K17" i="3"/>
  <c r="L17" i="3"/>
  <c r="K18" i="3"/>
  <c r="L18" i="3"/>
  <c r="K19" i="3"/>
  <c r="L19" i="3"/>
  <c r="K20" i="3"/>
  <c r="L20" i="3"/>
  <c r="K21" i="3"/>
  <c r="L21" i="3"/>
  <c r="K22" i="3"/>
  <c r="L22" i="3"/>
  <c r="K23" i="3"/>
  <c r="L23" i="3"/>
  <c r="K24" i="3"/>
  <c r="L24" i="3"/>
  <c r="K25" i="3"/>
  <c r="L25" i="3"/>
  <c r="K26" i="3"/>
  <c r="L26" i="3"/>
  <c r="K27" i="3"/>
  <c r="L27" i="3"/>
  <c r="K28" i="3"/>
  <c r="L28" i="3"/>
  <c r="K29" i="3"/>
  <c r="L29" i="3"/>
  <c r="K30" i="3"/>
  <c r="L30" i="3"/>
  <c r="K31" i="3"/>
  <c r="L31" i="3"/>
  <c r="K32" i="3"/>
  <c r="L32" i="3"/>
  <c r="K33" i="3"/>
  <c r="L33" i="3"/>
  <c r="K34" i="3"/>
  <c r="L34" i="3"/>
  <c r="K35" i="3"/>
  <c r="L35" i="3"/>
  <c r="K36" i="3"/>
  <c r="L36" i="3"/>
  <c r="K37" i="3"/>
  <c r="L37" i="3"/>
  <c r="K38" i="3"/>
  <c r="L38" i="3"/>
  <c r="K39" i="3"/>
  <c r="L39" i="3"/>
  <c r="K40" i="3"/>
  <c r="L40" i="3"/>
  <c r="K41" i="3"/>
  <c r="L41" i="3"/>
  <c r="K42" i="3"/>
  <c r="L42" i="3"/>
  <c r="K43" i="3"/>
  <c r="L43" i="3"/>
  <c r="K44" i="3"/>
  <c r="L44" i="3"/>
  <c r="K45" i="3"/>
  <c r="L45" i="3"/>
  <c r="K46" i="3"/>
  <c r="L46" i="3"/>
  <c r="K47" i="3"/>
  <c r="L47" i="3"/>
  <c r="K48" i="3"/>
  <c r="L48" i="3"/>
  <c r="K49" i="3"/>
  <c r="L49" i="3"/>
  <c r="K50" i="3"/>
  <c r="L50" i="3"/>
  <c r="K51" i="3"/>
  <c r="L51" i="3"/>
  <c r="K52" i="3"/>
  <c r="L52" i="3"/>
  <c r="K53" i="3"/>
  <c r="L53" i="3"/>
  <c r="K54" i="3"/>
  <c r="L54" i="3"/>
  <c r="K55" i="3"/>
  <c r="L55" i="3"/>
  <c r="K56" i="3"/>
  <c r="L56" i="3"/>
  <c r="K57" i="3"/>
  <c r="L57" i="3"/>
  <c r="K58" i="3"/>
  <c r="L58" i="3"/>
  <c r="K59" i="3"/>
  <c r="L59" i="3"/>
  <c r="K60" i="3"/>
  <c r="L60" i="3"/>
  <c r="K61" i="3"/>
  <c r="L61" i="3"/>
  <c r="K62" i="3"/>
  <c r="L62" i="3"/>
  <c r="K63" i="3"/>
  <c r="L63" i="3"/>
  <c r="K64" i="3"/>
  <c r="L64" i="3"/>
  <c r="K65" i="3"/>
  <c r="L65" i="3"/>
  <c r="K66" i="3"/>
  <c r="L66" i="3"/>
  <c r="K67" i="3"/>
  <c r="L67" i="3"/>
  <c r="K68" i="3"/>
  <c r="L68" i="3"/>
  <c r="K69" i="3"/>
  <c r="L69" i="3"/>
  <c r="K70" i="3"/>
  <c r="L70" i="3"/>
  <c r="K71" i="3"/>
  <c r="L71" i="3"/>
  <c r="K72" i="3"/>
  <c r="L72" i="3"/>
  <c r="K73" i="3"/>
  <c r="L73" i="3"/>
  <c r="K74" i="3"/>
  <c r="L74" i="3"/>
  <c r="K75" i="3"/>
  <c r="L75" i="3"/>
  <c r="K76" i="3"/>
  <c r="L76" i="3"/>
  <c r="K77" i="3"/>
  <c r="L77" i="3"/>
  <c r="K78" i="3"/>
  <c r="L78" i="3"/>
  <c r="K79" i="3"/>
  <c r="L79" i="3"/>
  <c r="K80" i="3"/>
  <c r="L80" i="3"/>
  <c r="K81" i="3"/>
  <c r="L81" i="3"/>
  <c r="K82" i="3"/>
  <c r="L82" i="3"/>
  <c r="K83" i="3"/>
  <c r="L83" i="3"/>
  <c r="K84" i="3"/>
  <c r="L84" i="3"/>
  <c r="K85" i="3"/>
  <c r="L85" i="3"/>
  <c r="K86" i="3"/>
  <c r="L86" i="3"/>
  <c r="K87" i="3"/>
  <c r="L87" i="3"/>
  <c r="K88" i="3"/>
  <c r="L88" i="3"/>
  <c r="K89" i="3"/>
  <c r="L89" i="3"/>
  <c r="K90" i="3"/>
  <c r="L90" i="3"/>
  <c r="K91" i="3"/>
  <c r="L91" i="3"/>
  <c r="K92" i="3"/>
  <c r="L92" i="3"/>
  <c r="K93" i="3"/>
  <c r="L93" i="3"/>
  <c r="K94" i="3"/>
  <c r="L94" i="3"/>
  <c r="K95" i="3"/>
  <c r="L95" i="3"/>
  <c r="K96" i="3"/>
  <c r="L96" i="3"/>
  <c r="K97" i="3"/>
  <c r="L97" i="3"/>
  <c r="K98" i="3"/>
  <c r="L98" i="3"/>
  <c r="K99" i="3"/>
  <c r="L99" i="3"/>
  <c r="K100" i="3"/>
  <c r="L100" i="3"/>
  <c r="K101" i="3"/>
  <c r="L101" i="3"/>
  <c r="K102" i="3"/>
  <c r="L102" i="3"/>
  <c r="K103" i="3"/>
  <c r="L103" i="3"/>
  <c r="K104" i="3"/>
  <c r="L104" i="3"/>
  <c r="K105" i="3"/>
  <c r="L105" i="3"/>
  <c r="K106" i="3"/>
  <c r="L106" i="3"/>
  <c r="K107" i="3"/>
  <c r="L107" i="3"/>
  <c r="K108" i="3"/>
  <c r="L108" i="3"/>
  <c r="K109" i="3"/>
  <c r="L109" i="3"/>
  <c r="K110" i="3"/>
  <c r="L110" i="3"/>
  <c r="K111" i="3"/>
  <c r="L111" i="3"/>
  <c r="K112" i="3"/>
  <c r="L112" i="3"/>
  <c r="K113" i="3"/>
  <c r="L113" i="3"/>
  <c r="K114" i="3"/>
  <c r="L114" i="3"/>
  <c r="K115" i="3"/>
  <c r="L115" i="3"/>
  <c r="K116" i="3"/>
  <c r="L116" i="3"/>
  <c r="K2" i="3"/>
  <c r="L2" i="3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2" i="5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2" i="3"/>
</calcChain>
</file>

<file path=xl/sharedStrings.xml><?xml version="1.0" encoding="utf-8"?>
<sst xmlns="http://schemas.openxmlformats.org/spreadsheetml/2006/main" count="27" uniqueCount="17">
  <si>
    <t>asof</t>
  </si>
  <si>
    <t>incentive_gnma</t>
  </si>
  <si>
    <t>incentive_conv</t>
  </si>
  <si>
    <t>CQ</t>
  </si>
  <si>
    <t>Total</t>
  </si>
  <si>
    <t>Conv</t>
  </si>
  <si>
    <t>90LTV</t>
  </si>
  <si>
    <t>LLPA</t>
  </si>
  <si>
    <t>PMI</t>
  </si>
  <si>
    <t>MIP</t>
  </si>
  <si>
    <t>LLPA+PMI</t>
  </si>
  <si>
    <t>MtgRate_conv</t>
  </si>
  <si>
    <t>MtgRate_gnma</t>
  </si>
  <si>
    <t>Rate Diff</t>
  </si>
  <si>
    <t>cost_conv</t>
  </si>
  <si>
    <t>cost_gnma</t>
  </si>
  <si>
    <t>Diff 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</si>
</sst>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incentive_conv</c:v>
                </c:pt>
              </c:strCache>
            </c:strRef>
          </c:tx>
          <c:marker>
            <c:symbol val="none"/>
          </c:marker>
          <c:cat>
            <c:numRef>
              <c:f>Sheet2!$B$2:$B$116</c:f>
              <c:numCache>
                <c:formatCode>m/d/yyyy</c:formatCode>
                <c:ptCount val="115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</c:numCache>
            </c:numRef>
          </c:cat>
          <c:val>
            <c:numRef>
              <c:f>Sheet2!$C$2:$C$116</c:f>
              <c:numCache>
                <c:formatCode>General</c:formatCode>
                <c:ptCount val="115"/>
                <c:pt idx="0">
                  <c:v>-9.4864743006558505E-2</c:v>
                </c:pt>
                <c:pt idx="1">
                  <c:v>5.18428416404225E-2</c:v>
                </c:pt>
                <c:pt idx="2">
                  <c:v>0.14444660679423801</c:v>
                </c:pt>
                <c:pt idx="3">
                  <c:v>0.26643844047792398</c:v>
                </c:pt>
                <c:pt idx="4">
                  <c:v>0.390810609685798</c:v>
                </c:pt>
                <c:pt idx="5">
                  <c:v>0.28861792630946398</c:v>
                </c:pt>
                <c:pt idx="6">
                  <c:v>0.27710114106994699</c:v>
                </c:pt>
                <c:pt idx="7">
                  <c:v>0.35049413344802299</c:v>
                </c:pt>
                <c:pt idx="8">
                  <c:v>0.30773818237246398</c:v>
                </c:pt>
                <c:pt idx="9">
                  <c:v>0.22261727114761901</c:v>
                </c:pt>
                <c:pt idx="10">
                  <c:v>-0.17611075166099599</c:v>
                </c:pt>
                <c:pt idx="11">
                  <c:v>-0.208207502322793</c:v>
                </c:pt>
                <c:pt idx="12">
                  <c:v>-8.0038463241091595E-2</c:v>
                </c:pt>
                <c:pt idx="13">
                  <c:v>0.10543275803720401</c:v>
                </c:pt>
                <c:pt idx="14">
                  <c:v>0.16656674449592301</c:v>
                </c:pt>
                <c:pt idx="15">
                  <c:v>0.34468944759966802</c:v>
                </c:pt>
                <c:pt idx="16">
                  <c:v>0.45689501652539199</c:v>
                </c:pt>
                <c:pt idx="17">
                  <c:v>0.80369335110207296</c:v>
                </c:pt>
                <c:pt idx="18">
                  <c:v>0.59964378214503999</c:v>
                </c:pt>
                <c:pt idx="19">
                  <c:v>0.53252384595772095</c:v>
                </c:pt>
                <c:pt idx="20">
                  <c:v>0.54013003155213701</c:v>
                </c:pt>
                <c:pt idx="21">
                  <c:v>0.41777601194833403</c:v>
                </c:pt>
                <c:pt idx="22">
                  <c:v>7.0639804129711103E-2</c:v>
                </c:pt>
                <c:pt idx="23">
                  <c:v>-4.4365326836724603E-2</c:v>
                </c:pt>
                <c:pt idx="24">
                  <c:v>-0.11576758953465301</c:v>
                </c:pt>
                <c:pt idx="25">
                  <c:v>0.32323075490460002</c:v>
                </c:pt>
                <c:pt idx="26">
                  <c:v>0.17590186283988499</c:v>
                </c:pt>
                <c:pt idx="27">
                  <c:v>0.26450126315205902</c:v>
                </c:pt>
                <c:pt idx="28">
                  <c:v>1.05485528196758</c:v>
                </c:pt>
                <c:pt idx="29">
                  <c:v>1.3008958074938599</c:v>
                </c:pt>
                <c:pt idx="30">
                  <c:v>1.1931233073779399</c:v>
                </c:pt>
                <c:pt idx="31">
                  <c:v>1.2859182716403099</c:v>
                </c:pt>
                <c:pt idx="32">
                  <c:v>1.39104187246216</c:v>
                </c:pt>
                <c:pt idx="33">
                  <c:v>1.27908554128889</c:v>
                </c:pt>
                <c:pt idx="34">
                  <c:v>0.65134774410122898</c:v>
                </c:pt>
                <c:pt idx="35">
                  <c:v>0.76578695220104898</c:v>
                </c:pt>
                <c:pt idx="36">
                  <c:v>0.74046549816517104</c:v>
                </c:pt>
                <c:pt idx="37">
                  <c:v>0.84395893199073901</c:v>
                </c:pt>
                <c:pt idx="38">
                  <c:v>0.885654053515747</c:v>
                </c:pt>
                <c:pt idx="39">
                  <c:v>0.94042872258214505</c:v>
                </c:pt>
                <c:pt idx="40">
                  <c:v>0.85632167645883495</c:v>
                </c:pt>
                <c:pt idx="41">
                  <c:v>0.72254213713480397</c:v>
                </c:pt>
                <c:pt idx="42">
                  <c:v>0.724102992352747</c:v>
                </c:pt>
                <c:pt idx="43">
                  <c:v>0.66726379248091405</c:v>
                </c:pt>
                <c:pt idx="44">
                  <c:v>0.53150467572464599</c:v>
                </c:pt>
                <c:pt idx="45">
                  <c:v>0.71764538749994899</c:v>
                </c:pt>
                <c:pt idx="46">
                  <c:v>0.86465814439094502</c:v>
                </c:pt>
                <c:pt idx="47">
                  <c:v>0.96950741990606903</c:v>
                </c:pt>
                <c:pt idx="48">
                  <c:v>1.06997435829506</c:v>
                </c:pt>
                <c:pt idx="49">
                  <c:v>1.1029880008103501</c:v>
                </c:pt>
                <c:pt idx="50">
                  <c:v>1.16128029575601</c:v>
                </c:pt>
                <c:pt idx="51">
                  <c:v>1.03217540987695</c:v>
                </c:pt>
                <c:pt idx="52">
                  <c:v>0.58045829214914402</c:v>
                </c:pt>
                <c:pt idx="53">
                  <c:v>0.47228105124331898</c:v>
                </c:pt>
                <c:pt idx="54">
                  <c:v>0.238804339486371</c:v>
                </c:pt>
                <c:pt idx="55">
                  <c:v>0.34630473322155297</c:v>
                </c:pt>
                <c:pt idx="56">
                  <c:v>0.342320415275356</c:v>
                </c:pt>
                <c:pt idx="57">
                  <c:v>0.53762977007617196</c:v>
                </c:pt>
                <c:pt idx="58">
                  <c:v>0.65719621561289399</c:v>
                </c:pt>
                <c:pt idx="59">
                  <c:v>0.62176910681530395</c:v>
                </c:pt>
                <c:pt idx="60">
                  <c:v>0.89737003203913301</c:v>
                </c:pt>
                <c:pt idx="61">
                  <c:v>1.0581865214806101</c:v>
                </c:pt>
                <c:pt idx="62">
                  <c:v>1.01498251159502</c:v>
                </c:pt>
                <c:pt idx="63">
                  <c:v>1.0848395579576999</c:v>
                </c:pt>
                <c:pt idx="64">
                  <c:v>1.1088058746394001</c:v>
                </c:pt>
                <c:pt idx="65">
                  <c:v>1.10523404564817</c:v>
                </c:pt>
                <c:pt idx="66">
                  <c:v>1.07828561403104</c:v>
                </c:pt>
                <c:pt idx="67">
                  <c:v>1.0047982660203301</c:v>
                </c:pt>
                <c:pt idx="68">
                  <c:v>1.0718712527787999</c:v>
                </c:pt>
                <c:pt idx="69">
                  <c:v>1.1717705508287499</c:v>
                </c:pt>
                <c:pt idx="70">
                  <c:v>1.2494388073898699</c:v>
                </c:pt>
                <c:pt idx="71">
                  <c:v>1.3327279436491</c:v>
                </c:pt>
                <c:pt idx="72">
                  <c:v>1.2567065943567799</c:v>
                </c:pt>
                <c:pt idx="73">
                  <c:v>1.3174519188590801</c:v>
                </c:pt>
                <c:pt idx="74">
                  <c:v>1.3600492417264001</c:v>
                </c:pt>
                <c:pt idx="75">
                  <c:v>1.32031914911356</c:v>
                </c:pt>
                <c:pt idx="76">
                  <c:v>1.2923644295755501</c:v>
                </c:pt>
                <c:pt idx="77">
                  <c:v>1.1736490367277601</c:v>
                </c:pt>
                <c:pt idx="78">
                  <c:v>0.98106067259798002</c:v>
                </c:pt>
                <c:pt idx="79">
                  <c:v>0.91836336062047197</c:v>
                </c:pt>
                <c:pt idx="80">
                  <c:v>1.00167154921455</c:v>
                </c:pt>
                <c:pt idx="81">
                  <c:v>0.89952182356771804</c:v>
                </c:pt>
                <c:pt idx="82">
                  <c:v>0.31734554010181198</c:v>
                </c:pt>
                <c:pt idx="83">
                  <c:v>-3.6426963035098001E-2</c:v>
                </c:pt>
                <c:pt idx="84">
                  <c:v>-0.15500939538182301</c:v>
                </c:pt>
                <c:pt idx="85">
                  <c:v>-0.195630316087643</c:v>
                </c:pt>
                <c:pt idx="86">
                  <c:v>8.7929469189171994E-2</c:v>
                </c:pt>
                <c:pt idx="87">
                  <c:v>-1.4976311259342699E-2</c:v>
                </c:pt>
                <c:pt idx="88">
                  <c:v>-0.204575317430124</c:v>
                </c:pt>
                <c:pt idx="89">
                  <c:v>-0.20378673050587201</c:v>
                </c:pt>
                <c:pt idx="90">
                  <c:v>-7.3727388408788397E-2</c:v>
                </c:pt>
                <c:pt idx="91">
                  <c:v>-7.8517056663176196E-2</c:v>
                </c:pt>
                <c:pt idx="92">
                  <c:v>-6.0530522993305101E-2</c:v>
                </c:pt>
                <c:pt idx="93">
                  <c:v>0.13335561030463799</c:v>
                </c:pt>
                <c:pt idx="94">
                  <c:v>0.15225451967078299</c:v>
                </c:pt>
                <c:pt idx="95">
                  <c:v>0.17206720829309499</c:v>
                </c:pt>
                <c:pt idx="96">
                  <c:v>0.19141301811054701</c:v>
                </c:pt>
                <c:pt idx="97">
                  <c:v>0.155318380268305</c:v>
                </c:pt>
                <c:pt idx="98">
                  <c:v>0.277997134481411</c:v>
                </c:pt>
                <c:pt idx="99">
                  <c:v>0.30307039491404297</c:v>
                </c:pt>
                <c:pt idx="100">
                  <c:v>0.45293584986479102</c:v>
                </c:pt>
                <c:pt idx="101">
                  <c:v>0.62564957766429596</c:v>
                </c:pt>
                <c:pt idx="102">
                  <c:v>0.57908112065776696</c:v>
                </c:pt>
                <c:pt idx="103">
                  <c:v>0.53502203749737498</c:v>
                </c:pt>
                <c:pt idx="104">
                  <c:v>0.62627384150821996</c:v>
                </c:pt>
                <c:pt idx="105">
                  <c:v>0.456554457452157</c:v>
                </c:pt>
                <c:pt idx="106">
                  <c:v>0.29838195606150703</c:v>
                </c:pt>
                <c:pt idx="107">
                  <c:v>0.23967782149857</c:v>
                </c:pt>
                <c:pt idx="108">
                  <c:v>0.385812362191153</c:v>
                </c:pt>
                <c:pt idx="109">
                  <c:v>0.395561916691619</c:v>
                </c:pt>
                <c:pt idx="110">
                  <c:v>0.49186892783148001</c:v>
                </c:pt>
                <c:pt idx="111">
                  <c:v>0.31794556000302299</c:v>
                </c:pt>
                <c:pt idx="112">
                  <c:v>0.29780360162276598</c:v>
                </c:pt>
                <c:pt idx="113">
                  <c:v>0.38385988582521702</c:v>
                </c:pt>
                <c:pt idx="114">
                  <c:v>0.60550966123846595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Sheet2!$D$1</c:f>
              <c:strCache>
                <c:ptCount val="1"/>
                <c:pt idx="0">
                  <c:v>incentive_gnma</c:v>
                </c:pt>
              </c:strCache>
            </c:strRef>
          </c:tx>
          <c:marker>
            <c:symbol val="none"/>
          </c:marker>
          <c:cat>
            <c:numRef>
              <c:f>Sheet2!$B$2:$B$116</c:f>
              <c:numCache>
                <c:formatCode>m/d/yyyy</c:formatCode>
                <c:ptCount val="115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</c:numCache>
            </c:numRef>
          </c:cat>
          <c:val>
            <c:numRef>
              <c:f>Sheet2!$D$2:$D$116</c:f>
              <c:numCache>
                <c:formatCode>General</c:formatCode>
                <c:ptCount val="115"/>
                <c:pt idx="0">
                  <c:v>-0.42925060271568799</c:v>
                </c:pt>
                <c:pt idx="1">
                  <c:v>-0.35016092749970601</c:v>
                </c:pt>
                <c:pt idx="2">
                  <c:v>-0.225850235799057</c:v>
                </c:pt>
                <c:pt idx="3">
                  <c:v>-0.104146450947085</c:v>
                </c:pt>
                <c:pt idx="4">
                  <c:v>-0.22963244458512899</c:v>
                </c:pt>
                <c:pt idx="5">
                  <c:v>-0.25652050224852702</c:v>
                </c:pt>
                <c:pt idx="6">
                  <c:v>-0.19094071607596999</c:v>
                </c:pt>
                <c:pt idx="7">
                  <c:v>-0.25868351884962199</c:v>
                </c:pt>
                <c:pt idx="8">
                  <c:v>-0.35122280111098703</c:v>
                </c:pt>
                <c:pt idx="9">
                  <c:v>-0.74834191520171101</c:v>
                </c:pt>
                <c:pt idx="10">
                  <c:v>-0.76960959422620401</c:v>
                </c:pt>
                <c:pt idx="11">
                  <c:v>-0.62007826407203603</c:v>
                </c:pt>
                <c:pt idx="12">
                  <c:v>-0.43628338846854198</c:v>
                </c:pt>
                <c:pt idx="13">
                  <c:v>-0.35672715864388899</c:v>
                </c:pt>
                <c:pt idx="14">
                  <c:v>-0.166391514067806</c:v>
                </c:pt>
                <c:pt idx="15">
                  <c:v>-4.6496289118969997E-2</c:v>
                </c:pt>
                <c:pt idx="16">
                  <c:v>0.30250433446185898</c:v>
                </c:pt>
                <c:pt idx="17">
                  <c:v>0.107176168007692</c:v>
                </c:pt>
                <c:pt idx="18">
                  <c:v>1.8102536803810999E-2</c:v>
                </c:pt>
                <c:pt idx="19">
                  <c:v>3.3069671153304003E-2</c:v>
                </c:pt>
                <c:pt idx="20">
                  <c:v>-0.103303643959297</c:v>
                </c:pt>
                <c:pt idx="21">
                  <c:v>-0.45877808001769499</c:v>
                </c:pt>
                <c:pt idx="22">
                  <c:v>-0.58407274110152496</c:v>
                </c:pt>
                <c:pt idx="23">
                  <c:v>-0.65209751980770303</c:v>
                </c:pt>
                <c:pt idx="24">
                  <c:v>-0.194386221837168</c:v>
                </c:pt>
                <c:pt idx="25">
                  <c:v>-0.36402220084617398</c:v>
                </c:pt>
                <c:pt idx="26">
                  <c:v>-0.294878363137068</c:v>
                </c:pt>
                <c:pt idx="27">
                  <c:v>0.47501940108213198</c:v>
                </c:pt>
                <c:pt idx="28">
                  <c:v>0.68390870726886499</c:v>
                </c:pt>
                <c:pt idx="29">
                  <c:v>0.54504971501453503</c:v>
                </c:pt>
                <c:pt idx="30">
                  <c:v>0.62044118380864999</c:v>
                </c:pt>
                <c:pt idx="31">
                  <c:v>0.75487660121594202</c:v>
                </c:pt>
                <c:pt idx="32">
                  <c:v>0.59083696445142797</c:v>
                </c:pt>
                <c:pt idx="33">
                  <c:v>-4.3327543962904003E-2</c:v>
                </c:pt>
                <c:pt idx="34">
                  <c:v>0.119168157595785</c:v>
                </c:pt>
                <c:pt idx="35">
                  <c:v>6.1016130055341997E-2</c:v>
                </c:pt>
                <c:pt idx="36">
                  <c:v>0.17966120927837201</c:v>
                </c:pt>
                <c:pt idx="37">
                  <c:v>0.23583827218303699</c:v>
                </c:pt>
                <c:pt idx="38">
                  <c:v>0.317227087439026</c:v>
                </c:pt>
                <c:pt idx="39">
                  <c:v>0.25886997541492401</c:v>
                </c:pt>
                <c:pt idx="40">
                  <c:v>0.145635017216977</c:v>
                </c:pt>
                <c:pt idx="41">
                  <c:v>0.193644590176865</c:v>
                </c:pt>
                <c:pt idx="42">
                  <c:v>0.213984018483343</c:v>
                </c:pt>
                <c:pt idx="43">
                  <c:v>5.3777340045916999E-2</c:v>
                </c:pt>
                <c:pt idx="44">
                  <c:v>0.194998249439297</c:v>
                </c:pt>
                <c:pt idx="45">
                  <c:v>0.36895632488163499</c:v>
                </c:pt>
                <c:pt idx="46">
                  <c:v>0.52341720419085902</c:v>
                </c:pt>
                <c:pt idx="47">
                  <c:v>0.65150470071992905</c:v>
                </c:pt>
                <c:pt idx="48">
                  <c:v>0.71270469383246904</c:v>
                </c:pt>
                <c:pt idx="49">
                  <c:v>0.79790646126684095</c:v>
                </c:pt>
                <c:pt idx="50">
                  <c:v>0.44510235839506002</c:v>
                </c:pt>
                <c:pt idx="51">
                  <c:v>1.3297755410011E-2</c:v>
                </c:pt>
                <c:pt idx="52">
                  <c:v>-7.4140848378459995E-2</c:v>
                </c:pt>
                <c:pt idx="53">
                  <c:v>-0.29009466740397499</c:v>
                </c:pt>
                <c:pt idx="54">
                  <c:v>-0.18593509296190999</c:v>
                </c:pt>
                <c:pt idx="55">
                  <c:v>-0.165227690789468</c:v>
                </c:pt>
                <c:pt idx="56">
                  <c:v>-0.19013884771312101</c:v>
                </c:pt>
                <c:pt idx="57">
                  <c:v>-1.0951267592023001E-2</c:v>
                </c:pt>
                <c:pt idx="58">
                  <c:v>-4.2012501327395001E-2</c:v>
                </c:pt>
                <c:pt idx="59">
                  <c:v>0.27167232520698897</c:v>
                </c:pt>
                <c:pt idx="60">
                  <c:v>0.46594702737951299</c:v>
                </c:pt>
                <c:pt idx="61">
                  <c:v>0.44057361622366398</c:v>
                </c:pt>
                <c:pt idx="62">
                  <c:v>0.49673986438372397</c:v>
                </c:pt>
                <c:pt idx="63">
                  <c:v>0.50110066018056398</c:v>
                </c:pt>
                <c:pt idx="64">
                  <c:v>0.51970383546602805</c:v>
                </c:pt>
                <c:pt idx="65">
                  <c:v>0.48886328898357401</c:v>
                </c:pt>
                <c:pt idx="66">
                  <c:v>0.384169958571562</c:v>
                </c:pt>
                <c:pt idx="67">
                  <c:v>0.38067124054316898</c:v>
                </c:pt>
                <c:pt idx="68">
                  <c:v>0.31524549492187698</c:v>
                </c:pt>
                <c:pt idx="69">
                  <c:v>0.42652766103713102</c:v>
                </c:pt>
                <c:pt idx="70">
                  <c:v>0.75604467338354098</c:v>
                </c:pt>
                <c:pt idx="71">
                  <c:v>0.68758812812921499</c:v>
                </c:pt>
                <c:pt idx="72">
                  <c:v>0.73996425898076701</c:v>
                </c:pt>
                <c:pt idx="73">
                  <c:v>0.81948939009375399</c:v>
                </c:pt>
                <c:pt idx="74">
                  <c:v>0.76606178281894299</c:v>
                </c:pt>
                <c:pt idx="75">
                  <c:v>0.70537442157874697</c:v>
                </c:pt>
                <c:pt idx="76">
                  <c:v>0.60985282943468899</c:v>
                </c:pt>
                <c:pt idx="77">
                  <c:v>0.42524990899698101</c:v>
                </c:pt>
                <c:pt idx="78">
                  <c:v>0.36505250134717798</c:v>
                </c:pt>
                <c:pt idx="79">
                  <c:v>0.42638443497179301</c:v>
                </c:pt>
                <c:pt idx="80">
                  <c:v>0.23858632748210601</c:v>
                </c:pt>
                <c:pt idx="81">
                  <c:v>-0.336670226188926</c:v>
                </c:pt>
                <c:pt idx="82">
                  <c:v>-0.70143465816226103</c:v>
                </c:pt>
                <c:pt idx="83">
                  <c:v>-0.84155311809106403</c:v>
                </c:pt>
                <c:pt idx="84">
                  <c:v>-0.89673742483188301</c:v>
                </c:pt>
                <c:pt idx="85">
                  <c:v>-0.58439384025666397</c:v>
                </c:pt>
                <c:pt idx="86">
                  <c:v>-0.60892469640996605</c:v>
                </c:pt>
                <c:pt idx="87">
                  <c:v>-0.82097947348460099</c:v>
                </c:pt>
                <c:pt idx="88">
                  <c:v>-0.77490110291668601</c:v>
                </c:pt>
                <c:pt idx="89">
                  <c:v>-0.59449398480335003</c:v>
                </c:pt>
                <c:pt idx="90">
                  <c:v>-0.59197876545238604</c:v>
                </c:pt>
                <c:pt idx="91">
                  <c:v>-0.61163854289629704</c:v>
                </c:pt>
                <c:pt idx="92">
                  <c:v>-0.458310666336535</c:v>
                </c:pt>
                <c:pt idx="93">
                  <c:v>-0.40986700904670798</c:v>
                </c:pt>
                <c:pt idx="94">
                  <c:v>-0.41232500690801499</c:v>
                </c:pt>
                <c:pt idx="95">
                  <c:v>-0.41978906844918201</c:v>
                </c:pt>
                <c:pt idx="96">
                  <c:v>-0.47504841354218602</c:v>
                </c:pt>
                <c:pt idx="97">
                  <c:v>-0.341602756772455</c:v>
                </c:pt>
                <c:pt idx="98">
                  <c:v>-0.30231761700020299</c:v>
                </c:pt>
                <c:pt idx="99">
                  <c:v>-0.20684596938778299</c:v>
                </c:pt>
                <c:pt idx="100">
                  <c:v>-2.8478187069259999E-2</c:v>
                </c:pt>
                <c:pt idx="101">
                  <c:v>0.33190352712056997</c:v>
                </c:pt>
                <c:pt idx="102">
                  <c:v>0.237274093419269</c:v>
                </c:pt>
                <c:pt idx="103">
                  <c:v>0.32635926809543497</c:v>
                </c:pt>
                <c:pt idx="104">
                  <c:v>7.0012367606679005E-2</c:v>
                </c:pt>
                <c:pt idx="105">
                  <c:v>-7.8212706952258002E-2</c:v>
                </c:pt>
                <c:pt idx="106">
                  <c:v>-0.16638646623852199</c:v>
                </c:pt>
                <c:pt idx="107">
                  <c:v>-1.5233273374372001E-2</c:v>
                </c:pt>
                <c:pt idx="108">
                  <c:v>1.3037133957084999E-2</c:v>
                </c:pt>
                <c:pt idx="109">
                  <c:v>0.111898425719198</c:v>
                </c:pt>
                <c:pt idx="110">
                  <c:v>-2.6064527033251999E-2</c:v>
                </c:pt>
                <c:pt idx="111">
                  <c:v>-6.6449803807671001E-2</c:v>
                </c:pt>
                <c:pt idx="112">
                  <c:v>4.4628813783748E-2</c:v>
                </c:pt>
                <c:pt idx="113">
                  <c:v>0.228980910501797</c:v>
                </c:pt>
                <c:pt idx="114">
                  <c:v>0.25394172364671302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235584"/>
        <c:axId val="256357504"/>
      </c:lineChart>
      <c:dateAx>
        <c:axId val="1492355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256357504"/>
        <c:crosses val="autoZero"/>
        <c:auto val="1"/>
        <c:lblOffset val="100"/>
        <c:baseTimeUnit val="months"/>
      </c:dateAx>
      <c:valAx>
        <c:axId val="256357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2355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CQ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Sheet2!$I$1</c:f>
              <c:strCache>
                <c:ptCount val="1"/>
                <c:pt idx="0">
                  <c:v>incentive_conv</c:v>
                </c:pt>
              </c:strCache>
            </c:strRef>
          </c:tx>
          <c:marker>
            <c:symbol val="none"/>
          </c:marker>
          <c:cat>
            <c:numRef>
              <c:f>Sheet2!$H$2:$H$116</c:f>
              <c:numCache>
                <c:formatCode>m/d/yyyy</c:formatCode>
                <c:ptCount val="115"/>
                <c:pt idx="0">
                  <c:v>40148</c:v>
                </c:pt>
                <c:pt idx="1">
                  <c:v>40179</c:v>
                </c:pt>
                <c:pt idx="2">
                  <c:v>40210</c:v>
                </c:pt>
                <c:pt idx="3">
                  <c:v>40238</c:v>
                </c:pt>
                <c:pt idx="4">
                  <c:v>40269</c:v>
                </c:pt>
                <c:pt idx="5">
                  <c:v>40299</c:v>
                </c:pt>
                <c:pt idx="6">
                  <c:v>40330</c:v>
                </c:pt>
                <c:pt idx="7">
                  <c:v>40360</c:v>
                </c:pt>
                <c:pt idx="8">
                  <c:v>40391</c:v>
                </c:pt>
                <c:pt idx="9">
                  <c:v>40422</c:v>
                </c:pt>
                <c:pt idx="10">
                  <c:v>40452</c:v>
                </c:pt>
                <c:pt idx="11">
                  <c:v>40483</c:v>
                </c:pt>
                <c:pt idx="12">
                  <c:v>40513</c:v>
                </c:pt>
                <c:pt idx="13">
                  <c:v>40544</c:v>
                </c:pt>
                <c:pt idx="14">
                  <c:v>40575</c:v>
                </c:pt>
                <c:pt idx="15">
                  <c:v>40603</c:v>
                </c:pt>
                <c:pt idx="16">
                  <c:v>40634</c:v>
                </c:pt>
                <c:pt idx="17">
                  <c:v>40664</c:v>
                </c:pt>
                <c:pt idx="18">
                  <c:v>40695</c:v>
                </c:pt>
                <c:pt idx="19">
                  <c:v>40725</c:v>
                </c:pt>
                <c:pt idx="20">
                  <c:v>40756</c:v>
                </c:pt>
                <c:pt idx="21">
                  <c:v>40787</c:v>
                </c:pt>
                <c:pt idx="22">
                  <c:v>40817</c:v>
                </c:pt>
                <c:pt idx="23">
                  <c:v>40848</c:v>
                </c:pt>
                <c:pt idx="24">
                  <c:v>40878</c:v>
                </c:pt>
                <c:pt idx="25">
                  <c:v>40909</c:v>
                </c:pt>
                <c:pt idx="26">
                  <c:v>40940</c:v>
                </c:pt>
                <c:pt idx="27">
                  <c:v>40969</c:v>
                </c:pt>
                <c:pt idx="28">
                  <c:v>41000</c:v>
                </c:pt>
                <c:pt idx="29">
                  <c:v>41030</c:v>
                </c:pt>
                <c:pt idx="30">
                  <c:v>41061</c:v>
                </c:pt>
                <c:pt idx="31">
                  <c:v>41091</c:v>
                </c:pt>
                <c:pt idx="32">
                  <c:v>41122</c:v>
                </c:pt>
                <c:pt idx="33">
                  <c:v>41153</c:v>
                </c:pt>
                <c:pt idx="34">
                  <c:v>41183</c:v>
                </c:pt>
                <c:pt idx="35">
                  <c:v>41214</c:v>
                </c:pt>
                <c:pt idx="36">
                  <c:v>41244</c:v>
                </c:pt>
                <c:pt idx="37">
                  <c:v>41275</c:v>
                </c:pt>
                <c:pt idx="38">
                  <c:v>41306</c:v>
                </c:pt>
                <c:pt idx="39">
                  <c:v>41334</c:v>
                </c:pt>
                <c:pt idx="40">
                  <c:v>41365</c:v>
                </c:pt>
                <c:pt idx="41">
                  <c:v>41395</c:v>
                </c:pt>
                <c:pt idx="42">
                  <c:v>41426</c:v>
                </c:pt>
                <c:pt idx="43">
                  <c:v>41456</c:v>
                </c:pt>
                <c:pt idx="44">
                  <c:v>41487</c:v>
                </c:pt>
                <c:pt idx="45">
                  <c:v>41518</c:v>
                </c:pt>
                <c:pt idx="46">
                  <c:v>41548</c:v>
                </c:pt>
                <c:pt idx="47">
                  <c:v>41579</c:v>
                </c:pt>
                <c:pt idx="48">
                  <c:v>41609</c:v>
                </c:pt>
                <c:pt idx="49">
                  <c:v>41640</c:v>
                </c:pt>
                <c:pt idx="50">
                  <c:v>41671</c:v>
                </c:pt>
                <c:pt idx="51">
                  <c:v>41699</c:v>
                </c:pt>
                <c:pt idx="52">
                  <c:v>41730</c:v>
                </c:pt>
                <c:pt idx="53">
                  <c:v>41760</c:v>
                </c:pt>
                <c:pt idx="54">
                  <c:v>41791</c:v>
                </c:pt>
                <c:pt idx="55">
                  <c:v>41821</c:v>
                </c:pt>
                <c:pt idx="56">
                  <c:v>41852</c:v>
                </c:pt>
                <c:pt idx="57">
                  <c:v>41883</c:v>
                </c:pt>
                <c:pt idx="58">
                  <c:v>41913</c:v>
                </c:pt>
                <c:pt idx="59">
                  <c:v>41944</c:v>
                </c:pt>
                <c:pt idx="60">
                  <c:v>41974</c:v>
                </c:pt>
                <c:pt idx="61">
                  <c:v>42005</c:v>
                </c:pt>
                <c:pt idx="62">
                  <c:v>42036</c:v>
                </c:pt>
                <c:pt idx="63">
                  <c:v>42064</c:v>
                </c:pt>
                <c:pt idx="64">
                  <c:v>42095</c:v>
                </c:pt>
                <c:pt idx="65">
                  <c:v>42125</c:v>
                </c:pt>
                <c:pt idx="66">
                  <c:v>42156</c:v>
                </c:pt>
                <c:pt idx="67">
                  <c:v>42186</c:v>
                </c:pt>
                <c:pt idx="68">
                  <c:v>42217</c:v>
                </c:pt>
                <c:pt idx="69">
                  <c:v>42248</c:v>
                </c:pt>
                <c:pt idx="70">
                  <c:v>42278</c:v>
                </c:pt>
                <c:pt idx="71">
                  <c:v>42309</c:v>
                </c:pt>
                <c:pt idx="72">
                  <c:v>42339</c:v>
                </c:pt>
                <c:pt idx="73">
                  <c:v>42370</c:v>
                </c:pt>
                <c:pt idx="74">
                  <c:v>42401</c:v>
                </c:pt>
                <c:pt idx="75">
                  <c:v>42430</c:v>
                </c:pt>
              </c:numCache>
            </c:numRef>
          </c:cat>
          <c:val>
            <c:numRef>
              <c:f>Sheet2!$I$2:$I$116</c:f>
              <c:numCache>
                <c:formatCode>General</c:formatCode>
                <c:ptCount val="115"/>
                <c:pt idx="0">
                  <c:v>-1.2907037189819299</c:v>
                </c:pt>
                <c:pt idx="1">
                  <c:v>-1.31525664090024</c:v>
                </c:pt>
                <c:pt idx="2">
                  <c:v>-1.3151107322724001</c:v>
                </c:pt>
                <c:pt idx="3">
                  <c:v>-1.2631058434401401</c:v>
                </c:pt>
                <c:pt idx="4">
                  <c:v>-1.2453906436486599</c:v>
                </c:pt>
                <c:pt idx="5">
                  <c:v>-1.9168098221957</c:v>
                </c:pt>
                <c:pt idx="6">
                  <c:v>-1.7087342361993501</c:v>
                </c:pt>
                <c:pt idx="7">
                  <c:v>-1.52823437736947</c:v>
                </c:pt>
                <c:pt idx="8">
                  <c:v>-1.38470988769799</c:v>
                </c:pt>
                <c:pt idx="9">
                  <c:v>-1.2730893395810701</c:v>
                </c:pt>
                <c:pt idx="10">
                  <c:v>-1.2518641236552901</c:v>
                </c:pt>
                <c:pt idx="11">
                  <c:v>-1.1807351856257799</c:v>
                </c:pt>
                <c:pt idx="12">
                  <c:v>-1.28842182167571</c:v>
                </c:pt>
                <c:pt idx="13">
                  <c:v>-1.7751755784457399</c:v>
                </c:pt>
                <c:pt idx="14">
                  <c:v>-1.8808393103107399</c:v>
                </c:pt>
                <c:pt idx="15">
                  <c:v>-2.1181732329440002</c:v>
                </c:pt>
                <c:pt idx="16">
                  <c:v>-2.0262212260066499</c:v>
                </c:pt>
                <c:pt idx="17">
                  <c:v>-2.02233859226937</c:v>
                </c:pt>
                <c:pt idx="18">
                  <c:v>-1.8193304570139399</c:v>
                </c:pt>
                <c:pt idx="19">
                  <c:v>-1.6886803294207799</c:v>
                </c:pt>
                <c:pt idx="20">
                  <c:v>-1.43308325724071</c:v>
                </c:pt>
                <c:pt idx="21">
                  <c:v>-1.1569677346719001</c:v>
                </c:pt>
                <c:pt idx="22">
                  <c:v>-0.98114426181221104</c:v>
                </c:pt>
                <c:pt idx="23">
                  <c:v>-1.0139336130276899</c:v>
                </c:pt>
                <c:pt idx="24">
                  <c:v>-0.93345353954944699</c:v>
                </c:pt>
                <c:pt idx="25">
                  <c:v>-0.904162493913652</c:v>
                </c:pt>
                <c:pt idx="26">
                  <c:v>-0.91784345434702597</c:v>
                </c:pt>
                <c:pt idx="27">
                  <c:v>-1.1955975085962001</c:v>
                </c:pt>
                <c:pt idx="28">
                  <c:v>-1.36215235096223</c:v>
                </c:pt>
                <c:pt idx="29">
                  <c:v>-1.3449116866967401</c:v>
                </c:pt>
                <c:pt idx="30">
                  <c:v>-1.2800810175886601</c:v>
                </c:pt>
                <c:pt idx="31">
                  <c:v>-1.20905792938354</c:v>
                </c:pt>
                <c:pt idx="32">
                  <c:v>-1.1388668157240001</c:v>
                </c:pt>
                <c:pt idx="33">
                  <c:v>-1.20998280718817</c:v>
                </c:pt>
                <c:pt idx="34">
                  <c:v>-1.14154376590756</c:v>
                </c:pt>
                <c:pt idx="35">
                  <c:v>-1.07144026072029</c:v>
                </c:pt>
                <c:pt idx="36">
                  <c:v>-1.0829227897131899</c:v>
                </c:pt>
                <c:pt idx="37">
                  <c:v>-1.0829898869605801</c:v>
                </c:pt>
                <c:pt idx="38">
                  <c:v>-1.1646098713669699</c:v>
                </c:pt>
                <c:pt idx="39">
                  <c:v>-1.3152902909169899</c:v>
                </c:pt>
                <c:pt idx="40">
                  <c:v>-1.30708126448396</c:v>
                </c:pt>
                <c:pt idx="41">
                  <c:v>-1.17000765523372</c:v>
                </c:pt>
                <c:pt idx="42">
                  <c:v>-1.18954202054451</c:v>
                </c:pt>
                <c:pt idx="43">
                  <c:v>-1.70152753350719</c:v>
                </c:pt>
                <c:pt idx="44">
                  <c:v>-2.1945405957092001</c:v>
                </c:pt>
                <c:pt idx="45">
                  <c:v>-2.2391719235841201</c:v>
                </c:pt>
                <c:pt idx="46">
                  <c:v>-2.25667026911831</c:v>
                </c:pt>
                <c:pt idx="47">
                  <c:v>-1.94975438600968</c:v>
                </c:pt>
                <c:pt idx="48">
                  <c:v>-2.0215393226351899</c:v>
                </c:pt>
                <c:pt idx="49">
                  <c:v>-2.1819026943474502</c:v>
                </c:pt>
                <c:pt idx="50">
                  <c:v>-2.1520817561488701</c:v>
                </c:pt>
                <c:pt idx="51">
                  <c:v>-1.99380503628544</c:v>
                </c:pt>
                <c:pt idx="52">
                  <c:v>-1.9681599551587801</c:v>
                </c:pt>
                <c:pt idx="53">
                  <c:v>-1.89485533766434</c:v>
                </c:pt>
                <c:pt idx="54">
                  <c:v>-1.63230029916102</c:v>
                </c:pt>
                <c:pt idx="55">
                  <c:v>-1.5811112205984299</c:v>
                </c:pt>
                <c:pt idx="56">
                  <c:v>-1.52779206338578</c:v>
                </c:pt>
                <c:pt idx="57">
                  <c:v>-1.4734303603602099</c:v>
                </c:pt>
                <c:pt idx="58">
                  <c:v>-1.4949181621821801</c:v>
                </c:pt>
                <c:pt idx="59">
                  <c:v>-1.35589103417426</c:v>
                </c:pt>
                <c:pt idx="60">
                  <c:v>-1.3152911620676599</c:v>
                </c:pt>
                <c:pt idx="61">
                  <c:v>-1.11329117731756</c:v>
                </c:pt>
                <c:pt idx="62">
                  <c:v>-0.91520769880032404</c:v>
                </c:pt>
                <c:pt idx="63">
                  <c:v>-0.93246460035050205</c:v>
                </c:pt>
                <c:pt idx="64">
                  <c:v>-0.89174306304192796</c:v>
                </c:pt>
                <c:pt idx="65">
                  <c:v>-0.70870937660741595</c:v>
                </c:pt>
                <c:pt idx="66">
                  <c:v>-0.79101063106248903</c:v>
                </c:pt>
                <c:pt idx="67">
                  <c:v>-0.90788091060534604</c:v>
                </c:pt>
                <c:pt idx="68">
                  <c:v>-0.92762615078093003</c:v>
                </c:pt>
                <c:pt idx="69">
                  <c:v>-0.70268400264237396</c:v>
                </c:pt>
                <c:pt idx="70">
                  <c:v>-0.68327032543004995</c:v>
                </c:pt>
                <c:pt idx="71">
                  <c:v>-0.577362872097684</c:v>
                </c:pt>
                <c:pt idx="72">
                  <c:v>-0.74262310847500901</c:v>
                </c:pt>
                <c:pt idx="73">
                  <c:v>-0.75340895345294501</c:v>
                </c:pt>
                <c:pt idx="74">
                  <c:v>-0.65890513400486606</c:v>
                </c:pt>
                <c:pt idx="75">
                  <c:v>-0.42988824714405199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Sheet2!$J$1</c:f>
              <c:strCache>
                <c:ptCount val="1"/>
                <c:pt idx="0">
                  <c:v>incentive_gnma</c:v>
                </c:pt>
              </c:strCache>
            </c:strRef>
          </c:tx>
          <c:marker>
            <c:symbol val="none"/>
          </c:marker>
          <c:cat>
            <c:numRef>
              <c:f>Sheet2!$H$2:$H$116</c:f>
              <c:numCache>
                <c:formatCode>m/d/yyyy</c:formatCode>
                <c:ptCount val="115"/>
                <c:pt idx="0">
                  <c:v>40148</c:v>
                </c:pt>
                <c:pt idx="1">
                  <c:v>40179</c:v>
                </c:pt>
                <c:pt idx="2">
                  <c:v>40210</c:v>
                </c:pt>
                <c:pt idx="3">
                  <c:v>40238</c:v>
                </c:pt>
                <c:pt idx="4">
                  <c:v>40269</c:v>
                </c:pt>
                <c:pt idx="5">
                  <c:v>40299</c:v>
                </c:pt>
                <c:pt idx="6">
                  <c:v>40330</c:v>
                </c:pt>
                <c:pt idx="7">
                  <c:v>40360</c:v>
                </c:pt>
                <c:pt idx="8">
                  <c:v>40391</c:v>
                </c:pt>
                <c:pt idx="9">
                  <c:v>40422</c:v>
                </c:pt>
                <c:pt idx="10">
                  <c:v>40452</c:v>
                </c:pt>
                <c:pt idx="11">
                  <c:v>40483</c:v>
                </c:pt>
                <c:pt idx="12">
                  <c:v>40513</c:v>
                </c:pt>
                <c:pt idx="13">
                  <c:v>40544</c:v>
                </c:pt>
                <c:pt idx="14">
                  <c:v>40575</c:v>
                </c:pt>
                <c:pt idx="15">
                  <c:v>40603</c:v>
                </c:pt>
                <c:pt idx="16">
                  <c:v>40634</c:v>
                </c:pt>
                <c:pt idx="17">
                  <c:v>40664</c:v>
                </c:pt>
                <c:pt idx="18">
                  <c:v>40695</c:v>
                </c:pt>
                <c:pt idx="19">
                  <c:v>40725</c:v>
                </c:pt>
                <c:pt idx="20">
                  <c:v>40756</c:v>
                </c:pt>
                <c:pt idx="21">
                  <c:v>40787</c:v>
                </c:pt>
                <c:pt idx="22">
                  <c:v>40817</c:v>
                </c:pt>
                <c:pt idx="23">
                  <c:v>40848</c:v>
                </c:pt>
                <c:pt idx="24">
                  <c:v>40878</c:v>
                </c:pt>
                <c:pt idx="25">
                  <c:v>40909</c:v>
                </c:pt>
                <c:pt idx="26">
                  <c:v>40940</c:v>
                </c:pt>
                <c:pt idx="27">
                  <c:v>40969</c:v>
                </c:pt>
                <c:pt idx="28">
                  <c:v>41000</c:v>
                </c:pt>
                <c:pt idx="29">
                  <c:v>41030</c:v>
                </c:pt>
                <c:pt idx="30">
                  <c:v>41061</c:v>
                </c:pt>
                <c:pt idx="31">
                  <c:v>41091</c:v>
                </c:pt>
                <c:pt idx="32">
                  <c:v>41122</c:v>
                </c:pt>
                <c:pt idx="33">
                  <c:v>41153</c:v>
                </c:pt>
                <c:pt idx="34">
                  <c:v>41183</c:v>
                </c:pt>
                <c:pt idx="35">
                  <c:v>41214</c:v>
                </c:pt>
                <c:pt idx="36">
                  <c:v>41244</c:v>
                </c:pt>
                <c:pt idx="37">
                  <c:v>41275</c:v>
                </c:pt>
                <c:pt idx="38">
                  <c:v>41306</c:v>
                </c:pt>
                <c:pt idx="39">
                  <c:v>41334</c:v>
                </c:pt>
                <c:pt idx="40">
                  <c:v>41365</c:v>
                </c:pt>
                <c:pt idx="41">
                  <c:v>41395</c:v>
                </c:pt>
                <c:pt idx="42">
                  <c:v>41426</c:v>
                </c:pt>
                <c:pt idx="43">
                  <c:v>41456</c:v>
                </c:pt>
                <c:pt idx="44">
                  <c:v>41487</c:v>
                </c:pt>
                <c:pt idx="45">
                  <c:v>41518</c:v>
                </c:pt>
                <c:pt idx="46">
                  <c:v>41548</c:v>
                </c:pt>
                <c:pt idx="47">
                  <c:v>41579</c:v>
                </c:pt>
                <c:pt idx="48">
                  <c:v>41609</c:v>
                </c:pt>
                <c:pt idx="49">
                  <c:v>41640</c:v>
                </c:pt>
                <c:pt idx="50">
                  <c:v>41671</c:v>
                </c:pt>
                <c:pt idx="51">
                  <c:v>41699</c:v>
                </c:pt>
                <c:pt idx="52">
                  <c:v>41730</c:v>
                </c:pt>
                <c:pt idx="53">
                  <c:v>41760</c:v>
                </c:pt>
                <c:pt idx="54">
                  <c:v>41791</c:v>
                </c:pt>
                <c:pt idx="55">
                  <c:v>41821</c:v>
                </c:pt>
                <c:pt idx="56">
                  <c:v>41852</c:v>
                </c:pt>
                <c:pt idx="57">
                  <c:v>41883</c:v>
                </c:pt>
                <c:pt idx="58">
                  <c:v>41913</c:v>
                </c:pt>
                <c:pt idx="59">
                  <c:v>41944</c:v>
                </c:pt>
                <c:pt idx="60">
                  <c:v>41974</c:v>
                </c:pt>
                <c:pt idx="61">
                  <c:v>42005</c:v>
                </c:pt>
                <c:pt idx="62">
                  <c:v>42036</c:v>
                </c:pt>
                <c:pt idx="63">
                  <c:v>42064</c:v>
                </c:pt>
                <c:pt idx="64">
                  <c:v>42095</c:v>
                </c:pt>
                <c:pt idx="65">
                  <c:v>42125</c:v>
                </c:pt>
                <c:pt idx="66">
                  <c:v>42156</c:v>
                </c:pt>
                <c:pt idx="67">
                  <c:v>42186</c:v>
                </c:pt>
                <c:pt idx="68">
                  <c:v>42217</c:v>
                </c:pt>
                <c:pt idx="69">
                  <c:v>42248</c:v>
                </c:pt>
                <c:pt idx="70">
                  <c:v>42278</c:v>
                </c:pt>
                <c:pt idx="71">
                  <c:v>42309</c:v>
                </c:pt>
                <c:pt idx="72">
                  <c:v>42339</c:v>
                </c:pt>
                <c:pt idx="73">
                  <c:v>42370</c:v>
                </c:pt>
                <c:pt idx="74">
                  <c:v>42401</c:v>
                </c:pt>
                <c:pt idx="75">
                  <c:v>42430</c:v>
                </c:pt>
              </c:numCache>
            </c:numRef>
          </c:cat>
          <c:val>
            <c:numRef>
              <c:f>Sheet2!$J$2:$J$116</c:f>
              <c:numCache>
                <c:formatCode>General</c:formatCode>
                <c:ptCount val="115"/>
                <c:pt idx="0">
                  <c:v>-9.4587556219837998E-2</c:v>
                </c:pt>
                <c:pt idx="1">
                  <c:v>-0.209381142430034</c:v>
                </c:pt>
                <c:pt idx="2">
                  <c:v>-4.4864753513748003E-2</c:v>
                </c:pt>
                <c:pt idx="3">
                  <c:v>1.1415782233543E-2</c:v>
                </c:pt>
                <c:pt idx="4">
                  <c:v>-7.6791326544649E-2</c:v>
                </c:pt>
                <c:pt idx="5">
                  <c:v>9.8065120406045994E-2</c:v>
                </c:pt>
                <c:pt idx="6">
                  <c:v>0.29653433904288101</c:v>
                </c:pt>
                <c:pt idx="7">
                  <c:v>0.480414784239304</c:v>
                </c:pt>
                <c:pt idx="8">
                  <c:v>0.63039709111225894</c:v>
                </c:pt>
                <c:pt idx="9">
                  <c:v>0.69253608682645995</c:v>
                </c:pt>
                <c:pt idx="10">
                  <c:v>0.74997644026162003</c:v>
                </c:pt>
                <c:pt idx="11">
                  <c:v>0.39409314454975702</c:v>
                </c:pt>
                <c:pt idx="12">
                  <c:v>-5.8778361726587E-2</c:v>
                </c:pt>
                <c:pt idx="13">
                  <c:v>-0.20222766811905499</c:v>
                </c:pt>
                <c:pt idx="14">
                  <c:v>-0.44014713561300001</c:v>
                </c:pt>
                <c:pt idx="15">
                  <c:v>-0.36490914919426698</c:v>
                </c:pt>
                <c:pt idx="16">
                  <c:v>-0.35194872501424002</c:v>
                </c:pt>
                <c:pt idx="17">
                  <c:v>-0.35984465447947001</c:v>
                </c:pt>
                <c:pt idx="18">
                  <c:v>-0.16207277822517399</c:v>
                </c:pt>
                <c:pt idx="19">
                  <c:v>-0.176771156749018</c:v>
                </c:pt>
                <c:pt idx="20">
                  <c:v>0.144218486946044</c:v>
                </c:pt>
                <c:pt idx="21">
                  <c:v>0.34106779353827199</c:v>
                </c:pt>
                <c:pt idx="22">
                  <c:v>0.31852962369938498</c:v>
                </c:pt>
                <c:pt idx="23">
                  <c:v>0.372675692048691</c:v>
                </c:pt>
                <c:pt idx="24">
                  <c:v>0.374745268689189</c:v>
                </c:pt>
                <c:pt idx="25">
                  <c:v>0.39697122944170399</c:v>
                </c:pt>
                <c:pt idx="26">
                  <c:v>0.34762752489980198</c:v>
                </c:pt>
                <c:pt idx="27">
                  <c:v>0.236235713024887</c:v>
                </c:pt>
                <c:pt idx="28">
                  <c:v>0.16737855414985101</c:v>
                </c:pt>
                <c:pt idx="29">
                  <c:v>7.3828774395176003E-2</c:v>
                </c:pt>
                <c:pt idx="30">
                  <c:v>0.167016664493394</c:v>
                </c:pt>
                <c:pt idx="31">
                  <c:v>0.21963901479312001</c:v>
                </c:pt>
                <c:pt idx="32">
                  <c:v>0.13639941553324</c:v>
                </c:pt>
                <c:pt idx="33">
                  <c:v>0.19063660594530299</c:v>
                </c:pt>
                <c:pt idx="34">
                  <c:v>0.27043226463328002</c:v>
                </c:pt>
                <c:pt idx="35">
                  <c:v>0.235507966298415</c:v>
                </c:pt>
                <c:pt idx="36">
                  <c:v>0.193334624743321</c:v>
                </c:pt>
                <c:pt idx="37">
                  <c:v>0.111636738086221</c:v>
                </c:pt>
                <c:pt idx="38">
                  <c:v>-5.2710148731645999E-2</c:v>
                </c:pt>
                <c:pt idx="39">
                  <c:v>-9.2106640771263001E-2</c:v>
                </c:pt>
                <c:pt idx="40">
                  <c:v>4.6833680507430003E-3</c:v>
                </c:pt>
                <c:pt idx="41">
                  <c:v>-0.173303590415121</c:v>
                </c:pt>
                <c:pt idx="42">
                  <c:v>-0.71944973359871101</c:v>
                </c:pt>
                <c:pt idx="43">
                  <c:v>-1.05004856307341</c:v>
                </c:pt>
                <c:pt idx="44">
                  <c:v>-1.1584412500494901</c:v>
                </c:pt>
                <c:pt idx="45">
                  <c:v>-1.18332101382767</c:v>
                </c:pt>
                <c:pt idx="46">
                  <c:v>-0.85061914876619205</c:v>
                </c:pt>
                <c:pt idx="47">
                  <c:v>-0.85901167322366001</c:v>
                </c:pt>
                <c:pt idx="48">
                  <c:v>-1.0577035852490699</c:v>
                </c:pt>
                <c:pt idx="49">
                  <c:v>-1.00040120886095</c:v>
                </c:pt>
                <c:pt idx="50">
                  <c:v>-0.807874682233931</c:v>
                </c:pt>
                <c:pt idx="51">
                  <c:v>-0.79601933443862805</c:v>
                </c:pt>
                <c:pt idx="52">
                  <c:v>-0.80759945886372797</c:v>
                </c:pt>
                <c:pt idx="53">
                  <c:v>-0.64573526315735896</c:v>
                </c:pt>
                <c:pt idx="54">
                  <c:v>-0.58946477168912004</c:v>
                </c:pt>
                <c:pt idx="55">
                  <c:v>-0.58575399673545803</c:v>
                </c:pt>
                <c:pt idx="56">
                  <c:v>-0.587043837447913</c:v>
                </c:pt>
                <c:pt idx="57">
                  <c:v>-0.63368163149833401</c:v>
                </c:pt>
                <c:pt idx="58">
                  <c:v>-0.49341701829314599</c:v>
                </c:pt>
                <c:pt idx="59">
                  <c:v>-0.44786096002484099</c:v>
                </c:pt>
                <c:pt idx="60">
                  <c:v>-0.34580062036661802</c:v>
                </c:pt>
                <c:pt idx="61">
                  <c:v>-0.16053299490838099</c:v>
                </c:pt>
                <c:pt idx="62">
                  <c:v>0.25196003226986202</c:v>
                </c:pt>
                <c:pt idx="63">
                  <c:v>0.16770432680525599</c:v>
                </c:pt>
                <c:pt idx="64">
                  <c:v>0.26826711117010599</c:v>
                </c:pt>
                <c:pt idx="65">
                  <c:v>2.8192254815879999E-2</c:v>
                </c:pt>
                <c:pt idx="66">
                  <c:v>-0.105392209093792</c:v>
                </c:pt>
                <c:pt idx="67">
                  <c:v>-0.18008083334260599</c:v>
                </c:pt>
                <c:pt idx="68">
                  <c:v>-1.8419984728306998E-2</c:v>
                </c:pt>
                <c:pt idx="69">
                  <c:v>1.6391010732871001E-2</c:v>
                </c:pt>
                <c:pt idx="70">
                  <c:v>0.1189194961734</c:v>
                </c:pt>
                <c:pt idx="71">
                  <c:v>-1.4653658847861E-2</c:v>
                </c:pt>
                <c:pt idx="72">
                  <c:v>-5.0860721199827E-2</c:v>
                </c:pt>
                <c:pt idx="73">
                  <c:v>6.4410027787123E-2</c:v>
                </c:pt>
                <c:pt idx="74">
                  <c:v>0.25263084950454201</c:v>
                </c:pt>
                <c:pt idx="75">
                  <c:v>0.28011627192768901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10560"/>
        <c:axId val="315812096"/>
      </c:lineChart>
      <c:dateAx>
        <c:axId val="3158105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315812096"/>
        <c:crosses val="autoZero"/>
        <c:auto val="1"/>
        <c:lblOffset val="100"/>
        <c:baseTimeUnit val="months"/>
      </c:dateAx>
      <c:valAx>
        <c:axId val="315812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58105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Sheet2!$O$1</c:f>
              <c:strCache>
                <c:ptCount val="1"/>
                <c:pt idx="0">
                  <c:v>incentive_conv</c:v>
                </c:pt>
              </c:strCache>
            </c:strRef>
          </c:tx>
          <c:marker>
            <c:symbol val="none"/>
          </c:marker>
          <c:cat>
            <c:numRef>
              <c:f>Sheet2!$N$2:$N$116</c:f>
              <c:numCache>
                <c:formatCode>m/d/yyyy</c:formatCode>
                <c:ptCount val="115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</c:numCache>
            </c:numRef>
          </c:cat>
          <c:val>
            <c:numRef>
              <c:f>Sheet2!$O$2:$O$116</c:f>
              <c:numCache>
                <c:formatCode>General</c:formatCode>
                <c:ptCount val="115"/>
                <c:pt idx="0">
                  <c:v>-9.4864743006558505E-2</c:v>
                </c:pt>
                <c:pt idx="1">
                  <c:v>5.18428416404225E-2</c:v>
                </c:pt>
                <c:pt idx="2">
                  <c:v>0.14444660679423801</c:v>
                </c:pt>
                <c:pt idx="3">
                  <c:v>0.26643844047792398</c:v>
                </c:pt>
                <c:pt idx="4">
                  <c:v>0.390810609685798</c:v>
                </c:pt>
                <c:pt idx="5">
                  <c:v>0.28861792630946398</c:v>
                </c:pt>
                <c:pt idx="6">
                  <c:v>0.27710114106994699</c:v>
                </c:pt>
                <c:pt idx="7">
                  <c:v>0.35049413344802299</c:v>
                </c:pt>
                <c:pt idx="8">
                  <c:v>0.30773818237246398</c:v>
                </c:pt>
                <c:pt idx="9">
                  <c:v>0.22261727114761901</c:v>
                </c:pt>
                <c:pt idx="10">
                  <c:v>-0.17611075166099599</c:v>
                </c:pt>
                <c:pt idx="11">
                  <c:v>-0.208207502322793</c:v>
                </c:pt>
                <c:pt idx="12">
                  <c:v>-8.0038463241091595E-2</c:v>
                </c:pt>
                <c:pt idx="13">
                  <c:v>0.10543275803720401</c:v>
                </c:pt>
                <c:pt idx="14">
                  <c:v>0.16656674449592301</c:v>
                </c:pt>
                <c:pt idx="15">
                  <c:v>0.34468944759966802</c:v>
                </c:pt>
                <c:pt idx="16">
                  <c:v>0.45689501652539199</c:v>
                </c:pt>
                <c:pt idx="17">
                  <c:v>0.80369335110207296</c:v>
                </c:pt>
                <c:pt idx="18">
                  <c:v>0.59964378214503999</c:v>
                </c:pt>
                <c:pt idx="19">
                  <c:v>0.53252384595772095</c:v>
                </c:pt>
                <c:pt idx="20">
                  <c:v>0.54013003155213701</c:v>
                </c:pt>
                <c:pt idx="21">
                  <c:v>0.41777601194833403</c:v>
                </c:pt>
                <c:pt idx="22">
                  <c:v>7.0791031619568998E-2</c:v>
                </c:pt>
                <c:pt idx="23">
                  <c:v>-4.3997807336204398E-2</c:v>
                </c:pt>
                <c:pt idx="24">
                  <c:v>-0.115180930336113</c:v>
                </c:pt>
                <c:pt idx="25">
                  <c:v>0.32377315869106998</c:v>
                </c:pt>
                <c:pt idx="26">
                  <c:v>0.17626520029604401</c:v>
                </c:pt>
                <c:pt idx="27">
                  <c:v>0.26478895016404203</c:v>
                </c:pt>
                <c:pt idx="28">
                  <c:v>1.0550863544874201</c:v>
                </c:pt>
                <c:pt idx="29">
                  <c:v>1.3011137062267299</c:v>
                </c:pt>
                <c:pt idx="30">
                  <c:v>1.1933905319016</c:v>
                </c:pt>
                <c:pt idx="31">
                  <c:v>1.2861911280921501</c:v>
                </c:pt>
                <c:pt idx="32">
                  <c:v>1.3911743910662999</c:v>
                </c:pt>
                <c:pt idx="33">
                  <c:v>1.2791436378624499</c:v>
                </c:pt>
                <c:pt idx="34">
                  <c:v>0.65138611167104399</c:v>
                </c:pt>
                <c:pt idx="35">
                  <c:v>0.76576024476173798</c:v>
                </c:pt>
                <c:pt idx="36">
                  <c:v>0.74035785592264303</c:v>
                </c:pt>
                <c:pt idx="37">
                  <c:v>0.84376012851187099</c:v>
                </c:pt>
                <c:pt idx="38">
                  <c:v>0.88542294401933797</c:v>
                </c:pt>
                <c:pt idx="39">
                  <c:v>0.94019135462843895</c:v>
                </c:pt>
                <c:pt idx="40">
                  <c:v>0.85614594847458503</c:v>
                </c:pt>
                <c:pt idx="41">
                  <c:v>0.72255772029083998</c:v>
                </c:pt>
                <c:pt idx="42">
                  <c:v>0.72441138849059605</c:v>
                </c:pt>
                <c:pt idx="43">
                  <c:v>0.66793126372172795</c:v>
                </c:pt>
                <c:pt idx="44">
                  <c:v>0.53298498102883496</c:v>
                </c:pt>
                <c:pt idx="45">
                  <c:v>0.71974301370309202</c:v>
                </c:pt>
                <c:pt idx="46">
                  <c:v>0.86751617854894003</c:v>
                </c:pt>
                <c:pt idx="47">
                  <c:v>0.97325563193367803</c:v>
                </c:pt>
                <c:pt idx="48">
                  <c:v>1.0743219226353</c:v>
                </c:pt>
                <c:pt idx="49">
                  <c:v>1.1086664962508099</c:v>
                </c:pt>
                <c:pt idx="50">
                  <c:v>1.16757621955133</c:v>
                </c:pt>
                <c:pt idx="51">
                  <c:v>1.0399350647230601</c:v>
                </c:pt>
                <c:pt idx="52">
                  <c:v>0.5910177328324</c:v>
                </c:pt>
                <c:pt idx="53">
                  <c:v>0.48457504972930399</c:v>
                </c:pt>
                <c:pt idx="54">
                  <c:v>0.25443147502226698</c:v>
                </c:pt>
                <c:pt idx="55">
                  <c:v>0.36450555359181303</c:v>
                </c:pt>
                <c:pt idx="56">
                  <c:v>0.362405250152877</c:v>
                </c:pt>
                <c:pt idx="57">
                  <c:v>0.55903650408316297</c:v>
                </c:pt>
                <c:pt idx="58">
                  <c:v>0.68021928364760598</c:v>
                </c:pt>
                <c:pt idx="59">
                  <c:v>0.64353212417933003</c:v>
                </c:pt>
                <c:pt idx="60">
                  <c:v>0.92049695299064405</c:v>
                </c:pt>
                <c:pt idx="61">
                  <c:v>1.0829874164756199</c:v>
                </c:pt>
                <c:pt idx="62">
                  <c:v>1.0417990018304599</c:v>
                </c:pt>
                <c:pt idx="63">
                  <c:v>1.1138849053182101</c:v>
                </c:pt>
                <c:pt idx="64">
                  <c:v>1.1387417764213501</c:v>
                </c:pt>
                <c:pt idx="65">
                  <c:v>1.13868420620577</c:v>
                </c:pt>
                <c:pt idx="66">
                  <c:v>1.11747914353666</c:v>
                </c:pt>
                <c:pt idx="67">
                  <c:v>1.0515920804038099</c:v>
                </c:pt>
                <c:pt idx="68">
                  <c:v>1.12309667260476</c:v>
                </c:pt>
                <c:pt idx="69">
                  <c:v>1.2278780489883601</c:v>
                </c:pt>
                <c:pt idx="70">
                  <c:v>1.3347600830028099</c:v>
                </c:pt>
                <c:pt idx="71">
                  <c:v>1.4307581635423801</c:v>
                </c:pt>
                <c:pt idx="72">
                  <c:v>1.3660403093261799</c:v>
                </c:pt>
                <c:pt idx="73">
                  <c:v>1.4385576716336499</c:v>
                </c:pt>
                <c:pt idx="74">
                  <c:v>1.4894903535689801</c:v>
                </c:pt>
                <c:pt idx="75">
                  <c:v>1.45969748581557</c:v>
                </c:pt>
                <c:pt idx="76">
                  <c:v>1.4373258771303601</c:v>
                </c:pt>
                <c:pt idx="77">
                  <c:v>1.3251579540013201</c:v>
                </c:pt>
                <c:pt idx="78">
                  <c:v>1.1383960963444599</c:v>
                </c:pt>
                <c:pt idx="79">
                  <c:v>1.0805235423835999</c:v>
                </c:pt>
                <c:pt idx="80">
                  <c:v>1.16793886161098</c:v>
                </c:pt>
                <c:pt idx="81">
                  <c:v>1.0678903284024399</c:v>
                </c:pt>
                <c:pt idx="82">
                  <c:v>0.485398980698517</c:v>
                </c:pt>
                <c:pt idx="83">
                  <c:v>0.14749602627095201</c:v>
                </c:pt>
                <c:pt idx="84">
                  <c:v>2.6324460141781299E-2</c:v>
                </c:pt>
                <c:pt idx="85">
                  <c:v>-1.4643423114694701E-2</c:v>
                </c:pt>
                <c:pt idx="86">
                  <c:v>0.267832236804318</c:v>
                </c:pt>
                <c:pt idx="87">
                  <c:v>0.16178110338325499</c:v>
                </c:pt>
                <c:pt idx="88">
                  <c:v>-3.055233214286E-2</c:v>
                </c:pt>
                <c:pt idx="89">
                  <c:v>-3.2017366674730298E-2</c:v>
                </c:pt>
                <c:pt idx="90">
                  <c:v>9.5886102252205702E-2</c:v>
                </c:pt>
                <c:pt idx="91">
                  <c:v>8.9431503220627595E-2</c:v>
                </c:pt>
                <c:pt idx="92">
                  <c:v>0.10505337769368001</c:v>
                </c:pt>
                <c:pt idx="93">
                  <c:v>0.29496121942884201</c:v>
                </c:pt>
                <c:pt idx="94">
                  <c:v>0.31075046908216702</c:v>
                </c:pt>
                <c:pt idx="95">
                  <c:v>0.32732409380286998</c:v>
                </c:pt>
                <c:pt idx="96">
                  <c:v>0.34236257847569301</c:v>
                </c:pt>
                <c:pt idx="97">
                  <c:v>0.30311220796231603</c:v>
                </c:pt>
                <c:pt idx="98">
                  <c:v>0.42275960777015098</c:v>
                </c:pt>
                <c:pt idx="99">
                  <c:v>0.44510455044444303</c:v>
                </c:pt>
                <c:pt idx="100">
                  <c:v>0.59239752548798397</c:v>
                </c:pt>
                <c:pt idx="101">
                  <c:v>0.76223425940752598</c:v>
                </c:pt>
                <c:pt idx="102">
                  <c:v>0.71201159766567002</c:v>
                </c:pt>
                <c:pt idx="103">
                  <c:v>0.66377523440585795</c:v>
                </c:pt>
                <c:pt idx="104">
                  <c:v>0.74959353560154995</c:v>
                </c:pt>
                <c:pt idx="105">
                  <c:v>0.57437328801645704</c:v>
                </c:pt>
                <c:pt idx="106">
                  <c:v>0.41216865476373898</c:v>
                </c:pt>
                <c:pt idx="107">
                  <c:v>0.34956414836794902</c:v>
                </c:pt>
                <c:pt idx="108">
                  <c:v>0.49052474590259998</c:v>
                </c:pt>
                <c:pt idx="109">
                  <c:v>0.49768762723285798</c:v>
                </c:pt>
                <c:pt idx="110">
                  <c:v>0.59122611373662504</c:v>
                </c:pt>
                <c:pt idx="111">
                  <c:v>0.414800880977786</c:v>
                </c:pt>
                <c:pt idx="112">
                  <c:v>0.39236832974649</c:v>
                </c:pt>
                <c:pt idx="113">
                  <c:v>0.47643507256125001</c:v>
                </c:pt>
                <c:pt idx="114">
                  <c:v>0.696146771268769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Sheet2!$P$1</c:f>
              <c:strCache>
                <c:ptCount val="1"/>
                <c:pt idx="0">
                  <c:v>incentive_gnma</c:v>
                </c:pt>
              </c:strCache>
            </c:strRef>
          </c:tx>
          <c:marker>
            <c:symbol val="none"/>
          </c:marker>
          <c:cat>
            <c:numRef>
              <c:f>Sheet2!$N$2:$N$116</c:f>
              <c:numCache>
                <c:formatCode>m/d/yyyy</c:formatCode>
                <c:ptCount val="115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</c:numCache>
            </c:numRef>
          </c:cat>
          <c:val>
            <c:numRef>
              <c:f>Sheet2!$P$2:$P$116</c:f>
              <c:numCache>
                <c:formatCode>General</c:formatCode>
                <c:ptCount val="115"/>
                <c:pt idx="0">
                  <c:v>-0.42925060271568699</c:v>
                </c:pt>
                <c:pt idx="1">
                  <c:v>-0.35016092749970701</c:v>
                </c:pt>
                <c:pt idx="2">
                  <c:v>-0.22585023579906</c:v>
                </c:pt>
                <c:pt idx="3">
                  <c:v>-0.104146450947085</c:v>
                </c:pt>
                <c:pt idx="4">
                  <c:v>-0.22963244458512799</c:v>
                </c:pt>
                <c:pt idx="5">
                  <c:v>-0.25652050224853001</c:v>
                </c:pt>
                <c:pt idx="6">
                  <c:v>-0.19094071607597199</c:v>
                </c:pt>
                <c:pt idx="7">
                  <c:v>-0.25868351884962298</c:v>
                </c:pt>
                <c:pt idx="8">
                  <c:v>-0.35122280111098803</c:v>
                </c:pt>
                <c:pt idx="9">
                  <c:v>-0.74834191520171101</c:v>
                </c:pt>
                <c:pt idx="10">
                  <c:v>-0.769609594226216</c:v>
                </c:pt>
                <c:pt idx="11">
                  <c:v>-0.62007826407203204</c:v>
                </c:pt>
                <c:pt idx="12">
                  <c:v>-0.43628338846853998</c:v>
                </c:pt>
                <c:pt idx="13">
                  <c:v>-0.35672715864388999</c:v>
                </c:pt>
                <c:pt idx="14">
                  <c:v>-0.166391514067807</c:v>
                </c:pt>
                <c:pt idx="15">
                  <c:v>-4.6496289118968998E-2</c:v>
                </c:pt>
                <c:pt idx="16">
                  <c:v>0.30250433446185898</c:v>
                </c:pt>
                <c:pt idx="17">
                  <c:v>0.107176168007691</c:v>
                </c:pt>
                <c:pt idx="18">
                  <c:v>1.8102536803810999E-2</c:v>
                </c:pt>
                <c:pt idx="19">
                  <c:v>3.3069671153301998E-2</c:v>
                </c:pt>
                <c:pt idx="20">
                  <c:v>-0.103303643959298</c:v>
                </c:pt>
                <c:pt idx="21">
                  <c:v>-0.45877808001769099</c:v>
                </c:pt>
                <c:pt idx="22">
                  <c:v>-0.58405468958069595</c:v>
                </c:pt>
                <c:pt idx="23">
                  <c:v>-0.65203257979881002</c:v>
                </c:pt>
                <c:pt idx="24">
                  <c:v>-0.194220202561211</c:v>
                </c:pt>
                <c:pt idx="25">
                  <c:v>-0.36385562960454698</c:v>
                </c:pt>
                <c:pt idx="26">
                  <c:v>-0.29471439058318799</c:v>
                </c:pt>
                <c:pt idx="27">
                  <c:v>0.47515336373212502</c:v>
                </c:pt>
                <c:pt idx="28">
                  <c:v>0.68405987970016602</c:v>
                </c:pt>
                <c:pt idx="29">
                  <c:v>0.54522781142088605</c:v>
                </c:pt>
                <c:pt idx="30">
                  <c:v>0.62060577917508197</c:v>
                </c:pt>
                <c:pt idx="31">
                  <c:v>0.754981015843044</c:v>
                </c:pt>
                <c:pt idx="32">
                  <c:v>0.59080079355808601</c:v>
                </c:pt>
                <c:pt idx="33">
                  <c:v>-4.3450319686531999E-2</c:v>
                </c:pt>
                <c:pt idx="34">
                  <c:v>0.11897091033075</c:v>
                </c:pt>
                <c:pt idx="35">
                  <c:v>6.0736485112578002E-2</c:v>
                </c:pt>
                <c:pt idx="36">
                  <c:v>0.17935047390912801</c:v>
                </c:pt>
                <c:pt idx="37">
                  <c:v>0.23550600540314401</c:v>
                </c:pt>
                <c:pt idx="38">
                  <c:v>0.316895771688608</c:v>
                </c:pt>
                <c:pt idx="39">
                  <c:v>0.25854703382712102</c:v>
                </c:pt>
                <c:pt idx="40">
                  <c:v>0.14533479800829399</c:v>
                </c:pt>
                <c:pt idx="41">
                  <c:v>0.19337146561035401</c:v>
                </c:pt>
                <c:pt idx="42">
                  <c:v>0.21374207516399699</c:v>
                </c:pt>
                <c:pt idx="43">
                  <c:v>5.35205807353E-2</c:v>
                </c:pt>
                <c:pt idx="44">
                  <c:v>0.19475114671812899</c:v>
                </c:pt>
                <c:pt idx="45">
                  <c:v>0.36872043715313901</c:v>
                </c:pt>
                <c:pt idx="46">
                  <c:v>0.52317787647200398</c:v>
                </c:pt>
                <c:pt idx="47">
                  <c:v>0.651253953673541</c:v>
                </c:pt>
                <c:pt idx="48">
                  <c:v>0.71247421946533096</c:v>
                </c:pt>
                <c:pt idx="49">
                  <c:v>0.79776377842690105</c:v>
                </c:pt>
                <c:pt idx="50">
                  <c:v>0.44498537396283699</c:v>
                </c:pt>
                <c:pt idx="51">
                  <c:v>1.3292947450842999E-2</c:v>
                </c:pt>
                <c:pt idx="52">
                  <c:v>-7.3251384020973004E-2</c:v>
                </c:pt>
                <c:pt idx="53">
                  <c:v>-0.28860155481081001</c:v>
                </c:pt>
                <c:pt idx="54">
                  <c:v>-0.18303115540481599</c:v>
                </c:pt>
                <c:pt idx="55">
                  <c:v>-0.161835513689917</c:v>
                </c:pt>
                <c:pt idx="56">
                  <c:v>-0.18645045915821801</c:v>
                </c:pt>
                <c:pt idx="57">
                  <c:v>-7.0008648345069998E-3</c:v>
                </c:pt>
                <c:pt idx="58">
                  <c:v>-3.7740525443759998E-2</c:v>
                </c:pt>
                <c:pt idx="59">
                  <c:v>0.27629325199440802</c:v>
                </c:pt>
                <c:pt idx="60">
                  <c:v>0.47091416099274103</c:v>
                </c:pt>
                <c:pt idx="61">
                  <c:v>0.446050327224147</c:v>
                </c:pt>
                <c:pt idx="62">
                  <c:v>0.50311427945720799</c:v>
                </c:pt>
                <c:pt idx="63">
                  <c:v>0.50840479330626698</c:v>
                </c:pt>
                <c:pt idx="64">
                  <c:v>0.52752983781523799</c:v>
                </c:pt>
                <c:pt idx="65">
                  <c:v>0.49829144615916698</c:v>
                </c:pt>
                <c:pt idx="66">
                  <c:v>0.39454382463013798</c:v>
                </c:pt>
                <c:pt idx="67">
                  <c:v>0.39377468455267101</c:v>
                </c:pt>
                <c:pt idx="68">
                  <c:v>0.32934870023963903</c:v>
                </c:pt>
                <c:pt idx="69">
                  <c:v>0.441970157502104</c:v>
                </c:pt>
                <c:pt idx="70">
                  <c:v>0.78986662049804202</c:v>
                </c:pt>
                <c:pt idx="71">
                  <c:v>0.72535610473876</c:v>
                </c:pt>
                <c:pt idx="72">
                  <c:v>0.78076090700790401</c:v>
                </c:pt>
                <c:pt idx="73">
                  <c:v>0.864305920034251</c:v>
                </c:pt>
                <c:pt idx="74">
                  <c:v>0.81357120951937401</c:v>
                </c:pt>
                <c:pt idx="75">
                  <c:v>0.75585447303173403</c:v>
                </c:pt>
                <c:pt idx="76">
                  <c:v>0.661031889962164</c:v>
                </c:pt>
                <c:pt idx="77">
                  <c:v>0.47770629224675598</c:v>
                </c:pt>
                <c:pt idx="78">
                  <c:v>0.41799148527047703</c:v>
                </c:pt>
                <c:pt idx="79">
                  <c:v>0.479026193416973</c:v>
                </c:pt>
                <c:pt idx="80">
                  <c:v>0.29133997761080199</c:v>
                </c:pt>
                <c:pt idx="81">
                  <c:v>-0.28517484687295402</c:v>
                </c:pt>
                <c:pt idx="82">
                  <c:v>-0.65244584333325994</c:v>
                </c:pt>
                <c:pt idx="83">
                  <c:v>-0.79487087894736597</c:v>
                </c:pt>
                <c:pt idx="84">
                  <c:v>-0.85248937319084905</c:v>
                </c:pt>
                <c:pt idx="85">
                  <c:v>-0.54198366896986605</c:v>
                </c:pt>
                <c:pt idx="86">
                  <c:v>-0.56786287833965399</c:v>
                </c:pt>
                <c:pt idx="87">
                  <c:v>-0.78118353261421702</c:v>
                </c:pt>
                <c:pt idx="88">
                  <c:v>-0.73636407646655</c:v>
                </c:pt>
                <c:pt idx="89">
                  <c:v>-0.55724022122612404</c:v>
                </c:pt>
                <c:pt idx="90">
                  <c:v>-0.55579208478189102</c:v>
                </c:pt>
                <c:pt idx="91">
                  <c:v>-0.57625054554802702</c:v>
                </c:pt>
                <c:pt idx="92">
                  <c:v>-0.42384635996538</c:v>
                </c:pt>
                <c:pt idx="93">
                  <c:v>-0.37627996291537902</c:v>
                </c:pt>
                <c:pt idx="94">
                  <c:v>-0.37954471894432501</c:v>
                </c:pt>
                <c:pt idx="95">
                  <c:v>-0.38780706878334098</c:v>
                </c:pt>
                <c:pt idx="96">
                  <c:v>-0.444243405579822</c:v>
                </c:pt>
                <c:pt idx="97">
                  <c:v>-0.31180332554678097</c:v>
                </c:pt>
                <c:pt idx="98">
                  <c:v>-0.27341005029172299</c:v>
                </c:pt>
                <c:pt idx="99">
                  <c:v>-0.17881363328866801</c:v>
                </c:pt>
                <c:pt idx="100">
                  <c:v>-1.199939631296E-3</c:v>
                </c:pt>
                <c:pt idx="101">
                  <c:v>0.35431305959401599</c:v>
                </c:pt>
                <c:pt idx="102">
                  <c:v>0.25899194417453197</c:v>
                </c:pt>
                <c:pt idx="103">
                  <c:v>0.347410939211727</c:v>
                </c:pt>
                <c:pt idx="104">
                  <c:v>8.9717214061719994E-2</c:v>
                </c:pt>
                <c:pt idx="105">
                  <c:v>-5.9491729826188999E-2</c:v>
                </c:pt>
                <c:pt idx="106">
                  <c:v>-0.14866036364771601</c:v>
                </c:pt>
                <c:pt idx="107">
                  <c:v>1.641690929018E-3</c:v>
                </c:pt>
                <c:pt idx="108">
                  <c:v>2.9292446331154E-2</c:v>
                </c:pt>
                <c:pt idx="109">
                  <c:v>0.127587853401263</c:v>
                </c:pt>
                <c:pt idx="110">
                  <c:v>-1.0983757518265001E-2</c:v>
                </c:pt>
                <c:pt idx="111">
                  <c:v>-5.1879780998967E-2</c:v>
                </c:pt>
                <c:pt idx="112">
                  <c:v>5.8648861484855E-2</c:v>
                </c:pt>
                <c:pt idx="113">
                  <c:v>0.24248224878711799</c:v>
                </c:pt>
                <c:pt idx="114">
                  <c:v>0.267107715972905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781504"/>
        <c:axId val="165783040"/>
      </c:lineChart>
      <c:dateAx>
        <c:axId val="1657815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165783040"/>
        <c:crosses val="autoZero"/>
        <c:auto val="1"/>
        <c:lblOffset val="100"/>
        <c:baseTimeUnit val="months"/>
      </c:dateAx>
      <c:valAx>
        <c:axId val="1657830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57815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LTV (90, 97)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Sheet2!$U$1</c:f>
              <c:strCache>
                <c:ptCount val="1"/>
                <c:pt idx="0">
                  <c:v>incentive_conv</c:v>
                </c:pt>
              </c:strCache>
            </c:strRef>
          </c:tx>
          <c:marker>
            <c:symbol val="none"/>
          </c:marker>
          <c:cat>
            <c:numRef>
              <c:f>Sheet2!$T$2:$T$116</c:f>
              <c:numCache>
                <c:formatCode>m/d/yyyy</c:formatCode>
                <c:ptCount val="115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</c:numCache>
            </c:numRef>
          </c:cat>
          <c:val>
            <c:numRef>
              <c:f>Sheet2!$U$2:$U$116</c:f>
              <c:numCache>
                <c:formatCode>General</c:formatCode>
                <c:ptCount val="115"/>
                <c:pt idx="0">
                  <c:v>0.58082950224969798</c:v>
                </c:pt>
                <c:pt idx="1">
                  <c:v>0.72216159213822495</c:v>
                </c:pt>
                <c:pt idx="2">
                  <c:v>0.81871674246947701</c:v>
                </c:pt>
                <c:pt idx="3">
                  <c:v>0.94028018565962002</c:v>
                </c:pt>
                <c:pt idx="4">
                  <c:v>1.06815193219821</c:v>
                </c:pt>
                <c:pt idx="5">
                  <c:v>0.97158058242596601</c:v>
                </c:pt>
                <c:pt idx="6">
                  <c:v>0.973059816627865</c:v>
                </c:pt>
                <c:pt idx="7">
                  <c:v>1.0799382124849299</c:v>
                </c:pt>
                <c:pt idx="8">
                  <c:v>1.0597353319062399</c:v>
                </c:pt>
                <c:pt idx="9">
                  <c:v>0.99450148755125301</c:v>
                </c:pt>
                <c:pt idx="10">
                  <c:v>0.58209136924615601</c:v>
                </c:pt>
                <c:pt idx="11">
                  <c:v>0.53226017990524399</c:v>
                </c:pt>
                <c:pt idx="12">
                  <c:v>0.650149439009436</c:v>
                </c:pt>
                <c:pt idx="13">
                  <c:v>0.75894095837056297</c:v>
                </c:pt>
                <c:pt idx="14">
                  <c:v>0.72574554128898705</c:v>
                </c:pt>
                <c:pt idx="15">
                  <c:v>0.78857328037039398</c:v>
                </c:pt>
                <c:pt idx="16">
                  <c:v>0.84605580459018004</c:v>
                </c:pt>
                <c:pt idx="17">
                  <c:v>1.1598117047030101</c:v>
                </c:pt>
                <c:pt idx="18">
                  <c:v>0.92075459122236203</c:v>
                </c:pt>
                <c:pt idx="19">
                  <c:v>0.869022584830762</c:v>
                </c:pt>
                <c:pt idx="20">
                  <c:v>0.91730293990944201</c:v>
                </c:pt>
                <c:pt idx="21">
                  <c:v>0.80916627883460701</c:v>
                </c:pt>
                <c:pt idx="22">
                  <c:v>0.46991018005813101</c:v>
                </c:pt>
                <c:pt idx="23">
                  <c:v>0.348043827409031</c:v>
                </c:pt>
                <c:pt idx="24">
                  <c:v>0.27507546806356897</c:v>
                </c:pt>
                <c:pt idx="25">
                  <c:v>0.68382249766218295</c:v>
                </c:pt>
                <c:pt idx="26">
                  <c:v>0.48888761151306698</c:v>
                </c:pt>
                <c:pt idx="27">
                  <c:v>0.53170565907210798</c:v>
                </c:pt>
                <c:pt idx="28">
                  <c:v>1.3268188116066399</c:v>
                </c:pt>
                <c:pt idx="29">
                  <c:v>1.5902513215643901</c:v>
                </c:pt>
                <c:pt idx="30">
                  <c:v>1.4964947850774499</c:v>
                </c:pt>
                <c:pt idx="31">
                  <c:v>1.6240468683595299</c:v>
                </c:pt>
                <c:pt idx="32">
                  <c:v>1.80350445960651</c:v>
                </c:pt>
                <c:pt idx="33">
                  <c:v>1.7407306416770401</c:v>
                </c:pt>
                <c:pt idx="34">
                  <c:v>1.16146550479002</c:v>
                </c:pt>
                <c:pt idx="35">
                  <c:v>1.3067027770174</c:v>
                </c:pt>
                <c:pt idx="36">
                  <c:v>1.2667836273358499</c:v>
                </c:pt>
                <c:pt idx="37">
                  <c:v>1.3356370862269</c:v>
                </c:pt>
                <c:pt idx="38">
                  <c:v>1.3463819062967799</c:v>
                </c:pt>
                <c:pt idx="39">
                  <c:v>1.37683049935386</c:v>
                </c:pt>
                <c:pt idx="40">
                  <c:v>1.2717693221797</c:v>
                </c:pt>
                <c:pt idx="41">
                  <c:v>1.11262492245417</c:v>
                </c:pt>
                <c:pt idx="42">
                  <c:v>1.0950804847241999</c:v>
                </c:pt>
                <c:pt idx="43">
                  <c:v>1.06048689767328</c:v>
                </c:pt>
                <c:pt idx="44">
                  <c:v>0.97475572460150095</c:v>
                </c:pt>
                <c:pt idx="45">
                  <c:v>1.1754992099891699</c:v>
                </c:pt>
                <c:pt idx="46">
                  <c:v>1.2955912172271999</c:v>
                </c:pt>
                <c:pt idx="47">
                  <c:v>1.3469925400501901</c:v>
                </c:pt>
                <c:pt idx="48">
                  <c:v>1.4178667117602199</c:v>
                </c:pt>
                <c:pt idx="49">
                  <c:v>1.42251362591391</c:v>
                </c:pt>
                <c:pt idx="50">
                  <c:v>1.4580445577798999</c:v>
                </c:pt>
                <c:pt idx="51">
                  <c:v>1.30024004020955</c:v>
                </c:pt>
                <c:pt idx="52">
                  <c:v>0.82427319057060899</c:v>
                </c:pt>
                <c:pt idx="53">
                  <c:v>0.69679717646432004</c:v>
                </c:pt>
                <c:pt idx="54">
                  <c:v>0.44582849012140002</c:v>
                </c:pt>
                <c:pt idx="55">
                  <c:v>0.54028447433712101</c:v>
                </c:pt>
                <c:pt idx="56">
                  <c:v>0.53607478863274804</c:v>
                </c:pt>
                <c:pt idx="57">
                  <c:v>0.74584465596475502</c:v>
                </c:pt>
                <c:pt idx="58">
                  <c:v>0.86367071964138298</c:v>
                </c:pt>
                <c:pt idx="59">
                  <c:v>0.82543781431095797</c:v>
                </c:pt>
                <c:pt idx="60">
                  <c:v>1.1005164126042299</c:v>
                </c:pt>
                <c:pt idx="61">
                  <c:v>1.2416899499501699</c:v>
                </c:pt>
                <c:pt idx="62">
                  <c:v>1.18813877088279</c:v>
                </c:pt>
                <c:pt idx="63">
                  <c:v>1.24313535725519</c:v>
                </c:pt>
                <c:pt idx="64">
                  <c:v>1.26245173655342</c:v>
                </c:pt>
                <c:pt idx="65">
                  <c:v>1.2495433936670099</c:v>
                </c:pt>
                <c:pt idx="66">
                  <c:v>1.2492791648645001</c:v>
                </c:pt>
                <c:pt idx="67">
                  <c:v>1.2179423893264001</c:v>
                </c:pt>
                <c:pt idx="68">
                  <c:v>1.31061130400258</c:v>
                </c:pt>
                <c:pt idx="69">
                  <c:v>1.44446663189519</c:v>
                </c:pt>
                <c:pt idx="70">
                  <c:v>1.5190633113910701</c:v>
                </c:pt>
                <c:pt idx="71">
                  <c:v>1.57537514121321</c:v>
                </c:pt>
                <c:pt idx="72">
                  <c:v>1.45735058782931</c:v>
                </c:pt>
                <c:pt idx="73">
                  <c:v>1.4911460894972</c:v>
                </c:pt>
                <c:pt idx="74">
                  <c:v>1.4923513339665899</c:v>
                </c:pt>
                <c:pt idx="75">
                  <c:v>1.41319206094571</c:v>
                </c:pt>
                <c:pt idx="76">
                  <c:v>1.3675157989675999</c:v>
                </c:pt>
                <c:pt idx="77">
                  <c:v>1.2274176551509901</c:v>
                </c:pt>
                <c:pt idx="78">
                  <c:v>1.0016565533330599</c:v>
                </c:pt>
                <c:pt idx="79">
                  <c:v>0.88984656428818298</c:v>
                </c:pt>
                <c:pt idx="80">
                  <c:v>0.89161469126951698</c:v>
                </c:pt>
                <c:pt idx="81">
                  <c:v>0.76723797088811596</c:v>
                </c:pt>
                <c:pt idx="82">
                  <c:v>0.14023388184860699</c:v>
                </c:pt>
                <c:pt idx="83">
                  <c:v>-0.23497669619383699</c:v>
                </c:pt>
                <c:pt idx="84">
                  <c:v>-0.37638014184963298</c:v>
                </c:pt>
                <c:pt idx="85">
                  <c:v>-0.438248032920313</c:v>
                </c:pt>
                <c:pt idx="86">
                  <c:v>-0.17152263641851001</c:v>
                </c:pt>
                <c:pt idx="87">
                  <c:v>-0.302435193079992</c:v>
                </c:pt>
                <c:pt idx="88">
                  <c:v>-0.495133207729122</c:v>
                </c:pt>
                <c:pt idx="89">
                  <c:v>-0.49818640879425502</c:v>
                </c:pt>
                <c:pt idx="90">
                  <c:v>-0.36724442205045998</c:v>
                </c:pt>
                <c:pt idx="91">
                  <c:v>-0.39536601018547202</c:v>
                </c:pt>
                <c:pt idx="92">
                  <c:v>-0.36971468281989101</c:v>
                </c:pt>
                <c:pt idx="93">
                  <c:v>-0.20585538281246299</c:v>
                </c:pt>
                <c:pt idx="94">
                  <c:v>-0.19700966383448101</c:v>
                </c:pt>
                <c:pt idx="95">
                  <c:v>-0.190559984540522</c:v>
                </c:pt>
                <c:pt idx="96">
                  <c:v>-0.18545491336662601</c:v>
                </c:pt>
                <c:pt idx="97">
                  <c:v>-0.21606289410572899</c:v>
                </c:pt>
                <c:pt idx="98">
                  <c:v>-0.10002284148092</c:v>
                </c:pt>
                <c:pt idx="99">
                  <c:v>-7.8727708967870902E-2</c:v>
                </c:pt>
                <c:pt idx="100">
                  <c:v>0.16062940918027199</c:v>
                </c:pt>
                <c:pt idx="101">
                  <c:v>0.320175292800366</c:v>
                </c:pt>
                <c:pt idx="102">
                  <c:v>0.24996194448634601</c:v>
                </c:pt>
                <c:pt idx="103">
                  <c:v>0.17011925407342501</c:v>
                </c:pt>
                <c:pt idx="104">
                  <c:v>0.16425793495383001</c:v>
                </c:pt>
                <c:pt idx="105">
                  <c:v>-0.10716619103494</c:v>
                </c:pt>
                <c:pt idx="106">
                  <c:v>-0.29455780146528598</c:v>
                </c:pt>
                <c:pt idx="107">
                  <c:v>-0.37993628034021698</c:v>
                </c:pt>
                <c:pt idx="108">
                  <c:v>-0.19373725874706199</c:v>
                </c:pt>
                <c:pt idx="109">
                  <c:v>-0.137063085283161</c:v>
                </c:pt>
                <c:pt idx="110">
                  <c:v>-1.4840978624518201E-2</c:v>
                </c:pt>
                <c:pt idx="111">
                  <c:v>-0.17705693467389499</c:v>
                </c:pt>
                <c:pt idx="112">
                  <c:v>-0.18116034332601899</c:v>
                </c:pt>
                <c:pt idx="113">
                  <c:v>-7.9393370902369198E-2</c:v>
                </c:pt>
                <c:pt idx="114">
                  <c:v>0.15881463899048501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Sheet2!$V$1</c:f>
              <c:strCache>
                <c:ptCount val="1"/>
                <c:pt idx="0">
                  <c:v>incentive_gnma</c:v>
                </c:pt>
              </c:strCache>
            </c:strRef>
          </c:tx>
          <c:marker>
            <c:symbol val="none"/>
          </c:marker>
          <c:cat>
            <c:numRef>
              <c:f>Sheet2!$T$2:$T$116</c:f>
              <c:numCache>
                <c:formatCode>m/d/yyyy</c:formatCode>
                <c:ptCount val="115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</c:numCache>
            </c:numRef>
          </c:cat>
          <c:val>
            <c:numRef>
              <c:f>Sheet2!$V$2:$V$116</c:f>
              <c:numCache>
                <c:formatCode>General</c:formatCode>
                <c:ptCount val="115"/>
                <c:pt idx="0">
                  <c:v>0.301997966969349</c:v>
                </c:pt>
                <c:pt idx="1">
                  <c:v>0.37483898793141401</c:v>
                </c:pt>
                <c:pt idx="2">
                  <c:v>0.50240260169609796</c:v>
                </c:pt>
                <c:pt idx="3">
                  <c:v>0.623112217808379</c:v>
                </c:pt>
                <c:pt idx="4">
                  <c:v>0.50099828950566305</c:v>
                </c:pt>
                <c:pt idx="5">
                  <c:v>0.479643560988191</c:v>
                </c:pt>
                <c:pt idx="6">
                  <c:v>0.55836914631255097</c:v>
                </c:pt>
                <c:pt idx="7">
                  <c:v>0.52567414999026296</c:v>
                </c:pt>
                <c:pt idx="8">
                  <c:v>0.456300908873154</c:v>
                </c:pt>
                <c:pt idx="9">
                  <c:v>8.0358494012893994E-2</c:v>
                </c:pt>
                <c:pt idx="10">
                  <c:v>4.4799821324579998E-2</c:v>
                </c:pt>
                <c:pt idx="11">
                  <c:v>0.17564833622348799</c:v>
                </c:pt>
                <c:pt idx="12">
                  <c:v>0.34820485214229902</c:v>
                </c:pt>
                <c:pt idx="13">
                  <c:v>0.34770982403353001</c:v>
                </c:pt>
                <c:pt idx="14">
                  <c:v>0.44026266067731001</c:v>
                </c:pt>
                <c:pt idx="15">
                  <c:v>0.442123686432839</c:v>
                </c:pt>
                <c:pt idx="16">
                  <c:v>0.73353273107343098</c:v>
                </c:pt>
                <c:pt idx="17">
                  <c:v>0.50350405346072002</c:v>
                </c:pt>
                <c:pt idx="18">
                  <c:v>0.36545928815942502</c:v>
                </c:pt>
                <c:pt idx="19">
                  <c:v>0.39616726926054602</c:v>
                </c:pt>
                <c:pt idx="20">
                  <c:v>0.30173303758472497</c:v>
                </c:pt>
                <c:pt idx="21">
                  <c:v>-3.9626944148463003E-2</c:v>
                </c:pt>
                <c:pt idx="22">
                  <c:v>-0.15749760448568501</c:v>
                </c:pt>
                <c:pt idx="23">
                  <c:v>-0.23217572877269199</c:v>
                </c:pt>
                <c:pt idx="24">
                  <c:v>0.22283216965975799</c:v>
                </c:pt>
                <c:pt idx="25">
                  <c:v>2.2507212942655001E-2</c:v>
                </c:pt>
                <c:pt idx="26">
                  <c:v>4.3717077345558998E-2</c:v>
                </c:pt>
                <c:pt idx="27">
                  <c:v>0.76711212538544404</c:v>
                </c:pt>
                <c:pt idx="28">
                  <c:v>0.980584599642497</c:v>
                </c:pt>
                <c:pt idx="29">
                  <c:v>0.85902377788897799</c:v>
                </c:pt>
                <c:pt idx="30">
                  <c:v>0.94861301202206605</c:v>
                </c:pt>
                <c:pt idx="31">
                  <c:v>1.11889566657059</c:v>
                </c:pt>
                <c:pt idx="32">
                  <c:v>1.0326617969885901</c:v>
                </c:pt>
                <c:pt idx="33">
                  <c:v>0.44987746811074503</c:v>
                </c:pt>
                <c:pt idx="34">
                  <c:v>0.66272683000287502</c:v>
                </c:pt>
                <c:pt idx="35">
                  <c:v>0.64892650823392695</c:v>
                </c:pt>
                <c:pt idx="36">
                  <c:v>0.77388455889168595</c:v>
                </c:pt>
                <c:pt idx="37">
                  <c:v>0.81974434258428397</c:v>
                </c:pt>
                <c:pt idx="38">
                  <c:v>0.88658643766893197</c:v>
                </c:pt>
                <c:pt idx="39">
                  <c:v>0.80858728267079105</c:v>
                </c:pt>
                <c:pt idx="40">
                  <c:v>0.67931491965234803</c:v>
                </c:pt>
                <c:pt idx="41">
                  <c:v>0.70916793931834698</c:v>
                </c:pt>
                <c:pt idx="42">
                  <c:v>0.71388146851896805</c:v>
                </c:pt>
                <c:pt idx="43">
                  <c:v>0.60111016194196398</c:v>
                </c:pt>
                <c:pt idx="44">
                  <c:v>0.79291042756536001</c:v>
                </c:pt>
                <c:pt idx="45">
                  <c:v>0.998515429177253</c:v>
                </c:pt>
                <c:pt idx="46">
                  <c:v>1.1307630268493001</c:v>
                </c:pt>
                <c:pt idx="47">
                  <c:v>1.22094789423697</c:v>
                </c:pt>
                <c:pt idx="48">
                  <c:v>1.2562853686353701</c:v>
                </c:pt>
                <c:pt idx="49">
                  <c:v>1.3158799912304799</c:v>
                </c:pt>
                <c:pt idx="50">
                  <c:v>0.94517968229766403</c:v>
                </c:pt>
                <c:pt idx="51">
                  <c:v>0.49194766071468099</c:v>
                </c:pt>
                <c:pt idx="52">
                  <c:v>0.37177445457721298</c:v>
                </c:pt>
                <c:pt idx="53">
                  <c:v>0.12531917938449</c:v>
                </c:pt>
                <c:pt idx="54">
                  <c:v>0.19981960573924001</c:v>
                </c:pt>
                <c:pt idx="55">
                  <c:v>0.23234610326560701</c:v>
                </c:pt>
                <c:pt idx="56">
                  <c:v>0.22644883558918899</c:v>
                </c:pt>
                <c:pt idx="57">
                  <c:v>0.43393939540165399</c:v>
                </c:pt>
                <c:pt idx="58">
                  <c:v>0.41385972233373602</c:v>
                </c:pt>
                <c:pt idx="59">
                  <c:v>0.73994323326312605</c:v>
                </c:pt>
                <c:pt idx="60">
                  <c:v>0.94426676052690195</c:v>
                </c:pt>
                <c:pt idx="61">
                  <c:v>0.90389195248902898</c:v>
                </c:pt>
                <c:pt idx="62">
                  <c:v>0.94952200989741997</c:v>
                </c:pt>
                <c:pt idx="63">
                  <c:v>0.93894434583576603</c:v>
                </c:pt>
                <c:pt idx="64">
                  <c:v>0.95352175990952004</c:v>
                </c:pt>
                <c:pt idx="65">
                  <c:v>0.91606224131257197</c:v>
                </c:pt>
                <c:pt idx="66">
                  <c:v>0.81440931189631205</c:v>
                </c:pt>
                <c:pt idx="67">
                  <c:v>0.87740442164135102</c:v>
                </c:pt>
                <c:pt idx="68">
                  <c:v>0.85781752100042596</c:v>
                </c:pt>
                <c:pt idx="69">
                  <c:v>1.0209004000240001</c:v>
                </c:pt>
                <c:pt idx="70">
                  <c:v>1.46839563417269</c:v>
                </c:pt>
                <c:pt idx="71">
                  <c:v>1.38184933483196</c:v>
                </c:pt>
                <c:pt idx="72">
                  <c:v>1.39969826710221</c:v>
                </c:pt>
                <c:pt idx="73">
                  <c:v>1.452460918771</c:v>
                </c:pt>
                <c:pt idx="74">
                  <c:v>1.3604513847048401</c:v>
                </c:pt>
                <c:pt idx="75">
                  <c:v>1.2625944953830599</c:v>
                </c:pt>
                <c:pt idx="76">
                  <c:v>1.1584770650818199</c:v>
                </c:pt>
                <c:pt idx="77">
                  <c:v>0.95978135357102601</c:v>
                </c:pt>
                <c:pt idx="78">
                  <c:v>0.87425658851413302</c:v>
                </c:pt>
                <c:pt idx="79">
                  <c:v>0.92714684878648401</c:v>
                </c:pt>
                <c:pt idx="80">
                  <c:v>0.73215886136977004</c:v>
                </c:pt>
                <c:pt idx="81">
                  <c:v>0.188540154496319</c:v>
                </c:pt>
                <c:pt idx="82">
                  <c:v>-0.19889173457418299</c:v>
                </c:pt>
                <c:pt idx="83">
                  <c:v>-0.35284493950285101</c:v>
                </c:pt>
                <c:pt idx="84">
                  <c:v>-0.41690336512236797</c:v>
                </c:pt>
                <c:pt idx="85">
                  <c:v>-0.13030860498397301</c:v>
                </c:pt>
                <c:pt idx="86">
                  <c:v>-0.17235481034674799</c:v>
                </c:pt>
                <c:pt idx="87">
                  <c:v>-0.39131860714037497</c:v>
                </c:pt>
                <c:pt idx="88">
                  <c:v>-0.344420649109901</c:v>
                </c:pt>
                <c:pt idx="89">
                  <c:v>-0.16354307324411399</c:v>
                </c:pt>
                <c:pt idx="90">
                  <c:v>-0.155026682441853</c:v>
                </c:pt>
                <c:pt idx="91">
                  <c:v>-0.122625955816933</c:v>
                </c:pt>
                <c:pt idx="92">
                  <c:v>4.8439180470666997E-2</c:v>
                </c:pt>
                <c:pt idx="93">
                  <c:v>0.103121342249322</c:v>
                </c:pt>
                <c:pt idx="94">
                  <c:v>9.6673810938530003E-2</c:v>
                </c:pt>
                <c:pt idx="95">
                  <c:v>8.0890420217385003E-2</c:v>
                </c:pt>
                <c:pt idx="96">
                  <c:v>1.6223423037522999E-2</c:v>
                </c:pt>
                <c:pt idx="97">
                  <c:v>0.146540928541886</c:v>
                </c:pt>
                <c:pt idx="98">
                  <c:v>0.17803697835836599</c:v>
                </c:pt>
                <c:pt idx="99">
                  <c:v>0.26571149688418</c:v>
                </c:pt>
                <c:pt idx="100">
                  <c:v>0.43724095777847399</c:v>
                </c:pt>
                <c:pt idx="101">
                  <c:v>0.79858079715020103</c:v>
                </c:pt>
                <c:pt idx="102">
                  <c:v>0.68724579109452399</c:v>
                </c:pt>
                <c:pt idx="103">
                  <c:v>0.74850148467866195</c:v>
                </c:pt>
                <c:pt idx="104">
                  <c:v>0.42714300034900199</c:v>
                </c:pt>
                <c:pt idx="105">
                  <c:v>0.217760390593981</c:v>
                </c:pt>
                <c:pt idx="106">
                  <c:v>0.104601292949578</c:v>
                </c:pt>
                <c:pt idx="107">
                  <c:v>0.234175675352119</c:v>
                </c:pt>
                <c:pt idx="108">
                  <c:v>0.260801093094156</c:v>
                </c:pt>
                <c:pt idx="109">
                  <c:v>0.382470349832917</c:v>
                </c:pt>
                <c:pt idx="110">
                  <c:v>0.25998062379946901</c:v>
                </c:pt>
                <c:pt idx="111">
                  <c:v>0.22729686148782199</c:v>
                </c:pt>
                <c:pt idx="112">
                  <c:v>0.34504916062656599</c:v>
                </c:pt>
                <c:pt idx="113">
                  <c:v>0.53654265453001004</c:v>
                </c:pt>
                <c:pt idx="114">
                  <c:v>0.57042319336916802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668992"/>
        <c:axId val="147670528"/>
      </c:lineChart>
      <c:dateAx>
        <c:axId val="1476689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147670528"/>
        <c:crosses val="autoZero"/>
        <c:auto val="1"/>
        <c:lblOffset val="100"/>
        <c:baseTimeUnit val="months"/>
      </c:dateAx>
      <c:valAx>
        <c:axId val="147670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76689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'LTV 90_97'!$H$1</c:f>
              <c:strCache>
                <c:ptCount val="1"/>
                <c:pt idx="0">
                  <c:v>Diff MI</c:v>
                </c:pt>
              </c:strCache>
            </c:strRef>
          </c:tx>
          <c:invertIfNegative val="0"/>
          <c:cat>
            <c:numRef>
              <c:f>'LTV 90_97'!$A$2:$A$116</c:f>
              <c:numCache>
                <c:formatCode>m/d/yyyy</c:formatCode>
                <c:ptCount val="115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</c:numCache>
            </c:numRef>
          </c:cat>
          <c:val>
            <c:numRef>
              <c:f>'LTV 90_97'!$H$2:$H$116</c:f>
              <c:numCache>
                <c:formatCode>General</c:formatCode>
                <c:ptCount val="115"/>
                <c:pt idx="0">
                  <c:v>-48.0736759798557</c:v>
                </c:pt>
                <c:pt idx="1">
                  <c:v>-48.107105940181825</c:v>
                </c:pt>
                <c:pt idx="2">
                  <c:v>-48.127003189220048</c:v>
                </c:pt>
                <c:pt idx="3">
                  <c:v>-48.152330601136676</c:v>
                </c:pt>
                <c:pt idx="4">
                  <c:v>-48.169315206528573</c:v>
                </c:pt>
                <c:pt idx="5">
                  <c:v>-48.193920586199326</c:v>
                </c:pt>
                <c:pt idx="6">
                  <c:v>-48.186490549102679</c:v>
                </c:pt>
                <c:pt idx="7">
                  <c:v>-48.135038614459745</c:v>
                </c:pt>
                <c:pt idx="8">
                  <c:v>-48.121502007831879</c:v>
                </c:pt>
                <c:pt idx="9">
                  <c:v>-48.079200326824328</c:v>
                </c:pt>
                <c:pt idx="10">
                  <c:v>-48.055356236062323</c:v>
                </c:pt>
                <c:pt idx="11">
                  <c:v>-48.031858973278553</c:v>
                </c:pt>
                <c:pt idx="12">
                  <c:v>-48.033220618753376</c:v>
                </c:pt>
                <c:pt idx="13">
                  <c:v>-48.151480789605877</c:v>
                </c:pt>
                <c:pt idx="14">
                  <c:v>-48.332237795410279</c:v>
                </c:pt>
                <c:pt idx="15">
                  <c:v>-48.427802751748025</c:v>
                </c:pt>
                <c:pt idx="16">
                  <c:v>-48.541857983972577</c:v>
                </c:pt>
                <c:pt idx="17">
                  <c:v>-48.554135174489019</c:v>
                </c:pt>
                <c:pt idx="18">
                  <c:v>-46.586723289106175</c:v>
                </c:pt>
                <c:pt idx="19">
                  <c:v>-46.567024730099192</c:v>
                </c:pt>
                <c:pt idx="20">
                  <c:v>-46.497336716738701</c:v>
                </c:pt>
                <c:pt idx="21">
                  <c:v>-46.552750233643422</c:v>
                </c:pt>
                <c:pt idx="22">
                  <c:v>-46.601074069695478</c:v>
                </c:pt>
                <c:pt idx="23">
                  <c:v>-46.649717601533624</c:v>
                </c:pt>
                <c:pt idx="24">
                  <c:v>-46.759749988418633</c:v>
                </c:pt>
                <c:pt idx="25">
                  <c:v>-46.766191643187277</c:v>
                </c:pt>
                <c:pt idx="26">
                  <c:v>-46.795191346419095</c:v>
                </c:pt>
                <c:pt idx="27">
                  <c:v>-46.831841835443228</c:v>
                </c:pt>
                <c:pt idx="28">
                  <c:v>-46.876852608050726</c:v>
                </c:pt>
                <c:pt idx="29">
                  <c:v>-46.887660356548452</c:v>
                </c:pt>
                <c:pt idx="30">
                  <c:v>-46.867833449394325</c:v>
                </c:pt>
                <c:pt idx="31">
                  <c:v>-46.847314966560148</c:v>
                </c:pt>
                <c:pt idx="32">
                  <c:v>-46.858602490912446</c:v>
                </c:pt>
                <c:pt idx="33">
                  <c:v>-46.836737821234706</c:v>
                </c:pt>
                <c:pt idx="34">
                  <c:v>-46.808449722633988</c:v>
                </c:pt>
                <c:pt idx="35">
                  <c:v>-45.100367764303172</c:v>
                </c:pt>
                <c:pt idx="36">
                  <c:v>-42.18334438948078</c:v>
                </c:pt>
                <c:pt idx="37">
                  <c:v>-38.7322881906953</c:v>
                </c:pt>
                <c:pt idx="38">
                  <c:v>-36.267491339146943</c:v>
                </c:pt>
                <c:pt idx="39">
                  <c:v>-35.107829131500026</c:v>
                </c:pt>
                <c:pt idx="40">
                  <c:v>-33.757381309769102</c:v>
                </c:pt>
                <c:pt idx="41">
                  <c:v>-31.951448427070801</c:v>
                </c:pt>
                <c:pt idx="42">
                  <c:v>-30.649691089034029</c:v>
                </c:pt>
                <c:pt idx="43">
                  <c:v>-28.008787171693228</c:v>
                </c:pt>
                <c:pt idx="44">
                  <c:v>-33.598150002133679</c:v>
                </c:pt>
                <c:pt idx="45">
                  <c:v>-31.932377061625232</c:v>
                </c:pt>
                <c:pt idx="46">
                  <c:v>-30.382906532578744</c:v>
                </c:pt>
                <c:pt idx="47">
                  <c:v>-26.84309250554287</c:v>
                </c:pt>
                <c:pt idx="48">
                  <c:v>-24.933649985687779</c:v>
                </c:pt>
                <c:pt idx="49">
                  <c:v>-22.848709332250849</c:v>
                </c:pt>
                <c:pt idx="50">
                  <c:v>-45.304885152664184</c:v>
                </c:pt>
                <c:pt idx="51">
                  <c:v>-42.761617235772484</c:v>
                </c:pt>
                <c:pt idx="52">
                  <c:v>-41.058835229071533</c:v>
                </c:pt>
                <c:pt idx="53">
                  <c:v>-39.611590416024228</c:v>
                </c:pt>
                <c:pt idx="54">
                  <c:v>-38.170919650918023</c:v>
                </c:pt>
                <c:pt idx="55">
                  <c:v>-36.208276077752707</c:v>
                </c:pt>
                <c:pt idx="56">
                  <c:v>-59.904374829900355</c:v>
                </c:pt>
                <c:pt idx="57">
                  <c:v>-59.420741664503595</c:v>
                </c:pt>
                <c:pt idx="58">
                  <c:v>-58.325659930987044</c:v>
                </c:pt>
                <c:pt idx="59">
                  <c:v>-58.311876021320302</c:v>
                </c:pt>
                <c:pt idx="60">
                  <c:v>-57.391837919077147</c:v>
                </c:pt>
                <c:pt idx="61">
                  <c:v>-55.643716609941222</c:v>
                </c:pt>
                <c:pt idx="62">
                  <c:v>-54.423972411682371</c:v>
                </c:pt>
                <c:pt idx="63">
                  <c:v>-53.198074777275636</c:v>
                </c:pt>
                <c:pt idx="64">
                  <c:v>-52.832593283999245</c:v>
                </c:pt>
                <c:pt idx="65">
                  <c:v>-51.796106540057224</c:v>
                </c:pt>
                <c:pt idx="66">
                  <c:v>-53.541158282878271</c:v>
                </c:pt>
                <c:pt idx="67">
                  <c:v>-53.366160229670982</c:v>
                </c:pt>
                <c:pt idx="68">
                  <c:v>-69.647127123622568</c:v>
                </c:pt>
                <c:pt idx="69">
                  <c:v>-69.671106574962394</c:v>
                </c:pt>
                <c:pt idx="70">
                  <c:v>-30.614377417615756</c:v>
                </c:pt>
                <c:pt idx="71">
                  <c:v>-29.845261654170613</c:v>
                </c:pt>
                <c:pt idx="72">
                  <c:v>-29.322356111686446</c:v>
                </c:pt>
                <c:pt idx="73">
                  <c:v>-28.889526787757873</c:v>
                </c:pt>
                <c:pt idx="74">
                  <c:v>-28.513804403656266</c:v>
                </c:pt>
                <c:pt idx="75">
                  <c:v>-27.943981126066802</c:v>
                </c:pt>
                <c:pt idx="76">
                  <c:v>-27.590817412300808</c:v>
                </c:pt>
                <c:pt idx="77">
                  <c:v>-27.169689045559124</c:v>
                </c:pt>
                <c:pt idx="78">
                  <c:v>-26.643324118898576</c:v>
                </c:pt>
                <c:pt idx="79">
                  <c:v>-25.137687082479204</c:v>
                </c:pt>
                <c:pt idx="80">
                  <c:v>-27.556241311005152</c:v>
                </c:pt>
                <c:pt idx="81">
                  <c:v>-24.204287678423754</c:v>
                </c:pt>
                <c:pt idx="82">
                  <c:v>-22.882136239590295</c:v>
                </c:pt>
                <c:pt idx="83">
                  <c:v>-21.147732024162949</c:v>
                </c:pt>
                <c:pt idx="84">
                  <c:v>-20.888321181709458</c:v>
                </c:pt>
                <c:pt idx="85">
                  <c:v>-21.104575440416653</c:v>
                </c:pt>
                <c:pt idx="86">
                  <c:v>-20.907418557707032</c:v>
                </c:pt>
                <c:pt idx="87">
                  <c:v>-15.749906248154545</c:v>
                </c:pt>
                <c:pt idx="88">
                  <c:v>-15.715877143188578</c:v>
                </c:pt>
                <c:pt idx="89">
                  <c:v>-15.532806993175654</c:v>
                </c:pt>
                <c:pt idx="90">
                  <c:v>-15.242491166266205</c:v>
                </c:pt>
                <c:pt idx="91">
                  <c:v>-9.8310865617246463</c:v>
                </c:pt>
                <c:pt idx="92">
                  <c:v>-11.101259568497397</c:v>
                </c:pt>
                <c:pt idx="93">
                  <c:v>-9.3297371870675647</c:v>
                </c:pt>
                <c:pt idx="94">
                  <c:v>-9.3415017720305968</c:v>
                </c:pt>
                <c:pt idx="95">
                  <c:v>-9.3852124055560893</c:v>
                </c:pt>
                <c:pt idx="96">
                  <c:v>-9.5145514783162213</c:v>
                </c:pt>
                <c:pt idx="97">
                  <c:v>-10.365926627578844</c:v>
                </c:pt>
                <c:pt idx="98">
                  <c:v>-10.324567243130559</c:v>
                </c:pt>
                <c:pt idx="99">
                  <c:v>-10.610790412250452</c:v>
                </c:pt>
                <c:pt idx="100">
                  <c:v>-24.111443370455717</c:v>
                </c:pt>
                <c:pt idx="101">
                  <c:v>22.457123659208449</c:v>
                </c:pt>
                <c:pt idx="102">
                  <c:v>22.708022064980696</c:v>
                </c:pt>
                <c:pt idx="103">
                  <c:v>21.454678468930055</c:v>
                </c:pt>
                <c:pt idx="104">
                  <c:v>23.190275729276706</c:v>
                </c:pt>
                <c:pt idx="105">
                  <c:v>25.7947875945802</c:v>
                </c:pt>
                <c:pt idx="106">
                  <c:v>25.685840341525591</c:v>
                </c:pt>
                <c:pt idx="107">
                  <c:v>25.774592514958982</c:v>
                </c:pt>
                <c:pt idx="108">
                  <c:v>20.304769482433301</c:v>
                </c:pt>
                <c:pt idx="109">
                  <c:v>18.190985863299332</c:v>
                </c:pt>
                <c:pt idx="110">
                  <c:v>17.390067339144181</c:v>
                </c:pt>
                <c:pt idx="111">
                  <c:v>17.208382119213994</c:v>
                </c:pt>
                <c:pt idx="112">
                  <c:v>16.219006097942213</c:v>
                </c:pt>
                <c:pt idx="113">
                  <c:v>15.348070675467241</c:v>
                </c:pt>
                <c:pt idx="114">
                  <c:v>14.526842849580731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7707008"/>
        <c:axId val="427704704"/>
      </c:barChart>
      <c:lineChart>
        <c:grouping val="standard"/>
        <c:varyColors val="0"/>
        <c:ser>
          <c:idx val="0"/>
          <c:order val="0"/>
          <c:tx>
            <c:strRef>
              <c:f>'LTV 90_97'!$F$1</c:f>
              <c:strCache>
                <c:ptCount val="1"/>
                <c:pt idx="0">
                  <c:v>MIP</c:v>
                </c:pt>
              </c:strCache>
            </c:strRef>
          </c:tx>
          <c:marker>
            <c:symbol val="none"/>
          </c:marker>
          <c:cat>
            <c:numRef>
              <c:f>'LTV 90_97'!$A$2:$A$116</c:f>
              <c:numCache>
                <c:formatCode>m/d/yyyy</c:formatCode>
                <c:ptCount val="115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</c:numCache>
            </c:numRef>
          </c:cat>
          <c:val>
            <c:numRef>
              <c:f>'LTV 90_97'!$F$2:$F$116</c:f>
              <c:numCache>
                <c:formatCode>General</c:formatCode>
                <c:ptCount val="115"/>
                <c:pt idx="0">
                  <c:v>63.496402239802002</c:v>
                </c:pt>
                <c:pt idx="1">
                  <c:v>63.4918307778794</c:v>
                </c:pt>
                <c:pt idx="2">
                  <c:v>63.544697970012997</c:v>
                </c:pt>
                <c:pt idx="3">
                  <c:v>63.575062657693898</c:v>
                </c:pt>
                <c:pt idx="4">
                  <c:v>63.579596522849599</c:v>
                </c:pt>
                <c:pt idx="5">
                  <c:v>63.617800599463997</c:v>
                </c:pt>
                <c:pt idx="6">
                  <c:v>63.639502499853002</c:v>
                </c:pt>
                <c:pt idx="7">
                  <c:v>63.564464817830299</c:v>
                </c:pt>
                <c:pt idx="8">
                  <c:v>63.6239625736848</c:v>
                </c:pt>
                <c:pt idx="9">
                  <c:v>63.654359024332003</c:v>
                </c:pt>
                <c:pt idx="10">
                  <c:v>63.603770663852998</c:v>
                </c:pt>
                <c:pt idx="11">
                  <c:v>63.620982679673901</c:v>
                </c:pt>
                <c:pt idx="12">
                  <c:v>63.801961635687597</c:v>
                </c:pt>
                <c:pt idx="13">
                  <c:v>63.8661987168772</c:v>
                </c:pt>
                <c:pt idx="14">
                  <c:v>63.7935505427766</c:v>
                </c:pt>
                <c:pt idx="15">
                  <c:v>63.8359648828716</c:v>
                </c:pt>
                <c:pt idx="16">
                  <c:v>63.725628925364298</c:v>
                </c:pt>
                <c:pt idx="17">
                  <c:v>63.680930234643398</c:v>
                </c:pt>
                <c:pt idx="18">
                  <c:v>63.817004870445203</c:v>
                </c:pt>
                <c:pt idx="19">
                  <c:v>63.825720018007097</c:v>
                </c:pt>
                <c:pt idx="20">
                  <c:v>63.699873230822803</c:v>
                </c:pt>
                <c:pt idx="21">
                  <c:v>63.7688816985385</c:v>
                </c:pt>
                <c:pt idx="22">
                  <c:v>63.821958698977902</c:v>
                </c:pt>
                <c:pt idx="23">
                  <c:v>63.878033642805804</c:v>
                </c:pt>
                <c:pt idx="24">
                  <c:v>64.026480905600906</c:v>
                </c:pt>
                <c:pt idx="25">
                  <c:v>63.942231341176203</c:v>
                </c:pt>
                <c:pt idx="26">
                  <c:v>63.890394465029097</c:v>
                </c:pt>
                <c:pt idx="27">
                  <c:v>63.880598326630803</c:v>
                </c:pt>
                <c:pt idx="28">
                  <c:v>63.9208248180922</c:v>
                </c:pt>
                <c:pt idx="29">
                  <c:v>63.930759213828999</c:v>
                </c:pt>
                <c:pt idx="30">
                  <c:v>63.879512016916003</c:v>
                </c:pt>
                <c:pt idx="31">
                  <c:v>63.821277758853697</c:v>
                </c:pt>
                <c:pt idx="32">
                  <c:v>63.812239165176301</c:v>
                </c:pt>
                <c:pt idx="33">
                  <c:v>63.757804287882102</c:v>
                </c:pt>
                <c:pt idx="34">
                  <c:v>63.7773136788621</c:v>
                </c:pt>
                <c:pt idx="35">
                  <c:v>63.801988201586397</c:v>
                </c:pt>
                <c:pt idx="36">
                  <c:v>63.747223946125501</c:v>
                </c:pt>
                <c:pt idx="37">
                  <c:v>63.756153050917398</c:v>
                </c:pt>
                <c:pt idx="38">
                  <c:v>63.722803986904999</c:v>
                </c:pt>
                <c:pt idx="39">
                  <c:v>63.641124241767102</c:v>
                </c:pt>
                <c:pt idx="40">
                  <c:v>63.635426167079899</c:v>
                </c:pt>
                <c:pt idx="41">
                  <c:v>63.615177924006503</c:v>
                </c:pt>
                <c:pt idx="42">
                  <c:v>63.642873055813901</c:v>
                </c:pt>
                <c:pt idx="43">
                  <c:v>63.6451922738501</c:v>
                </c:pt>
                <c:pt idx="44">
                  <c:v>69.905310249107799</c:v>
                </c:pt>
                <c:pt idx="45">
                  <c:v>69.904569879955005</c:v>
                </c:pt>
                <c:pt idx="46">
                  <c:v>69.908382948127397</c:v>
                </c:pt>
                <c:pt idx="47">
                  <c:v>69.941963546597094</c:v>
                </c:pt>
                <c:pt idx="48">
                  <c:v>69.968956542311503</c:v>
                </c:pt>
                <c:pt idx="49">
                  <c:v>70.020796658900494</c:v>
                </c:pt>
                <c:pt idx="50">
                  <c:v>94.609310322807005</c:v>
                </c:pt>
                <c:pt idx="51">
                  <c:v>94.601347785289207</c:v>
                </c:pt>
                <c:pt idx="52">
                  <c:v>94.562317925791305</c:v>
                </c:pt>
                <c:pt idx="53">
                  <c:v>94.655638386972399</c:v>
                </c:pt>
                <c:pt idx="54">
                  <c:v>94.640268423012799</c:v>
                </c:pt>
                <c:pt idx="55">
                  <c:v>94.653313254030806</c:v>
                </c:pt>
                <c:pt idx="56">
                  <c:v>119.65873736175701</c:v>
                </c:pt>
                <c:pt idx="57">
                  <c:v>119.636879643489</c:v>
                </c:pt>
                <c:pt idx="58">
                  <c:v>119.58499394741899</c:v>
                </c:pt>
                <c:pt idx="59">
                  <c:v>119.536432446725</c:v>
                </c:pt>
                <c:pt idx="60">
                  <c:v>119.497453332558</c:v>
                </c:pt>
                <c:pt idx="61">
                  <c:v>119.538257212069</c:v>
                </c:pt>
                <c:pt idx="62">
                  <c:v>119.580615001322</c:v>
                </c:pt>
                <c:pt idx="63">
                  <c:v>119.603066824571</c:v>
                </c:pt>
                <c:pt idx="64">
                  <c:v>119.63089021419999</c:v>
                </c:pt>
                <c:pt idx="65">
                  <c:v>119.666975480662</c:v>
                </c:pt>
                <c:pt idx="66">
                  <c:v>119.67995879978</c:v>
                </c:pt>
                <c:pt idx="67">
                  <c:v>119.538657796167</c:v>
                </c:pt>
                <c:pt idx="68">
                  <c:v>135.73064837916999</c:v>
                </c:pt>
                <c:pt idx="69">
                  <c:v>135.67211004902799</c:v>
                </c:pt>
                <c:pt idx="70">
                  <c:v>98.767269307220204</c:v>
                </c:pt>
                <c:pt idx="71">
                  <c:v>100.591574048661</c:v>
                </c:pt>
                <c:pt idx="72">
                  <c:v>102.739973853314</c:v>
                </c:pt>
                <c:pt idx="73">
                  <c:v>104.44521460646099</c:v>
                </c:pt>
                <c:pt idx="74">
                  <c:v>106.457869476098</c:v>
                </c:pt>
                <c:pt idx="75">
                  <c:v>108.680508561568</c:v>
                </c:pt>
                <c:pt idx="76">
                  <c:v>109.878661655179</c:v>
                </c:pt>
                <c:pt idx="77">
                  <c:v>111.348464501528</c:v>
                </c:pt>
                <c:pt idx="78">
                  <c:v>112.960525855518</c:v>
                </c:pt>
                <c:pt idx="79">
                  <c:v>114.599060082886</c:v>
                </c:pt>
                <c:pt idx="80">
                  <c:v>123.691094485685</c:v>
                </c:pt>
                <c:pt idx="81">
                  <c:v>124.15875984910301</c:v>
                </c:pt>
                <c:pt idx="82">
                  <c:v>125.745306471449</c:v>
                </c:pt>
                <c:pt idx="83">
                  <c:v>126.78897476496201</c:v>
                </c:pt>
                <c:pt idx="84">
                  <c:v>128.11971971360001</c:v>
                </c:pt>
                <c:pt idx="85">
                  <c:v>129.918868400441</c:v>
                </c:pt>
                <c:pt idx="86">
                  <c:v>131.37573364797899</c:v>
                </c:pt>
                <c:pt idx="87">
                  <c:v>132.679634411216</c:v>
                </c:pt>
                <c:pt idx="88">
                  <c:v>133.69323213200599</c:v>
                </c:pt>
                <c:pt idx="89">
                  <c:v>134.530880551048</c:v>
                </c:pt>
                <c:pt idx="90">
                  <c:v>135.157330043229</c:v>
                </c:pt>
                <c:pt idx="91">
                  <c:v>134.304995092616</c:v>
                </c:pt>
                <c:pt idx="92">
                  <c:v>134.38101382261701</c:v>
                </c:pt>
                <c:pt idx="93">
                  <c:v>134.69335811076201</c:v>
                </c:pt>
                <c:pt idx="94">
                  <c:v>135.515815084785</c:v>
                </c:pt>
                <c:pt idx="95">
                  <c:v>136.28425502008099</c:v>
                </c:pt>
                <c:pt idx="96">
                  <c:v>137.03186504014101</c:v>
                </c:pt>
                <c:pt idx="97">
                  <c:v>137.82472548816</c:v>
                </c:pt>
                <c:pt idx="98">
                  <c:v>138.60020409953501</c:v>
                </c:pt>
                <c:pt idx="99">
                  <c:v>139.187969575875</c:v>
                </c:pt>
                <c:pt idx="100">
                  <c:v>139.41032924414301</c:v>
                </c:pt>
                <c:pt idx="101">
                  <c:v>92.903627914651096</c:v>
                </c:pt>
                <c:pt idx="102">
                  <c:v>93.099418941113598</c:v>
                </c:pt>
                <c:pt idx="103">
                  <c:v>92.842414096681495</c:v>
                </c:pt>
                <c:pt idx="104">
                  <c:v>93.090406102176601</c:v>
                </c:pt>
                <c:pt idx="105">
                  <c:v>93.365180423911198</c:v>
                </c:pt>
                <c:pt idx="106">
                  <c:v>93.631738123146704</c:v>
                </c:pt>
                <c:pt idx="107">
                  <c:v>93.890751255958605</c:v>
                </c:pt>
                <c:pt idx="108">
                  <c:v>94.043884107478803</c:v>
                </c:pt>
                <c:pt idx="109">
                  <c:v>94.208468772126594</c:v>
                </c:pt>
                <c:pt idx="110">
                  <c:v>94.367172266410407</c:v>
                </c:pt>
                <c:pt idx="111">
                  <c:v>94.506411381263106</c:v>
                </c:pt>
                <c:pt idx="112">
                  <c:v>94.498442529784896</c:v>
                </c:pt>
                <c:pt idx="113">
                  <c:v>94.492432196907899</c:v>
                </c:pt>
                <c:pt idx="114">
                  <c:v>94.474090636247098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'LTV 90_97'!$G$1</c:f>
              <c:strCache>
                <c:ptCount val="1"/>
                <c:pt idx="0">
                  <c:v>LLPA+PMI</c:v>
                </c:pt>
              </c:strCache>
            </c:strRef>
          </c:tx>
          <c:marker>
            <c:symbol val="none"/>
          </c:marker>
          <c:cat>
            <c:numRef>
              <c:f>'LTV 90_97'!$A$2:$A$116</c:f>
              <c:numCache>
                <c:formatCode>m/d/yyyy</c:formatCode>
                <c:ptCount val="115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</c:numCache>
            </c:numRef>
          </c:cat>
          <c:val>
            <c:numRef>
              <c:f>'LTV 90_97'!$G$2:$G$116</c:f>
              <c:numCache>
                <c:formatCode>General</c:formatCode>
                <c:ptCount val="115"/>
                <c:pt idx="0">
                  <c:v>15.4227262599463</c:v>
                </c:pt>
                <c:pt idx="1">
                  <c:v>15.384724837697576</c:v>
                </c:pt>
                <c:pt idx="2">
                  <c:v>15.417694780792949</c:v>
                </c:pt>
                <c:pt idx="3">
                  <c:v>15.422732056557225</c:v>
                </c:pt>
                <c:pt idx="4">
                  <c:v>15.410281316321026</c:v>
                </c:pt>
                <c:pt idx="5">
                  <c:v>15.423880013264675</c:v>
                </c:pt>
                <c:pt idx="6">
                  <c:v>15.453011950750325</c:v>
                </c:pt>
                <c:pt idx="7">
                  <c:v>15.42942620337055</c:v>
                </c:pt>
                <c:pt idx="8">
                  <c:v>15.502460565852925</c:v>
                </c:pt>
                <c:pt idx="9">
                  <c:v>15.575158697507675</c:v>
                </c:pt>
                <c:pt idx="10">
                  <c:v>15.548414427790675</c:v>
                </c:pt>
                <c:pt idx="11">
                  <c:v>15.58912370639535</c:v>
                </c:pt>
                <c:pt idx="12">
                  <c:v>15.768741016934225</c:v>
                </c:pt>
                <c:pt idx="13">
                  <c:v>15.714717927271325</c:v>
                </c:pt>
                <c:pt idx="14">
                  <c:v>15.461312747366325</c:v>
                </c:pt>
                <c:pt idx="15">
                  <c:v>15.408162131123575</c:v>
                </c:pt>
                <c:pt idx="16">
                  <c:v>15.183770941391725</c:v>
                </c:pt>
                <c:pt idx="17">
                  <c:v>15.126795060154375</c:v>
                </c:pt>
                <c:pt idx="18">
                  <c:v>17.230281581339025</c:v>
                </c:pt>
                <c:pt idx="19">
                  <c:v>17.258695287907901</c:v>
                </c:pt>
                <c:pt idx="20">
                  <c:v>17.202536514084098</c:v>
                </c:pt>
                <c:pt idx="21">
                  <c:v>17.216131464895074</c:v>
                </c:pt>
                <c:pt idx="22">
                  <c:v>17.220884629282423</c:v>
                </c:pt>
                <c:pt idx="23">
                  <c:v>17.228316041272176</c:v>
                </c:pt>
                <c:pt idx="24">
                  <c:v>17.266730917182276</c:v>
                </c:pt>
                <c:pt idx="25">
                  <c:v>17.176039697988926</c:v>
                </c:pt>
                <c:pt idx="26">
                  <c:v>17.095203118610002</c:v>
                </c:pt>
                <c:pt idx="27">
                  <c:v>17.048756491187575</c:v>
                </c:pt>
                <c:pt idx="28">
                  <c:v>17.043972210041474</c:v>
                </c:pt>
                <c:pt idx="29">
                  <c:v>17.043098857280551</c:v>
                </c:pt>
                <c:pt idx="30">
                  <c:v>17.011678567521674</c:v>
                </c:pt>
                <c:pt idx="31">
                  <c:v>16.973962792293548</c:v>
                </c:pt>
                <c:pt idx="32">
                  <c:v>16.953636674263851</c:v>
                </c:pt>
                <c:pt idx="33">
                  <c:v>16.9210664666474</c:v>
                </c:pt>
                <c:pt idx="34">
                  <c:v>16.968863956228112</c:v>
                </c:pt>
                <c:pt idx="35">
                  <c:v>18.701620437283225</c:v>
                </c:pt>
                <c:pt idx="36">
                  <c:v>21.563879556644718</c:v>
                </c:pt>
                <c:pt idx="37">
                  <c:v>25.023864860222098</c:v>
                </c:pt>
                <c:pt idx="38">
                  <c:v>27.455312647758056</c:v>
                </c:pt>
                <c:pt idx="39">
                  <c:v>28.533295110267076</c:v>
                </c:pt>
                <c:pt idx="40">
                  <c:v>29.878044857310801</c:v>
                </c:pt>
                <c:pt idx="41">
                  <c:v>31.663729496935701</c:v>
                </c:pt>
                <c:pt idx="42">
                  <c:v>32.993181966779872</c:v>
                </c:pt>
                <c:pt idx="43">
                  <c:v>35.636405102156871</c:v>
                </c:pt>
                <c:pt idx="44">
                  <c:v>36.307160246974121</c:v>
                </c:pt>
                <c:pt idx="45">
                  <c:v>37.972192818329773</c:v>
                </c:pt>
                <c:pt idx="46">
                  <c:v>39.525476415548653</c:v>
                </c:pt>
                <c:pt idx="47">
                  <c:v>43.098871041054224</c:v>
                </c:pt>
                <c:pt idx="48">
                  <c:v>45.035306556623723</c:v>
                </c:pt>
                <c:pt idx="49">
                  <c:v>47.172087326649645</c:v>
                </c:pt>
                <c:pt idx="50">
                  <c:v>49.304425170142821</c:v>
                </c:pt>
                <c:pt idx="51">
                  <c:v>51.839730549516723</c:v>
                </c:pt>
                <c:pt idx="52">
                  <c:v>53.503482696719772</c:v>
                </c:pt>
                <c:pt idx="53">
                  <c:v>55.044047970948171</c:v>
                </c:pt>
                <c:pt idx="54">
                  <c:v>56.469348772094776</c:v>
                </c:pt>
                <c:pt idx="55">
                  <c:v>58.445037176278099</c:v>
                </c:pt>
                <c:pt idx="56">
                  <c:v>59.75436253185665</c:v>
                </c:pt>
                <c:pt idx="57">
                  <c:v>60.216137978985401</c:v>
                </c:pt>
                <c:pt idx="58">
                  <c:v>61.25933401643195</c:v>
                </c:pt>
                <c:pt idx="59">
                  <c:v>61.2245564254047</c:v>
                </c:pt>
                <c:pt idx="60">
                  <c:v>62.105615413480848</c:v>
                </c:pt>
                <c:pt idx="61">
                  <c:v>63.894540602127776</c:v>
                </c:pt>
                <c:pt idx="62">
                  <c:v>65.156642589639631</c:v>
                </c:pt>
                <c:pt idx="63">
                  <c:v>66.404992047295366</c:v>
                </c:pt>
                <c:pt idx="64">
                  <c:v>66.798296930200749</c:v>
                </c:pt>
                <c:pt idx="65">
                  <c:v>67.87086894060478</c:v>
                </c:pt>
                <c:pt idx="66">
                  <c:v>66.138800516901725</c:v>
                </c:pt>
                <c:pt idx="67">
                  <c:v>66.17249756649602</c:v>
                </c:pt>
                <c:pt idx="68">
                  <c:v>66.083521255547424</c:v>
                </c:pt>
                <c:pt idx="69">
                  <c:v>66.001003474065598</c:v>
                </c:pt>
                <c:pt idx="70">
                  <c:v>68.152891889604447</c:v>
                </c:pt>
                <c:pt idx="71">
                  <c:v>70.746312394490388</c:v>
                </c:pt>
                <c:pt idx="72">
                  <c:v>73.417617741627552</c:v>
                </c:pt>
                <c:pt idx="73">
                  <c:v>75.55568781870312</c:v>
                </c:pt>
                <c:pt idx="74">
                  <c:v>77.944065072441731</c:v>
                </c:pt>
                <c:pt idx="75">
                  <c:v>80.736527435501202</c:v>
                </c:pt>
                <c:pt idx="76">
                  <c:v>82.287844242878194</c:v>
                </c:pt>
                <c:pt idx="77">
                  <c:v>84.178775455968875</c:v>
                </c:pt>
                <c:pt idx="78">
                  <c:v>86.317201736619424</c:v>
                </c:pt>
                <c:pt idx="79">
                  <c:v>89.461373000406795</c:v>
                </c:pt>
                <c:pt idx="80">
                  <c:v>96.134853174679847</c:v>
                </c:pt>
                <c:pt idx="81">
                  <c:v>99.954472170679253</c:v>
                </c:pt>
                <c:pt idx="82">
                  <c:v>102.8631702318587</c:v>
                </c:pt>
                <c:pt idx="83">
                  <c:v>105.64124274079906</c:v>
                </c:pt>
                <c:pt idx="84">
                  <c:v>107.23139853189055</c:v>
                </c:pt>
                <c:pt idx="85">
                  <c:v>108.81429296002435</c:v>
                </c:pt>
                <c:pt idx="86">
                  <c:v>110.46831509027196</c:v>
                </c:pt>
                <c:pt idx="87">
                  <c:v>116.92972816306145</c:v>
                </c:pt>
                <c:pt idx="88">
                  <c:v>117.97735498881741</c:v>
                </c:pt>
                <c:pt idx="89">
                  <c:v>118.99807355787235</c:v>
                </c:pt>
                <c:pt idx="90">
                  <c:v>119.91483887696279</c:v>
                </c:pt>
                <c:pt idx="91">
                  <c:v>124.47390853089135</c:v>
                </c:pt>
                <c:pt idx="92">
                  <c:v>123.27975425411961</c:v>
                </c:pt>
                <c:pt idx="93">
                  <c:v>125.36362092369444</c:v>
                </c:pt>
                <c:pt idx="94">
                  <c:v>126.17431331275441</c:v>
                </c:pt>
                <c:pt idx="95">
                  <c:v>126.8990426145249</c:v>
                </c:pt>
                <c:pt idx="96">
                  <c:v>127.51731356182479</c:v>
                </c:pt>
                <c:pt idx="97">
                  <c:v>127.45879886058115</c:v>
                </c:pt>
                <c:pt idx="98">
                  <c:v>128.27563685640445</c:v>
                </c:pt>
                <c:pt idx="99">
                  <c:v>128.57717916362455</c:v>
                </c:pt>
                <c:pt idx="100">
                  <c:v>115.2988858736873</c:v>
                </c:pt>
                <c:pt idx="101">
                  <c:v>115.36075157385955</c:v>
                </c:pt>
                <c:pt idx="102">
                  <c:v>115.80744100609429</c:v>
                </c:pt>
                <c:pt idx="103">
                  <c:v>114.29709256561155</c:v>
                </c:pt>
                <c:pt idx="104">
                  <c:v>116.28068183145331</c:v>
                </c:pt>
                <c:pt idx="105">
                  <c:v>119.1599680184914</c:v>
                </c:pt>
                <c:pt idx="106">
                  <c:v>119.31757846467229</c:v>
                </c:pt>
                <c:pt idx="107">
                  <c:v>119.66534377091759</c:v>
                </c:pt>
                <c:pt idx="108">
                  <c:v>114.3486535899121</c:v>
                </c:pt>
                <c:pt idx="109">
                  <c:v>112.39945463542593</c:v>
                </c:pt>
                <c:pt idx="110">
                  <c:v>111.75723960555459</c:v>
                </c:pt>
                <c:pt idx="111">
                  <c:v>111.7147935004771</c:v>
                </c:pt>
                <c:pt idx="112">
                  <c:v>110.71744862772711</c:v>
                </c:pt>
                <c:pt idx="113">
                  <c:v>109.84050287237514</c:v>
                </c:pt>
                <c:pt idx="114">
                  <c:v>109.00093348582783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802368"/>
        <c:axId val="165803904"/>
      </c:lineChart>
      <c:dateAx>
        <c:axId val="1658023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65803904"/>
        <c:crosses val="autoZero"/>
        <c:auto val="1"/>
        <c:lblOffset val="100"/>
        <c:baseTimeUnit val="months"/>
      </c:dateAx>
      <c:valAx>
        <c:axId val="1658039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5802368"/>
        <c:crosses val="autoZero"/>
        <c:crossBetween val="between"/>
      </c:valAx>
      <c:valAx>
        <c:axId val="427704704"/>
        <c:scaling>
          <c:orientation val="minMax"/>
          <c:max val="100"/>
          <c:min val="-100"/>
        </c:scaling>
        <c:delete val="0"/>
        <c:axPos val="r"/>
        <c:numFmt formatCode="General" sourceLinked="1"/>
        <c:majorTickMark val="out"/>
        <c:minorTickMark val="none"/>
        <c:tickLblPos val="nextTo"/>
        <c:crossAx val="427707008"/>
        <c:crosses val="max"/>
        <c:crossBetween val="between"/>
      </c:valAx>
      <c:dateAx>
        <c:axId val="42770700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27704704"/>
        <c:auto val="1"/>
        <c:lblOffset val="100"/>
        <c:baseTimeUnit val="months"/>
      </c:date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'LTV 90_97'!$B$1</c:f>
              <c:strCache>
                <c:ptCount val="1"/>
                <c:pt idx="0">
                  <c:v>incentive_conv</c:v>
                </c:pt>
              </c:strCache>
            </c:strRef>
          </c:tx>
          <c:marker>
            <c:symbol val="none"/>
          </c:marker>
          <c:cat>
            <c:numRef>
              <c:f>'LTV 90_97'!$A$2:$A$116</c:f>
              <c:numCache>
                <c:formatCode>m/d/yyyy</c:formatCode>
                <c:ptCount val="115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</c:numCache>
            </c:numRef>
          </c:cat>
          <c:val>
            <c:numRef>
              <c:f>'LTV 90_97'!$B$2:$B$116</c:f>
              <c:numCache>
                <c:formatCode>General</c:formatCode>
                <c:ptCount val="115"/>
                <c:pt idx="0">
                  <c:v>0.58082950224969798</c:v>
                </c:pt>
                <c:pt idx="1">
                  <c:v>0.72216159213822495</c:v>
                </c:pt>
                <c:pt idx="2">
                  <c:v>0.81871674246947701</c:v>
                </c:pt>
                <c:pt idx="3">
                  <c:v>0.94028018565962002</c:v>
                </c:pt>
                <c:pt idx="4">
                  <c:v>1.06815193219821</c:v>
                </c:pt>
                <c:pt idx="5">
                  <c:v>0.97158058242596601</c:v>
                </c:pt>
                <c:pt idx="6">
                  <c:v>0.973059816627865</c:v>
                </c:pt>
                <c:pt idx="7">
                  <c:v>1.0799382124849299</c:v>
                </c:pt>
                <c:pt idx="8">
                  <c:v>1.0597353319062399</c:v>
                </c:pt>
                <c:pt idx="9">
                  <c:v>0.99450148755125301</c:v>
                </c:pt>
                <c:pt idx="10">
                  <c:v>0.58209136924615601</c:v>
                </c:pt>
                <c:pt idx="11">
                  <c:v>0.53226017990524399</c:v>
                </c:pt>
                <c:pt idx="12">
                  <c:v>0.650149439009436</c:v>
                </c:pt>
                <c:pt idx="13">
                  <c:v>0.75894095837056297</c:v>
                </c:pt>
                <c:pt idx="14">
                  <c:v>0.72574554128898705</c:v>
                </c:pt>
                <c:pt idx="15">
                  <c:v>0.78857328037039398</c:v>
                </c:pt>
                <c:pt idx="16">
                  <c:v>0.84605580459018004</c:v>
                </c:pt>
                <c:pt idx="17">
                  <c:v>1.1598117047030101</c:v>
                </c:pt>
                <c:pt idx="18">
                  <c:v>0.92075459122236203</c:v>
                </c:pt>
                <c:pt idx="19">
                  <c:v>0.869022584830762</c:v>
                </c:pt>
                <c:pt idx="20">
                  <c:v>0.91730293990944201</c:v>
                </c:pt>
                <c:pt idx="21">
                  <c:v>0.80916627883460701</c:v>
                </c:pt>
                <c:pt idx="22">
                  <c:v>0.46991018005813101</c:v>
                </c:pt>
                <c:pt idx="23">
                  <c:v>0.348043827409031</c:v>
                </c:pt>
                <c:pt idx="24">
                  <c:v>0.27507546806356897</c:v>
                </c:pt>
                <c:pt idx="25">
                  <c:v>0.68382249766218295</c:v>
                </c:pt>
                <c:pt idx="26">
                  <c:v>0.48888761151306698</c:v>
                </c:pt>
                <c:pt idx="27">
                  <c:v>0.53170565907210798</c:v>
                </c:pt>
                <c:pt idx="28">
                  <c:v>1.3268188116066399</c:v>
                </c:pt>
                <c:pt idx="29">
                  <c:v>1.5902513215643901</c:v>
                </c:pt>
                <c:pt idx="30">
                  <c:v>1.4964947850774499</c:v>
                </c:pt>
                <c:pt idx="31">
                  <c:v>1.6240468683595299</c:v>
                </c:pt>
                <c:pt idx="32">
                  <c:v>1.80350445960651</c:v>
                </c:pt>
                <c:pt idx="33">
                  <c:v>1.7407306416770401</c:v>
                </c:pt>
                <c:pt idx="34">
                  <c:v>1.16146550479002</c:v>
                </c:pt>
                <c:pt idx="35">
                  <c:v>1.3067027770174</c:v>
                </c:pt>
                <c:pt idx="36">
                  <c:v>1.2667836273358499</c:v>
                </c:pt>
                <c:pt idx="37">
                  <c:v>1.3356370862269</c:v>
                </c:pt>
                <c:pt idx="38">
                  <c:v>1.3463819062967799</c:v>
                </c:pt>
                <c:pt idx="39">
                  <c:v>1.37683049935386</c:v>
                </c:pt>
                <c:pt idx="40">
                  <c:v>1.2717693221797</c:v>
                </c:pt>
                <c:pt idx="41">
                  <c:v>1.11262492245417</c:v>
                </c:pt>
                <c:pt idx="42">
                  <c:v>1.0950804847241999</c:v>
                </c:pt>
                <c:pt idx="43">
                  <c:v>1.06048689767328</c:v>
                </c:pt>
                <c:pt idx="44">
                  <c:v>0.97475572460150095</c:v>
                </c:pt>
                <c:pt idx="45">
                  <c:v>1.1754992099891699</c:v>
                </c:pt>
                <c:pt idx="46">
                  <c:v>1.2955912172271999</c:v>
                </c:pt>
                <c:pt idx="47">
                  <c:v>1.3469925400501901</c:v>
                </c:pt>
                <c:pt idx="48">
                  <c:v>1.4178667117602199</c:v>
                </c:pt>
                <c:pt idx="49">
                  <c:v>1.42251362591391</c:v>
                </c:pt>
                <c:pt idx="50">
                  <c:v>1.4580445577798999</c:v>
                </c:pt>
                <c:pt idx="51">
                  <c:v>1.30024004020955</c:v>
                </c:pt>
                <c:pt idx="52">
                  <c:v>0.82427319057060899</c:v>
                </c:pt>
                <c:pt idx="53">
                  <c:v>0.69679717646432004</c:v>
                </c:pt>
                <c:pt idx="54">
                  <c:v>0.44582849012140002</c:v>
                </c:pt>
                <c:pt idx="55">
                  <c:v>0.54028447433712101</c:v>
                </c:pt>
                <c:pt idx="56">
                  <c:v>0.53607478863274804</c:v>
                </c:pt>
                <c:pt idx="57">
                  <c:v>0.74584465596475502</c:v>
                </c:pt>
                <c:pt idx="58">
                  <c:v>0.86367071964138298</c:v>
                </c:pt>
                <c:pt idx="59">
                  <c:v>0.82543781431095797</c:v>
                </c:pt>
                <c:pt idx="60">
                  <c:v>1.1005164126042299</c:v>
                </c:pt>
                <c:pt idx="61">
                  <c:v>1.2416899499501699</c:v>
                </c:pt>
                <c:pt idx="62">
                  <c:v>1.18813877088279</c:v>
                </c:pt>
                <c:pt idx="63">
                  <c:v>1.24313535725519</c:v>
                </c:pt>
                <c:pt idx="64">
                  <c:v>1.26245173655342</c:v>
                </c:pt>
                <c:pt idx="65">
                  <c:v>1.2495433936670099</c:v>
                </c:pt>
                <c:pt idx="66">
                  <c:v>1.2492791648645001</c:v>
                </c:pt>
                <c:pt idx="67">
                  <c:v>1.2179423893264001</c:v>
                </c:pt>
                <c:pt idx="68">
                  <c:v>1.31061130400258</c:v>
                </c:pt>
                <c:pt idx="69">
                  <c:v>1.44446663189519</c:v>
                </c:pt>
                <c:pt idx="70">
                  <c:v>1.5190633113910701</c:v>
                </c:pt>
                <c:pt idx="71">
                  <c:v>1.57537514121321</c:v>
                </c:pt>
                <c:pt idx="72">
                  <c:v>1.45735058782931</c:v>
                </c:pt>
                <c:pt idx="73">
                  <c:v>1.4911460894972</c:v>
                </c:pt>
                <c:pt idx="74">
                  <c:v>1.4923513339665899</c:v>
                </c:pt>
                <c:pt idx="75">
                  <c:v>1.41319206094571</c:v>
                </c:pt>
                <c:pt idx="76">
                  <c:v>1.3675157989675999</c:v>
                </c:pt>
                <c:pt idx="77">
                  <c:v>1.2274176551509901</c:v>
                </c:pt>
                <c:pt idx="78">
                  <c:v>1.0016565533330599</c:v>
                </c:pt>
                <c:pt idx="79">
                  <c:v>0.88984656428818298</c:v>
                </c:pt>
                <c:pt idx="80">
                  <c:v>0.89161469126951698</c:v>
                </c:pt>
                <c:pt idx="81">
                  <c:v>0.76723797088811596</c:v>
                </c:pt>
                <c:pt idx="82">
                  <c:v>0.14023388184860699</c:v>
                </c:pt>
                <c:pt idx="83">
                  <c:v>-0.23497669619383699</c:v>
                </c:pt>
                <c:pt idx="84">
                  <c:v>-0.37638014184963298</c:v>
                </c:pt>
                <c:pt idx="85">
                  <c:v>-0.438248032920313</c:v>
                </c:pt>
                <c:pt idx="86">
                  <c:v>-0.17152263641851001</c:v>
                </c:pt>
                <c:pt idx="87">
                  <c:v>-0.302435193079992</c:v>
                </c:pt>
                <c:pt idx="88">
                  <c:v>-0.495133207729122</c:v>
                </c:pt>
                <c:pt idx="89">
                  <c:v>-0.49818640879425502</c:v>
                </c:pt>
                <c:pt idx="90">
                  <c:v>-0.36724442205045998</c:v>
                </c:pt>
                <c:pt idx="91">
                  <c:v>-0.39536601018547202</c:v>
                </c:pt>
                <c:pt idx="92">
                  <c:v>-0.36971468281989101</c:v>
                </c:pt>
                <c:pt idx="93">
                  <c:v>-0.20585538281246299</c:v>
                </c:pt>
                <c:pt idx="94">
                  <c:v>-0.19700966383448101</c:v>
                </c:pt>
                <c:pt idx="95">
                  <c:v>-0.190559984540522</c:v>
                </c:pt>
                <c:pt idx="96">
                  <c:v>-0.18545491336662601</c:v>
                </c:pt>
                <c:pt idx="97">
                  <c:v>-0.21606289410572899</c:v>
                </c:pt>
                <c:pt idx="98">
                  <c:v>-0.10002284148092</c:v>
                </c:pt>
                <c:pt idx="99">
                  <c:v>-7.8727708967870902E-2</c:v>
                </c:pt>
                <c:pt idx="100">
                  <c:v>0.16062940918027199</c:v>
                </c:pt>
                <c:pt idx="101">
                  <c:v>0.320175292800366</c:v>
                </c:pt>
                <c:pt idx="102">
                  <c:v>0.24996194448634601</c:v>
                </c:pt>
                <c:pt idx="103">
                  <c:v>0.17011925407342501</c:v>
                </c:pt>
                <c:pt idx="104">
                  <c:v>0.16425793495383001</c:v>
                </c:pt>
                <c:pt idx="105">
                  <c:v>-0.10716619103494</c:v>
                </c:pt>
                <c:pt idx="106">
                  <c:v>-0.29455780146528598</c:v>
                </c:pt>
                <c:pt idx="107">
                  <c:v>-0.37993628034021698</c:v>
                </c:pt>
                <c:pt idx="108">
                  <c:v>-0.19373725874706199</c:v>
                </c:pt>
                <c:pt idx="109">
                  <c:v>-0.137063085283161</c:v>
                </c:pt>
                <c:pt idx="110">
                  <c:v>-1.4840978624518201E-2</c:v>
                </c:pt>
                <c:pt idx="111">
                  <c:v>-0.17705693467389499</c:v>
                </c:pt>
                <c:pt idx="112">
                  <c:v>-0.18116034332601899</c:v>
                </c:pt>
                <c:pt idx="113">
                  <c:v>-7.9393370902369198E-2</c:v>
                </c:pt>
                <c:pt idx="114">
                  <c:v>0.15881463899048501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'LTV 90_97'!$C$1</c:f>
              <c:strCache>
                <c:ptCount val="1"/>
                <c:pt idx="0">
                  <c:v>incentive_gnma</c:v>
                </c:pt>
              </c:strCache>
            </c:strRef>
          </c:tx>
          <c:marker>
            <c:symbol val="none"/>
          </c:marker>
          <c:cat>
            <c:numRef>
              <c:f>'LTV 90_97'!$A$2:$A$116</c:f>
              <c:numCache>
                <c:formatCode>m/d/yyyy</c:formatCode>
                <c:ptCount val="115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</c:numCache>
            </c:numRef>
          </c:cat>
          <c:val>
            <c:numRef>
              <c:f>'LTV 90_97'!$C$2:$C$116</c:f>
              <c:numCache>
                <c:formatCode>General</c:formatCode>
                <c:ptCount val="115"/>
                <c:pt idx="0">
                  <c:v>0.301997966969349</c:v>
                </c:pt>
                <c:pt idx="1">
                  <c:v>0.37483898793141401</c:v>
                </c:pt>
                <c:pt idx="2">
                  <c:v>0.50240260169609896</c:v>
                </c:pt>
                <c:pt idx="3">
                  <c:v>0.623112217808381</c:v>
                </c:pt>
                <c:pt idx="4">
                  <c:v>0.50099828950566305</c:v>
                </c:pt>
                <c:pt idx="5">
                  <c:v>0.479643560988191</c:v>
                </c:pt>
                <c:pt idx="6">
                  <c:v>0.55836914631255097</c:v>
                </c:pt>
                <c:pt idx="7">
                  <c:v>0.52567414999026196</c:v>
                </c:pt>
                <c:pt idx="8">
                  <c:v>0.456300908873154</c:v>
                </c:pt>
                <c:pt idx="9">
                  <c:v>8.0358494012893994E-2</c:v>
                </c:pt>
                <c:pt idx="10">
                  <c:v>4.4799821324579998E-2</c:v>
                </c:pt>
                <c:pt idx="11">
                  <c:v>0.17564833622348799</c:v>
                </c:pt>
                <c:pt idx="12">
                  <c:v>0.34820485214229902</c:v>
                </c:pt>
                <c:pt idx="13">
                  <c:v>0.34770982403353001</c:v>
                </c:pt>
                <c:pt idx="14">
                  <c:v>0.44026266067731001</c:v>
                </c:pt>
                <c:pt idx="15">
                  <c:v>0.44212368643284</c:v>
                </c:pt>
                <c:pt idx="16">
                  <c:v>0.73353273107343098</c:v>
                </c:pt>
                <c:pt idx="17">
                  <c:v>0.50350405346072002</c:v>
                </c:pt>
                <c:pt idx="18">
                  <c:v>0.36545928815942502</c:v>
                </c:pt>
                <c:pt idx="19">
                  <c:v>0.39616726926054502</c:v>
                </c:pt>
                <c:pt idx="20">
                  <c:v>0.30173303758472497</c:v>
                </c:pt>
                <c:pt idx="21">
                  <c:v>-3.9626944148463003E-2</c:v>
                </c:pt>
                <c:pt idx="22">
                  <c:v>-0.15749760448568501</c:v>
                </c:pt>
                <c:pt idx="23">
                  <c:v>-0.23217572877269299</c:v>
                </c:pt>
                <c:pt idx="24">
                  <c:v>0.22283216965975799</c:v>
                </c:pt>
                <c:pt idx="25">
                  <c:v>2.2507212942655001E-2</c:v>
                </c:pt>
                <c:pt idx="26">
                  <c:v>4.3717077345558998E-2</c:v>
                </c:pt>
                <c:pt idx="27">
                  <c:v>0.76711212538544404</c:v>
                </c:pt>
                <c:pt idx="28">
                  <c:v>0.980584599642499</c:v>
                </c:pt>
                <c:pt idx="29">
                  <c:v>0.85902377788897799</c:v>
                </c:pt>
                <c:pt idx="30">
                  <c:v>0.94861301202206505</c:v>
                </c:pt>
                <c:pt idx="31">
                  <c:v>1.11889566657059</c:v>
                </c:pt>
                <c:pt idx="32">
                  <c:v>1.0326617969885901</c:v>
                </c:pt>
                <c:pt idx="33">
                  <c:v>0.44987746811074603</c:v>
                </c:pt>
                <c:pt idx="34">
                  <c:v>0.66272683000287502</c:v>
                </c:pt>
                <c:pt idx="35">
                  <c:v>0.64892650823392695</c:v>
                </c:pt>
                <c:pt idx="36">
                  <c:v>0.77388455889168595</c:v>
                </c:pt>
                <c:pt idx="37">
                  <c:v>0.81974434258428397</c:v>
                </c:pt>
                <c:pt idx="38">
                  <c:v>0.88658643766892997</c:v>
                </c:pt>
                <c:pt idx="39">
                  <c:v>0.80858728267079205</c:v>
                </c:pt>
                <c:pt idx="40">
                  <c:v>0.67931491965234903</c:v>
                </c:pt>
                <c:pt idx="41">
                  <c:v>0.70916793931834599</c:v>
                </c:pt>
                <c:pt idx="42">
                  <c:v>0.71388146851896805</c:v>
                </c:pt>
                <c:pt idx="43">
                  <c:v>0.60111016194196398</c:v>
                </c:pt>
                <c:pt idx="44">
                  <c:v>0.79291042756536101</c:v>
                </c:pt>
                <c:pt idx="45">
                  <c:v>0.998515429177254</c:v>
                </c:pt>
                <c:pt idx="46">
                  <c:v>1.1307630268493001</c:v>
                </c:pt>
                <c:pt idx="47">
                  <c:v>1.22094789423697</c:v>
                </c:pt>
                <c:pt idx="48">
                  <c:v>1.2562853686353701</c:v>
                </c:pt>
                <c:pt idx="49">
                  <c:v>1.3158799912304799</c:v>
                </c:pt>
                <c:pt idx="50">
                  <c:v>0.94517968229766502</c:v>
                </c:pt>
                <c:pt idx="51">
                  <c:v>0.49194766071468199</c:v>
                </c:pt>
                <c:pt idx="52">
                  <c:v>0.37177445457721298</c:v>
                </c:pt>
                <c:pt idx="53">
                  <c:v>0.125319179384489</c:v>
                </c:pt>
                <c:pt idx="54">
                  <c:v>0.19981960573924001</c:v>
                </c:pt>
                <c:pt idx="55">
                  <c:v>0.23234610326560701</c:v>
                </c:pt>
                <c:pt idx="56">
                  <c:v>0.22644883558918799</c:v>
                </c:pt>
                <c:pt idx="57">
                  <c:v>0.43393939540165399</c:v>
                </c:pt>
                <c:pt idx="58">
                  <c:v>0.41385972233373503</c:v>
                </c:pt>
                <c:pt idx="59">
                  <c:v>0.73994323326312705</c:v>
                </c:pt>
                <c:pt idx="60">
                  <c:v>0.94426676052690295</c:v>
                </c:pt>
                <c:pt idx="61">
                  <c:v>0.90389195248903098</c:v>
                </c:pt>
                <c:pt idx="62">
                  <c:v>0.94952200989742097</c:v>
                </c:pt>
                <c:pt idx="63">
                  <c:v>0.93894434583576503</c:v>
                </c:pt>
                <c:pt idx="64">
                  <c:v>0.95352175990951904</c:v>
                </c:pt>
                <c:pt idx="65">
                  <c:v>0.91606224131257197</c:v>
                </c:pt>
                <c:pt idx="66">
                  <c:v>0.81440931189631105</c:v>
                </c:pt>
                <c:pt idx="67">
                  <c:v>0.87740442164135102</c:v>
                </c:pt>
                <c:pt idx="68">
                  <c:v>0.85781752100042796</c:v>
                </c:pt>
                <c:pt idx="69">
                  <c:v>1.0209004000240001</c:v>
                </c:pt>
                <c:pt idx="70">
                  <c:v>1.46839563417268</c:v>
                </c:pt>
                <c:pt idx="71">
                  <c:v>1.38184933483196</c:v>
                </c:pt>
                <c:pt idx="72">
                  <c:v>1.39969826710221</c:v>
                </c:pt>
                <c:pt idx="73">
                  <c:v>1.452460918771</c:v>
                </c:pt>
                <c:pt idx="74">
                  <c:v>1.3604513847048401</c:v>
                </c:pt>
                <c:pt idx="75">
                  <c:v>1.2625944953830599</c:v>
                </c:pt>
                <c:pt idx="76">
                  <c:v>1.1584770650818199</c:v>
                </c:pt>
                <c:pt idx="77">
                  <c:v>0.95978135357102501</c:v>
                </c:pt>
                <c:pt idx="78">
                  <c:v>0.87425658851413202</c:v>
                </c:pt>
                <c:pt idx="79">
                  <c:v>0.92714684878648501</c:v>
                </c:pt>
                <c:pt idx="80">
                  <c:v>0.73215886136977004</c:v>
                </c:pt>
                <c:pt idx="81">
                  <c:v>0.188540154496318</c:v>
                </c:pt>
                <c:pt idx="82">
                  <c:v>-0.19889173457418199</c:v>
                </c:pt>
                <c:pt idx="83">
                  <c:v>-0.35284493950285201</c:v>
                </c:pt>
                <c:pt idx="84">
                  <c:v>-0.41690336512236498</c:v>
                </c:pt>
                <c:pt idx="85">
                  <c:v>-0.13030860498397401</c:v>
                </c:pt>
                <c:pt idx="86">
                  <c:v>-0.17235481034674799</c:v>
                </c:pt>
                <c:pt idx="87">
                  <c:v>-0.39131860714037497</c:v>
                </c:pt>
                <c:pt idx="88">
                  <c:v>-0.3444206491099</c:v>
                </c:pt>
                <c:pt idx="89">
                  <c:v>-0.16354307324411299</c:v>
                </c:pt>
                <c:pt idx="90">
                  <c:v>-0.155026682441852</c:v>
                </c:pt>
                <c:pt idx="91">
                  <c:v>-0.122625955816933</c:v>
                </c:pt>
                <c:pt idx="92">
                  <c:v>4.8439180470666997E-2</c:v>
                </c:pt>
                <c:pt idx="93">
                  <c:v>0.103121342249322</c:v>
                </c:pt>
                <c:pt idx="94">
                  <c:v>9.6673810938530003E-2</c:v>
                </c:pt>
                <c:pt idx="95">
                  <c:v>8.0890420217386003E-2</c:v>
                </c:pt>
                <c:pt idx="96">
                  <c:v>1.6223423037523999E-2</c:v>
                </c:pt>
                <c:pt idx="97">
                  <c:v>0.146540928541886</c:v>
                </c:pt>
                <c:pt idx="98">
                  <c:v>0.17803697835836499</c:v>
                </c:pt>
                <c:pt idx="99">
                  <c:v>0.265711496884181</c:v>
                </c:pt>
                <c:pt idx="100">
                  <c:v>0.43724095777847399</c:v>
                </c:pt>
                <c:pt idx="101">
                  <c:v>0.79858079715019903</c:v>
                </c:pt>
                <c:pt idx="102">
                  <c:v>0.68724579109452399</c:v>
                </c:pt>
                <c:pt idx="103">
                  <c:v>0.74850148467866096</c:v>
                </c:pt>
                <c:pt idx="104">
                  <c:v>0.42714300034900199</c:v>
                </c:pt>
                <c:pt idx="105">
                  <c:v>0.217760390593981</c:v>
                </c:pt>
                <c:pt idx="106">
                  <c:v>0.104601292949578</c:v>
                </c:pt>
                <c:pt idx="107">
                  <c:v>0.234175675352119</c:v>
                </c:pt>
                <c:pt idx="108">
                  <c:v>0.260801093094157</c:v>
                </c:pt>
                <c:pt idx="109">
                  <c:v>0.382470349832918</c:v>
                </c:pt>
                <c:pt idx="110">
                  <c:v>0.25998062379946901</c:v>
                </c:pt>
                <c:pt idx="111">
                  <c:v>0.22729686148782199</c:v>
                </c:pt>
                <c:pt idx="112">
                  <c:v>0.34504916062656699</c:v>
                </c:pt>
                <c:pt idx="113">
                  <c:v>0.53654265453001104</c:v>
                </c:pt>
                <c:pt idx="114">
                  <c:v>0.57042319336916802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211200"/>
        <c:axId val="322757760"/>
      </c:lineChart>
      <c:dateAx>
        <c:axId val="3222112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322757760"/>
        <c:crosses val="autoZero"/>
        <c:auto val="1"/>
        <c:lblOffset val="100"/>
        <c:baseTimeUnit val="months"/>
      </c:dateAx>
      <c:valAx>
        <c:axId val="322757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22112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'Mtg Rate'!$D$1</c:f>
              <c:strCache>
                <c:ptCount val="1"/>
                <c:pt idx="0">
                  <c:v>Rate Diff</c:v>
                </c:pt>
              </c:strCache>
            </c:strRef>
          </c:tx>
          <c:invertIfNegative val="0"/>
          <c:cat>
            <c:numRef>
              <c:f>'Mtg Rate'!$A$2:$A$116</c:f>
              <c:numCache>
                <c:formatCode>m/d/yyyy</c:formatCode>
                <c:ptCount val="115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</c:numCache>
            </c:numRef>
          </c:cat>
          <c:val>
            <c:numRef>
              <c:f>'Mtg Rate'!$D$2:$D$116</c:f>
              <c:numCache>
                <c:formatCode>General</c:formatCode>
                <c:ptCount val="115"/>
                <c:pt idx="0">
                  <c:v>0.10291101892868948</c:v>
                </c:pt>
                <c:pt idx="1">
                  <c:v>8.2496280221570295E-2</c:v>
                </c:pt>
                <c:pt idx="2">
                  <c:v>6.1161953054220675E-2</c:v>
                </c:pt>
                <c:pt idx="3">
                  <c:v>4.5542203969880291E-2</c:v>
                </c:pt>
                <c:pt idx="4">
                  <c:v>1.5241019142699486E-2</c:v>
                </c:pt>
                <c:pt idx="5">
                  <c:v>-7.0930707171799057E-3</c:v>
                </c:pt>
                <c:pt idx="6">
                  <c:v>-2.1573039521380011E-2</c:v>
                </c:pt>
                <c:pt idx="7">
                  <c:v>-3.6712330570589202E-2</c:v>
                </c:pt>
                <c:pt idx="8">
                  <c:v>-4.2718071431000482E-2</c:v>
                </c:pt>
                <c:pt idx="9">
                  <c:v>-4.161190179172003E-2</c:v>
                </c:pt>
                <c:pt idx="10">
                  <c:v>-2.5526930932040059E-2</c:v>
                </c:pt>
                <c:pt idx="11">
                  <c:v>6.9864067891955983E-4</c:v>
                </c:pt>
                <c:pt idx="12">
                  <c:v>1.3873360273920277E-2</c:v>
                </c:pt>
                <c:pt idx="13">
                  <c:v>2.9726334501559926E-2</c:v>
                </c:pt>
                <c:pt idx="14">
                  <c:v>3.825425003748073E-2</c:v>
                </c:pt>
                <c:pt idx="15">
                  <c:v>3.7838190206769262E-2</c:v>
                </c:pt>
                <c:pt idx="16">
                  <c:v>3.3404342687940236E-2</c:v>
                </c:pt>
                <c:pt idx="17">
                  <c:v>-2.5896061852597185E-3</c:v>
                </c:pt>
                <c:pt idx="18">
                  <c:v>-3.6972690513890072E-2</c:v>
                </c:pt>
                <c:pt idx="19">
                  <c:v>-4.4977332634969613E-2</c:v>
                </c:pt>
                <c:pt idx="20">
                  <c:v>-4.6661910956589558E-2</c:v>
                </c:pt>
                <c:pt idx="21">
                  <c:v>-5.5826256234440486E-2</c:v>
                </c:pt>
                <c:pt idx="22">
                  <c:v>-6.2959233636659562E-2</c:v>
                </c:pt>
                <c:pt idx="23">
                  <c:v>-4.8733145465159389E-2</c:v>
                </c:pt>
                <c:pt idx="24">
                  <c:v>-2.4943027371750581E-2</c:v>
                </c:pt>
                <c:pt idx="25">
                  <c:v>-4.5225853039029928E-2</c:v>
                </c:pt>
                <c:pt idx="26">
                  <c:v>-7.0022446046669629E-2</c:v>
                </c:pt>
                <c:pt idx="27">
                  <c:v>-9.3136702384239989E-2</c:v>
                </c:pt>
                <c:pt idx="28">
                  <c:v>-0.12742365755329033</c:v>
                </c:pt>
                <c:pt idx="29">
                  <c:v>-0.16753310398850996</c:v>
                </c:pt>
                <c:pt idx="30">
                  <c:v>-0.21322855787417971</c:v>
                </c:pt>
                <c:pt idx="31">
                  <c:v>-0.23458921899062979</c:v>
                </c:pt>
                <c:pt idx="32">
                  <c:v>-0.25640409492029015</c:v>
                </c:pt>
                <c:pt idx="33">
                  <c:v>-0.25424692983896069</c:v>
                </c:pt>
                <c:pt idx="34">
                  <c:v>-0.22920937250307016</c:v>
                </c:pt>
                <c:pt idx="35">
                  <c:v>-0.24316070283621016</c:v>
                </c:pt>
                <c:pt idx="36">
                  <c:v>-0.22883236023971065</c:v>
                </c:pt>
                <c:pt idx="37">
                  <c:v>-0.20297532123827011</c:v>
                </c:pt>
                <c:pt idx="38">
                  <c:v>-0.1774530201028206</c:v>
                </c:pt>
                <c:pt idx="39">
                  <c:v>-0.16246167917910981</c:v>
                </c:pt>
                <c:pt idx="40">
                  <c:v>-0.1612458153392593</c:v>
                </c:pt>
                <c:pt idx="41">
                  <c:v>-0.11782247113431943</c:v>
                </c:pt>
                <c:pt idx="42">
                  <c:v>-7.9765133399179788E-2</c:v>
                </c:pt>
                <c:pt idx="43">
                  <c:v>-7.4407072367320026E-2</c:v>
                </c:pt>
                <c:pt idx="44">
                  <c:v>-4.8526962108840443E-2</c:v>
                </c:pt>
                <c:pt idx="45">
                  <c:v>-3.4254707578649679E-2</c:v>
                </c:pt>
                <c:pt idx="46">
                  <c:v>-1.2049339045420382E-2</c:v>
                </c:pt>
                <c:pt idx="47">
                  <c:v>9.8499008539398858E-3</c:v>
                </c:pt>
                <c:pt idx="48">
                  <c:v>1.1196320852819852E-2</c:v>
                </c:pt>
                <c:pt idx="49">
                  <c:v>2.0809319659900183E-2</c:v>
                </c:pt>
                <c:pt idx="50">
                  <c:v>2.1386805550549504E-2</c:v>
                </c:pt>
                <c:pt idx="51">
                  <c:v>1.200124464900032E-2</c:v>
                </c:pt>
                <c:pt idx="52">
                  <c:v>7.8241917758106183E-3</c:v>
                </c:pt>
                <c:pt idx="53">
                  <c:v>3.3161842735101033E-3</c:v>
                </c:pt>
                <c:pt idx="54">
                  <c:v>1.9079566503790168E-2</c:v>
                </c:pt>
                <c:pt idx="55">
                  <c:v>5.1810850747980197E-2</c:v>
                </c:pt>
                <c:pt idx="56">
                  <c:v>9.313249621335995E-2</c:v>
                </c:pt>
                <c:pt idx="57">
                  <c:v>0.15479399176595976</c:v>
                </c:pt>
                <c:pt idx="58">
                  <c:v>0.17474007002600978</c:v>
                </c:pt>
                <c:pt idx="59">
                  <c:v>0.21139199991462032</c:v>
                </c:pt>
                <c:pt idx="60">
                  <c:v>0.23023493517604043</c:v>
                </c:pt>
                <c:pt idx="61">
                  <c:v>0.23371318880213998</c:v>
                </c:pt>
                <c:pt idx="62">
                  <c:v>0.20716671225076011</c:v>
                </c:pt>
                <c:pt idx="63">
                  <c:v>0.18760231245631021</c:v>
                </c:pt>
                <c:pt idx="64">
                  <c:v>0.19310903997582995</c:v>
                </c:pt>
                <c:pt idx="65">
                  <c:v>0.17390525599201023</c:v>
                </c:pt>
                <c:pt idx="66">
                  <c:v>0.16966537072659982</c:v>
                </c:pt>
                <c:pt idx="67">
                  <c:v>0.12301969209303021</c:v>
                </c:pt>
                <c:pt idx="68">
                  <c:v>0.14032114631263992</c:v>
                </c:pt>
                <c:pt idx="69">
                  <c:v>0.13501133509977015</c:v>
                </c:pt>
                <c:pt idx="70">
                  <c:v>0.13669209598647036</c:v>
                </c:pt>
                <c:pt idx="71">
                  <c:v>0.13560371464944021</c:v>
                </c:pt>
                <c:pt idx="72">
                  <c:v>0.12730758416895993</c:v>
                </c:pt>
                <c:pt idx="73">
                  <c:v>0.15038989125953961</c:v>
                </c:pt>
                <c:pt idx="74">
                  <c:v>0.12295120422695005</c:v>
                </c:pt>
                <c:pt idx="75">
                  <c:v>0.12501400034379984</c:v>
                </c:pt>
                <c:pt idx="76">
                  <c:v>0.13579616471910994</c:v>
                </c:pt>
                <c:pt idx="77">
                  <c:v>0.14753065938430998</c:v>
                </c:pt>
                <c:pt idx="78">
                  <c:v>0.16522644618116011</c:v>
                </c:pt>
                <c:pt idx="79">
                  <c:v>0.16863510304056994</c:v>
                </c:pt>
                <c:pt idx="80">
                  <c:v>0.19332764163016014</c:v>
                </c:pt>
                <c:pt idx="81">
                  <c:v>0.20478943287354046</c:v>
                </c:pt>
                <c:pt idx="82">
                  <c:v>0.19114488499369031</c:v>
                </c:pt>
                <c:pt idx="83">
                  <c:v>0.18830734066310928</c:v>
                </c:pt>
                <c:pt idx="84">
                  <c:v>0.18583009909086012</c:v>
                </c:pt>
                <c:pt idx="85">
                  <c:v>0.2197044918228297</c:v>
                </c:pt>
                <c:pt idx="86">
                  <c:v>0.27246944548640961</c:v>
                </c:pt>
                <c:pt idx="87">
                  <c:v>0.25233665347013989</c:v>
                </c:pt>
                <c:pt idx="88">
                  <c:v>0.29983232920861003</c:v>
                </c:pt>
                <c:pt idx="89">
                  <c:v>0.35544055172649047</c:v>
                </c:pt>
                <c:pt idx="90">
                  <c:v>0.38593900839222028</c:v>
                </c:pt>
                <c:pt idx="91">
                  <c:v>0.37032356463656946</c:v>
                </c:pt>
                <c:pt idx="92">
                  <c:v>0.34873725425000979</c:v>
                </c:pt>
                <c:pt idx="93">
                  <c:v>0.38480599430118989</c:v>
                </c:pt>
                <c:pt idx="94">
                  <c:v>0.36714353156086021</c:v>
                </c:pt>
                <c:pt idx="95">
                  <c:v>0.34403150718339015</c:v>
                </c:pt>
                <c:pt idx="96">
                  <c:v>0.32560328259817961</c:v>
                </c:pt>
                <c:pt idx="97">
                  <c:v>0.33483536382238022</c:v>
                </c:pt>
                <c:pt idx="98">
                  <c:v>0.34779885539711985</c:v>
                </c:pt>
                <c:pt idx="99">
                  <c:v>0.33206318225247022</c:v>
                </c:pt>
                <c:pt idx="100">
                  <c:v>0.33998605301191986</c:v>
                </c:pt>
                <c:pt idx="101">
                  <c:v>0.29383179624019018</c:v>
                </c:pt>
                <c:pt idx="102">
                  <c:v>0.26395298977872983</c:v>
                </c:pt>
                <c:pt idx="103">
                  <c:v>0.27085246967327015</c:v>
                </c:pt>
                <c:pt idx="104">
                  <c:v>0.20027225305135987</c:v>
                </c:pt>
                <c:pt idx="105">
                  <c:v>0.21573290562864011</c:v>
                </c:pt>
                <c:pt idx="106">
                  <c:v>0.19336282165337026</c:v>
                </c:pt>
                <c:pt idx="107">
                  <c:v>0.21534451875111005</c:v>
                </c:pt>
                <c:pt idx="108">
                  <c:v>0.23346018989688977</c:v>
                </c:pt>
                <c:pt idx="109">
                  <c:v>0.23307834943281991</c:v>
                </c:pt>
                <c:pt idx="110">
                  <c:v>0.26720014950682991</c:v>
                </c:pt>
                <c:pt idx="111">
                  <c:v>0.24752900537301992</c:v>
                </c:pt>
                <c:pt idx="112">
                  <c:v>0.27256525170730006</c:v>
                </c:pt>
                <c:pt idx="113">
                  <c:v>0.23751740742936001</c:v>
                </c:pt>
                <c:pt idx="114">
                  <c:v>0.23386692681491006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8472576"/>
        <c:axId val="428470272"/>
      </c:barChart>
      <c:lineChart>
        <c:grouping val="standard"/>
        <c:varyColors val="0"/>
        <c:ser>
          <c:idx val="0"/>
          <c:order val="0"/>
          <c:tx>
            <c:strRef>
              <c:f>'Mtg Rate'!$B$1</c:f>
              <c:strCache>
                <c:ptCount val="1"/>
                <c:pt idx="0">
                  <c:v>MtgRate_conv</c:v>
                </c:pt>
              </c:strCache>
            </c:strRef>
          </c:tx>
          <c:marker>
            <c:symbol val="none"/>
          </c:marker>
          <c:cat>
            <c:numRef>
              <c:f>'Mtg Rate'!$A$2:$A$116</c:f>
              <c:numCache>
                <c:formatCode>m/d/yyyy</c:formatCode>
                <c:ptCount val="115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</c:numCache>
            </c:numRef>
          </c:cat>
          <c:val>
            <c:numRef>
              <c:f>'Mtg Rate'!$B$2:$B$116</c:f>
              <c:numCache>
                <c:formatCode>General</c:formatCode>
                <c:ptCount val="115"/>
                <c:pt idx="0">
                  <c:v>6.2649999999999997</c:v>
                </c:pt>
                <c:pt idx="1">
                  <c:v>6.2137500000000001</c:v>
                </c:pt>
                <c:pt idx="2">
                  <c:v>6.11</c:v>
                </c:pt>
                <c:pt idx="3">
                  <c:v>5.9912499999999902</c:v>
                </c:pt>
                <c:pt idx="4">
                  <c:v>6.0919999999999996</c:v>
                </c:pt>
                <c:pt idx="5">
                  <c:v>6.09499999999999</c:v>
                </c:pt>
                <c:pt idx="6">
                  <c:v>6.0062499999999996</c:v>
                </c:pt>
                <c:pt idx="7">
                  <c:v>6.0425000000000004</c:v>
                </c:pt>
                <c:pt idx="8">
                  <c:v>6.1219999999999999</c:v>
                </c:pt>
                <c:pt idx="9">
                  <c:v>6.5137499999999999</c:v>
                </c:pt>
                <c:pt idx="10">
                  <c:v>6.5449999999999999</c:v>
                </c:pt>
                <c:pt idx="11">
                  <c:v>6.4219999999999997</c:v>
                </c:pt>
                <c:pt idx="12">
                  <c:v>6.2575000000000003</c:v>
                </c:pt>
                <c:pt idx="13">
                  <c:v>6.2169999999999996</c:v>
                </c:pt>
                <c:pt idx="14">
                  <c:v>6.0574999999999903</c:v>
                </c:pt>
                <c:pt idx="15">
                  <c:v>5.9574999999999996</c:v>
                </c:pt>
                <c:pt idx="16">
                  <c:v>5.6180000000000003</c:v>
                </c:pt>
                <c:pt idx="17">
                  <c:v>5.7862499999999999</c:v>
                </c:pt>
                <c:pt idx="18">
                  <c:v>5.8387500000000001</c:v>
                </c:pt>
                <c:pt idx="19">
                  <c:v>5.8010000000000002</c:v>
                </c:pt>
                <c:pt idx="20">
                  <c:v>5.9050000000000002</c:v>
                </c:pt>
                <c:pt idx="21">
                  <c:v>6.2324999999999999</c:v>
                </c:pt>
                <c:pt idx="22">
                  <c:v>6.3310000000000004</c:v>
                </c:pt>
                <c:pt idx="23">
                  <c:v>6.3962499999999904</c:v>
                </c:pt>
                <c:pt idx="24">
                  <c:v>5.9562499999999998</c:v>
                </c:pt>
                <c:pt idx="25">
                  <c:v>6.1050000000000004</c:v>
                </c:pt>
                <c:pt idx="26">
                  <c:v>6.0125000000000002</c:v>
                </c:pt>
                <c:pt idx="27">
                  <c:v>5.2159999999999904</c:v>
                </c:pt>
                <c:pt idx="28">
                  <c:v>4.9662499999999996</c:v>
                </c:pt>
                <c:pt idx="29">
                  <c:v>5.0612500000000002</c:v>
                </c:pt>
                <c:pt idx="30">
                  <c:v>4.9275000000000002</c:v>
                </c:pt>
                <c:pt idx="31">
                  <c:v>4.7300000000000004</c:v>
                </c:pt>
                <c:pt idx="32">
                  <c:v>4.7762500000000001</c:v>
                </c:pt>
                <c:pt idx="33">
                  <c:v>5.3449999999999998</c:v>
                </c:pt>
                <c:pt idx="34">
                  <c:v>5.1470000000000002</c:v>
                </c:pt>
                <c:pt idx="35">
                  <c:v>5.1112500000000001</c:v>
                </c:pt>
                <c:pt idx="36">
                  <c:v>4.9539999999999997</c:v>
                </c:pt>
                <c:pt idx="37">
                  <c:v>4.88</c:v>
                </c:pt>
                <c:pt idx="38">
                  <c:v>4.8</c:v>
                </c:pt>
                <c:pt idx="39">
                  <c:v>4.8550000000000004</c:v>
                </c:pt>
                <c:pt idx="40">
                  <c:v>4.9487500000000004</c:v>
                </c:pt>
                <c:pt idx="41">
                  <c:v>4.9149999999999903</c:v>
                </c:pt>
                <c:pt idx="42">
                  <c:v>4.91</c:v>
                </c:pt>
                <c:pt idx="43">
                  <c:v>5.0149999999999997</c:v>
                </c:pt>
                <c:pt idx="44">
                  <c:v>4.8125</c:v>
                </c:pt>
                <c:pt idx="45">
                  <c:v>4.6359999999999904</c:v>
                </c:pt>
                <c:pt idx="46">
                  <c:v>4.4849999999999897</c:v>
                </c:pt>
                <c:pt idx="47">
                  <c:v>4.3525</c:v>
                </c:pt>
                <c:pt idx="48">
                  <c:v>4.2759999999999998</c:v>
                </c:pt>
                <c:pt idx="49">
                  <c:v>4.1749999999999998</c:v>
                </c:pt>
                <c:pt idx="50">
                  <c:v>4.2562499999999996</c:v>
                </c:pt>
                <c:pt idx="51">
                  <c:v>4.6489999999999903</c:v>
                </c:pt>
                <c:pt idx="52">
                  <c:v>4.6987500000000004</c:v>
                </c:pt>
                <c:pt idx="53">
                  <c:v>4.8775000000000004</c:v>
                </c:pt>
                <c:pt idx="54">
                  <c:v>4.7610000000000001</c:v>
                </c:pt>
                <c:pt idx="55">
                  <c:v>4.75875</c:v>
                </c:pt>
                <c:pt idx="56">
                  <c:v>4.5625</c:v>
                </c:pt>
                <c:pt idx="57">
                  <c:v>4.4349999999999996</c:v>
                </c:pt>
                <c:pt idx="58">
                  <c:v>4.4762499999999896</c:v>
                </c:pt>
                <c:pt idx="59">
                  <c:v>4.1900000000000004</c:v>
                </c:pt>
                <c:pt idx="60">
                  <c:v>4.0025000000000004</c:v>
                </c:pt>
                <c:pt idx="61">
                  <c:v>4.0175000000000001</c:v>
                </c:pt>
                <c:pt idx="62">
                  <c:v>3.919</c:v>
                </c:pt>
                <c:pt idx="63">
                  <c:v>3.8787500000000001</c:v>
                </c:pt>
                <c:pt idx="64">
                  <c:v>3.8525</c:v>
                </c:pt>
                <c:pt idx="65">
                  <c:v>3.8420000000000001</c:v>
                </c:pt>
                <c:pt idx="66">
                  <c:v>3.9112499999999999</c:v>
                </c:pt>
                <c:pt idx="67">
                  <c:v>3.8412500000000001</c:v>
                </c:pt>
                <c:pt idx="68">
                  <c:v>3.738</c:v>
                </c:pt>
                <c:pt idx="69">
                  <c:v>3.6</c:v>
                </c:pt>
                <c:pt idx="70">
                  <c:v>3.4812500000000002</c:v>
                </c:pt>
                <c:pt idx="71">
                  <c:v>3.512</c:v>
                </c:pt>
                <c:pt idx="72">
                  <c:v>3.4037500000000001</c:v>
                </c:pt>
                <c:pt idx="73">
                  <c:v>3.3039999999999998</c:v>
                </c:pt>
                <c:pt idx="74">
                  <c:v>3.2737500000000002</c:v>
                </c:pt>
                <c:pt idx="75">
                  <c:v>3.27</c:v>
                </c:pt>
                <c:pt idx="76">
                  <c:v>3.339</c:v>
                </c:pt>
                <c:pt idx="77">
                  <c:v>3.4824999999999999</c:v>
                </c:pt>
                <c:pt idx="78">
                  <c:v>3.50875</c:v>
                </c:pt>
                <c:pt idx="79">
                  <c:v>3.3887499999999999</c:v>
                </c:pt>
                <c:pt idx="80">
                  <c:v>3.4660000000000002</c:v>
                </c:pt>
                <c:pt idx="81">
                  <c:v>4.0075000000000003</c:v>
                </c:pt>
                <c:pt idx="82">
                  <c:v>4.3090000000000002</c:v>
                </c:pt>
                <c:pt idx="83">
                  <c:v>4.4037499999999996</c:v>
                </c:pt>
                <c:pt idx="84">
                  <c:v>4.4212499999999997</c:v>
                </c:pt>
                <c:pt idx="85">
                  <c:v>4.1219999999999999</c:v>
                </c:pt>
                <c:pt idx="86">
                  <c:v>4.1862499999999896</c:v>
                </c:pt>
                <c:pt idx="87">
                  <c:v>4.37</c:v>
                </c:pt>
                <c:pt idx="88">
                  <c:v>4.3620000000000001</c:v>
                </c:pt>
                <c:pt idx="89">
                  <c:v>4.2274999999999903</c:v>
                </c:pt>
                <c:pt idx="90">
                  <c:v>4.2487500000000002</c:v>
                </c:pt>
                <c:pt idx="91">
                  <c:v>4.2479999999999896</c:v>
                </c:pt>
                <c:pt idx="92">
                  <c:v>4.0674999999999999</c:v>
                </c:pt>
                <c:pt idx="93">
                  <c:v>4.05</c:v>
                </c:pt>
                <c:pt idx="94">
                  <c:v>4.03</c:v>
                </c:pt>
                <c:pt idx="95">
                  <c:v>4.00875</c:v>
                </c:pt>
                <c:pt idx="96">
                  <c:v>4.0374999999999996</c:v>
                </c:pt>
                <c:pt idx="97">
                  <c:v>3.9060000000000001</c:v>
                </c:pt>
                <c:pt idx="98">
                  <c:v>3.8725000000000001</c:v>
                </c:pt>
                <c:pt idx="99">
                  <c:v>3.754</c:v>
                </c:pt>
                <c:pt idx="100">
                  <c:v>3.5762499999999999</c:v>
                </c:pt>
                <c:pt idx="101">
                  <c:v>3.61625</c:v>
                </c:pt>
                <c:pt idx="102">
                  <c:v>3.67</c:v>
                </c:pt>
                <c:pt idx="103">
                  <c:v>3.577</c:v>
                </c:pt>
                <c:pt idx="104">
                  <c:v>3.7462499999999999</c:v>
                </c:pt>
                <c:pt idx="105">
                  <c:v>3.895</c:v>
                </c:pt>
                <c:pt idx="106">
                  <c:v>3.9460000000000002</c:v>
                </c:pt>
                <c:pt idx="107">
                  <c:v>3.8050000000000002</c:v>
                </c:pt>
                <c:pt idx="108">
                  <c:v>3.7869999999999999</c:v>
                </c:pt>
                <c:pt idx="109">
                  <c:v>3.6825000000000001</c:v>
                </c:pt>
                <c:pt idx="110">
                  <c:v>3.8487499999999999</c:v>
                </c:pt>
                <c:pt idx="111">
                  <c:v>3.8639999999999999</c:v>
                </c:pt>
                <c:pt idx="112">
                  <c:v>3.7725</c:v>
                </c:pt>
                <c:pt idx="113">
                  <c:v>3.5474999999999999</c:v>
                </c:pt>
                <c:pt idx="114">
                  <c:v>3.5150000000000001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'Mtg Rate'!$C$1</c:f>
              <c:strCache>
                <c:ptCount val="1"/>
                <c:pt idx="0">
                  <c:v>MtgRate_gnma</c:v>
                </c:pt>
              </c:strCache>
            </c:strRef>
          </c:tx>
          <c:marker>
            <c:symbol val="none"/>
          </c:marker>
          <c:cat>
            <c:numRef>
              <c:f>'Mtg Rate'!$A$2:$A$116</c:f>
              <c:numCache>
                <c:formatCode>m/d/yyyy</c:formatCode>
                <c:ptCount val="115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</c:numCache>
            </c:numRef>
          </c:cat>
          <c:val>
            <c:numRef>
              <c:f>'Mtg Rate'!$C$2:$C$116</c:f>
              <c:numCache>
                <c:formatCode>General</c:formatCode>
                <c:ptCount val="115"/>
                <c:pt idx="0">
                  <c:v>6.1620889810713102</c:v>
                </c:pt>
                <c:pt idx="1">
                  <c:v>6.1312537197784298</c:v>
                </c:pt>
                <c:pt idx="2">
                  <c:v>6.0488380469457796</c:v>
                </c:pt>
                <c:pt idx="3">
                  <c:v>5.9457077960301099</c:v>
                </c:pt>
                <c:pt idx="4">
                  <c:v>6.0767589808573002</c:v>
                </c:pt>
                <c:pt idx="5">
                  <c:v>6.1020930707171699</c:v>
                </c:pt>
                <c:pt idx="6">
                  <c:v>6.0278230395213797</c:v>
                </c:pt>
                <c:pt idx="7">
                  <c:v>6.0792123305705896</c:v>
                </c:pt>
                <c:pt idx="8">
                  <c:v>6.1647180714310004</c:v>
                </c:pt>
                <c:pt idx="9">
                  <c:v>6.55536190179172</c:v>
                </c:pt>
                <c:pt idx="10">
                  <c:v>6.57052693093204</c:v>
                </c:pt>
                <c:pt idx="11">
                  <c:v>6.4213013593210801</c:v>
                </c:pt>
                <c:pt idx="12">
                  <c:v>6.24362663972608</c:v>
                </c:pt>
                <c:pt idx="13">
                  <c:v>6.1872736654984397</c:v>
                </c:pt>
                <c:pt idx="14">
                  <c:v>6.0192457499625096</c:v>
                </c:pt>
                <c:pt idx="15">
                  <c:v>5.9196618097932303</c:v>
                </c:pt>
                <c:pt idx="16">
                  <c:v>5.5845956573120601</c:v>
                </c:pt>
                <c:pt idx="17">
                  <c:v>5.7888396061852596</c:v>
                </c:pt>
                <c:pt idx="18">
                  <c:v>5.8757226905138902</c:v>
                </c:pt>
                <c:pt idx="19">
                  <c:v>5.8459773326349698</c:v>
                </c:pt>
                <c:pt idx="20">
                  <c:v>5.9516619109565898</c:v>
                </c:pt>
                <c:pt idx="21">
                  <c:v>6.2883262562344404</c:v>
                </c:pt>
                <c:pt idx="22">
                  <c:v>6.39395923363666</c:v>
                </c:pt>
                <c:pt idx="23">
                  <c:v>6.4449831454651498</c:v>
                </c:pt>
                <c:pt idx="24">
                  <c:v>5.9811930273717504</c:v>
                </c:pt>
                <c:pt idx="25">
                  <c:v>6.1502258530390304</c:v>
                </c:pt>
                <c:pt idx="26">
                  <c:v>6.0825224460466698</c:v>
                </c:pt>
                <c:pt idx="27">
                  <c:v>5.3091367023842304</c:v>
                </c:pt>
                <c:pt idx="28">
                  <c:v>5.0936736575532899</c:v>
                </c:pt>
                <c:pt idx="29">
                  <c:v>5.2287831039885102</c:v>
                </c:pt>
                <c:pt idx="30">
                  <c:v>5.1407285578741799</c:v>
                </c:pt>
                <c:pt idx="31">
                  <c:v>4.9645892189906302</c:v>
                </c:pt>
                <c:pt idx="32">
                  <c:v>5.0326540949202903</c:v>
                </c:pt>
                <c:pt idx="33">
                  <c:v>5.5992469298389604</c:v>
                </c:pt>
                <c:pt idx="34">
                  <c:v>5.3762093725030704</c:v>
                </c:pt>
                <c:pt idx="35">
                  <c:v>5.3544107028362102</c:v>
                </c:pt>
                <c:pt idx="36">
                  <c:v>5.1828323602397104</c:v>
                </c:pt>
                <c:pt idx="37">
                  <c:v>5.08297532123827</c:v>
                </c:pt>
                <c:pt idx="38">
                  <c:v>4.9774530201028204</c:v>
                </c:pt>
                <c:pt idx="39">
                  <c:v>5.0174616791791102</c:v>
                </c:pt>
                <c:pt idx="40">
                  <c:v>5.1099958153392597</c:v>
                </c:pt>
                <c:pt idx="41">
                  <c:v>5.0328224711343097</c:v>
                </c:pt>
                <c:pt idx="42">
                  <c:v>4.9897651333991799</c:v>
                </c:pt>
                <c:pt idx="43">
                  <c:v>5.0894070723673197</c:v>
                </c:pt>
                <c:pt idx="44">
                  <c:v>4.8610269621088404</c:v>
                </c:pt>
                <c:pt idx="45">
                  <c:v>4.67025470757864</c:v>
                </c:pt>
                <c:pt idx="46">
                  <c:v>4.49704933904541</c:v>
                </c:pt>
                <c:pt idx="47">
                  <c:v>4.3426500991460601</c:v>
                </c:pt>
                <c:pt idx="48">
                  <c:v>4.2648036791471799</c:v>
                </c:pt>
                <c:pt idx="49">
                  <c:v>4.1541906803400996</c:v>
                </c:pt>
                <c:pt idx="50">
                  <c:v>4.2348631944494501</c:v>
                </c:pt>
                <c:pt idx="51">
                  <c:v>4.6369987553509899</c:v>
                </c:pt>
                <c:pt idx="52">
                  <c:v>4.6909258082241898</c:v>
                </c:pt>
                <c:pt idx="53">
                  <c:v>4.8741838157264903</c:v>
                </c:pt>
                <c:pt idx="54">
                  <c:v>4.74192043349621</c:v>
                </c:pt>
                <c:pt idx="55">
                  <c:v>4.7069391492520198</c:v>
                </c:pt>
                <c:pt idx="56">
                  <c:v>4.4693675037866401</c:v>
                </c:pt>
                <c:pt idx="57">
                  <c:v>4.2802060082340398</c:v>
                </c:pt>
                <c:pt idx="58">
                  <c:v>4.3015099299739799</c:v>
                </c:pt>
                <c:pt idx="59">
                  <c:v>3.9786080000853801</c:v>
                </c:pt>
                <c:pt idx="60">
                  <c:v>3.77226506482396</c:v>
                </c:pt>
                <c:pt idx="61">
                  <c:v>3.7837868111978601</c:v>
                </c:pt>
                <c:pt idx="62">
                  <c:v>3.7118332877492399</c:v>
                </c:pt>
                <c:pt idx="63">
                  <c:v>3.6911476875436899</c:v>
                </c:pt>
                <c:pt idx="64">
                  <c:v>3.6593909600241701</c:v>
                </c:pt>
                <c:pt idx="65">
                  <c:v>3.6680947440079898</c:v>
                </c:pt>
                <c:pt idx="66">
                  <c:v>3.7415846292734001</c:v>
                </c:pt>
                <c:pt idx="67">
                  <c:v>3.7182303079069698</c:v>
                </c:pt>
                <c:pt idx="68">
                  <c:v>3.5976788536873601</c:v>
                </c:pt>
                <c:pt idx="69">
                  <c:v>3.4649886649002299</c:v>
                </c:pt>
                <c:pt idx="70">
                  <c:v>3.3445579040135298</c:v>
                </c:pt>
                <c:pt idx="71">
                  <c:v>3.3763962853505598</c:v>
                </c:pt>
                <c:pt idx="72">
                  <c:v>3.2764424158310401</c:v>
                </c:pt>
                <c:pt idx="73">
                  <c:v>3.1536101087404602</c:v>
                </c:pt>
                <c:pt idx="74">
                  <c:v>3.1507987957730501</c:v>
                </c:pt>
                <c:pt idx="75">
                  <c:v>3.1449859996562002</c:v>
                </c:pt>
                <c:pt idx="76">
                  <c:v>3.20320383528089</c:v>
                </c:pt>
                <c:pt idx="77">
                  <c:v>3.3349693406156899</c:v>
                </c:pt>
                <c:pt idx="78">
                  <c:v>3.3435235538188399</c:v>
                </c:pt>
                <c:pt idx="79">
                  <c:v>3.22011489695943</c:v>
                </c:pt>
                <c:pt idx="80">
                  <c:v>3.2726723583698401</c:v>
                </c:pt>
                <c:pt idx="81">
                  <c:v>3.8027105671264598</c:v>
                </c:pt>
                <c:pt idx="82">
                  <c:v>4.1178551150063099</c:v>
                </c:pt>
                <c:pt idx="83">
                  <c:v>4.2154426593368903</c:v>
                </c:pt>
                <c:pt idx="84">
                  <c:v>4.2354199009091396</c:v>
                </c:pt>
                <c:pt idx="85">
                  <c:v>3.9022955081771702</c:v>
                </c:pt>
                <c:pt idx="86">
                  <c:v>3.91378055451358</c:v>
                </c:pt>
                <c:pt idx="87">
                  <c:v>4.1176633465298602</c:v>
                </c:pt>
                <c:pt idx="88">
                  <c:v>4.0621676707913901</c:v>
                </c:pt>
                <c:pt idx="89">
                  <c:v>3.8720594482734998</c:v>
                </c:pt>
                <c:pt idx="90">
                  <c:v>3.86281099160778</c:v>
                </c:pt>
                <c:pt idx="91">
                  <c:v>3.8776764353634201</c:v>
                </c:pt>
                <c:pt idx="92">
                  <c:v>3.7187627457499901</c:v>
                </c:pt>
                <c:pt idx="93">
                  <c:v>3.6651940056988099</c:v>
                </c:pt>
                <c:pt idx="94">
                  <c:v>3.66285646843914</c:v>
                </c:pt>
                <c:pt idx="95">
                  <c:v>3.6647184928166099</c:v>
                </c:pt>
                <c:pt idx="96">
                  <c:v>3.71189671740182</c:v>
                </c:pt>
                <c:pt idx="97">
                  <c:v>3.5711646361776199</c:v>
                </c:pt>
                <c:pt idx="98">
                  <c:v>3.5247011446028802</c:v>
                </c:pt>
                <c:pt idx="99">
                  <c:v>3.4219368177475298</c:v>
                </c:pt>
                <c:pt idx="100">
                  <c:v>3.2362639469880801</c:v>
                </c:pt>
                <c:pt idx="101">
                  <c:v>3.3224182037598098</c:v>
                </c:pt>
                <c:pt idx="102">
                  <c:v>3.4060470102212701</c:v>
                </c:pt>
                <c:pt idx="103">
                  <c:v>3.3061475303267298</c:v>
                </c:pt>
                <c:pt idx="104">
                  <c:v>3.54597774694864</c:v>
                </c:pt>
                <c:pt idx="105">
                  <c:v>3.6792670943713599</c:v>
                </c:pt>
                <c:pt idx="106">
                  <c:v>3.7526371783466299</c:v>
                </c:pt>
                <c:pt idx="107">
                  <c:v>3.5896554812488901</c:v>
                </c:pt>
                <c:pt idx="108">
                  <c:v>3.5535398101031102</c:v>
                </c:pt>
                <c:pt idx="109">
                  <c:v>3.4494216505671802</c:v>
                </c:pt>
                <c:pt idx="110">
                  <c:v>3.58154985049317</c:v>
                </c:pt>
                <c:pt idx="111">
                  <c:v>3.61647099462698</c:v>
                </c:pt>
                <c:pt idx="112">
                  <c:v>3.4999347482926999</c:v>
                </c:pt>
                <c:pt idx="113">
                  <c:v>3.3099825925706399</c:v>
                </c:pt>
                <c:pt idx="114">
                  <c:v>3.2811330731850901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2675072"/>
        <c:axId val="413389568"/>
      </c:lineChart>
      <c:dateAx>
        <c:axId val="4126750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13389568"/>
        <c:crosses val="autoZero"/>
        <c:auto val="1"/>
        <c:lblOffset val="100"/>
        <c:baseTimeUnit val="months"/>
      </c:dateAx>
      <c:valAx>
        <c:axId val="413389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12675072"/>
        <c:crosses val="autoZero"/>
        <c:crossBetween val="between"/>
      </c:valAx>
      <c:valAx>
        <c:axId val="428470272"/>
        <c:scaling>
          <c:orientation val="minMax"/>
          <c:max val="1"/>
        </c:scaling>
        <c:delete val="0"/>
        <c:axPos val="r"/>
        <c:numFmt formatCode="General" sourceLinked="1"/>
        <c:majorTickMark val="out"/>
        <c:minorTickMark val="none"/>
        <c:tickLblPos val="nextTo"/>
        <c:crossAx val="428472576"/>
        <c:crosses val="max"/>
        <c:crossBetween val="between"/>
      </c:valAx>
      <c:dateAx>
        <c:axId val="42847257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28470272"/>
        <c:auto val="1"/>
        <c:lblOffset val="100"/>
        <c:baseTimeUnit val="months"/>
      </c:date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'LTV 90_97'!$H$1</c:f>
              <c:strCache>
                <c:ptCount val="1"/>
                <c:pt idx="0">
                  <c:v>Diff MI</c:v>
                </c:pt>
              </c:strCache>
            </c:strRef>
          </c:tx>
          <c:invertIfNegative val="0"/>
          <c:cat>
            <c:numRef>
              <c:f>'LTV 90_97'!$A$2:$A$116</c:f>
              <c:numCache>
                <c:formatCode>m/d/yyyy</c:formatCode>
                <c:ptCount val="115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</c:numCache>
            </c:numRef>
          </c:cat>
          <c:val>
            <c:numRef>
              <c:f>'LTV 90_97'!$H$2:$H$116</c:f>
              <c:numCache>
                <c:formatCode>General</c:formatCode>
                <c:ptCount val="115"/>
                <c:pt idx="0">
                  <c:v>-48.0736759798557</c:v>
                </c:pt>
                <c:pt idx="1">
                  <c:v>-48.107105940181825</c:v>
                </c:pt>
                <c:pt idx="2">
                  <c:v>-48.127003189220048</c:v>
                </c:pt>
                <c:pt idx="3">
                  <c:v>-48.152330601136676</c:v>
                </c:pt>
                <c:pt idx="4">
                  <c:v>-48.169315206528573</c:v>
                </c:pt>
                <c:pt idx="5">
                  <c:v>-48.193920586199326</c:v>
                </c:pt>
                <c:pt idx="6">
                  <c:v>-48.186490549102679</c:v>
                </c:pt>
                <c:pt idx="7">
                  <c:v>-48.135038614459745</c:v>
                </c:pt>
                <c:pt idx="8">
                  <c:v>-48.121502007831879</c:v>
                </c:pt>
                <c:pt idx="9">
                  <c:v>-48.079200326824328</c:v>
                </c:pt>
                <c:pt idx="10">
                  <c:v>-48.055356236062323</c:v>
                </c:pt>
                <c:pt idx="11">
                  <c:v>-48.031858973278553</c:v>
                </c:pt>
                <c:pt idx="12">
                  <c:v>-48.033220618753376</c:v>
                </c:pt>
                <c:pt idx="13">
                  <c:v>-48.151480789605877</c:v>
                </c:pt>
                <c:pt idx="14">
                  <c:v>-48.332237795410279</c:v>
                </c:pt>
                <c:pt idx="15">
                  <c:v>-48.427802751748025</c:v>
                </c:pt>
                <c:pt idx="16">
                  <c:v>-48.541857983972577</c:v>
                </c:pt>
                <c:pt idx="17">
                  <c:v>-48.554135174489019</c:v>
                </c:pt>
                <c:pt idx="18">
                  <c:v>-46.586723289106175</c:v>
                </c:pt>
                <c:pt idx="19">
                  <c:v>-46.567024730099192</c:v>
                </c:pt>
                <c:pt idx="20">
                  <c:v>-46.497336716738701</c:v>
                </c:pt>
                <c:pt idx="21">
                  <c:v>-46.552750233643422</c:v>
                </c:pt>
                <c:pt idx="22">
                  <c:v>-46.601074069695478</c:v>
                </c:pt>
                <c:pt idx="23">
                  <c:v>-46.649717601533624</c:v>
                </c:pt>
                <c:pt idx="24">
                  <c:v>-46.759749988418633</c:v>
                </c:pt>
                <c:pt idx="25">
                  <c:v>-46.766191643187277</c:v>
                </c:pt>
                <c:pt idx="26">
                  <c:v>-46.795191346419095</c:v>
                </c:pt>
                <c:pt idx="27">
                  <c:v>-46.831841835443228</c:v>
                </c:pt>
                <c:pt idx="28">
                  <c:v>-46.876852608050726</c:v>
                </c:pt>
                <c:pt idx="29">
                  <c:v>-46.887660356548452</c:v>
                </c:pt>
                <c:pt idx="30">
                  <c:v>-46.867833449394325</c:v>
                </c:pt>
                <c:pt idx="31">
                  <c:v>-46.847314966560148</c:v>
                </c:pt>
                <c:pt idx="32">
                  <c:v>-46.858602490912446</c:v>
                </c:pt>
                <c:pt idx="33">
                  <c:v>-46.836737821234706</c:v>
                </c:pt>
                <c:pt idx="34">
                  <c:v>-46.808449722633988</c:v>
                </c:pt>
                <c:pt idx="35">
                  <c:v>-45.100367764303172</c:v>
                </c:pt>
                <c:pt idx="36">
                  <c:v>-42.18334438948078</c:v>
                </c:pt>
                <c:pt idx="37">
                  <c:v>-38.7322881906953</c:v>
                </c:pt>
                <c:pt idx="38">
                  <c:v>-36.267491339146943</c:v>
                </c:pt>
                <c:pt idx="39">
                  <c:v>-35.107829131500026</c:v>
                </c:pt>
                <c:pt idx="40">
                  <c:v>-33.757381309769102</c:v>
                </c:pt>
                <c:pt idx="41">
                  <c:v>-31.951448427070801</c:v>
                </c:pt>
                <c:pt idx="42">
                  <c:v>-30.649691089034029</c:v>
                </c:pt>
                <c:pt idx="43">
                  <c:v>-28.008787171693228</c:v>
                </c:pt>
                <c:pt idx="44">
                  <c:v>-33.598150002133679</c:v>
                </c:pt>
                <c:pt idx="45">
                  <c:v>-31.932377061625232</c:v>
                </c:pt>
                <c:pt idx="46">
                  <c:v>-30.382906532578744</c:v>
                </c:pt>
                <c:pt idx="47">
                  <c:v>-26.84309250554287</c:v>
                </c:pt>
                <c:pt idx="48">
                  <c:v>-24.933649985687779</c:v>
                </c:pt>
                <c:pt idx="49">
                  <c:v>-22.848709332250849</c:v>
                </c:pt>
                <c:pt idx="50">
                  <c:v>-45.304885152664184</c:v>
                </c:pt>
                <c:pt idx="51">
                  <c:v>-42.761617235772484</c:v>
                </c:pt>
                <c:pt idx="52">
                  <c:v>-41.058835229071533</c:v>
                </c:pt>
                <c:pt idx="53">
                  <c:v>-39.611590416024228</c:v>
                </c:pt>
                <c:pt idx="54">
                  <c:v>-38.170919650918023</c:v>
                </c:pt>
                <c:pt idx="55">
                  <c:v>-36.208276077752707</c:v>
                </c:pt>
                <c:pt idx="56">
                  <c:v>-59.904374829900355</c:v>
                </c:pt>
                <c:pt idx="57">
                  <c:v>-59.420741664503595</c:v>
                </c:pt>
                <c:pt idx="58">
                  <c:v>-58.325659930987044</c:v>
                </c:pt>
                <c:pt idx="59">
                  <c:v>-58.311876021320302</c:v>
                </c:pt>
                <c:pt idx="60">
                  <c:v>-57.391837919077147</c:v>
                </c:pt>
                <c:pt idx="61">
                  <c:v>-55.643716609941222</c:v>
                </c:pt>
                <c:pt idx="62">
                  <c:v>-54.423972411682371</c:v>
                </c:pt>
                <c:pt idx="63">
                  <c:v>-53.198074777275636</c:v>
                </c:pt>
                <c:pt idx="64">
                  <c:v>-52.832593283999245</c:v>
                </c:pt>
                <c:pt idx="65">
                  <c:v>-51.796106540057224</c:v>
                </c:pt>
                <c:pt idx="66">
                  <c:v>-53.541158282878271</c:v>
                </c:pt>
                <c:pt idx="67">
                  <c:v>-53.366160229670982</c:v>
                </c:pt>
                <c:pt idx="68">
                  <c:v>-69.647127123622568</c:v>
                </c:pt>
                <c:pt idx="69">
                  <c:v>-69.671106574962394</c:v>
                </c:pt>
                <c:pt idx="70">
                  <c:v>-30.614377417615756</c:v>
                </c:pt>
                <c:pt idx="71">
                  <c:v>-29.845261654170613</c:v>
                </c:pt>
                <c:pt idx="72">
                  <c:v>-29.322356111686446</c:v>
                </c:pt>
                <c:pt idx="73">
                  <c:v>-28.889526787757873</c:v>
                </c:pt>
                <c:pt idx="74">
                  <c:v>-28.513804403656266</c:v>
                </c:pt>
                <c:pt idx="75">
                  <c:v>-27.943981126066802</c:v>
                </c:pt>
                <c:pt idx="76">
                  <c:v>-27.590817412300808</c:v>
                </c:pt>
                <c:pt idx="77">
                  <c:v>-27.169689045559124</c:v>
                </c:pt>
                <c:pt idx="78">
                  <c:v>-26.643324118898576</c:v>
                </c:pt>
                <c:pt idx="79">
                  <c:v>-25.137687082479204</c:v>
                </c:pt>
                <c:pt idx="80">
                  <c:v>-27.556241311005152</c:v>
                </c:pt>
                <c:pt idx="81">
                  <c:v>-24.204287678423754</c:v>
                </c:pt>
                <c:pt idx="82">
                  <c:v>-22.882136239590295</c:v>
                </c:pt>
                <c:pt idx="83">
                  <c:v>-21.147732024162949</c:v>
                </c:pt>
                <c:pt idx="84">
                  <c:v>-20.888321181709458</c:v>
                </c:pt>
                <c:pt idx="85">
                  <c:v>-21.104575440416653</c:v>
                </c:pt>
                <c:pt idx="86">
                  <c:v>-20.907418557707032</c:v>
                </c:pt>
                <c:pt idx="87">
                  <c:v>-15.749906248154545</c:v>
                </c:pt>
                <c:pt idx="88">
                  <c:v>-15.715877143188578</c:v>
                </c:pt>
                <c:pt idx="89">
                  <c:v>-15.532806993175654</c:v>
                </c:pt>
                <c:pt idx="90">
                  <c:v>-15.242491166266205</c:v>
                </c:pt>
                <c:pt idx="91">
                  <c:v>-9.8310865617246463</c:v>
                </c:pt>
                <c:pt idx="92">
                  <c:v>-11.101259568497397</c:v>
                </c:pt>
                <c:pt idx="93">
                  <c:v>-9.3297371870675647</c:v>
                </c:pt>
                <c:pt idx="94">
                  <c:v>-9.3415017720305968</c:v>
                </c:pt>
                <c:pt idx="95">
                  <c:v>-9.3852124055560893</c:v>
                </c:pt>
                <c:pt idx="96">
                  <c:v>-9.5145514783162213</c:v>
                </c:pt>
                <c:pt idx="97">
                  <c:v>-10.365926627578844</c:v>
                </c:pt>
                <c:pt idx="98">
                  <c:v>-10.324567243130559</c:v>
                </c:pt>
                <c:pt idx="99">
                  <c:v>-10.610790412250452</c:v>
                </c:pt>
                <c:pt idx="100">
                  <c:v>-24.111443370455717</c:v>
                </c:pt>
                <c:pt idx="101">
                  <c:v>22.457123659208449</c:v>
                </c:pt>
                <c:pt idx="102">
                  <c:v>22.708022064980696</c:v>
                </c:pt>
                <c:pt idx="103">
                  <c:v>21.454678468930055</c:v>
                </c:pt>
                <c:pt idx="104">
                  <c:v>23.190275729276706</c:v>
                </c:pt>
                <c:pt idx="105">
                  <c:v>25.7947875945802</c:v>
                </c:pt>
                <c:pt idx="106">
                  <c:v>25.685840341525591</c:v>
                </c:pt>
                <c:pt idx="107">
                  <c:v>25.774592514958982</c:v>
                </c:pt>
                <c:pt idx="108">
                  <c:v>20.304769482433301</c:v>
                </c:pt>
                <c:pt idx="109">
                  <c:v>18.190985863299332</c:v>
                </c:pt>
                <c:pt idx="110">
                  <c:v>17.390067339144181</c:v>
                </c:pt>
                <c:pt idx="111">
                  <c:v>17.208382119213994</c:v>
                </c:pt>
                <c:pt idx="112">
                  <c:v>16.219006097942213</c:v>
                </c:pt>
                <c:pt idx="113">
                  <c:v>15.348070675467241</c:v>
                </c:pt>
                <c:pt idx="114">
                  <c:v>14.526842849580731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8016000"/>
        <c:axId val="427973248"/>
      </c:barChart>
      <c:lineChart>
        <c:grouping val="standard"/>
        <c:varyColors val="0"/>
        <c:ser>
          <c:idx val="0"/>
          <c:order val="0"/>
          <c:tx>
            <c:strRef>
              <c:f>'LTV 90_97'!$F$1</c:f>
              <c:strCache>
                <c:ptCount val="1"/>
                <c:pt idx="0">
                  <c:v>MIP</c:v>
                </c:pt>
              </c:strCache>
            </c:strRef>
          </c:tx>
          <c:marker>
            <c:symbol val="none"/>
          </c:marker>
          <c:cat>
            <c:numRef>
              <c:f>'LTV 90_97'!$A$2:$A$116</c:f>
              <c:numCache>
                <c:formatCode>m/d/yyyy</c:formatCode>
                <c:ptCount val="115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</c:numCache>
            </c:numRef>
          </c:cat>
          <c:val>
            <c:numRef>
              <c:f>'LTV 90_97'!$F$2:$F$116</c:f>
              <c:numCache>
                <c:formatCode>General</c:formatCode>
                <c:ptCount val="115"/>
                <c:pt idx="0">
                  <c:v>63.496402239802002</c:v>
                </c:pt>
                <c:pt idx="1">
                  <c:v>63.4918307778794</c:v>
                </c:pt>
                <c:pt idx="2">
                  <c:v>63.544697970012997</c:v>
                </c:pt>
                <c:pt idx="3">
                  <c:v>63.575062657693898</c:v>
                </c:pt>
                <c:pt idx="4">
                  <c:v>63.579596522849599</c:v>
                </c:pt>
                <c:pt idx="5">
                  <c:v>63.617800599463997</c:v>
                </c:pt>
                <c:pt idx="6">
                  <c:v>63.639502499853002</c:v>
                </c:pt>
                <c:pt idx="7">
                  <c:v>63.564464817830299</c:v>
                </c:pt>
                <c:pt idx="8">
                  <c:v>63.6239625736848</c:v>
                </c:pt>
                <c:pt idx="9">
                  <c:v>63.654359024332003</c:v>
                </c:pt>
                <c:pt idx="10">
                  <c:v>63.603770663852998</c:v>
                </c:pt>
                <c:pt idx="11">
                  <c:v>63.620982679673901</c:v>
                </c:pt>
                <c:pt idx="12">
                  <c:v>63.801961635687597</c:v>
                </c:pt>
                <c:pt idx="13">
                  <c:v>63.8661987168772</c:v>
                </c:pt>
                <c:pt idx="14">
                  <c:v>63.7935505427766</c:v>
                </c:pt>
                <c:pt idx="15">
                  <c:v>63.8359648828716</c:v>
                </c:pt>
                <c:pt idx="16">
                  <c:v>63.725628925364298</c:v>
                </c:pt>
                <c:pt idx="17">
                  <c:v>63.680930234643398</c:v>
                </c:pt>
                <c:pt idx="18">
                  <c:v>63.817004870445203</c:v>
                </c:pt>
                <c:pt idx="19">
                  <c:v>63.825720018007097</c:v>
                </c:pt>
                <c:pt idx="20">
                  <c:v>63.699873230822803</c:v>
                </c:pt>
                <c:pt idx="21">
                  <c:v>63.7688816985385</c:v>
                </c:pt>
                <c:pt idx="22">
                  <c:v>63.821958698977902</c:v>
                </c:pt>
                <c:pt idx="23">
                  <c:v>63.878033642805804</c:v>
                </c:pt>
                <c:pt idx="24">
                  <c:v>64.026480905600906</c:v>
                </c:pt>
                <c:pt idx="25">
                  <c:v>63.942231341176203</c:v>
                </c:pt>
                <c:pt idx="26">
                  <c:v>63.890394465029097</c:v>
                </c:pt>
                <c:pt idx="27">
                  <c:v>63.880598326630803</c:v>
                </c:pt>
                <c:pt idx="28">
                  <c:v>63.9208248180922</c:v>
                </c:pt>
                <c:pt idx="29">
                  <c:v>63.930759213828999</c:v>
                </c:pt>
                <c:pt idx="30">
                  <c:v>63.879512016916003</c:v>
                </c:pt>
                <c:pt idx="31">
                  <c:v>63.821277758853697</c:v>
                </c:pt>
                <c:pt idx="32">
                  <c:v>63.812239165176301</c:v>
                </c:pt>
                <c:pt idx="33">
                  <c:v>63.757804287882102</c:v>
                </c:pt>
                <c:pt idx="34">
                  <c:v>63.7773136788621</c:v>
                </c:pt>
                <c:pt idx="35">
                  <c:v>63.801988201586397</c:v>
                </c:pt>
                <c:pt idx="36">
                  <c:v>63.747223946125501</c:v>
                </c:pt>
                <c:pt idx="37">
                  <c:v>63.756153050917398</c:v>
                </c:pt>
                <c:pt idx="38">
                  <c:v>63.722803986904999</c:v>
                </c:pt>
                <c:pt idx="39">
                  <c:v>63.641124241767102</c:v>
                </c:pt>
                <c:pt idx="40">
                  <c:v>63.635426167079899</c:v>
                </c:pt>
                <c:pt idx="41">
                  <c:v>63.615177924006503</c:v>
                </c:pt>
                <c:pt idx="42">
                  <c:v>63.642873055813901</c:v>
                </c:pt>
                <c:pt idx="43">
                  <c:v>63.6451922738501</c:v>
                </c:pt>
                <c:pt idx="44">
                  <c:v>69.905310249107799</c:v>
                </c:pt>
                <c:pt idx="45">
                  <c:v>69.904569879955005</c:v>
                </c:pt>
                <c:pt idx="46">
                  <c:v>69.908382948127397</c:v>
                </c:pt>
                <c:pt idx="47">
                  <c:v>69.941963546597094</c:v>
                </c:pt>
                <c:pt idx="48">
                  <c:v>69.968956542311503</c:v>
                </c:pt>
                <c:pt idx="49">
                  <c:v>70.020796658900494</c:v>
                </c:pt>
                <c:pt idx="50">
                  <c:v>94.609310322807005</c:v>
                </c:pt>
                <c:pt idx="51">
                  <c:v>94.601347785289207</c:v>
                </c:pt>
                <c:pt idx="52">
                  <c:v>94.562317925791305</c:v>
                </c:pt>
                <c:pt idx="53">
                  <c:v>94.655638386972399</c:v>
                </c:pt>
                <c:pt idx="54">
                  <c:v>94.640268423012799</c:v>
                </c:pt>
                <c:pt idx="55">
                  <c:v>94.653313254030806</c:v>
                </c:pt>
                <c:pt idx="56">
                  <c:v>119.65873736175701</c:v>
                </c:pt>
                <c:pt idx="57">
                  <c:v>119.636879643489</c:v>
                </c:pt>
                <c:pt idx="58">
                  <c:v>119.58499394741899</c:v>
                </c:pt>
                <c:pt idx="59">
                  <c:v>119.536432446725</c:v>
                </c:pt>
                <c:pt idx="60">
                  <c:v>119.497453332558</c:v>
                </c:pt>
                <c:pt idx="61">
                  <c:v>119.538257212069</c:v>
                </c:pt>
                <c:pt idx="62">
                  <c:v>119.580615001322</c:v>
                </c:pt>
                <c:pt idx="63">
                  <c:v>119.603066824571</c:v>
                </c:pt>
                <c:pt idx="64">
                  <c:v>119.63089021419999</c:v>
                </c:pt>
                <c:pt idx="65">
                  <c:v>119.666975480662</c:v>
                </c:pt>
                <c:pt idx="66">
                  <c:v>119.67995879978</c:v>
                </c:pt>
                <c:pt idx="67">
                  <c:v>119.538657796167</c:v>
                </c:pt>
                <c:pt idx="68">
                  <c:v>135.73064837916999</c:v>
                </c:pt>
                <c:pt idx="69">
                  <c:v>135.67211004902799</c:v>
                </c:pt>
                <c:pt idx="70">
                  <c:v>98.767269307220204</c:v>
                </c:pt>
                <c:pt idx="71">
                  <c:v>100.591574048661</c:v>
                </c:pt>
                <c:pt idx="72">
                  <c:v>102.739973853314</c:v>
                </c:pt>
                <c:pt idx="73">
                  <c:v>104.44521460646099</c:v>
                </c:pt>
                <c:pt idx="74">
                  <c:v>106.457869476098</c:v>
                </c:pt>
                <c:pt idx="75">
                  <c:v>108.680508561568</c:v>
                </c:pt>
                <c:pt idx="76">
                  <c:v>109.878661655179</c:v>
                </c:pt>
                <c:pt idx="77">
                  <c:v>111.348464501528</c:v>
                </c:pt>
                <c:pt idx="78">
                  <c:v>112.960525855518</c:v>
                </c:pt>
                <c:pt idx="79">
                  <c:v>114.599060082886</c:v>
                </c:pt>
                <c:pt idx="80">
                  <c:v>123.691094485685</c:v>
                </c:pt>
                <c:pt idx="81">
                  <c:v>124.15875984910301</c:v>
                </c:pt>
                <c:pt idx="82">
                  <c:v>125.745306471449</c:v>
                </c:pt>
                <c:pt idx="83">
                  <c:v>126.78897476496201</c:v>
                </c:pt>
                <c:pt idx="84">
                  <c:v>128.11971971360001</c:v>
                </c:pt>
                <c:pt idx="85">
                  <c:v>129.918868400441</c:v>
                </c:pt>
                <c:pt idx="86">
                  <c:v>131.37573364797899</c:v>
                </c:pt>
                <c:pt idx="87">
                  <c:v>132.679634411216</c:v>
                </c:pt>
                <c:pt idx="88">
                  <c:v>133.69323213200599</c:v>
                </c:pt>
                <c:pt idx="89">
                  <c:v>134.530880551048</c:v>
                </c:pt>
                <c:pt idx="90">
                  <c:v>135.157330043229</c:v>
                </c:pt>
                <c:pt idx="91">
                  <c:v>134.304995092616</c:v>
                </c:pt>
                <c:pt idx="92">
                  <c:v>134.38101382261701</c:v>
                </c:pt>
                <c:pt idx="93">
                  <c:v>134.69335811076201</c:v>
                </c:pt>
                <c:pt idx="94">
                  <c:v>135.515815084785</c:v>
                </c:pt>
                <c:pt idx="95">
                  <c:v>136.28425502008099</c:v>
                </c:pt>
                <c:pt idx="96">
                  <c:v>137.03186504014101</c:v>
                </c:pt>
                <c:pt idx="97">
                  <c:v>137.82472548816</c:v>
                </c:pt>
                <c:pt idx="98">
                  <c:v>138.60020409953501</c:v>
                </c:pt>
                <c:pt idx="99">
                  <c:v>139.187969575875</c:v>
                </c:pt>
                <c:pt idx="100">
                  <c:v>139.41032924414301</c:v>
                </c:pt>
                <c:pt idx="101">
                  <c:v>92.903627914651096</c:v>
                </c:pt>
                <c:pt idx="102">
                  <c:v>93.099418941113598</c:v>
                </c:pt>
                <c:pt idx="103">
                  <c:v>92.842414096681495</c:v>
                </c:pt>
                <c:pt idx="104">
                  <c:v>93.090406102176601</c:v>
                </c:pt>
                <c:pt idx="105">
                  <c:v>93.365180423911198</c:v>
                </c:pt>
                <c:pt idx="106">
                  <c:v>93.631738123146704</c:v>
                </c:pt>
                <c:pt idx="107">
                  <c:v>93.890751255958605</c:v>
                </c:pt>
                <c:pt idx="108">
                  <c:v>94.043884107478803</c:v>
                </c:pt>
                <c:pt idx="109">
                  <c:v>94.208468772126594</c:v>
                </c:pt>
                <c:pt idx="110">
                  <c:v>94.367172266410407</c:v>
                </c:pt>
                <c:pt idx="111">
                  <c:v>94.506411381263106</c:v>
                </c:pt>
                <c:pt idx="112">
                  <c:v>94.498442529784896</c:v>
                </c:pt>
                <c:pt idx="113">
                  <c:v>94.492432196907899</c:v>
                </c:pt>
                <c:pt idx="114">
                  <c:v>94.474090636247098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'LTV 90_97'!$G$1</c:f>
              <c:strCache>
                <c:ptCount val="1"/>
                <c:pt idx="0">
                  <c:v>LLPA+PMI</c:v>
                </c:pt>
              </c:strCache>
            </c:strRef>
          </c:tx>
          <c:marker>
            <c:symbol val="none"/>
          </c:marker>
          <c:cat>
            <c:numRef>
              <c:f>'LTV 90_97'!$A$2:$A$116</c:f>
              <c:numCache>
                <c:formatCode>m/d/yyyy</c:formatCode>
                <c:ptCount val="115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</c:numCache>
            </c:numRef>
          </c:cat>
          <c:val>
            <c:numRef>
              <c:f>'LTV 90_97'!$G$2:$G$116</c:f>
              <c:numCache>
                <c:formatCode>General</c:formatCode>
                <c:ptCount val="115"/>
                <c:pt idx="0">
                  <c:v>15.4227262599463</c:v>
                </c:pt>
                <c:pt idx="1">
                  <c:v>15.384724837697576</c:v>
                </c:pt>
                <c:pt idx="2">
                  <c:v>15.417694780792949</c:v>
                </c:pt>
                <c:pt idx="3">
                  <c:v>15.422732056557225</c:v>
                </c:pt>
                <c:pt idx="4">
                  <c:v>15.410281316321026</c:v>
                </c:pt>
                <c:pt idx="5">
                  <c:v>15.423880013264675</c:v>
                </c:pt>
                <c:pt idx="6">
                  <c:v>15.453011950750325</c:v>
                </c:pt>
                <c:pt idx="7">
                  <c:v>15.42942620337055</c:v>
                </c:pt>
                <c:pt idx="8">
                  <c:v>15.502460565852925</c:v>
                </c:pt>
                <c:pt idx="9">
                  <c:v>15.575158697507675</c:v>
                </c:pt>
                <c:pt idx="10">
                  <c:v>15.548414427790675</c:v>
                </c:pt>
                <c:pt idx="11">
                  <c:v>15.58912370639535</c:v>
                </c:pt>
                <c:pt idx="12">
                  <c:v>15.768741016934225</c:v>
                </c:pt>
                <c:pt idx="13">
                  <c:v>15.714717927271325</c:v>
                </c:pt>
                <c:pt idx="14">
                  <c:v>15.461312747366325</c:v>
                </c:pt>
                <c:pt idx="15">
                  <c:v>15.408162131123575</c:v>
                </c:pt>
                <c:pt idx="16">
                  <c:v>15.183770941391725</c:v>
                </c:pt>
                <c:pt idx="17">
                  <c:v>15.126795060154375</c:v>
                </c:pt>
                <c:pt idx="18">
                  <c:v>17.230281581339025</c:v>
                </c:pt>
                <c:pt idx="19">
                  <c:v>17.258695287907901</c:v>
                </c:pt>
                <c:pt idx="20">
                  <c:v>17.202536514084098</c:v>
                </c:pt>
                <c:pt idx="21">
                  <c:v>17.216131464895074</c:v>
                </c:pt>
                <c:pt idx="22">
                  <c:v>17.220884629282423</c:v>
                </c:pt>
                <c:pt idx="23">
                  <c:v>17.228316041272176</c:v>
                </c:pt>
                <c:pt idx="24">
                  <c:v>17.266730917182276</c:v>
                </c:pt>
                <c:pt idx="25">
                  <c:v>17.176039697988926</c:v>
                </c:pt>
                <c:pt idx="26">
                  <c:v>17.095203118610002</c:v>
                </c:pt>
                <c:pt idx="27">
                  <c:v>17.048756491187575</c:v>
                </c:pt>
                <c:pt idx="28">
                  <c:v>17.043972210041474</c:v>
                </c:pt>
                <c:pt idx="29">
                  <c:v>17.043098857280551</c:v>
                </c:pt>
                <c:pt idx="30">
                  <c:v>17.011678567521674</c:v>
                </c:pt>
                <c:pt idx="31">
                  <c:v>16.973962792293548</c:v>
                </c:pt>
                <c:pt idx="32">
                  <c:v>16.953636674263851</c:v>
                </c:pt>
                <c:pt idx="33">
                  <c:v>16.9210664666474</c:v>
                </c:pt>
                <c:pt idx="34">
                  <c:v>16.968863956228112</c:v>
                </c:pt>
                <c:pt idx="35">
                  <c:v>18.701620437283225</c:v>
                </c:pt>
                <c:pt idx="36">
                  <c:v>21.563879556644718</c:v>
                </c:pt>
                <c:pt idx="37">
                  <c:v>25.023864860222098</c:v>
                </c:pt>
                <c:pt idx="38">
                  <c:v>27.455312647758056</c:v>
                </c:pt>
                <c:pt idx="39">
                  <c:v>28.533295110267076</c:v>
                </c:pt>
                <c:pt idx="40">
                  <c:v>29.878044857310801</c:v>
                </c:pt>
                <c:pt idx="41">
                  <c:v>31.663729496935701</c:v>
                </c:pt>
                <c:pt idx="42">
                  <c:v>32.993181966779872</c:v>
                </c:pt>
                <c:pt idx="43">
                  <c:v>35.636405102156871</c:v>
                </c:pt>
                <c:pt idx="44">
                  <c:v>36.307160246974121</c:v>
                </c:pt>
                <c:pt idx="45">
                  <c:v>37.972192818329773</c:v>
                </c:pt>
                <c:pt idx="46">
                  <c:v>39.525476415548653</c:v>
                </c:pt>
                <c:pt idx="47">
                  <c:v>43.098871041054224</c:v>
                </c:pt>
                <c:pt idx="48">
                  <c:v>45.035306556623723</c:v>
                </c:pt>
                <c:pt idx="49">
                  <c:v>47.172087326649645</c:v>
                </c:pt>
                <c:pt idx="50">
                  <c:v>49.304425170142821</c:v>
                </c:pt>
                <c:pt idx="51">
                  <c:v>51.839730549516723</c:v>
                </c:pt>
                <c:pt idx="52">
                  <c:v>53.503482696719772</c:v>
                </c:pt>
                <c:pt idx="53">
                  <c:v>55.044047970948171</c:v>
                </c:pt>
                <c:pt idx="54">
                  <c:v>56.469348772094776</c:v>
                </c:pt>
                <c:pt idx="55">
                  <c:v>58.445037176278099</c:v>
                </c:pt>
                <c:pt idx="56">
                  <c:v>59.75436253185665</c:v>
                </c:pt>
                <c:pt idx="57">
                  <c:v>60.216137978985401</c:v>
                </c:pt>
                <c:pt idx="58">
                  <c:v>61.25933401643195</c:v>
                </c:pt>
                <c:pt idx="59">
                  <c:v>61.2245564254047</c:v>
                </c:pt>
                <c:pt idx="60">
                  <c:v>62.105615413480848</c:v>
                </c:pt>
                <c:pt idx="61">
                  <c:v>63.894540602127776</c:v>
                </c:pt>
                <c:pt idx="62">
                  <c:v>65.156642589639631</c:v>
                </c:pt>
                <c:pt idx="63">
                  <c:v>66.404992047295366</c:v>
                </c:pt>
                <c:pt idx="64">
                  <c:v>66.798296930200749</c:v>
                </c:pt>
                <c:pt idx="65">
                  <c:v>67.87086894060478</c:v>
                </c:pt>
                <c:pt idx="66">
                  <c:v>66.138800516901725</c:v>
                </c:pt>
                <c:pt idx="67">
                  <c:v>66.17249756649602</c:v>
                </c:pt>
                <c:pt idx="68">
                  <c:v>66.083521255547424</c:v>
                </c:pt>
                <c:pt idx="69">
                  <c:v>66.001003474065598</c:v>
                </c:pt>
                <c:pt idx="70">
                  <c:v>68.152891889604447</c:v>
                </c:pt>
                <c:pt idx="71">
                  <c:v>70.746312394490388</c:v>
                </c:pt>
                <c:pt idx="72">
                  <c:v>73.417617741627552</c:v>
                </c:pt>
                <c:pt idx="73">
                  <c:v>75.55568781870312</c:v>
                </c:pt>
                <c:pt idx="74">
                  <c:v>77.944065072441731</c:v>
                </c:pt>
                <c:pt idx="75">
                  <c:v>80.736527435501202</c:v>
                </c:pt>
                <c:pt idx="76">
                  <c:v>82.287844242878194</c:v>
                </c:pt>
                <c:pt idx="77">
                  <c:v>84.178775455968875</c:v>
                </c:pt>
                <c:pt idx="78">
                  <c:v>86.317201736619424</c:v>
                </c:pt>
                <c:pt idx="79">
                  <c:v>89.461373000406795</c:v>
                </c:pt>
                <c:pt idx="80">
                  <c:v>96.134853174679847</c:v>
                </c:pt>
                <c:pt idx="81">
                  <c:v>99.954472170679253</c:v>
                </c:pt>
                <c:pt idx="82">
                  <c:v>102.8631702318587</c:v>
                </c:pt>
                <c:pt idx="83">
                  <c:v>105.64124274079906</c:v>
                </c:pt>
                <c:pt idx="84">
                  <c:v>107.23139853189055</c:v>
                </c:pt>
                <c:pt idx="85">
                  <c:v>108.81429296002435</c:v>
                </c:pt>
                <c:pt idx="86">
                  <c:v>110.46831509027196</c:v>
                </c:pt>
                <c:pt idx="87">
                  <c:v>116.92972816306145</c:v>
                </c:pt>
                <c:pt idx="88">
                  <c:v>117.97735498881741</c:v>
                </c:pt>
                <c:pt idx="89">
                  <c:v>118.99807355787235</c:v>
                </c:pt>
                <c:pt idx="90">
                  <c:v>119.91483887696279</c:v>
                </c:pt>
                <c:pt idx="91">
                  <c:v>124.47390853089135</c:v>
                </c:pt>
                <c:pt idx="92">
                  <c:v>123.27975425411961</c:v>
                </c:pt>
                <c:pt idx="93">
                  <c:v>125.36362092369444</c:v>
                </c:pt>
                <c:pt idx="94">
                  <c:v>126.17431331275441</c:v>
                </c:pt>
                <c:pt idx="95">
                  <c:v>126.8990426145249</c:v>
                </c:pt>
                <c:pt idx="96">
                  <c:v>127.51731356182479</c:v>
                </c:pt>
                <c:pt idx="97">
                  <c:v>127.45879886058115</c:v>
                </c:pt>
                <c:pt idx="98">
                  <c:v>128.27563685640445</c:v>
                </c:pt>
                <c:pt idx="99">
                  <c:v>128.57717916362455</c:v>
                </c:pt>
                <c:pt idx="100">
                  <c:v>115.2988858736873</c:v>
                </c:pt>
                <c:pt idx="101">
                  <c:v>115.36075157385955</c:v>
                </c:pt>
                <c:pt idx="102">
                  <c:v>115.80744100609429</c:v>
                </c:pt>
                <c:pt idx="103">
                  <c:v>114.29709256561155</c:v>
                </c:pt>
                <c:pt idx="104">
                  <c:v>116.28068183145331</c:v>
                </c:pt>
                <c:pt idx="105">
                  <c:v>119.1599680184914</c:v>
                </c:pt>
                <c:pt idx="106">
                  <c:v>119.31757846467229</c:v>
                </c:pt>
                <c:pt idx="107">
                  <c:v>119.66534377091759</c:v>
                </c:pt>
                <c:pt idx="108">
                  <c:v>114.3486535899121</c:v>
                </c:pt>
                <c:pt idx="109">
                  <c:v>112.39945463542593</c:v>
                </c:pt>
                <c:pt idx="110">
                  <c:v>111.75723960555459</c:v>
                </c:pt>
                <c:pt idx="111">
                  <c:v>111.7147935004771</c:v>
                </c:pt>
                <c:pt idx="112">
                  <c:v>110.71744862772711</c:v>
                </c:pt>
                <c:pt idx="113">
                  <c:v>109.84050287237514</c:v>
                </c:pt>
                <c:pt idx="114">
                  <c:v>109.00093348582783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7129856"/>
        <c:axId val="427971712"/>
      </c:lineChart>
      <c:dateAx>
        <c:axId val="4271298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27971712"/>
        <c:crosses val="autoZero"/>
        <c:auto val="1"/>
        <c:lblOffset val="100"/>
        <c:baseTimeUnit val="months"/>
      </c:dateAx>
      <c:valAx>
        <c:axId val="4279717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7129856"/>
        <c:crosses val="autoZero"/>
        <c:crossBetween val="between"/>
      </c:valAx>
      <c:valAx>
        <c:axId val="427973248"/>
        <c:scaling>
          <c:orientation val="minMax"/>
          <c:max val="100"/>
          <c:min val="-100"/>
        </c:scaling>
        <c:delete val="0"/>
        <c:axPos val="r"/>
        <c:numFmt formatCode="General" sourceLinked="1"/>
        <c:majorTickMark val="out"/>
        <c:minorTickMark val="none"/>
        <c:tickLblPos val="nextTo"/>
        <c:crossAx val="428016000"/>
        <c:crosses val="max"/>
        <c:crossBetween val="between"/>
      </c:valAx>
      <c:dateAx>
        <c:axId val="42801600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27973248"/>
        <c:crosses val="autoZero"/>
        <c:auto val="1"/>
        <c:lblOffset val="100"/>
        <c:baseTimeUnit val="months"/>
      </c:date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171450</xdr:colOff>
      <xdr:row>4</xdr:row>
      <xdr:rowOff>152400</xdr:rowOff>
    </xdr:from>
    <xdr:to>
      <xdr:col>30</xdr:col>
      <xdr:colOff>476250</xdr:colOff>
      <xdr:row>19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333375</xdr:colOff>
      <xdr:row>4</xdr:row>
      <xdr:rowOff>142875</xdr:rowOff>
    </xdr:from>
    <xdr:to>
      <xdr:col>39</xdr:col>
      <xdr:colOff>28575</xdr:colOff>
      <xdr:row>19</xdr:row>
      <xdr:rowOff>28575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180975</xdr:colOff>
      <xdr:row>20</xdr:row>
      <xdr:rowOff>47625</xdr:rowOff>
    </xdr:from>
    <xdr:to>
      <xdr:col>30</xdr:col>
      <xdr:colOff>485775</xdr:colOff>
      <xdr:row>34</xdr:row>
      <xdr:rowOff>123825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314325</xdr:colOff>
      <xdr:row>20</xdr:row>
      <xdr:rowOff>28575</xdr:rowOff>
    </xdr:from>
    <xdr:to>
      <xdr:col>39</xdr:col>
      <xdr:colOff>9525</xdr:colOff>
      <xdr:row>34</xdr:row>
      <xdr:rowOff>104775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47625</xdr:colOff>
      <xdr:row>4</xdr:row>
      <xdr:rowOff>38099</xdr:rowOff>
    </xdr:from>
    <xdr:to>
      <xdr:col>26</xdr:col>
      <xdr:colOff>200025</xdr:colOff>
      <xdr:row>28</xdr:row>
      <xdr:rowOff>142874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114299</xdr:colOff>
      <xdr:row>30</xdr:row>
      <xdr:rowOff>133350</xdr:rowOff>
    </xdr:from>
    <xdr:to>
      <xdr:col>26</xdr:col>
      <xdr:colOff>276224</xdr:colOff>
      <xdr:row>54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600074</xdr:colOff>
      <xdr:row>27</xdr:row>
      <xdr:rowOff>152400</xdr:rowOff>
    </xdr:from>
    <xdr:to>
      <xdr:col>21</xdr:col>
      <xdr:colOff>76200</xdr:colOff>
      <xdr:row>50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523875</xdr:colOff>
      <xdr:row>1</xdr:row>
      <xdr:rowOff>133350</xdr:rowOff>
    </xdr:from>
    <xdr:to>
      <xdr:col>21</xdr:col>
      <xdr:colOff>66675</xdr:colOff>
      <xdr:row>26</xdr:row>
      <xdr:rowOff>47625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16"/>
  <sheetViews>
    <sheetView tabSelected="1" topLeftCell="L1" workbookViewId="0">
      <selection activeCell="AP31" sqref="AP31"/>
    </sheetView>
  </sheetViews>
  <sheetFormatPr defaultRowHeight="15" x14ac:dyDescent="0.25"/>
  <sheetData>
    <row r="1" spans="1:22" x14ac:dyDescent="0.25">
      <c r="A1" t="s">
        <v>4</v>
      </c>
      <c r="C1" t="s">
        <v>2</v>
      </c>
      <c r="D1" t="s">
        <v>1</v>
      </c>
      <c r="G1" t="s">
        <v>3</v>
      </c>
      <c r="I1" t="s">
        <v>2</v>
      </c>
      <c r="J1" t="s">
        <v>1</v>
      </c>
      <c r="M1" t="s">
        <v>5</v>
      </c>
      <c r="O1" t="s">
        <v>2</v>
      </c>
      <c r="P1" t="s">
        <v>1</v>
      </c>
      <c r="S1" t="s">
        <v>6</v>
      </c>
      <c r="U1" t="s">
        <v>2</v>
      </c>
      <c r="V1" t="s">
        <v>1</v>
      </c>
    </row>
    <row r="2" spans="1:22" x14ac:dyDescent="0.25">
      <c r="B2" s="1">
        <v>38961</v>
      </c>
      <c r="C2">
        <v>-9.4864743006558505E-2</v>
      </c>
      <c r="D2">
        <v>-0.42925060271568799</v>
      </c>
      <c r="H2" s="1">
        <v>40148</v>
      </c>
      <c r="I2">
        <v>-1.2907037189819299</v>
      </c>
      <c r="J2">
        <v>-9.4587556219837998E-2</v>
      </c>
      <c r="N2" s="1">
        <v>38961</v>
      </c>
      <c r="O2">
        <v>-9.4864743006558505E-2</v>
      </c>
      <c r="P2">
        <v>-0.42925060271568699</v>
      </c>
      <c r="T2" s="1">
        <v>38961</v>
      </c>
      <c r="U2">
        <v>0.58082950224969798</v>
      </c>
      <c r="V2">
        <v>0.301997966969349</v>
      </c>
    </row>
    <row r="3" spans="1:22" x14ac:dyDescent="0.25">
      <c r="B3" s="1">
        <v>38991</v>
      </c>
      <c r="C3">
        <v>5.18428416404225E-2</v>
      </c>
      <c r="D3">
        <v>-0.35016092749970601</v>
      </c>
      <c r="H3" s="1">
        <v>40179</v>
      </c>
      <c r="I3">
        <v>-1.31525664090024</v>
      </c>
      <c r="J3">
        <v>-0.209381142430034</v>
      </c>
      <c r="N3" s="1">
        <v>38991</v>
      </c>
      <c r="O3">
        <v>5.18428416404225E-2</v>
      </c>
      <c r="P3">
        <v>-0.35016092749970701</v>
      </c>
      <c r="T3" s="1">
        <v>38991</v>
      </c>
      <c r="U3">
        <v>0.72216159213822495</v>
      </c>
      <c r="V3">
        <v>0.37483898793141401</v>
      </c>
    </row>
    <row r="4" spans="1:22" x14ac:dyDescent="0.25">
      <c r="B4" s="1">
        <v>39022</v>
      </c>
      <c r="C4">
        <v>0.14444660679423801</v>
      </c>
      <c r="D4">
        <v>-0.225850235799057</v>
      </c>
      <c r="H4" s="1">
        <v>40210</v>
      </c>
      <c r="I4">
        <v>-1.3151107322724001</v>
      </c>
      <c r="J4">
        <v>-4.4864753513748003E-2</v>
      </c>
      <c r="N4" s="1">
        <v>39022</v>
      </c>
      <c r="O4">
        <v>0.14444660679423801</v>
      </c>
      <c r="P4">
        <v>-0.22585023579906</v>
      </c>
      <c r="T4" s="1">
        <v>39022</v>
      </c>
      <c r="U4">
        <v>0.81871674246947701</v>
      </c>
      <c r="V4">
        <v>0.50240260169609796</v>
      </c>
    </row>
    <row r="5" spans="1:22" x14ac:dyDescent="0.25">
      <c r="B5" s="1">
        <v>39052</v>
      </c>
      <c r="C5">
        <v>0.26643844047792398</v>
      </c>
      <c r="D5">
        <v>-0.104146450947085</v>
      </c>
      <c r="H5" s="1">
        <v>40238</v>
      </c>
      <c r="I5">
        <v>-1.2631058434401401</v>
      </c>
      <c r="J5">
        <v>1.1415782233543E-2</v>
      </c>
      <c r="N5" s="1">
        <v>39052</v>
      </c>
      <c r="O5">
        <v>0.26643844047792398</v>
      </c>
      <c r="P5">
        <v>-0.104146450947085</v>
      </c>
      <c r="T5" s="1">
        <v>39052</v>
      </c>
      <c r="U5">
        <v>0.94028018565962002</v>
      </c>
      <c r="V5">
        <v>0.623112217808379</v>
      </c>
    </row>
    <row r="6" spans="1:22" x14ac:dyDescent="0.25">
      <c r="B6" s="1">
        <v>39083</v>
      </c>
      <c r="C6">
        <v>0.390810609685798</v>
      </c>
      <c r="D6">
        <v>-0.22963244458512899</v>
      </c>
      <c r="H6" s="1">
        <v>40269</v>
      </c>
      <c r="I6">
        <v>-1.2453906436486599</v>
      </c>
      <c r="J6">
        <v>-7.6791326544649E-2</v>
      </c>
      <c r="N6" s="1">
        <v>39083</v>
      </c>
      <c r="O6">
        <v>0.390810609685798</v>
      </c>
      <c r="P6">
        <v>-0.22963244458512799</v>
      </c>
      <c r="T6" s="1">
        <v>39083</v>
      </c>
      <c r="U6">
        <v>1.06815193219821</v>
      </c>
      <c r="V6">
        <v>0.50099828950566305</v>
      </c>
    </row>
    <row r="7" spans="1:22" x14ac:dyDescent="0.25">
      <c r="B7" s="1">
        <v>39114</v>
      </c>
      <c r="C7">
        <v>0.28861792630946398</v>
      </c>
      <c r="D7">
        <v>-0.25652050224852702</v>
      </c>
      <c r="H7" s="1">
        <v>40299</v>
      </c>
      <c r="I7">
        <v>-1.9168098221957</v>
      </c>
      <c r="J7">
        <v>9.8065120406045994E-2</v>
      </c>
      <c r="N7" s="1">
        <v>39114</v>
      </c>
      <c r="O7">
        <v>0.28861792630946398</v>
      </c>
      <c r="P7">
        <v>-0.25652050224853001</v>
      </c>
      <c r="T7" s="1">
        <v>39114</v>
      </c>
      <c r="U7">
        <v>0.97158058242596601</v>
      </c>
      <c r="V7">
        <v>0.479643560988191</v>
      </c>
    </row>
    <row r="8" spans="1:22" x14ac:dyDescent="0.25">
      <c r="B8" s="1">
        <v>39142</v>
      </c>
      <c r="C8">
        <v>0.27710114106994699</v>
      </c>
      <c r="D8">
        <v>-0.19094071607596999</v>
      </c>
      <c r="H8" s="1">
        <v>40330</v>
      </c>
      <c r="I8">
        <v>-1.7087342361993501</v>
      </c>
      <c r="J8">
        <v>0.29653433904288101</v>
      </c>
      <c r="N8" s="1">
        <v>39142</v>
      </c>
      <c r="O8">
        <v>0.27710114106994699</v>
      </c>
      <c r="P8">
        <v>-0.19094071607597199</v>
      </c>
      <c r="T8" s="1">
        <v>39142</v>
      </c>
      <c r="U8">
        <v>0.973059816627865</v>
      </c>
      <c r="V8">
        <v>0.55836914631255097</v>
      </c>
    </row>
    <row r="9" spans="1:22" x14ac:dyDescent="0.25">
      <c r="B9" s="1">
        <v>39173</v>
      </c>
      <c r="C9">
        <v>0.35049413344802299</v>
      </c>
      <c r="D9">
        <v>-0.25868351884962199</v>
      </c>
      <c r="H9" s="1">
        <v>40360</v>
      </c>
      <c r="I9">
        <v>-1.52823437736947</v>
      </c>
      <c r="J9">
        <v>0.480414784239304</v>
      </c>
      <c r="N9" s="1">
        <v>39173</v>
      </c>
      <c r="O9">
        <v>0.35049413344802299</v>
      </c>
      <c r="P9">
        <v>-0.25868351884962298</v>
      </c>
      <c r="T9" s="1">
        <v>39173</v>
      </c>
      <c r="U9">
        <v>1.0799382124849299</v>
      </c>
      <c r="V9">
        <v>0.52567414999026296</v>
      </c>
    </row>
    <row r="10" spans="1:22" x14ac:dyDescent="0.25">
      <c r="B10" s="1">
        <v>39203</v>
      </c>
      <c r="C10">
        <v>0.30773818237246398</v>
      </c>
      <c r="D10">
        <v>-0.35122280111098703</v>
      </c>
      <c r="H10" s="1">
        <v>40391</v>
      </c>
      <c r="I10">
        <v>-1.38470988769799</v>
      </c>
      <c r="J10">
        <v>0.63039709111225894</v>
      </c>
      <c r="N10" s="1">
        <v>39203</v>
      </c>
      <c r="O10">
        <v>0.30773818237246398</v>
      </c>
      <c r="P10">
        <v>-0.35122280111098803</v>
      </c>
      <c r="T10" s="1">
        <v>39203</v>
      </c>
      <c r="U10">
        <v>1.0597353319062399</v>
      </c>
      <c r="V10">
        <v>0.456300908873154</v>
      </c>
    </row>
    <row r="11" spans="1:22" x14ac:dyDescent="0.25">
      <c r="B11" s="1">
        <v>39234</v>
      </c>
      <c r="C11">
        <v>0.22261727114761901</v>
      </c>
      <c r="D11">
        <v>-0.74834191520171101</v>
      </c>
      <c r="H11" s="1">
        <v>40422</v>
      </c>
      <c r="I11">
        <v>-1.2730893395810701</v>
      </c>
      <c r="J11">
        <v>0.69253608682645995</v>
      </c>
      <c r="N11" s="1">
        <v>39234</v>
      </c>
      <c r="O11">
        <v>0.22261727114761901</v>
      </c>
      <c r="P11">
        <v>-0.74834191520171101</v>
      </c>
      <c r="T11" s="1">
        <v>39234</v>
      </c>
      <c r="U11">
        <v>0.99450148755125301</v>
      </c>
      <c r="V11">
        <v>8.0358494012893994E-2</v>
      </c>
    </row>
    <row r="12" spans="1:22" x14ac:dyDescent="0.25">
      <c r="B12" s="1">
        <v>39264</v>
      </c>
      <c r="C12">
        <v>-0.17611075166099599</v>
      </c>
      <c r="D12">
        <v>-0.76960959422620401</v>
      </c>
      <c r="H12" s="1">
        <v>40452</v>
      </c>
      <c r="I12">
        <v>-1.2518641236552901</v>
      </c>
      <c r="J12">
        <v>0.74997644026162003</v>
      </c>
      <c r="N12" s="1">
        <v>39264</v>
      </c>
      <c r="O12">
        <v>-0.17611075166099599</v>
      </c>
      <c r="P12">
        <v>-0.769609594226216</v>
      </c>
      <c r="T12" s="1">
        <v>39264</v>
      </c>
      <c r="U12">
        <v>0.58209136924615601</v>
      </c>
      <c r="V12">
        <v>4.4799821324579998E-2</v>
      </c>
    </row>
    <row r="13" spans="1:22" x14ac:dyDescent="0.25">
      <c r="B13" s="1">
        <v>39295</v>
      </c>
      <c r="C13">
        <v>-0.208207502322793</v>
      </c>
      <c r="D13">
        <v>-0.62007826407203603</v>
      </c>
      <c r="H13" s="1">
        <v>40483</v>
      </c>
      <c r="I13">
        <v>-1.1807351856257799</v>
      </c>
      <c r="J13">
        <v>0.39409314454975702</v>
      </c>
      <c r="N13" s="1">
        <v>39295</v>
      </c>
      <c r="O13">
        <v>-0.208207502322793</v>
      </c>
      <c r="P13">
        <v>-0.62007826407203204</v>
      </c>
      <c r="T13" s="1">
        <v>39295</v>
      </c>
      <c r="U13">
        <v>0.53226017990524399</v>
      </c>
      <c r="V13">
        <v>0.17564833622348799</v>
      </c>
    </row>
    <row r="14" spans="1:22" x14ac:dyDescent="0.25">
      <c r="B14" s="1">
        <v>39326</v>
      </c>
      <c r="C14">
        <v>-8.0038463241091595E-2</v>
      </c>
      <c r="D14">
        <v>-0.43628338846854198</v>
      </c>
      <c r="H14" s="1">
        <v>40513</v>
      </c>
      <c r="I14">
        <v>-1.28842182167571</v>
      </c>
      <c r="J14">
        <v>-5.8778361726587E-2</v>
      </c>
      <c r="N14" s="1">
        <v>39326</v>
      </c>
      <c r="O14">
        <v>-8.0038463241091595E-2</v>
      </c>
      <c r="P14">
        <v>-0.43628338846853998</v>
      </c>
      <c r="T14" s="1">
        <v>39326</v>
      </c>
      <c r="U14">
        <v>0.650149439009436</v>
      </c>
      <c r="V14">
        <v>0.34820485214229902</v>
      </c>
    </row>
    <row r="15" spans="1:22" x14ac:dyDescent="0.25">
      <c r="B15" s="1">
        <v>39356</v>
      </c>
      <c r="C15">
        <v>0.10543275803720401</v>
      </c>
      <c r="D15">
        <v>-0.35672715864388899</v>
      </c>
      <c r="H15" s="1">
        <v>40544</v>
      </c>
      <c r="I15">
        <v>-1.7751755784457399</v>
      </c>
      <c r="J15">
        <v>-0.20222766811905499</v>
      </c>
      <c r="N15" s="1">
        <v>39356</v>
      </c>
      <c r="O15">
        <v>0.10543275803720401</v>
      </c>
      <c r="P15">
        <v>-0.35672715864388999</v>
      </c>
      <c r="T15" s="1">
        <v>39356</v>
      </c>
      <c r="U15">
        <v>0.75894095837056297</v>
      </c>
      <c r="V15">
        <v>0.34770982403353001</v>
      </c>
    </row>
    <row r="16" spans="1:22" x14ac:dyDescent="0.25">
      <c r="B16" s="1">
        <v>39387</v>
      </c>
      <c r="C16">
        <v>0.16656674449592301</v>
      </c>
      <c r="D16">
        <v>-0.166391514067806</v>
      </c>
      <c r="H16" s="1">
        <v>40575</v>
      </c>
      <c r="I16">
        <v>-1.8808393103107399</v>
      </c>
      <c r="J16">
        <v>-0.44014713561300001</v>
      </c>
      <c r="N16" s="1">
        <v>39387</v>
      </c>
      <c r="O16">
        <v>0.16656674449592301</v>
      </c>
      <c r="P16">
        <v>-0.166391514067807</v>
      </c>
      <c r="T16" s="1">
        <v>39387</v>
      </c>
      <c r="U16">
        <v>0.72574554128898705</v>
      </c>
      <c r="V16">
        <v>0.44026266067731001</v>
      </c>
    </row>
    <row r="17" spans="2:22" x14ac:dyDescent="0.25">
      <c r="B17" s="1">
        <v>39417</v>
      </c>
      <c r="C17">
        <v>0.34468944759966802</v>
      </c>
      <c r="D17">
        <v>-4.6496289118969997E-2</v>
      </c>
      <c r="H17" s="1">
        <v>40603</v>
      </c>
      <c r="I17">
        <v>-2.1181732329440002</v>
      </c>
      <c r="J17">
        <v>-0.36490914919426698</v>
      </c>
      <c r="N17" s="1">
        <v>39417</v>
      </c>
      <c r="O17">
        <v>0.34468944759966802</v>
      </c>
      <c r="P17">
        <v>-4.6496289118968998E-2</v>
      </c>
      <c r="T17" s="1">
        <v>39417</v>
      </c>
      <c r="U17">
        <v>0.78857328037039398</v>
      </c>
      <c r="V17">
        <v>0.442123686432839</v>
      </c>
    </row>
    <row r="18" spans="2:22" x14ac:dyDescent="0.25">
      <c r="B18" s="1">
        <v>39448</v>
      </c>
      <c r="C18">
        <v>0.45689501652539199</v>
      </c>
      <c r="D18">
        <v>0.30250433446185898</v>
      </c>
      <c r="H18" s="1">
        <v>40634</v>
      </c>
      <c r="I18">
        <v>-2.0262212260066499</v>
      </c>
      <c r="J18">
        <v>-0.35194872501424002</v>
      </c>
      <c r="N18" s="1">
        <v>39448</v>
      </c>
      <c r="O18">
        <v>0.45689501652539199</v>
      </c>
      <c r="P18">
        <v>0.30250433446185898</v>
      </c>
      <c r="T18" s="1">
        <v>39448</v>
      </c>
      <c r="U18">
        <v>0.84605580459018004</v>
      </c>
      <c r="V18">
        <v>0.73353273107343098</v>
      </c>
    </row>
    <row r="19" spans="2:22" x14ac:dyDescent="0.25">
      <c r="B19" s="1">
        <v>39479</v>
      </c>
      <c r="C19">
        <v>0.80369335110207296</v>
      </c>
      <c r="D19">
        <v>0.107176168007692</v>
      </c>
      <c r="H19" s="1">
        <v>40664</v>
      </c>
      <c r="I19">
        <v>-2.02233859226937</v>
      </c>
      <c r="J19">
        <v>-0.35984465447947001</v>
      </c>
      <c r="N19" s="1">
        <v>39479</v>
      </c>
      <c r="O19">
        <v>0.80369335110207296</v>
      </c>
      <c r="P19">
        <v>0.107176168007691</v>
      </c>
      <c r="T19" s="1">
        <v>39479</v>
      </c>
      <c r="U19">
        <v>1.1598117047030101</v>
      </c>
      <c r="V19">
        <v>0.50350405346072002</v>
      </c>
    </row>
    <row r="20" spans="2:22" x14ac:dyDescent="0.25">
      <c r="B20" s="1">
        <v>39508</v>
      </c>
      <c r="C20">
        <v>0.59964378214503999</v>
      </c>
      <c r="D20">
        <v>1.8102536803810999E-2</v>
      </c>
      <c r="H20" s="1">
        <v>40695</v>
      </c>
      <c r="I20">
        <v>-1.8193304570139399</v>
      </c>
      <c r="J20">
        <v>-0.16207277822517399</v>
      </c>
      <c r="N20" s="1">
        <v>39508</v>
      </c>
      <c r="O20">
        <v>0.59964378214503999</v>
      </c>
      <c r="P20">
        <v>1.8102536803810999E-2</v>
      </c>
      <c r="T20" s="1">
        <v>39508</v>
      </c>
      <c r="U20">
        <v>0.92075459122236203</v>
      </c>
      <c r="V20">
        <v>0.36545928815942502</v>
      </c>
    </row>
    <row r="21" spans="2:22" x14ac:dyDescent="0.25">
      <c r="B21" s="1">
        <v>39539</v>
      </c>
      <c r="C21">
        <v>0.53252384595772095</v>
      </c>
      <c r="D21">
        <v>3.3069671153304003E-2</v>
      </c>
      <c r="H21" s="1">
        <v>40725</v>
      </c>
      <c r="I21">
        <v>-1.6886803294207799</v>
      </c>
      <c r="J21">
        <v>-0.176771156749018</v>
      </c>
      <c r="N21" s="1">
        <v>39539</v>
      </c>
      <c r="O21">
        <v>0.53252384595772095</v>
      </c>
      <c r="P21">
        <v>3.3069671153301998E-2</v>
      </c>
      <c r="T21" s="1">
        <v>39539</v>
      </c>
      <c r="U21">
        <v>0.869022584830762</v>
      </c>
      <c r="V21">
        <v>0.39616726926054602</v>
      </c>
    </row>
    <row r="22" spans="2:22" x14ac:dyDescent="0.25">
      <c r="B22" s="1">
        <v>39569</v>
      </c>
      <c r="C22">
        <v>0.54013003155213701</v>
      </c>
      <c r="D22">
        <v>-0.103303643959297</v>
      </c>
      <c r="H22" s="1">
        <v>40756</v>
      </c>
      <c r="I22">
        <v>-1.43308325724071</v>
      </c>
      <c r="J22">
        <v>0.144218486946044</v>
      </c>
      <c r="N22" s="1">
        <v>39569</v>
      </c>
      <c r="O22">
        <v>0.54013003155213701</v>
      </c>
      <c r="P22">
        <v>-0.103303643959298</v>
      </c>
      <c r="T22" s="1">
        <v>39569</v>
      </c>
      <c r="U22">
        <v>0.91730293990944201</v>
      </c>
      <c r="V22">
        <v>0.30173303758472497</v>
      </c>
    </row>
    <row r="23" spans="2:22" x14ac:dyDescent="0.25">
      <c r="B23" s="1">
        <v>39600</v>
      </c>
      <c r="C23">
        <v>0.41777601194833403</v>
      </c>
      <c r="D23">
        <v>-0.45877808001769499</v>
      </c>
      <c r="H23" s="1">
        <v>40787</v>
      </c>
      <c r="I23">
        <v>-1.1569677346719001</v>
      </c>
      <c r="J23">
        <v>0.34106779353827199</v>
      </c>
      <c r="N23" s="1">
        <v>39600</v>
      </c>
      <c r="O23">
        <v>0.41777601194833403</v>
      </c>
      <c r="P23">
        <v>-0.45877808001769099</v>
      </c>
      <c r="T23" s="1">
        <v>39600</v>
      </c>
      <c r="U23">
        <v>0.80916627883460701</v>
      </c>
      <c r="V23">
        <v>-3.9626944148463003E-2</v>
      </c>
    </row>
    <row r="24" spans="2:22" x14ac:dyDescent="0.25">
      <c r="B24" s="1">
        <v>39630</v>
      </c>
      <c r="C24">
        <v>7.0639804129711103E-2</v>
      </c>
      <c r="D24">
        <v>-0.58407274110152496</v>
      </c>
      <c r="H24" s="1">
        <v>40817</v>
      </c>
      <c r="I24">
        <v>-0.98114426181221104</v>
      </c>
      <c r="J24">
        <v>0.31852962369938498</v>
      </c>
      <c r="N24" s="1">
        <v>39630</v>
      </c>
      <c r="O24">
        <v>7.0791031619568998E-2</v>
      </c>
      <c r="P24">
        <v>-0.58405468958069595</v>
      </c>
      <c r="T24" s="1">
        <v>39630</v>
      </c>
      <c r="U24">
        <v>0.46991018005813101</v>
      </c>
      <c r="V24">
        <v>-0.15749760448568501</v>
      </c>
    </row>
    <row r="25" spans="2:22" x14ac:dyDescent="0.25">
      <c r="B25" s="1">
        <v>39661</v>
      </c>
      <c r="C25">
        <v>-4.4365326836724603E-2</v>
      </c>
      <c r="D25">
        <v>-0.65209751980770303</v>
      </c>
      <c r="H25" s="1">
        <v>40848</v>
      </c>
      <c r="I25">
        <v>-1.0139336130276899</v>
      </c>
      <c r="J25">
        <v>0.372675692048691</v>
      </c>
      <c r="N25" s="1">
        <v>39661</v>
      </c>
      <c r="O25">
        <v>-4.3997807336204398E-2</v>
      </c>
      <c r="P25">
        <v>-0.65203257979881002</v>
      </c>
      <c r="T25" s="1">
        <v>39661</v>
      </c>
      <c r="U25">
        <v>0.348043827409031</v>
      </c>
      <c r="V25">
        <v>-0.23217572877269199</v>
      </c>
    </row>
    <row r="26" spans="2:22" x14ac:dyDescent="0.25">
      <c r="B26" s="1">
        <v>39692</v>
      </c>
      <c r="C26">
        <v>-0.11576758953465301</v>
      </c>
      <c r="D26">
        <v>-0.194386221837168</v>
      </c>
      <c r="H26" s="1">
        <v>40878</v>
      </c>
      <c r="I26">
        <v>-0.93345353954944699</v>
      </c>
      <c r="J26">
        <v>0.374745268689189</v>
      </c>
      <c r="N26" s="1">
        <v>39692</v>
      </c>
      <c r="O26">
        <v>-0.115180930336113</v>
      </c>
      <c r="P26">
        <v>-0.194220202561211</v>
      </c>
      <c r="T26" s="1">
        <v>39692</v>
      </c>
      <c r="U26">
        <v>0.27507546806356897</v>
      </c>
      <c r="V26">
        <v>0.22283216965975799</v>
      </c>
    </row>
    <row r="27" spans="2:22" x14ac:dyDescent="0.25">
      <c r="B27" s="1">
        <v>39722</v>
      </c>
      <c r="C27">
        <v>0.32323075490460002</v>
      </c>
      <c r="D27">
        <v>-0.36402220084617398</v>
      </c>
      <c r="H27" s="1">
        <v>40909</v>
      </c>
      <c r="I27">
        <v>-0.904162493913652</v>
      </c>
      <c r="J27">
        <v>0.39697122944170399</v>
      </c>
      <c r="N27" s="1">
        <v>39722</v>
      </c>
      <c r="O27">
        <v>0.32377315869106998</v>
      </c>
      <c r="P27">
        <v>-0.36385562960454698</v>
      </c>
      <c r="T27" s="1">
        <v>39722</v>
      </c>
      <c r="U27">
        <v>0.68382249766218295</v>
      </c>
      <c r="V27">
        <v>2.2507212942655001E-2</v>
      </c>
    </row>
    <row r="28" spans="2:22" x14ac:dyDescent="0.25">
      <c r="B28" s="1">
        <v>39753</v>
      </c>
      <c r="C28">
        <v>0.17590186283988499</v>
      </c>
      <c r="D28">
        <v>-0.294878363137068</v>
      </c>
      <c r="H28" s="1">
        <v>40940</v>
      </c>
      <c r="I28">
        <v>-0.91784345434702597</v>
      </c>
      <c r="J28">
        <v>0.34762752489980198</v>
      </c>
      <c r="N28" s="1">
        <v>39753</v>
      </c>
      <c r="O28">
        <v>0.17626520029604401</v>
      </c>
      <c r="P28">
        <v>-0.29471439058318799</v>
      </c>
      <c r="T28" s="1">
        <v>39753</v>
      </c>
      <c r="U28">
        <v>0.48888761151306698</v>
      </c>
      <c r="V28">
        <v>4.3717077345558998E-2</v>
      </c>
    </row>
    <row r="29" spans="2:22" x14ac:dyDescent="0.25">
      <c r="B29" s="1">
        <v>39783</v>
      </c>
      <c r="C29">
        <v>0.26450126315205902</v>
      </c>
      <c r="D29">
        <v>0.47501940108213198</v>
      </c>
      <c r="H29" s="1">
        <v>40969</v>
      </c>
      <c r="I29">
        <v>-1.1955975085962001</v>
      </c>
      <c r="J29">
        <v>0.236235713024887</v>
      </c>
      <c r="N29" s="1">
        <v>39783</v>
      </c>
      <c r="O29">
        <v>0.26478895016404203</v>
      </c>
      <c r="P29">
        <v>0.47515336373212502</v>
      </c>
      <c r="T29" s="1">
        <v>39783</v>
      </c>
      <c r="U29">
        <v>0.53170565907210798</v>
      </c>
      <c r="V29">
        <v>0.76711212538544404</v>
      </c>
    </row>
    <row r="30" spans="2:22" x14ac:dyDescent="0.25">
      <c r="B30" s="1">
        <v>39814</v>
      </c>
      <c r="C30">
        <v>1.05485528196758</v>
      </c>
      <c r="D30">
        <v>0.68390870726886499</v>
      </c>
      <c r="H30" s="1">
        <v>41000</v>
      </c>
      <c r="I30">
        <v>-1.36215235096223</v>
      </c>
      <c r="J30">
        <v>0.16737855414985101</v>
      </c>
      <c r="N30" s="1">
        <v>39814</v>
      </c>
      <c r="O30">
        <v>1.0550863544874201</v>
      </c>
      <c r="P30">
        <v>0.68405987970016602</v>
      </c>
      <c r="T30" s="1">
        <v>39814</v>
      </c>
      <c r="U30">
        <v>1.3268188116066399</v>
      </c>
      <c r="V30">
        <v>0.980584599642497</v>
      </c>
    </row>
    <row r="31" spans="2:22" x14ac:dyDescent="0.25">
      <c r="B31" s="1">
        <v>39845</v>
      </c>
      <c r="C31">
        <v>1.3008958074938599</v>
      </c>
      <c r="D31">
        <v>0.54504971501453503</v>
      </c>
      <c r="H31" s="1">
        <v>41030</v>
      </c>
      <c r="I31">
        <v>-1.3449116866967401</v>
      </c>
      <c r="J31">
        <v>7.3828774395176003E-2</v>
      </c>
      <c r="N31" s="1">
        <v>39845</v>
      </c>
      <c r="O31">
        <v>1.3011137062267299</v>
      </c>
      <c r="P31">
        <v>0.54522781142088605</v>
      </c>
      <c r="T31" s="1">
        <v>39845</v>
      </c>
      <c r="U31">
        <v>1.5902513215643901</v>
      </c>
      <c r="V31">
        <v>0.85902377788897799</v>
      </c>
    </row>
    <row r="32" spans="2:22" x14ac:dyDescent="0.25">
      <c r="B32" s="1">
        <v>39873</v>
      </c>
      <c r="C32">
        <v>1.1931233073779399</v>
      </c>
      <c r="D32">
        <v>0.62044118380864999</v>
      </c>
      <c r="H32" s="1">
        <v>41061</v>
      </c>
      <c r="I32">
        <v>-1.2800810175886601</v>
      </c>
      <c r="J32">
        <v>0.167016664493394</v>
      </c>
      <c r="N32" s="1">
        <v>39873</v>
      </c>
      <c r="O32">
        <v>1.1933905319016</v>
      </c>
      <c r="P32">
        <v>0.62060577917508197</v>
      </c>
      <c r="T32" s="1">
        <v>39873</v>
      </c>
      <c r="U32">
        <v>1.4964947850774499</v>
      </c>
      <c r="V32">
        <v>0.94861301202206605</v>
      </c>
    </row>
    <row r="33" spans="2:22" x14ac:dyDescent="0.25">
      <c r="B33" s="1">
        <v>39904</v>
      </c>
      <c r="C33">
        <v>1.2859182716403099</v>
      </c>
      <c r="D33">
        <v>0.75487660121594202</v>
      </c>
      <c r="H33" s="1">
        <v>41091</v>
      </c>
      <c r="I33">
        <v>-1.20905792938354</v>
      </c>
      <c r="J33">
        <v>0.21963901479312001</v>
      </c>
      <c r="N33" s="1">
        <v>39904</v>
      </c>
      <c r="O33">
        <v>1.2861911280921501</v>
      </c>
      <c r="P33">
        <v>0.754981015843044</v>
      </c>
      <c r="T33" s="1">
        <v>39904</v>
      </c>
      <c r="U33">
        <v>1.6240468683595299</v>
      </c>
      <c r="V33">
        <v>1.11889566657059</v>
      </c>
    </row>
    <row r="34" spans="2:22" x14ac:dyDescent="0.25">
      <c r="B34" s="1">
        <v>39934</v>
      </c>
      <c r="C34">
        <v>1.39104187246216</v>
      </c>
      <c r="D34">
        <v>0.59083696445142797</v>
      </c>
      <c r="H34" s="1">
        <v>41122</v>
      </c>
      <c r="I34">
        <v>-1.1388668157240001</v>
      </c>
      <c r="J34">
        <v>0.13639941553324</v>
      </c>
      <c r="N34" s="1">
        <v>39934</v>
      </c>
      <c r="O34">
        <v>1.3911743910662999</v>
      </c>
      <c r="P34">
        <v>0.59080079355808601</v>
      </c>
      <c r="T34" s="1">
        <v>39934</v>
      </c>
      <c r="U34">
        <v>1.80350445960651</v>
      </c>
      <c r="V34">
        <v>1.0326617969885901</v>
      </c>
    </row>
    <row r="35" spans="2:22" x14ac:dyDescent="0.25">
      <c r="B35" s="1">
        <v>39965</v>
      </c>
      <c r="C35">
        <v>1.27908554128889</v>
      </c>
      <c r="D35">
        <v>-4.3327543962904003E-2</v>
      </c>
      <c r="H35" s="1">
        <v>41153</v>
      </c>
      <c r="I35">
        <v>-1.20998280718817</v>
      </c>
      <c r="J35">
        <v>0.19063660594530299</v>
      </c>
      <c r="N35" s="1">
        <v>39965</v>
      </c>
      <c r="O35">
        <v>1.2791436378624499</v>
      </c>
      <c r="P35">
        <v>-4.3450319686531999E-2</v>
      </c>
      <c r="T35" s="1">
        <v>39965</v>
      </c>
      <c r="U35">
        <v>1.7407306416770401</v>
      </c>
      <c r="V35">
        <v>0.44987746811074503</v>
      </c>
    </row>
    <row r="36" spans="2:22" x14ac:dyDescent="0.25">
      <c r="B36" s="1">
        <v>39995</v>
      </c>
      <c r="C36">
        <v>0.65134774410122898</v>
      </c>
      <c r="D36">
        <v>0.119168157595785</v>
      </c>
      <c r="H36" s="1">
        <v>41183</v>
      </c>
      <c r="I36">
        <v>-1.14154376590756</v>
      </c>
      <c r="J36">
        <v>0.27043226463328002</v>
      </c>
      <c r="N36" s="1">
        <v>39995</v>
      </c>
      <c r="O36">
        <v>0.65138611167104399</v>
      </c>
      <c r="P36">
        <v>0.11897091033075</v>
      </c>
      <c r="T36" s="1">
        <v>39995</v>
      </c>
      <c r="U36">
        <v>1.16146550479002</v>
      </c>
      <c r="V36">
        <v>0.66272683000287502</v>
      </c>
    </row>
    <row r="37" spans="2:22" x14ac:dyDescent="0.25">
      <c r="B37" s="1">
        <v>40026</v>
      </c>
      <c r="C37">
        <v>0.76578695220104898</v>
      </c>
      <c r="D37">
        <v>6.1016130055341997E-2</v>
      </c>
      <c r="H37" s="1">
        <v>41214</v>
      </c>
      <c r="I37">
        <v>-1.07144026072029</v>
      </c>
      <c r="J37">
        <v>0.235507966298415</v>
      </c>
      <c r="N37" s="1">
        <v>40026</v>
      </c>
      <c r="O37">
        <v>0.76576024476173798</v>
      </c>
      <c r="P37">
        <v>6.0736485112578002E-2</v>
      </c>
      <c r="T37" s="1">
        <v>40026</v>
      </c>
      <c r="U37">
        <v>1.3067027770174</v>
      </c>
      <c r="V37">
        <v>0.64892650823392695</v>
      </c>
    </row>
    <row r="38" spans="2:22" x14ac:dyDescent="0.25">
      <c r="B38" s="1">
        <v>40057</v>
      </c>
      <c r="C38">
        <v>0.74046549816517104</v>
      </c>
      <c r="D38">
        <v>0.17966120927837201</v>
      </c>
      <c r="H38" s="1">
        <v>41244</v>
      </c>
      <c r="I38">
        <v>-1.0829227897131899</v>
      </c>
      <c r="J38">
        <v>0.193334624743321</v>
      </c>
      <c r="N38" s="1">
        <v>40057</v>
      </c>
      <c r="O38">
        <v>0.74035785592264303</v>
      </c>
      <c r="P38">
        <v>0.17935047390912801</v>
      </c>
      <c r="T38" s="1">
        <v>40057</v>
      </c>
      <c r="U38">
        <v>1.2667836273358499</v>
      </c>
      <c r="V38">
        <v>0.77388455889168595</v>
      </c>
    </row>
    <row r="39" spans="2:22" x14ac:dyDescent="0.25">
      <c r="B39" s="1">
        <v>40087</v>
      </c>
      <c r="C39">
        <v>0.84395893199073901</v>
      </c>
      <c r="D39">
        <v>0.23583827218303699</v>
      </c>
      <c r="H39" s="1">
        <v>41275</v>
      </c>
      <c r="I39">
        <v>-1.0829898869605801</v>
      </c>
      <c r="J39">
        <v>0.111636738086221</v>
      </c>
      <c r="N39" s="1">
        <v>40087</v>
      </c>
      <c r="O39">
        <v>0.84376012851187099</v>
      </c>
      <c r="P39">
        <v>0.23550600540314401</v>
      </c>
      <c r="T39" s="1">
        <v>40087</v>
      </c>
      <c r="U39">
        <v>1.3356370862269</v>
      </c>
      <c r="V39">
        <v>0.81974434258428397</v>
      </c>
    </row>
    <row r="40" spans="2:22" x14ac:dyDescent="0.25">
      <c r="B40" s="1">
        <v>40118</v>
      </c>
      <c r="C40">
        <v>0.885654053515747</v>
      </c>
      <c r="D40">
        <v>0.317227087439026</v>
      </c>
      <c r="H40" s="1">
        <v>41306</v>
      </c>
      <c r="I40">
        <v>-1.1646098713669699</v>
      </c>
      <c r="J40">
        <v>-5.2710148731645999E-2</v>
      </c>
      <c r="N40" s="1">
        <v>40118</v>
      </c>
      <c r="O40">
        <v>0.88542294401933797</v>
      </c>
      <c r="P40">
        <v>0.316895771688608</v>
      </c>
      <c r="T40" s="1">
        <v>40118</v>
      </c>
      <c r="U40">
        <v>1.3463819062967799</v>
      </c>
      <c r="V40">
        <v>0.88658643766893197</v>
      </c>
    </row>
    <row r="41" spans="2:22" x14ac:dyDescent="0.25">
      <c r="B41" s="1">
        <v>40148</v>
      </c>
      <c r="C41">
        <v>0.94042872258214505</v>
      </c>
      <c r="D41">
        <v>0.25886997541492401</v>
      </c>
      <c r="H41" s="1">
        <v>41334</v>
      </c>
      <c r="I41">
        <v>-1.3152902909169899</v>
      </c>
      <c r="J41">
        <v>-9.2106640771263001E-2</v>
      </c>
      <c r="N41" s="1">
        <v>40148</v>
      </c>
      <c r="O41">
        <v>0.94019135462843895</v>
      </c>
      <c r="P41">
        <v>0.25854703382712102</v>
      </c>
      <c r="T41" s="1">
        <v>40148</v>
      </c>
      <c r="U41">
        <v>1.37683049935386</v>
      </c>
      <c r="V41">
        <v>0.80858728267079105</v>
      </c>
    </row>
    <row r="42" spans="2:22" x14ac:dyDescent="0.25">
      <c r="B42" s="1">
        <v>40179</v>
      </c>
      <c r="C42">
        <v>0.85632167645883495</v>
      </c>
      <c r="D42">
        <v>0.145635017216977</v>
      </c>
      <c r="H42" s="1">
        <v>41365</v>
      </c>
      <c r="I42">
        <v>-1.30708126448396</v>
      </c>
      <c r="J42">
        <v>4.6833680507430003E-3</v>
      </c>
      <c r="N42" s="1">
        <v>40179</v>
      </c>
      <c r="O42">
        <v>0.85614594847458503</v>
      </c>
      <c r="P42">
        <v>0.14533479800829399</v>
      </c>
      <c r="T42" s="1">
        <v>40179</v>
      </c>
      <c r="U42">
        <v>1.2717693221797</v>
      </c>
      <c r="V42">
        <v>0.67931491965234803</v>
      </c>
    </row>
    <row r="43" spans="2:22" x14ac:dyDescent="0.25">
      <c r="B43" s="1">
        <v>40210</v>
      </c>
      <c r="C43">
        <v>0.72254213713480397</v>
      </c>
      <c r="D43">
        <v>0.193644590176865</v>
      </c>
      <c r="H43" s="1">
        <v>41395</v>
      </c>
      <c r="I43">
        <v>-1.17000765523372</v>
      </c>
      <c r="J43">
        <v>-0.173303590415121</v>
      </c>
      <c r="N43" s="1">
        <v>40210</v>
      </c>
      <c r="O43">
        <v>0.72255772029083998</v>
      </c>
      <c r="P43">
        <v>0.19337146561035401</v>
      </c>
      <c r="T43" s="1">
        <v>40210</v>
      </c>
      <c r="U43">
        <v>1.11262492245417</v>
      </c>
      <c r="V43">
        <v>0.70916793931834698</v>
      </c>
    </row>
    <row r="44" spans="2:22" x14ac:dyDescent="0.25">
      <c r="B44" s="1">
        <v>40238</v>
      </c>
      <c r="C44">
        <v>0.724102992352747</v>
      </c>
      <c r="D44">
        <v>0.213984018483343</v>
      </c>
      <c r="H44" s="1">
        <v>41426</v>
      </c>
      <c r="I44">
        <v>-1.18954202054451</v>
      </c>
      <c r="J44">
        <v>-0.71944973359871101</v>
      </c>
      <c r="N44" s="1">
        <v>40238</v>
      </c>
      <c r="O44">
        <v>0.72441138849059605</v>
      </c>
      <c r="P44">
        <v>0.21374207516399699</v>
      </c>
      <c r="T44" s="1">
        <v>40238</v>
      </c>
      <c r="U44">
        <v>1.0950804847241999</v>
      </c>
      <c r="V44">
        <v>0.71388146851896805</v>
      </c>
    </row>
    <row r="45" spans="2:22" x14ac:dyDescent="0.25">
      <c r="B45" s="1">
        <v>40269</v>
      </c>
      <c r="C45">
        <v>0.66726379248091405</v>
      </c>
      <c r="D45">
        <v>5.3777340045916999E-2</v>
      </c>
      <c r="H45" s="1">
        <v>41456</v>
      </c>
      <c r="I45">
        <v>-1.70152753350719</v>
      </c>
      <c r="J45">
        <v>-1.05004856307341</v>
      </c>
      <c r="N45" s="1">
        <v>40269</v>
      </c>
      <c r="O45">
        <v>0.66793126372172795</v>
      </c>
      <c r="P45">
        <v>5.35205807353E-2</v>
      </c>
      <c r="T45" s="1">
        <v>40269</v>
      </c>
      <c r="U45">
        <v>1.06048689767328</v>
      </c>
      <c r="V45">
        <v>0.60111016194196398</v>
      </c>
    </row>
    <row r="46" spans="2:22" x14ac:dyDescent="0.25">
      <c r="B46" s="1">
        <v>40299</v>
      </c>
      <c r="C46">
        <v>0.53150467572464599</v>
      </c>
      <c r="D46">
        <v>0.194998249439297</v>
      </c>
      <c r="H46" s="1">
        <v>41487</v>
      </c>
      <c r="I46">
        <v>-2.1945405957092001</v>
      </c>
      <c r="J46">
        <v>-1.1584412500494901</v>
      </c>
      <c r="N46" s="1">
        <v>40299</v>
      </c>
      <c r="O46">
        <v>0.53298498102883496</v>
      </c>
      <c r="P46">
        <v>0.19475114671812899</v>
      </c>
      <c r="T46" s="1">
        <v>40299</v>
      </c>
      <c r="U46">
        <v>0.97475572460150095</v>
      </c>
      <c r="V46">
        <v>0.79291042756536001</v>
      </c>
    </row>
    <row r="47" spans="2:22" x14ac:dyDescent="0.25">
      <c r="B47" s="1">
        <v>40330</v>
      </c>
      <c r="C47">
        <v>0.71764538749994899</v>
      </c>
      <c r="D47">
        <v>0.36895632488163499</v>
      </c>
      <c r="H47" s="1">
        <v>41518</v>
      </c>
      <c r="I47">
        <v>-2.2391719235841201</v>
      </c>
      <c r="J47">
        <v>-1.18332101382767</v>
      </c>
      <c r="N47" s="1">
        <v>40330</v>
      </c>
      <c r="O47">
        <v>0.71974301370309202</v>
      </c>
      <c r="P47">
        <v>0.36872043715313901</v>
      </c>
      <c r="T47" s="1">
        <v>40330</v>
      </c>
      <c r="U47">
        <v>1.1754992099891699</v>
      </c>
      <c r="V47">
        <v>0.998515429177253</v>
      </c>
    </row>
    <row r="48" spans="2:22" x14ac:dyDescent="0.25">
      <c r="B48" s="1">
        <v>40360</v>
      </c>
      <c r="C48">
        <v>0.86465814439094502</v>
      </c>
      <c r="D48">
        <v>0.52341720419085902</v>
      </c>
      <c r="H48" s="1">
        <v>41548</v>
      </c>
      <c r="I48">
        <v>-2.25667026911831</v>
      </c>
      <c r="J48">
        <v>-0.85061914876619205</v>
      </c>
      <c r="N48" s="1">
        <v>40360</v>
      </c>
      <c r="O48">
        <v>0.86751617854894003</v>
      </c>
      <c r="P48">
        <v>0.52317787647200398</v>
      </c>
      <c r="T48" s="1">
        <v>40360</v>
      </c>
      <c r="U48">
        <v>1.2955912172271999</v>
      </c>
      <c r="V48">
        <v>1.1307630268493001</v>
      </c>
    </row>
    <row r="49" spans="2:22" x14ac:dyDescent="0.25">
      <c r="B49" s="1">
        <v>40391</v>
      </c>
      <c r="C49">
        <v>0.96950741990606903</v>
      </c>
      <c r="D49">
        <v>0.65150470071992905</v>
      </c>
      <c r="H49" s="1">
        <v>41579</v>
      </c>
      <c r="I49">
        <v>-1.94975438600968</v>
      </c>
      <c r="J49">
        <v>-0.85901167322366001</v>
      </c>
      <c r="N49" s="1">
        <v>40391</v>
      </c>
      <c r="O49">
        <v>0.97325563193367803</v>
      </c>
      <c r="P49">
        <v>0.651253953673541</v>
      </c>
      <c r="T49" s="1">
        <v>40391</v>
      </c>
      <c r="U49">
        <v>1.3469925400501901</v>
      </c>
      <c r="V49">
        <v>1.22094789423697</v>
      </c>
    </row>
    <row r="50" spans="2:22" x14ac:dyDescent="0.25">
      <c r="B50" s="1">
        <v>40422</v>
      </c>
      <c r="C50">
        <v>1.06997435829506</v>
      </c>
      <c r="D50">
        <v>0.71270469383246904</v>
      </c>
      <c r="H50" s="1">
        <v>41609</v>
      </c>
      <c r="I50">
        <v>-2.0215393226351899</v>
      </c>
      <c r="J50">
        <v>-1.0577035852490699</v>
      </c>
      <c r="N50" s="1">
        <v>40422</v>
      </c>
      <c r="O50">
        <v>1.0743219226353</v>
      </c>
      <c r="P50">
        <v>0.71247421946533096</v>
      </c>
      <c r="T50" s="1">
        <v>40422</v>
      </c>
      <c r="U50">
        <v>1.4178667117602199</v>
      </c>
      <c r="V50">
        <v>1.2562853686353701</v>
      </c>
    </row>
    <row r="51" spans="2:22" x14ac:dyDescent="0.25">
      <c r="B51" s="1">
        <v>40452</v>
      </c>
      <c r="C51">
        <v>1.1029880008103501</v>
      </c>
      <c r="D51">
        <v>0.79790646126684095</v>
      </c>
      <c r="H51" s="1">
        <v>41640</v>
      </c>
      <c r="I51">
        <v>-2.1819026943474502</v>
      </c>
      <c r="J51">
        <v>-1.00040120886095</v>
      </c>
      <c r="N51" s="1">
        <v>40452</v>
      </c>
      <c r="O51">
        <v>1.1086664962508099</v>
      </c>
      <c r="P51">
        <v>0.79776377842690105</v>
      </c>
      <c r="T51" s="1">
        <v>40452</v>
      </c>
      <c r="U51">
        <v>1.42251362591391</v>
      </c>
      <c r="V51">
        <v>1.3158799912304799</v>
      </c>
    </row>
    <row r="52" spans="2:22" x14ac:dyDescent="0.25">
      <c r="B52" s="1">
        <v>40483</v>
      </c>
      <c r="C52">
        <v>1.16128029575601</v>
      </c>
      <c r="D52">
        <v>0.44510235839506002</v>
      </c>
      <c r="H52" s="1">
        <v>41671</v>
      </c>
      <c r="I52">
        <v>-2.1520817561488701</v>
      </c>
      <c r="J52">
        <v>-0.807874682233931</v>
      </c>
      <c r="N52" s="1">
        <v>40483</v>
      </c>
      <c r="O52">
        <v>1.16757621955133</v>
      </c>
      <c r="P52">
        <v>0.44498537396283699</v>
      </c>
      <c r="T52" s="1">
        <v>40483</v>
      </c>
      <c r="U52">
        <v>1.4580445577798999</v>
      </c>
      <c r="V52">
        <v>0.94517968229766403</v>
      </c>
    </row>
    <row r="53" spans="2:22" x14ac:dyDescent="0.25">
      <c r="B53" s="1">
        <v>40513</v>
      </c>
      <c r="C53">
        <v>1.03217540987695</v>
      </c>
      <c r="D53">
        <v>1.3297755410011E-2</v>
      </c>
      <c r="H53" s="1">
        <v>41699</v>
      </c>
      <c r="I53">
        <v>-1.99380503628544</v>
      </c>
      <c r="J53">
        <v>-0.79601933443862805</v>
      </c>
      <c r="N53" s="1">
        <v>40513</v>
      </c>
      <c r="O53">
        <v>1.0399350647230601</v>
      </c>
      <c r="P53">
        <v>1.3292947450842999E-2</v>
      </c>
      <c r="T53" s="1">
        <v>40513</v>
      </c>
      <c r="U53">
        <v>1.30024004020955</v>
      </c>
      <c r="V53">
        <v>0.49194766071468099</v>
      </c>
    </row>
    <row r="54" spans="2:22" x14ac:dyDescent="0.25">
      <c r="B54" s="1">
        <v>40544</v>
      </c>
      <c r="C54">
        <v>0.58045829214914402</v>
      </c>
      <c r="D54">
        <v>-7.4140848378459995E-2</v>
      </c>
      <c r="H54" s="1">
        <v>41730</v>
      </c>
      <c r="I54">
        <v>-1.9681599551587801</v>
      </c>
      <c r="J54">
        <v>-0.80759945886372797</v>
      </c>
      <c r="N54" s="1">
        <v>40544</v>
      </c>
      <c r="O54">
        <v>0.5910177328324</v>
      </c>
      <c r="P54">
        <v>-7.3251384020973004E-2</v>
      </c>
      <c r="T54" s="1">
        <v>40544</v>
      </c>
      <c r="U54">
        <v>0.82427319057060899</v>
      </c>
      <c r="V54">
        <v>0.37177445457721298</v>
      </c>
    </row>
    <row r="55" spans="2:22" x14ac:dyDescent="0.25">
      <c r="B55" s="1">
        <v>40575</v>
      </c>
      <c r="C55">
        <v>0.47228105124331898</v>
      </c>
      <c r="D55">
        <v>-0.29009466740397499</v>
      </c>
      <c r="H55" s="1">
        <v>41760</v>
      </c>
      <c r="I55">
        <v>-1.89485533766434</v>
      </c>
      <c r="J55">
        <v>-0.64573526315735896</v>
      </c>
      <c r="N55" s="1">
        <v>40575</v>
      </c>
      <c r="O55">
        <v>0.48457504972930399</v>
      </c>
      <c r="P55">
        <v>-0.28860155481081001</v>
      </c>
      <c r="T55" s="1">
        <v>40575</v>
      </c>
      <c r="U55">
        <v>0.69679717646432004</v>
      </c>
      <c r="V55">
        <v>0.12531917938449</v>
      </c>
    </row>
    <row r="56" spans="2:22" x14ac:dyDescent="0.25">
      <c r="B56" s="1">
        <v>40603</v>
      </c>
      <c r="C56">
        <v>0.238804339486371</v>
      </c>
      <c r="D56">
        <v>-0.18593509296190999</v>
      </c>
      <c r="H56" s="1">
        <v>41791</v>
      </c>
      <c r="I56">
        <v>-1.63230029916102</v>
      </c>
      <c r="J56">
        <v>-0.58946477168912004</v>
      </c>
      <c r="N56" s="1">
        <v>40603</v>
      </c>
      <c r="O56">
        <v>0.25443147502226698</v>
      </c>
      <c r="P56">
        <v>-0.18303115540481599</v>
      </c>
      <c r="T56" s="1">
        <v>40603</v>
      </c>
      <c r="U56">
        <v>0.44582849012140002</v>
      </c>
      <c r="V56">
        <v>0.19981960573924001</v>
      </c>
    </row>
    <row r="57" spans="2:22" x14ac:dyDescent="0.25">
      <c r="B57" s="1">
        <v>40634</v>
      </c>
      <c r="C57">
        <v>0.34630473322155297</v>
      </c>
      <c r="D57">
        <v>-0.165227690789468</v>
      </c>
      <c r="H57" s="1">
        <v>41821</v>
      </c>
      <c r="I57">
        <v>-1.5811112205984299</v>
      </c>
      <c r="J57">
        <v>-0.58575399673545803</v>
      </c>
      <c r="N57" s="1">
        <v>40634</v>
      </c>
      <c r="O57">
        <v>0.36450555359181303</v>
      </c>
      <c r="P57">
        <v>-0.161835513689917</v>
      </c>
      <c r="T57" s="1">
        <v>40634</v>
      </c>
      <c r="U57">
        <v>0.54028447433712101</v>
      </c>
      <c r="V57">
        <v>0.23234610326560701</v>
      </c>
    </row>
    <row r="58" spans="2:22" x14ac:dyDescent="0.25">
      <c r="B58" s="1">
        <v>40664</v>
      </c>
      <c r="C58">
        <v>0.342320415275356</v>
      </c>
      <c r="D58">
        <v>-0.19013884771312101</v>
      </c>
      <c r="H58" s="1">
        <v>41852</v>
      </c>
      <c r="I58">
        <v>-1.52779206338578</v>
      </c>
      <c r="J58">
        <v>-0.587043837447913</v>
      </c>
      <c r="N58" s="1">
        <v>40664</v>
      </c>
      <c r="O58">
        <v>0.362405250152877</v>
      </c>
      <c r="P58">
        <v>-0.18645045915821801</v>
      </c>
      <c r="T58" s="1">
        <v>40664</v>
      </c>
      <c r="U58">
        <v>0.53607478863274804</v>
      </c>
      <c r="V58">
        <v>0.22644883558918899</v>
      </c>
    </row>
    <row r="59" spans="2:22" x14ac:dyDescent="0.25">
      <c r="B59" s="1">
        <v>40695</v>
      </c>
      <c r="C59">
        <v>0.53762977007617196</v>
      </c>
      <c r="D59">
        <v>-1.0951267592023001E-2</v>
      </c>
      <c r="H59" s="1">
        <v>41883</v>
      </c>
      <c r="I59">
        <v>-1.4734303603602099</v>
      </c>
      <c r="J59">
        <v>-0.63368163149833401</v>
      </c>
      <c r="N59" s="1">
        <v>40695</v>
      </c>
      <c r="O59">
        <v>0.55903650408316297</v>
      </c>
      <c r="P59">
        <v>-7.0008648345069998E-3</v>
      </c>
      <c r="T59" s="1">
        <v>40695</v>
      </c>
      <c r="U59">
        <v>0.74584465596475502</v>
      </c>
      <c r="V59">
        <v>0.43393939540165399</v>
      </c>
    </row>
    <row r="60" spans="2:22" x14ac:dyDescent="0.25">
      <c r="B60" s="1">
        <v>40725</v>
      </c>
      <c r="C60">
        <v>0.65719621561289399</v>
      </c>
      <c r="D60">
        <v>-4.2012501327395001E-2</v>
      </c>
      <c r="H60" s="1">
        <v>41913</v>
      </c>
      <c r="I60">
        <v>-1.4949181621821801</v>
      </c>
      <c r="J60">
        <v>-0.49341701829314599</v>
      </c>
      <c r="N60" s="1">
        <v>40725</v>
      </c>
      <c r="O60">
        <v>0.68021928364760598</v>
      </c>
      <c r="P60">
        <v>-3.7740525443759998E-2</v>
      </c>
      <c r="T60" s="1">
        <v>40725</v>
      </c>
      <c r="U60">
        <v>0.86367071964138298</v>
      </c>
      <c r="V60">
        <v>0.41385972233373602</v>
      </c>
    </row>
    <row r="61" spans="2:22" x14ac:dyDescent="0.25">
      <c r="B61" s="1">
        <v>40756</v>
      </c>
      <c r="C61">
        <v>0.62176910681530395</v>
      </c>
      <c r="D61">
        <v>0.27167232520698897</v>
      </c>
      <c r="H61" s="1">
        <v>41944</v>
      </c>
      <c r="I61">
        <v>-1.35589103417426</v>
      </c>
      <c r="J61">
        <v>-0.44786096002484099</v>
      </c>
      <c r="N61" s="1">
        <v>40756</v>
      </c>
      <c r="O61">
        <v>0.64353212417933003</v>
      </c>
      <c r="P61">
        <v>0.27629325199440802</v>
      </c>
      <c r="T61" s="1">
        <v>40756</v>
      </c>
      <c r="U61">
        <v>0.82543781431095797</v>
      </c>
      <c r="V61">
        <v>0.73994323326312605</v>
      </c>
    </row>
    <row r="62" spans="2:22" x14ac:dyDescent="0.25">
      <c r="B62" s="1">
        <v>40787</v>
      </c>
      <c r="C62">
        <v>0.89737003203913301</v>
      </c>
      <c r="D62">
        <v>0.46594702737951299</v>
      </c>
      <c r="H62" s="1">
        <v>41974</v>
      </c>
      <c r="I62">
        <v>-1.3152911620676599</v>
      </c>
      <c r="J62">
        <v>-0.34580062036661802</v>
      </c>
      <c r="N62" s="1">
        <v>40787</v>
      </c>
      <c r="O62">
        <v>0.92049695299064405</v>
      </c>
      <c r="P62">
        <v>0.47091416099274103</v>
      </c>
      <c r="T62" s="1">
        <v>40787</v>
      </c>
      <c r="U62">
        <v>1.1005164126042299</v>
      </c>
      <c r="V62">
        <v>0.94426676052690195</v>
      </c>
    </row>
    <row r="63" spans="2:22" x14ac:dyDescent="0.25">
      <c r="B63" s="1">
        <v>40817</v>
      </c>
      <c r="C63">
        <v>1.0581865214806101</v>
      </c>
      <c r="D63">
        <v>0.44057361622366398</v>
      </c>
      <c r="H63" s="1">
        <v>42005</v>
      </c>
      <c r="I63">
        <v>-1.11329117731756</v>
      </c>
      <c r="J63">
        <v>-0.16053299490838099</v>
      </c>
      <c r="N63" s="1">
        <v>40817</v>
      </c>
      <c r="O63">
        <v>1.0829874164756199</v>
      </c>
      <c r="P63">
        <v>0.446050327224147</v>
      </c>
      <c r="T63" s="1">
        <v>40817</v>
      </c>
      <c r="U63">
        <v>1.2416899499501699</v>
      </c>
      <c r="V63">
        <v>0.90389195248902898</v>
      </c>
    </row>
    <row r="64" spans="2:22" x14ac:dyDescent="0.25">
      <c r="B64" s="1">
        <v>40848</v>
      </c>
      <c r="C64">
        <v>1.01498251159502</v>
      </c>
      <c r="D64">
        <v>0.49673986438372397</v>
      </c>
      <c r="H64" s="1">
        <v>42036</v>
      </c>
      <c r="I64">
        <v>-0.91520769880032404</v>
      </c>
      <c r="J64">
        <v>0.25196003226986202</v>
      </c>
      <c r="N64" s="1">
        <v>40848</v>
      </c>
      <c r="O64">
        <v>1.0417990018304599</v>
      </c>
      <c r="P64">
        <v>0.50311427945720799</v>
      </c>
      <c r="T64" s="1">
        <v>40848</v>
      </c>
      <c r="U64">
        <v>1.18813877088279</v>
      </c>
      <c r="V64">
        <v>0.94952200989741997</v>
      </c>
    </row>
    <row r="65" spans="2:22" x14ac:dyDescent="0.25">
      <c r="B65" s="1">
        <v>40878</v>
      </c>
      <c r="C65">
        <v>1.0848395579576999</v>
      </c>
      <c r="D65">
        <v>0.50110066018056398</v>
      </c>
      <c r="H65" s="1">
        <v>42064</v>
      </c>
      <c r="I65">
        <v>-0.93246460035050205</v>
      </c>
      <c r="J65">
        <v>0.16770432680525599</v>
      </c>
      <c r="N65" s="1">
        <v>40878</v>
      </c>
      <c r="O65">
        <v>1.1138849053182101</v>
      </c>
      <c r="P65">
        <v>0.50840479330626698</v>
      </c>
      <c r="T65" s="1">
        <v>40878</v>
      </c>
      <c r="U65">
        <v>1.24313535725519</v>
      </c>
      <c r="V65">
        <v>0.93894434583576603</v>
      </c>
    </row>
    <row r="66" spans="2:22" x14ac:dyDescent="0.25">
      <c r="B66" s="1">
        <v>40909</v>
      </c>
      <c r="C66">
        <v>1.1088058746394001</v>
      </c>
      <c r="D66">
        <v>0.51970383546602805</v>
      </c>
      <c r="H66" s="1">
        <v>42095</v>
      </c>
      <c r="I66">
        <v>-0.89174306304192796</v>
      </c>
      <c r="J66">
        <v>0.26826711117010599</v>
      </c>
      <c r="N66" s="1">
        <v>40909</v>
      </c>
      <c r="O66">
        <v>1.1387417764213501</v>
      </c>
      <c r="P66">
        <v>0.52752983781523799</v>
      </c>
      <c r="T66" s="1">
        <v>40909</v>
      </c>
      <c r="U66">
        <v>1.26245173655342</v>
      </c>
      <c r="V66">
        <v>0.95352175990952004</v>
      </c>
    </row>
    <row r="67" spans="2:22" x14ac:dyDescent="0.25">
      <c r="B67" s="1">
        <v>40940</v>
      </c>
      <c r="C67">
        <v>1.10523404564817</v>
      </c>
      <c r="D67">
        <v>0.48886328898357401</v>
      </c>
      <c r="H67" s="1">
        <v>42125</v>
      </c>
      <c r="I67">
        <v>-0.70870937660741595</v>
      </c>
      <c r="J67">
        <v>2.8192254815879999E-2</v>
      </c>
      <c r="N67" s="1">
        <v>40940</v>
      </c>
      <c r="O67">
        <v>1.13868420620577</v>
      </c>
      <c r="P67">
        <v>0.49829144615916698</v>
      </c>
      <c r="T67" s="1">
        <v>40940</v>
      </c>
      <c r="U67">
        <v>1.2495433936670099</v>
      </c>
      <c r="V67">
        <v>0.91606224131257197</v>
      </c>
    </row>
    <row r="68" spans="2:22" x14ac:dyDescent="0.25">
      <c r="B68" s="1">
        <v>40969</v>
      </c>
      <c r="C68">
        <v>1.07828561403104</v>
      </c>
      <c r="D68">
        <v>0.384169958571562</v>
      </c>
      <c r="H68" s="1">
        <v>42156</v>
      </c>
      <c r="I68">
        <v>-0.79101063106248903</v>
      </c>
      <c r="J68">
        <v>-0.105392209093792</v>
      </c>
      <c r="N68" s="1">
        <v>40969</v>
      </c>
      <c r="O68">
        <v>1.11747914353666</v>
      </c>
      <c r="P68">
        <v>0.39454382463013798</v>
      </c>
      <c r="T68" s="1">
        <v>40969</v>
      </c>
      <c r="U68">
        <v>1.2492791648645001</v>
      </c>
      <c r="V68">
        <v>0.81440931189631205</v>
      </c>
    </row>
    <row r="69" spans="2:22" x14ac:dyDescent="0.25">
      <c r="B69" s="1">
        <v>41000</v>
      </c>
      <c r="C69">
        <v>1.0047982660203301</v>
      </c>
      <c r="D69">
        <v>0.38067124054316898</v>
      </c>
      <c r="H69" s="1">
        <v>42186</v>
      </c>
      <c r="I69">
        <v>-0.90788091060534604</v>
      </c>
      <c r="J69">
        <v>-0.18008083334260599</v>
      </c>
      <c r="N69" s="1">
        <v>41000</v>
      </c>
      <c r="O69">
        <v>1.0515920804038099</v>
      </c>
      <c r="P69">
        <v>0.39377468455267101</v>
      </c>
      <c r="T69" s="1">
        <v>41000</v>
      </c>
      <c r="U69">
        <v>1.2179423893264001</v>
      </c>
      <c r="V69">
        <v>0.87740442164135102</v>
      </c>
    </row>
    <row r="70" spans="2:22" x14ac:dyDescent="0.25">
      <c r="B70" s="1">
        <v>41030</v>
      </c>
      <c r="C70">
        <v>1.0718712527787999</v>
      </c>
      <c r="D70">
        <v>0.31524549492187698</v>
      </c>
      <c r="H70" s="1">
        <v>42217</v>
      </c>
      <c r="I70">
        <v>-0.92762615078093003</v>
      </c>
      <c r="J70">
        <v>-1.8419984728306998E-2</v>
      </c>
      <c r="N70" s="1">
        <v>41030</v>
      </c>
      <c r="O70">
        <v>1.12309667260476</v>
      </c>
      <c r="P70">
        <v>0.32934870023963903</v>
      </c>
      <c r="T70" s="1">
        <v>41030</v>
      </c>
      <c r="U70">
        <v>1.31061130400258</v>
      </c>
      <c r="V70">
        <v>0.85781752100042596</v>
      </c>
    </row>
    <row r="71" spans="2:22" x14ac:dyDescent="0.25">
      <c r="B71" s="1">
        <v>41061</v>
      </c>
      <c r="C71">
        <v>1.1717705508287499</v>
      </c>
      <c r="D71">
        <v>0.42652766103713102</v>
      </c>
      <c r="H71" s="1">
        <v>42248</v>
      </c>
      <c r="I71">
        <v>-0.70268400264237396</v>
      </c>
      <c r="J71">
        <v>1.6391010732871001E-2</v>
      </c>
      <c r="N71" s="1">
        <v>41061</v>
      </c>
      <c r="O71">
        <v>1.2278780489883601</v>
      </c>
      <c r="P71">
        <v>0.441970157502104</v>
      </c>
      <c r="T71" s="1">
        <v>41061</v>
      </c>
      <c r="U71">
        <v>1.44446663189519</v>
      </c>
      <c r="V71">
        <v>1.0209004000240001</v>
      </c>
    </row>
    <row r="72" spans="2:22" x14ac:dyDescent="0.25">
      <c r="B72" s="1">
        <v>41091</v>
      </c>
      <c r="C72">
        <v>1.2494388073898699</v>
      </c>
      <c r="D72">
        <v>0.75604467338354098</v>
      </c>
      <c r="H72" s="1">
        <v>42278</v>
      </c>
      <c r="I72">
        <v>-0.68327032543004995</v>
      </c>
      <c r="J72">
        <v>0.1189194961734</v>
      </c>
      <c r="N72" s="1">
        <v>41091</v>
      </c>
      <c r="O72">
        <v>1.3347600830028099</v>
      </c>
      <c r="P72">
        <v>0.78986662049804202</v>
      </c>
      <c r="T72" s="1">
        <v>41091</v>
      </c>
      <c r="U72">
        <v>1.5190633113910701</v>
      </c>
      <c r="V72">
        <v>1.46839563417269</v>
      </c>
    </row>
    <row r="73" spans="2:22" x14ac:dyDescent="0.25">
      <c r="B73" s="1">
        <v>41122</v>
      </c>
      <c r="C73">
        <v>1.3327279436491</v>
      </c>
      <c r="D73">
        <v>0.68758812812921499</v>
      </c>
      <c r="H73" s="1">
        <v>42309</v>
      </c>
      <c r="I73">
        <v>-0.577362872097684</v>
      </c>
      <c r="J73">
        <v>-1.4653658847861E-2</v>
      </c>
      <c r="N73" s="1">
        <v>41122</v>
      </c>
      <c r="O73">
        <v>1.4307581635423801</v>
      </c>
      <c r="P73">
        <v>0.72535610473876</v>
      </c>
      <c r="T73" s="1">
        <v>41122</v>
      </c>
      <c r="U73">
        <v>1.57537514121321</v>
      </c>
      <c r="V73">
        <v>1.38184933483196</v>
      </c>
    </row>
    <row r="74" spans="2:22" x14ac:dyDescent="0.25">
      <c r="B74" s="1">
        <v>41153</v>
      </c>
      <c r="C74">
        <v>1.2567065943567799</v>
      </c>
      <c r="D74">
        <v>0.73996425898076701</v>
      </c>
      <c r="H74" s="1">
        <v>42339</v>
      </c>
      <c r="I74">
        <v>-0.74262310847500901</v>
      </c>
      <c r="J74">
        <v>-5.0860721199827E-2</v>
      </c>
      <c r="N74" s="1">
        <v>41153</v>
      </c>
      <c r="O74">
        <v>1.3660403093261799</v>
      </c>
      <c r="P74">
        <v>0.78076090700790401</v>
      </c>
      <c r="T74" s="1">
        <v>41153</v>
      </c>
      <c r="U74">
        <v>1.45735058782931</v>
      </c>
      <c r="V74">
        <v>1.39969826710221</v>
      </c>
    </row>
    <row r="75" spans="2:22" x14ac:dyDescent="0.25">
      <c r="B75" s="1">
        <v>41183</v>
      </c>
      <c r="C75">
        <v>1.3174519188590801</v>
      </c>
      <c r="D75">
        <v>0.81948939009375399</v>
      </c>
      <c r="H75" s="1">
        <v>42370</v>
      </c>
      <c r="I75">
        <v>-0.75340895345294501</v>
      </c>
      <c r="J75">
        <v>6.4410027787123E-2</v>
      </c>
      <c r="N75" s="1">
        <v>41183</v>
      </c>
      <c r="O75">
        <v>1.4385576716336499</v>
      </c>
      <c r="P75">
        <v>0.864305920034251</v>
      </c>
      <c r="T75" s="1">
        <v>41183</v>
      </c>
      <c r="U75">
        <v>1.4911460894972</v>
      </c>
      <c r="V75">
        <v>1.452460918771</v>
      </c>
    </row>
    <row r="76" spans="2:22" x14ac:dyDescent="0.25">
      <c r="B76" s="1">
        <v>41214</v>
      </c>
      <c r="C76">
        <v>1.3600492417264001</v>
      </c>
      <c r="D76">
        <v>0.76606178281894299</v>
      </c>
      <c r="H76" s="1">
        <v>42401</v>
      </c>
      <c r="I76">
        <v>-0.65890513400486606</v>
      </c>
      <c r="J76">
        <v>0.25263084950454201</v>
      </c>
      <c r="N76" s="1">
        <v>41214</v>
      </c>
      <c r="O76">
        <v>1.4894903535689801</v>
      </c>
      <c r="P76">
        <v>0.81357120951937401</v>
      </c>
      <c r="T76" s="1">
        <v>41214</v>
      </c>
      <c r="U76">
        <v>1.4923513339665899</v>
      </c>
      <c r="V76">
        <v>1.3604513847048401</v>
      </c>
    </row>
    <row r="77" spans="2:22" x14ac:dyDescent="0.25">
      <c r="B77" s="1">
        <v>41244</v>
      </c>
      <c r="C77">
        <v>1.32031914911356</v>
      </c>
      <c r="D77">
        <v>0.70537442157874697</v>
      </c>
      <c r="H77" s="1">
        <v>42430</v>
      </c>
      <c r="I77">
        <v>-0.42988824714405199</v>
      </c>
      <c r="J77">
        <v>0.28011627192768901</v>
      </c>
      <c r="N77" s="1">
        <v>41244</v>
      </c>
      <c r="O77">
        <v>1.45969748581557</v>
      </c>
      <c r="P77">
        <v>0.75585447303173403</v>
      </c>
      <c r="T77" s="1">
        <v>41244</v>
      </c>
      <c r="U77">
        <v>1.41319206094571</v>
      </c>
      <c r="V77">
        <v>1.2625944953830599</v>
      </c>
    </row>
    <row r="78" spans="2:22" x14ac:dyDescent="0.25">
      <c r="B78" s="1">
        <v>41275</v>
      </c>
      <c r="C78">
        <v>1.2923644295755501</v>
      </c>
      <c r="D78">
        <v>0.60985282943468899</v>
      </c>
      <c r="N78" s="1">
        <v>41275</v>
      </c>
      <c r="O78">
        <v>1.4373258771303601</v>
      </c>
      <c r="P78">
        <v>0.661031889962164</v>
      </c>
      <c r="T78" s="1">
        <v>41275</v>
      </c>
      <c r="U78">
        <v>1.3675157989675999</v>
      </c>
      <c r="V78">
        <v>1.1584770650818199</v>
      </c>
    </row>
    <row r="79" spans="2:22" x14ac:dyDescent="0.25">
      <c r="B79" s="1">
        <v>41306</v>
      </c>
      <c r="C79">
        <v>1.1736490367277601</v>
      </c>
      <c r="D79">
        <v>0.42524990899698101</v>
      </c>
      <c r="N79" s="1">
        <v>41306</v>
      </c>
      <c r="O79">
        <v>1.3251579540013201</v>
      </c>
      <c r="P79">
        <v>0.47770629224675598</v>
      </c>
      <c r="T79" s="1">
        <v>41306</v>
      </c>
      <c r="U79">
        <v>1.2274176551509901</v>
      </c>
      <c r="V79">
        <v>0.95978135357102601</v>
      </c>
    </row>
    <row r="80" spans="2:22" x14ac:dyDescent="0.25">
      <c r="B80" s="1">
        <v>41334</v>
      </c>
      <c r="C80">
        <v>0.98106067259798002</v>
      </c>
      <c r="D80">
        <v>0.36505250134717798</v>
      </c>
      <c r="N80" s="1">
        <v>41334</v>
      </c>
      <c r="O80">
        <v>1.1383960963444599</v>
      </c>
      <c r="P80">
        <v>0.41799148527047703</v>
      </c>
      <c r="T80" s="1">
        <v>41334</v>
      </c>
      <c r="U80">
        <v>1.0016565533330599</v>
      </c>
      <c r="V80">
        <v>0.87425658851413302</v>
      </c>
    </row>
    <row r="81" spans="2:22" x14ac:dyDescent="0.25">
      <c r="B81" s="1">
        <v>41365</v>
      </c>
      <c r="C81">
        <v>0.91836336062047197</v>
      </c>
      <c r="D81">
        <v>0.42638443497179301</v>
      </c>
      <c r="N81" s="1">
        <v>41365</v>
      </c>
      <c r="O81">
        <v>1.0805235423835999</v>
      </c>
      <c r="P81">
        <v>0.479026193416973</v>
      </c>
      <c r="T81" s="1">
        <v>41365</v>
      </c>
      <c r="U81">
        <v>0.88984656428818298</v>
      </c>
      <c r="V81">
        <v>0.92714684878648401</v>
      </c>
    </row>
    <row r="82" spans="2:22" x14ac:dyDescent="0.25">
      <c r="B82" s="1">
        <v>41395</v>
      </c>
      <c r="C82">
        <v>1.00167154921455</v>
      </c>
      <c r="D82">
        <v>0.23858632748210601</v>
      </c>
      <c r="N82" s="1">
        <v>41395</v>
      </c>
      <c r="O82">
        <v>1.16793886161098</v>
      </c>
      <c r="P82">
        <v>0.29133997761080199</v>
      </c>
      <c r="T82" s="1">
        <v>41395</v>
      </c>
      <c r="U82">
        <v>0.89161469126951698</v>
      </c>
      <c r="V82">
        <v>0.73215886136977004</v>
      </c>
    </row>
    <row r="83" spans="2:22" x14ac:dyDescent="0.25">
      <c r="B83" s="1">
        <v>41426</v>
      </c>
      <c r="C83">
        <v>0.89952182356771804</v>
      </c>
      <c r="D83">
        <v>-0.336670226188926</v>
      </c>
      <c r="N83" s="1">
        <v>41426</v>
      </c>
      <c r="O83">
        <v>1.0678903284024399</v>
      </c>
      <c r="P83">
        <v>-0.28517484687295402</v>
      </c>
      <c r="T83" s="1">
        <v>41426</v>
      </c>
      <c r="U83">
        <v>0.76723797088811596</v>
      </c>
      <c r="V83">
        <v>0.188540154496319</v>
      </c>
    </row>
    <row r="84" spans="2:22" x14ac:dyDescent="0.25">
      <c r="B84" s="1">
        <v>41456</v>
      </c>
      <c r="C84">
        <v>0.31734554010181198</v>
      </c>
      <c r="D84">
        <v>-0.70143465816226103</v>
      </c>
      <c r="N84" s="1">
        <v>41456</v>
      </c>
      <c r="O84">
        <v>0.485398980698517</v>
      </c>
      <c r="P84">
        <v>-0.65244584333325994</v>
      </c>
      <c r="T84" s="1">
        <v>41456</v>
      </c>
      <c r="U84">
        <v>0.14023388184860699</v>
      </c>
      <c r="V84">
        <v>-0.19889173457418299</v>
      </c>
    </row>
    <row r="85" spans="2:22" x14ac:dyDescent="0.25">
      <c r="B85" s="1">
        <v>41487</v>
      </c>
      <c r="C85">
        <v>-3.6426963035098001E-2</v>
      </c>
      <c r="D85">
        <v>-0.84155311809106403</v>
      </c>
      <c r="N85" s="1">
        <v>41487</v>
      </c>
      <c r="O85">
        <v>0.14749602627095201</v>
      </c>
      <c r="P85">
        <v>-0.79487087894736597</v>
      </c>
      <c r="T85" s="1">
        <v>41487</v>
      </c>
      <c r="U85">
        <v>-0.23497669619383699</v>
      </c>
      <c r="V85">
        <v>-0.35284493950285101</v>
      </c>
    </row>
    <row r="86" spans="2:22" x14ac:dyDescent="0.25">
      <c r="B86" s="1">
        <v>41518</v>
      </c>
      <c r="C86">
        <v>-0.15500939538182301</v>
      </c>
      <c r="D86">
        <v>-0.89673742483188301</v>
      </c>
      <c r="N86" s="1">
        <v>41518</v>
      </c>
      <c r="O86">
        <v>2.6324460141781299E-2</v>
      </c>
      <c r="P86">
        <v>-0.85248937319084905</v>
      </c>
      <c r="T86" s="1">
        <v>41518</v>
      </c>
      <c r="U86">
        <v>-0.37638014184963298</v>
      </c>
      <c r="V86">
        <v>-0.41690336512236797</v>
      </c>
    </row>
    <row r="87" spans="2:22" x14ac:dyDescent="0.25">
      <c r="B87" s="1">
        <v>41548</v>
      </c>
      <c r="C87">
        <v>-0.195630316087643</v>
      </c>
      <c r="D87">
        <v>-0.58439384025666397</v>
      </c>
      <c r="N87" s="1">
        <v>41548</v>
      </c>
      <c r="O87">
        <v>-1.4643423114694701E-2</v>
      </c>
      <c r="P87">
        <v>-0.54198366896986605</v>
      </c>
      <c r="T87" s="1">
        <v>41548</v>
      </c>
      <c r="U87">
        <v>-0.438248032920313</v>
      </c>
      <c r="V87">
        <v>-0.13030860498397301</v>
      </c>
    </row>
    <row r="88" spans="2:22" x14ac:dyDescent="0.25">
      <c r="B88" s="1">
        <v>41579</v>
      </c>
      <c r="C88">
        <v>8.7929469189171994E-2</v>
      </c>
      <c r="D88">
        <v>-0.60892469640996605</v>
      </c>
      <c r="N88" s="1">
        <v>41579</v>
      </c>
      <c r="O88">
        <v>0.267832236804318</v>
      </c>
      <c r="P88">
        <v>-0.56786287833965399</v>
      </c>
      <c r="T88" s="1">
        <v>41579</v>
      </c>
      <c r="U88">
        <v>-0.17152263641851001</v>
      </c>
      <c r="V88">
        <v>-0.17235481034674799</v>
      </c>
    </row>
    <row r="89" spans="2:22" x14ac:dyDescent="0.25">
      <c r="B89" s="1">
        <v>41609</v>
      </c>
      <c r="C89">
        <v>-1.4976311259342699E-2</v>
      </c>
      <c r="D89">
        <v>-0.82097947348460099</v>
      </c>
      <c r="N89" s="1">
        <v>41609</v>
      </c>
      <c r="O89">
        <v>0.16178110338325499</v>
      </c>
      <c r="P89">
        <v>-0.78118353261421702</v>
      </c>
      <c r="T89" s="1">
        <v>41609</v>
      </c>
      <c r="U89">
        <v>-0.302435193079992</v>
      </c>
      <c r="V89">
        <v>-0.39131860714037497</v>
      </c>
    </row>
    <row r="90" spans="2:22" x14ac:dyDescent="0.25">
      <c r="B90" s="1">
        <v>41640</v>
      </c>
      <c r="C90">
        <v>-0.204575317430124</v>
      </c>
      <c r="D90">
        <v>-0.77490110291668601</v>
      </c>
      <c r="N90" s="1">
        <v>41640</v>
      </c>
      <c r="O90">
        <v>-3.055233214286E-2</v>
      </c>
      <c r="P90">
        <v>-0.73636407646655</v>
      </c>
      <c r="T90" s="1">
        <v>41640</v>
      </c>
      <c r="U90">
        <v>-0.495133207729122</v>
      </c>
      <c r="V90">
        <v>-0.344420649109901</v>
      </c>
    </row>
    <row r="91" spans="2:22" x14ac:dyDescent="0.25">
      <c r="B91" s="1">
        <v>41671</v>
      </c>
      <c r="C91">
        <v>-0.20378673050587201</v>
      </c>
      <c r="D91">
        <v>-0.59449398480335003</v>
      </c>
      <c r="N91" s="1">
        <v>41671</v>
      </c>
      <c r="O91">
        <v>-3.2017366674730298E-2</v>
      </c>
      <c r="P91">
        <v>-0.55724022122612404</v>
      </c>
      <c r="T91" s="1">
        <v>41671</v>
      </c>
      <c r="U91">
        <v>-0.49818640879425502</v>
      </c>
      <c r="V91">
        <v>-0.16354307324411399</v>
      </c>
    </row>
    <row r="92" spans="2:22" x14ac:dyDescent="0.25">
      <c r="B92" s="1">
        <v>41699</v>
      </c>
      <c r="C92">
        <v>-7.3727388408788397E-2</v>
      </c>
      <c r="D92">
        <v>-0.59197876545238604</v>
      </c>
      <c r="N92" s="1">
        <v>41699</v>
      </c>
      <c r="O92">
        <v>9.5886102252205702E-2</v>
      </c>
      <c r="P92">
        <v>-0.55579208478189102</v>
      </c>
      <c r="T92" s="1">
        <v>41699</v>
      </c>
      <c r="U92">
        <v>-0.36724442205045998</v>
      </c>
      <c r="V92">
        <v>-0.155026682441853</v>
      </c>
    </row>
    <row r="93" spans="2:22" x14ac:dyDescent="0.25">
      <c r="B93" s="1">
        <v>41730</v>
      </c>
      <c r="C93">
        <v>-7.8517056663176196E-2</v>
      </c>
      <c r="D93">
        <v>-0.61163854289629704</v>
      </c>
      <c r="N93" s="1">
        <v>41730</v>
      </c>
      <c r="O93">
        <v>8.9431503220627595E-2</v>
      </c>
      <c r="P93">
        <v>-0.57625054554802702</v>
      </c>
      <c r="T93" s="1">
        <v>41730</v>
      </c>
      <c r="U93">
        <v>-0.39536601018547202</v>
      </c>
      <c r="V93">
        <v>-0.122625955816933</v>
      </c>
    </row>
    <row r="94" spans="2:22" x14ac:dyDescent="0.25">
      <c r="B94" s="1">
        <v>41760</v>
      </c>
      <c r="C94">
        <v>-6.0530522993305101E-2</v>
      </c>
      <c r="D94">
        <v>-0.458310666336535</v>
      </c>
      <c r="N94" s="1">
        <v>41760</v>
      </c>
      <c r="O94">
        <v>0.10505337769368001</v>
      </c>
      <c r="P94">
        <v>-0.42384635996538</v>
      </c>
      <c r="T94" s="1">
        <v>41760</v>
      </c>
      <c r="U94">
        <v>-0.36971468281989101</v>
      </c>
      <c r="V94">
        <v>4.8439180470666997E-2</v>
      </c>
    </row>
    <row r="95" spans="2:22" x14ac:dyDescent="0.25">
      <c r="B95" s="1">
        <v>41791</v>
      </c>
      <c r="C95">
        <v>0.13335561030463799</v>
      </c>
      <c r="D95">
        <v>-0.40986700904670798</v>
      </c>
      <c r="N95" s="1">
        <v>41791</v>
      </c>
      <c r="O95">
        <v>0.29496121942884201</v>
      </c>
      <c r="P95">
        <v>-0.37627996291537902</v>
      </c>
      <c r="T95" s="1">
        <v>41791</v>
      </c>
      <c r="U95">
        <v>-0.20585538281246299</v>
      </c>
      <c r="V95">
        <v>0.103121342249322</v>
      </c>
    </row>
    <row r="96" spans="2:22" x14ac:dyDescent="0.25">
      <c r="B96" s="1">
        <v>41821</v>
      </c>
      <c r="C96">
        <v>0.15225451967078299</v>
      </c>
      <c r="D96">
        <v>-0.41232500690801499</v>
      </c>
      <c r="N96" s="1">
        <v>41821</v>
      </c>
      <c r="O96">
        <v>0.31075046908216702</v>
      </c>
      <c r="P96">
        <v>-0.37954471894432501</v>
      </c>
      <c r="T96" s="1">
        <v>41821</v>
      </c>
      <c r="U96">
        <v>-0.19700966383448101</v>
      </c>
      <c r="V96">
        <v>9.6673810938530003E-2</v>
      </c>
    </row>
    <row r="97" spans="2:22" x14ac:dyDescent="0.25">
      <c r="B97" s="1">
        <v>41852</v>
      </c>
      <c r="C97">
        <v>0.17206720829309499</v>
      </c>
      <c r="D97">
        <v>-0.41978906844918201</v>
      </c>
      <c r="N97" s="1">
        <v>41852</v>
      </c>
      <c r="O97">
        <v>0.32732409380286998</v>
      </c>
      <c r="P97">
        <v>-0.38780706878334098</v>
      </c>
      <c r="T97" s="1">
        <v>41852</v>
      </c>
      <c r="U97">
        <v>-0.190559984540522</v>
      </c>
      <c r="V97">
        <v>8.0890420217385003E-2</v>
      </c>
    </row>
    <row r="98" spans="2:22" x14ac:dyDescent="0.25">
      <c r="B98" s="1">
        <v>41883</v>
      </c>
      <c r="C98">
        <v>0.19141301811054701</v>
      </c>
      <c r="D98">
        <v>-0.47504841354218602</v>
      </c>
      <c r="N98" s="1">
        <v>41883</v>
      </c>
      <c r="O98">
        <v>0.34236257847569301</v>
      </c>
      <c r="P98">
        <v>-0.444243405579822</v>
      </c>
      <c r="T98" s="1">
        <v>41883</v>
      </c>
      <c r="U98">
        <v>-0.18545491336662601</v>
      </c>
      <c r="V98">
        <v>1.6223423037522999E-2</v>
      </c>
    </row>
    <row r="99" spans="2:22" x14ac:dyDescent="0.25">
      <c r="B99" s="1">
        <v>41913</v>
      </c>
      <c r="C99">
        <v>0.155318380268305</v>
      </c>
      <c r="D99">
        <v>-0.341602756772455</v>
      </c>
      <c r="N99" s="1">
        <v>41913</v>
      </c>
      <c r="O99">
        <v>0.30311220796231603</v>
      </c>
      <c r="P99">
        <v>-0.31180332554678097</v>
      </c>
      <c r="T99" s="1">
        <v>41913</v>
      </c>
      <c r="U99">
        <v>-0.21606289410572899</v>
      </c>
      <c r="V99">
        <v>0.146540928541886</v>
      </c>
    </row>
    <row r="100" spans="2:22" x14ac:dyDescent="0.25">
      <c r="B100" s="1">
        <v>41944</v>
      </c>
      <c r="C100">
        <v>0.277997134481411</v>
      </c>
      <c r="D100">
        <v>-0.30231761700020299</v>
      </c>
      <c r="N100" s="1">
        <v>41944</v>
      </c>
      <c r="O100">
        <v>0.42275960777015098</v>
      </c>
      <c r="P100">
        <v>-0.27341005029172299</v>
      </c>
      <c r="T100" s="1">
        <v>41944</v>
      </c>
      <c r="U100">
        <v>-0.10002284148092</v>
      </c>
      <c r="V100">
        <v>0.17803697835836599</v>
      </c>
    </row>
    <row r="101" spans="2:22" x14ac:dyDescent="0.25">
      <c r="B101" s="1">
        <v>41974</v>
      </c>
      <c r="C101">
        <v>0.30307039491404297</v>
      </c>
      <c r="D101">
        <v>-0.20684596938778299</v>
      </c>
      <c r="N101" s="1">
        <v>41974</v>
      </c>
      <c r="O101">
        <v>0.44510455044444303</v>
      </c>
      <c r="P101">
        <v>-0.17881363328866801</v>
      </c>
      <c r="T101" s="1">
        <v>41974</v>
      </c>
      <c r="U101">
        <v>-7.8727708967870902E-2</v>
      </c>
      <c r="V101">
        <v>0.26571149688418</v>
      </c>
    </row>
    <row r="102" spans="2:22" x14ac:dyDescent="0.25">
      <c r="B102" s="1">
        <v>42005</v>
      </c>
      <c r="C102">
        <v>0.45293584986479102</v>
      </c>
      <c r="D102">
        <v>-2.8478187069259999E-2</v>
      </c>
      <c r="N102" s="1">
        <v>42005</v>
      </c>
      <c r="O102">
        <v>0.59239752548798397</v>
      </c>
      <c r="P102">
        <v>-1.199939631296E-3</v>
      </c>
      <c r="T102" s="1">
        <v>42005</v>
      </c>
      <c r="U102">
        <v>0.16062940918027199</v>
      </c>
      <c r="V102">
        <v>0.43724095777847399</v>
      </c>
    </row>
    <row r="103" spans="2:22" x14ac:dyDescent="0.25">
      <c r="B103" s="1">
        <v>42036</v>
      </c>
      <c r="C103">
        <v>0.62564957766429596</v>
      </c>
      <c r="D103">
        <v>0.33190352712056997</v>
      </c>
      <c r="N103" s="1">
        <v>42036</v>
      </c>
      <c r="O103">
        <v>0.76223425940752598</v>
      </c>
      <c r="P103">
        <v>0.35431305959401599</v>
      </c>
      <c r="T103" s="1">
        <v>42036</v>
      </c>
      <c r="U103">
        <v>0.320175292800366</v>
      </c>
      <c r="V103">
        <v>0.79858079715020103</v>
      </c>
    </row>
    <row r="104" spans="2:22" x14ac:dyDescent="0.25">
      <c r="B104" s="1">
        <v>42064</v>
      </c>
      <c r="C104">
        <v>0.57908112065776696</v>
      </c>
      <c r="D104">
        <v>0.237274093419269</v>
      </c>
      <c r="N104" s="1">
        <v>42064</v>
      </c>
      <c r="O104">
        <v>0.71201159766567002</v>
      </c>
      <c r="P104">
        <v>0.25899194417453197</v>
      </c>
      <c r="T104" s="1">
        <v>42064</v>
      </c>
      <c r="U104">
        <v>0.24996194448634601</v>
      </c>
      <c r="V104">
        <v>0.68724579109452399</v>
      </c>
    </row>
    <row r="105" spans="2:22" x14ac:dyDescent="0.25">
      <c r="B105" s="1">
        <v>42095</v>
      </c>
      <c r="C105">
        <v>0.53502203749737498</v>
      </c>
      <c r="D105">
        <v>0.32635926809543497</v>
      </c>
      <c r="N105" s="1">
        <v>42095</v>
      </c>
      <c r="O105">
        <v>0.66377523440585795</v>
      </c>
      <c r="P105">
        <v>0.347410939211727</v>
      </c>
      <c r="T105" s="1">
        <v>42095</v>
      </c>
      <c r="U105">
        <v>0.17011925407342501</v>
      </c>
      <c r="V105">
        <v>0.74850148467866195</v>
      </c>
    </row>
    <row r="106" spans="2:22" x14ac:dyDescent="0.25">
      <c r="B106" s="1">
        <v>42125</v>
      </c>
      <c r="C106">
        <v>0.62627384150821996</v>
      </c>
      <c r="D106">
        <v>7.0012367606679005E-2</v>
      </c>
      <c r="N106" s="1">
        <v>42125</v>
      </c>
      <c r="O106">
        <v>0.74959353560154995</v>
      </c>
      <c r="P106">
        <v>8.9717214061719994E-2</v>
      </c>
      <c r="T106" s="1">
        <v>42125</v>
      </c>
      <c r="U106">
        <v>0.16425793495383001</v>
      </c>
      <c r="V106">
        <v>0.42714300034900199</v>
      </c>
    </row>
    <row r="107" spans="2:22" x14ac:dyDescent="0.25">
      <c r="B107" s="1">
        <v>42156</v>
      </c>
      <c r="C107">
        <v>0.456554457452157</v>
      </c>
      <c r="D107">
        <v>-7.8212706952258002E-2</v>
      </c>
      <c r="N107" s="1">
        <v>42156</v>
      </c>
      <c r="O107">
        <v>0.57437328801645704</v>
      </c>
      <c r="P107">
        <v>-5.9491729826188999E-2</v>
      </c>
      <c r="T107" s="1">
        <v>42156</v>
      </c>
      <c r="U107">
        <v>-0.10716619103494</v>
      </c>
      <c r="V107">
        <v>0.217760390593981</v>
      </c>
    </row>
    <row r="108" spans="2:22" x14ac:dyDescent="0.25">
      <c r="B108" s="1">
        <v>42186</v>
      </c>
      <c r="C108">
        <v>0.29838195606150703</v>
      </c>
      <c r="D108">
        <v>-0.16638646623852199</v>
      </c>
      <c r="N108" s="1">
        <v>42186</v>
      </c>
      <c r="O108">
        <v>0.41216865476373898</v>
      </c>
      <c r="P108">
        <v>-0.14866036364771601</v>
      </c>
      <c r="T108" s="1">
        <v>42186</v>
      </c>
      <c r="U108">
        <v>-0.29455780146528598</v>
      </c>
      <c r="V108">
        <v>0.104601292949578</v>
      </c>
    </row>
    <row r="109" spans="2:22" x14ac:dyDescent="0.25">
      <c r="B109" s="1">
        <v>42217</v>
      </c>
      <c r="C109">
        <v>0.23967782149857</v>
      </c>
      <c r="D109">
        <v>-1.5233273374372001E-2</v>
      </c>
      <c r="N109" s="1">
        <v>42217</v>
      </c>
      <c r="O109">
        <v>0.34956414836794902</v>
      </c>
      <c r="P109">
        <v>1.641690929018E-3</v>
      </c>
      <c r="T109" s="1">
        <v>42217</v>
      </c>
      <c r="U109">
        <v>-0.37993628034021698</v>
      </c>
      <c r="V109">
        <v>0.234175675352119</v>
      </c>
    </row>
    <row r="110" spans="2:22" x14ac:dyDescent="0.25">
      <c r="B110" s="1">
        <v>42248</v>
      </c>
      <c r="C110">
        <v>0.385812362191153</v>
      </c>
      <c r="D110">
        <v>1.3037133957084999E-2</v>
      </c>
      <c r="N110" s="1">
        <v>42248</v>
      </c>
      <c r="O110">
        <v>0.49052474590259998</v>
      </c>
      <c r="P110">
        <v>2.9292446331154E-2</v>
      </c>
      <c r="T110" s="1">
        <v>42248</v>
      </c>
      <c r="U110">
        <v>-0.19373725874706199</v>
      </c>
      <c r="V110">
        <v>0.260801093094156</v>
      </c>
    </row>
    <row r="111" spans="2:22" x14ac:dyDescent="0.25">
      <c r="B111" s="1">
        <v>42278</v>
      </c>
      <c r="C111">
        <v>0.395561916691619</v>
      </c>
      <c r="D111">
        <v>0.111898425719198</v>
      </c>
      <c r="N111" s="1">
        <v>42278</v>
      </c>
      <c r="O111">
        <v>0.49768762723285798</v>
      </c>
      <c r="P111">
        <v>0.127587853401263</v>
      </c>
      <c r="T111" s="1">
        <v>42278</v>
      </c>
      <c r="U111">
        <v>-0.137063085283161</v>
      </c>
      <c r="V111">
        <v>0.382470349832917</v>
      </c>
    </row>
    <row r="112" spans="2:22" x14ac:dyDescent="0.25">
      <c r="B112" s="1">
        <v>42309</v>
      </c>
      <c r="C112">
        <v>0.49186892783148001</v>
      </c>
      <c r="D112">
        <v>-2.6064527033251999E-2</v>
      </c>
      <c r="N112" s="1">
        <v>42309</v>
      </c>
      <c r="O112">
        <v>0.59122611373662504</v>
      </c>
      <c r="P112">
        <v>-1.0983757518265001E-2</v>
      </c>
      <c r="T112" s="1">
        <v>42309</v>
      </c>
      <c r="U112">
        <v>-1.4840978624518201E-2</v>
      </c>
      <c r="V112">
        <v>0.25998062379946901</v>
      </c>
    </row>
    <row r="113" spans="2:22" x14ac:dyDescent="0.25">
      <c r="B113" s="1">
        <v>42339</v>
      </c>
      <c r="C113">
        <v>0.31794556000302299</v>
      </c>
      <c r="D113">
        <v>-6.6449803807671001E-2</v>
      </c>
      <c r="N113" s="1">
        <v>42339</v>
      </c>
      <c r="O113">
        <v>0.414800880977786</v>
      </c>
      <c r="P113">
        <v>-5.1879780998967E-2</v>
      </c>
      <c r="T113" s="1">
        <v>42339</v>
      </c>
      <c r="U113">
        <v>-0.17705693467389499</v>
      </c>
      <c r="V113">
        <v>0.22729686148782199</v>
      </c>
    </row>
    <row r="114" spans="2:22" x14ac:dyDescent="0.25">
      <c r="B114" s="1">
        <v>42370</v>
      </c>
      <c r="C114">
        <v>0.29780360162276598</v>
      </c>
      <c r="D114">
        <v>4.4628813783748E-2</v>
      </c>
      <c r="N114" s="1">
        <v>42370</v>
      </c>
      <c r="O114">
        <v>0.39236832974649</v>
      </c>
      <c r="P114">
        <v>5.8648861484855E-2</v>
      </c>
      <c r="T114" s="1">
        <v>42370</v>
      </c>
      <c r="U114">
        <v>-0.18116034332601899</v>
      </c>
      <c r="V114">
        <v>0.34504916062656599</v>
      </c>
    </row>
    <row r="115" spans="2:22" x14ac:dyDescent="0.25">
      <c r="B115" s="1">
        <v>42401</v>
      </c>
      <c r="C115">
        <v>0.38385988582521702</v>
      </c>
      <c r="D115">
        <v>0.228980910501797</v>
      </c>
      <c r="N115" s="1">
        <v>42401</v>
      </c>
      <c r="O115">
        <v>0.47643507256125001</v>
      </c>
      <c r="P115">
        <v>0.24248224878711799</v>
      </c>
      <c r="T115" s="1">
        <v>42401</v>
      </c>
      <c r="U115">
        <v>-7.9393370902369198E-2</v>
      </c>
      <c r="V115">
        <v>0.53654265453001004</v>
      </c>
    </row>
    <row r="116" spans="2:22" x14ac:dyDescent="0.25">
      <c r="B116" s="1">
        <v>42430</v>
      </c>
      <c r="C116">
        <v>0.60550966123846595</v>
      </c>
      <c r="D116">
        <v>0.25394172364671302</v>
      </c>
      <c r="N116" s="1">
        <v>42430</v>
      </c>
      <c r="O116">
        <v>0.696146771268769</v>
      </c>
      <c r="P116">
        <v>0.267107715972905</v>
      </c>
      <c r="T116" s="1">
        <v>42430</v>
      </c>
      <c r="U116">
        <v>0.15881463899048501</v>
      </c>
      <c r="V116">
        <v>0.57042319336916802</v>
      </c>
    </row>
  </sheetData>
  <pageMargins left="0.7" right="0.7" top="0.75" bottom="0.75" header="0.3" footer="0.3"/>
  <pageSetup scale="3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6"/>
  <sheetViews>
    <sheetView workbookViewId="0">
      <selection activeCell="W63" sqref="W63"/>
    </sheetView>
  </sheetViews>
  <sheetFormatPr defaultRowHeight="15" x14ac:dyDescent="0.25"/>
  <cols>
    <col min="2" max="2" width="14.5703125" bestFit="1" customWidth="1"/>
    <col min="3" max="3" width="15.28515625" bestFit="1" customWidth="1"/>
    <col min="4" max="7" width="12" bestFit="1" customWidth="1"/>
    <col min="8" max="8" width="12" customWidth="1"/>
    <col min="9" max="9" width="13.7109375" bestFit="1" customWidth="1"/>
    <col min="10" max="10" width="14.42578125" bestFit="1" customWidth="1"/>
  </cols>
  <sheetData>
    <row r="1" spans="1:12" x14ac:dyDescent="0.25">
      <c r="B1" t="s">
        <v>2</v>
      </c>
      <c r="C1" t="s">
        <v>1</v>
      </c>
      <c r="D1" t="s">
        <v>7</v>
      </c>
      <c r="E1" t="s">
        <v>8</v>
      </c>
      <c r="F1" t="s">
        <v>9</v>
      </c>
      <c r="G1" t="s">
        <v>10</v>
      </c>
      <c r="H1" t="s">
        <v>16</v>
      </c>
      <c r="I1" t="s">
        <v>11</v>
      </c>
      <c r="J1" t="s">
        <v>12</v>
      </c>
      <c r="K1" t="s">
        <v>14</v>
      </c>
      <c r="L1" t="s">
        <v>15</v>
      </c>
    </row>
    <row r="2" spans="1:12" x14ac:dyDescent="0.25">
      <c r="A2" s="1">
        <v>38961</v>
      </c>
      <c r="B2">
        <v>0.58082950224969798</v>
      </c>
      <c r="C2">
        <v>0.301997966969349</v>
      </c>
      <c r="D2">
        <v>61.6909050397852</v>
      </c>
      <c r="E2">
        <v>0</v>
      </c>
      <c r="F2">
        <v>63.496402239802002</v>
      </c>
      <c r="G2">
        <f>D2/4+E2</f>
        <v>15.4227262599463</v>
      </c>
      <c r="H2">
        <f>G2-F2</f>
        <v>-48.0736759798557</v>
      </c>
      <c r="I2">
        <v>6.2649999999999997</v>
      </c>
      <c r="J2">
        <v>6.1620889810713102</v>
      </c>
      <c r="K2">
        <f>I2+D2/400+E2/100</f>
        <v>6.4192272625994624</v>
      </c>
      <c r="L2">
        <f>J2+F2/100</f>
        <v>6.7970530034693297</v>
      </c>
    </row>
    <row r="3" spans="1:12" x14ac:dyDescent="0.25">
      <c r="A3" s="1">
        <v>38991</v>
      </c>
      <c r="B3">
        <v>0.72216159213822495</v>
      </c>
      <c r="C3">
        <v>0.37483898793141401</v>
      </c>
      <c r="D3">
        <v>61.538899350790302</v>
      </c>
      <c r="E3">
        <v>0</v>
      </c>
      <c r="F3">
        <v>63.4918307778794</v>
      </c>
      <c r="G3">
        <f t="shared" ref="G3:G66" si="0">D3/4+E3</f>
        <v>15.384724837697576</v>
      </c>
      <c r="H3">
        <f t="shared" ref="H3:H66" si="1">G3-F3</f>
        <v>-48.107105940181825</v>
      </c>
      <c r="I3">
        <v>6.2137500000000001</v>
      </c>
      <c r="J3">
        <v>6.1312537197784298</v>
      </c>
      <c r="K3">
        <f t="shared" ref="K3:K66" si="2">I3+D3/400+E3/100</f>
        <v>6.3675972483769758</v>
      </c>
      <c r="L3">
        <f t="shared" ref="L3:L66" si="3">J3+F3/100</f>
        <v>6.7661720275572241</v>
      </c>
    </row>
    <row r="4" spans="1:12" x14ac:dyDescent="0.25">
      <c r="A4" s="1">
        <v>39022</v>
      </c>
      <c r="B4">
        <v>0.81871674246947701</v>
      </c>
      <c r="C4">
        <v>0.50240260169609896</v>
      </c>
      <c r="D4">
        <v>61.670779123171798</v>
      </c>
      <c r="E4">
        <v>0</v>
      </c>
      <c r="F4">
        <v>63.544697970012997</v>
      </c>
      <c r="G4">
        <f t="shared" si="0"/>
        <v>15.417694780792949</v>
      </c>
      <c r="H4">
        <f t="shared" si="1"/>
        <v>-48.127003189220048</v>
      </c>
      <c r="I4">
        <v>6.11</v>
      </c>
      <c r="J4">
        <v>6.0488380469457796</v>
      </c>
      <c r="K4">
        <f t="shared" si="2"/>
        <v>6.2641769478079299</v>
      </c>
      <c r="L4">
        <f t="shared" si="3"/>
        <v>6.6842850266459095</v>
      </c>
    </row>
    <row r="5" spans="1:12" x14ac:dyDescent="0.25">
      <c r="A5" s="1">
        <v>39052</v>
      </c>
      <c r="B5">
        <v>0.94028018565962002</v>
      </c>
      <c r="C5">
        <v>0.623112217808381</v>
      </c>
      <c r="D5">
        <v>61.690928226228898</v>
      </c>
      <c r="E5">
        <v>0</v>
      </c>
      <c r="F5">
        <v>63.575062657693898</v>
      </c>
      <c r="G5">
        <f t="shared" si="0"/>
        <v>15.422732056557225</v>
      </c>
      <c r="H5">
        <f t="shared" si="1"/>
        <v>-48.152330601136676</v>
      </c>
      <c r="I5">
        <v>5.9912499999999902</v>
      </c>
      <c r="J5">
        <v>5.9457077960301099</v>
      </c>
      <c r="K5">
        <f t="shared" si="2"/>
        <v>6.1454773205655622</v>
      </c>
      <c r="L5">
        <f t="shared" si="3"/>
        <v>6.5814584226070494</v>
      </c>
    </row>
    <row r="6" spans="1:12" x14ac:dyDescent="0.25">
      <c r="A6" s="1">
        <v>39083</v>
      </c>
      <c r="B6">
        <v>1.06815193219821</v>
      </c>
      <c r="C6">
        <v>0.50099828950566305</v>
      </c>
      <c r="D6">
        <v>61.641125265284103</v>
      </c>
      <c r="E6">
        <v>0</v>
      </c>
      <c r="F6">
        <v>63.579596522849599</v>
      </c>
      <c r="G6">
        <f t="shared" si="0"/>
        <v>15.410281316321026</v>
      </c>
      <c r="H6">
        <f t="shared" si="1"/>
        <v>-48.169315206528573</v>
      </c>
      <c r="I6">
        <v>6.0919999999999996</v>
      </c>
      <c r="J6">
        <v>6.0767589808573002</v>
      </c>
      <c r="K6">
        <f t="shared" si="2"/>
        <v>6.2461028131632101</v>
      </c>
      <c r="L6">
        <f t="shared" si="3"/>
        <v>6.7125549460857963</v>
      </c>
    </row>
    <row r="7" spans="1:12" x14ac:dyDescent="0.25">
      <c r="A7" s="1">
        <v>39114</v>
      </c>
      <c r="B7">
        <v>0.97158058242596601</v>
      </c>
      <c r="C7">
        <v>0.479643560988191</v>
      </c>
      <c r="D7">
        <v>61.695520053058701</v>
      </c>
      <c r="E7">
        <v>0</v>
      </c>
      <c r="F7">
        <v>63.617800599463997</v>
      </c>
      <c r="G7">
        <f t="shared" si="0"/>
        <v>15.423880013264675</v>
      </c>
      <c r="H7">
        <f t="shared" si="1"/>
        <v>-48.193920586199326</v>
      </c>
      <c r="I7">
        <v>6.09499999999999</v>
      </c>
      <c r="J7">
        <v>6.1020930707171699</v>
      </c>
      <c r="K7">
        <f t="shared" si="2"/>
        <v>6.2492388001326367</v>
      </c>
      <c r="L7">
        <f t="shared" si="3"/>
        <v>6.7382710767118095</v>
      </c>
    </row>
    <row r="8" spans="1:12" x14ac:dyDescent="0.25">
      <c r="A8" s="1">
        <v>39142</v>
      </c>
      <c r="B8">
        <v>0.973059816627865</v>
      </c>
      <c r="C8">
        <v>0.55836914631255097</v>
      </c>
      <c r="D8">
        <v>61.812047803001299</v>
      </c>
      <c r="E8">
        <v>0</v>
      </c>
      <c r="F8">
        <v>63.639502499853002</v>
      </c>
      <c r="G8">
        <f t="shared" si="0"/>
        <v>15.453011950750325</v>
      </c>
      <c r="H8">
        <f t="shared" si="1"/>
        <v>-48.186490549102679</v>
      </c>
      <c r="I8">
        <v>6.0062499999999996</v>
      </c>
      <c r="J8">
        <v>6.0278230395213797</v>
      </c>
      <c r="K8">
        <f t="shared" si="2"/>
        <v>6.1607801195075025</v>
      </c>
      <c r="L8">
        <f t="shared" si="3"/>
        <v>6.6642180645199094</v>
      </c>
    </row>
    <row r="9" spans="1:12" x14ac:dyDescent="0.25">
      <c r="A9" s="1">
        <v>39173</v>
      </c>
      <c r="B9">
        <v>1.0799382124849299</v>
      </c>
      <c r="C9">
        <v>0.52567414999026196</v>
      </c>
      <c r="D9">
        <v>61.7177048134822</v>
      </c>
      <c r="E9">
        <v>0</v>
      </c>
      <c r="F9">
        <v>63.564464817830299</v>
      </c>
      <c r="G9">
        <f t="shared" si="0"/>
        <v>15.42942620337055</v>
      </c>
      <c r="H9">
        <f t="shared" si="1"/>
        <v>-48.135038614459745</v>
      </c>
      <c r="I9">
        <v>6.0425000000000004</v>
      </c>
      <c r="J9">
        <v>6.0792123305705896</v>
      </c>
      <c r="K9">
        <f t="shared" si="2"/>
        <v>6.1967942620337055</v>
      </c>
      <c r="L9">
        <f t="shared" si="3"/>
        <v>6.7148569787488928</v>
      </c>
    </row>
    <row r="10" spans="1:12" x14ac:dyDescent="0.25">
      <c r="A10" s="1">
        <v>39203</v>
      </c>
      <c r="B10">
        <v>1.0597353319062399</v>
      </c>
      <c r="C10">
        <v>0.456300908873154</v>
      </c>
      <c r="D10">
        <v>62.009842263411699</v>
      </c>
      <c r="E10">
        <v>0</v>
      </c>
      <c r="F10">
        <v>63.6239625736848</v>
      </c>
      <c r="G10">
        <f t="shared" si="0"/>
        <v>15.502460565852925</v>
      </c>
      <c r="H10">
        <f t="shared" si="1"/>
        <v>-48.121502007831879</v>
      </c>
      <c r="I10">
        <v>6.1219999999999999</v>
      </c>
      <c r="J10">
        <v>6.1647180714310004</v>
      </c>
      <c r="K10">
        <f t="shared" si="2"/>
        <v>6.2770246056585295</v>
      </c>
      <c r="L10">
        <f t="shared" si="3"/>
        <v>6.8009576971678483</v>
      </c>
    </row>
    <row r="11" spans="1:12" x14ac:dyDescent="0.25">
      <c r="A11" s="1">
        <v>39234</v>
      </c>
      <c r="B11">
        <v>0.99450148755125301</v>
      </c>
      <c r="C11">
        <v>8.0358494012893994E-2</v>
      </c>
      <c r="D11">
        <v>62.300634790030699</v>
      </c>
      <c r="E11">
        <v>0</v>
      </c>
      <c r="F11">
        <v>63.654359024332003</v>
      </c>
      <c r="G11">
        <f t="shared" si="0"/>
        <v>15.575158697507675</v>
      </c>
      <c r="H11">
        <f t="shared" si="1"/>
        <v>-48.079200326824328</v>
      </c>
      <c r="I11">
        <v>6.5137499999999999</v>
      </c>
      <c r="J11">
        <v>6.55536190179172</v>
      </c>
      <c r="K11">
        <f t="shared" si="2"/>
        <v>6.6695015869750769</v>
      </c>
      <c r="L11">
        <f t="shared" si="3"/>
        <v>7.1919054920350405</v>
      </c>
    </row>
    <row r="12" spans="1:12" x14ac:dyDescent="0.25">
      <c r="A12" s="1">
        <v>39264</v>
      </c>
      <c r="B12">
        <v>0.58209136924615601</v>
      </c>
      <c r="C12">
        <v>4.4799821324579998E-2</v>
      </c>
      <c r="D12">
        <v>62.1936577111627</v>
      </c>
      <c r="E12">
        <v>0</v>
      </c>
      <c r="F12">
        <v>63.603770663852998</v>
      </c>
      <c r="G12">
        <f t="shared" si="0"/>
        <v>15.548414427790675</v>
      </c>
      <c r="H12">
        <f t="shared" si="1"/>
        <v>-48.055356236062323</v>
      </c>
      <c r="I12">
        <v>6.5449999999999999</v>
      </c>
      <c r="J12">
        <v>6.57052693093204</v>
      </c>
      <c r="K12">
        <f t="shared" si="2"/>
        <v>6.7004841442779064</v>
      </c>
      <c r="L12">
        <f t="shared" si="3"/>
        <v>7.2065646375705699</v>
      </c>
    </row>
    <row r="13" spans="1:12" x14ac:dyDescent="0.25">
      <c r="A13" s="1">
        <v>39295</v>
      </c>
      <c r="B13">
        <v>0.53226017990524399</v>
      </c>
      <c r="C13">
        <v>0.17564833622348799</v>
      </c>
      <c r="D13">
        <v>62.3564948255814</v>
      </c>
      <c r="E13">
        <v>0</v>
      </c>
      <c r="F13">
        <v>63.620982679673901</v>
      </c>
      <c r="G13">
        <f t="shared" si="0"/>
        <v>15.58912370639535</v>
      </c>
      <c r="H13">
        <f t="shared" si="1"/>
        <v>-48.031858973278553</v>
      </c>
      <c r="I13">
        <v>6.4219999999999997</v>
      </c>
      <c r="J13">
        <v>6.4213013593210801</v>
      </c>
      <c r="K13">
        <f t="shared" si="2"/>
        <v>6.5778912370639535</v>
      </c>
      <c r="L13">
        <f t="shared" si="3"/>
        <v>7.0575111861178188</v>
      </c>
    </row>
    <row r="14" spans="1:12" x14ac:dyDescent="0.25">
      <c r="A14" s="1">
        <v>39326</v>
      </c>
      <c r="B14">
        <v>0.650149439009436</v>
      </c>
      <c r="C14">
        <v>0.34820485214229902</v>
      </c>
      <c r="D14">
        <v>63.0749640677369</v>
      </c>
      <c r="E14">
        <v>0</v>
      </c>
      <c r="F14">
        <v>63.801961635687597</v>
      </c>
      <c r="G14">
        <f t="shared" si="0"/>
        <v>15.768741016934225</v>
      </c>
      <c r="H14">
        <f t="shared" si="1"/>
        <v>-48.033220618753376</v>
      </c>
      <c r="I14">
        <v>6.2575000000000003</v>
      </c>
      <c r="J14">
        <v>6.24362663972608</v>
      </c>
      <c r="K14">
        <f t="shared" si="2"/>
        <v>6.4151874101693425</v>
      </c>
      <c r="L14">
        <f t="shared" si="3"/>
        <v>6.8816462560829557</v>
      </c>
    </row>
    <row r="15" spans="1:12" x14ac:dyDescent="0.25">
      <c r="A15" s="1">
        <v>39356</v>
      </c>
      <c r="B15">
        <v>0.75894095837056297</v>
      </c>
      <c r="C15">
        <v>0.34770982403353001</v>
      </c>
      <c r="D15">
        <v>62.8588717090853</v>
      </c>
      <c r="E15">
        <v>0</v>
      </c>
      <c r="F15">
        <v>63.8661987168772</v>
      </c>
      <c r="G15">
        <f t="shared" si="0"/>
        <v>15.714717927271325</v>
      </c>
      <c r="H15">
        <f t="shared" si="1"/>
        <v>-48.151480789605877</v>
      </c>
      <c r="I15">
        <v>6.2169999999999996</v>
      </c>
      <c r="J15">
        <v>6.1872736654984397</v>
      </c>
      <c r="K15">
        <f t="shared" si="2"/>
        <v>6.3741471792727129</v>
      </c>
      <c r="L15">
        <f t="shared" si="3"/>
        <v>6.8259356526672121</v>
      </c>
    </row>
    <row r="16" spans="1:12" x14ac:dyDescent="0.25">
      <c r="A16" s="1">
        <v>39387</v>
      </c>
      <c r="B16">
        <v>0.72574554128898705</v>
      </c>
      <c r="C16">
        <v>0.44026266067731001</v>
      </c>
      <c r="D16">
        <v>61.845250989465299</v>
      </c>
      <c r="E16">
        <v>0</v>
      </c>
      <c r="F16">
        <v>63.7935505427766</v>
      </c>
      <c r="G16">
        <f t="shared" si="0"/>
        <v>15.461312747366325</v>
      </c>
      <c r="H16">
        <f t="shared" si="1"/>
        <v>-48.332237795410279</v>
      </c>
      <c r="I16">
        <v>6.0574999999999903</v>
      </c>
      <c r="J16">
        <v>6.0192457499625096</v>
      </c>
      <c r="K16">
        <f t="shared" si="2"/>
        <v>6.2121131274736534</v>
      </c>
      <c r="L16">
        <f t="shared" si="3"/>
        <v>6.6571812553902756</v>
      </c>
    </row>
    <row r="17" spans="1:12" x14ac:dyDescent="0.25">
      <c r="A17" s="1">
        <v>39417</v>
      </c>
      <c r="B17">
        <v>0.78857328037039398</v>
      </c>
      <c r="C17">
        <v>0.44212368643284</v>
      </c>
      <c r="D17">
        <v>61.6326485244943</v>
      </c>
      <c r="E17">
        <v>0</v>
      </c>
      <c r="F17">
        <v>63.8359648828716</v>
      </c>
      <c r="G17">
        <f t="shared" si="0"/>
        <v>15.408162131123575</v>
      </c>
      <c r="H17">
        <f t="shared" si="1"/>
        <v>-48.427802751748025</v>
      </c>
      <c r="I17">
        <v>5.9574999999999996</v>
      </c>
      <c r="J17">
        <v>5.9196618097932303</v>
      </c>
      <c r="K17">
        <f t="shared" si="2"/>
        <v>6.1115816213112355</v>
      </c>
      <c r="L17">
        <f t="shared" si="3"/>
        <v>6.5580214586219459</v>
      </c>
    </row>
    <row r="18" spans="1:12" x14ac:dyDescent="0.25">
      <c r="A18" s="1">
        <v>39448</v>
      </c>
      <c r="B18">
        <v>0.84605580459018004</v>
      </c>
      <c r="C18">
        <v>0.73353273107343098</v>
      </c>
      <c r="D18">
        <v>60.735083765566898</v>
      </c>
      <c r="E18">
        <v>0</v>
      </c>
      <c r="F18">
        <v>63.725628925364298</v>
      </c>
      <c r="G18">
        <f t="shared" si="0"/>
        <v>15.183770941391725</v>
      </c>
      <c r="H18">
        <f t="shared" si="1"/>
        <v>-48.541857983972577</v>
      </c>
      <c r="I18">
        <v>5.6180000000000003</v>
      </c>
      <c r="J18">
        <v>5.5845956573120601</v>
      </c>
      <c r="K18">
        <f t="shared" si="2"/>
        <v>5.7698377094139177</v>
      </c>
      <c r="L18">
        <f t="shared" si="3"/>
        <v>6.2218519465657032</v>
      </c>
    </row>
    <row r="19" spans="1:12" x14ac:dyDescent="0.25">
      <c r="A19" s="1">
        <v>39479</v>
      </c>
      <c r="B19">
        <v>1.1598117047030101</v>
      </c>
      <c r="C19">
        <v>0.50350405346072002</v>
      </c>
      <c r="D19">
        <v>60.507180240617501</v>
      </c>
      <c r="E19">
        <v>0</v>
      </c>
      <c r="F19">
        <v>63.680930234643398</v>
      </c>
      <c r="G19">
        <f t="shared" si="0"/>
        <v>15.126795060154375</v>
      </c>
      <c r="H19">
        <f t="shared" si="1"/>
        <v>-48.554135174489019</v>
      </c>
      <c r="I19">
        <v>5.7862499999999999</v>
      </c>
      <c r="J19">
        <v>5.7888396061852596</v>
      </c>
      <c r="K19">
        <f t="shared" si="2"/>
        <v>5.9375179506015439</v>
      </c>
      <c r="L19">
        <f t="shared" si="3"/>
        <v>6.4256489085316932</v>
      </c>
    </row>
    <row r="20" spans="1:12" x14ac:dyDescent="0.25">
      <c r="A20" s="1">
        <v>39508</v>
      </c>
      <c r="B20">
        <v>0.92075459122236203</v>
      </c>
      <c r="C20">
        <v>0.36545928815942502</v>
      </c>
      <c r="D20">
        <v>68.921126325356099</v>
      </c>
      <c r="E20">
        <v>0</v>
      </c>
      <c r="F20">
        <v>63.817004870445203</v>
      </c>
      <c r="G20">
        <f t="shared" si="0"/>
        <v>17.230281581339025</v>
      </c>
      <c r="H20">
        <f t="shared" si="1"/>
        <v>-46.586723289106175</v>
      </c>
      <c r="I20">
        <v>5.8387500000000001</v>
      </c>
      <c r="J20">
        <v>5.8757226905138902</v>
      </c>
      <c r="K20">
        <f t="shared" si="2"/>
        <v>6.0110528158133905</v>
      </c>
      <c r="L20">
        <f t="shared" si="3"/>
        <v>6.5138927392183419</v>
      </c>
    </row>
    <row r="21" spans="1:12" x14ac:dyDescent="0.25">
      <c r="A21" s="1">
        <v>39539</v>
      </c>
      <c r="B21">
        <v>0.869022584830762</v>
      </c>
      <c r="C21">
        <v>0.39616726926054502</v>
      </c>
      <c r="D21">
        <v>69.034781151631606</v>
      </c>
      <c r="E21">
        <v>0</v>
      </c>
      <c r="F21">
        <v>63.825720018007097</v>
      </c>
      <c r="G21">
        <f t="shared" si="0"/>
        <v>17.258695287907901</v>
      </c>
      <c r="H21">
        <f t="shared" si="1"/>
        <v>-46.567024730099192</v>
      </c>
      <c r="I21">
        <v>5.8010000000000002</v>
      </c>
      <c r="J21">
        <v>5.8459773326349698</v>
      </c>
      <c r="K21">
        <f t="shared" si="2"/>
        <v>5.9735869528790788</v>
      </c>
      <c r="L21">
        <f t="shared" si="3"/>
        <v>6.4842345328150408</v>
      </c>
    </row>
    <row r="22" spans="1:12" x14ac:dyDescent="0.25">
      <c r="A22" s="1">
        <v>39569</v>
      </c>
      <c r="B22">
        <v>0.91730293990944201</v>
      </c>
      <c r="C22">
        <v>0.30173303758472497</v>
      </c>
      <c r="D22">
        <v>68.810146056336393</v>
      </c>
      <c r="E22">
        <v>0</v>
      </c>
      <c r="F22">
        <v>63.699873230822803</v>
      </c>
      <c r="G22">
        <f t="shared" si="0"/>
        <v>17.202536514084098</v>
      </c>
      <c r="H22">
        <f t="shared" si="1"/>
        <v>-46.497336716738701</v>
      </c>
      <c r="I22">
        <v>5.9050000000000002</v>
      </c>
      <c r="J22">
        <v>5.9516619109565898</v>
      </c>
      <c r="K22">
        <f t="shared" si="2"/>
        <v>6.077025365140841</v>
      </c>
      <c r="L22">
        <f t="shared" si="3"/>
        <v>6.5886606432648183</v>
      </c>
    </row>
    <row r="23" spans="1:12" x14ac:dyDescent="0.25">
      <c r="A23" s="1">
        <v>39600</v>
      </c>
      <c r="B23">
        <v>0.80916627883460701</v>
      </c>
      <c r="C23">
        <v>-3.9626944148463003E-2</v>
      </c>
      <c r="D23">
        <v>68.864525859580297</v>
      </c>
      <c r="E23">
        <v>0</v>
      </c>
      <c r="F23">
        <v>63.7688816985385</v>
      </c>
      <c r="G23">
        <f t="shared" si="0"/>
        <v>17.216131464895074</v>
      </c>
      <c r="H23">
        <f t="shared" si="1"/>
        <v>-46.552750233643422</v>
      </c>
      <c r="I23">
        <v>6.2324999999999999</v>
      </c>
      <c r="J23">
        <v>6.2883262562344404</v>
      </c>
      <c r="K23">
        <f t="shared" si="2"/>
        <v>6.4046613146489504</v>
      </c>
      <c r="L23">
        <f t="shared" si="3"/>
        <v>6.9260150732198253</v>
      </c>
    </row>
    <row r="24" spans="1:12" x14ac:dyDescent="0.25">
      <c r="A24" s="1">
        <v>39630</v>
      </c>
      <c r="B24">
        <v>0.46991018005813101</v>
      </c>
      <c r="C24">
        <v>-0.15749760448568501</v>
      </c>
      <c r="D24">
        <v>68.883538517129693</v>
      </c>
      <c r="E24">
        <v>0</v>
      </c>
      <c r="F24">
        <v>63.821958698977902</v>
      </c>
      <c r="G24">
        <f t="shared" si="0"/>
        <v>17.220884629282423</v>
      </c>
      <c r="H24">
        <f t="shared" si="1"/>
        <v>-46.601074069695478</v>
      </c>
      <c r="I24">
        <v>6.3310000000000004</v>
      </c>
      <c r="J24">
        <v>6.39395923363666</v>
      </c>
      <c r="K24">
        <f t="shared" si="2"/>
        <v>6.503208846292825</v>
      </c>
      <c r="L24">
        <f t="shared" si="3"/>
        <v>7.0321788206264388</v>
      </c>
    </row>
    <row r="25" spans="1:12" x14ac:dyDescent="0.25">
      <c r="A25" s="1">
        <v>39661</v>
      </c>
      <c r="B25">
        <v>0.348043827409031</v>
      </c>
      <c r="C25">
        <v>-0.23217572877269299</v>
      </c>
      <c r="D25">
        <v>68.913264165088705</v>
      </c>
      <c r="E25">
        <v>0</v>
      </c>
      <c r="F25">
        <v>63.878033642805804</v>
      </c>
      <c r="G25">
        <f t="shared" si="0"/>
        <v>17.228316041272176</v>
      </c>
      <c r="H25">
        <f t="shared" si="1"/>
        <v>-46.649717601533624</v>
      </c>
      <c r="I25">
        <v>6.3962499999999904</v>
      </c>
      <c r="J25">
        <v>6.4449831454651498</v>
      </c>
      <c r="K25">
        <f t="shared" si="2"/>
        <v>6.568533160412712</v>
      </c>
      <c r="L25">
        <f t="shared" si="3"/>
        <v>7.0837634818932074</v>
      </c>
    </row>
    <row r="26" spans="1:12" x14ac:dyDescent="0.25">
      <c r="A26" s="1">
        <v>39692</v>
      </c>
      <c r="B26">
        <v>0.27507546806356897</v>
      </c>
      <c r="C26">
        <v>0.22283216965975799</v>
      </c>
      <c r="D26">
        <v>69.066923668729103</v>
      </c>
      <c r="E26">
        <v>0</v>
      </c>
      <c r="F26">
        <v>64.026480905600906</v>
      </c>
      <c r="G26">
        <f t="shared" si="0"/>
        <v>17.266730917182276</v>
      </c>
      <c r="H26">
        <f t="shared" si="1"/>
        <v>-46.759749988418633</v>
      </c>
      <c r="I26">
        <v>5.9562499999999998</v>
      </c>
      <c r="J26">
        <v>5.9811930273717504</v>
      </c>
      <c r="K26">
        <f t="shared" si="2"/>
        <v>6.1289173091718228</v>
      </c>
      <c r="L26">
        <f t="shared" si="3"/>
        <v>6.6214578364277594</v>
      </c>
    </row>
    <row r="27" spans="1:12" x14ac:dyDescent="0.25">
      <c r="A27" s="1">
        <v>39722</v>
      </c>
      <c r="B27">
        <v>0.68382249766218295</v>
      </c>
      <c r="C27">
        <v>2.2507212942655001E-2</v>
      </c>
      <c r="D27">
        <v>68.704158791955706</v>
      </c>
      <c r="E27">
        <v>0</v>
      </c>
      <c r="F27">
        <v>63.942231341176203</v>
      </c>
      <c r="G27">
        <f t="shared" si="0"/>
        <v>17.176039697988926</v>
      </c>
      <c r="H27">
        <f t="shared" si="1"/>
        <v>-46.766191643187277</v>
      </c>
      <c r="I27">
        <v>6.1050000000000004</v>
      </c>
      <c r="J27">
        <v>6.1502258530390304</v>
      </c>
      <c r="K27">
        <f t="shared" si="2"/>
        <v>6.2767603969798893</v>
      </c>
      <c r="L27">
        <f t="shared" si="3"/>
        <v>6.7896481664507924</v>
      </c>
    </row>
    <row r="28" spans="1:12" x14ac:dyDescent="0.25">
      <c r="A28" s="1">
        <v>39753</v>
      </c>
      <c r="B28">
        <v>0.48888761151306698</v>
      </c>
      <c r="C28">
        <v>4.3717077345558998E-2</v>
      </c>
      <c r="D28">
        <v>68.380812474440006</v>
      </c>
      <c r="E28">
        <v>0</v>
      </c>
      <c r="F28">
        <v>63.890394465029097</v>
      </c>
      <c r="G28">
        <f t="shared" si="0"/>
        <v>17.095203118610002</v>
      </c>
      <c r="H28">
        <f t="shared" si="1"/>
        <v>-46.795191346419095</v>
      </c>
      <c r="I28">
        <v>6.0125000000000002</v>
      </c>
      <c r="J28">
        <v>6.0825224460466698</v>
      </c>
      <c r="K28">
        <f t="shared" si="2"/>
        <v>6.1834520311860999</v>
      </c>
      <c r="L28">
        <f t="shared" si="3"/>
        <v>6.7214263906969611</v>
      </c>
    </row>
    <row r="29" spans="1:12" x14ac:dyDescent="0.25">
      <c r="A29" s="1">
        <v>39783</v>
      </c>
      <c r="B29">
        <v>0.53170565907210798</v>
      </c>
      <c r="C29">
        <v>0.76711212538544404</v>
      </c>
      <c r="D29">
        <v>68.1950259647503</v>
      </c>
      <c r="E29">
        <v>0</v>
      </c>
      <c r="F29">
        <v>63.880598326630803</v>
      </c>
      <c r="G29">
        <f t="shared" si="0"/>
        <v>17.048756491187575</v>
      </c>
      <c r="H29">
        <f t="shared" si="1"/>
        <v>-46.831841835443228</v>
      </c>
      <c r="I29">
        <v>5.2159999999999904</v>
      </c>
      <c r="J29">
        <v>5.3091367023842304</v>
      </c>
      <c r="K29">
        <f t="shared" si="2"/>
        <v>5.3864875649118664</v>
      </c>
      <c r="L29">
        <f t="shared" si="3"/>
        <v>5.9479426856505384</v>
      </c>
    </row>
    <row r="30" spans="1:12" x14ac:dyDescent="0.25">
      <c r="A30" s="1">
        <v>39814</v>
      </c>
      <c r="B30">
        <v>1.3268188116066399</v>
      </c>
      <c r="C30">
        <v>0.980584599642499</v>
      </c>
      <c r="D30">
        <v>68.175888840165896</v>
      </c>
      <c r="E30">
        <v>0</v>
      </c>
      <c r="F30">
        <v>63.9208248180922</v>
      </c>
      <c r="G30">
        <f t="shared" si="0"/>
        <v>17.043972210041474</v>
      </c>
      <c r="H30">
        <f t="shared" si="1"/>
        <v>-46.876852608050726</v>
      </c>
      <c r="I30">
        <v>4.9662499999999996</v>
      </c>
      <c r="J30">
        <v>5.0936736575532899</v>
      </c>
      <c r="K30">
        <f t="shared" si="2"/>
        <v>5.1366897221004146</v>
      </c>
      <c r="L30">
        <f t="shared" si="3"/>
        <v>5.732881905734212</v>
      </c>
    </row>
    <row r="31" spans="1:12" x14ac:dyDescent="0.25">
      <c r="A31" s="1">
        <v>39845</v>
      </c>
      <c r="B31">
        <v>1.5902513215643901</v>
      </c>
      <c r="C31">
        <v>0.85902377788897799</v>
      </c>
      <c r="D31">
        <v>68.172395429122204</v>
      </c>
      <c r="E31">
        <v>0</v>
      </c>
      <c r="F31">
        <v>63.930759213828999</v>
      </c>
      <c r="G31">
        <f t="shared" si="0"/>
        <v>17.043098857280551</v>
      </c>
      <c r="H31">
        <f t="shared" si="1"/>
        <v>-46.887660356548452</v>
      </c>
      <c r="I31">
        <v>5.0612500000000002</v>
      </c>
      <c r="J31">
        <v>5.2287831039885102</v>
      </c>
      <c r="K31">
        <f t="shared" si="2"/>
        <v>5.2316809885728057</v>
      </c>
      <c r="L31">
        <f t="shared" si="3"/>
        <v>5.8680906961268002</v>
      </c>
    </row>
    <row r="32" spans="1:12" x14ac:dyDescent="0.25">
      <c r="A32" s="1">
        <v>39873</v>
      </c>
      <c r="B32">
        <v>1.4964947850774499</v>
      </c>
      <c r="C32">
        <v>0.94861301202206505</v>
      </c>
      <c r="D32">
        <v>68.046714270086696</v>
      </c>
      <c r="E32">
        <v>0</v>
      </c>
      <c r="F32">
        <v>63.879512016916003</v>
      </c>
      <c r="G32">
        <f t="shared" si="0"/>
        <v>17.011678567521674</v>
      </c>
      <c r="H32">
        <f t="shared" si="1"/>
        <v>-46.867833449394325</v>
      </c>
      <c r="I32">
        <v>4.9275000000000002</v>
      </c>
      <c r="J32">
        <v>5.1407285578741799</v>
      </c>
      <c r="K32">
        <f t="shared" si="2"/>
        <v>5.0976167856752168</v>
      </c>
      <c r="L32">
        <f t="shared" si="3"/>
        <v>5.7795236780433399</v>
      </c>
    </row>
    <row r="33" spans="1:12" x14ac:dyDescent="0.25">
      <c r="A33" s="1">
        <v>39904</v>
      </c>
      <c r="B33">
        <v>1.6240468683595299</v>
      </c>
      <c r="C33">
        <v>1.11889566657059</v>
      </c>
      <c r="D33">
        <v>67.895851169174193</v>
      </c>
      <c r="E33">
        <v>0</v>
      </c>
      <c r="F33">
        <v>63.821277758853697</v>
      </c>
      <c r="G33">
        <f t="shared" si="0"/>
        <v>16.973962792293548</v>
      </c>
      <c r="H33">
        <f t="shared" si="1"/>
        <v>-46.847314966560148</v>
      </c>
      <c r="I33">
        <v>4.7300000000000004</v>
      </c>
      <c r="J33">
        <v>4.9645892189906302</v>
      </c>
      <c r="K33">
        <f t="shared" si="2"/>
        <v>4.8997396279229362</v>
      </c>
      <c r="L33">
        <f t="shared" si="3"/>
        <v>5.6028019965791671</v>
      </c>
    </row>
    <row r="34" spans="1:12" x14ac:dyDescent="0.25">
      <c r="A34" s="1">
        <v>39934</v>
      </c>
      <c r="B34">
        <v>1.80350445960651</v>
      </c>
      <c r="C34">
        <v>1.0326617969885901</v>
      </c>
      <c r="D34">
        <v>67.814546697055405</v>
      </c>
      <c r="E34">
        <v>0</v>
      </c>
      <c r="F34">
        <v>63.812239165176301</v>
      </c>
      <c r="G34">
        <f t="shared" si="0"/>
        <v>16.953636674263851</v>
      </c>
      <c r="H34">
        <f t="shared" si="1"/>
        <v>-46.858602490912446</v>
      </c>
      <c r="I34">
        <v>4.7762500000000001</v>
      </c>
      <c r="J34">
        <v>5.0326540949202903</v>
      </c>
      <c r="K34">
        <f t="shared" si="2"/>
        <v>4.9457863667426389</v>
      </c>
      <c r="L34">
        <f t="shared" si="3"/>
        <v>5.6707764865720529</v>
      </c>
    </row>
    <row r="35" spans="1:12" x14ac:dyDescent="0.25">
      <c r="A35" s="1">
        <v>39965</v>
      </c>
      <c r="B35">
        <v>1.7407306416770401</v>
      </c>
      <c r="C35">
        <v>0.44987746811074603</v>
      </c>
      <c r="D35">
        <v>67.684265866589598</v>
      </c>
      <c r="E35">
        <v>0</v>
      </c>
      <c r="F35">
        <v>63.757804287882102</v>
      </c>
      <c r="G35">
        <f t="shared" si="0"/>
        <v>16.9210664666474</v>
      </c>
      <c r="H35">
        <f t="shared" si="1"/>
        <v>-46.836737821234706</v>
      </c>
      <c r="I35">
        <v>5.3449999999999998</v>
      </c>
      <c r="J35">
        <v>5.5992469298389604</v>
      </c>
      <c r="K35">
        <f t="shared" si="2"/>
        <v>5.5142106646664741</v>
      </c>
      <c r="L35">
        <f t="shared" si="3"/>
        <v>6.2368249727177814</v>
      </c>
    </row>
    <row r="36" spans="1:12" x14ac:dyDescent="0.25">
      <c r="A36" s="1">
        <v>39995</v>
      </c>
      <c r="B36">
        <v>1.16146550479002</v>
      </c>
      <c r="C36">
        <v>0.66272683000287502</v>
      </c>
      <c r="D36">
        <v>67.744755108321499</v>
      </c>
      <c r="E36">
        <v>3.2675179147737599E-2</v>
      </c>
      <c r="F36">
        <v>63.7773136788621</v>
      </c>
      <c r="G36">
        <f t="shared" si="0"/>
        <v>16.968863956228112</v>
      </c>
      <c r="H36">
        <f t="shared" si="1"/>
        <v>-46.808449722633988</v>
      </c>
      <c r="I36">
        <v>5.1470000000000002</v>
      </c>
      <c r="J36">
        <v>5.3762093725030704</v>
      </c>
      <c r="K36">
        <f t="shared" si="2"/>
        <v>5.3166886395622814</v>
      </c>
      <c r="L36">
        <f t="shared" si="3"/>
        <v>6.0139825092916919</v>
      </c>
    </row>
    <row r="37" spans="1:12" x14ac:dyDescent="0.25">
      <c r="A37" s="1">
        <v>40026</v>
      </c>
      <c r="B37">
        <v>1.3067027770174</v>
      </c>
      <c r="C37">
        <v>0.64892650823392695</v>
      </c>
      <c r="D37">
        <v>68.224149669681694</v>
      </c>
      <c r="E37">
        <v>1.6455830198628001</v>
      </c>
      <c r="F37">
        <v>63.801988201586397</v>
      </c>
      <c r="G37">
        <f t="shared" si="0"/>
        <v>18.701620437283225</v>
      </c>
      <c r="H37">
        <f t="shared" si="1"/>
        <v>-45.100367764303172</v>
      </c>
      <c r="I37">
        <v>5.1112500000000001</v>
      </c>
      <c r="J37">
        <v>5.3544107028362102</v>
      </c>
      <c r="K37">
        <f t="shared" si="2"/>
        <v>5.2982662043728324</v>
      </c>
      <c r="L37">
        <f t="shared" si="3"/>
        <v>5.992430584852074</v>
      </c>
    </row>
    <row r="38" spans="1:12" x14ac:dyDescent="0.25">
      <c r="A38" s="1">
        <v>40057</v>
      </c>
      <c r="B38">
        <v>1.2667836273358499</v>
      </c>
      <c r="C38">
        <v>0.77388455889168595</v>
      </c>
      <c r="D38">
        <v>68.989970570667396</v>
      </c>
      <c r="E38">
        <v>4.3163869139778699</v>
      </c>
      <c r="F38">
        <v>63.747223946125501</v>
      </c>
      <c r="G38">
        <f t="shared" si="0"/>
        <v>21.563879556644718</v>
      </c>
      <c r="H38">
        <f t="shared" si="1"/>
        <v>-42.18334438948078</v>
      </c>
      <c r="I38">
        <v>4.9539999999999997</v>
      </c>
      <c r="J38">
        <v>5.1828323602397104</v>
      </c>
      <c r="K38">
        <f t="shared" si="2"/>
        <v>5.1696387955664465</v>
      </c>
      <c r="L38">
        <f t="shared" si="3"/>
        <v>5.8203045997009655</v>
      </c>
    </row>
    <row r="39" spans="1:12" x14ac:dyDescent="0.25">
      <c r="A39" s="1">
        <v>40087</v>
      </c>
      <c r="B39">
        <v>1.3356370862269</v>
      </c>
      <c r="C39">
        <v>0.81974434258428397</v>
      </c>
      <c r="D39">
        <v>70.052992161622399</v>
      </c>
      <c r="E39">
        <v>7.5106168198164998</v>
      </c>
      <c r="F39">
        <v>63.756153050917398</v>
      </c>
      <c r="G39">
        <f t="shared" si="0"/>
        <v>25.023864860222098</v>
      </c>
      <c r="H39">
        <f t="shared" si="1"/>
        <v>-38.7322881906953</v>
      </c>
      <c r="I39">
        <v>4.88</v>
      </c>
      <c r="J39">
        <v>5.08297532123827</v>
      </c>
      <c r="K39">
        <f t="shared" si="2"/>
        <v>5.1302386486022202</v>
      </c>
      <c r="L39">
        <f t="shared" si="3"/>
        <v>5.7205368517474442</v>
      </c>
    </row>
    <row r="40" spans="1:12" x14ac:dyDescent="0.25">
      <c r="A40" s="1">
        <v>40118</v>
      </c>
      <c r="B40">
        <v>1.3463819062967799</v>
      </c>
      <c r="C40">
        <v>0.88658643766892997</v>
      </c>
      <c r="D40">
        <v>70.535251501907595</v>
      </c>
      <c r="E40">
        <v>9.8214997722811592</v>
      </c>
      <c r="F40">
        <v>63.722803986904999</v>
      </c>
      <c r="G40">
        <f t="shared" si="0"/>
        <v>27.455312647758056</v>
      </c>
      <c r="H40">
        <f t="shared" si="1"/>
        <v>-36.267491339146943</v>
      </c>
      <c r="I40">
        <v>4.8</v>
      </c>
      <c r="J40">
        <v>4.9774530201028204</v>
      </c>
      <c r="K40">
        <f t="shared" si="2"/>
        <v>5.0745531264775803</v>
      </c>
      <c r="L40">
        <f t="shared" si="3"/>
        <v>5.6146810599718702</v>
      </c>
    </row>
    <row r="41" spans="1:12" x14ac:dyDescent="0.25">
      <c r="A41" s="1">
        <v>40148</v>
      </c>
      <c r="B41">
        <v>1.37683049935386</v>
      </c>
      <c r="C41">
        <v>0.80858728267079205</v>
      </c>
      <c r="D41">
        <v>70.593991129241104</v>
      </c>
      <c r="E41">
        <v>10.8847973279568</v>
      </c>
      <c r="F41">
        <v>63.641124241767102</v>
      </c>
      <c r="G41">
        <f t="shared" si="0"/>
        <v>28.533295110267076</v>
      </c>
      <c r="H41">
        <f t="shared" si="1"/>
        <v>-35.107829131500026</v>
      </c>
      <c r="I41">
        <v>4.8550000000000004</v>
      </c>
      <c r="J41">
        <v>5.0174616791791102</v>
      </c>
      <c r="K41">
        <f t="shared" si="2"/>
        <v>5.1403329511026712</v>
      </c>
      <c r="L41">
        <f t="shared" si="3"/>
        <v>5.6538729215967809</v>
      </c>
    </row>
    <row r="42" spans="1:12" x14ac:dyDescent="0.25">
      <c r="A42" s="1">
        <v>40179</v>
      </c>
      <c r="B42">
        <v>1.2717693221797</v>
      </c>
      <c r="C42">
        <v>0.67931491965234903</v>
      </c>
      <c r="D42">
        <v>70.778078688914803</v>
      </c>
      <c r="E42">
        <v>12.1835251850821</v>
      </c>
      <c r="F42">
        <v>63.635426167079899</v>
      </c>
      <c r="G42">
        <f t="shared" si="0"/>
        <v>29.878044857310801</v>
      </c>
      <c r="H42">
        <f t="shared" si="1"/>
        <v>-33.757381309769102</v>
      </c>
      <c r="I42">
        <v>4.9487500000000004</v>
      </c>
      <c r="J42">
        <v>5.1099958153392597</v>
      </c>
      <c r="K42">
        <f t="shared" si="2"/>
        <v>5.2475304485731087</v>
      </c>
      <c r="L42">
        <f t="shared" si="3"/>
        <v>5.7463500770100584</v>
      </c>
    </row>
    <row r="43" spans="1:12" x14ac:dyDescent="0.25">
      <c r="A43" s="1">
        <v>40210</v>
      </c>
      <c r="B43">
        <v>1.11262492245417</v>
      </c>
      <c r="C43">
        <v>0.70916793931834599</v>
      </c>
      <c r="D43">
        <v>71.007319624640402</v>
      </c>
      <c r="E43">
        <v>13.911899590775599</v>
      </c>
      <c r="F43">
        <v>63.615177924006503</v>
      </c>
      <c r="G43">
        <f t="shared" si="0"/>
        <v>31.663729496935701</v>
      </c>
      <c r="H43">
        <f t="shared" si="1"/>
        <v>-31.951448427070801</v>
      </c>
      <c r="I43">
        <v>4.9149999999999903</v>
      </c>
      <c r="J43">
        <v>5.0328224711343097</v>
      </c>
      <c r="K43">
        <f t="shared" si="2"/>
        <v>5.2316372949693477</v>
      </c>
      <c r="L43">
        <f t="shared" si="3"/>
        <v>5.668974250374375</v>
      </c>
    </row>
    <row r="44" spans="1:12" x14ac:dyDescent="0.25">
      <c r="A44" s="1">
        <v>40238</v>
      </c>
      <c r="B44">
        <v>1.0950804847241999</v>
      </c>
      <c r="C44">
        <v>0.71388146851896805</v>
      </c>
      <c r="D44">
        <v>71.370970186339903</v>
      </c>
      <c r="E44">
        <v>15.1504394201949</v>
      </c>
      <c r="F44">
        <v>63.642873055813901</v>
      </c>
      <c r="G44">
        <f t="shared" si="0"/>
        <v>32.993181966779872</v>
      </c>
      <c r="H44">
        <f t="shared" si="1"/>
        <v>-30.649691089034029</v>
      </c>
      <c r="I44">
        <v>4.91</v>
      </c>
      <c r="J44">
        <v>4.9897651333991799</v>
      </c>
      <c r="K44">
        <f t="shared" si="2"/>
        <v>5.2399318196677989</v>
      </c>
      <c r="L44">
        <f t="shared" si="3"/>
        <v>5.6261938639573188</v>
      </c>
    </row>
    <row r="45" spans="1:12" x14ac:dyDescent="0.25">
      <c r="A45" s="1">
        <v>40269</v>
      </c>
      <c r="B45">
        <v>1.06048689767328</v>
      </c>
      <c r="C45">
        <v>0.60111016194196398</v>
      </c>
      <c r="D45">
        <v>72.295815856449096</v>
      </c>
      <c r="E45">
        <v>17.562451138044601</v>
      </c>
      <c r="F45">
        <v>63.6451922738501</v>
      </c>
      <c r="G45">
        <f t="shared" si="0"/>
        <v>35.636405102156871</v>
      </c>
      <c r="H45">
        <f t="shared" si="1"/>
        <v>-28.008787171693228</v>
      </c>
      <c r="I45">
        <v>5.0149999999999997</v>
      </c>
      <c r="J45">
        <v>5.0894070723673197</v>
      </c>
      <c r="K45">
        <f t="shared" si="2"/>
        <v>5.371364051021569</v>
      </c>
      <c r="L45">
        <f t="shared" si="3"/>
        <v>5.7258589951058205</v>
      </c>
    </row>
    <row r="46" spans="1:12" x14ac:dyDescent="0.25">
      <c r="A46" s="1">
        <v>40299</v>
      </c>
      <c r="B46">
        <v>0.97475572460150095</v>
      </c>
      <c r="C46">
        <v>0.79291042756536101</v>
      </c>
      <c r="D46">
        <v>73.190733369176101</v>
      </c>
      <c r="E46">
        <v>18.009476904680099</v>
      </c>
      <c r="F46">
        <v>69.905310249107799</v>
      </c>
      <c r="G46">
        <f t="shared" si="0"/>
        <v>36.307160246974121</v>
      </c>
      <c r="H46">
        <f t="shared" si="1"/>
        <v>-33.598150002133679</v>
      </c>
      <c r="I46">
        <v>4.8125</v>
      </c>
      <c r="J46">
        <v>4.8610269621088404</v>
      </c>
      <c r="K46">
        <f t="shared" si="2"/>
        <v>5.1755716024697414</v>
      </c>
      <c r="L46">
        <f t="shared" si="3"/>
        <v>5.5600800645999184</v>
      </c>
    </row>
    <row r="47" spans="1:12" x14ac:dyDescent="0.25">
      <c r="A47" s="1">
        <v>40330</v>
      </c>
      <c r="B47">
        <v>1.1754992099891699</v>
      </c>
      <c r="C47">
        <v>0.998515429177254</v>
      </c>
      <c r="D47">
        <v>74.041501883815499</v>
      </c>
      <c r="E47">
        <v>19.461817347375899</v>
      </c>
      <c r="F47">
        <v>69.904569879955005</v>
      </c>
      <c r="G47">
        <f t="shared" si="0"/>
        <v>37.972192818329773</v>
      </c>
      <c r="H47">
        <f t="shared" si="1"/>
        <v>-31.932377061625232</v>
      </c>
      <c r="I47">
        <v>4.6359999999999904</v>
      </c>
      <c r="J47">
        <v>4.67025470757864</v>
      </c>
      <c r="K47">
        <f t="shared" si="2"/>
        <v>5.0157219281832885</v>
      </c>
      <c r="L47">
        <f t="shared" si="3"/>
        <v>5.3693004063781897</v>
      </c>
    </row>
    <row r="48" spans="1:12" x14ac:dyDescent="0.25">
      <c r="A48" s="1">
        <v>40360</v>
      </c>
      <c r="B48">
        <v>1.2955912172271999</v>
      </c>
      <c r="C48">
        <v>1.1307630268493001</v>
      </c>
      <c r="D48">
        <v>74.473152776258999</v>
      </c>
      <c r="E48">
        <v>20.907188221483899</v>
      </c>
      <c r="F48">
        <v>69.908382948127397</v>
      </c>
      <c r="G48">
        <f t="shared" si="0"/>
        <v>39.525476415548653</v>
      </c>
      <c r="H48">
        <f t="shared" si="1"/>
        <v>-30.382906532578744</v>
      </c>
      <c r="I48">
        <v>4.4849999999999897</v>
      </c>
      <c r="J48">
        <v>4.49704933904541</v>
      </c>
      <c r="K48">
        <f t="shared" si="2"/>
        <v>4.8802547641554757</v>
      </c>
      <c r="L48">
        <f t="shared" si="3"/>
        <v>5.1961331685266838</v>
      </c>
    </row>
    <row r="49" spans="1:12" x14ac:dyDescent="0.25">
      <c r="A49" s="1">
        <v>40391</v>
      </c>
      <c r="B49">
        <v>1.3469925400501901</v>
      </c>
      <c r="C49">
        <v>1.22094789423697</v>
      </c>
      <c r="D49">
        <v>75.415726419577297</v>
      </c>
      <c r="E49">
        <v>24.2449394361599</v>
      </c>
      <c r="F49">
        <v>69.941963546597094</v>
      </c>
      <c r="G49">
        <f t="shared" si="0"/>
        <v>43.098871041054224</v>
      </c>
      <c r="H49">
        <f t="shared" si="1"/>
        <v>-26.84309250554287</v>
      </c>
      <c r="I49">
        <v>4.3525</v>
      </c>
      <c r="J49">
        <v>4.3426500991460601</v>
      </c>
      <c r="K49">
        <f t="shared" si="2"/>
        <v>4.7834887104105421</v>
      </c>
      <c r="L49">
        <f t="shared" si="3"/>
        <v>5.0420697346120313</v>
      </c>
    </row>
    <row r="50" spans="1:12" x14ac:dyDescent="0.25">
      <c r="A50" s="1">
        <v>40422</v>
      </c>
      <c r="B50">
        <v>1.4178667117602199</v>
      </c>
      <c r="C50">
        <v>1.2562853686353701</v>
      </c>
      <c r="D50">
        <v>75.916071768736899</v>
      </c>
      <c r="E50">
        <v>26.056288614439499</v>
      </c>
      <c r="F50">
        <v>69.968956542311503</v>
      </c>
      <c r="G50">
        <f t="shared" si="0"/>
        <v>45.035306556623723</v>
      </c>
      <c r="H50">
        <f t="shared" si="1"/>
        <v>-24.933649985687779</v>
      </c>
      <c r="I50">
        <v>4.2759999999999998</v>
      </c>
      <c r="J50">
        <v>4.2648036791471799</v>
      </c>
      <c r="K50">
        <f t="shared" si="2"/>
        <v>4.7263530655662374</v>
      </c>
      <c r="L50">
        <f t="shared" si="3"/>
        <v>4.9644932445702947</v>
      </c>
    </row>
    <row r="51" spans="1:12" x14ac:dyDescent="0.25">
      <c r="A51" s="1">
        <v>40452</v>
      </c>
      <c r="B51">
        <v>1.42251362591391</v>
      </c>
      <c r="C51">
        <v>1.3158799912304799</v>
      </c>
      <c r="D51">
        <v>76.605003380086202</v>
      </c>
      <c r="E51">
        <v>28.020836481628098</v>
      </c>
      <c r="F51">
        <v>70.020796658900494</v>
      </c>
      <c r="G51">
        <f t="shared" si="0"/>
        <v>47.172087326649645</v>
      </c>
      <c r="H51">
        <f t="shared" si="1"/>
        <v>-22.848709332250849</v>
      </c>
      <c r="I51">
        <v>4.1749999999999998</v>
      </c>
      <c r="J51">
        <v>4.1541906803400996</v>
      </c>
      <c r="K51">
        <f t="shared" si="2"/>
        <v>4.6467208732664966</v>
      </c>
      <c r="L51">
        <f t="shared" si="3"/>
        <v>4.8543986469291047</v>
      </c>
    </row>
    <row r="52" spans="1:12" x14ac:dyDescent="0.25">
      <c r="A52" s="1">
        <v>40483</v>
      </c>
      <c r="B52">
        <v>1.4580445577798999</v>
      </c>
      <c r="C52">
        <v>0.94517968229766502</v>
      </c>
      <c r="D52">
        <v>77.263127117525698</v>
      </c>
      <c r="E52">
        <v>29.9886433907614</v>
      </c>
      <c r="F52">
        <v>94.609310322807005</v>
      </c>
      <c r="G52">
        <f t="shared" si="0"/>
        <v>49.304425170142821</v>
      </c>
      <c r="H52">
        <f t="shared" si="1"/>
        <v>-45.304885152664184</v>
      </c>
      <c r="I52">
        <v>4.2562499999999996</v>
      </c>
      <c r="J52">
        <v>4.2348631944494501</v>
      </c>
      <c r="K52">
        <f t="shared" si="2"/>
        <v>4.7492942517014276</v>
      </c>
      <c r="L52">
        <f t="shared" si="3"/>
        <v>5.1809562976775201</v>
      </c>
    </row>
    <row r="53" spans="1:12" x14ac:dyDescent="0.25">
      <c r="A53" s="1">
        <v>40513</v>
      </c>
      <c r="B53">
        <v>1.30024004020955</v>
      </c>
      <c r="C53">
        <v>0.49194766071468199</v>
      </c>
      <c r="D53">
        <v>78.034818193686505</v>
      </c>
      <c r="E53">
        <v>32.331026001095097</v>
      </c>
      <c r="F53">
        <v>94.601347785289207</v>
      </c>
      <c r="G53">
        <f t="shared" si="0"/>
        <v>51.839730549516723</v>
      </c>
      <c r="H53">
        <f t="shared" si="1"/>
        <v>-42.761617235772484</v>
      </c>
      <c r="I53">
        <v>4.6489999999999903</v>
      </c>
      <c r="J53">
        <v>4.6369987553509899</v>
      </c>
      <c r="K53">
        <f t="shared" si="2"/>
        <v>5.1673973054951574</v>
      </c>
      <c r="L53">
        <f t="shared" si="3"/>
        <v>5.5830122332038821</v>
      </c>
    </row>
    <row r="54" spans="1:12" x14ac:dyDescent="0.25">
      <c r="A54" s="1">
        <v>40544</v>
      </c>
      <c r="B54">
        <v>0.82427319057060899</v>
      </c>
      <c r="C54">
        <v>0.37177445457721298</v>
      </c>
      <c r="D54">
        <v>78.431484442127498</v>
      </c>
      <c r="E54">
        <v>33.895611586187897</v>
      </c>
      <c r="F54">
        <v>94.562317925791305</v>
      </c>
      <c r="G54">
        <f t="shared" si="0"/>
        <v>53.503482696719772</v>
      </c>
      <c r="H54">
        <f t="shared" si="1"/>
        <v>-41.058835229071533</v>
      </c>
      <c r="I54">
        <v>4.6987500000000004</v>
      </c>
      <c r="J54">
        <v>4.6909258082241898</v>
      </c>
      <c r="K54">
        <f t="shared" si="2"/>
        <v>5.2337848269671978</v>
      </c>
      <c r="L54">
        <f t="shared" si="3"/>
        <v>5.6365489874821026</v>
      </c>
    </row>
    <row r="55" spans="1:12" x14ac:dyDescent="0.25">
      <c r="A55" s="1">
        <v>40575</v>
      </c>
      <c r="B55">
        <v>0.69679717646432004</v>
      </c>
      <c r="C55">
        <v>0.125319179384489</v>
      </c>
      <c r="D55">
        <v>79.010252770518704</v>
      </c>
      <c r="E55">
        <v>35.291484778318498</v>
      </c>
      <c r="F55">
        <v>94.655638386972399</v>
      </c>
      <c r="G55">
        <f t="shared" si="0"/>
        <v>55.044047970948171</v>
      </c>
      <c r="H55">
        <f t="shared" si="1"/>
        <v>-39.611590416024228</v>
      </c>
      <c r="I55">
        <v>4.8775000000000004</v>
      </c>
      <c r="J55">
        <v>4.8741838157264903</v>
      </c>
      <c r="K55">
        <f t="shared" si="2"/>
        <v>5.4279404797094823</v>
      </c>
      <c r="L55">
        <f t="shared" si="3"/>
        <v>5.820740199596214</v>
      </c>
    </row>
    <row r="56" spans="1:12" x14ac:dyDescent="0.25">
      <c r="A56" s="1">
        <v>40603</v>
      </c>
      <c r="B56">
        <v>0.44582849012140002</v>
      </c>
      <c r="C56">
        <v>0.19981960573924001</v>
      </c>
      <c r="D56">
        <v>79.555074873655101</v>
      </c>
      <c r="E56">
        <v>36.580580053680997</v>
      </c>
      <c r="F56">
        <v>94.640268423012799</v>
      </c>
      <c r="G56">
        <f t="shared" si="0"/>
        <v>56.469348772094776</v>
      </c>
      <c r="H56">
        <f t="shared" si="1"/>
        <v>-38.170919650918023</v>
      </c>
      <c r="I56">
        <v>4.7610000000000001</v>
      </c>
      <c r="J56">
        <v>4.74192043349621</v>
      </c>
      <c r="K56">
        <f t="shared" si="2"/>
        <v>5.3256934877209483</v>
      </c>
      <c r="L56">
        <f t="shared" si="3"/>
        <v>5.6883231177263376</v>
      </c>
    </row>
    <row r="57" spans="1:12" x14ac:dyDescent="0.25">
      <c r="A57" s="1">
        <v>40634</v>
      </c>
      <c r="B57">
        <v>0.54028447433712101</v>
      </c>
      <c r="C57">
        <v>0.23234610326560701</v>
      </c>
      <c r="D57">
        <v>80.493026748922802</v>
      </c>
      <c r="E57">
        <v>38.321780489047399</v>
      </c>
      <c r="F57">
        <v>94.653313254030806</v>
      </c>
      <c r="G57">
        <f t="shared" si="0"/>
        <v>58.445037176278099</v>
      </c>
      <c r="H57">
        <f t="shared" si="1"/>
        <v>-36.208276077752707</v>
      </c>
      <c r="I57">
        <v>4.75875</v>
      </c>
      <c r="J57">
        <v>4.7069391492520198</v>
      </c>
      <c r="K57">
        <f t="shared" si="2"/>
        <v>5.3432003717627818</v>
      </c>
      <c r="L57">
        <f t="shared" si="3"/>
        <v>5.653472281792328</v>
      </c>
    </row>
    <row r="58" spans="1:12" x14ac:dyDescent="0.25">
      <c r="A58" s="1">
        <v>40664</v>
      </c>
      <c r="B58">
        <v>0.53607478863274804</v>
      </c>
      <c r="C58">
        <v>0.22644883558918799</v>
      </c>
      <c r="D58">
        <v>81.211226080312997</v>
      </c>
      <c r="E58">
        <v>39.451556011778401</v>
      </c>
      <c r="F58">
        <v>119.65873736175701</v>
      </c>
      <c r="G58">
        <f t="shared" si="0"/>
        <v>59.75436253185665</v>
      </c>
      <c r="H58">
        <f t="shared" si="1"/>
        <v>-59.904374829900355</v>
      </c>
      <c r="I58">
        <v>4.5625</v>
      </c>
      <c r="J58">
        <v>4.4693675037866401</v>
      </c>
      <c r="K58">
        <f t="shared" si="2"/>
        <v>5.1600436253185666</v>
      </c>
      <c r="L58">
        <f t="shared" si="3"/>
        <v>5.6659548774042099</v>
      </c>
    </row>
    <row r="59" spans="1:12" x14ac:dyDescent="0.25">
      <c r="A59" s="1">
        <v>40695</v>
      </c>
      <c r="B59">
        <v>0.74584465596475502</v>
      </c>
      <c r="C59">
        <v>0.43393939540165399</v>
      </c>
      <c r="D59">
        <v>81.555819840574799</v>
      </c>
      <c r="E59">
        <v>39.827183018841701</v>
      </c>
      <c r="F59">
        <v>119.636879643489</v>
      </c>
      <c r="G59">
        <f t="shared" si="0"/>
        <v>60.216137978985401</v>
      </c>
      <c r="H59">
        <f t="shared" si="1"/>
        <v>-59.420741664503595</v>
      </c>
      <c r="I59">
        <v>4.4349999999999996</v>
      </c>
      <c r="J59">
        <v>4.2802060082340398</v>
      </c>
      <c r="K59">
        <f t="shared" si="2"/>
        <v>5.0371613797898531</v>
      </c>
      <c r="L59">
        <f t="shared" si="3"/>
        <v>5.47657480466893</v>
      </c>
    </row>
    <row r="60" spans="1:12" x14ac:dyDescent="0.25">
      <c r="A60" s="1">
        <v>40725</v>
      </c>
      <c r="B60">
        <v>0.86367071964138298</v>
      </c>
      <c r="C60">
        <v>0.41385972233373503</v>
      </c>
      <c r="D60">
        <v>81.848547920802602</v>
      </c>
      <c r="E60">
        <v>40.797197036231303</v>
      </c>
      <c r="F60">
        <v>119.58499394741899</v>
      </c>
      <c r="G60">
        <f t="shared" si="0"/>
        <v>61.25933401643195</v>
      </c>
      <c r="H60">
        <f t="shared" si="1"/>
        <v>-58.325659930987044</v>
      </c>
      <c r="I60">
        <v>4.4762499999999896</v>
      </c>
      <c r="J60">
        <v>4.3015099299739799</v>
      </c>
      <c r="K60">
        <f t="shared" si="2"/>
        <v>5.0888433401643089</v>
      </c>
      <c r="L60">
        <f t="shared" si="3"/>
        <v>5.4973598694481698</v>
      </c>
    </row>
    <row r="61" spans="1:12" x14ac:dyDescent="0.25">
      <c r="A61" s="1">
        <v>40756</v>
      </c>
      <c r="B61">
        <v>0.82543781431095797</v>
      </c>
      <c r="C61">
        <v>0.73994323326312705</v>
      </c>
      <c r="D61">
        <v>82.148144375806794</v>
      </c>
      <c r="E61">
        <v>40.687520331453001</v>
      </c>
      <c r="F61">
        <v>119.536432446725</v>
      </c>
      <c r="G61">
        <f t="shared" si="0"/>
        <v>61.2245564254047</v>
      </c>
      <c r="H61">
        <f t="shared" si="1"/>
        <v>-58.311876021320302</v>
      </c>
      <c r="I61">
        <v>4.1900000000000004</v>
      </c>
      <c r="J61">
        <v>3.9786080000853801</v>
      </c>
      <c r="K61">
        <f t="shared" si="2"/>
        <v>4.8022455642540471</v>
      </c>
      <c r="L61">
        <f t="shared" si="3"/>
        <v>5.1739723245526301</v>
      </c>
    </row>
    <row r="62" spans="1:12" x14ac:dyDescent="0.25">
      <c r="A62" s="1">
        <v>40787</v>
      </c>
      <c r="B62">
        <v>1.1005164126042299</v>
      </c>
      <c r="C62">
        <v>0.94426676052690295</v>
      </c>
      <c r="D62">
        <v>82.395543302844601</v>
      </c>
      <c r="E62">
        <v>41.506729587769698</v>
      </c>
      <c r="F62">
        <v>119.497453332558</v>
      </c>
      <c r="G62">
        <f t="shared" si="0"/>
        <v>62.105615413480848</v>
      </c>
      <c r="H62">
        <f t="shared" si="1"/>
        <v>-57.391837919077147</v>
      </c>
      <c r="I62">
        <v>4.0025000000000004</v>
      </c>
      <c r="J62">
        <v>3.77226506482396</v>
      </c>
      <c r="K62">
        <f t="shared" si="2"/>
        <v>4.6235561541348087</v>
      </c>
      <c r="L62">
        <f t="shared" si="3"/>
        <v>4.9672395981495399</v>
      </c>
    </row>
    <row r="63" spans="1:12" x14ac:dyDescent="0.25">
      <c r="A63" s="1">
        <v>40817</v>
      </c>
      <c r="B63">
        <v>1.2416899499501699</v>
      </c>
      <c r="C63">
        <v>0.90389195248903098</v>
      </c>
      <c r="D63">
        <v>82.991338301620303</v>
      </c>
      <c r="E63">
        <v>43.146706026722697</v>
      </c>
      <c r="F63">
        <v>119.538257212069</v>
      </c>
      <c r="G63">
        <f t="shared" si="0"/>
        <v>63.894540602127776</v>
      </c>
      <c r="H63">
        <f t="shared" si="1"/>
        <v>-55.643716609941222</v>
      </c>
      <c r="I63">
        <v>4.0175000000000001</v>
      </c>
      <c r="J63">
        <v>3.7837868111978601</v>
      </c>
      <c r="K63">
        <f t="shared" si="2"/>
        <v>4.6564454060212777</v>
      </c>
      <c r="L63">
        <f t="shared" si="3"/>
        <v>4.97916938331855</v>
      </c>
    </row>
    <row r="64" spans="1:12" x14ac:dyDescent="0.25">
      <c r="A64" s="1">
        <v>40848</v>
      </c>
      <c r="B64">
        <v>1.18813877088279</v>
      </c>
      <c r="C64">
        <v>0.94952200989742097</v>
      </c>
      <c r="D64">
        <v>83.410485736596101</v>
      </c>
      <c r="E64">
        <v>44.304021155490602</v>
      </c>
      <c r="F64">
        <v>119.580615001322</v>
      </c>
      <c r="G64">
        <f t="shared" si="0"/>
        <v>65.156642589639631</v>
      </c>
      <c r="H64">
        <f t="shared" si="1"/>
        <v>-54.423972411682371</v>
      </c>
      <c r="I64">
        <v>3.919</v>
      </c>
      <c r="J64">
        <v>3.7118332877492399</v>
      </c>
      <c r="K64">
        <f t="shared" si="2"/>
        <v>4.5705664258963958</v>
      </c>
      <c r="L64">
        <f t="shared" si="3"/>
        <v>4.9076394377624597</v>
      </c>
    </row>
    <row r="65" spans="1:12" x14ac:dyDescent="0.25">
      <c r="A65" s="1">
        <v>40878</v>
      </c>
      <c r="B65">
        <v>1.24313535725519</v>
      </c>
      <c r="C65">
        <v>0.93894434583576503</v>
      </c>
      <c r="D65">
        <v>83.814017392920306</v>
      </c>
      <c r="E65">
        <v>45.451487699065297</v>
      </c>
      <c r="F65">
        <v>119.603066824571</v>
      </c>
      <c r="G65">
        <f t="shared" si="0"/>
        <v>66.404992047295366</v>
      </c>
      <c r="H65">
        <f t="shared" si="1"/>
        <v>-53.198074777275636</v>
      </c>
      <c r="I65">
        <v>3.8787500000000001</v>
      </c>
      <c r="J65">
        <v>3.6911476875436899</v>
      </c>
      <c r="K65">
        <f t="shared" si="2"/>
        <v>4.5427999204729543</v>
      </c>
      <c r="L65">
        <f t="shared" si="3"/>
        <v>4.8871783557894002</v>
      </c>
    </row>
    <row r="66" spans="1:12" x14ac:dyDescent="0.25">
      <c r="A66" s="1">
        <v>40909</v>
      </c>
      <c r="B66">
        <v>1.26245173655342</v>
      </c>
      <c r="C66">
        <v>0.95352175990951904</v>
      </c>
      <c r="D66">
        <v>83.997101658104995</v>
      </c>
      <c r="E66">
        <v>45.799021515674497</v>
      </c>
      <c r="F66">
        <v>119.63089021419999</v>
      </c>
      <c r="G66">
        <f t="shared" si="0"/>
        <v>66.798296930200749</v>
      </c>
      <c r="H66">
        <f t="shared" si="1"/>
        <v>-52.832593283999245</v>
      </c>
      <c r="I66">
        <v>3.8525</v>
      </c>
      <c r="J66">
        <v>3.6593909600241701</v>
      </c>
      <c r="K66">
        <f t="shared" si="2"/>
        <v>4.520482969302007</v>
      </c>
      <c r="L66">
        <f t="shared" si="3"/>
        <v>4.85569986216617</v>
      </c>
    </row>
    <row r="67" spans="1:12" x14ac:dyDescent="0.25">
      <c r="A67" s="1">
        <v>40940</v>
      </c>
      <c r="B67">
        <v>1.2495433936670099</v>
      </c>
      <c r="C67">
        <v>0.91606224131257197</v>
      </c>
      <c r="D67">
        <v>84.533410693420706</v>
      </c>
      <c r="E67">
        <v>46.737516267249603</v>
      </c>
      <c r="F67">
        <v>119.666975480662</v>
      </c>
      <c r="G67">
        <f t="shared" ref="G67:G116" si="4">D67/4+E67</f>
        <v>67.87086894060478</v>
      </c>
      <c r="H67">
        <f t="shared" ref="H67:H116" si="5">G67-F67</f>
        <v>-51.796106540057224</v>
      </c>
      <c r="I67">
        <v>3.8420000000000001</v>
      </c>
      <c r="J67">
        <v>3.6680947440079898</v>
      </c>
      <c r="K67">
        <f t="shared" ref="K67:K116" si="6">I67+D67/400+E67/100</f>
        <v>4.5207086894060478</v>
      </c>
      <c r="L67">
        <f t="shared" ref="L67:L116" si="7">J67+F67/100</f>
        <v>4.8647644988146101</v>
      </c>
    </row>
    <row r="68" spans="1:12" x14ac:dyDescent="0.25">
      <c r="A68" s="1">
        <v>40969</v>
      </c>
      <c r="B68">
        <v>1.2492791648645001</v>
      </c>
      <c r="C68">
        <v>0.81440931189631105</v>
      </c>
      <c r="D68">
        <v>85.047245618843306</v>
      </c>
      <c r="E68">
        <v>44.876989112190898</v>
      </c>
      <c r="F68">
        <v>119.67995879978</v>
      </c>
      <c r="G68">
        <f t="shared" si="4"/>
        <v>66.138800516901725</v>
      </c>
      <c r="H68">
        <f t="shared" si="5"/>
        <v>-53.541158282878271</v>
      </c>
      <c r="I68">
        <v>3.9112499999999999</v>
      </c>
      <c r="J68">
        <v>3.7415846292734001</v>
      </c>
      <c r="K68">
        <f t="shared" si="6"/>
        <v>4.5726380051690176</v>
      </c>
      <c r="L68">
        <f t="shared" si="7"/>
        <v>4.9383842172712002</v>
      </c>
    </row>
    <row r="69" spans="1:12" x14ac:dyDescent="0.25">
      <c r="A69" s="1">
        <v>41000</v>
      </c>
      <c r="B69">
        <v>1.2179423893264001</v>
      </c>
      <c r="C69">
        <v>0.87740442164135102</v>
      </c>
      <c r="D69">
        <v>85.590565393313298</v>
      </c>
      <c r="E69">
        <v>44.774856218167699</v>
      </c>
      <c r="F69">
        <v>119.538657796167</v>
      </c>
      <c r="G69">
        <f t="shared" si="4"/>
        <v>66.17249756649602</v>
      </c>
      <c r="H69">
        <f t="shared" si="5"/>
        <v>-53.366160229670982</v>
      </c>
      <c r="I69">
        <v>3.8412500000000001</v>
      </c>
      <c r="J69">
        <v>3.7182303079069698</v>
      </c>
      <c r="K69">
        <f t="shared" si="6"/>
        <v>4.5029749756649604</v>
      </c>
      <c r="L69">
        <f t="shared" si="7"/>
        <v>4.91361688586864</v>
      </c>
    </row>
    <row r="70" spans="1:12" x14ac:dyDescent="0.25">
      <c r="A70" s="1">
        <v>41030</v>
      </c>
      <c r="B70">
        <v>1.31061130400258</v>
      </c>
      <c r="C70">
        <v>0.85781752100042796</v>
      </c>
      <c r="D70">
        <v>86.208882624617303</v>
      </c>
      <c r="E70">
        <v>44.531300599393099</v>
      </c>
      <c r="F70">
        <v>135.73064837916999</v>
      </c>
      <c r="G70">
        <f t="shared" si="4"/>
        <v>66.083521255547424</v>
      </c>
      <c r="H70">
        <f t="shared" si="5"/>
        <v>-69.647127123622568</v>
      </c>
      <c r="I70">
        <v>3.738</v>
      </c>
      <c r="J70">
        <v>3.5976788536873601</v>
      </c>
      <c r="K70">
        <f t="shared" si="6"/>
        <v>4.3988352125554746</v>
      </c>
      <c r="L70">
        <f t="shared" si="7"/>
        <v>4.9549853374790604</v>
      </c>
    </row>
    <row r="71" spans="1:12" x14ac:dyDescent="0.25">
      <c r="A71" s="1">
        <v>41061</v>
      </c>
      <c r="B71">
        <v>1.44446663189519</v>
      </c>
      <c r="C71">
        <v>1.0209004000240001</v>
      </c>
      <c r="D71">
        <v>87.885552968400802</v>
      </c>
      <c r="E71">
        <v>44.029615231965401</v>
      </c>
      <c r="F71">
        <v>135.67211004902799</v>
      </c>
      <c r="G71">
        <f t="shared" si="4"/>
        <v>66.001003474065598</v>
      </c>
      <c r="H71">
        <f t="shared" si="5"/>
        <v>-69.671106574962394</v>
      </c>
      <c r="I71">
        <v>3.6</v>
      </c>
      <c r="J71">
        <v>3.4649886649002299</v>
      </c>
      <c r="K71">
        <f t="shared" si="6"/>
        <v>4.260010034740656</v>
      </c>
      <c r="L71">
        <f t="shared" si="7"/>
        <v>4.8217097653905103</v>
      </c>
    </row>
    <row r="72" spans="1:12" x14ac:dyDescent="0.25">
      <c r="A72" s="1">
        <v>41091</v>
      </c>
      <c r="B72">
        <v>1.5190633113910701</v>
      </c>
      <c r="C72">
        <v>1.46839563417268</v>
      </c>
      <c r="D72">
        <v>88.920434537910594</v>
      </c>
      <c r="E72">
        <v>45.922783255126802</v>
      </c>
      <c r="F72">
        <v>98.767269307220204</v>
      </c>
      <c r="G72">
        <f t="shared" si="4"/>
        <v>68.152891889604447</v>
      </c>
      <c r="H72">
        <f t="shared" si="5"/>
        <v>-30.614377417615756</v>
      </c>
      <c r="I72">
        <v>3.4812500000000002</v>
      </c>
      <c r="J72">
        <v>3.3445579040135298</v>
      </c>
      <c r="K72">
        <f t="shared" si="6"/>
        <v>4.1627789188960449</v>
      </c>
      <c r="L72">
        <f t="shared" si="7"/>
        <v>4.332230597085732</v>
      </c>
    </row>
    <row r="73" spans="1:12" x14ac:dyDescent="0.25">
      <c r="A73" s="1">
        <v>41122</v>
      </c>
      <c r="B73">
        <v>1.57537514121321</v>
      </c>
      <c r="C73">
        <v>1.38184933483196</v>
      </c>
      <c r="D73">
        <v>90.624421377028796</v>
      </c>
      <c r="E73">
        <v>48.090207050233197</v>
      </c>
      <c r="F73">
        <v>100.591574048661</v>
      </c>
      <c r="G73">
        <f t="shared" si="4"/>
        <v>70.746312394490388</v>
      </c>
      <c r="H73">
        <f t="shared" si="5"/>
        <v>-29.845261654170613</v>
      </c>
      <c r="I73">
        <v>3.512</v>
      </c>
      <c r="J73">
        <v>3.3763962853505598</v>
      </c>
      <c r="K73">
        <f t="shared" si="6"/>
        <v>4.2194631239449043</v>
      </c>
      <c r="L73">
        <f t="shared" si="7"/>
        <v>4.3823120258371695</v>
      </c>
    </row>
    <row r="74" spans="1:12" x14ac:dyDescent="0.25">
      <c r="A74" s="1">
        <v>41153</v>
      </c>
      <c r="B74">
        <v>1.45735058782931</v>
      </c>
      <c r="C74">
        <v>1.39969826710221</v>
      </c>
      <c r="D74">
        <v>91.927930250289407</v>
      </c>
      <c r="E74">
        <v>50.435635179055197</v>
      </c>
      <c r="F74">
        <v>102.739973853314</v>
      </c>
      <c r="G74">
        <f t="shared" si="4"/>
        <v>73.417617741627552</v>
      </c>
      <c r="H74">
        <f t="shared" si="5"/>
        <v>-29.322356111686446</v>
      </c>
      <c r="I74">
        <v>3.4037500000000001</v>
      </c>
      <c r="J74">
        <v>3.2764424158310401</v>
      </c>
      <c r="K74">
        <f t="shared" si="6"/>
        <v>4.1379261774162757</v>
      </c>
      <c r="L74">
        <f t="shared" si="7"/>
        <v>4.3038421543641796</v>
      </c>
    </row>
    <row r="75" spans="1:12" x14ac:dyDescent="0.25">
      <c r="A75" s="1">
        <v>41183</v>
      </c>
      <c r="B75">
        <v>1.4911460894972</v>
      </c>
      <c r="C75">
        <v>1.452460918771</v>
      </c>
      <c r="D75">
        <v>92.920451394589307</v>
      </c>
      <c r="E75">
        <v>52.325574970055797</v>
      </c>
      <c r="F75">
        <v>104.44521460646099</v>
      </c>
      <c r="G75">
        <f t="shared" si="4"/>
        <v>75.55568781870312</v>
      </c>
      <c r="H75">
        <f t="shared" si="5"/>
        <v>-28.889526787757873</v>
      </c>
      <c r="I75">
        <v>3.3039999999999998</v>
      </c>
      <c r="J75">
        <v>3.1536101087404602</v>
      </c>
      <c r="K75">
        <f t="shared" si="6"/>
        <v>4.0595568781870313</v>
      </c>
      <c r="L75">
        <f t="shared" si="7"/>
        <v>4.1980622548050697</v>
      </c>
    </row>
    <row r="76" spans="1:12" x14ac:dyDescent="0.25">
      <c r="A76" s="1">
        <v>41214</v>
      </c>
      <c r="B76">
        <v>1.4923513339665899</v>
      </c>
      <c r="C76">
        <v>1.3604513847048401</v>
      </c>
      <c r="D76">
        <v>93.787948704624498</v>
      </c>
      <c r="E76">
        <v>54.497077896285603</v>
      </c>
      <c r="F76">
        <v>106.457869476098</v>
      </c>
      <c r="G76">
        <f t="shared" si="4"/>
        <v>77.944065072441731</v>
      </c>
      <c r="H76">
        <f t="shared" si="5"/>
        <v>-28.513804403656266</v>
      </c>
      <c r="I76">
        <v>3.2737500000000002</v>
      </c>
      <c r="J76">
        <v>3.1507987957730501</v>
      </c>
      <c r="K76">
        <f t="shared" si="6"/>
        <v>4.0531906507244173</v>
      </c>
      <c r="L76">
        <f t="shared" si="7"/>
        <v>4.2153774905340295</v>
      </c>
    </row>
    <row r="77" spans="1:12" x14ac:dyDescent="0.25">
      <c r="A77" s="1">
        <v>41244</v>
      </c>
      <c r="B77">
        <v>1.41319206094571</v>
      </c>
      <c r="C77">
        <v>1.2625944953830599</v>
      </c>
      <c r="D77">
        <v>95.239089317911606</v>
      </c>
      <c r="E77">
        <v>56.9267551060233</v>
      </c>
      <c r="F77">
        <v>108.680508561568</v>
      </c>
      <c r="G77">
        <f t="shared" si="4"/>
        <v>80.736527435501202</v>
      </c>
      <c r="H77">
        <f t="shared" si="5"/>
        <v>-27.943981126066802</v>
      </c>
      <c r="I77">
        <v>3.27</v>
      </c>
      <c r="J77">
        <v>3.1449859996562002</v>
      </c>
      <c r="K77">
        <f t="shared" si="6"/>
        <v>4.0773652743550119</v>
      </c>
      <c r="L77">
        <f t="shared" si="7"/>
        <v>4.2317910852718805</v>
      </c>
    </row>
    <row r="78" spans="1:12" x14ac:dyDescent="0.25">
      <c r="A78" s="1">
        <v>41275</v>
      </c>
      <c r="B78">
        <v>1.3675157989675999</v>
      </c>
      <c r="C78">
        <v>1.1584770650818199</v>
      </c>
      <c r="D78">
        <v>96.266826488472802</v>
      </c>
      <c r="E78">
        <v>58.221137620759997</v>
      </c>
      <c r="F78">
        <v>109.878661655179</v>
      </c>
      <c r="G78">
        <f t="shared" si="4"/>
        <v>82.287844242878194</v>
      </c>
      <c r="H78">
        <f t="shared" si="5"/>
        <v>-27.590817412300808</v>
      </c>
      <c r="I78">
        <v>3.339</v>
      </c>
      <c r="J78">
        <v>3.20320383528089</v>
      </c>
      <c r="K78">
        <f t="shared" si="6"/>
        <v>4.1618784424287822</v>
      </c>
      <c r="L78">
        <f t="shared" si="7"/>
        <v>4.3019904518326797</v>
      </c>
    </row>
    <row r="79" spans="1:12" x14ac:dyDescent="0.25">
      <c r="A79" s="1">
        <v>41306</v>
      </c>
      <c r="B79">
        <v>1.2274176551509901</v>
      </c>
      <c r="C79">
        <v>0.95978135357102501</v>
      </c>
      <c r="D79">
        <v>97.489850260392302</v>
      </c>
      <c r="E79">
        <v>59.806312890870799</v>
      </c>
      <c r="F79">
        <v>111.348464501528</v>
      </c>
      <c r="G79">
        <f t="shared" si="4"/>
        <v>84.178775455968875</v>
      </c>
      <c r="H79">
        <f t="shared" si="5"/>
        <v>-27.169689045559124</v>
      </c>
      <c r="I79">
        <v>3.4824999999999999</v>
      </c>
      <c r="J79">
        <v>3.3349693406156899</v>
      </c>
      <c r="K79">
        <f t="shared" si="6"/>
        <v>4.3242877545596885</v>
      </c>
      <c r="L79">
        <f t="shared" si="7"/>
        <v>4.4484539856309695</v>
      </c>
    </row>
    <row r="80" spans="1:12" x14ac:dyDescent="0.25">
      <c r="A80" s="1">
        <v>41334</v>
      </c>
      <c r="B80">
        <v>1.0016565533330599</v>
      </c>
      <c r="C80">
        <v>0.87425658851413202</v>
      </c>
      <c r="D80">
        <v>98.878235356692102</v>
      </c>
      <c r="E80">
        <v>61.597642897446399</v>
      </c>
      <c r="F80">
        <v>112.960525855518</v>
      </c>
      <c r="G80">
        <f t="shared" si="4"/>
        <v>86.317201736619424</v>
      </c>
      <c r="H80">
        <f t="shared" si="5"/>
        <v>-26.643324118898576</v>
      </c>
      <c r="I80">
        <v>3.50875</v>
      </c>
      <c r="J80">
        <v>3.3435235538188399</v>
      </c>
      <c r="K80">
        <f t="shared" si="6"/>
        <v>4.3719220173661943</v>
      </c>
      <c r="L80">
        <f t="shared" si="7"/>
        <v>4.4731288123740196</v>
      </c>
    </row>
    <row r="81" spans="1:12" x14ac:dyDescent="0.25">
      <c r="A81" s="1">
        <v>41365</v>
      </c>
      <c r="B81">
        <v>0.88984656428818298</v>
      </c>
      <c r="C81">
        <v>0.92714684878648501</v>
      </c>
      <c r="D81">
        <v>102.563357226176</v>
      </c>
      <c r="E81">
        <v>63.820533693862799</v>
      </c>
      <c r="F81">
        <v>114.599060082886</v>
      </c>
      <c r="G81">
        <f t="shared" si="4"/>
        <v>89.461373000406795</v>
      </c>
      <c r="H81">
        <f t="shared" si="5"/>
        <v>-25.137687082479204</v>
      </c>
      <c r="I81">
        <v>3.3887499999999999</v>
      </c>
      <c r="J81">
        <v>3.22011489695943</v>
      </c>
      <c r="K81">
        <f t="shared" si="6"/>
        <v>4.2833637300040683</v>
      </c>
      <c r="L81">
        <f t="shared" si="7"/>
        <v>4.3661054977882898</v>
      </c>
    </row>
    <row r="82" spans="1:12" x14ac:dyDescent="0.25">
      <c r="A82" s="1">
        <v>41395</v>
      </c>
      <c r="B82">
        <v>0.89161469126951698</v>
      </c>
      <c r="C82">
        <v>0.73215886136977004</v>
      </c>
      <c r="D82">
        <v>107.768219866343</v>
      </c>
      <c r="E82">
        <v>69.192798208094104</v>
      </c>
      <c r="F82">
        <v>123.691094485685</v>
      </c>
      <c r="G82">
        <f t="shared" si="4"/>
        <v>96.134853174679847</v>
      </c>
      <c r="H82">
        <f t="shared" si="5"/>
        <v>-27.556241311005152</v>
      </c>
      <c r="I82">
        <v>3.4660000000000002</v>
      </c>
      <c r="J82">
        <v>3.2726723583698401</v>
      </c>
      <c r="K82">
        <f t="shared" si="6"/>
        <v>4.4273485317467989</v>
      </c>
      <c r="L82">
        <f t="shared" si="7"/>
        <v>4.5095833032266901</v>
      </c>
    </row>
    <row r="83" spans="1:12" x14ac:dyDescent="0.25">
      <c r="A83" s="1">
        <v>41426</v>
      </c>
      <c r="B83">
        <v>0.76723797088811596</v>
      </c>
      <c r="C83">
        <v>0.188540154496318</v>
      </c>
      <c r="D83">
        <v>114.79556187345899</v>
      </c>
      <c r="E83">
        <v>71.255581702314501</v>
      </c>
      <c r="F83">
        <v>124.15875984910301</v>
      </c>
      <c r="G83">
        <f t="shared" si="4"/>
        <v>99.954472170679253</v>
      </c>
      <c r="H83">
        <f t="shared" si="5"/>
        <v>-24.204287678423754</v>
      </c>
      <c r="I83">
        <v>4.0075000000000003</v>
      </c>
      <c r="J83">
        <v>3.8027105671264598</v>
      </c>
      <c r="K83">
        <f t="shared" si="6"/>
        <v>5.0070447217067926</v>
      </c>
      <c r="L83">
        <f t="shared" si="7"/>
        <v>5.0442981656174899</v>
      </c>
    </row>
    <row r="84" spans="1:12" x14ac:dyDescent="0.25">
      <c r="A84" s="1">
        <v>41456</v>
      </c>
      <c r="B84">
        <v>0.14023388184860699</v>
      </c>
      <c r="C84">
        <v>-0.19889173457418199</v>
      </c>
      <c r="D84">
        <v>117.91879650003</v>
      </c>
      <c r="E84">
        <v>73.383471106851204</v>
      </c>
      <c r="F84">
        <v>125.745306471449</v>
      </c>
      <c r="G84">
        <f t="shared" si="4"/>
        <v>102.8631702318587</v>
      </c>
      <c r="H84">
        <f t="shared" si="5"/>
        <v>-22.882136239590295</v>
      </c>
      <c r="I84">
        <v>4.3090000000000002</v>
      </c>
      <c r="J84">
        <v>4.1178551150063099</v>
      </c>
      <c r="K84">
        <f t="shared" si="6"/>
        <v>5.3376317023185873</v>
      </c>
      <c r="L84">
        <f t="shared" si="7"/>
        <v>5.3753081797207996</v>
      </c>
    </row>
    <row r="85" spans="1:12" x14ac:dyDescent="0.25">
      <c r="A85" s="1">
        <v>41487</v>
      </c>
      <c r="B85">
        <v>-0.23497669619383699</v>
      </c>
      <c r="C85">
        <v>-0.35284493950285201</v>
      </c>
      <c r="D85">
        <v>119.676022220815</v>
      </c>
      <c r="E85">
        <v>75.722237185595304</v>
      </c>
      <c r="F85">
        <v>126.78897476496201</v>
      </c>
      <c r="G85">
        <f t="shared" si="4"/>
        <v>105.64124274079906</v>
      </c>
      <c r="H85">
        <f t="shared" si="5"/>
        <v>-21.147732024162949</v>
      </c>
      <c r="I85">
        <v>4.4037499999999996</v>
      </c>
      <c r="J85">
        <v>4.2154426593368903</v>
      </c>
      <c r="K85">
        <f t="shared" si="6"/>
        <v>5.4601624274079903</v>
      </c>
      <c r="L85">
        <f t="shared" si="7"/>
        <v>5.4833324069865101</v>
      </c>
    </row>
    <row r="86" spans="1:12" x14ac:dyDescent="0.25">
      <c r="A86" s="1">
        <v>41518</v>
      </c>
      <c r="B86">
        <v>-0.37638014184963298</v>
      </c>
      <c r="C86">
        <v>-0.41690336512236498</v>
      </c>
      <c r="D86">
        <v>120.67363507956701</v>
      </c>
      <c r="E86">
        <v>77.062989761998793</v>
      </c>
      <c r="F86">
        <v>128.11971971360001</v>
      </c>
      <c r="G86">
        <f t="shared" si="4"/>
        <v>107.23139853189055</v>
      </c>
      <c r="H86">
        <f t="shared" si="5"/>
        <v>-20.888321181709458</v>
      </c>
      <c r="I86">
        <v>4.4212499999999997</v>
      </c>
      <c r="J86">
        <v>4.2354199009091396</v>
      </c>
      <c r="K86">
        <f t="shared" si="6"/>
        <v>5.4935639853189047</v>
      </c>
      <c r="L86">
        <f t="shared" si="7"/>
        <v>5.5166170980451401</v>
      </c>
    </row>
    <row r="87" spans="1:12" x14ac:dyDescent="0.25">
      <c r="A87" s="1">
        <v>41548</v>
      </c>
      <c r="B87">
        <v>-0.438248032920313</v>
      </c>
      <c r="C87">
        <v>-0.13030860498397401</v>
      </c>
      <c r="D87">
        <v>120.047983639485</v>
      </c>
      <c r="E87">
        <v>78.802297050153101</v>
      </c>
      <c r="F87">
        <v>129.918868400441</v>
      </c>
      <c r="G87">
        <f t="shared" si="4"/>
        <v>108.81429296002435</v>
      </c>
      <c r="H87">
        <f t="shared" si="5"/>
        <v>-21.104575440416653</v>
      </c>
      <c r="I87">
        <v>4.1219999999999999</v>
      </c>
      <c r="J87">
        <v>3.9022955081771702</v>
      </c>
      <c r="K87">
        <f t="shared" si="6"/>
        <v>5.2101429296002433</v>
      </c>
      <c r="L87">
        <f t="shared" si="7"/>
        <v>5.2014841921815798</v>
      </c>
    </row>
    <row r="88" spans="1:12" x14ac:dyDescent="0.25">
      <c r="A88" s="1">
        <v>41579</v>
      </c>
      <c r="B88">
        <v>-0.17152263641851001</v>
      </c>
      <c r="C88">
        <v>-0.17235481034674799</v>
      </c>
      <c r="D88">
        <v>119.24334719235701</v>
      </c>
      <c r="E88">
        <v>80.657478292182702</v>
      </c>
      <c r="F88">
        <v>131.37573364797899</v>
      </c>
      <c r="G88">
        <f t="shared" si="4"/>
        <v>110.46831509027196</v>
      </c>
      <c r="H88">
        <f t="shared" si="5"/>
        <v>-20.907418557707032</v>
      </c>
      <c r="I88">
        <v>4.1862499999999896</v>
      </c>
      <c r="J88">
        <v>3.91378055451358</v>
      </c>
      <c r="K88">
        <f t="shared" si="6"/>
        <v>5.2909331509027098</v>
      </c>
      <c r="L88">
        <f t="shared" si="7"/>
        <v>5.2275378909933696</v>
      </c>
    </row>
    <row r="89" spans="1:12" x14ac:dyDescent="0.25">
      <c r="A89" s="1">
        <v>41609</v>
      </c>
      <c r="B89">
        <v>-0.302435193079992</v>
      </c>
      <c r="C89">
        <v>-0.39131860714037497</v>
      </c>
      <c r="D89">
        <v>138.71203158840501</v>
      </c>
      <c r="E89">
        <v>82.251720265960202</v>
      </c>
      <c r="F89">
        <v>132.679634411216</v>
      </c>
      <c r="G89">
        <f t="shared" si="4"/>
        <v>116.92972816306145</v>
      </c>
      <c r="H89">
        <f t="shared" si="5"/>
        <v>-15.749906248154545</v>
      </c>
      <c r="I89">
        <v>4.37</v>
      </c>
      <c r="J89">
        <v>4.1176633465298602</v>
      </c>
      <c r="K89">
        <f t="shared" si="6"/>
        <v>5.5392972816306152</v>
      </c>
      <c r="L89">
        <f t="shared" si="7"/>
        <v>5.4444596906420202</v>
      </c>
    </row>
    <row r="90" spans="1:12" x14ac:dyDescent="0.25">
      <c r="A90" s="1">
        <v>41640</v>
      </c>
      <c r="B90">
        <v>-0.495133207729122</v>
      </c>
      <c r="C90">
        <v>-0.3444206491099</v>
      </c>
      <c r="D90">
        <v>138.59062867460801</v>
      </c>
      <c r="E90">
        <v>83.329697820165407</v>
      </c>
      <c r="F90">
        <v>133.69323213200599</v>
      </c>
      <c r="G90">
        <f t="shared" si="4"/>
        <v>117.97735498881741</v>
      </c>
      <c r="H90">
        <f t="shared" si="5"/>
        <v>-15.715877143188578</v>
      </c>
      <c r="I90">
        <v>4.3620000000000001</v>
      </c>
      <c r="J90">
        <v>4.0621676707913901</v>
      </c>
      <c r="K90">
        <f t="shared" si="6"/>
        <v>5.5417735498881742</v>
      </c>
      <c r="L90">
        <f t="shared" si="7"/>
        <v>5.3990999921114504</v>
      </c>
    </row>
    <row r="91" spans="1:12" x14ac:dyDescent="0.25">
      <c r="A91" s="1">
        <v>41671</v>
      </c>
      <c r="B91">
        <v>-0.49818640879425502</v>
      </c>
      <c r="C91">
        <v>-0.16354307324411299</v>
      </c>
      <c r="D91">
        <v>139.00314705470501</v>
      </c>
      <c r="E91">
        <v>84.2472867941961</v>
      </c>
      <c r="F91">
        <v>134.530880551048</v>
      </c>
      <c r="G91">
        <f t="shared" si="4"/>
        <v>118.99807355787235</v>
      </c>
      <c r="H91">
        <f t="shared" si="5"/>
        <v>-15.532806993175654</v>
      </c>
      <c r="I91">
        <v>4.2274999999999903</v>
      </c>
      <c r="J91">
        <v>3.8720594482734998</v>
      </c>
      <c r="K91">
        <f t="shared" si="6"/>
        <v>5.4174807355787138</v>
      </c>
      <c r="L91">
        <f t="shared" si="7"/>
        <v>5.2173682537839801</v>
      </c>
    </row>
    <row r="92" spans="1:12" x14ac:dyDescent="0.25">
      <c r="A92" s="1">
        <v>41699</v>
      </c>
      <c r="B92">
        <v>-0.36724442205045998</v>
      </c>
      <c r="C92">
        <v>-0.155026682441852</v>
      </c>
      <c r="D92">
        <v>139.34001109438199</v>
      </c>
      <c r="E92">
        <v>85.079836103367299</v>
      </c>
      <c r="F92">
        <v>135.157330043229</v>
      </c>
      <c r="G92">
        <f t="shared" si="4"/>
        <v>119.91483887696279</v>
      </c>
      <c r="H92">
        <f t="shared" si="5"/>
        <v>-15.242491166266205</v>
      </c>
      <c r="I92">
        <v>4.2487500000000002</v>
      </c>
      <c r="J92">
        <v>3.86281099160778</v>
      </c>
      <c r="K92">
        <f t="shared" si="6"/>
        <v>5.4478983887696284</v>
      </c>
      <c r="L92">
        <f t="shared" si="7"/>
        <v>5.2143842920400694</v>
      </c>
    </row>
    <row r="93" spans="1:12" x14ac:dyDescent="0.25">
      <c r="A93" s="1">
        <v>41730</v>
      </c>
      <c r="B93">
        <v>-0.39536601018547202</v>
      </c>
      <c r="C93">
        <v>-0.122625955816933</v>
      </c>
      <c r="D93">
        <v>170.14023109638299</v>
      </c>
      <c r="E93">
        <v>81.938850756795603</v>
      </c>
      <c r="F93">
        <v>134.304995092616</v>
      </c>
      <c r="G93">
        <f t="shared" si="4"/>
        <v>124.47390853089135</v>
      </c>
      <c r="H93">
        <f t="shared" si="5"/>
        <v>-9.8310865617246463</v>
      </c>
      <c r="I93">
        <v>4.2479999999999896</v>
      </c>
      <c r="J93">
        <v>3.8776764353634201</v>
      </c>
      <c r="K93">
        <f t="shared" si="6"/>
        <v>5.4927390853089024</v>
      </c>
      <c r="L93">
        <f t="shared" si="7"/>
        <v>5.2207263862895799</v>
      </c>
    </row>
    <row r="94" spans="1:12" x14ac:dyDescent="0.25">
      <c r="A94" s="1">
        <v>41760</v>
      </c>
      <c r="B94">
        <v>-0.36971468281989101</v>
      </c>
      <c r="C94">
        <v>4.8439180470666997E-2</v>
      </c>
      <c r="D94">
        <v>172.45545371197801</v>
      </c>
      <c r="E94">
        <v>80.165890826125107</v>
      </c>
      <c r="F94">
        <v>134.38101382261701</v>
      </c>
      <c r="G94">
        <f t="shared" si="4"/>
        <v>123.27975425411961</v>
      </c>
      <c r="H94">
        <f t="shared" si="5"/>
        <v>-11.101259568497397</v>
      </c>
      <c r="I94">
        <v>4.0674999999999999</v>
      </c>
      <c r="J94">
        <v>3.7187627457499901</v>
      </c>
      <c r="K94">
        <f t="shared" si="6"/>
        <v>5.3002975425411956</v>
      </c>
      <c r="L94">
        <f t="shared" si="7"/>
        <v>5.0625728839761601</v>
      </c>
    </row>
    <row r="95" spans="1:12" x14ac:dyDescent="0.25">
      <c r="A95" s="1">
        <v>41791</v>
      </c>
      <c r="B95">
        <v>-0.20585538281246299</v>
      </c>
      <c r="C95">
        <v>0.103121342249322</v>
      </c>
      <c r="D95">
        <v>175.88516295746101</v>
      </c>
      <c r="E95">
        <v>81.392330184329197</v>
      </c>
      <c r="F95">
        <v>134.69335811076201</v>
      </c>
      <c r="G95">
        <f t="shared" si="4"/>
        <v>125.36362092369444</v>
      </c>
      <c r="H95">
        <f t="shared" si="5"/>
        <v>-9.3297371870675647</v>
      </c>
      <c r="I95">
        <v>4.05</v>
      </c>
      <c r="J95">
        <v>3.6651940056988099</v>
      </c>
      <c r="K95">
        <f t="shared" si="6"/>
        <v>5.3036362092369442</v>
      </c>
      <c r="L95">
        <f t="shared" si="7"/>
        <v>5.0121275868064297</v>
      </c>
    </row>
    <row r="96" spans="1:12" x14ac:dyDescent="0.25">
      <c r="A96" s="1">
        <v>41821</v>
      </c>
      <c r="B96">
        <v>-0.19700966383448101</v>
      </c>
      <c r="C96">
        <v>9.6673810938530003E-2</v>
      </c>
      <c r="D96">
        <v>176.64658282604401</v>
      </c>
      <c r="E96">
        <v>82.012667606243397</v>
      </c>
      <c r="F96">
        <v>135.515815084785</v>
      </c>
      <c r="G96">
        <f t="shared" si="4"/>
        <v>126.17431331275441</v>
      </c>
      <c r="H96">
        <f t="shared" si="5"/>
        <v>-9.3415017720305968</v>
      </c>
      <c r="I96">
        <v>4.03</v>
      </c>
      <c r="J96">
        <v>3.66285646843914</v>
      </c>
      <c r="K96">
        <f t="shared" si="6"/>
        <v>5.291743133127544</v>
      </c>
      <c r="L96">
        <f t="shared" si="7"/>
        <v>5.0180146192869906</v>
      </c>
    </row>
    <row r="97" spans="1:12" x14ac:dyDescent="0.25">
      <c r="A97" s="1">
        <v>41852</v>
      </c>
      <c r="B97">
        <v>-0.190559984540522</v>
      </c>
      <c r="C97">
        <v>8.0890420217386003E-2</v>
      </c>
      <c r="D97">
        <v>177.096752088686</v>
      </c>
      <c r="E97">
        <v>82.624854592353401</v>
      </c>
      <c r="F97">
        <v>136.28425502008099</v>
      </c>
      <c r="G97">
        <f t="shared" si="4"/>
        <v>126.8990426145249</v>
      </c>
      <c r="H97">
        <f t="shared" si="5"/>
        <v>-9.3852124055560893</v>
      </c>
      <c r="I97">
        <v>4.00875</v>
      </c>
      <c r="J97">
        <v>3.6647184928166099</v>
      </c>
      <c r="K97">
        <f t="shared" si="6"/>
        <v>5.2777404261452485</v>
      </c>
      <c r="L97">
        <f t="shared" si="7"/>
        <v>5.0275610430174194</v>
      </c>
    </row>
    <row r="98" spans="1:12" x14ac:dyDescent="0.25">
      <c r="A98" s="1">
        <v>41883</v>
      </c>
      <c r="B98">
        <v>-0.18545491336662601</v>
      </c>
      <c r="C98">
        <v>1.6223423037523999E-2</v>
      </c>
      <c r="D98">
        <v>177.24791013750399</v>
      </c>
      <c r="E98">
        <v>83.205336027448794</v>
      </c>
      <c r="F98">
        <v>137.03186504014101</v>
      </c>
      <c r="G98">
        <f t="shared" si="4"/>
        <v>127.51731356182479</v>
      </c>
      <c r="H98">
        <f t="shared" si="5"/>
        <v>-9.5145514783162213</v>
      </c>
      <c r="I98">
        <v>4.0374999999999996</v>
      </c>
      <c r="J98">
        <v>3.71189671740182</v>
      </c>
      <c r="K98">
        <f t="shared" si="6"/>
        <v>5.3126731356182475</v>
      </c>
      <c r="L98">
        <f t="shared" si="7"/>
        <v>5.0822153678032302</v>
      </c>
    </row>
    <row r="99" spans="1:12" x14ac:dyDescent="0.25">
      <c r="A99" s="1">
        <v>41913</v>
      </c>
      <c r="B99">
        <v>-0.21606289410572899</v>
      </c>
      <c r="C99">
        <v>0.146540928541886</v>
      </c>
      <c r="D99">
        <v>175.749955593837</v>
      </c>
      <c r="E99">
        <v>83.521309962121904</v>
      </c>
      <c r="F99">
        <v>137.82472548816</v>
      </c>
      <c r="G99">
        <f t="shared" si="4"/>
        <v>127.45879886058115</v>
      </c>
      <c r="H99">
        <f t="shared" si="5"/>
        <v>-10.365926627578844</v>
      </c>
      <c r="I99">
        <v>3.9060000000000001</v>
      </c>
      <c r="J99">
        <v>3.5711646361776199</v>
      </c>
      <c r="K99">
        <f t="shared" si="6"/>
        <v>5.1805879886058115</v>
      </c>
      <c r="L99">
        <f t="shared" si="7"/>
        <v>4.9494118910592197</v>
      </c>
    </row>
    <row r="100" spans="1:12" x14ac:dyDescent="0.25">
      <c r="A100" s="1">
        <v>41944</v>
      </c>
      <c r="B100">
        <v>-0.10002284148092</v>
      </c>
      <c r="C100">
        <v>0.17803697835836499</v>
      </c>
      <c r="D100">
        <v>173.92901010549701</v>
      </c>
      <c r="E100">
        <v>84.793384330030193</v>
      </c>
      <c r="F100">
        <v>138.60020409953501</v>
      </c>
      <c r="G100">
        <f t="shared" si="4"/>
        <v>128.27563685640445</v>
      </c>
      <c r="H100">
        <f t="shared" si="5"/>
        <v>-10.324567243130559</v>
      </c>
      <c r="I100">
        <v>3.8725000000000001</v>
      </c>
      <c r="J100">
        <v>3.5247011446028802</v>
      </c>
      <c r="K100">
        <f t="shared" si="6"/>
        <v>5.1552563685640447</v>
      </c>
      <c r="L100">
        <f t="shared" si="7"/>
        <v>4.9107031855982299</v>
      </c>
    </row>
    <row r="101" spans="1:12" x14ac:dyDescent="0.25">
      <c r="A101" s="1">
        <v>41974</v>
      </c>
      <c r="B101">
        <v>-7.8727708967870902E-2</v>
      </c>
      <c r="C101">
        <v>0.265711496884181</v>
      </c>
      <c r="D101">
        <v>171.898855015707</v>
      </c>
      <c r="E101">
        <v>85.6024654096978</v>
      </c>
      <c r="F101">
        <v>139.187969575875</v>
      </c>
      <c r="G101">
        <f t="shared" si="4"/>
        <v>128.57717916362455</v>
      </c>
      <c r="H101">
        <f t="shared" si="5"/>
        <v>-10.610790412250452</v>
      </c>
      <c r="I101">
        <v>3.754</v>
      </c>
      <c r="J101">
        <v>3.4219368177475298</v>
      </c>
      <c r="K101">
        <f t="shared" si="6"/>
        <v>5.0397717916362454</v>
      </c>
      <c r="L101">
        <f t="shared" si="7"/>
        <v>4.8138165135062803</v>
      </c>
    </row>
    <row r="102" spans="1:12" x14ac:dyDescent="0.25">
      <c r="A102" s="1">
        <v>42005</v>
      </c>
      <c r="B102">
        <v>0.16062940918027199</v>
      </c>
      <c r="C102">
        <v>0.43724095777847399</v>
      </c>
      <c r="D102">
        <v>118.923686453014</v>
      </c>
      <c r="E102">
        <v>85.567964260433797</v>
      </c>
      <c r="F102">
        <v>139.41032924414301</v>
      </c>
      <c r="G102">
        <f t="shared" si="4"/>
        <v>115.2988858736873</v>
      </c>
      <c r="H102">
        <f t="shared" si="5"/>
        <v>-24.111443370455717</v>
      </c>
      <c r="I102">
        <v>3.5762499999999999</v>
      </c>
      <c r="J102">
        <v>3.2362639469880801</v>
      </c>
      <c r="K102">
        <f t="shared" si="6"/>
        <v>4.7292388587368732</v>
      </c>
      <c r="L102">
        <f t="shared" si="7"/>
        <v>4.6303672394295106</v>
      </c>
    </row>
    <row r="103" spans="1:12" x14ac:dyDescent="0.25">
      <c r="A103" s="1">
        <v>42036</v>
      </c>
      <c r="B103">
        <v>0.320175292800366</v>
      </c>
      <c r="C103">
        <v>0.79858079715019903</v>
      </c>
      <c r="D103">
        <v>118.456424355491</v>
      </c>
      <c r="E103">
        <v>85.7466454849868</v>
      </c>
      <c r="F103">
        <v>92.903627914651096</v>
      </c>
      <c r="G103">
        <f t="shared" si="4"/>
        <v>115.36075157385955</v>
      </c>
      <c r="H103">
        <f t="shared" si="5"/>
        <v>22.457123659208449</v>
      </c>
      <c r="I103">
        <v>3.61625</v>
      </c>
      <c r="J103">
        <v>3.3224182037598098</v>
      </c>
      <c r="K103">
        <f t="shared" si="6"/>
        <v>4.769857515738595</v>
      </c>
      <c r="L103">
        <f t="shared" si="7"/>
        <v>4.251454482906321</v>
      </c>
    </row>
    <row r="104" spans="1:12" x14ac:dyDescent="0.25">
      <c r="A104" s="1">
        <v>42064</v>
      </c>
      <c r="B104">
        <v>0.24996194448634601</v>
      </c>
      <c r="C104">
        <v>0.68724579109452399</v>
      </c>
      <c r="D104">
        <v>118.335229175422</v>
      </c>
      <c r="E104">
        <v>86.223633712238794</v>
      </c>
      <c r="F104">
        <v>93.099418941113598</v>
      </c>
      <c r="G104">
        <f t="shared" si="4"/>
        <v>115.80744100609429</v>
      </c>
      <c r="H104">
        <f t="shared" si="5"/>
        <v>22.708022064980696</v>
      </c>
      <c r="I104">
        <v>3.67</v>
      </c>
      <c r="J104">
        <v>3.4060470102212701</v>
      </c>
      <c r="K104">
        <f t="shared" si="6"/>
        <v>4.8280744100609425</v>
      </c>
      <c r="L104">
        <f t="shared" si="7"/>
        <v>4.3370411996324059</v>
      </c>
    </row>
    <row r="105" spans="1:12" x14ac:dyDescent="0.25">
      <c r="A105" s="1">
        <v>42095</v>
      </c>
      <c r="B105">
        <v>0.17011925407342501</v>
      </c>
      <c r="C105">
        <v>0.74850148467866096</v>
      </c>
      <c r="D105">
        <v>119.76262902513901</v>
      </c>
      <c r="E105">
        <v>84.356435309326798</v>
      </c>
      <c r="F105">
        <v>92.842414096681495</v>
      </c>
      <c r="G105">
        <f t="shared" si="4"/>
        <v>114.29709256561155</v>
      </c>
      <c r="H105">
        <f t="shared" si="5"/>
        <v>21.454678468930055</v>
      </c>
      <c r="I105">
        <v>3.577</v>
      </c>
      <c r="J105">
        <v>3.3061475303267298</v>
      </c>
      <c r="K105">
        <f t="shared" si="6"/>
        <v>4.7199709256561153</v>
      </c>
      <c r="L105">
        <f t="shared" si="7"/>
        <v>4.2345716712935451</v>
      </c>
    </row>
    <row r="106" spans="1:12" x14ac:dyDescent="0.25">
      <c r="A106" s="1">
        <v>42125</v>
      </c>
      <c r="B106">
        <v>0.16425793495383001</v>
      </c>
      <c r="C106">
        <v>0.42714300034900199</v>
      </c>
      <c r="D106">
        <v>122.984295195908</v>
      </c>
      <c r="E106">
        <v>85.534608032476299</v>
      </c>
      <c r="F106">
        <v>93.090406102176601</v>
      </c>
      <c r="G106">
        <f t="shared" si="4"/>
        <v>116.28068183145331</v>
      </c>
      <c r="H106">
        <f t="shared" si="5"/>
        <v>23.190275729276706</v>
      </c>
      <c r="I106">
        <v>3.7462499999999999</v>
      </c>
      <c r="J106">
        <v>3.54597774694864</v>
      </c>
      <c r="K106">
        <f t="shared" si="6"/>
        <v>4.9090568183145322</v>
      </c>
      <c r="L106">
        <f t="shared" si="7"/>
        <v>4.4768818079704058</v>
      </c>
    </row>
    <row r="107" spans="1:12" x14ac:dyDescent="0.25">
      <c r="A107" s="1">
        <v>42156</v>
      </c>
      <c r="B107">
        <v>-0.10716619103494</v>
      </c>
      <c r="C107">
        <v>0.217760390593981</v>
      </c>
      <c r="D107">
        <v>127.418611576988</v>
      </c>
      <c r="E107">
        <v>87.305315124244402</v>
      </c>
      <c r="F107">
        <v>93.365180423911198</v>
      </c>
      <c r="G107">
        <f t="shared" si="4"/>
        <v>119.1599680184914</v>
      </c>
      <c r="H107">
        <f t="shared" si="5"/>
        <v>25.7947875945802</v>
      </c>
      <c r="I107">
        <v>3.895</v>
      </c>
      <c r="J107">
        <v>3.6792670943713599</v>
      </c>
      <c r="K107">
        <f t="shared" si="6"/>
        <v>5.0865996801849143</v>
      </c>
      <c r="L107">
        <f t="shared" si="7"/>
        <v>4.6129188986104719</v>
      </c>
    </row>
    <row r="108" spans="1:12" x14ac:dyDescent="0.25">
      <c r="A108" s="1">
        <v>42186</v>
      </c>
      <c r="B108">
        <v>-0.29455780146528598</v>
      </c>
      <c r="C108">
        <v>0.104601292949578</v>
      </c>
      <c r="D108">
        <v>126.683763753514</v>
      </c>
      <c r="E108">
        <v>87.646637526293802</v>
      </c>
      <c r="F108">
        <v>93.631738123146704</v>
      </c>
      <c r="G108">
        <f t="shared" si="4"/>
        <v>119.31757846467229</v>
      </c>
      <c r="H108">
        <f t="shared" si="5"/>
        <v>25.685840341525591</v>
      </c>
      <c r="I108">
        <v>3.9460000000000002</v>
      </c>
      <c r="J108">
        <v>3.7526371783466299</v>
      </c>
      <c r="K108">
        <f t="shared" si="6"/>
        <v>5.1391757846467225</v>
      </c>
      <c r="L108">
        <f t="shared" si="7"/>
        <v>4.6889545595780966</v>
      </c>
    </row>
    <row r="109" spans="1:12" x14ac:dyDescent="0.25">
      <c r="A109" s="1">
        <v>42217</v>
      </c>
      <c r="B109">
        <v>-0.37993628034021698</v>
      </c>
      <c r="C109">
        <v>0.234175675352119</v>
      </c>
      <c r="D109">
        <v>126.316559006402</v>
      </c>
      <c r="E109">
        <v>88.086204019317094</v>
      </c>
      <c r="F109">
        <v>93.890751255958605</v>
      </c>
      <c r="G109">
        <f t="shared" si="4"/>
        <v>119.66534377091759</v>
      </c>
      <c r="H109">
        <f t="shared" si="5"/>
        <v>25.774592514958982</v>
      </c>
      <c r="I109">
        <v>3.8050000000000002</v>
      </c>
      <c r="J109">
        <v>3.5896554812488901</v>
      </c>
      <c r="K109">
        <f t="shared" si="6"/>
        <v>5.0016534377091766</v>
      </c>
      <c r="L109">
        <f t="shared" si="7"/>
        <v>4.5285629938084764</v>
      </c>
    </row>
    <row r="110" spans="1:12" x14ac:dyDescent="0.25">
      <c r="A110" s="1">
        <v>42248</v>
      </c>
      <c r="B110">
        <v>-0.19373725874706199</v>
      </c>
      <c r="C110">
        <v>0.260801093094157</v>
      </c>
      <c r="D110">
        <v>103.988814593418</v>
      </c>
      <c r="E110">
        <v>88.351449941557604</v>
      </c>
      <c r="F110">
        <v>94.043884107478803</v>
      </c>
      <c r="G110">
        <f t="shared" si="4"/>
        <v>114.3486535899121</v>
      </c>
      <c r="H110">
        <f t="shared" si="5"/>
        <v>20.304769482433301</v>
      </c>
      <c r="I110">
        <v>3.7869999999999999</v>
      </c>
      <c r="J110">
        <v>3.5535398101031102</v>
      </c>
      <c r="K110">
        <f t="shared" si="6"/>
        <v>4.9304865358991217</v>
      </c>
      <c r="L110">
        <f t="shared" si="7"/>
        <v>4.4939786511778985</v>
      </c>
    </row>
    <row r="111" spans="1:12" x14ac:dyDescent="0.25">
      <c r="A111" s="1">
        <v>42278</v>
      </c>
      <c r="B111">
        <v>-0.137063085283161</v>
      </c>
      <c r="C111">
        <v>0.382470349832918</v>
      </c>
      <c r="D111">
        <v>98.784130267438897</v>
      </c>
      <c r="E111">
        <v>87.703422068566198</v>
      </c>
      <c r="F111">
        <v>94.208468772126594</v>
      </c>
      <c r="G111">
        <f t="shared" si="4"/>
        <v>112.39945463542593</v>
      </c>
      <c r="H111">
        <f t="shared" si="5"/>
        <v>18.190985863299332</v>
      </c>
      <c r="I111">
        <v>3.6825000000000001</v>
      </c>
      <c r="J111">
        <v>3.4494216505671802</v>
      </c>
      <c r="K111">
        <f t="shared" si="6"/>
        <v>4.8064945463542594</v>
      </c>
      <c r="L111">
        <f t="shared" si="7"/>
        <v>4.3915063382884458</v>
      </c>
    </row>
    <row r="112" spans="1:12" x14ac:dyDescent="0.25">
      <c r="A112" s="1">
        <v>42309</v>
      </c>
      <c r="B112">
        <v>-1.4840978624518201E-2</v>
      </c>
      <c r="C112">
        <v>0.25998062379946901</v>
      </c>
      <c r="D112">
        <v>95.710395288413196</v>
      </c>
      <c r="E112">
        <v>87.829640783451296</v>
      </c>
      <c r="F112">
        <v>94.367172266410407</v>
      </c>
      <c r="G112">
        <f t="shared" si="4"/>
        <v>111.75723960555459</v>
      </c>
      <c r="H112">
        <f t="shared" si="5"/>
        <v>17.390067339144181</v>
      </c>
      <c r="I112">
        <v>3.8487499999999999</v>
      </c>
      <c r="J112">
        <v>3.58154985049317</v>
      </c>
      <c r="K112">
        <f t="shared" si="6"/>
        <v>4.9663223960555456</v>
      </c>
      <c r="L112">
        <f t="shared" si="7"/>
        <v>4.5252215731572738</v>
      </c>
    </row>
    <row r="113" spans="1:12" x14ac:dyDescent="0.25">
      <c r="A113" s="1">
        <v>42339</v>
      </c>
      <c r="B113">
        <v>-0.17705693467389499</v>
      </c>
      <c r="C113">
        <v>0.22729686148782199</v>
      </c>
      <c r="D113">
        <v>94.068191189455604</v>
      </c>
      <c r="E113">
        <v>88.197745703113199</v>
      </c>
      <c r="F113">
        <v>94.506411381263106</v>
      </c>
      <c r="G113">
        <f t="shared" si="4"/>
        <v>111.7147935004771</v>
      </c>
      <c r="H113">
        <f t="shared" si="5"/>
        <v>17.208382119213994</v>
      </c>
      <c r="I113">
        <v>3.8639999999999999</v>
      </c>
      <c r="J113">
        <v>3.61647099462698</v>
      </c>
      <c r="K113">
        <f t="shared" si="6"/>
        <v>4.9811479350047714</v>
      </c>
      <c r="L113">
        <f t="shared" si="7"/>
        <v>4.5615351084396112</v>
      </c>
    </row>
    <row r="114" spans="1:12" x14ac:dyDescent="0.25">
      <c r="A114" s="1">
        <v>42370</v>
      </c>
      <c r="B114">
        <v>-0.18116034332601899</v>
      </c>
      <c r="C114">
        <v>0.34504916062656699</v>
      </c>
      <c r="D114">
        <v>92.614784379325201</v>
      </c>
      <c r="E114">
        <v>87.563752532895805</v>
      </c>
      <c r="F114">
        <v>94.498442529784896</v>
      </c>
      <c r="G114">
        <f t="shared" si="4"/>
        <v>110.71744862772711</v>
      </c>
      <c r="H114">
        <f t="shared" si="5"/>
        <v>16.219006097942213</v>
      </c>
      <c r="I114">
        <v>3.7725</v>
      </c>
      <c r="J114">
        <v>3.4999347482926999</v>
      </c>
      <c r="K114">
        <f t="shared" si="6"/>
        <v>4.8796744862772714</v>
      </c>
      <c r="L114">
        <f t="shared" si="7"/>
        <v>4.4449191735905487</v>
      </c>
    </row>
    <row r="115" spans="1:12" x14ac:dyDescent="0.25">
      <c r="A115" s="1">
        <v>42401</v>
      </c>
      <c r="B115">
        <v>-7.9393370902369198E-2</v>
      </c>
      <c r="C115">
        <v>0.53654265453001104</v>
      </c>
      <c r="D115">
        <v>91.356952577351393</v>
      </c>
      <c r="E115">
        <v>87.001264728037299</v>
      </c>
      <c r="F115">
        <v>94.492432196907899</v>
      </c>
      <c r="G115">
        <f t="shared" si="4"/>
        <v>109.84050287237514</v>
      </c>
      <c r="H115">
        <f t="shared" si="5"/>
        <v>15.348070675467241</v>
      </c>
      <c r="I115">
        <v>3.5474999999999999</v>
      </c>
      <c r="J115">
        <v>3.3099825925706399</v>
      </c>
      <c r="K115">
        <f t="shared" si="6"/>
        <v>4.6459050287237513</v>
      </c>
      <c r="L115">
        <f t="shared" si="7"/>
        <v>4.2549069145397187</v>
      </c>
    </row>
    <row r="116" spans="1:12" x14ac:dyDescent="0.25">
      <c r="A116" s="1">
        <v>42430</v>
      </c>
      <c r="B116">
        <v>0.15881463899048501</v>
      </c>
      <c r="C116">
        <v>0.57042319336916802</v>
      </c>
      <c r="D116">
        <v>90.204247215933705</v>
      </c>
      <c r="E116">
        <v>86.4498716818444</v>
      </c>
      <c r="F116">
        <v>94.474090636247098</v>
      </c>
      <c r="G116">
        <f t="shared" si="4"/>
        <v>109.00093348582783</v>
      </c>
      <c r="H116">
        <f t="shared" si="5"/>
        <v>14.526842849580731</v>
      </c>
      <c r="I116">
        <v>3.5150000000000001</v>
      </c>
      <c r="J116">
        <v>3.2811330731850901</v>
      </c>
      <c r="K116">
        <f t="shared" si="6"/>
        <v>4.6050093348582788</v>
      </c>
      <c r="L116">
        <f t="shared" si="7"/>
        <v>4.2258739795475613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16"/>
  <sheetViews>
    <sheetView workbookViewId="0">
      <selection activeCell="G17" sqref="G17"/>
    </sheetView>
  </sheetViews>
  <sheetFormatPr defaultRowHeight="15" x14ac:dyDescent="0.25"/>
  <sheetData>
    <row r="1" spans="1:4" x14ac:dyDescent="0.25">
      <c r="A1" t="s">
        <v>0</v>
      </c>
      <c r="B1" t="s">
        <v>11</v>
      </c>
      <c r="C1" t="s">
        <v>12</v>
      </c>
      <c r="D1" t="s">
        <v>13</v>
      </c>
    </row>
    <row r="2" spans="1:4" x14ac:dyDescent="0.25">
      <c r="A2" s="1">
        <v>38961</v>
      </c>
      <c r="B2">
        <v>6.2649999999999997</v>
      </c>
      <c r="C2">
        <v>6.1620889810713102</v>
      </c>
      <c r="D2">
        <f>B2-C2</f>
        <v>0.10291101892868948</v>
      </c>
    </row>
    <row r="3" spans="1:4" x14ac:dyDescent="0.25">
      <c r="A3" s="1">
        <v>38991</v>
      </c>
      <c r="B3">
        <v>6.2137500000000001</v>
      </c>
      <c r="C3">
        <v>6.1312537197784298</v>
      </c>
      <c r="D3">
        <f t="shared" ref="D3:D66" si="0">B3-C3</f>
        <v>8.2496280221570295E-2</v>
      </c>
    </row>
    <row r="4" spans="1:4" x14ac:dyDescent="0.25">
      <c r="A4" s="1">
        <v>39022</v>
      </c>
      <c r="B4">
        <v>6.11</v>
      </c>
      <c r="C4">
        <v>6.0488380469457796</v>
      </c>
      <c r="D4">
        <f t="shared" si="0"/>
        <v>6.1161953054220675E-2</v>
      </c>
    </row>
    <row r="5" spans="1:4" x14ac:dyDescent="0.25">
      <c r="A5" s="1">
        <v>39052</v>
      </c>
      <c r="B5">
        <v>5.9912499999999902</v>
      </c>
      <c r="C5">
        <v>5.9457077960301099</v>
      </c>
      <c r="D5">
        <f t="shared" si="0"/>
        <v>4.5542203969880291E-2</v>
      </c>
    </row>
    <row r="6" spans="1:4" x14ac:dyDescent="0.25">
      <c r="A6" s="1">
        <v>39083</v>
      </c>
      <c r="B6">
        <v>6.0919999999999996</v>
      </c>
      <c r="C6">
        <v>6.0767589808573002</v>
      </c>
      <c r="D6">
        <f t="shared" si="0"/>
        <v>1.5241019142699486E-2</v>
      </c>
    </row>
    <row r="7" spans="1:4" x14ac:dyDescent="0.25">
      <c r="A7" s="1">
        <v>39114</v>
      </c>
      <c r="B7">
        <v>6.09499999999999</v>
      </c>
      <c r="C7">
        <v>6.1020930707171699</v>
      </c>
      <c r="D7">
        <f t="shared" si="0"/>
        <v>-7.0930707171799057E-3</v>
      </c>
    </row>
    <row r="8" spans="1:4" x14ac:dyDescent="0.25">
      <c r="A8" s="1">
        <v>39142</v>
      </c>
      <c r="B8">
        <v>6.0062499999999996</v>
      </c>
      <c r="C8">
        <v>6.0278230395213797</v>
      </c>
      <c r="D8">
        <f t="shared" si="0"/>
        <v>-2.1573039521380011E-2</v>
      </c>
    </row>
    <row r="9" spans="1:4" x14ac:dyDescent="0.25">
      <c r="A9" s="1">
        <v>39173</v>
      </c>
      <c r="B9">
        <v>6.0425000000000004</v>
      </c>
      <c r="C9">
        <v>6.0792123305705896</v>
      </c>
      <c r="D9">
        <f t="shared" si="0"/>
        <v>-3.6712330570589202E-2</v>
      </c>
    </row>
    <row r="10" spans="1:4" x14ac:dyDescent="0.25">
      <c r="A10" s="1">
        <v>39203</v>
      </c>
      <c r="B10">
        <v>6.1219999999999999</v>
      </c>
      <c r="C10">
        <v>6.1647180714310004</v>
      </c>
      <c r="D10">
        <f t="shared" si="0"/>
        <v>-4.2718071431000482E-2</v>
      </c>
    </row>
    <row r="11" spans="1:4" x14ac:dyDescent="0.25">
      <c r="A11" s="1">
        <v>39234</v>
      </c>
      <c r="B11">
        <v>6.5137499999999999</v>
      </c>
      <c r="C11">
        <v>6.55536190179172</v>
      </c>
      <c r="D11">
        <f t="shared" si="0"/>
        <v>-4.161190179172003E-2</v>
      </c>
    </row>
    <row r="12" spans="1:4" x14ac:dyDescent="0.25">
      <c r="A12" s="1">
        <v>39264</v>
      </c>
      <c r="B12">
        <v>6.5449999999999999</v>
      </c>
      <c r="C12">
        <v>6.57052693093204</v>
      </c>
      <c r="D12">
        <f t="shared" si="0"/>
        <v>-2.5526930932040059E-2</v>
      </c>
    </row>
    <row r="13" spans="1:4" x14ac:dyDescent="0.25">
      <c r="A13" s="1">
        <v>39295</v>
      </c>
      <c r="B13">
        <v>6.4219999999999997</v>
      </c>
      <c r="C13">
        <v>6.4213013593210801</v>
      </c>
      <c r="D13">
        <f t="shared" si="0"/>
        <v>6.9864067891955983E-4</v>
      </c>
    </row>
    <row r="14" spans="1:4" x14ac:dyDescent="0.25">
      <c r="A14" s="1">
        <v>39326</v>
      </c>
      <c r="B14">
        <v>6.2575000000000003</v>
      </c>
      <c r="C14">
        <v>6.24362663972608</v>
      </c>
      <c r="D14">
        <f t="shared" si="0"/>
        <v>1.3873360273920277E-2</v>
      </c>
    </row>
    <row r="15" spans="1:4" x14ac:dyDescent="0.25">
      <c r="A15" s="1">
        <v>39356</v>
      </c>
      <c r="B15">
        <v>6.2169999999999996</v>
      </c>
      <c r="C15">
        <v>6.1872736654984397</v>
      </c>
      <c r="D15">
        <f t="shared" si="0"/>
        <v>2.9726334501559926E-2</v>
      </c>
    </row>
    <row r="16" spans="1:4" x14ac:dyDescent="0.25">
      <c r="A16" s="1">
        <v>39387</v>
      </c>
      <c r="B16">
        <v>6.0574999999999903</v>
      </c>
      <c r="C16">
        <v>6.0192457499625096</v>
      </c>
      <c r="D16">
        <f t="shared" si="0"/>
        <v>3.825425003748073E-2</v>
      </c>
    </row>
    <row r="17" spans="1:4" x14ac:dyDescent="0.25">
      <c r="A17" s="1">
        <v>39417</v>
      </c>
      <c r="B17">
        <v>5.9574999999999996</v>
      </c>
      <c r="C17">
        <v>5.9196618097932303</v>
      </c>
      <c r="D17">
        <f t="shared" si="0"/>
        <v>3.7838190206769262E-2</v>
      </c>
    </row>
    <row r="18" spans="1:4" x14ac:dyDescent="0.25">
      <c r="A18" s="1">
        <v>39448</v>
      </c>
      <c r="B18">
        <v>5.6180000000000003</v>
      </c>
      <c r="C18">
        <v>5.5845956573120601</v>
      </c>
      <c r="D18">
        <f t="shared" si="0"/>
        <v>3.3404342687940236E-2</v>
      </c>
    </row>
    <row r="19" spans="1:4" x14ac:dyDescent="0.25">
      <c r="A19" s="1">
        <v>39479</v>
      </c>
      <c r="B19">
        <v>5.7862499999999999</v>
      </c>
      <c r="C19">
        <v>5.7888396061852596</v>
      </c>
      <c r="D19">
        <f t="shared" si="0"/>
        <v>-2.5896061852597185E-3</v>
      </c>
    </row>
    <row r="20" spans="1:4" x14ac:dyDescent="0.25">
      <c r="A20" s="1">
        <v>39508</v>
      </c>
      <c r="B20">
        <v>5.8387500000000001</v>
      </c>
      <c r="C20">
        <v>5.8757226905138902</v>
      </c>
      <c r="D20">
        <f t="shared" si="0"/>
        <v>-3.6972690513890072E-2</v>
      </c>
    </row>
    <row r="21" spans="1:4" x14ac:dyDescent="0.25">
      <c r="A21" s="1">
        <v>39539</v>
      </c>
      <c r="B21">
        <v>5.8010000000000002</v>
      </c>
      <c r="C21">
        <v>5.8459773326349698</v>
      </c>
      <c r="D21">
        <f t="shared" si="0"/>
        <v>-4.4977332634969613E-2</v>
      </c>
    </row>
    <row r="22" spans="1:4" x14ac:dyDescent="0.25">
      <c r="A22" s="1">
        <v>39569</v>
      </c>
      <c r="B22">
        <v>5.9050000000000002</v>
      </c>
      <c r="C22">
        <v>5.9516619109565898</v>
      </c>
      <c r="D22">
        <f t="shared" si="0"/>
        <v>-4.6661910956589558E-2</v>
      </c>
    </row>
    <row r="23" spans="1:4" x14ac:dyDescent="0.25">
      <c r="A23" s="1">
        <v>39600</v>
      </c>
      <c r="B23">
        <v>6.2324999999999999</v>
      </c>
      <c r="C23">
        <v>6.2883262562344404</v>
      </c>
      <c r="D23">
        <f t="shared" si="0"/>
        <v>-5.5826256234440486E-2</v>
      </c>
    </row>
    <row r="24" spans="1:4" x14ac:dyDescent="0.25">
      <c r="A24" s="1">
        <v>39630</v>
      </c>
      <c r="B24">
        <v>6.3310000000000004</v>
      </c>
      <c r="C24">
        <v>6.39395923363666</v>
      </c>
      <c r="D24">
        <f t="shared" si="0"/>
        <v>-6.2959233636659562E-2</v>
      </c>
    </row>
    <row r="25" spans="1:4" x14ac:dyDescent="0.25">
      <c r="A25" s="1">
        <v>39661</v>
      </c>
      <c r="B25">
        <v>6.3962499999999904</v>
      </c>
      <c r="C25">
        <v>6.4449831454651498</v>
      </c>
      <c r="D25">
        <f t="shared" si="0"/>
        <v>-4.8733145465159389E-2</v>
      </c>
    </row>
    <row r="26" spans="1:4" x14ac:dyDescent="0.25">
      <c r="A26" s="1">
        <v>39692</v>
      </c>
      <c r="B26">
        <v>5.9562499999999998</v>
      </c>
      <c r="C26">
        <v>5.9811930273717504</v>
      </c>
      <c r="D26">
        <f t="shared" si="0"/>
        <v>-2.4943027371750581E-2</v>
      </c>
    </row>
    <row r="27" spans="1:4" x14ac:dyDescent="0.25">
      <c r="A27" s="1">
        <v>39722</v>
      </c>
      <c r="B27">
        <v>6.1050000000000004</v>
      </c>
      <c r="C27">
        <v>6.1502258530390304</v>
      </c>
      <c r="D27">
        <f t="shared" si="0"/>
        <v>-4.5225853039029928E-2</v>
      </c>
    </row>
    <row r="28" spans="1:4" x14ac:dyDescent="0.25">
      <c r="A28" s="1">
        <v>39753</v>
      </c>
      <c r="B28">
        <v>6.0125000000000002</v>
      </c>
      <c r="C28">
        <v>6.0825224460466698</v>
      </c>
      <c r="D28">
        <f t="shared" si="0"/>
        <v>-7.0022446046669629E-2</v>
      </c>
    </row>
    <row r="29" spans="1:4" x14ac:dyDescent="0.25">
      <c r="A29" s="1">
        <v>39783</v>
      </c>
      <c r="B29">
        <v>5.2159999999999904</v>
      </c>
      <c r="C29">
        <v>5.3091367023842304</v>
      </c>
      <c r="D29">
        <f t="shared" si="0"/>
        <v>-9.3136702384239989E-2</v>
      </c>
    </row>
    <row r="30" spans="1:4" x14ac:dyDescent="0.25">
      <c r="A30" s="1">
        <v>39814</v>
      </c>
      <c r="B30">
        <v>4.9662499999999996</v>
      </c>
      <c r="C30">
        <v>5.0936736575532899</v>
      </c>
      <c r="D30">
        <f t="shared" si="0"/>
        <v>-0.12742365755329033</v>
      </c>
    </row>
    <row r="31" spans="1:4" x14ac:dyDescent="0.25">
      <c r="A31" s="1">
        <v>39845</v>
      </c>
      <c r="B31">
        <v>5.0612500000000002</v>
      </c>
      <c r="C31">
        <v>5.2287831039885102</v>
      </c>
      <c r="D31">
        <f t="shared" si="0"/>
        <v>-0.16753310398850996</v>
      </c>
    </row>
    <row r="32" spans="1:4" x14ac:dyDescent="0.25">
      <c r="A32" s="1">
        <v>39873</v>
      </c>
      <c r="B32">
        <v>4.9275000000000002</v>
      </c>
      <c r="C32">
        <v>5.1407285578741799</v>
      </c>
      <c r="D32">
        <f t="shared" si="0"/>
        <v>-0.21322855787417971</v>
      </c>
    </row>
    <row r="33" spans="1:4" x14ac:dyDescent="0.25">
      <c r="A33" s="1">
        <v>39904</v>
      </c>
      <c r="B33">
        <v>4.7300000000000004</v>
      </c>
      <c r="C33">
        <v>4.9645892189906302</v>
      </c>
      <c r="D33">
        <f t="shared" si="0"/>
        <v>-0.23458921899062979</v>
      </c>
    </row>
    <row r="34" spans="1:4" x14ac:dyDescent="0.25">
      <c r="A34" s="1">
        <v>39934</v>
      </c>
      <c r="B34">
        <v>4.7762500000000001</v>
      </c>
      <c r="C34">
        <v>5.0326540949202903</v>
      </c>
      <c r="D34">
        <f t="shared" si="0"/>
        <v>-0.25640409492029015</v>
      </c>
    </row>
    <row r="35" spans="1:4" x14ac:dyDescent="0.25">
      <c r="A35" s="1">
        <v>39965</v>
      </c>
      <c r="B35">
        <v>5.3449999999999998</v>
      </c>
      <c r="C35">
        <v>5.5992469298389604</v>
      </c>
      <c r="D35">
        <f t="shared" si="0"/>
        <v>-0.25424692983896069</v>
      </c>
    </row>
    <row r="36" spans="1:4" x14ac:dyDescent="0.25">
      <c r="A36" s="1">
        <v>39995</v>
      </c>
      <c r="B36">
        <v>5.1470000000000002</v>
      </c>
      <c r="C36">
        <v>5.3762093725030704</v>
      </c>
      <c r="D36">
        <f t="shared" si="0"/>
        <v>-0.22920937250307016</v>
      </c>
    </row>
    <row r="37" spans="1:4" x14ac:dyDescent="0.25">
      <c r="A37" s="1">
        <v>40026</v>
      </c>
      <c r="B37">
        <v>5.1112500000000001</v>
      </c>
      <c r="C37">
        <v>5.3544107028362102</v>
      </c>
      <c r="D37">
        <f t="shared" si="0"/>
        <v>-0.24316070283621016</v>
      </c>
    </row>
    <row r="38" spans="1:4" x14ac:dyDescent="0.25">
      <c r="A38" s="1">
        <v>40057</v>
      </c>
      <c r="B38">
        <v>4.9539999999999997</v>
      </c>
      <c r="C38">
        <v>5.1828323602397104</v>
      </c>
      <c r="D38">
        <f t="shared" si="0"/>
        <v>-0.22883236023971065</v>
      </c>
    </row>
    <row r="39" spans="1:4" x14ac:dyDescent="0.25">
      <c r="A39" s="1">
        <v>40087</v>
      </c>
      <c r="B39">
        <v>4.88</v>
      </c>
      <c r="C39">
        <v>5.08297532123827</v>
      </c>
      <c r="D39">
        <f t="shared" si="0"/>
        <v>-0.20297532123827011</v>
      </c>
    </row>
    <row r="40" spans="1:4" x14ac:dyDescent="0.25">
      <c r="A40" s="1">
        <v>40118</v>
      </c>
      <c r="B40">
        <v>4.8</v>
      </c>
      <c r="C40">
        <v>4.9774530201028204</v>
      </c>
      <c r="D40">
        <f t="shared" si="0"/>
        <v>-0.1774530201028206</v>
      </c>
    </row>
    <row r="41" spans="1:4" x14ac:dyDescent="0.25">
      <c r="A41" s="1">
        <v>40148</v>
      </c>
      <c r="B41">
        <v>4.8550000000000004</v>
      </c>
      <c r="C41">
        <v>5.0174616791791102</v>
      </c>
      <c r="D41">
        <f t="shared" si="0"/>
        <v>-0.16246167917910981</v>
      </c>
    </row>
    <row r="42" spans="1:4" x14ac:dyDescent="0.25">
      <c r="A42" s="1">
        <v>40179</v>
      </c>
      <c r="B42">
        <v>4.9487500000000004</v>
      </c>
      <c r="C42">
        <v>5.1099958153392597</v>
      </c>
      <c r="D42">
        <f t="shared" si="0"/>
        <v>-0.1612458153392593</v>
      </c>
    </row>
    <row r="43" spans="1:4" x14ac:dyDescent="0.25">
      <c r="A43" s="1">
        <v>40210</v>
      </c>
      <c r="B43">
        <v>4.9149999999999903</v>
      </c>
      <c r="C43">
        <v>5.0328224711343097</v>
      </c>
      <c r="D43">
        <f t="shared" si="0"/>
        <v>-0.11782247113431943</v>
      </c>
    </row>
    <row r="44" spans="1:4" x14ac:dyDescent="0.25">
      <c r="A44" s="1">
        <v>40238</v>
      </c>
      <c r="B44">
        <v>4.91</v>
      </c>
      <c r="C44">
        <v>4.9897651333991799</v>
      </c>
      <c r="D44">
        <f t="shared" si="0"/>
        <v>-7.9765133399179788E-2</v>
      </c>
    </row>
    <row r="45" spans="1:4" x14ac:dyDescent="0.25">
      <c r="A45" s="1">
        <v>40269</v>
      </c>
      <c r="B45">
        <v>5.0149999999999997</v>
      </c>
      <c r="C45">
        <v>5.0894070723673197</v>
      </c>
      <c r="D45">
        <f t="shared" si="0"/>
        <v>-7.4407072367320026E-2</v>
      </c>
    </row>
    <row r="46" spans="1:4" x14ac:dyDescent="0.25">
      <c r="A46" s="1">
        <v>40299</v>
      </c>
      <c r="B46">
        <v>4.8125</v>
      </c>
      <c r="C46">
        <v>4.8610269621088404</v>
      </c>
      <c r="D46">
        <f t="shared" si="0"/>
        <v>-4.8526962108840443E-2</v>
      </c>
    </row>
    <row r="47" spans="1:4" x14ac:dyDescent="0.25">
      <c r="A47" s="1">
        <v>40330</v>
      </c>
      <c r="B47">
        <v>4.6359999999999904</v>
      </c>
      <c r="C47">
        <v>4.67025470757864</v>
      </c>
      <c r="D47">
        <f t="shared" si="0"/>
        <v>-3.4254707578649679E-2</v>
      </c>
    </row>
    <row r="48" spans="1:4" x14ac:dyDescent="0.25">
      <c r="A48" s="1">
        <v>40360</v>
      </c>
      <c r="B48">
        <v>4.4849999999999897</v>
      </c>
      <c r="C48">
        <v>4.49704933904541</v>
      </c>
      <c r="D48">
        <f t="shared" si="0"/>
        <v>-1.2049339045420382E-2</v>
      </c>
    </row>
    <row r="49" spans="1:4" x14ac:dyDescent="0.25">
      <c r="A49" s="1">
        <v>40391</v>
      </c>
      <c r="B49">
        <v>4.3525</v>
      </c>
      <c r="C49">
        <v>4.3426500991460601</v>
      </c>
      <c r="D49">
        <f t="shared" si="0"/>
        <v>9.8499008539398858E-3</v>
      </c>
    </row>
    <row r="50" spans="1:4" x14ac:dyDescent="0.25">
      <c r="A50" s="1">
        <v>40422</v>
      </c>
      <c r="B50">
        <v>4.2759999999999998</v>
      </c>
      <c r="C50">
        <v>4.2648036791471799</v>
      </c>
      <c r="D50">
        <f t="shared" si="0"/>
        <v>1.1196320852819852E-2</v>
      </c>
    </row>
    <row r="51" spans="1:4" x14ac:dyDescent="0.25">
      <c r="A51" s="1">
        <v>40452</v>
      </c>
      <c r="B51">
        <v>4.1749999999999998</v>
      </c>
      <c r="C51">
        <v>4.1541906803400996</v>
      </c>
      <c r="D51">
        <f t="shared" si="0"/>
        <v>2.0809319659900183E-2</v>
      </c>
    </row>
    <row r="52" spans="1:4" x14ac:dyDescent="0.25">
      <c r="A52" s="1">
        <v>40483</v>
      </c>
      <c r="B52">
        <v>4.2562499999999996</v>
      </c>
      <c r="C52">
        <v>4.2348631944494501</v>
      </c>
      <c r="D52">
        <f t="shared" si="0"/>
        <v>2.1386805550549504E-2</v>
      </c>
    </row>
    <row r="53" spans="1:4" x14ac:dyDescent="0.25">
      <c r="A53" s="1">
        <v>40513</v>
      </c>
      <c r="B53">
        <v>4.6489999999999903</v>
      </c>
      <c r="C53">
        <v>4.6369987553509899</v>
      </c>
      <c r="D53">
        <f t="shared" si="0"/>
        <v>1.200124464900032E-2</v>
      </c>
    </row>
    <row r="54" spans="1:4" x14ac:dyDescent="0.25">
      <c r="A54" s="1">
        <v>40544</v>
      </c>
      <c r="B54">
        <v>4.6987500000000004</v>
      </c>
      <c r="C54">
        <v>4.6909258082241898</v>
      </c>
      <c r="D54">
        <f t="shared" si="0"/>
        <v>7.8241917758106183E-3</v>
      </c>
    </row>
    <row r="55" spans="1:4" x14ac:dyDescent="0.25">
      <c r="A55" s="1">
        <v>40575</v>
      </c>
      <c r="B55">
        <v>4.8775000000000004</v>
      </c>
      <c r="C55">
        <v>4.8741838157264903</v>
      </c>
      <c r="D55">
        <f t="shared" si="0"/>
        <v>3.3161842735101033E-3</v>
      </c>
    </row>
    <row r="56" spans="1:4" x14ac:dyDescent="0.25">
      <c r="A56" s="1">
        <v>40603</v>
      </c>
      <c r="B56">
        <v>4.7610000000000001</v>
      </c>
      <c r="C56">
        <v>4.74192043349621</v>
      </c>
      <c r="D56">
        <f t="shared" si="0"/>
        <v>1.9079566503790168E-2</v>
      </c>
    </row>
    <row r="57" spans="1:4" x14ac:dyDescent="0.25">
      <c r="A57" s="1">
        <v>40634</v>
      </c>
      <c r="B57">
        <v>4.75875</v>
      </c>
      <c r="C57">
        <v>4.7069391492520198</v>
      </c>
      <c r="D57">
        <f t="shared" si="0"/>
        <v>5.1810850747980197E-2</v>
      </c>
    </row>
    <row r="58" spans="1:4" x14ac:dyDescent="0.25">
      <c r="A58" s="1">
        <v>40664</v>
      </c>
      <c r="B58">
        <v>4.5625</v>
      </c>
      <c r="C58">
        <v>4.4693675037866401</v>
      </c>
      <c r="D58">
        <f t="shared" si="0"/>
        <v>9.313249621335995E-2</v>
      </c>
    </row>
    <row r="59" spans="1:4" x14ac:dyDescent="0.25">
      <c r="A59" s="1">
        <v>40695</v>
      </c>
      <c r="B59">
        <v>4.4349999999999996</v>
      </c>
      <c r="C59">
        <v>4.2802060082340398</v>
      </c>
      <c r="D59">
        <f t="shared" si="0"/>
        <v>0.15479399176595976</v>
      </c>
    </row>
    <row r="60" spans="1:4" x14ac:dyDescent="0.25">
      <c r="A60" s="1">
        <v>40725</v>
      </c>
      <c r="B60">
        <v>4.4762499999999896</v>
      </c>
      <c r="C60">
        <v>4.3015099299739799</v>
      </c>
      <c r="D60">
        <f t="shared" si="0"/>
        <v>0.17474007002600978</v>
      </c>
    </row>
    <row r="61" spans="1:4" x14ac:dyDescent="0.25">
      <c r="A61" s="1">
        <v>40756</v>
      </c>
      <c r="B61">
        <v>4.1900000000000004</v>
      </c>
      <c r="C61">
        <v>3.9786080000853801</v>
      </c>
      <c r="D61">
        <f t="shared" si="0"/>
        <v>0.21139199991462032</v>
      </c>
    </row>
    <row r="62" spans="1:4" x14ac:dyDescent="0.25">
      <c r="A62" s="1">
        <v>40787</v>
      </c>
      <c r="B62">
        <v>4.0025000000000004</v>
      </c>
      <c r="C62">
        <v>3.77226506482396</v>
      </c>
      <c r="D62">
        <f t="shared" si="0"/>
        <v>0.23023493517604043</v>
      </c>
    </row>
    <row r="63" spans="1:4" x14ac:dyDescent="0.25">
      <c r="A63" s="1">
        <v>40817</v>
      </c>
      <c r="B63">
        <v>4.0175000000000001</v>
      </c>
      <c r="C63">
        <v>3.7837868111978601</v>
      </c>
      <c r="D63">
        <f t="shared" si="0"/>
        <v>0.23371318880213998</v>
      </c>
    </row>
    <row r="64" spans="1:4" x14ac:dyDescent="0.25">
      <c r="A64" s="1">
        <v>40848</v>
      </c>
      <c r="B64">
        <v>3.919</v>
      </c>
      <c r="C64">
        <v>3.7118332877492399</v>
      </c>
      <c r="D64">
        <f t="shared" si="0"/>
        <v>0.20716671225076011</v>
      </c>
    </row>
    <row r="65" spans="1:4" x14ac:dyDescent="0.25">
      <c r="A65" s="1">
        <v>40878</v>
      </c>
      <c r="B65">
        <v>3.8787500000000001</v>
      </c>
      <c r="C65">
        <v>3.6911476875436899</v>
      </c>
      <c r="D65">
        <f t="shared" si="0"/>
        <v>0.18760231245631021</v>
      </c>
    </row>
    <row r="66" spans="1:4" x14ac:dyDescent="0.25">
      <c r="A66" s="1">
        <v>40909</v>
      </c>
      <c r="B66">
        <v>3.8525</v>
      </c>
      <c r="C66">
        <v>3.6593909600241701</v>
      </c>
      <c r="D66">
        <f t="shared" si="0"/>
        <v>0.19310903997582995</v>
      </c>
    </row>
    <row r="67" spans="1:4" x14ac:dyDescent="0.25">
      <c r="A67" s="1">
        <v>40940</v>
      </c>
      <c r="B67">
        <v>3.8420000000000001</v>
      </c>
      <c r="C67">
        <v>3.6680947440079898</v>
      </c>
      <c r="D67">
        <f t="shared" ref="D67:D116" si="1">B67-C67</f>
        <v>0.17390525599201023</v>
      </c>
    </row>
    <row r="68" spans="1:4" x14ac:dyDescent="0.25">
      <c r="A68" s="1">
        <v>40969</v>
      </c>
      <c r="B68">
        <v>3.9112499999999999</v>
      </c>
      <c r="C68">
        <v>3.7415846292734001</v>
      </c>
      <c r="D68">
        <f t="shared" si="1"/>
        <v>0.16966537072659982</v>
      </c>
    </row>
    <row r="69" spans="1:4" x14ac:dyDescent="0.25">
      <c r="A69" s="1">
        <v>41000</v>
      </c>
      <c r="B69">
        <v>3.8412500000000001</v>
      </c>
      <c r="C69">
        <v>3.7182303079069698</v>
      </c>
      <c r="D69">
        <f t="shared" si="1"/>
        <v>0.12301969209303021</v>
      </c>
    </row>
    <row r="70" spans="1:4" x14ac:dyDescent="0.25">
      <c r="A70" s="1">
        <v>41030</v>
      </c>
      <c r="B70">
        <v>3.738</v>
      </c>
      <c r="C70">
        <v>3.5976788536873601</v>
      </c>
      <c r="D70">
        <f t="shared" si="1"/>
        <v>0.14032114631263992</v>
      </c>
    </row>
    <row r="71" spans="1:4" x14ac:dyDescent="0.25">
      <c r="A71" s="1">
        <v>41061</v>
      </c>
      <c r="B71">
        <v>3.6</v>
      </c>
      <c r="C71">
        <v>3.4649886649002299</v>
      </c>
      <c r="D71">
        <f t="shared" si="1"/>
        <v>0.13501133509977015</v>
      </c>
    </row>
    <row r="72" spans="1:4" x14ac:dyDescent="0.25">
      <c r="A72" s="1">
        <v>41091</v>
      </c>
      <c r="B72">
        <v>3.4812500000000002</v>
      </c>
      <c r="C72">
        <v>3.3445579040135298</v>
      </c>
      <c r="D72">
        <f t="shared" si="1"/>
        <v>0.13669209598647036</v>
      </c>
    </row>
    <row r="73" spans="1:4" x14ac:dyDescent="0.25">
      <c r="A73" s="1">
        <v>41122</v>
      </c>
      <c r="B73">
        <v>3.512</v>
      </c>
      <c r="C73">
        <v>3.3763962853505598</v>
      </c>
      <c r="D73">
        <f t="shared" si="1"/>
        <v>0.13560371464944021</v>
      </c>
    </row>
    <row r="74" spans="1:4" x14ac:dyDescent="0.25">
      <c r="A74" s="1">
        <v>41153</v>
      </c>
      <c r="B74">
        <v>3.4037500000000001</v>
      </c>
      <c r="C74">
        <v>3.2764424158310401</v>
      </c>
      <c r="D74">
        <f t="shared" si="1"/>
        <v>0.12730758416895993</v>
      </c>
    </row>
    <row r="75" spans="1:4" x14ac:dyDescent="0.25">
      <c r="A75" s="1">
        <v>41183</v>
      </c>
      <c r="B75">
        <v>3.3039999999999998</v>
      </c>
      <c r="C75">
        <v>3.1536101087404602</v>
      </c>
      <c r="D75">
        <f t="shared" si="1"/>
        <v>0.15038989125953961</v>
      </c>
    </row>
    <row r="76" spans="1:4" x14ac:dyDescent="0.25">
      <c r="A76" s="1">
        <v>41214</v>
      </c>
      <c r="B76">
        <v>3.2737500000000002</v>
      </c>
      <c r="C76">
        <v>3.1507987957730501</v>
      </c>
      <c r="D76">
        <f t="shared" si="1"/>
        <v>0.12295120422695005</v>
      </c>
    </row>
    <row r="77" spans="1:4" x14ac:dyDescent="0.25">
      <c r="A77" s="1">
        <v>41244</v>
      </c>
      <c r="B77">
        <v>3.27</v>
      </c>
      <c r="C77">
        <v>3.1449859996562002</v>
      </c>
      <c r="D77">
        <f t="shared" si="1"/>
        <v>0.12501400034379984</v>
      </c>
    </row>
    <row r="78" spans="1:4" x14ac:dyDescent="0.25">
      <c r="A78" s="1">
        <v>41275</v>
      </c>
      <c r="B78">
        <v>3.339</v>
      </c>
      <c r="C78">
        <v>3.20320383528089</v>
      </c>
      <c r="D78">
        <f t="shared" si="1"/>
        <v>0.13579616471910994</v>
      </c>
    </row>
    <row r="79" spans="1:4" x14ac:dyDescent="0.25">
      <c r="A79" s="1">
        <v>41306</v>
      </c>
      <c r="B79">
        <v>3.4824999999999999</v>
      </c>
      <c r="C79">
        <v>3.3349693406156899</v>
      </c>
      <c r="D79">
        <f t="shared" si="1"/>
        <v>0.14753065938430998</v>
      </c>
    </row>
    <row r="80" spans="1:4" x14ac:dyDescent="0.25">
      <c r="A80" s="1">
        <v>41334</v>
      </c>
      <c r="B80">
        <v>3.50875</v>
      </c>
      <c r="C80">
        <v>3.3435235538188399</v>
      </c>
      <c r="D80">
        <f t="shared" si="1"/>
        <v>0.16522644618116011</v>
      </c>
    </row>
    <row r="81" spans="1:4" x14ac:dyDescent="0.25">
      <c r="A81" s="1">
        <v>41365</v>
      </c>
      <c r="B81">
        <v>3.3887499999999999</v>
      </c>
      <c r="C81">
        <v>3.22011489695943</v>
      </c>
      <c r="D81">
        <f t="shared" si="1"/>
        <v>0.16863510304056994</v>
      </c>
    </row>
    <row r="82" spans="1:4" x14ac:dyDescent="0.25">
      <c r="A82" s="1">
        <v>41395</v>
      </c>
      <c r="B82">
        <v>3.4660000000000002</v>
      </c>
      <c r="C82">
        <v>3.2726723583698401</v>
      </c>
      <c r="D82">
        <f t="shared" si="1"/>
        <v>0.19332764163016014</v>
      </c>
    </row>
    <row r="83" spans="1:4" x14ac:dyDescent="0.25">
      <c r="A83" s="1">
        <v>41426</v>
      </c>
      <c r="B83">
        <v>4.0075000000000003</v>
      </c>
      <c r="C83">
        <v>3.8027105671264598</v>
      </c>
      <c r="D83">
        <f t="shared" si="1"/>
        <v>0.20478943287354046</v>
      </c>
    </row>
    <row r="84" spans="1:4" x14ac:dyDescent="0.25">
      <c r="A84" s="1">
        <v>41456</v>
      </c>
      <c r="B84">
        <v>4.3090000000000002</v>
      </c>
      <c r="C84">
        <v>4.1178551150063099</v>
      </c>
      <c r="D84">
        <f t="shared" si="1"/>
        <v>0.19114488499369031</v>
      </c>
    </row>
    <row r="85" spans="1:4" x14ac:dyDescent="0.25">
      <c r="A85" s="1">
        <v>41487</v>
      </c>
      <c r="B85">
        <v>4.4037499999999996</v>
      </c>
      <c r="C85">
        <v>4.2154426593368903</v>
      </c>
      <c r="D85">
        <f t="shared" si="1"/>
        <v>0.18830734066310928</v>
      </c>
    </row>
    <row r="86" spans="1:4" x14ac:dyDescent="0.25">
      <c r="A86" s="1">
        <v>41518</v>
      </c>
      <c r="B86">
        <v>4.4212499999999997</v>
      </c>
      <c r="C86">
        <v>4.2354199009091396</v>
      </c>
      <c r="D86">
        <f t="shared" si="1"/>
        <v>0.18583009909086012</v>
      </c>
    </row>
    <row r="87" spans="1:4" x14ac:dyDescent="0.25">
      <c r="A87" s="1">
        <v>41548</v>
      </c>
      <c r="B87">
        <v>4.1219999999999999</v>
      </c>
      <c r="C87">
        <v>3.9022955081771702</v>
      </c>
      <c r="D87">
        <f t="shared" si="1"/>
        <v>0.2197044918228297</v>
      </c>
    </row>
    <row r="88" spans="1:4" x14ac:dyDescent="0.25">
      <c r="A88" s="1">
        <v>41579</v>
      </c>
      <c r="B88">
        <v>4.1862499999999896</v>
      </c>
      <c r="C88">
        <v>3.91378055451358</v>
      </c>
      <c r="D88">
        <f t="shared" si="1"/>
        <v>0.27246944548640961</v>
      </c>
    </row>
    <row r="89" spans="1:4" x14ac:dyDescent="0.25">
      <c r="A89" s="1">
        <v>41609</v>
      </c>
      <c r="B89">
        <v>4.37</v>
      </c>
      <c r="C89">
        <v>4.1176633465298602</v>
      </c>
      <c r="D89">
        <f t="shared" si="1"/>
        <v>0.25233665347013989</v>
      </c>
    </row>
    <row r="90" spans="1:4" x14ac:dyDescent="0.25">
      <c r="A90" s="1">
        <v>41640</v>
      </c>
      <c r="B90">
        <v>4.3620000000000001</v>
      </c>
      <c r="C90">
        <v>4.0621676707913901</v>
      </c>
      <c r="D90">
        <f t="shared" si="1"/>
        <v>0.29983232920861003</v>
      </c>
    </row>
    <row r="91" spans="1:4" x14ac:dyDescent="0.25">
      <c r="A91" s="1">
        <v>41671</v>
      </c>
      <c r="B91">
        <v>4.2274999999999903</v>
      </c>
      <c r="C91">
        <v>3.8720594482734998</v>
      </c>
      <c r="D91">
        <f t="shared" si="1"/>
        <v>0.35544055172649047</v>
      </c>
    </row>
    <row r="92" spans="1:4" x14ac:dyDescent="0.25">
      <c r="A92" s="1">
        <v>41699</v>
      </c>
      <c r="B92">
        <v>4.2487500000000002</v>
      </c>
      <c r="C92">
        <v>3.86281099160778</v>
      </c>
      <c r="D92">
        <f t="shared" si="1"/>
        <v>0.38593900839222028</v>
      </c>
    </row>
    <row r="93" spans="1:4" x14ac:dyDescent="0.25">
      <c r="A93" s="1">
        <v>41730</v>
      </c>
      <c r="B93">
        <v>4.2479999999999896</v>
      </c>
      <c r="C93">
        <v>3.8776764353634201</v>
      </c>
      <c r="D93">
        <f t="shared" si="1"/>
        <v>0.37032356463656946</v>
      </c>
    </row>
    <row r="94" spans="1:4" x14ac:dyDescent="0.25">
      <c r="A94" s="1">
        <v>41760</v>
      </c>
      <c r="B94">
        <v>4.0674999999999999</v>
      </c>
      <c r="C94">
        <v>3.7187627457499901</v>
      </c>
      <c r="D94">
        <f t="shared" si="1"/>
        <v>0.34873725425000979</v>
      </c>
    </row>
    <row r="95" spans="1:4" x14ac:dyDescent="0.25">
      <c r="A95" s="1">
        <v>41791</v>
      </c>
      <c r="B95">
        <v>4.05</v>
      </c>
      <c r="C95">
        <v>3.6651940056988099</v>
      </c>
      <c r="D95">
        <f t="shared" si="1"/>
        <v>0.38480599430118989</v>
      </c>
    </row>
    <row r="96" spans="1:4" x14ac:dyDescent="0.25">
      <c r="A96" s="1">
        <v>41821</v>
      </c>
      <c r="B96">
        <v>4.03</v>
      </c>
      <c r="C96">
        <v>3.66285646843914</v>
      </c>
      <c r="D96">
        <f t="shared" si="1"/>
        <v>0.36714353156086021</v>
      </c>
    </row>
    <row r="97" spans="1:4" x14ac:dyDescent="0.25">
      <c r="A97" s="1">
        <v>41852</v>
      </c>
      <c r="B97">
        <v>4.00875</v>
      </c>
      <c r="C97">
        <v>3.6647184928166099</v>
      </c>
      <c r="D97">
        <f t="shared" si="1"/>
        <v>0.34403150718339015</v>
      </c>
    </row>
    <row r="98" spans="1:4" x14ac:dyDescent="0.25">
      <c r="A98" s="1">
        <v>41883</v>
      </c>
      <c r="B98">
        <v>4.0374999999999996</v>
      </c>
      <c r="C98">
        <v>3.71189671740182</v>
      </c>
      <c r="D98">
        <f t="shared" si="1"/>
        <v>0.32560328259817961</v>
      </c>
    </row>
    <row r="99" spans="1:4" x14ac:dyDescent="0.25">
      <c r="A99" s="1">
        <v>41913</v>
      </c>
      <c r="B99">
        <v>3.9060000000000001</v>
      </c>
      <c r="C99">
        <v>3.5711646361776199</v>
      </c>
      <c r="D99">
        <f t="shared" si="1"/>
        <v>0.33483536382238022</v>
      </c>
    </row>
    <row r="100" spans="1:4" x14ac:dyDescent="0.25">
      <c r="A100" s="1">
        <v>41944</v>
      </c>
      <c r="B100">
        <v>3.8725000000000001</v>
      </c>
      <c r="C100">
        <v>3.5247011446028802</v>
      </c>
      <c r="D100">
        <f t="shared" si="1"/>
        <v>0.34779885539711985</v>
      </c>
    </row>
    <row r="101" spans="1:4" x14ac:dyDescent="0.25">
      <c r="A101" s="1">
        <v>41974</v>
      </c>
      <c r="B101">
        <v>3.754</v>
      </c>
      <c r="C101">
        <v>3.4219368177475298</v>
      </c>
      <c r="D101">
        <f t="shared" si="1"/>
        <v>0.33206318225247022</v>
      </c>
    </row>
    <row r="102" spans="1:4" x14ac:dyDescent="0.25">
      <c r="A102" s="1">
        <v>42005</v>
      </c>
      <c r="B102">
        <v>3.5762499999999999</v>
      </c>
      <c r="C102">
        <v>3.2362639469880801</v>
      </c>
      <c r="D102">
        <f t="shared" si="1"/>
        <v>0.33998605301191986</v>
      </c>
    </row>
    <row r="103" spans="1:4" x14ac:dyDescent="0.25">
      <c r="A103" s="1">
        <v>42036</v>
      </c>
      <c r="B103">
        <v>3.61625</v>
      </c>
      <c r="C103">
        <v>3.3224182037598098</v>
      </c>
      <c r="D103">
        <f t="shared" si="1"/>
        <v>0.29383179624019018</v>
      </c>
    </row>
    <row r="104" spans="1:4" x14ac:dyDescent="0.25">
      <c r="A104" s="1">
        <v>42064</v>
      </c>
      <c r="B104">
        <v>3.67</v>
      </c>
      <c r="C104">
        <v>3.4060470102212701</v>
      </c>
      <c r="D104">
        <f t="shared" si="1"/>
        <v>0.26395298977872983</v>
      </c>
    </row>
    <row r="105" spans="1:4" x14ac:dyDescent="0.25">
      <c r="A105" s="1">
        <v>42095</v>
      </c>
      <c r="B105">
        <v>3.577</v>
      </c>
      <c r="C105">
        <v>3.3061475303267298</v>
      </c>
      <c r="D105">
        <f t="shared" si="1"/>
        <v>0.27085246967327015</v>
      </c>
    </row>
    <row r="106" spans="1:4" x14ac:dyDescent="0.25">
      <c r="A106" s="1">
        <v>42125</v>
      </c>
      <c r="B106">
        <v>3.7462499999999999</v>
      </c>
      <c r="C106">
        <v>3.54597774694864</v>
      </c>
      <c r="D106">
        <f t="shared" si="1"/>
        <v>0.20027225305135987</v>
      </c>
    </row>
    <row r="107" spans="1:4" x14ac:dyDescent="0.25">
      <c r="A107" s="1">
        <v>42156</v>
      </c>
      <c r="B107">
        <v>3.895</v>
      </c>
      <c r="C107">
        <v>3.6792670943713599</v>
      </c>
      <c r="D107">
        <f t="shared" si="1"/>
        <v>0.21573290562864011</v>
      </c>
    </row>
    <row r="108" spans="1:4" x14ac:dyDescent="0.25">
      <c r="A108" s="1">
        <v>42186</v>
      </c>
      <c r="B108">
        <v>3.9460000000000002</v>
      </c>
      <c r="C108">
        <v>3.7526371783466299</v>
      </c>
      <c r="D108">
        <f t="shared" si="1"/>
        <v>0.19336282165337026</v>
      </c>
    </row>
    <row r="109" spans="1:4" x14ac:dyDescent="0.25">
      <c r="A109" s="1">
        <v>42217</v>
      </c>
      <c r="B109">
        <v>3.8050000000000002</v>
      </c>
      <c r="C109">
        <v>3.5896554812488901</v>
      </c>
      <c r="D109">
        <f t="shared" si="1"/>
        <v>0.21534451875111005</v>
      </c>
    </row>
    <row r="110" spans="1:4" x14ac:dyDescent="0.25">
      <c r="A110" s="1">
        <v>42248</v>
      </c>
      <c r="B110">
        <v>3.7869999999999999</v>
      </c>
      <c r="C110">
        <v>3.5535398101031102</v>
      </c>
      <c r="D110">
        <f t="shared" si="1"/>
        <v>0.23346018989688977</v>
      </c>
    </row>
    <row r="111" spans="1:4" x14ac:dyDescent="0.25">
      <c r="A111" s="1">
        <v>42278</v>
      </c>
      <c r="B111">
        <v>3.6825000000000001</v>
      </c>
      <c r="C111">
        <v>3.4494216505671802</v>
      </c>
      <c r="D111">
        <f t="shared" si="1"/>
        <v>0.23307834943281991</v>
      </c>
    </row>
    <row r="112" spans="1:4" x14ac:dyDescent="0.25">
      <c r="A112" s="1">
        <v>42309</v>
      </c>
      <c r="B112">
        <v>3.8487499999999999</v>
      </c>
      <c r="C112">
        <v>3.58154985049317</v>
      </c>
      <c r="D112">
        <f t="shared" si="1"/>
        <v>0.26720014950682991</v>
      </c>
    </row>
    <row r="113" spans="1:4" x14ac:dyDescent="0.25">
      <c r="A113" s="1">
        <v>42339</v>
      </c>
      <c r="B113">
        <v>3.8639999999999999</v>
      </c>
      <c r="C113">
        <v>3.61647099462698</v>
      </c>
      <c r="D113">
        <f t="shared" si="1"/>
        <v>0.24752900537301992</v>
      </c>
    </row>
    <row r="114" spans="1:4" x14ac:dyDescent="0.25">
      <c r="A114" s="1">
        <v>42370</v>
      </c>
      <c r="B114">
        <v>3.7725</v>
      </c>
      <c r="C114">
        <v>3.4999347482926999</v>
      </c>
      <c r="D114">
        <f t="shared" si="1"/>
        <v>0.27256525170730006</v>
      </c>
    </row>
    <row r="115" spans="1:4" x14ac:dyDescent="0.25">
      <c r="A115" s="1">
        <v>42401</v>
      </c>
      <c r="B115">
        <v>3.5474999999999999</v>
      </c>
      <c r="C115">
        <v>3.3099825925706399</v>
      </c>
      <c r="D115">
        <f t="shared" si="1"/>
        <v>0.23751740742936001</v>
      </c>
    </row>
    <row r="116" spans="1:4" x14ac:dyDescent="0.25">
      <c r="A116" s="1">
        <v>42430</v>
      </c>
      <c r="B116">
        <v>3.5150000000000001</v>
      </c>
      <c r="C116">
        <v>3.2811330731850901</v>
      </c>
      <c r="D116">
        <f t="shared" si="1"/>
        <v>0.23386692681491006</v>
      </c>
    </row>
  </sheetData>
  <pageMargins left="0.7" right="0.7" top="0.75" bottom="0.75" header="0.3" footer="0.3"/>
  <pageSetup scale="4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LTV 90_97</vt:lpstr>
      <vt:lpstr>Mtg Rate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2016-04-27T17:16:45Z</cp:lastPrinted>
  <dcterms:created xsi:type="dcterms:W3CDTF">2016-04-26T21:35:32Z</dcterms:created>
  <dcterms:modified xsi:type="dcterms:W3CDTF">2016-04-28T21:32:50Z</dcterms:modified>
</cp:coreProperties>
</file>