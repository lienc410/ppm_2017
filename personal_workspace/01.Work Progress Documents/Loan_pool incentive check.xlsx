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35" windowWidth="33555" windowHeight="19980" activeTab="4"/>
  </bookViews>
  <sheets>
    <sheet name="New_LL" sheetId="1" r:id="rId1"/>
    <sheet name="Pool" sheetId="2" r:id="rId2"/>
    <sheet name="Loan" sheetId="3" r:id="rId3"/>
    <sheet name="FNM" sheetId="4" r:id="rId4"/>
    <sheet name="exam" sheetId="6" r:id="rId5"/>
  </sheets>
  <definedNames>
    <definedName name="temp" localSheetId="2">Loan!#REF!</definedName>
  </definedNames>
  <calcPr calcId="145621"/>
  <pivotCaches>
    <pivotCache cacheId="7" r:id="rId6"/>
    <pivotCache cacheId="11" r:id="rId7"/>
    <pivotCache cacheId="19" r:id="rId8"/>
    <pivotCache cacheId="23" r:id="rId9"/>
    <pivotCache cacheId="35" r:id="rId10"/>
  </pivotCaches>
</workbook>
</file>

<file path=xl/calcChain.xml><?xml version="1.0" encoding="utf-8"?>
<calcChain xmlns="http://schemas.openxmlformats.org/spreadsheetml/2006/main">
  <c r="BG58" i="6" l="1"/>
  <c r="AA153" i="6" l="1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152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4" i="6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<sst xmlns="http://schemas.openxmlformats.org/spreadsheetml/2006/main" count="1842" uniqueCount="33">
  <si>
    <t>marketTicker</t>
  </si>
  <si>
    <t>asof</t>
  </si>
  <si>
    <t>refi_incentive</t>
  </si>
  <si>
    <t>FGLMC</t>
  </si>
  <si>
    <t>FGT6</t>
  </si>
  <si>
    <t>FGU6</t>
  </si>
  <si>
    <t>FGU9</t>
  </si>
  <si>
    <t>Row Labels</t>
  </si>
  <si>
    <t>(blank)</t>
  </si>
  <si>
    <t>Grand Total</t>
  </si>
  <si>
    <t>Column Labels</t>
  </si>
  <si>
    <t>Average of refi_incentive</t>
  </si>
  <si>
    <t>loanCount</t>
  </si>
  <si>
    <t>(NULL)</t>
  </si>
  <si>
    <t>FNCK</t>
  </si>
  <si>
    <t>FNCL</t>
  </si>
  <si>
    <t>FNCQ30</t>
  </si>
  <si>
    <t>FNCR</t>
  </si>
  <si>
    <t>Sum of refi_incentive</t>
  </si>
  <si>
    <t>asofdate</t>
  </si>
  <si>
    <t>marketTicket</t>
  </si>
  <si>
    <t>count(1)</t>
  </si>
  <si>
    <t>equal</t>
  </si>
  <si>
    <t>avg_Pool</t>
  </si>
  <si>
    <t>avg_Loan</t>
  </si>
  <si>
    <t>Sum of avg_Pool</t>
  </si>
  <si>
    <t>Sum of avg_Loan</t>
  </si>
  <si>
    <t>Total Sum of avg_Pool</t>
  </si>
  <si>
    <t>Total Sum of avg_Loan</t>
  </si>
  <si>
    <t>Combine</t>
  </si>
  <si>
    <t>Loan Level Incentive</t>
  </si>
  <si>
    <t>Pool Level Incentive</t>
  </si>
  <si>
    <t>Conv.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</si>
</sst>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2" borderId="1" xfId="0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pivotButton="1" applyNumberFormat="1"/>
    <xf numFmtId="0" fontId="1" fillId="2" borderId="0" xfId="0" applyFont="1" applyFill="1" applyBorder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[Loan_pool incentive check.xlsx]New_LL!PivotTable1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New_LL!$H$1:$H$2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strRef>
              <c:f>New_LL!$G$3:$G$119</c:f>
              <c:strCache>
                <c:ptCount val="116"/>
                <c:pt idx="0">
                  <c:v>9/1/2006</c:v>
                </c:pt>
                <c:pt idx="1">
                  <c:v>10/1/2006</c:v>
                </c:pt>
                <c:pt idx="2">
                  <c:v>11/1/2006</c:v>
                </c:pt>
                <c:pt idx="3">
                  <c:v>12/1/2006</c:v>
                </c:pt>
                <c:pt idx="4">
                  <c:v>1/1/2007</c:v>
                </c:pt>
                <c:pt idx="5">
                  <c:v>2/1/2007</c:v>
                </c:pt>
                <c:pt idx="6">
                  <c:v>3/1/2007</c:v>
                </c:pt>
                <c:pt idx="7">
                  <c:v>4/1/2007</c:v>
                </c:pt>
                <c:pt idx="8">
                  <c:v>5/1/2007</c:v>
                </c:pt>
                <c:pt idx="9">
                  <c:v>6/1/2007</c:v>
                </c:pt>
                <c:pt idx="10">
                  <c:v>7/1/2007</c:v>
                </c:pt>
                <c:pt idx="11">
                  <c:v>8/1/2007</c:v>
                </c:pt>
                <c:pt idx="12">
                  <c:v>9/1/2007</c:v>
                </c:pt>
                <c:pt idx="13">
                  <c:v>10/1/2007</c:v>
                </c:pt>
                <c:pt idx="14">
                  <c:v>11/1/2007</c:v>
                </c:pt>
                <c:pt idx="15">
                  <c:v>12/1/2007</c:v>
                </c:pt>
                <c:pt idx="16">
                  <c:v>1/1/2008</c:v>
                </c:pt>
                <c:pt idx="17">
                  <c:v>2/1/2008</c:v>
                </c:pt>
                <c:pt idx="18">
                  <c:v>3/1/2008</c:v>
                </c:pt>
                <c:pt idx="19">
                  <c:v>4/1/2008</c:v>
                </c:pt>
                <c:pt idx="20">
                  <c:v>5/1/2008</c:v>
                </c:pt>
                <c:pt idx="21">
                  <c:v>6/1/2008</c:v>
                </c:pt>
                <c:pt idx="22">
                  <c:v>7/1/2008</c:v>
                </c:pt>
                <c:pt idx="23">
                  <c:v>8/1/2008</c:v>
                </c:pt>
                <c:pt idx="24">
                  <c:v>9/1/2008</c:v>
                </c:pt>
                <c:pt idx="25">
                  <c:v>10/1/2008</c:v>
                </c:pt>
                <c:pt idx="26">
                  <c:v>11/1/2008</c:v>
                </c:pt>
                <c:pt idx="27">
                  <c:v>12/1/2008</c:v>
                </c:pt>
                <c:pt idx="28">
                  <c:v>1/1/2009</c:v>
                </c:pt>
                <c:pt idx="29">
                  <c:v>2/1/2009</c:v>
                </c:pt>
                <c:pt idx="30">
                  <c:v>3/1/2009</c:v>
                </c:pt>
                <c:pt idx="31">
                  <c:v>4/1/2009</c:v>
                </c:pt>
                <c:pt idx="32">
                  <c:v>5/1/2009</c:v>
                </c:pt>
                <c:pt idx="33">
                  <c:v>6/1/2009</c:v>
                </c:pt>
                <c:pt idx="34">
                  <c:v>7/1/2009</c:v>
                </c:pt>
                <c:pt idx="35">
                  <c:v>8/1/2009</c:v>
                </c:pt>
                <c:pt idx="36">
                  <c:v>9/1/2009</c:v>
                </c:pt>
                <c:pt idx="37">
                  <c:v>10/1/2009</c:v>
                </c:pt>
                <c:pt idx="38">
                  <c:v>11/1/2009</c:v>
                </c:pt>
                <c:pt idx="39">
                  <c:v>12/1/2009</c:v>
                </c:pt>
                <c:pt idx="40">
                  <c:v>1/1/2010</c:v>
                </c:pt>
                <c:pt idx="41">
                  <c:v>2/1/2010</c:v>
                </c:pt>
                <c:pt idx="42">
                  <c:v>3/1/2010</c:v>
                </c:pt>
                <c:pt idx="43">
                  <c:v>4/1/2010</c:v>
                </c:pt>
                <c:pt idx="44">
                  <c:v>5/1/2010</c:v>
                </c:pt>
                <c:pt idx="45">
                  <c:v>6/1/2010</c:v>
                </c:pt>
                <c:pt idx="46">
                  <c:v>7/1/2010</c:v>
                </c:pt>
                <c:pt idx="47">
                  <c:v>8/1/2010</c:v>
                </c:pt>
                <c:pt idx="48">
                  <c:v>9/1/2010</c:v>
                </c:pt>
                <c:pt idx="49">
                  <c:v>10/1/2010</c:v>
                </c:pt>
                <c:pt idx="50">
                  <c:v>11/1/2010</c:v>
                </c:pt>
                <c:pt idx="51">
                  <c:v>12/1/2010</c:v>
                </c:pt>
                <c:pt idx="52">
                  <c:v>1/1/2011</c:v>
                </c:pt>
                <c:pt idx="53">
                  <c:v>2/1/2011</c:v>
                </c:pt>
                <c:pt idx="54">
                  <c:v>3/1/2011</c:v>
                </c:pt>
                <c:pt idx="55">
                  <c:v>4/1/2011</c:v>
                </c:pt>
                <c:pt idx="56">
                  <c:v>5/1/2011</c:v>
                </c:pt>
                <c:pt idx="57">
                  <c:v>6/1/2011</c:v>
                </c:pt>
                <c:pt idx="58">
                  <c:v>7/1/2011</c:v>
                </c:pt>
                <c:pt idx="59">
                  <c:v>8/1/2011</c:v>
                </c:pt>
                <c:pt idx="60">
                  <c:v>9/1/2011</c:v>
                </c:pt>
                <c:pt idx="61">
                  <c:v>10/1/2011</c:v>
                </c:pt>
                <c:pt idx="62">
                  <c:v>11/1/2011</c:v>
                </c:pt>
                <c:pt idx="63">
                  <c:v>12/1/2011</c:v>
                </c:pt>
                <c:pt idx="64">
                  <c:v>1/1/2012</c:v>
                </c:pt>
                <c:pt idx="65">
                  <c:v>2/1/2012</c:v>
                </c:pt>
                <c:pt idx="66">
                  <c:v>3/1/2012</c:v>
                </c:pt>
                <c:pt idx="67">
                  <c:v>4/1/2012</c:v>
                </c:pt>
                <c:pt idx="68">
                  <c:v>5/1/2012</c:v>
                </c:pt>
                <c:pt idx="69">
                  <c:v>6/1/2012</c:v>
                </c:pt>
                <c:pt idx="70">
                  <c:v>7/1/2012</c:v>
                </c:pt>
                <c:pt idx="71">
                  <c:v>8/1/2012</c:v>
                </c:pt>
                <c:pt idx="72">
                  <c:v>9/1/2012</c:v>
                </c:pt>
                <c:pt idx="73">
                  <c:v>10/1/2012</c:v>
                </c:pt>
                <c:pt idx="74">
                  <c:v>11/1/2012</c:v>
                </c:pt>
                <c:pt idx="75">
                  <c:v>12/1/2012</c:v>
                </c:pt>
                <c:pt idx="76">
                  <c:v>1/1/2013</c:v>
                </c:pt>
                <c:pt idx="77">
                  <c:v>2/1/2013</c:v>
                </c:pt>
                <c:pt idx="78">
                  <c:v>3/1/2013</c:v>
                </c:pt>
                <c:pt idx="79">
                  <c:v>4/1/2013</c:v>
                </c:pt>
                <c:pt idx="80">
                  <c:v>5/1/2013</c:v>
                </c:pt>
                <c:pt idx="81">
                  <c:v>6/1/2013</c:v>
                </c:pt>
                <c:pt idx="82">
                  <c:v>7/1/2013</c:v>
                </c:pt>
                <c:pt idx="83">
                  <c:v>8/1/2013</c:v>
                </c:pt>
                <c:pt idx="84">
                  <c:v>9/1/2013</c:v>
                </c:pt>
                <c:pt idx="85">
                  <c:v>10/1/2013</c:v>
                </c:pt>
                <c:pt idx="86">
                  <c:v>11/1/2013</c:v>
                </c:pt>
                <c:pt idx="87">
                  <c:v>12/1/2013</c:v>
                </c:pt>
                <c:pt idx="88">
                  <c:v>1/1/2014</c:v>
                </c:pt>
                <c:pt idx="89">
                  <c:v>2/1/2014</c:v>
                </c:pt>
                <c:pt idx="90">
                  <c:v>3/1/2014</c:v>
                </c:pt>
                <c:pt idx="91">
                  <c:v>4/1/2014</c:v>
                </c:pt>
                <c:pt idx="92">
                  <c:v>5/1/2014</c:v>
                </c:pt>
                <c:pt idx="93">
                  <c:v>6/1/2014</c:v>
                </c:pt>
                <c:pt idx="94">
                  <c:v>7/1/2014</c:v>
                </c:pt>
                <c:pt idx="95">
                  <c:v>8/1/2014</c:v>
                </c:pt>
                <c:pt idx="96">
                  <c:v>9/1/2014</c:v>
                </c:pt>
                <c:pt idx="97">
                  <c:v>10/1/2014</c:v>
                </c:pt>
                <c:pt idx="98">
                  <c:v>11/1/2014</c:v>
                </c:pt>
                <c:pt idx="99">
                  <c:v>12/1/2014</c:v>
                </c:pt>
                <c:pt idx="100">
                  <c:v>1/1/2015</c:v>
                </c:pt>
                <c:pt idx="101">
                  <c:v>2/1/2015</c:v>
                </c:pt>
                <c:pt idx="102">
                  <c:v>3/1/2015</c:v>
                </c:pt>
                <c:pt idx="103">
                  <c:v>4/1/2015</c:v>
                </c:pt>
                <c:pt idx="104">
                  <c:v>5/1/2015</c:v>
                </c:pt>
                <c:pt idx="105">
                  <c:v>6/1/2015</c:v>
                </c:pt>
                <c:pt idx="106">
                  <c:v>7/1/2015</c:v>
                </c:pt>
                <c:pt idx="107">
                  <c:v>8/1/2015</c:v>
                </c:pt>
                <c:pt idx="108">
                  <c:v>9/1/2015</c:v>
                </c:pt>
                <c:pt idx="109">
                  <c:v>10/1/2015</c:v>
                </c:pt>
                <c:pt idx="110">
                  <c:v>11/1/2015</c:v>
                </c:pt>
                <c:pt idx="111">
                  <c:v>12/1/2015</c:v>
                </c:pt>
                <c:pt idx="112">
                  <c:v>1/1/2016</c:v>
                </c:pt>
                <c:pt idx="113">
                  <c:v>2/1/2016</c:v>
                </c:pt>
                <c:pt idx="114">
                  <c:v>3/1/2016</c:v>
                </c:pt>
                <c:pt idx="115">
                  <c:v>(blank)</c:v>
                </c:pt>
              </c:strCache>
            </c:strRef>
          </c:cat>
          <c:val>
            <c:numRef>
              <c:f>New_LL!$H$3:$H$119</c:f>
              <c:numCache>
                <c:formatCode>0.00</c:formatCode>
                <c:ptCount val="116"/>
                <c:pt idx="0">
                  <c:v>-9.4856717499454195</c:v>
                </c:pt>
                <c:pt idx="1">
                  <c:v>5.1850440695420499</c:v>
                </c:pt>
                <c:pt idx="2">
                  <c:v>14.445318498906801</c:v>
                </c:pt>
                <c:pt idx="3">
                  <c:v>26.644466513666</c:v>
                </c:pt>
                <c:pt idx="4">
                  <c:v>39.0816403284039</c:v>
                </c:pt>
                <c:pt idx="5">
                  <c:v>28.862361828416699</c:v>
                </c:pt>
                <c:pt idx="6">
                  <c:v>27.710633390213602</c:v>
                </c:pt>
                <c:pt idx="7">
                  <c:v>35.049944248548101</c:v>
                </c:pt>
                <c:pt idx="8">
                  <c:v>30.774700298789401</c:v>
                </c:pt>
                <c:pt idx="9">
                  <c:v>22.262526332717702</c:v>
                </c:pt>
                <c:pt idx="10">
                  <c:v>-17.610160189902899</c:v>
                </c:pt>
                <c:pt idx="11">
                  <c:v>-20.819808728336401</c:v>
                </c:pt>
                <c:pt idx="12">
                  <c:v>-8.0029222828898501</c:v>
                </c:pt>
                <c:pt idx="13">
                  <c:v>10.544120851707399</c:v>
                </c:pt>
                <c:pt idx="14">
                  <c:v>16.6574861123006</c:v>
                </c:pt>
                <c:pt idx="15">
                  <c:v>34.469752023863798</c:v>
                </c:pt>
                <c:pt idx="16">
                  <c:v>45.6903099771462</c:v>
                </c:pt>
                <c:pt idx="17">
                  <c:v>80.370152216470998</c:v>
                </c:pt>
                <c:pt idx="18">
                  <c:v>59.965146332881602</c:v>
                </c:pt>
                <c:pt idx="19">
                  <c:v>53.253135009984703</c:v>
                </c:pt>
                <c:pt idx="20">
                  <c:v>54.013785486488501</c:v>
                </c:pt>
                <c:pt idx="21">
                  <c:v>41.778381928187798</c:v>
                </c:pt>
                <c:pt idx="22">
                  <c:v>7.07989026663871</c:v>
                </c:pt>
                <c:pt idx="23">
                  <c:v>-4.3990981688410198</c:v>
                </c:pt>
                <c:pt idx="24">
                  <c:v>-11.5174364086227</c:v>
                </c:pt>
                <c:pt idx="25">
                  <c:v>32.377943086068299</c:v>
                </c:pt>
                <c:pt idx="26">
                  <c:v>17.627129376611801</c:v>
                </c:pt>
                <c:pt idx="27">
                  <c:v>26.4795145035466</c:v>
                </c:pt>
                <c:pt idx="28">
                  <c:v>105.50925792341999</c:v>
                </c:pt>
                <c:pt idx="29">
                  <c:v>130.111984962809</c:v>
                </c:pt>
                <c:pt idx="30">
                  <c:v>119.339674561038</c:v>
                </c:pt>
                <c:pt idx="31">
                  <c:v>128.61977022560501</c:v>
                </c:pt>
                <c:pt idx="32">
                  <c:v>139.117891628416</c:v>
                </c:pt>
                <c:pt idx="33">
                  <c:v>127.914679468155</c:v>
                </c:pt>
                <c:pt idx="34">
                  <c:v>65.138921024264803</c:v>
                </c:pt>
                <c:pt idx="35">
                  <c:v>76.571806743199005</c:v>
                </c:pt>
                <c:pt idx="36">
                  <c:v>74.0241430931042</c:v>
                </c:pt>
                <c:pt idx="37">
                  <c:v>84.357494887820295</c:v>
                </c:pt>
                <c:pt idx="38">
                  <c:v>88.517504424304207</c:v>
                </c:pt>
                <c:pt idx="39">
                  <c:v>93.989171849700597</c:v>
                </c:pt>
                <c:pt idx="40">
                  <c:v>85.579845457918196</c:v>
                </c:pt>
                <c:pt idx="41">
                  <c:v>72.215564692825595</c:v>
                </c:pt>
                <c:pt idx="42">
                  <c:v>72.395330804655302</c:v>
                </c:pt>
                <c:pt idx="43">
                  <c:v>66.735365738503802</c:v>
                </c:pt>
                <c:pt idx="44">
                  <c:v>53.194128429884202</c:v>
                </c:pt>
                <c:pt idx="45">
                  <c:v>71.856806504369501</c:v>
                </c:pt>
                <c:pt idx="46">
                  <c:v>86.625901074900597</c:v>
                </c:pt>
                <c:pt idx="47">
                  <c:v>97.189580396668205</c:v>
                </c:pt>
                <c:pt idx="48">
                  <c:v>107.291040402959</c:v>
                </c:pt>
                <c:pt idx="49">
                  <c:v>110.71643784326599</c:v>
                </c:pt>
                <c:pt idx="50">
                  <c:v>116.598635465237</c:v>
                </c:pt>
                <c:pt idx="51">
                  <c:v>103.825743945</c:v>
                </c:pt>
                <c:pt idx="52">
                  <c:v>58.930172374543801</c:v>
                </c:pt>
                <c:pt idx="53">
                  <c:v>48.284555839033203</c:v>
                </c:pt>
                <c:pt idx="54">
                  <c:v>25.268551388663099</c:v>
                </c:pt>
                <c:pt idx="55">
                  <c:v>36.265571993554303</c:v>
                </c:pt>
                <c:pt idx="56">
                  <c:v>36.042354654255298</c:v>
                </c:pt>
                <c:pt idx="57">
                  <c:v>55.694841943456403</c:v>
                </c:pt>
                <c:pt idx="58">
                  <c:v>67.805388796156706</c:v>
                </c:pt>
                <c:pt idx="59">
                  <c:v>64.172004589599496</c:v>
                </c:pt>
                <c:pt idx="60">
                  <c:v>91.861907916415106</c:v>
                </c:pt>
                <c:pt idx="61">
                  <c:v>108.107907115438</c:v>
                </c:pt>
                <c:pt idx="62">
                  <c:v>103.987140453447</c:v>
                </c:pt>
                <c:pt idx="63">
                  <c:v>111.194039631793</c:v>
                </c:pt>
                <c:pt idx="64">
                  <c:v>113.673604998613</c:v>
                </c:pt>
                <c:pt idx="65">
                  <c:v>113.66505341430501</c:v>
                </c:pt>
                <c:pt idx="66">
                  <c:v>111.501442960943</c:v>
                </c:pt>
                <c:pt idx="67">
                  <c:v>104.888651890571</c:v>
                </c:pt>
                <c:pt idx="68">
                  <c:v>112.01698695002401</c:v>
                </c:pt>
                <c:pt idx="69">
                  <c:v>122.467487072567</c:v>
                </c:pt>
                <c:pt idx="70">
                  <c:v>133.144536677188</c:v>
                </c:pt>
                <c:pt idx="71">
                  <c:v>142.729528354732</c:v>
                </c:pt>
                <c:pt idx="72">
                  <c:v>136.24187503477401</c:v>
                </c:pt>
                <c:pt idx="73">
                  <c:v>143.48354093714801</c:v>
                </c:pt>
                <c:pt idx="74">
                  <c:v>148.56876656578299</c:v>
                </c:pt>
                <c:pt idx="75">
                  <c:v>145.57560632642199</c:v>
                </c:pt>
                <c:pt idx="76">
                  <c:v>143.321122358163</c:v>
                </c:pt>
                <c:pt idx="77">
                  <c:v>132.08348079640299</c:v>
                </c:pt>
                <c:pt idx="78">
                  <c:v>113.377907402516</c:v>
                </c:pt>
                <c:pt idx="79">
                  <c:v>107.538045847387</c:v>
                </c:pt>
                <c:pt idx="80">
                  <c:v>116.22162424637899</c:v>
                </c:pt>
                <c:pt idx="81">
                  <c:v>106.164162915937</c:v>
                </c:pt>
                <c:pt idx="82">
                  <c:v>47.881899508936002</c:v>
                </c:pt>
                <c:pt idx="83">
                  <c:v>13.9175198029209</c:v>
                </c:pt>
                <c:pt idx="84">
                  <c:v>1.77158069046327</c:v>
                </c:pt>
                <c:pt idx="85">
                  <c:v>-2.3353759330509498</c:v>
                </c:pt>
                <c:pt idx="86">
                  <c:v>25.903838322683999</c:v>
                </c:pt>
                <c:pt idx="87">
                  <c:v>15.2918565843443</c:v>
                </c:pt>
                <c:pt idx="88">
                  <c:v>-3.9483233444763499</c:v>
                </c:pt>
                <c:pt idx="89">
                  <c:v>-4.11004907382081</c:v>
                </c:pt>
                <c:pt idx="90">
                  <c:v>8.6713164626782202</c:v>
                </c:pt>
                <c:pt idx="91">
                  <c:v>7.9812186646337802</c:v>
                </c:pt>
                <c:pt idx="92">
                  <c:v>9.5280612487447396</c:v>
                </c:pt>
                <c:pt idx="93">
                  <c:v>28.4837199826753</c:v>
                </c:pt>
                <c:pt idx="94">
                  <c:v>30.052774324541701</c:v>
                </c:pt>
                <c:pt idx="95">
                  <c:v>31.702861375784298</c:v>
                </c:pt>
                <c:pt idx="96">
                  <c:v>33.203187195483402</c:v>
                </c:pt>
                <c:pt idx="97">
                  <c:v>29.2807065487717</c:v>
                </c:pt>
                <c:pt idx="98">
                  <c:v>41.249374008375398</c:v>
                </c:pt>
                <c:pt idx="99">
                  <c:v>43.4879589768315</c:v>
                </c:pt>
                <c:pt idx="100">
                  <c:v>58.2564646023432</c:v>
                </c:pt>
                <c:pt idx="101">
                  <c:v>75.275498342510701</c:v>
                </c:pt>
                <c:pt idx="102">
                  <c:v>70.330950332565806</c:v>
                </c:pt>
                <c:pt idx="103">
                  <c:v>65.547939278722694</c:v>
                </c:pt>
                <c:pt idx="104">
                  <c:v>74.219782018652893</c:v>
                </c:pt>
                <c:pt idx="105">
                  <c:v>56.749431661339699</c:v>
                </c:pt>
                <c:pt idx="106">
                  <c:v>40.592262832287702</c:v>
                </c:pt>
                <c:pt idx="107">
                  <c:v>34.386260336835498</c:v>
                </c:pt>
                <c:pt idx="108">
                  <c:v>48.512138286406</c:v>
                </c:pt>
                <c:pt idx="109">
                  <c:v>49.278841408629802</c:v>
                </c:pt>
                <c:pt idx="110">
                  <c:v>58.676064763613198</c:v>
                </c:pt>
                <c:pt idx="111">
                  <c:v>41.0793893098014</c:v>
                </c:pt>
                <c:pt idx="112">
                  <c:v>38.884497141899203</c:v>
                </c:pt>
                <c:pt idx="113">
                  <c:v>47.3332984618715</c:v>
                </c:pt>
                <c:pt idx="114">
                  <c:v>69.344126584361405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New_LL!$I$1:$I$2</c:f>
              <c:strCache>
                <c:ptCount val="1"/>
                <c:pt idx="0">
                  <c:v>FGT6</c:v>
                </c:pt>
              </c:strCache>
            </c:strRef>
          </c:tx>
          <c:marker>
            <c:symbol val="none"/>
          </c:marker>
          <c:cat>
            <c:strRef>
              <c:f>New_LL!$G$3:$G$119</c:f>
              <c:strCache>
                <c:ptCount val="116"/>
                <c:pt idx="0">
                  <c:v>9/1/2006</c:v>
                </c:pt>
                <c:pt idx="1">
                  <c:v>10/1/2006</c:v>
                </c:pt>
                <c:pt idx="2">
                  <c:v>11/1/2006</c:v>
                </c:pt>
                <c:pt idx="3">
                  <c:v>12/1/2006</c:v>
                </c:pt>
                <c:pt idx="4">
                  <c:v>1/1/2007</c:v>
                </c:pt>
                <c:pt idx="5">
                  <c:v>2/1/2007</c:v>
                </c:pt>
                <c:pt idx="6">
                  <c:v>3/1/2007</c:v>
                </c:pt>
                <c:pt idx="7">
                  <c:v>4/1/2007</c:v>
                </c:pt>
                <c:pt idx="8">
                  <c:v>5/1/2007</c:v>
                </c:pt>
                <c:pt idx="9">
                  <c:v>6/1/2007</c:v>
                </c:pt>
                <c:pt idx="10">
                  <c:v>7/1/2007</c:v>
                </c:pt>
                <c:pt idx="11">
                  <c:v>8/1/2007</c:v>
                </c:pt>
                <c:pt idx="12">
                  <c:v>9/1/2007</c:v>
                </c:pt>
                <c:pt idx="13">
                  <c:v>10/1/2007</c:v>
                </c:pt>
                <c:pt idx="14">
                  <c:v>11/1/2007</c:v>
                </c:pt>
                <c:pt idx="15">
                  <c:v>12/1/2007</c:v>
                </c:pt>
                <c:pt idx="16">
                  <c:v>1/1/2008</c:v>
                </c:pt>
                <c:pt idx="17">
                  <c:v>2/1/2008</c:v>
                </c:pt>
                <c:pt idx="18">
                  <c:v>3/1/2008</c:v>
                </c:pt>
                <c:pt idx="19">
                  <c:v>4/1/2008</c:v>
                </c:pt>
                <c:pt idx="20">
                  <c:v>5/1/2008</c:v>
                </c:pt>
                <c:pt idx="21">
                  <c:v>6/1/2008</c:v>
                </c:pt>
                <c:pt idx="22">
                  <c:v>7/1/2008</c:v>
                </c:pt>
                <c:pt idx="23">
                  <c:v>8/1/2008</c:v>
                </c:pt>
                <c:pt idx="24">
                  <c:v>9/1/2008</c:v>
                </c:pt>
                <c:pt idx="25">
                  <c:v>10/1/2008</c:v>
                </c:pt>
                <c:pt idx="26">
                  <c:v>11/1/2008</c:v>
                </c:pt>
                <c:pt idx="27">
                  <c:v>12/1/2008</c:v>
                </c:pt>
                <c:pt idx="28">
                  <c:v>1/1/2009</c:v>
                </c:pt>
                <c:pt idx="29">
                  <c:v>2/1/2009</c:v>
                </c:pt>
                <c:pt idx="30">
                  <c:v>3/1/2009</c:v>
                </c:pt>
                <c:pt idx="31">
                  <c:v>4/1/2009</c:v>
                </c:pt>
                <c:pt idx="32">
                  <c:v>5/1/2009</c:v>
                </c:pt>
                <c:pt idx="33">
                  <c:v>6/1/2009</c:v>
                </c:pt>
                <c:pt idx="34">
                  <c:v>7/1/2009</c:v>
                </c:pt>
                <c:pt idx="35">
                  <c:v>8/1/2009</c:v>
                </c:pt>
                <c:pt idx="36">
                  <c:v>9/1/2009</c:v>
                </c:pt>
                <c:pt idx="37">
                  <c:v>10/1/2009</c:v>
                </c:pt>
                <c:pt idx="38">
                  <c:v>11/1/2009</c:v>
                </c:pt>
                <c:pt idx="39">
                  <c:v>12/1/2009</c:v>
                </c:pt>
                <c:pt idx="40">
                  <c:v>1/1/2010</c:v>
                </c:pt>
                <c:pt idx="41">
                  <c:v>2/1/2010</c:v>
                </c:pt>
                <c:pt idx="42">
                  <c:v>3/1/2010</c:v>
                </c:pt>
                <c:pt idx="43">
                  <c:v>4/1/2010</c:v>
                </c:pt>
                <c:pt idx="44">
                  <c:v>5/1/2010</c:v>
                </c:pt>
                <c:pt idx="45">
                  <c:v>6/1/2010</c:v>
                </c:pt>
                <c:pt idx="46">
                  <c:v>7/1/2010</c:v>
                </c:pt>
                <c:pt idx="47">
                  <c:v>8/1/2010</c:v>
                </c:pt>
                <c:pt idx="48">
                  <c:v>9/1/2010</c:v>
                </c:pt>
                <c:pt idx="49">
                  <c:v>10/1/2010</c:v>
                </c:pt>
                <c:pt idx="50">
                  <c:v>11/1/2010</c:v>
                </c:pt>
                <c:pt idx="51">
                  <c:v>12/1/2010</c:v>
                </c:pt>
                <c:pt idx="52">
                  <c:v>1/1/2011</c:v>
                </c:pt>
                <c:pt idx="53">
                  <c:v>2/1/2011</c:v>
                </c:pt>
                <c:pt idx="54">
                  <c:v>3/1/2011</c:v>
                </c:pt>
                <c:pt idx="55">
                  <c:v>4/1/2011</c:v>
                </c:pt>
                <c:pt idx="56">
                  <c:v>5/1/2011</c:v>
                </c:pt>
                <c:pt idx="57">
                  <c:v>6/1/2011</c:v>
                </c:pt>
                <c:pt idx="58">
                  <c:v>7/1/2011</c:v>
                </c:pt>
                <c:pt idx="59">
                  <c:v>8/1/2011</c:v>
                </c:pt>
                <c:pt idx="60">
                  <c:v>9/1/2011</c:v>
                </c:pt>
                <c:pt idx="61">
                  <c:v>10/1/2011</c:v>
                </c:pt>
                <c:pt idx="62">
                  <c:v>11/1/2011</c:v>
                </c:pt>
                <c:pt idx="63">
                  <c:v>12/1/2011</c:v>
                </c:pt>
                <c:pt idx="64">
                  <c:v>1/1/2012</c:v>
                </c:pt>
                <c:pt idx="65">
                  <c:v>2/1/2012</c:v>
                </c:pt>
                <c:pt idx="66">
                  <c:v>3/1/2012</c:v>
                </c:pt>
                <c:pt idx="67">
                  <c:v>4/1/2012</c:v>
                </c:pt>
                <c:pt idx="68">
                  <c:v>5/1/2012</c:v>
                </c:pt>
                <c:pt idx="69">
                  <c:v>6/1/2012</c:v>
                </c:pt>
                <c:pt idx="70">
                  <c:v>7/1/2012</c:v>
                </c:pt>
                <c:pt idx="71">
                  <c:v>8/1/2012</c:v>
                </c:pt>
                <c:pt idx="72">
                  <c:v>9/1/2012</c:v>
                </c:pt>
                <c:pt idx="73">
                  <c:v>10/1/2012</c:v>
                </c:pt>
                <c:pt idx="74">
                  <c:v>11/1/2012</c:v>
                </c:pt>
                <c:pt idx="75">
                  <c:v>12/1/2012</c:v>
                </c:pt>
                <c:pt idx="76">
                  <c:v>1/1/2013</c:v>
                </c:pt>
                <c:pt idx="77">
                  <c:v>2/1/2013</c:v>
                </c:pt>
                <c:pt idx="78">
                  <c:v>3/1/2013</c:v>
                </c:pt>
                <c:pt idx="79">
                  <c:v>4/1/2013</c:v>
                </c:pt>
                <c:pt idx="80">
                  <c:v>5/1/2013</c:v>
                </c:pt>
                <c:pt idx="81">
                  <c:v>6/1/2013</c:v>
                </c:pt>
                <c:pt idx="82">
                  <c:v>7/1/2013</c:v>
                </c:pt>
                <c:pt idx="83">
                  <c:v>8/1/2013</c:v>
                </c:pt>
                <c:pt idx="84">
                  <c:v>9/1/2013</c:v>
                </c:pt>
                <c:pt idx="85">
                  <c:v>10/1/2013</c:v>
                </c:pt>
                <c:pt idx="86">
                  <c:v>11/1/2013</c:v>
                </c:pt>
                <c:pt idx="87">
                  <c:v>12/1/2013</c:v>
                </c:pt>
                <c:pt idx="88">
                  <c:v>1/1/2014</c:v>
                </c:pt>
                <c:pt idx="89">
                  <c:v>2/1/2014</c:v>
                </c:pt>
                <c:pt idx="90">
                  <c:v>3/1/2014</c:v>
                </c:pt>
                <c:pt idx="91">
                  <c:v>4/1/2014</c:v>
                </c:pt>
                <c:pt idx="92">
                  <c:v>5/1/2014</c:v>
                </c:pt>
                <c:pt idx="93">
                  <c:v>6/1/2014</c:v>
                </c:pt>
                <c:pt idx="94">
                  <c:v>7/1/2014</c:v>
                </c:pt>
                <c:pt idx="95">
                  <c:v>8/1/2014</c:v>
                </c:pt>
                <c:pt idx="96">
                  <c:v>9/1/2014</c:v>
                </c:pt>
                <c:pt idx="97">
                  <c:v>10/1/2014</c:v>
                </c:pt>
                <c:pt idx="98">
                  <c:v>11/1/2014</c:v>
                </c:pt>
                <c:pt idx="99">
                  <c:v>12/1/2014</c:v>
                </c:pt>
                <c:pt idx="100">
                  <c:v>1/1/2015</c:v>
                </c:pt>
                <c:pt idx="101">
                  <c:v>2/1/2015</c:v>
                </c:pt>
                <c:pt idx="102">
                  <c:v>3/1/2015</c:v>
                </c:pt>
                <c:pt idx="103">
                  <c:v>4/1/2015</c:v>
                </c:pt>
                <c:pt idx="104">
                  <c:v>5/1/2015</c:v>
                </c:pt>
                <c:pt idx="105">
                  <c:v>6/1/2015</c:v>
                </c:pt>
                <c:pt idx="106">
                  <c:v>7/1/2015</c:v>
                </c:pt>
                <c:pt idx="107">
                  <c:v>8/1/2015</c:v>
                </c:pt>
                <c:pt idx="108">
                  <c:v>9/1/2015</c:v>
                </c:pt>
                <c:pt idx="109">
                  <c:v>10/1/2015</c:v>
                </c:pt>
                <c:pt idx="110">
                  <c:v>11/1/2015</c:v>
                </c:pt>
                <c:pt idx="111">
                  <c:v>12/1/2015</c:v>
                </c:pt>
                <c:pt idx="112">
                  <c:v>1/1/2016</c:v>
                </c:pt>
                <c:pt idx="113">
                  <c:v>2/1/2016</c:v>
                </c:pt>
                <c:pt idx="114">
                  <c:v>3/1/2016</c:v>
                </c:pt>
                <c:pt idx="115">
                  <c:v>(blank)</c:v>
                </c:pt>
              </c:strCache>
            </c:strRef>
          </c:cat>
          <c:val>
            <c:numRef>
              <c:f>New_LL!$I$3:$I$119</c:f>
              <c:numCache>
                <c:formatCode>0.00</c:formatCode>
                <c:ptCount val="116"/>
                <c:pt idx="22">
                  <c:v>-47.069628709260598</c:v>
                </c:pt>
                <c:pt idx="23">
                  <c:v>-62.500933599499596</c:v>
                </c:pt>
                <c:pt idx="24">
                  <c:v>-68.292637221204103</c:v>
                </c:pt>
                <c:pt idx="25">
                  <c:v>-10.4678866108225</c:v>
                </c:pt>
                <c:pt idx="26">
                  <c:v>-8.4755899637733592</c:v>
                </c:pt>
                <c:pt idx="27">
                  <c:v>9.6121800811170992</c:v>
                </c:pt>
                <c:pt idx="28">
                  <c:v>93.481898607643402</c:v>
                </c:pt>
                <c:pt idx="29">
                  <c:v>120.314516648451</c:v>
                </c:pt>
                <c:pt idx="30">
                  <c:v>106.7802387409</c:v>
                </c:pt>
                <c:pt idx="31">
                  <c:v>115.60060134408801</c:v>
                </c:pt>
                <c:pt idx="32">
                  <c:v>134.25272080813099</c:v>
                </c:pt>
                <c:pt idx="33">
                  <c:v>127.88674401458501</c:v>
                </c:pt>
                <c:pt idx="34">
                  <c:v>66.452050730890505</c:v>
                </c:pt>
                <c:pt idx="35">
                  <c:v>83.190817020090805</c:v>
                </c:pt>
                <c:pt idx="36">
                  <c:v>88.461390710754699</c:v>
                </c:pt>
                <c:pt idx="37">
                  <c:v>108.569198746997</c:v>
                </c:pt>
                <c:pt idx="38">
                  <c:v>117.343833523447</c:v>
                </c:pt>
                <c:pt idx="39">
                  <c:v>126.25354860683299</c:v>
                </c:pt>
                <c:pt idx="40">
                  <c:v>124.933110859153</c:v>
                </c:pt>
                <c:pt idx="41">
                  <c:v>118.103576670188</c:v>
                </c:pt>
                <c:pt idx="42">
                  <c:v>122.45419772136199</c:v>
                </c:pt>
                <c:pt idx="43">
                  <c:v>120.626175807924</c:v>
                </c:pt>
                <c:pt idx="44">
                  <c:v>108.792671357709</c:v>
                </c:pt>
                <c:pt idx="45">
                  <c:v>128.43846937767901</c:v>
                </c:pt>
                <c:pt idx="46">
                  <c:v>146.66022120884</c:v>
                </c:pt>
                <c:pt idx="47">
                  <c:v>162.15155344204501</c:v>
                </c:pt>
                <c:pt idx="48">
                  <c:v>176.77439745321499</c:v>
                </c:pt>
                <c:pt idx="49">
                  <c:v>184.635415809026</c:v>
                </c:pt>
                <c:pt idx="50">
                  <c:v>195.29735558702799</c:v>
                </c:pt>
                <c:pt idx="51">
                  <c:v>186.83184749277899</c:v>
                </c:pt>
                <c:pt idx="52">
                  <c:v>31.1170736922918</c:v>
                </c:pt>
                <c:pt idx="53">
                  <c:v>0.62375249409120104</c:v>
                </c:pt>
                <c:pt idx="54">
                  <c:v>-36.848388533538497</c:v>
                </c:pt>
                <c:pt idx="55">
                  <c:v>-22.394429498140799</c:v>
                </c:pt>
                <c:pt idx="56">
                  <c:v>-15.351623509260699</c:v>
                </c:pt>
                <c:pt idx="57">
                  <c:v>10.8319583466634</c:v>
                </c:pt>
                <c:pt idx="58">
                  <c:v>28.540340906475699</c:v>
                </c:pt>
                <c:pt idx="59">
                  <c:v>26.448881474707999</c:v>
                </c:pt>
                <c:pt idx="60">
                  <c:v>54.738536677073498</c:v>
                </c:pt>
                <c:pt idx="61">
                  <c:v>67.218470023160705</c:v>
                </c:pt>
                <c:pt idx="62">
                  <c:v>56.258708691401303</c:v>
                </c:pt>
                <c:pt idx="63">
                  <c:v>56.419161572394898</c:v>
                </c:pt>
                <c:pt idx="64">
                  <c:v>60.235652548996903</c:v>
                </c:pt>
                <c:pt idx="65">
                  <c:v>56.157707734798898</c:v>
                </c:pt>
                <c:pt idx="66">
                  <c:v>52.451096771777003</c:v>
                </c:pt>
                <c:pt idx="67">
                  <c:v>42.047060990373403</c:v>
                </c:pt>
                <c:pt idx="68">
                  <c:v>46.925892680173497</c:v>
                </c:pt>
                <c:pt idx="69">
                  <c:v>55.818706938177399</c:v>
                </c:pt>
                <c:pt idx="70">
                  <c:v>68.122170929788993</c:v>
                </c:pt>
                <c:pt idx="71">
                  <c:v>79.096357472130407</c:v>
                </c:pt>
                <c:pt idx="72">
                  <c:v>74.165060436425406</c:v>
                </c:pt>
                <c:pt idx="73">
                  <c:v>78.7806952465709</c:v>
                </c:pt>
                <c:pt idx="74">
                  <c:v>81.983188409534904</c:v>
                </c:pt>
                <c:pt idx="75">
                  <c:v>77.372775034769205</c:v>
                </c:pt>
                <c:pt idx="76">
                  <c:v>75.871959936024894</c:v>
                </c:pt>
                <c:pt idx="77">
                  <c:v>63.622208242827497</c:v>
                </c:pt>
                <c:pt idx="78">
                  <c:v>45.137277361899201</c:v>
                </c:pt>
                <c:pt idx="79">
                  <c:v>40.3745588056941</c:v>
                </c:pt>
                <c:pt idx="80">
                  <c:v>51.835843078706901</c:v>
                </c:pt>
                <c:pt idx="81">
                  <c:v>42.910061617331301</c:v>
                </c:pt>
                <c:pt idx="82">
                  <c:v>-13.332059931106899</c:v>
                </c:pt>
                <c:pt idx="83">
                  <c:v>-44.078004716314901</c:v>
                </c:pt>
                <c:pt idx="84">
                  <c:v>-53.286578507747002</c:v>
                </c:pt>
                <c:pt idx="85">
                  <c:v>-53.915853181019699</c:v>
                </c:pt>
                <c:pt idx="86">
                  <c:v>-22.643412176103102</c:v>
                </c:pt>
                <c:pt idx="87">
                  <c:v>-29.687086323446898</c:v>
                </c:pt>
                <c:pt idx="88">
                  <c:v>-46.046191522867602</c:v>
                </c:pt>
                <c:pt idx="89">
                  <c:v>-44.174320815445199</c:v>
                </c:pt>
                <c:pt idx="90">
                  <c:v>-30.047274651576501</c:v>
                </c:pt>
                <c:pt idx="91">
                  <c:v>-29.199120093201401</c:v>
                </c:pt>
                <c:pt idx="92">
                  <c:v>-27.261819392597499</c:v>
                </c:pt>
                <c:pt idx="93">
                  <c:v>-6.96621818879537</c:v>
                </c:pt>
                <c:pt idx="94">
                  <c:v>-4.2849061620112598</c:v>
                </c:pt>
                <c:pt idx="95">
                  <c:v>-1.4995538246549101</c:v>
                </c:pt>
                <c:pt idx="96">
                  <c:v>1.5983485434556599</c:v>
                </c:pt>
                <c:pt idx="97">
                  <c:v>-0.50057698509172499</c:v>
                </c:pt>
                <c:pt idx="98">
                  <c:v>12.399359023217199</c:v>
                </c:pt>
                <c:pt idx="99">
                  <c:v>15.616415098372901</c:v>
                </c:pt>
                <c:pt idx="100">
                  <c:v>29.390602076154799</c:v>
                </c:pt>
                <c:pt idx="101">
                  <c:v>47.3405024785772</c:v>
                </c:pt>
                <c:pt idx="102">
                  <c:v>42.618668182878302</c:v>
                </c:pt>
                <c:pt idx="103">
                  <c:v>36.8596408774727</c:v>
                </c:pt>
                <c:pt idx="104">
                  <c:v>45.063800760938697</c:v>
                </c:pt>
                <c:pt idx="105">
                  <c:v>27.089992642462398</c:v>
                </c:pt>
                <c:pt idx="106">
                  <c:v>10.4111859302244</c:v>
                </c:pt>
                <c:pt idx="107">
                  <c:v>4.3792147552585403</c:v>
                </c:pt>
                <c:pt idx="108">
                  <c:v>12.373612928012101</c:v>
                </c:pt>
                <c:pt idx="109">
                  <c:v>13.875348960935201</c:v>
                </c:pt>
                <c:pt idx="110">
                  <c:v>24.8270306819003</c:v>
                </c:pt>
                <c:pt idx="111">
                  <c:v>9.31198977261481</c:v>
                </c:pt>
                <c:pt idx="112">
                  <c:v>9.2078872613880804</c:v>
                </c:pt>
                <c:pt idx="113">
                  <c:v>19.1405529377558</c:v>
                </c:pt>
                <c:pt idx="114">
                  <c:v>42.933800867543802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New_LL!$J$1:$J$2</c:f>
              <c:strCache>
                <c:ptCount val="1"/>
                <c:pt idx="0">
                  <c:v>FGU6</c:v>
                </c:pt>
              </c:strCache>
            </c:strRef>
          </c:tx>
          <c:marker>
            <c:symbol val="none"/>
          </c:marker>
          <c:cat>
            <c:strRef>
              <c:f>New_LL!$G$3:$G$119</c:f>
              <c:strCache>
                <c:ptCount val="116"/>
                <c:pt idx="0">
                  <c:v>9/1/2006</c:v>
                </c:pt>
                <c:pt idx="1">
                  <c:v>10/1/2006</c:v>
                </c:pt>
                <c:pt idx="2">
                  <c:v>11/1/2006</c:v>
                </c:pt>
                <c:pt idx="3">
                  <c:v>12/1/2006</c:v>
                </c:pt>
                <c:pt idx="4">
                  <c:v>1/1/2007</c:v>
                </c:pt>
                <c:pt idx="5">
                  <c:v>2/1/2007</c:v>
                </c:pt>
                <c:pt idx="6">
                  <c:v>3/1/2007</c:v>
                </c:pt>
                <c:pt idx="7">
                  <c:v>4/1/2007</c:v>
                </c:pt>
                <c:pt idx="8">
                  <c:v>5/1/2007</c:v>
                </c:pt>
                <c:pt idx="9">
                  <c:v>6/1/2007</c:v>
                </c:pt>
                <c:pt idx="10">
                  <c:v>7/1/2007</c:v>
                </c:pt>
                <c:pt idx="11">
                  <c:v>8/1/2007</c:v>
                </c:pt>
                <c:pt idx="12">
                  <c:v>9/1/2007</c:v>
                </c:pt>
                <c:pt idx="13">
                  <c:v>10/1/2007</c:v>
                </c:pt>
                <c:pt idx="14">
                  <c:v>11/1/2007</c:v>
                </c:pt>
                <c:pt idx="15">
                  <c:v>12/1/2007</c:v>
                </c:pt>
                <c:pt idx="16">
                  <c:v>1/1/2008</c:v>
                </c:pt>
                <c:pt idx="17">
                  <c:v>2/1/2008</c:v>
                </c:pt>
                <c:pt idx="18">
                  <c:v>3/1/2008</c:v>
                </c:pt>
                <c:pt idx="19">
                  <c:v>4/1/2008</c:v>
                </c:pt>
                <c:pt idx="20">
                  <c:v>5/1/2008</c:v>
                </c:pt>
                <c:pt idx="21">
                  <c:v>6/1/2008</c:v>
                </c:pt>
                <c:pt idx="22">
                  <c:v>7/1/2008</c:v>
                </c:pt>
                <c:pt idx="23">
                  <c:v>8/1/2008</c:v>
                </c:pt>
                <c:pt idx="24">
                  <c:v>9/1/2008</c:v>
                </c:pt>
                <c:pt idx="25">
                  <c:v>10/1/2008</c:v>
                </c:pt>
                <c:pt idx="26">
                  <c:v>11/1/2008</c:v>
                </c:pt>
                <c:pt idx="27">
                  <c:v>12/1/2008</c:v>
                </c:pt>
                <c:pt idx="28">
                  <c:v>1/1/2009</c:v>
                </c:pt>
                <c:pt idx="29">
                  <c:v>2/1/2009</c:v>
                </c:pt>
                <c:pt idx="30">
                  <c:v>3/1/2009</c:v>
                </c:pt>
                <c:pt idx="31">
                  <c:v>4/1/2009</c:v>
                </c:pt>
                <c:pt idx="32">
                  <c:v>5/1/2009</c:v>
                </c:pt>
                <c:pt idx="33">
                  <c:v>6/1/2009</c:v>
                </c:pt>
                <c:pt idx="34">
                  <c:v>7/1/2009</c:v>
                </c:pt>
                <c:pt idx="35">
                  <c:v>8/1/2009</c:v>
                </c:pt>
                <c:pt idx="36">
                  <c:v>9/1/2009</c:v>
                </c:pt>
                <c:pt idx="37">
                  <c:v>10/1/2009</c:v>
                </c:pt>
                <c:pt idx="38">
                  <c:v>11/1/2009</c:v>
                </c:pt>
                <c:pt idx="39">
                  <c:v>12/1/2009</c:v>
                </c:pt>
                <c:pt idx="40">
                  <c:v>1/1/2010</c:v>
                </c:pt>
                <c:pt idx="41">
                  <c:v>2/1/2010</c:v>
                </c:pt>
                <c:pt idx="42">
                  <c:v>3/1/2010</c:v>
                </c:pt>
                <c:pt idx="43">
                  <c:v>4/1/2010</c:v>
                </c:pt>
                <c:pt idx="44">
                  <c:v>5/1/2010</c:v>
                </c:pt>
                <c:pt idx="45">
                  <c:v>6/1/2010</c:v>
                </c:pt>
                <c:pt idx="46">
                  <c:v>7/1/2010</c:v>
                </c:pt>
                <c:pt idx="47">
                  <c:v>8/1/2010</c:v>
                </c:pt>
                <c:pt idx="48">
                  <c:v>9/1/2010</c:v>
                </c:pt>
                <c:pt idx="49">
                  <c:v>10/1/2010</c:v>
                </c:pt>
                <c:pt idx="50">
                  <c:v>11/1/2010</c:v>
                </c:pt>
                <c:pt idx="51">
                  <c:v>12/1/2010</c:v>
                </c:pt>
                <c:pt idx="52">
                  <c:v>1/1/2011</c:v>
                </c:pt>
                <c:pt idx="53">
                  <c:v>2/1/2011</c:v>
                </c:pt>
                <c:pt idx="54">
                  <c:v>3/1/2011</c:v>
                </c:pt>
                <c:pt idx="55">
                  <c:v>4/1/2011</c:v>
                </c:pt>
                <c:pt idx="56">
                  <c:v>5/1/2011</c:v>
                </c:pt>
                <c:pt idx="57">
                  <c:v>6/1/2011</c:v>
                </c:pt>
                <c:pt idx="58">
                  <c:v>7/1/2011</c:v>
                </c:pt>
                <c:pt idx="59">
                  <c:v>8/1/2011</c:v>
                </c:pt>
                <c:pt idx="60">
                  <c:v>9/1/2011</c:v>
                </c:pt>
                <c:pt idx="61">
                  <c:v>10/1/2011</c:v>
                </c:pt>
                <c:pt idx="62">
                  <c:v>11/1/2011</c:v>
                </c:pt>
                <c:pt idx="63">
                  <c:v>12/1/2011</c:v>
                </c:pt>
                <c:pt idx="64">
                  <c:v>1/1/2012</c:v>
                </c:pt>
                <c:pt idx="65">
                  <c:v>2/1/2012</c:v>
                </c:pt>
                <c:pt idx="66">
                  <c:v>3/1/2012</c:v>
                </c:pt>
                <c:pt idx="67">
                  <c:v>4/1/2012</c:v>
                </c:pt>
                <c:pt idx="68">
                  <c:v>5/1/2012</c:v>
                </c:pt>
                <c:pt idx="69">
                  <c:v>6/1/2012</c:v>
                </c:pt>
                <c:pt idx="70">
                  <c:v>7/1/2012</c:v>
                </c:pt>
                <c:pt idx="71">
                  <c:v>8/1/2012</c:v>
                </c:pt>
                <c:pt idx="72">
                  <c:v>9/1/2012</c:v>
                </c:pt>
                <c:pt idx="73">
                  <c:v>10/1/2012</c:v>
                </c:pt>
                <c:pt idx="74">
                  <c:v>11/1/2012</c:v>
                </c:pt>
                <c:pt idx="75">
                  <c:v>12/1/2012</c:v>
                </c:pt>
                <c:pt idx="76">
                  <c:v>1/1/2013</c:v>
                </c:pt>
                <c:pt idx="77">
                  <c:v>2/1/2013</c:v>
                </c:pt>
                <c:pt idx="78">
                  <c:v>3/1/2013</c:v>
                </c:pt>
                <c:pt idx="79">
                  <c:v>4/1/2013</c:v>
                </c:pt>
                <c:pt idx="80">
                  <c:v>5/1/2013</c:v>
                </c:pt>
                <c:pt idx="81">
                  <c:v>6/1/2013</c:v>
                </c:pt>
                <c:pt idx="82">
                  <c:v>7/1/2013</c:v>
                </c:pt>
                <c:pt idx="83">
                  <c:v>8/1/2013</c:v>
                </c:pt>
                <c:pt idx="84">
                  <c:v>9/1/2013</c:v>
                </c:pt>
                <c:pt idx="85">
                  <c:v>10/1/2013</c:v>
                </c:pt>
                <c:pt idx="86">
                  <c:v>11/1/2013</c:v>
                </c:pt>
                <c:pt idx="87">
                  <c:v>12/1/2013</c:v>
                </c:pt>
                <c:pt idx="88">
                  <c:v>1/1/2014</c:v>
                </c:pt>
                <c:pt idx="89">
                  <c:v>2/1/2014</c:v>
                </c:pt>
                <c:pt idx="90">
                  <c:v>3/1/2014</c:v>
                </c:pt>
                <c:pt idx="91">
                  <c:v>4/1/2014</c:v>
                </c:pt>
                <c:pt idx="92">
                  <c:v>5/1/2014</c:v>
                </c:pt>
                <c:pt idx="93">
                  <c:v>6/1/2014</c:v>
                </c:pt>
                <c:pt idx="94">
                  <c:v>7/1/2014</c:v>
                </c:pt>
                <c:pt idx="95">
                  <c:v>8/1/2014</c:v>
                </c:pt>
                <c:pt idx="96">
                  <c:v>9/1/2014</c:v>
                </c:pt>
                <c:pt idx="97">
                  <c:v>10/1/2014</c:v>
                </c:pt>
                <c:pt idx="98">
                  <c:v>11/1/2014</c:v>
                </c:pt>
                <c:pt idx="99">
                  <c:v>12/1/2014</c:v>
                </c:pt>
                <c:pt idx="100">
                  <c:v>1/1/2015</c:v>
                </c:pt>
                <c:pt idx="101">
                  <c:v>2/1/2015</c:v>
                </c:pt>
                <c:pt idx="102">
                  <c:v>3/1/2015</c:v>
                </c:pt>
                <c:pt idx="103">
                  <c:v>4/1/2015</c:v>
                </c:pt>
                <c:pt idx="104">
                  <c:v>5/1/2015</c:v>
                </c:pt>
                <c:pt idx="105">
                  <c:v>6/1/2015</c:v>
                </c:pt>
                <c:pt idx="106">
                  <c:v>7/1/2015</c:v>
                </c:pt>
                <c:pt idx="107">
                  <c:v>8/1/2015</c:v>
                </c:pt>
                <c:pt idx="108">
                  <c:v>9/1/2015</c:v>
                </c:pt>
                <c:pt idx="109">
                  <c:v>10/1/2015</c:v>
                </c:pt>
                <c:pt idx="110">
                  <c:v>11/1/2015</c:v>
                </c:pt>
                <c:pt idx="111">
                  <c:v>12/1/2015</c:v>
                </c:pt>
                <c:pt idx="112">
                  <c:v>1/1/2016</c:v>
                </c:pt>
                <c:pt idx="113">
                  <c:v>2/1/2016</c:v>
                </c:pt>
                <c:pt idx="114">
                  <c:v>3/1/2016</c:v>
                </c:pt>
                <c:pt idx="115">
                  <c:v>(blank)</c:v>
                </c:pt>
              </c:strCache>
            </c:strRef>
          </c:cat>
          <c:val>
            <c:numRef>
              <c:f>New_LL!$J$3:$J$119</c:f>
              <c:numCache>
                <c:formatCode>0.00</c:formatCode>
                <c:ptCount val="116"/>
                <c:pt idx="39">
                  <c:v>-70.136770695988503</c:v>
                </c:pt>
                <c:pt idx="40">
                  <c:v>-104.847731702657</c:v>
                </c:pt>
                <c:pt idx="41">
                  <c:v>-100.794548850697</c:v>
                </c:pt>
                <c:pt idx="42">
                  <c:v>-95.818319113452702</c:v>
                </c:pt>
                <c:pt idx="43">
                  <c:v>-94.491825197565305</c:v>
                </c:pt>
                <c:pt idx="44">
                  <c:v>-162.931215400192</c:v>
                </c:pt>
                <c:pt idx="45">
                  <c:v>-142.44495579935599</c:v>
                </c:pt>
                <c:pt idx="46">
                  <c:v>-126.270125492433</c:v>
                </c:pt>
                <c:pt idx="47">
                  <c:v>-112.247056553199</c:v>
                </c:pt>
                <c:pt idx="48">
                  <c:v>-101.15171495522</c:v>
                </c:pt>
                <c:pt idx="49">
                  <c:v>-100.043932644248</c:v>
                </c:pt>
                <c:pt idx="50">
                  <c:v>-92.598990722172402</c:v>
                </c:pt>
                <c:pt idx="51">
                  <c:v>-102.73808600244</c:v>
                </c:pt>
                <c:pt idx="52">
                  <c:v>-152.617178352595</c:v>
                </c:pt>
                <c:pt idx="53">
                  <c:v>-163.31616891635201</c:v>
                </c:pt>
                <c:pt idx="54">
                  <c:v>-188.44933960162001</c:v>
                </c:pt>
                <c:pt idx="55">
                  <c:v>-180.12814604326701</c:v>
                </c:pt>
                <c:pt idx="56">
                  <c:v>-179.89422492672699</c:v>
                </c:pt>
                <c:pt idx="57">
                  <c:v>-159.84040042960399</c:v>
                </c:pt>
                <c:pt idx="58">
                  <c:v>-146.94518042739199</c:v>
                </c:pt>
                <c:pt idx="59">
                  <c:v>-121.318314329172</c:v>
                </c:pt>
                <c:pt idx="60">
                  <c:v>-93.776439673627195</c:v>
                </c:pt>
                <c:pt idx="61">
                  <c:v>-76.186866662199293</c:v>
                </c:pt>
                <c:pt idx="62">
                  <c:v>-79.6290195717404</c:v>
                </c:pt>
                <c:pt idx="63">
                  <c:v>-71.546478240183902</c:v>
                </c:pt>
                <c:pt idx="64">
                  <c:v>-68.7398955888399</c:v>
                </c:pt>
                <c:pt idx="65">
                  <c:v>-70.039212433835203</c:v>
                </c:pt>
                <c:pt idx="66">
                  <c:v>-97.742811932843907</c:v>
                </c:pt>
                <c:pt idx="67">
                  <c:v>-114.596270848274</c:v>
                </c:pt>
                <c:pt idx="68">
                  <c:v>-113.140194551834</c:v>
                </c:pt>
                <c:pt idx="69">
                  <c:v>-106.891274020472</c:v>
                </c:pt>
                <c:pt idx="70">
                  <c:v>-100.139962636495</c:v>
                </c:pt>
                <c:pt idx="71">
                  <c:v>-93.325601790406495</c:v>
                </c:pt>
                <c:pt idx="72">
                  <c:v>-100.49552467072</c:v>
                </c:pt>
                <c:pt idx="73">
                  <c:v>-93.659558699570795</c:v>
                </c:pt>
                <c:pt idx="74">
                  <c:v>-86.743330865464102</c:v>
                </c:pt>
                <c:pt idx="75">
                  <c:v>-87.977590508037096</c:v>
                </c:pt>
                <c:pt idx="76">
                  <c:v>-88.013225433454096</c:v>
                </c:pt>
                <c:pt idx="77">
                  <c:v>-96.213708872485995</c:v>
                </c:pt>
                <c:pt idx="78">
                  <c:v>-111.245612784985</c:v>
                </c:pt>
                <c:pt idx="79">
                  <c:v>-110.290219812676</c:v>
                </c:pt>
                <c:pt idx="80">
                  <c:v>-96.531417475033805</c:v>
                </c:pt>
                <c:pt idx="81">
                  <c:v>-98.387497677106296</c:v>
                </c:pt>
                <c:pt idx="82">
                  <c:v>-149.46169984341299</c:v>
                </c:pt>
                <c:pt idx="83">
                  <c:v>-198.690961083437</c:v>
                </c:pt>
                <c:pt idx="84">
                  <c:v>-203.15536491588199</c:v>
                </c:pt>
                <c:pt idx="85">
                  <c:v>-204.87946544738099</c:v>
                </c:pt>
                <c:pt idx="86">
                  <c:v>-174.137763319241</c:v>
                </c:pt>
                <c:pt idx="87">
                  <c:v>-181.315420793025</c:v>
                </c:pt>
                <c:pt idx="88">
                  <c:v>-197.34233365688601</c:v>
                </c:pt>
                <c:pt idx="89">
                  <c:v>-194.33894976034401</c:v>
                </c:pt>
                <c:pt idx="90">
                  <c:v>-178.48692990154601</c:v>
                </c:pt>
                <c:pt idx="91">
                  <c:v>-175.941401795275</c:v>
                </c:pt>
                <c:pt idx="92">
                  <c:v>-168.61203152057601</c:v>
                </c:pt>
                <c:pt idx="93">
                  <c:v>-142.38210393666901</c:v>
                </c:pt>
                <c:pt idx="94">
                  <c:v>-137.28814372224801</c:v>
                </c:pt>
                <c:pt idx="95">
                  <c:v>-131.98744482244001</c:v>
                </c:pt>
                <c:pt idx="96">
                  <c:v>-126.607168182151</c:v>
                </c:pt>
                <c:pt idx="97">
                  <c:v>-128.74987432198199</c:v>
                </c:pt>
                <c:pt idx="98">
                  <c:v>-114.85659585177</c:v>
                </c:pt>
                <c:pt idx="99">
                  <c:v>-110.80000876517001</c:v>
                </c:pt>
                <c:pt idx="100">
                  <c:v>-90.656865239700096</c:v>
                </c:pt>
                <c:pt idx="101">
                  <c:v>-70.870406476145007</c:v>
                </c:pt>
                <c:pt idx="102">
                  <c:v>-72.637260094452003</c:v>
                </c:pt>
                <c:pt idx="103">
                  <c:v>-68.711562827176905</c:v>
                </c:pt>
                <c:pt idx="104">
                  <c:v>-50.524846771396597</c:v>
                </c:pt>
                <c:pt idx="105">
                  <c:v>-58.894842055431901</c:v>
                </c:pt>
                <c:pt idx="106">
                  <c:v>-70.665367534873099</c:v>
                </c:pt>
                <c:pt idx="107">
                  <c:v>-72.721954136915301</c:v>
                </c:pt>
                <c:pt idx="108">
                  <c:v>-50.322947054787697</c:v>
                </c:pt>
                <c:pt idx="109">
                  <c:v>-48.433994884894702</c:v>
                </c:pt>
                <c:pt idx="110">
                  <c:v>-37.907993418698901</c:v>
                </c:pt>
                <c:pt idx="111">
                  <c:v>-54.469340689123101</c:v>
                </c:pt>
                <c:pt idx="112">
                  <c:v>-55.565085626141602</c:v>
                </c:pt>
                <c:pt idx="113">
                  <c:v>-46.139739744210601</c:v>
                </c:pt>
                <c:pt idx="114">
                  <c:v>-23.272287823531201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New_LL!$K$1:$K$2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strRef>
              <c:f>New_LL!$G$3:$G$119</c:f>
              <c:strCache>
                <c:ptCount val="116"/>
                <c:pt idx="0">
                  <c:v>9/1/2006</c:v>
                </c:pt>
                <c:pt idx="1">
                  <c:v>10/1/2006</c:v>
                </c:pt>
                <c:pt idx="2">
                  <c:v>11/1/2006</c:v>
                </c:pt>
                <c:pt idx="3">
                  <c:v>12/1/2006</c:v>
                </c:pt>
                <c:pt idx="4">
                  <c:v>1/1/2007</c:v>
                </c:pt>
                <c:pt idx="5">
                  <c:v>2/1/2007</c:v>
                </c:pt>
                <c:pt idx="6">
                  <c:v>3/1/2007</c:v>
                </c:pt>
                <c:pt idx="7">
                  <c:v>4/1/2007</c:v>
                </c:pt>
                <c:pt idx="8">
                  <c:v>5/1/2007</c:v>
                </c:pt>
                <c:pt idx="9">
                  <c:v>6/1/2007</c:v>
                </c:pt>
                <c:pt idx="10">
                  <c:v>7/1/2007</c:v>
                </c:pt>
                <c:pt idx="11">
                  <c:v>8/1/2007</c:v>
                </c:pt>
                <c:pt idx="12">
                  <c:v>9/1/2007</c:v>
                </c:pt>
                <c:pt idx="13">
                  <c:v>10/1/2007</c:v>
                </c:pt>
                <c:pt idx="14">
                  <c:v>11/1/2007</c:v>
                </c:pt>
                <c:pt idx="15">
                  <c:v>12/1/2007</c:v>
                </c:pt>
                <c:pt idx="16">
                  <c:v>1/1/2008</c:v>
                </c:pt>
                <c:pt idx="17">
                  <c:v>2/1/2008</c:v>
                </c:pt>
                <c:pt idx="18">
                  <c:v>3/1/2008</c:v>
                </c:pt>
                <c:pt idx="19">
                  <c:v>4/1/2008</c:v>
                </c:pt>
                <c:pt idx="20">
                  <c:v>5/1/2008</c:v>
                </c:pt>
                <c:pt idx="21">
                  <c:v>6/1/2008</c:v>
                </c:pt>
                <c:pt idx="22">
                  <c:v>7/1/2008</c:v>
                </c:pt>
                <c:pt idx="23">
                  <c:v>8/1/2008</c:v>
                </c:pt>
                <c:pt idx="24">
                  <c:v>9/1/2008</c:v>
                </c:pt>
                <c:pt idx="25">
                  <c:v>10/1/2008</c:v>
                </c:pt>
                <c:pt idx="26">
                  <c:v>11/1/2008</c:v>
                </c:pt>
                <c:pt idx="27">
                  <c:v>12/1/2008</c:v>
                </c:pt>
                <c:pt idx="28">
                  <c:v>1/1/2009</c:v>
                </c:pt>
                <c:pt idx="29">
                  <c:v>2/1/2009</c:v>
                </c:pt>
                <c:pt idx="30">
                  <c:v>3/1/2009</c:v>
                </c:pt>
                <c:pt idx="31">
                  <c:v>4/1/2009</c:v>
                </c:pt>
                <c:pt idx="32">
                  <c:v>5/1/2009</c:v>
                </c:pt>
                <c:pt idx="33">
                  <c:v>6/1/2009</c:v>
                </c:pt>
                <c:pt idx="34">
                  <c:v>7/1/2009</c:v>
                </c:pt>
                <c:pt idx="35">
                  <c:v>8/1/2009</c:v>
                </c:pt>
                <c:pt idx="36">
                  <c:v>9/1/2009</c:v>
                </c:pt>
                <c:pt idx="37">
                  <c:v>10/1/2009</c:v>
                </c:pt>
                <c:pt idx="38">
                  <c:v>11/1/2009</c:v>
                </c:pt>
                <c:pt idx="39">
                  <c:v>12/1/2009</c:v>
                </c:pt>
                <c:pt idx="40">
                  <c:v>1/1/2010</c:v>
                </c:pt>
                <c:pt idx="41">
                  <c:v>2/1/2010</c:v>
                </c:pt>
                <c:pt idx="42">
                  <c:v>3/1/2010</c:v>
                </c:pt>
                <c:pt idx="43">
                  <c:v>4/1/2010</c:v>
                </c:pt>
                <c:pt idx="44">
                  <c:v>5/1/2010</c:v>
                </c:pt>
                <c:pt idx="45">
                  <c:v>6/1/2010</c:v>
                </c:pt>
                <c:pt idx="46">
                  <c:v>7/1/2010</c:v>
                </c:pt>
                <c:pt idx="47">
                  <c:v>8/1/2010</c:v>
                </c:pt>
                <c:pt idx="48">
                  <c:v>9/1/2010</c:v>
                </c:pt>
                <c:pt idx="49">
                  <c:v>10/1/2010</c:v>
                </c:pt>
                <c:pt idx="50">
                  <c:v>11/1/2010</c:v>
                </c:pt>
                <c:pt idx="51">
                  <c:v>12/1/2010</c:v>
                </c:pt>
                <c:pt idx="52">
                  <c:v>1/1/2011</c:v>
                </c:pt>
                <c:pt idx="53">
                  <c:v>2/1/2011</c:v>
                </c:pt>
                <c:pt idx="54">
                  <c:v>3/1/2011</c:v>
                </c:pt>
                <c:pt idx="55">
                  <c:v>4/1/2011</c:v>
                </c:pt>
                <c:pt idx="56">
                  <c:v>5/1/2011</c:v>
                </c:pt>
                <c:pt idx="57">
                  <c:v>6/1/2011</c:v>
                </c:pt>
                <c:pt idx="58">
                  <c:v>7/1/2011</c:v>
                </c:pt>
                <c:pt idx="59">
                  <c:v>8/1/2011</c:v>
                </c:pt>
                <c:pt idx="60">
                  <c:v>9/1/2011</c:v>
                </c:pt>
                <c:pt idx="61">
                  <c:v>10/1/2011</c:v>
                </c:pt>
                <c:pt idx="62">
                  <c:v>11/1/2011</c:v>
                </c:pt>
                <c:pt idx="63">
                  <c:v>12/1/2011</c:v>
                </c:pt>
                <c:pt idx="64">
                  <c:v>1/1/2012</c:v>
                </c:pt>
                <c:pt idx="65">
                  <c:v>2/1/2012</c:v>
                </c:pt>
                <c:pt idx="66">
                  <c:v>3/1/2012</c:v>
                </c:pt>
                <c:pt idx="67">
                  <c:v>4/1/2012</c:v>
                </c:pt>
                <c:pt idx="68">
                  <c:v>5/1/2012</c:v>
                </c:pt>
                <c:pt idx="69">
                  <c:v>6/1/2012</c:v>
                </c:pt>
                <c:pt idx="70">
                  <c:v>7/1/2012</c:v>
                </c:pt>
                <c:pt idx="71">
                  <c:v>8/1/2012</c:v>
                </c:pt>
                <c:pt idx="72">
                  <c:v>9/1/2012</c:v>
                </c:pt>
                <c:pt idx="73">
                  <c:v>10/1/2012</c:v>
                </c:pt>
                <c:pt idx="74">
                  <c:v>11/1/2012</c:v>
                </c:pt>
                <c:pt idx="75">
                  <c:v>12/1/2012</c:v>
                </c:pt>
                <c:pt idx="76">
                  <c:v>1/1/2013</c:v>
                </c:pt>
                <c:pt idx="77">
                  <c:v>2/1/2013</c:v>
                </c:pt>
                <c:pt idx="78">
                  <c:v>3/1/2013</c:v>
                </c:pt>
                <c:pt idx="79">
                  <c:v>4/1/2013</c:v>
                </c:pt>
                <c:pt idx="80">
                  <c:v>5/1/2013</c:v>
                </c:pt>
                <c:pt idx="81">
                  <c:v>6/1/2013</c:v>
                </c:pt>
                <c:pt idx="82">
                  <c:v>7/1/2013</c:v>
                </c:pt>
                <c:pt idx="83">
                  <c:v>8/1/2013</c:v>
                </c:pt>
                <c:pt idx="84">
                  <c:v>9/1/2013</c:v>
                </c:pt>
                <c:pt idx="85">
                  <c:v>10/1/2013</c:v>
                </c:pt>
                <c:pt idx="86">
                  <c:v>11/1/2013</c:v>
                </c:pt>
                <c:pt idx="87">
                  <c:v>12/1/2013</c:v>
                </c:pt>
                <c:pt idx="88">
                  <c:v>1/1/2014</c:v>
                </c:pt>
                <c:pt idx="89">
                  <c:v>2/1/2014</c:v>
                </c:pt>
                <c:pt idx="90">
                  <c:v>3/1/2014</c:v>
                </c:pt>
                <c:pt idx="91">
                  <c:v>4/1/2014</c:v>
                </c:pt>
                <c:pt idx="92">
                  <c:v>5/1/2014</c:v>
                </c:pt>
                <c:pt idx="93">
                  <c:v>6/1/2014</c:v>
                </c:pt>
                <c:pt idx="94">
                  <c:v>7/1/2014</c:v>
                </c:pt>
                <c:pt idx="95">
                  <c:v>8/1/2014</c:v>
                </c:pt>
                <c:pt idx="96">
                  <c:v>9/1/2014</c:v>
                </c:pt>
                <c:pt idx="97">
                  <c:v>10/1/2014</c:v>
                </c:pt>
                <c:pt idx="98">
                  <c:v>11/1/2014</c:v>
                </c:pt>
                <c:pt idx="99">
                  <c:v>12/1/2014</c:v>
                </c:pt>
                <c:pt idx="100">
                  <c:v>1/1/2015</c:v>
                </c:pt>
                <c:pt idx="101">
                  <c:v>2/1/2015</c:v>
                </c:pt>
                <c:pt idx="102">
                  <c:v>3/1/2015</c:v>
                </c:pt>
                <c:pt idx="103">
                  <c:v>4/1/2015</c:v>
                </c:pt>
                <c:pt idx="104">
                  <c:v>5/1/2015</c:v>
                </c:pt>
                <c:pt idx="105">
                  <c:v>6/1/2015</c:v>
                </c:pt>
                <c:pt idx="106">
                  <c:v>7/1/2015</c:v>
                </c:pt>
                <c:pt idx="107">
                  <c:v>8/1/2015</c:v>
                </c:pt>
                <c:pt idx="108">
                  <c:v>9/1/2015</c:v>
                </c:pt>
                <c:pt idx="109">
                  <c:v>10/1/2015</c:v>
                </c:pt>
                <c:pt idx="110">
                  <c:v>11/1/2015</c:v>
                </c:pt>
                <c:pt idx="111">
                  <c:v>12/1/2015</c:v>
                </c:pt>
                <c:pt idx="112">
                  <c:v>1/1/2016</c:v>
                </c:pt>
                <c:pt idx="113">
                  <c:v>2/1/2016</c:v>
                </c:pt>
                <c:pt idx="114">
                  <c:v>3/1/2016</c:v>
                </c:pt>
                <c:pt idx="115">
                  <c:v>(blank)</c:v>
                </c:pt>
              </c:strCache>
            </c:strRef>
          </c:cat>
          <c:val>
            <c:numRef>
              <c:f>New_LL!$K$3:$K$119</c:f>
              <c:numCache>
                <c:formatCode>0.00</c:formatCode>
                <c:ptCount val="116"/>
                <c:pt idx="70">
                  <c:v>-142.078371120138</c:v>
                </c:pt>
                <c:pt idx="71">
                  <c:v>-133.24023173531401</c:v>
                </c:pt>
                <c:pt idx="72">
                  <c:v>-139.16918260806699</c:v>
                </c:pt>
                <c:pt idx="73">
                  <c:v>-131.52255480477999</c:v>
                </c:pt>
                <c:pt idx="74">
                  <c:v>-124.367964398464</c:v>
                </c:pt>
                <c:pt idx="75">
                  <c:v>-124.61699437334001</c:v>
                </c:pt>
                <c:pt idx="76">
                  <c:v>-126.019882103846</c:v>
                </c:pt>
                <c:pt idx="77">
                  <c:v>-135.38000668457201</c:v>
                </c:pt>
                <c:pt idx="78">
                  <c:v>-151.93995731642599</c:v>
                </c:pt>
                <c:pt idx="79">
                  <c:v>-156.643793433399</c:v>
                </c:pt>
                <c:pt idx="80">
                  <c:v>-147.14089196368201</c:v>
                </c:pt>
                <c:pt idx="81">
                  <c:v>-155.60824224974101</c:v>
                </c:pt>
                <c:pt idx="82">
                  <c:v>-210.33492639561899</c:v>
                </c:pt>
                <c:pt idx="83">
                  <c:v>-272.76573344250801</c:v>
                </c:pt>
                <c:pt idx="84">
                  <c:v>-282.09694618045398</c:v>
                </c:pt>
                <c:pt idx="85">
                  <c:v>-283.23348391039099</c:v>
                </c:pt>
                <c:pt idx="86">
                  <c:v>-252.48439527586601</c:v>
                </c:pt>
                <c:pt idx="87">
                  <c:v>-258.121787056789</c:v>
                </c:pt>
                <c:pt idx="88">
                  <c:v>-275.74463100096602</c:v>
                </c:pt>
                <c:pt idx="89">
                  <c:v>-274.159595906395</c:v>
                </c:pt>
                <c:pt idx="90">
                  <c:v>-259.86501646436102</c:v>
                </c:pt>
                <c:pt idx="91">
                  <c:v>-260.84261917682198</c:v>
                </c:pt>
                <c:pt idx="92">
                  <c:v>-261.37617055120398</c:v>
                </c:pt>
                <c:pt idx="93">
                  <c:v>-241.94204596977801</c:v>
                </c:pt>
                <c:pt idx="94">
                  <c:v>-238.98042170208399</c:v>
                </c:pt>
                <c:pt idx="95">
                  <c:v>-235.67975334308099</c:v>
                </c:pt>
                <c:pt idx="96">
                  <c:v>-232.23468390435099</c:v>
                </c:pt>
                <c:pt idx="97">
                  <c:v>-234.51235811580599</c:v>
                </c:pt>
                <c:pt idx="98">
                  <c:v>-220.66327730984801</c:v>
                </c:pt>
                <c:pt idx="99">
                  <c:v>-216.59199712386501</c:v>
                </c:pt>
                <c:pt idx="100">
                  <c:v>-202.575032987388</c:v>
                </c:pt>
                <c:pt idx="101">
                  <c:v>-183.205626282981</c:v>
                </c:pt>
                <c:pt idx="102">
                  <c:v>-185.562968644954</c:v>
                </c:pt>
                <c:pt idx="103">
                  <c:v>-187.72622952096501</c:v>
                </c:pt>
                <c:pt idx="104">
                  <c:v>-175.01884349706799</c:v>
                </c:pt>
                <c:pt idx="105">
                  <c:v>-187.85534207746201</c:v>
                </c:pt>
                <c:pt idx="106">
                  <c:v>-199.94102766310999</c:v>
                </c:pt>
                <c:pt idx="107">
                  <c:v>-202.18359027963299</c:v>
                </c:pt>
                <c:pt idx="108">
                  <c:v>-175.50050719532101</c:v>
                </c:pt>
                <c:pt idx="109">
                  <c:v>-172.30309543489801</c:v>
                </c:pt>
                <c:pt idx="110">
                  <c:v>-160.379337614424</c:v>
                </c:pt>
                <c:pt idx="111">
                  <c:v>-175.647190347546</c:v>
                </c:pt>
                <c:pt idx="112">
                  <c:v>-176.58406373365199</c:v>
                </c:pt>
                <c:pt idx="113">
                  <c:v>-166.93194396833599</c:v>
                </c:pt>
                <c:pt idx="114">
                  <c:v>-143.84702943982401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New_LL!$L$1:$L$2</c:f>
              <c:strCache>
                <c:ptCount val="1"/>
                <c:pt idx="0">
                  <c:v>(blank)</c:v>
                </c:pt>
              </c:strCache>
            </c:strRef>
          </c:tx>
          <c:marker>
            <c:symbol val="none"/>
          </c:marker>
          <c:cat>
            <c:strRef>
              <c:f>New_LL!$G$3:$G$119</c:f>
              <c:strCache>
                <c:ptCount val="116"/>
                <c:pt idx="0">
                  <c:v>9/1/2006</c:v>
                </c:pt>
                <c:pt idx="1">
                  <c:v>10/1/2006</c:v>
                </c:pt>
                <c:pt idx="2">
                  <c:v>11/1/2006</c:v>
                </c:pt>
                <c:pt idx="3">
                  <c:v>12/1/2006</c:v>
                </c:pt>
                <c:pt idx="4">
                  <c:v>1/1/2007</c:v>
                </c:pt>
                <c:pt idx="5">
                  <c:v>2/1/2007</c:v>
                </c:pt>
                <c:pt idx="6">
                  <c:v>3/1/2007</c:v>
                </c:pt>
                <c:pt idx="7">
                  <c:v>4/1/2007</c:v>
                </c:pt>
                <c:pt idx="8">
                  <c:v>5/1/2007</c:v>
                </c:pt>
                <c:pt idx="9">
                  <c:v>6/1/2007</c:v>
                </c:pt>
                <c:pt idx="10">
                  <c:v>7/1/2007</c:v>
                </c:pt>
                <c:pt idx="11">
                  <c:v>8/1/2007</c:v>
                </c:pt>
                <c:pt idx="12">
                  <c:v>9/1/2007</c:v>
                </c:pt>
                <c:pt idx="13">
                  <c:v>10/1/2007</c:v>
                </c:pt>
                <c:pt idx="14">
                  <c:v>11/1/2007</c:v>
                </c:pt>
                <c:pt idx="15">
                  <c:v>12/1/2007</c:v>
                </c:pt>
                <c:pt idx="16">
                  <c:v>1/1/2008</c:v>
                </c:pt>
                <c:pt idx="17">
                  <c:v>2/1/2008</c:v>
                </c:pt>
                <c:pt idx="18">
                  <c:v>3/1/2008</c:v>
                </c:pt>
                <c:pt idx="19">
                  <c:v>4/1/2008</c:v>
                </c:pt>
                <c:pt idx="20">
                  <c:v>5/1/2008</c:v>
                </c:pt>
                <c:pt idx="21">
                  <c:v>6/1/2008</c:v>
                </c:pt>
                <c:pt idx="22">
                  <c:v>7/1/2008</c:v>
                </c:pt>
                <c:pt idx="23">
                  <c:v>8/1/2008</c:v>
                </c:pt>
                <c:pt idx="24">
                  <c:v>9/1/2008</c:v>
                </c:pt>
                <c:pt idx="25">
                  <c:v>10/1/2008</c:v>
                </c:pt>
                <c:pt idx="26">
                  <c:v>11/1/2008</c:v>
                </c:pt>
                <c:pt idx="27">
                  <c:v>12/1/2008</c:v>
                </c:pt>
                <c:pt idx="28">
                  <c:v>1/1/2009</c:v>
                </c:pt>
                <c:pt idx="29">
                  <c:v>2/1/2009</c:v>
                </c:pt>
                <c:pt idx="30">
                  <c:v>3/1/2009</c:v>
                </c:pt>
                <c:pt idx="31">
                  <c:v>4/1/2009</c:v>
                </c:pt>
                <c:pt idx="32">
                  <c:v>5/1/2009</c:v>
                </c:pt>
                <c:pt idx="33">
                  <c:v>6/1/2009</c:v>
                </c:pt>
                <c:pt idx="34">
                  <c:v>7/1/2009</c:v>
                </c:pt>
                <c:pt idx="35">
                  <c:v>8/1/2009</c:v>
                </c:pt>
                <c:pt idx="36">
                  <c:v>9/1/2009</c:v>
                </c:pt>
                <c:pt idx="37">
                  <c:v>10/1/2009</c:v>
                </c:pt>
                <c:pt idx="38">
                  <c:v>11/1/2009</c:v>
                </c:pt>
                <c:pt idx="39">
                  <c:v>12/1/2009</c:v>
                </c:pt>
                <c:pt idx="40">
                  <c:v>1/1/2010</c:v>
                </c:pt>
                <c:pt idx="41">
                  <c:v>2/1/2010</c:v>
                </c:pt>
                <c:pt idx="42">
                  <c:v>3/1/2010</c:v>
                </c:pt>
                <c:pt idx="43">
                  <c:v>4/1/2010</c:v>
                </c:pt>
                <c:pt idx="44">
                  <c:v>5/1/2010</c:v>
                </c:pt>
                <c:pt idx="45">
                  <c:v>6/1/2010</c:v>
                </c:pt>
                <c:pt idx="46">
                  <c:v>7/1/2010</c:v>
                </c:pt>
                <c:pt idx="47">
                  <c:v>8/1/2010</c:v>
                </c:pt>
                <c:pt idx="48">
                  <c:v>9/1/2010</c:v>
                </c:pt>
                <c:pt idx="49">
                  <c:v>10/1/2010</c:v>
                </c:pt>
                <c:pt idx="50">
                  <c:v>11/1/2010</c:v>
                </c:pt>
                <c:pt idx="51">
                  <c:v>12/1/2010</c:v>
                </c:pt>
                <c:pt idx="52">
                  <c:v>1/1/2011</c:v>
                </c:pt>
                <c:pt idx="53">
                  <c:v>2/1/2011</c:v>
                </c:pt>
                <c:pt idx="54">
                  <c:v>3/1/2011</c:v>
                </c:pt>
                <c:pt idx="55">
                  <c:v>4/1/2011</c:v>
                </c:pt>
                <c:pt idx="56">
                  <c:v>5/1/2011</c:v>
                </c:pt>
                <c:pt idx="57">
                  <c:v>6/1/2011</c:v>
                </c:pt>
                <c:pt idx="58">
                  <c:v>7/1/2011</c:v>
                </c:pt>
                <c:pt idx="59">
                  <c:v>8/1/2011</c:v>
                </c:pt>
                <c:pt idx="60">
                  <c:v>9/1/2011</c:v>
                </c:pt>
                <c:pt idx="61">
                  <c:v>10/1/2011</c:v>
                </c:pt>
                <c:pt idx="62">
                  <c:v>11/1/2011</c:v>
                </c:pt>
                <c:pt idx="63">
                  <c:v>12/1/2011</c:v>
                </c:pt>
                <c:pt idx="64">
                  <c:v>1/1/2012</c:v>
                </c:pt>
                <c:pt idx="65">
                  <c:v>2/1/2012</c:v>
                </c:pt>
                <c:pt idx="66">
                  <c:v>3/1/2012</c:v>
                </c:pt>
                <c:pt idx="67">
                  <c:v>4/1/2012</c:v>
                </c:pt>
                <c:pt idx="68">
                  <c:v>5/1/2012</c:v>
                </c:pt>
                <c:pt idx="69">
                  <c:v>6/1/2012</c:v>
                </c:pt>
                <c:pt idx="70">
                  <c:v>7/1/2012</c:v>
                </c:pt>
                <c:pt idx="71">
                  <c:v>8/1/2012</c:v>
                </c:pt>
                <c:pt idx="72">
                  <c:v>9/1/2012</c:v>
                </c:pt>
                <c:pt idx="73">
                  <c:v>10/1/2012</c:v>
                </c:pt>
                <c:pt idx="74">
                  <c:v>11/1/2012</c:v>
                </c:pt>
                <c:pt idx="75">
                  <c:v>12/1/2012</c:v>
                </c:pt>
                <c:pt idx="76">
                  <c:v>1/1/2013</c:v>
                </c:pt>
                <c:pt idx="77">
                  <c:v>2/1/2013</c:v>
                </c:pt>
                <c:pt idx="78">
                  <c:v>3/1/2013</c:v>
                </c:pt>
                <c:pt idx="79">
                  <c:v>4/1/2013</c:v>
                </c:pt>
                <c:pt idx="80">
                  <c:v>5/1/2013</c:v>
                </c:pt>
                <c:pt idx="81">
                  <c:v>6/1/2013</c:v>
                </c:pt>
                <c:pt idx="82">
                  <c:v>7/1/2013</c:v>
                </c:pt>
                <c:pt idx="83">
                  <c:v>8/1/2013</c:v>
                </c:pt>
                <c:pt idx="84">
                  <c:v>9/1/2013</c:v>
                </c:pt>
                <c:pt idx="85">
                  <c:v>10/1/2013</c:v>
                </c:pt>
                <c:pt idx="86">
                  <c:v>11/1/2013</c:v>
                </c:pt>
                <c:pt idx="87">
                  <c:v>12/1/2013</c:v>
                </c:pt>
                <c:pt idx="88">
                  <c:v>1/1/2014</c:v>
                </c:pt>
                <c:pt idx="89">
                  <c:v>2/1/2014</c:v>
                </c:pt>
                <c:pt idx="90">
                  <c:v>3/1/2014</c:v>
                </c:pt>
                <c:pt idx="91">
                  <c:v>4/1/2014</c:v>
                </c:pt>
                <c:pt idx="92">
                  <c:v>5/1/2014</c:v>
                </c:pt>
                <c:pt idx="93">
                  <c:v>6/1/2014</c:v>
                </c:pt>
                <c:pt idx="94">
                  <c:v>7/1/2014</c:v>
                </c:pt>
                <c:pt idx="95">
                  <c:v>8/1/2014</c:v>
                </c:pt>
                <c:pt idx="96">
                  <c:v>9/1/2014</c:v>
                </c:pt>
                <c:pt idx="97">
                  <c:v>10/1/2014</c:v>
                </c:pt>
                <c:pt idx="98">
                  <c:v>11/1/2014</c:v>
                </c:pt>
                <c:pt idx="99">
                  <c:v>12/1/2014</c:v>
                </c:pt>
                <c:pt idx="100">
                  <c:v>1/1/2015</c:v>
                </c:pt>
                <c:pt idx="101">
                  <c:v>2/1/2015</c:v>
                </c:pt>
                <c:pt idx="102">
                  <c:v>3/1/2015</c:v>
                </c:pt>
                <c:pt idx="103">
                  <c:v>4/1/2015</c:v>
                </c:pt>
                <c:pt idx="104">
                  <c:v>5/1/2015</c:v>
                </c:pt>
                <c:pt idx="105">
                  <c:v>6/1/2015</c:v>
                </c:pt>
                <c:pt idx="106">
                  <c:v>7/1/2015</c:v>
                </c:pt>
                <c:pt idx="107">
                  <c:v>8/1/2015</c:v>
                </c:pt>
                <c:pt idx="108">
                  <c:v>9/1/2015</c:v>
                </c:pt>
                <c:pt idx="109">
                  <c:v>10/1/2015</c:v>
                </c:pt>
                <c:pt idx="110">
                  <c:v>11/1/2015</c:v>
                </c:pt>
                <c:pt idx="111">
                  <c:v>12/1/2015</c:v>
                </c:pt>
                <c:pt idx="112">
                  <c:v>1/1/2016</c:v>
                </c:pt>
                <c:pt idx="113">
                  <c:v>2/1/2016</c:v>
                </c:pt>
                <c:pt idx="114">
                  <c:v>3/1/2016</c:v>
                </c:pt>
                <c:pt idx="115">
                  <c:v>(blank)</c:v>
                </c:pt>
              </c:strCache>
            </c:strRef>
          </c:cat>
          <c:val>
            <c:numRef>
              <c:f>New_LL!$L$3:$L$119</c:f>
              <c:numCache>
                <c:formatCode>0.00</c:formatCode>
                <c:ptCount val="11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789440"/>
        <c:axId val="314262272"/>
      </c:lineChart>
      <c:catAx>
        <c:axId val="313789440"/>
        <c:scaling>
          <c:orientation val="minMax"/>
        </c:scaling>
        <c:delete val="0"/>
        <c:axPos val="b"/>
        <c:majorTickMark val="out"/>
        <c:minorTickMark val="none"/>
        <c:tickLblPos val="nextTo"/>
        <c:crossAx val="314262272"/>
        <c:crosses val="autoZero"/>
        <c:auto val="1"/>
        <c:lblAlgn val="ctr"/>
        <c:lblOffset val="100"/>
        <c:noMultiLvlLbl val="0"/>
      </c:catAx>
      <c:valAx>
        <c:axId val="3142622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13789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[Loan_pool incentive check.xlsx]Loan!PivotTable4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Loan!$J$1:$J$2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strRef>
              <c:f>Loan!$I$3:$I$120</c:f>
              <c:strCache>
                <c:ptCount val="117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</c:strCache>
            </c:strRef>
          </c:cat>
          <c:val>
            <c:numRef>
              <c:f>Loan!$J$3:$J$120</c:f>
              <c:numCache>
                <c:formatCode>General</c:formatCode>
                <c:ptCount val="117"/>
                <c:pt idx="0">
                  <c:v>#N/A</c:v>
                </c:pt>
                <c:pt idx="1">
                  <c:v>-9.49</c:v>
                </c:pt>
                <c:pt idx="2">
                  <c:v>5.19</c:v>
                </c:pt>
                <c:pt idx="3">
                  <c:v>14.45</c:v>
                </c:pt>
                <c:pt idx="4">
                  <c:v>26.64</c:v>
                </c:pt>
                <c:pt idx="5">
                  <c:v>39.08</c:v>
                </c:pt>
                <c:pt idx="6">
                  <c:v>28.86</c:v>
                </c:pt>
                <c:pt idx="7">
                  <c:v>27.71</c:v>
                </c:pt>
                <c:pt idx="8">
                  <c:v>35.049999999999997</c:v>
                </c:pt>
                <c:pt idx="9">
                  <c:v>30.77</c:v>
                </c:pt>
                <c:pt idx="10">
                  <c:v>22.26</c:v>
                </c:pt>
                <c:pt idx="11">
                  <c:v>-17.61</c:v>
                </c:pt>
                <c:pt idx="12">
                  <c:v>-20.82</c:v>
                </c:pt>
                <c:pt idx="13">
                  <c:v>-8</c:v>
                </c:pt>
                <c:pt idx="14">
                  <c:v>10.54</c:v>
                </c:pt>
                <c:pt idx="15">
                  <c:v>16.66</c:v>
                </c:pt>
                <c:pt idx="16">
                  <c:v>34.47</c:v>
                </c:pt>
                <c:pt idx="17">
                  <c:v>45.69</c:v>
                </c:pt>
                <c:pt idx="18">
                  <c:v>80.37</c:v>
                </c:pt>
                <c:pt idx="19">
                  <c:v>59.97</c:v>
                </c:pt>
                <c:pt idx="20">
                  <c:v>53.25</c:v>
                </c:pt>
                <c:pt idx="21">
                  <c:v>54.01</c:v>
                </c:pt>
                <c:pt idx="22">
                  <c:v>41.78</c:v>
                </c:pt>
                <c:pt idx="23">
                  <c:v>7.08</c:v>
                </c:pt>
                <c:pt idx="24">
                  <c:v>-4.4000000000000004</c:v>
                </c:pt>
                <c:pt idx="25">
                  <c:v>-11.52</c:v>
                </c:pt>
                <c:pt idx="26">
                  <c:v>32.380000000000003</c:v>
                </c:pt>
                <c:pt idx="27">
                  <c:v>17.63</c:v>
                </c:pt>
                <c:pt idx="28">
                  <c:v>26.48</c:v>
                </c:pt>
                <c:pt idx="29">
                  <c:v>105.51</c:v>
                </c:pt>
                <c:pt idx="30">
                  <c:v>130.11000000000001</c:v>
                </c:pt>
                <c:pt idx="31">
                  <c:v>119.34</c:v>
                </c:pt>
                <c:pt idx="32">
                  <c:v>128.62</c:v>
                </c:pt>
                <c:pt idx="33">
                  <c:v>139.12</c:v>
                </c:pt>
                <c:pt idx="34">
                  <c:v>127.91</c:v>
                </c:pt>
                <c:pt idx="35">
                  <c:v>65.14</c:v>
                </c:pt>
                <c:pt idx="36">
                  <c:v>76.569999999999993</c:v>
                </c:pt>
                <c:pt idx="37">
                  <c:v>74.02</c:v>
                </c:pt>
                <c:pt idx="38">
                  <c:v>84.36</c:v>
                </c:pt>
                <c:pt idx="39">
                  <c:v>88.52</c:v>
                </c:pt>
                <c:pt idx="40">
                  <c:v>93.99</c:v>
                </c:pt>
                <c:pt idx="41">
                  <c:v>85.58</c:v>
                </c:pt>
                <c:pt idx="42">
                  <c:v>72.22</c:v>
                </c:pt>
                <c:pt idx="43">
                  <c:v>72.400000000000006</c:v>
                </c:pt>
                <c:pt idx="44">
                  <c:v>66.739999999999995</c:v>
                </c:pt>
                <c:pt idx="45">
                  <c:v>53.19</c:v>
                </c:pt>
                <c:pt idx="46">
                  <c:v>71.86</c:v>
                </c:pt>
                <c:pt idx="47">
                  <c:v>86.63</c:v>
                </c:pt>
                <c:pt idx="48">
                  <c:v>97.19</c:v>
                </c:pt>
                <c:pt idx="49">
                  <c:v>107.29</c:v>
                </c:pt>
                <c:pt idx="50">
                  <c:v>110.72</c:v>
                </c:pt>
                <c:pt idx="51">
                  <c:v>116.6</c:v>
                </c:pt>
                <c:pt idx="52">
                  <c:v>103.83</c:v>
                </c:pt>
                <c:pt idx="53">
                  <c:v>58.93</c:v>
                </c:pt>
                <c:pt idx="54">
                  <c:v>48.28</c:v>
                </c:pt>
                <c:pt idx="55">
                  <c:v>25.27</c:v>
                </c:pt>
                <c:pt idx="56">
                  <c:v>36.270000000000003</c:v>
                </c:pt>
                <c:pt idx="57">
                  <c:v>36.04</c:v>
                </c:pt>
                <c:pt idx="58">
                  <c:v>55.69</c:v>
                </c:pt>
                <c:pt idx="59">
                  <c:v>67.81</c:v>
                </c:pt>
                <c:pt idx="60">
                  <c:v>64.17</c:v>
                </c:pt>
                <c:pt idx="61">
                  <c:v>91.86</c:v>
                </c:pt>
                <c:pt idx="62">
                  <c:v>108.11</c:v>
                </c:pt>
                <c:pt idx="63">
                  <c:v>103.99</c:v>
                </c:pt>
                <c:pt idx="64">
                  <c:v>111.19</c:v>
                </c:pt>
                <c:pt idx="65">
                  <c:v>113.67</c:v>
                </c:pt>
                <c:pt idx="66">
                  <c:v>113.67</c:v>
                </c:pt>
                <c:pt idx="67">
                  <c:v>111.5</c:v>
                </c:pt>
                <c:pt idx="68">
                  <c:v>104.89</c:v>
                </c:pt>
                <c:pt idx="69">
                  <c:v>112.02</c:v>
                </c:pt>
                <c:pt idx="70">
                  <c:v>122.47</c:v>
                </c:pt>
                <c:pt idx="71">
                  <c:v>133.13999999999999</c:v>
                </c:pt>
                <c:pt idx="72">
                  <c:v>142.72999999999999</c:v>
                </c:pt>
                <c:pt idx="73">
                  <c:v>136.24</c:v>
                </c:pt>
                <c:pt idx="74">
                  <c:v>143.47999999999999</c:v>
                </c:pt>
                <c:pt idx="75">
                  <c:v>148.57</c:v>
                </c:pt>
                <c:pt idx="76">
                  <c:v>145.58000000000001</c:v>
                </c:pt>
                <c:pt idx="77">
                  <c:v>143.32</c:v>
                </c:pt>
                <c:pt idx="78">
                  <c:v>132.08000000000001</c:v>
                </c:pt>
                <c:pt idx="79">
                  <c:v>113.38</c:v>
                </c:pt>
                <c:pt idx="80">
                  <c:v>107.54</c:v>
                </c:pt>
                <c:pt idx="81">
                  <c:v>116.22</c:v>
                </c:pt>
                <c:pt idx="82">
                  <c:v>106.16</c:v>
                </c:pt>
                <c:pt idx="83">
                  <c:v>47.88</c:v>
                </c:pt>
                <c:pt idx="84">
                  <c:v>13.92</c:v>
                </c:pt>
                <c:pt idx="85">
                  <c:v>1.77</c:v>
                </c:pt>
                <c:pt idx="86">
                  <c:v>-2.34</c:v>
                </c:pt>
                <c:pt idx="87">
                  <c:v>25.9</c:v>
                </c:pt>
                <c:pt idx="88">
                  <c:v>15.29</c:v>
                </c:pt>
                <c:pt idx="89">
                  <c:v>-3.95</c:v>
                </c:pt>
                <c:pt idx="90">
                  <c:v>-4.1100000000000003</c:v>
                </c:pt>
                <c:pt idx="91">
                  <c:v>8.67</c:v>
                </c:pt>
                <c:pt idx="92">
                  <c:v>7.98</c:v>
                </c:pt>
                <c:pt idx="93">
                  <c:v>9.5299999999999994</c:v>
                </c:pt>
                <c:pt idx="94">
                  <c:v>28.48</c:v>
                </c:pt>
                <c:pt idx="95">
                  <c:v>30.05</c:v>
                </c:pt>
                <c:pt idx="96">
                  <c:v>31.7</c:v>
                </c:pt>
                <c:pt idx="97">
                  <c:v>33.200000000000003</c:v>
                </c:pt>
                <c:pt idx="98">
                  <c:v>29.28</c:v>
                </c:pt>
                <c:pt idx="99">
                  <c:v>41.25</c:v>
                </c:pt>
                <c:pt idx="100">
                  <c:v>43.49</c:v>
                </c:pt>
                <c:pt idx="101">
                  <c:v>58.26</c:v>
                </c:pt>
                <c:pt idx="102">
                  <c:v>75.28</c:v>
                </c:pt>
                <c:pt idx="103">
                  <c:v>70.33</c:v>
                </c:pt>
                <c:pt idx="104">
                  <c:v>65.55</c:v>
                </c:pt>
                <c:pt idx="105">
                  <c:v>74.22</c:v>
                </c:pt>
                <c:pt idx="106">
                  <c:v>56.75</c:v>
                </c:pt>
                <c:pt idx="107">
                  <c:v>40.590000000000003</c:v>
                </c:pt>
                <c:pt idx="108">
                  <c:v>34.39</c:v>
                </c:pt>
                <c:pt idx="109">
                  <c:v>48.51</c:v>
                </c:pt>
                <c:pt idx="110">
                  <c:v>49.28</c:v>
                </c:pt>
                <c:pt idx="111">
                  <c:v>58.68</c:v>
                </c:pt>
                <c:pt idx="112">
                  <c:v>41.08</c:v>
                </c:pt>
                <c:pt idx="113">
                  <c:v>38.880000000000003</c:v>
                </c:pt>
                <c:pt idx="114">
                  <c:v>47.33</c:v>
                </c:pt>
                <c:pt idx="115">
                  <c:v>69.34</c:v>
                </c:pt>
                <c:pt idx="116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Loan!$K$1:$K$2</c:f>
              <c:strCache>
                <c:ptCount val="1"/>
                <c:pt idx="0">
                  <c:v>FGT6</c:v>
                </c:pt>
              </c:strCache>
            </c:strRef>
          </c:tx>
          <c:marker>
            <c:symbol val="none"/>
          </c:marker>
          <c:cat>
            <c:strRef>
              <c:f>Loan!$I$3:$I$120</c:f>
              <c:strCache>
                <c:ptCount val="117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</c:strCache>
            </c:strRef>
          </c:cat>
          <c:val>
            <c:numRef>
              <c:f>Loan!$K$3:$K$120</c:f>
              <c:numCache>
                <c:formatCode>General</c:formatCode>
                <c:ptCount val="117"/>
                <c:pt idx="22">
                  <c:v>#N/A</c:v>
                </c:pt>
                <c:pt idx="23">
                  <c:v>-47.07</c:v>
                </c:pt>
                <c:pt idx="24">
                  <c:v>-62.5</c:v>
                </c:pt>
                <c:pt idx="25">
                  <c:v>-68.290000000000006</c:v>
                </c:pt>
                <c:pt idx="26">
                  <c:v>-10.47</c:v>
                </c:pt>
                <c:pt idx="27">
                  <c:v>-8.48</c:v>
                </c:pt>
                <c:pt idx="28">
                  <c:v>9.61</c:v>
                </c:pt>
                <c:pt idx="29">
                  <c:v>93.48</c:v>
                </c:pt>
                <c:pt idx="30">
                  <c:v>120.31</c:v>
                </c:pt>
                <c:pt idx="31">
                  <c:v>106.78</c:v>
                </c:pt>
                <c:pt idx="32">
                  <c:v>115.6</c:v>
                </c:pt>
                <c:pt idx="33">
                  <c:v>134.25</c:v>
                </c:pt>
                <c:pt idx="34">
                  <c:v>127.89</c:v>
                </c:pt>
                <c:pt idx="35">
                  <c:v>66.45</c:v>
                </c:pt>
                <c:pt idx="36">
                  <c:v>83.19</c:v>
                </c:pt>
                <c:pt idx="37">
                  <c:v>88.46</c:v>
                </c:pt>
                <c:pt idx="38">
                  <c:v>108.57</c:v>
                </c:pt>
                <c:pt idx="39">
                  <c:v>117.34</c:v>
                </c:pt>
                <c:pt idx="40">
                  <c:v>126.25</c:v>
                </c:pt>
                <c:pt idx="41">
                  <c:v>124.93</c:v>
                </c:pt>
                <c:pt idx="42">
                  <c:v>118.1</c:v>
                </c:pt>
                <c:pt idx="43">
                  <c:v>122.45</c:v>
                </c:pt>
                <c:pt idx="44">
                  <c:v>120.63</c:v>
                </c:pt>
                <c:pt idx="45">
                  <c:v>108.79</c:v>
                </c:pt>
                <c:pt idx="46">
                  <c:v>128.44</c:v>
                </c:pt>
                <c:pt idx="47">
                  <c:v>146.66</c:v>
                </c:pt>
                <c:pt idx="48">
                  <c:v>162.15</c:v>
                </c:pt>
                <c:pt idx="49">
                  <c:v>176.77</c:v>
                </c:pt>
                <c:pt idx="50">
                  <c:v>184.64</c:v>
                </c:pt>
                <c:pt idx="51">
                  <c:v>195.3</c:v>
                </c:pt>
                <c:pt idx="52">
                  <c:v>186.83</c:v>
                </c:pt>
                <c:pt idx="53">
                  <c:v>31.12</c:v>
                </c:pt>
                <c:pt idx="54">
                  <c:v>0.62</c:v>
                </c:pt>
                <c:pt idx="55">
                  <c:v>-36.85</c:v>
                </c:pt>
                <c:pt idx="56">
                  <c:v>-22.39</c:v>
                </c:pt>
                <c:pt idx="57">
                  <c:v>-15.35</c:v>
                </c:pt>
                <c:pt idx="58">
                  <c:v>10.83</c:v>
                </c:pt>
                <c:pt idx="59">
                  <c:v>28.54</c:v>
                </c:pt>
                <c:pt idx="60">
                  <c:v>26.45</c:v>
                </c:pt>
                <c:pt idx="61">
                  <c:v>54.74</c:v>
                </c:pt>
                <c:pt idx="62">
                  <c:v>67.22</c:v>
                </c:pt>
                <c:pt idx="63">
                  <c:v>56.26</c:v>
                </c:pt>
                <c:pt idx="64">
                  <c:v>56.42</c:v>
                </c:pt>
                <c:pt idx="65">
                  <c:v>60.24</c:v>
                </c:pt>
                <c:pt idx="66">
                  <c:v>56.16</c:v>
                </c:pt>
                <c:pt idx="67">
                  <c:v>52.45</c:v>
                </c:pt>
                <c:pt idx="68">
                  <c:v>42.05</c:v>
                </c:pt>
                <c:pt idx="69">
                  <c:v>46.93</c:v>
                </c:pt>
                <c:pt idx="70">
                  <c:v>55.82</c:v>
                </c:pt>
                <c:pt idx="71">
                  <c:v>68.12</c:v>
                </c:pt>
                <c:pt idx="72">
                  <c:v>79.099999999999994</c:v>
                </c:pt>
                <c:pt idx="73">
                  <c:v>74.17</c:v>
                </c:pt>
                <c:pt idx="74">
                  <c:v>78.78</c:v>
                </c:pt>
                <c:pt idx="75">
                  <c:v>81.98</c:v>
                </c:pt>
                <c:pt idx="76">
                  <c:v>77.37</c:v>
                </c:pt>
                <c:pt idx="77">
                  <c:v>75.87</c:v>
                </c:pt>
                <c:pt idx="78">
                  <c:v>63.62</c:v>
                </c:pt>
                <c:pt idx="79">
                  <c:v>45.14</c:v>
                </c:pt>
                <c:pt idx="80">
                  <c:v>40.369999999999997</c:v>
                </c:pt>
                <c:pt idx="81">
                  <c:v>51.84</c:v>
                </c:pt>
                <c:pt idx="82">
                  <c:v>42.91</c:v>
                </c:pt>
                <c:pt idx="83">
                  <c:v>-13.33</c:v>
                </c:pt>
                <c:pt idx="84">
                  <c:v>-44.08</c:v>
                </c:pt>
                <c:pt idx="85">
                  <c:v>-53.29</c:v>
                </c:pt>
                <c:pt idx="86">
                  <c:v>-53.92</c:v>
                </c:pt>
                <c:pt idx="87">
                  <c:v>-22.64</c:v>
                </c:pt>
                <c:pt idx="88">
                  <c:v>-29.69</c:v>
                </c:pt>
                <c:pt idx="89">
                  <c:v>-46.05</c:v>
                </c:pt>
                <c:pt idx="90">
                  <c:v>-44.17</c:v>
                </c:pt>
                <c:pt idx="91">
                  <c:v>-30.05</c:v>
                </c:pt>
                <c:pt idx="92">
                  <c:v>-29.2</c:v>
                </c:pt>
                <c:pt idx="93">
                  <c:v>-27.26</c:v>
                </c:pt>
                <c:pt idx="94">
                  <c:v>-6.97</c:v>
                </c:pt>
                <c:pt idx="95">
                  <c:v>-4.28</c:v>
                </c:pt>
                <c:pt idx="96">
                  <c:v>-1.5</c:v>
                </c:pt>
                <c:pt idx="97">
                  <c:v>1.6</c:v>
                </c:pt>
                <c:pt idx="98">
                  <c:v>-0.5</c:v>
                </c:pt>
                <c:pt idx="99">
                  <c:v>12.4</c:v>
                </c:pt>
                <c:pt idx="100">
                  <c:v>15.62</c:v>
                </c:pt>
                <c:pt idx="101">
                  <c:v>29.39</c:v>
                </c:pt>
                <c:pt idx="102">
                  <c:v>47.34</c:v>
                </c:pt>
                <c:pt idx="103">
                  <c:v>42.62</c:v>
                </c:pt>
                <c:pt idx="104">
                  <c:v>36.86</c:v>
                </c:pt>
                <c:pt idx="105">
                  <c:v>45.06</c:v>
                </c:pt>
                <c:pt idx="106">
                  <c:v>27.09</c:v>
                </c:pt>
                <c:pt idx="107">
                  <c:v>10.41</c:v>
                </c:pt>
                <c:pt idx="108">
                  <c:v>4.38</c:v>
                </c:pt>
                <c:pt idx="109">
                  <c:v>12.37</c:v>
                </c:pt>
                <c:pt idx="110">
                  <c:v>13.88</c:v>
                </c:pt>
                <c:pt idx="111">
                  <c:v>24.83</c:v>
                </c:pt>
                <c:pt idx="112">
                  <c:v>9.31</c:v>
                </c:pt>
                <c:pt idx="113">
                  <c:v>9.2100000000000009</c:v>
                </c:pt>
                <c:pt idx="114">
                  <c:v>19.14</c:v>
                </c:pt>
                <c:pt idx="115">
                  <c:v>42.93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Loan!$L$1:$L$2</c:f>
              <c:strCache>
                <c:ptCount val="1"/>
                <c:pt idx="0">
                  <c:v>FGU6</c:v>
                </c:pt>
              </c:strCache>
            </c:strRef>
          </c:tx>
          <c:marker>
            <c:symbol val="none"/>
          </c:marker>
          <c:cat>
            <c:strRef>
              <c:f>Loan!$I$3:$I$120</c:f>
              <c:strCache>
                <c:ptCount val="117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</c:strCache>
            </c:strRef>
          </c:cat>
          <c:val>
            <c:numRef>
              <c:f>Loan!$L$3:$L$120</c:f>
              <c:numCache>
                <c:formatCode>General</c:formatCode>
                <c:ptCount val="117"/>
                <c:pt idx="39">
                  <c:v>#N/A</c:v>
                </c:pt>
                <c:pt idx="40">
                  <c:v>-70.14</c:v>
                </c:pt>
                <c:pt idx="41">
                  <c:v>-104.85</c:v>
                </c:pt>
                <c:pt idx="42">
                  <c:v>-100.79</c:v>
                </c:pt>
                <c:pt idx="43">
                  <c:v>-95.82</c:v>
                </c:pt>
                <c:pt idx="44">
                  <c:v>-94.49</c:v>
                </c:pt>
                <c:pt idx="45">
                  <c:v>-162.93</c:v>
                </c:pt>
                <c:pt idx="46">
                  <c:v>-142.44</c:v>
                </c:pt>
                <c:pt idx="47">
                  <c:v>-126.27</c:v>
                </c:pt>
                <c:pt idx="48">
                  <c:v>-112.25</c:v>
                </c:pt>
                <c:pt idx="49">
                  <c:v>-101.15</c:v>
                </c:pt>
                <c:pt idx="50">
                  <c:v>-100.04</c:v>
                </c:pt>
                <c:pt idx="51">
                  <c:v>-92.6</c:v>
                </c:pt>
                <c:pt idx="52">
                  <c:v>-102.74</c:v>
                </c:pt>
                <c:pt idx="53">
                  <c:v>-152.62</c:v>
                </c:pt>
                <c:pt idx="54">
                  <c:v>-163.32</c:v>
                </c:pt>
                <c:pt idx="55">
                  <c:v>-188.45</c:v>
                </c:pt>
                <c:pt idx="56">
                  <c:v>-180.13</c:v>
                </c:pt>
                <c:pt idx="57">
                  <c:v>-179.89</c:v>
                </c:pt>
                <c:pt idx="58">
                  <c:v>-159.84</c:v>
                </c:pt>
                <c:pt idx="59">
                  <c:v>-146.94999999999999</c:v>
                </c:pt>
                <c:pt idx="60">
                  <c:v>-121.32</c:v>
                </c:pt>
                <c:pt idx="61">
                  <c:v>-93.78</c:v>
                </c:pt>
                <c:pt idx="62">
                  <c:v>-76.19</c:v>
                </c:pt>
                <c:pt idx="63">
                  <c:v>-79.63</c:v>
                </c:pt>
                <c:pt idx="64">
                  <c:v>-71.55</c:v>
                </c:pt>
                <c:pt idx="65">
                  <c:v>-68.739999999999995</c:v>
                </c:pt>
                <c:pt idx="66">
                  <c:v>-70.040000000000006</c:v>
                </c:pt>
                <c:pt idx="67">
                  <c:v>-97.74</c:v>
                </c:pt>
                <c:pt idx="68">
                  <c:v>-114.6</c:v>
                </c:pt>
                <c:pt idx="69">
                  <c:v>-113.14</c:v>
                </c:pt>
                <c:pt idx="70">
                  <c:v>-106.89</c:v>
                </c:pt>
                <c:pt idx="71">
                  <c:v>-100.14</c:v>
                </c:pt>
                <c:pt idx="72">
                  <c:v>-93.33</c:v>
                </c:pt>
                <c:pt idx="73">
                  <c:v>-100.5</c:v>
                </c:pt>
                <c:pt idx="74">
                  <c:v>-93.66</c:v>
                </c:pt>
                <c:pt idx="75">
                  <c:v>-86.74</c:v>
                </c:pt>
                <c:pt idx="76">
                  <c:v>-87.98</c:v>
                </c:pt>
                <c:pt idx="77">
                  <c:v>-88.01</c:v>
                </c:pt>
                <c:pt idx="78">
                  <c:v>-96.21</c:v>
                </c:pt>
                <c:pt idx="79">
                  <c:v>-111.25</c:v>
                </c:pt>
                <c:pt idx="80">
                  <c:v>-110.29</c:v>
                </c:pt>
                <c:pt idx="81">
                  <c:v>-96.53</c:v>
                </c:pt>
                <c:pt idx="82">
                  <c:v>-98.39</c:v>
                </c:pt>
                <c:pt idx="83">
                  <c:v>-149.46</c:v>
                </c:pt>
                <c:pt idx="84">
                  <c:v>-198.69</c:v>
                </c:pt>
                <c:pt idx="85">
                  <c:v>-203.16</c:v>
                </c:pt>
                <c:pt idx="86">
                  <c:v>-204.88</c:v>
                </c:pt>
                <c:pt idx="87">
                  <c:v>-174.14</c:v>
                </c:pt>
                <c:pt idx="88">
                  <c:v>-181.32</c:v>
                </c:pt>
                <c:pt idx="89">
                  <c:v>-197.34</c:v>
                </c:pt>
                <c:pt idx="90">
                  <c:v>-194.34</c:v>
                </c:pt>
                <c:pt idx="91">
                  <c:v>-178.49</c:v>
                </c:pt>
                <c:pt idx="92">
                  <c:v>-175.94</c:v>
                </c:pt>
                <c:pt idx="93">
                  <c:v>-168.61</c:v>
                </c:pt>
                <c:pt idx="94">
                  <c:v>-142.38</c:v>
                </c:pt>
                <c:pt idx="95">
                  <c:v>-137.29</c:v>
                </c:pt>
                <c:pt idx="96">
                  <c:v>-131.99</c:v>
                </c:pt>
                <c:pt idx="97">
                  <c:v>-126.61</c:v>
                </c:pt>
                <c:pt idx="98">
                  <c:v>-128.75</c:v>
                </c:pt>
                <c:pt idx="99">
                  <c:v>-114.86</c:v>
                </c:pt>
                <c:pt idx="100">
                  <c:v>-110.8</c:v>
                </c:pt>
                <c:pt idx="101">
                  <c:v>-90.66</c:v>
                </c:pt>
                <c:pt idx="102">
                  <c:v>-70.87</c:v>
                </c:pt>
                <c:pt idx="103">
                  <c:v>-72.64</c:v>
                </c:pt>
                <c:pt idx="104">
                  <c:v>-68.709999999999994</c:v>
                </c:pt>
                <c:pt idx="105">
                  <c:v>-50.52</c:v>
                </c:pt>
                <c:pt idx="106">
                  <c:v>-58.89</c:v>
                </c:pt>
                <c:pt idx="107">
                  <c:v>-70.67</c:v>
                </c:pt>
                <c:pt idx="108">
                  <c:v>-72.72</c:v>
                </c:pt>
                <c:pt idx="109">
                  <c:v>-50.32</c:v>
                </c:pt>
                <c:pt idx="110">
                  <c:v>-48.43</c:v>
                </c:pt>
                <c:pt idx="111">
                  <c:v>-37.909999999999997</c:v>
                </c:pt>
                <c:pt idx="112">
                  <c:v>-54.47</c:v>
                </c:pt>
                <c:pt idx="113">
                  <c:v>-55.57</c:v>
                </c:pt>
                <c:pt idx="114">
                  <c:v>-46.14</c:v>
                </c:pt>
                <c:pt idx="115">
                  <c:v>-23.27</c:v>
                </c:pt>
                <c:pt idx="116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Loan!$M$1:$M$2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strRef>
              <c:f>Loan!$I$3:$I$120</c:f>
              <c:strCache>
                <c:ptCount val="117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</c:strCache>
            </c:strRef>
          </c:cat>
          <c:val>
            <c:numRef>
              <c:f>Loan!$M$3:$M$120</c:f>
              <c:numCache>
                <c:formatCode>General</c:formatCode>
                <c:ptCount val="117"/>
                <c:pt idx="70">
                  <c:v>#N/A</c:v>
                </c:pt>
                <c:pt idx="71">
                  <c:v>-142.08000000000001</c:v>
                </c:pt>
                <c:pt idx="72">
                  <c:v>-133.24</c:v>
                </c:pt>
                <c:pt idx="73">
                  <c:v>-139.16999999999999</c:v>
                </c:pt>
                <c:pt idx="74">
                  <c:v>-131.52000000000001</c:v>
                </c:pt>
                <c:pt idx="75">
                  <c:v>-124.37</c:v>
                </c:pt>
                <c:pt idx="76">
                  <c:v>-124.62</c:v>
                </c:pt>
                <c:pt idx="77">
                  <c:v>-126.02</c:v>
                </c:pt>
                <c:pt idx="78">
                  <c:v>-135.38</c:v>
                </c:pt>
                <c:pt idx="79">
                  <c:v>-151.94</c:v>
                </c:pt>
                <c:pt idx="80">
                  <c:v>-156.63999999999999</c:v>
                </c:pt>
                <c:pt idx="81">
                  <c:v>-147.13999999999999</c:v>
                </c:pt>
                <c:pt idx="82">
                  <c:v>-155.61000000000001</c:v>
                </c:pt>
                <c:pt idx="83">
                  <c:v>-210.33</c:v>
                </c:pt>
                <c:pt idx="84">
                  <c:v>-272.77</c:v>
                </c:pt>
                <c:pt idx="85">
                  <c:v>-282.10000000000002</c:v>
                </c:pt>
                <c:pt idx="86">
                  <c:v>-283.23</c:v>
                </c:pt>
                <c:pt idx="87">
                  <c:v>-252.48</c:v>
                </c:pt>
                <c:pt idx="88">
                  <c:v>-258.12</c:v>
                </c:pt>
                <c:pt idx="89">
                  <c:v>-275.74</c:v>
                </c:pt>
                <c:pt idx="90">
                  <c:v>-274.16000000000003</c:v>
                </c:pt>
                <c:pt idx="91">
                  <c:v>-259.87</c:v>
                </c:pt>
                <c:pt idx="92">
                  <c:v>-260.83999999999997</c:v>
                </c:pt>
                <c:pt idx="93">
                  <c:v>-261.38</c:v>
                </c:pt>
                <c:pt idx="94">
                  <c:v>-241.94</c:v>
                </c:pt>
                <c:pt idx="95">
                  <c:v>-238.98</c:v>
                </c:pt>
                <c:pt idx="96">
                  <c:v>-235.68</c:v>
                </c:pt>
                <c:pt idx="97">
                  <c:v>-232.23</c:v>
                </c:pt>
                <c:pt idx="98">
                  <c:v>-234.51</c:v>
                </c:pt>
                <c:pt idx="99">
                  <c:v>-220.66</c:v>
                </c:pt>
                <c:pt idx="100">
                  <c:v>-216.59</c:v>
                </c:pt>
                <c:pt idx="101">
                  <c:v>-202.58</c:v>
                </c:pt>
                <c:pt idx="102">
                  <c:v>-183.21</c:v>
                </c:pt>
                <c:pt idx="103">
                  <c:v>-185.56</c:v>
                </c:pt>
                <c:pt idx="104">
                  <c:v>-187.73</c:v>
                </c:pt>
                <c:pt idx="105">
                  <c:v>-175.02</c:v>
                </c:pt>
                <c:pt idx="106">
                  <c:v>-187.86</c:v>
                </c:pt>
                <c:pt idx="107">
                  <c:v>-199.94</c:v>
                </c:pt>
                <c:pt idx="108">
                  <c:v>-202.18</c:v>
                </c:pt>
                <c:pt idx="109">
                  <c:v>-175.5</c:v>
                </c:pt>
                <c:pt idx="110">
                  <c:v>-172.3</c:v>
                </c:pt>
                <c:pt idx="111">
                  <c:v>-160.38</c:v>
                </c:pt>
                <c:pt idx="112">
                  <c:v>-175.65</c:v>
                </c:pt>
                <c:pt idx="113">
                  <c:v>-176.58</c:v>
                </c:pt>
                <c:pt idx="114">
                  <c:v>-166.93</c:v>
                </c:pt>
                <c:pt idx="115">
                  <c:v>-143.85</c:v>
                </c:pt>
                <c:pt idx="11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277248"/>
        <c:axId val="320614400"/>
      </c:lineChart>
      <c:catAx>
        <c:axId val="312277248"/>
        <c:scaling>
          <c:orientation val="minMax"/>
        </c:scaling>
        <c:delete val="0"/>
        <c:axPos val="b"/>
        <c:majorTickMark val="out"/>
        <c:minorTickMark val="none"/>
        <c:tickLblPos val="nextTo"/>
        <c:crossAx val="320614400"/>
        <c:crosses val="autoZero"/>
        <c:auto val="1"/>
        <c:lblAlgn val="ctr"/>
        <c:lblOffset val="100"/>
        <c:noMultiLvlLbl val="0"/>
      </c:catAx>
      <c:valAx>
        <c:axId val="320614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2277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Pool!$Q$2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Pool!$P$3:$P$117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Pool!$Q$3:$Q$117</c:f>
              <c:numCache>
                <c:formatCode>General</c:formatCode>
                <c:ptCount val="115"/>
                <c:pt idx="0">
                  <c:v>-23.69</c:v>
                </c:pt>
                <c:pt idx="1">
                  <c:v>-15.42</c:v>
                </c:pt>
                <c:pt idx="2">
                  <c:v>-10.98</c:v>
                </c:pt>
                <c:pt idx="3">
                  <c:v>-3.25</c:v>
                </c:pt>
                <c:pt idx="4">
                  <c:v>5.47</c:v>
                </c:pt>
                <c:pt idx="5">
                  <c:v>-1.37</c:v>
                </c:pt>
                <c:pt idx="6">
                  <c:v>-1.46</c:v>
                </c:pt>
                <c:pt idx="7">
                  <c:v>4.87</c:v>
                </c:pt>
                <c:pt idx="8">
                  <c:v>2.54</c:v>
                </c:pt>
                <c:pt idx="9">
                  <c:v>-2.58</c:v>
                </c:pt>
                <c:pt idx="10">
                  <c:v>-28.42</c:v>
                </c:pt>
                <c:pt idx="11">
                  <c:v>-30.34</c:v>
                </c:pt>
                <c:pt idx="12">
                  <c:v>-21.17</c:v>
                </c:pt>
                <c:pt idx="13">
                  <c:v>-9.41</c:v>
                </c:pt>
                <c:pt idx="14">
                  <c:v>-6.17</c:v>
                </c:pt>
                <c:pt idx="15">
                  <c:v>4.5599999999999996</c:v>
                </c:pt>
                <c:pt idx="16">
                  <c:v>11.2</c:v>
                </c:pt>
                <c:pt idx="17">
                  <c:v>32.270000000000003</c:v>
                </c:pt>
                <c:pt idx="18">
                  <c:v>18.440000000000001</c:v>
                </c:pt>
                <c:pt idx="19">
                  <c:v>14.26</c:v>
                </c:pt>
                <c:pt idx="20">
                  <c:v>16</c:v>
                </c:pt>
                <c:pt idx="21">
                  <c:v>9.1300000000000008</c:v>
                </c:pt>
                <c:pt idx="22">
                  <c:v>-11.41</c:v>
                </c:pt>
                <c:pt idx="23">
                  <c:v>-17.579999999999998</c:v>
                </c:pt>
                <c:pt idx="24">
                  <c:v>-21.26</c:v>
                </c:pt>
                <c:pt idx="25">
                  <c:v>5.21</c:v>
                </c:pt>
                <c:pt idx="26">
                  <c:v>-3.71</c:v>
                </c:pt>
                <c:pt idx="27">
                  <c:v>1.33</c:v>
                </c:pt>
                <c:pt idx="28">
                  <c:v>46.43</c:v>
                </c:pt>
                <c:pt idx="29">
                  <c:v>59.13</c:v>
                </c:pt>
                <c:pt idx="30">
                  <c:v>52.53</c:v>
                </c:pt>
                <c:pt idx="31">
                  <c:v>57.8</c:v>
                </c:pt>
                <c:pt idx="32">
                  <c:v>67.14</c:v>
                </c:pt>
                <c:pt idx="33">
                  <c:v>63.07</c:v>
                </c:pt>
                <c:pt idx="34">
                  <c:v>28.56</c:v>
                </c:pt>
                <c:pt idx="35">
                  <c:v>38.229999999999997</c:v>
                </c:pt>
                <c:pt idx="36">
                  <c:v>38.869999999999997</c:v>
                </c:pt>
                <c:pt idx="37">
                  <c:v>47.2</c:v>
                </c:pt>
                <c:pt idx="38">
                  <c:v>50.79</c:v>
                </c:pt>
                <c:pt idx="39">
                  <c:v>54.77</c:v>
                </c:pt>
                <c:pt idx="40">
                  <c:v>50.5</c:v>
                </c:pt>
                <c:pt idx="41">
                  <c:v>44.25</c:v>
                </c:pt>
                <c:pt idx="42">
                  <c:v>45.48</c:v>
                </c:pt>
                <c:pt idx="43">
                  <c:v>43.97</c:v>
                </c:pt>
                <c:pt idx="44">
                  <c:v>37</c:v>
                </c:pt>
                <c:pt idx="45">
                  <c:v>48.75</c:v>
                </c:pt>
                <c:pt idx="46">
                  <c:v>58.84</c:v>
                </c:pt>
                <c:pt idx="47">
                  <c:v>67.39</c:v>
                </c:pt>
                <c:pt idx="48">
                  <c:v>74.8</c:v>
                </c:pt>
                <c:pt idx="49">
                  <c:v>78.73</c:v>
                </c:pt>
                <c:pt idx="50">
                  <c:v>83.83</c:v>
                </c:pt>
                <c:pt idx="51">
                  <c:v>77.150000000000006</c:v>
                </c:pt>
                <c:pt idx="52">
                  <c:v>51.05</c:v>
                </c:pt>
                <c:pt idx="53">
                  <c:v>46.1</c:v>
                </c:pt>
                <c:pt idx="54">
                  <c:v>33.01</c:v>
                </c:pt>
                <c:pt idx="55">
                  <c:v>39.93</c:v>
                </c:pt>
                <c:pt idx="56">
                  <c:v>39.64</c:v>
                </c:pt>
                <c:pt idx="57">
                  <c:v>49.42</c:v>
                </c:pt>
                <c:pt idx="58">
                  <c:v>56.82</c:v>
                </c:pt>
                <c:pt idx="59">
                  <c:v>50.66</c:v>
                </c:pt>
                <c:pt idx="60">
                  <c:v>66.739999999999995</c:v>
                </c:pt>
                <c:pt idx="61">
                  <c:v>73.290000000000006</c:v>
                </c:pt>
                <c:pt idx="62">
                  <c:v>71.81</c:v>
                </c:pt>
                <c:pt idx="63">
                  <c:v>76.63</c:v>
                </c:pt>
                <c:pt idx="64">
                  <c:v>78.47</c:v>
                </c:pt>
                <c:pt idx="65">
                  <c:v>79.13</c:v>
                </c:pt>
                <c:pt idx="66">
                  <c:v>78.62</c:v>
                </c:pt>
                <c:pt idx="67">
                  <c:v>74.8</c:v>
                </c:pt>
                <c:pt idx="68">
                  <c:v>78.599999999999994</c:v>
                </c:pt>
                <c:pt idx="69">
                  <c:v>84.39</c:v>
                </c:pt>
                <c:pt idx="70">
                  <c:v>91.59</c:v>
                </c:pt>
                <c:pt idx="71">
                  <c:v>98.02</c:v>
                </c:pt>
                <c:pt idx="72">
                  <c:v>95.62</c:v>
                </c:pt>
                <c:pt idx="73">
                  <c:v>101.17</c:v>
                </c:pt>
                <c:pt idx="74">
                  <c:v>105.84</c:v>
                </c:pt>
                <c:pt idx="75">
                  <c:v>106.19</c:v>
                </c:pt>
                <c:pt idx="76">
                  <c:v>105.81</c:v>
                </c:pt>
                <c:pt idx="77">
                  <c:v>100.14</c:v>
                </c:pt>
                <c:pt idx="78">
                  <c:v>89.88</c:v>
                </c:pt>
                <c:pt idx="79">
                  <c:v>86.53</c:v>
                </c:pt>
                <c:pt idx="80">
                  <c:v>92.39</c:v>
                </c:pt>
                <c:pt idx="81">
                  <c:v>86.38</c:v>
                </c:pt>
                <c:pt idx="82">
                  <c:v>49.66</c:v>
                </c:pt>
                <c:pt idx="83">
                  <c:v>28.1</c:v>
                </c:pt>
                <c:pt idx="84">
                  <c:v>19.98</c:v>
                </c:pt>
                <c:pt idx="85">
                  <c:v>17.53</c:v>
                </c:pt>
                <c:pt idx="86">
                  <c:v>36.04</c:v>
                </c:pt>
                <c:pt idx="87">
                  <c:v>29.56</c:v>
                </c:pt>
                <c:pt idx="88">
                  <c:v>16.940000000000001</c:v>
                </c:pt>
                <c:pt idx="89">
                  <c:v>16.809999999999999</c:v>
                </c:pt>
                <c:pt idx="90">
                  <c:v>25.08</c:v>
                </c:pt>
                <c:pt idx="91">
                  <c:v>24</c:v>
                </c:pt>
                <c:pt idx="92">
                  <c:v>24.42</c:v>
                </c:pt>
                <c:pt idx="93">
                  <c:v>36.36</c:v>
                </c:pt>
                <c:pt idx="94">
                  <c:v>37.17</c:v>
                </c:pt>
                <c:pt idx="95">
                  <c:v>37.880000000000003</c:v>
                </c:pt>
                <c:pt idx="96">
                  <c:v>38.51</c:v>
                </c:pt>
                <c:pt idx="97">
                  <c:v>35.81</c:v>
                </c:pt>
                <c:pt idx="98">
                  <c:v>43.41</c:v>
                </c:pt>
                <c:pt idx="99">
                  <c:v>44.76</c:v>
                </c:pt>
                <c:pt idx="100">
                  <c:v>53.44</c:v>
                </c:pt>
                <c:pt idx="101">
                  <c:v>64.11</c:v>
                </c:pt>
                <c:pt idx="102">
                  <c:v>60.83</c:v>
                </c:pt>
                <c:pt idx="103">
                  <c:v>57.05</c:v>
                </c:pt>
                <c:pt idx="104">
                  <c:v>62.1</c:v>
                </c:pt>
                <c:pt idx="105">
                  <c:v>50.45</c:v>
                </c:pt>
                <c:pt idx="106">
                  <c:v>39.86</c:v>
                </c:pt>
                <c:pt idx="107">
                  <c:v>35.65</c:v>
                </c:pt>
                <c:pt idx="108">
                  <c:v>43.83</c:v>
                </c:pt>
                <c:pt idx="109">
                  <c:v>44.2</c:v>
                </c:pt>
                <c:pt idx="110">
                  <c:v>50.21</c:v>
                </c:pt>
                <c:pt idx="111">
                  <c:v>38.92</c:v>
                </c:pt>
                <c:pt idx="112">
                  <c:v>37.24</c:v>
                </c:pt>
                <c:pt idx="113">
                  <c:v>42.4</c:v>
                </c:pt>
                <c:pt idx="114">
                  <c:v>56.26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Pool!$R$2</c:f>
              <c:strCache>
                <c:ptCount val="1"/>
                <c:pt idx="0">
                  <c:v>FGT6</c:v>
                </c:pt>
              </c:strCache>
            </c:strRef>
          </c:tx>
          <c:marker>
            <c:symbol val="none"/>
          </c:marker>
          <c:cat>
            <c:numRef>
              <c:f>Pool!$P$3:$P$117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Pool!$R$3:$R$117</c:f>
              <c:numCache>
                <c:formatCode>General</c:formatCode>
                <c:ptCount val="115"/>
                <c:pt idx="20">
                  <c:v>0</c:v>
                </c:pt>
                <c:pt idx="21">
                  <c:v>-11.74</c:v>
                </c:pt>
                <c:pt idx="22">
                  <c:v>-53.63</c:v>
                </c:pt>
                <c:pt idx="23">
                  <c:v>-70.239999999999995</c:v>
                </c:pt>
                <c:pt idx="24">
                  <c:v>-67.650000000000006</c:v>
                </c:pt>
                <c:pt idx="25">
                  <c:v>-11.17</c:v>
                </c:pt>
                <c:pt idx="26">
                  <c:v>-6.87</c:v>
                </c:pt>
                <c:pt idx="27">
                  <c:v>5.28</c:v>
                </c:pt>
                <c:pt idx="28">
                  <c:v>89.48</c:v>
                </c:pt>
                <c:pt idx="29">
                  <c:v>116.96</c:v>
                </c:pt>
                <c:pt idx="30">
                  <c:v>103.16</c:v>
                </c:pt>
                <c:pt idx="31">
                  <c:v>112.2</c:v>
                </c:pt>
                <c:pt idx="32">
                  <c:v>130.96</c:v>
                </c:pt>
                <c:pt idx="33">
                  <c:v>124.61</c:v>
                </c:pt>
                <c:pt idx="34">
                  <c:v>63.07</c:v>
                </c:pt>
                <c:pt idx="35">
                  <c:v>79.930000000000007</c:v>
                </c:pt>
                <c:pt idx="36">
                  <c:v>84.87</c:v>
                </c:pt>
                <c:pt idx="37">
                  <c:v>105.3</c:v>
                </c:pt>
                <c:pt idx="38">
                  <c:v>114.29</c:v>
                </c:pt>
                <c:pt idx="39">
                  <c:v>123.22</c:v>
                </c:pt>
                <c:pt idx="40">
                  <c:v>121.56</c:v>
                </c:pt>
                <c:pt idx="41">
                  <c:v>114.61</c:v>
                </c:pt>
                <c:pt idx="42">
                  <c:v>118.77</c:v>
                </c:pt>
                <c:pt idx="43">
                  <c:v>116.71</c:v>
                </c:pt>
                <c:pt idx="44">
                  <c:v>105.05</c:v>
                </c:pt>
                <c:pt idx="45">
                  <c:v>125</c:v>
                </c:pt>
                <c:pt idx="46">
                  <c:v>143.38</c:v>
                </c:pt>
                <c:pt idx="47">
                  <c:v>158.84</c:v>
                </c:pt>
                <c:pt idx="48">
                  <c:v>93.41</c:v>
                </c:pt>
                <c:pt idx="49">
                  <c:v>97.06</c:v>
                </c:pt>
                <c:pt idx="50">
                  <c:v>102.07</c:v>
                </c:pt>
                <c:pt idx="51">
                  <c:v>97.84</c:v>
                </c:pt>
                <c:pt idx="52">
                  <c:v>33.630000000000003</c:v>
                </c:pt>
                <c:pt idx="53">
                  <c:v>12.94</c:v>
                </c:pt>
                <c:pt idx="54">
                  <c:v>-16.059999999999999</c:v>
                </c:pt>
                <c:pt idx="55">
                  <c:v>-5.31</c:v>
                </c:pt>
                <c:pt idx="56">
                  <c:v>-1.29</c:v>
                </c:pt>
                <c:pt idx="57">
                  <c:v>21.42</c:v>
                </c:pt>
                <c:pt idx="58">
                  <c:v>38.08</c:v>
                </c:pt>
                <c:pt idx="59">
                  <c:v>35.4</c:v>
                </c:pt>
                <c:pt idx="60">
                  <c:v>62.23</c:v>
                </c:pt>
                <c:pt idx="61">
                  <c:v>74.14</c:v>
                </c:pt>
                <c:pt idx="62">
                  <c:v>67.23</c:v>
                </c:pt>
                <c:pt idx="63">
                  <c:v>68.67</c:v>
                </c:pt>
                <c:pt idx="64">
                  <c:v>67.819999999999993</c:v>
                </c:pt>
                <c:pt idx="65">
                  <c:v>63.28</c:v>
                </c:pt>
                <c:pt idx="66">
                  <c:v>58.56</c:v>
                </c:pt>
                <c:pt idx="67">
                  <c:v>45.84</c:v>
                </c:pt>
                <c:pt idx="68">
                  <c:v>48.71</c:v>
                </c:pt>
                <c:pt idx="69">
                  <c:v>56.19</c:v>
                </c:pt>
                <c:pt idx="70">
                  <c:v>67.78</c:v>
                </c:pt>
                <c:pt idx="71">
                  <c:v>77.959999999999994</c:v>
                </c:pt>
                <c:pt idx="72">
                  <c:v>73.41</c:v>
                </c:pt>
                <c:pt idx="73">
                  <c:v>78.45</c:v>
                </c:pt>
                <c:pt idx="74">
                  <c:v>80.709999999999994</c:v>
                </c:pt>
                <c:pt idx="75">
                  <c:v>76.47</c:v>
                </c:pt>
                <c:pt idx="76">
                  <c:v>75.069999999999993</c:v>
                </c:pt>
                <c:pt idx="77">
                  <c:v>63.84</c:v>
                </c:pt>
                <c:pt idx="78">
                  <c:v>46.35</c:v>
                </c:pt>
                <c:pt idx="79">
                  <c:v>40.9</c:v>
                </c:pt>
                <c:pt idx="80">
                  <c:v>51.86</c:v>
                </c:pt>
                <c:pt idx="81">
                  <c:v>42.79</c:v>
                </c:pt>
                <c:pt idx="82">
                  <c:v>-10.49</c:v>
                </c:pt>
                <c:pt idx="83">
                  <c:v>-39.130000000000003</c:v>
                </c:pt>
                <c:pt idx="84">
                  <c:v>-47.88</c:v>
                </c:pt>
                <c:pt idx="85">
                  <c:v>-48.3</c:v>
                </c:pt>
                <c:pt idx="86">
                  <c:v>-18.53</c:v>
                </c:pt>
                <c:pt idx="87">
                  <c:v>-23.89</c:v>
                </c:pt>
                <c:pt idx="88">
                  <c:v>-39.549999999999997</c:v>
                </c:pt>
                <c:pt idx="89">
                  <c:v>-37.770000000000003</c:v>
                </c:pt>
                <c:pt idx="90">
                  <c:v>-24.33</c:v>
                </c:pt>
                <c:pt idx="91">
                  <c:v>-24.36</c:v>
                </c:pt>
                <c:pt idx="92">
                  <c:v>-22.55</c:v>
                </c:pt>
                <c:pt idx="93">
                  <c:v>-3.61</c:v>
                </c:pt>
                <c:pt idx="94">
                  <c:v>-1.0900000000000001</c:v>
                </c:pt>
                <c:pt idx="95">
                  <c:v>1.59</c:v>
                </c:pt>
                <c:pt idx="96">
                  <c:v>4.68</c:v>
                </c:pt>
                <c:pt idx="97">
                  <c:v>2.66</c:v>
                </c:pt>
                <c:pt idx="98">
                  <c:v>15.07</c:v>
                </c:pt>
                <c:pt idx="99">
                  <c:v>18.32</c:v>
                </c:pt>
                <c:pt idx="100">
                  <c:v>30.61</c:v>
                </c:pt>
                <c:pt idx="101">
                  <c:v>47.59</c:v>
                </c:pt>
                <c:pt idx="102">
                  <c:v>43.16</c:v>
                </c:pt>
                <c:pt idx="103">
                  <c:v>37.28</c:v>
                </c:pt>
                <c:pt idx="104">
                  <c:v>44.87</c:v>
                </c:pt>
                <c:pt idx="105">
                  <c:v>27.6</c:v>
                </c:pt>
                <c:pt idx="106">
                  <c:v>11.65</c:v>
                </c:pt>
                <c:pt idx="107">
                  <c:v>5.96</c:v>
                </c:pt>
                <c:pt idx="108">
                  <c:v>12.54</c:v>
                </c:pt>
                <c:pt idx="109">
                  <c:v>14.16</c:v>
                </c:pt>
                <c:pt idx="110">
                  <c:v>24.79</c:v>
                </c:pt>
                <c:pt idx="111">
                  <c:v>9.92</c:v>
                </c:pt>
                <c:pt idx="112">
                  <c:v>9.74</c:v>
                </c:pt>
                <c:pt idx="113">
                  <c:v>19.34</c:v>
                </c:pt>
                <c:pt idx="114">
                  <c:v>42.12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Pool!$S$2</c:f>
              <c:strCache>
                <c:ptCount val="1"/>
                <c:pt idx="0">
                  <c:v>FGU6</c:v>
                </c:pt>
              </c:strCache>
            </c:strRef>
          </c:tx>
          <c:marker>
            <c:symbol val="none"/>
          </c:marker>
          <c:cat>
            <c:numRef>
              <c:f>Pool!$P$3:$P$117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Pool!$S$3:$S$117</c:f>
              <c:numCache>
                <c:formatCode>General</c:formatCode>
                <c:ptCount val="115"/>
                <c:pt idx="37">
                  <c:v>0</c:v>
                </c:pt>
                <c:pt idx="38">
                  <c:v>-33.71</c:v>
                </c:pt>
                <c:pt idx="39">
                  <c:v>-26.66</c:v>
                </c:pt>
                <c:pt idx="40">
                  <c:v>-22.9</c:v>
                </c:pt>
                <c:pt idx="41">
                  <c:v>-30.56</c:v>
                </c:pt>
                <c:pt idx="42">
                  <c:v>-25.9</c:v>
                </c:pt>
                <c:pt idx="43">
                  <c:v>-24.83</c:v>
                </c:pt>
                <c:pt idx="44">
                  <c:v>-91.91</c:v>
                </c:pt>
                <c:pt idx="45">
                  <c:v>-59.95</c:v>
                </c:pt>
                <c:pt idx="46">
                  <c:v>-33.700000000000003</c:v>
                </c:pt>
                <c:pt idx="47">
                  <c:v>-13.8</c:v>
                </c:pt>
                <c:pt idx="48">
                  <c:v>1.62</c:v>
                </c:pt>
                <c:pt idx="49">
                  <c:v>9.49</c:v>
                </c:pt>
                <c:pt idx="50">
                  <c:v>17.89</c:v>
                </c:pt>
                <c:pt idx="51">
                  <c:v>9.59</c:v>
                </c:pt>
                <c:pt idx="52">
                  <c:v>-32.6</c:v>
                </c:pt>
                <c:pt idx="53">
                  <c:v>-41.2</c:v>
                </c:pt>
                <c:pt idx="54">
                  <c:v>-62.02</c:v>
                </c:pt>
                <c:pt idx="55">
                  <c:v>-52.35</c:v>
                </c:pt>
                <c:pt idx="56">
                  <c:v>-51.22</c:v>
                </c:pt>
                <c:pt idx="57">
                  <c:v>-31.37</c:v>
                </c:pt>
                <c:pt idx="58">
                  <c:v>-18.09</c:v>
                </c:pt>
                <c:pt idx="59">
                  <c:v>7.07</c:v>
                </c:pt>
                <c:pt idx="60">
                  <c:v>32.380000000000003</c:v>
                </c:pt>
                <c:pt idx="61">
                  <c:v>48.27</c:v>
                </c:pt>
                <c:pt idx="62">
                  <c:v>44.06</c:v>
                </c:pt>
                <c:pt idx="63">
                  <c:v>50.85</c:v>
                </c:pt>
                <c:pt idx="64">
                  <c:v>53.36</c:v>
                </c:pt>
                <c:pt idx="65">
                  <c:v>50.59</c:v>
                </c:pt>
                <c:pt idx="66">
                  <c:v>22.4</c:v>
                </c:pt>
                <c:pt idx="67">
                  <c:v>8.06</c:v>
                </c:pt>
                <c:pt idx="68">
                  <c:v>9.33</c:v>
                </c:pt>
                <c:pt idx="69">
                  <c:v>15.52</c:v>
                </c:pt>
                <c:pt idx="70">
                  <c:v>22.86</c:v>
                </c:pt>
                <c:pt idx="71">
                  <c:v>29.54</c:v>
                </c:pt>
                <c:pt idx="72">
                  <c:v>22.1</c:v>
                </c:pt>
                <c:pt idx="73">
                  <c:v>28.54</c:v>
                </c:pt>
                <c:pt idx="74">
                  <c:v>34.75</c:v>
                </c:pt>
                <c:pt idx="75">
                  <c:v>32.94</c:v>
                </c:pt>
                <c:pt idx="76">
                  <c:v>30.87</c:v>
                </c:pt>
                <c:pt idx="77">
                  <c:v>20.74</c:v>
                </c:pt>
                <c:pt idx="78">
                  <c:v>3.45</c:v>
                </c:pt>
                <c:pt idx="79">
                  <c:v>-1.68</c:v>
                </c:pt>
                <c:pt idx="80">
                  <c:v>8.39</c:v>
                </c:pt>
                <c:pt idx="81">
                  <c:v>8.8000000000000007</c:v>
                </c:pt>
                <c:pt idx="82">
                  <c:v>-38.479999999999997</c:v>
                </c:pt>
                <c:pt idx="83">
                  <c:v>-81.790000000000006</c:v>
                </c:pt>
                <c:pt idx="84">
                  <c:v>-81.38</c:v>
                </c:pt>
                <c:pt idx="85">
                  <c:v>-83.16</c:v>
                </c:pt>
                <c:pt idx="86">
                  <c:v>-52.15</c:v>
                </c:pt>
                <c:pt idx="87">
                  <c:v>-59.56</c:v>
                </c:pt>
                <c:pt idx="88">
                  <c:v>-75.19</c:v>
                </c:pt>
                <c:pt idx="89">
                  <c:v>-72.22</c:v>
                </c:pt>
                <c:pt idx="90">
                  <c:v>-56.23</c:v>
                </c:pt>
                <c:pt idx="91">
                  <c:v>-49.59</c:v>
                </c:pt>
                <c:pt idx="92">
                  <c:v>-34.99</c:v>
                </c:pt>
                <c:pt idx="93">
                  <c:v>-2.58</c:v>
                </c:pt>
                <c:pt idx="94">
                  <c:v>6.28</c:v>
                </c:pt>
                <c:pt idx="95">
                  <c:v>11.51</c:v>
                </c:pt>
                <c:pt idx="96">
                  <c:v>19.5</c:v>
                </c:pt>
                <c:pt idx="97">
                  <c:v>17.489999999999998</c:v>
                </c:pt>
                <c:pt idx="98">
                  <c:v>30.93</c:v>
                </c:pt>
                <c:pt idx="99">
                  <c:v>34.74</c:v>
                </c:pt>
                <c:pt idx="100">
                  <c:v>66.040000000000006</c:v>
                </c:pt>
                <c:pt idx="101">
                  <c:v>85.58</c:v>
                </c:pt>
                <c:pt idx="102">
                  <c:v>84.11</c:v>
                </c:pt>
                <c:pt idx="103">
                  <c:v>87.18</c:v>
                </c:pt>
                <c:pt idx="104">
                  <c:v>105.05</c:v>
                </c:pt>
                <c:pt idx="105">
                  <c:v>95.68</c:v>
                </c:pt>
                <c:pt idx="106">
                  <c:v>84.44</c:v>
                </c:pt>
                <c:pt idx="107">
                  <c:v>82.64</c:v>
                </c:pt>
                <c:pt idx="108">
                  <c:v>105.32</c:v>
                </c:pt>
                <c:pt idx="109">
                  <c:v>107.74</c:v>
                </c:pt>
                <c:pt idx="110">
                  <c:v>117.33</c:v>
                </c:pt>
                <c:pt idx="111">
                  <c:v>101.87</c:v>
                </c:pt>
                <c:pt idx="112">
                  <c:v>100.98</c:v>
                </c:pt>
                <c:pt idx="113">
                  <c:v>109.05</c:v>
                </c:pt>
                <c:pt idx="114">
                  <c:v>131.31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Pool!$T$2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Pool!$P$3:$P$117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Pool!$T$3:$T$117</c:f>
              <c:numCache>
                <c:formatCode>General</c:formatCode>
                <c:ptCount val="115"/>
                <c:pt idx="69">
                  <c:v>0</c:v>
                </c:pt>
                <c:pt idx="70">
                  <c:v>-6.22</c:v>
                </c:pt>
                <c:pt idx="71">
                  <c:v>1.32</c:v>
                </c:pt>
                <c:pt idx="72">
                  <c:v>-3.89</c:v>
                </c:pt>
                <c:pt idx="73">
                  <c:v>1.7</c:v>
                </c:pt>
                <c:pt idx="74">
                  <c:v>6.79</c:v>
                </c:pt>
                <c:pt idx="75">
                  <c:v>6.5</c:v>
                </c:pt>
                <c:pt idx="76">
                  <c:v>5.35</c:v>
                </c:pt>
                <c:pt idx="77">
                  <c:v>-1.75</c:v>
                </c:pt>
                <c:pt idx="78">
                  <c:v>-14.39</c:v>
                </c:pt>
                <c:pt idx="79">
                  <c:v>-18.48</c:v>
                </c:pt>
                <c:pt idx="80">
                  <c:v>-11.52</c:v>
                </c:pt>
                <c:pt idx="81">
                  <c:v>-18.2</c:v>
                </c:pt>
                <c:pt idx="82">
                  <c:v>-60.22</c:v>
                </c:pt>
                <c:pt idx="83">
                  <c:v>-107.55</c:v>
                </c:pt>
                <c:pt idx="84">
                  <c:v>-113.26</c:v>
                </c:pt>
                <c:pt idx="85">
                  <c:v>-111.54</c:v>
                </c:pt>
                <c:pt idx="86">
                  <c:v>-88.73</c:v>
                </c:pt>
                <c:pt idx="87">
                  <c:v>-90.8</c:v>
                </c:pt>
                <c:pt idx="88">
                  <c:v>-102.52</c:v>
                </c:pt>
                <c:pt idx="89">
                  <c:v>-101.28</c:v>
                </c:pt>
                <c:pt idx="90">
                  <c:v>-90.35</c:v>
                </c:pt>
                <c:pt idx="91">
                  <c:v>-86.83</c:v>
                </c:pt>
                <c:pt idx="92">
                  <c:v>-87.68</c:v>
                </c:pt>
                <c:pt idx="93">
                  <c:v>-75.430000000000007</c:v>
                </c:pt>
                <c:pt idx="94">
                  <c:v>-73.97</c:v>
                </c:pt>
                <c:pt idx="95">
                  <c:v>-72.16</c:v>
                </c:pt>
                <c:pt idx="96">
                  <c:v>-69.42</c:v>
                </c:pt>
                <c:pt idx="97">
                  <c:v>-69.98</c:v>
                </c:pt>
                <c:pt idx="98">
                  <c:v>-59.22</c:v>
                </c:pt>
                <c:pt idx="99">
                  <c:v>-53.7</c:v>
                </c:pt>
                <c:pt idx="100">
                  <c:v>-46.73</c:v>
                </c:pt>
                <c:pt idx="101">
                  <c:v>-36.32</c:v>
                </c:pt>
                <c:pt idx="102">
                  <c:v>-37.729999999999997</c:v>
                </c:pt>
                <c:pt idx="103">
                  <c:v>-40.659999999999997</c:v>
                </c:pt>
                <c:pt idx="104">
                  <c:v>-34.799999999999997</c:v>
                </c:pt>
                <c:pt idx="105">
                  <c:v>-44.13</c:v>
                </c:pt>
                <c:pt idx="106">
                  <c:v>-52.45</c:v>
                </c:pt>
                <c:pt idx="107">
                  <c:v>-55</c:v>
                </c:pt>
                <c:pt idx="108">
                  <c:v>-40.64</c:v>
                </c:pt>
                <c:pt idx="109">
                  <c:v>-39.479999999999997</c:v>
                </c:pt>
                <c:pt idx="110">
                  <c:v>-33.39</c:v>
                </c:pt>
                <c:pt idx="111">
                  <c:v>-42.74</c:v>
                </c:pt>
                <c:pt idx="112">
                  <c:v>-43.16</c:v>
                </c:pt>
                <c:pt idx="113">
                  <c:v>-37.61</c:v>
                </c:pt>
                <c:pt idx="114">
                  <c:v>-24.95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624320"/>
        <c:axId val="327839744"/>
      </c:lineChart>
      <c:dateAx>
        <c:axId val="321624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7839744"/>
        <c:crosses val="autoZero"/>
        <c:auto val="1"/>
        <c:lblOffset val="100"/>
        <c:baseTimeUnit val="months"/>
      </c:dateAx>
      <c:valAx>
        <c:axId val="327839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1624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Pool!$Q$2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Pool!$P$3:$P$117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Pool!$Q$3:$Q$117</c:f>
              <c:numCache>
                <c:formatCode>General</c:formatCode>
                <c:ptCount val="115"/>
                <c:pt idx="0">
                  <c:v>-23.69</c:v>
                </c:pt>
                <c:pt idx="1">
                  <c:v>-15.42</c:v>
                </c:pt>
                <c:pt idx="2">
                  <c:v>-10.98</c:v>
                </c:pt>
                <c:pt idx="3">
                  <c:v>-3.25</c:v>
                </c:pt>
                <c:pt idx="4">
                  <c:v>5.47</c:v>
                </c:pt>
                <c:pt idx="5">
                  <c:v>-1.37</c:v>
                </c:pt>
                <c:pt idx="6">
                  <c:v>-1.46</c:v>
                </c:pt>
                <c:pt idx="7">
                  <c:v>4.87</c:v>
                </c:pt>
                <c:pt idx="8">
                  <c:v>2.54</c:v>
                </c:pt>
                <c:pt idx="9">
                  <c:v>-2.58</c:v>
                </c:pt>
                <c:pt idx="10">
                  <c:v>-28.42</c:v>
                </c:pt>
                <c:pt idx="11">
                  <c:v>-30.34</c:v>
                </c:pt>
                <c:pt idx="12">
                  <c:v>-21.17</c:v>
                </c:pt>
                <c:pt idx="13">
                  <c:v>-9.41</c:v>
                </c:pt>
                <c:pt idx="14">
                  <c:v>-6.17</c:v>
                </c:pt>
                <c:pt idx="15">
                  <c:v>4.5599999999999996</c:v>
                </c:pt>
                <c:pt idx="16">
                  <c:v>11.2</c:v>
                </c:pt>
                <c:pt idx="17">
                  <c:v>32.270000000000003</c:v>
                </c:pt>
                <c:pt idx="18">
                  <c:v>18.440000000000001</c:v>
                </c:pt>
                <c:pt idx="19">
                  <c:v>14.26</c:v>
                </c:pt>
                <c:pt idx="20">
                  <c:v>16</c:v>
                </c:pt>
                <c:pt idx="21">
                  <c:v>9.1300000000000008</c:v>
                </c:pt>
                <c:pt idx="22">
                  <c:v>-11.41</c:v>
                </c:pt>
                <c:pt idx="23">
                  <c:v>-17.579999999999998</c:v>
                </c:pt>
                <c:pt idx="24">
                  <c:v>-21.26</c:v>
                </c:pt>
                <c:pt idx="25">
                  <c:v>5.21</c:v>
                </c:pt>
                <c:pt idx="26">
                  <c:v>-3.71</c:v>
                </c:pt>
                <c:pt idx="27">
                  <c:v>1.33</c:v>
                </c:pt>
                <c:pt idx="28">
                  <c:v>46.43</c:v>
                </c:pt>
                <c:pt idx="29">
                  <c:v>59.13</c:v>
                </c:pt>
                <c:pt idx="30">
                  <c:v>52.53</c:v>
                </c:pt>
                <c:pt idx="31">
                  <c:v>57.8</c:v>
                </c:pt>
                <c:pt idx="32">
                  <c:v>67.14</c:v>
                </c:pt>
                <c:pt idx="33">
                  <c:v>63.07</c:v>
                </c:pt>
                <c:pt idx="34">
                  <c:v>28.56</c:v>
                </c:pt>
                <c:pt idx="35">
                  <c:v>38.229999999999997</c:v>
                </c:pt>
                <c:pt idx="36">
                  <c:v>38.869999999999997</c:v>
                </c:pt>
                <c:pt idx="37">
                  <c:v>47.2</c:v>
                </c:pt>
                <c:pt idx="38">
                  <c:v>50.79</c:v>
                </c:pt>
                <c:pt idx="39">
                  <c:v>54.77</c:v>
                </c:pt>
                <c:pt idx="40">
                  <c:v>50.5</c:v>
                </c:pt>
                <c:pt idx="41">
                  <c:v>44.25</c:v>
                </c:pt>
                <c:pt idx="42">
                  <c:v>45.48</c:v>
                </c:pt>
                <c:pt idx="43">
                  <c:v>43.97</c:v>
                </c:pt>
                <c:pt idx="44">
                  <c:v>37</c:v>
                </c:pt>
                <c:pt idx="45">
                  <c:v>48.75</c:v>
                </c:pt>
                <c:pt idx="46">
                  <c:v>58.84</c:v>
                </c:pt>
                <c:pt idx="47">
                  <c:v>67.39</c:v>
                </c:pt>
                <c:pt idx="48">
                  <c:v>74.8</c:v>
                </c:pt>
                <c:pt idx="49">
                  <c:v>78.73</c:v>
                </c:pt>
                <c:pt idx="50">
                  <c:v>83.83</c:v>
                </c:pt>
                <c:pt idx="51">
                  <c:v>77.150000000000006</c:v>
                </c:pt>
                <c:pt idx="52">
                  <c:v>51.05</c:v>
                </c:pt>
                <c:pt idx="53">
                  <c:v>46.1</c:v>
                </c:pt>
                <c:pt idx="54">
                  <c:v>33.01</c:v>
                </c:pt>
                <c:pt idx="55">
                  <c:v>39.93</c:v>
                </c:pt>
                <c:pt idx="56">
                  <c:v>39.64</c:v>
                </c:pt>
                <c:pt idx="57">
                  <c:v>49.42</c:v>
                </c:pt>
                <c:pt idx="58">
                  <c:v>56.82</c:v>
                </c:pt>
                <c:pt idx="59">
                  <c:v>50.66</c:v>
                </c:pt>
                <c:pt idx="60">
                  <c:v>66.739999999999995</c:v>
                </c:pt>
                <c:pt idx="61">
                  <c:v>73.290000000000006</c:v>
                </c:pt>
                <c:pt idx="62">
                  <c:v>71.81</c:v>
                </c:pt>
                <c:pt idx="63">
                  <c:v>76.63</c:v>
                </c:pt>
                <c:pt idx="64">
                  <c:v>78.47</c:v>
                </c:pt>
                <c:pt idx="65">
                  <c:v>79.13</c:v>
                </c:pt>
                <c:pt idx="66">
                  <c:v>78.62</c:v>
                </c:pt>
                <c:pt idx="67">
                  <c:v>74.8</c:v>
                </c:pt>
                <c:pt idx="68">
                  <c:v>78.599999999999994</c:v>
                </c:pt>
                <c:pt idx="69">
                  <c:v>84.39</c:v>
                </c:pt>
                <c:pt idx="70">
                  <c:v>91.59</c:v>
                </c:pt>
                <c:pt idx="71">
                  <c:v>98.02</c:v>
                </c:pt>
                <c:pt idx="72">
                  <c:v>95.62</c:v>
                </c:pt>
                <c:pt idx="73">
                  <c:v>101.17</c:v>
                </c:pt>
                <c:pt idx="74">
                  <c:v>105.84</c:v>
                </c:pt>
                <c:pt idx="75">
                  <c:v>106.19</c:v>
                </c:pt>
                <c:pt idx="76">
                  <c:v>105.81</c:v>
                </c:pt>
                <c:pt idx="77">
                  <c:v>100.14</c:v>
                </c:pt>
                <c:pt idx="78">
                  <c:v>89.88</c:v>
                </c:pt>
                <c:pt idx="79">
                  <c:v>86.53</c:v>
                </c:pt>
                <c:pt idx="80">
                  <c:v>92.39</c:v>
                </c:pt>
                <c:pt idx="81">
                  <c:v>86.38</c:v>
                </c:pt>
                <c:pt idx="82">
                  <c:v>49.66</c:v>
                </c:pt>
                <c:pt idx="83">
                  <c:v>28.1</c:v>
                </c:pt>
                <c:pt idx="84">
                  <c:v>19.98</c:v>
                </c:pt>
                <c:pt idx="85">
                  <c:v>17.53</c:v>
                </c:pt>
                <c:pt idx="86">
                  <c:v>36.04</c:v>
                </c:pt>
                <c:pt idx="87">
                  <c:v>29.56</c:v>
                </c:pt>
                <c:pt idx="88">
                  <c:v>16.940000000000001</c:v>
                </c:pt>
                <c:pt idx="89">
                  <c:v>16.809999999999999</c:v>
                </c:pt>
                <c:pt idx="90">
                  <c:v>25.08</c:v>
                </c:pt>
                <c:pt idx="91">
                  <c:v>24</c:v>
                </c:pt>
                <c:pt idx="92">
                  <c:v>24.42</c:v>
                </c:pt>
                <c:pt idx="93">
                  <c:v>36.36</c:v>
                </c:pt>
                <c:pt idx="94">
                  <c:v>37.17</c:v>
                </c:pt>
                <c:pt idx="95">
                  <c:v>37.880000000000003</c:v>
                </c:pt>
                <c:pt idx="96">
                  <c:v>38.51</c:v>
                </c:pt>
                <c:pt idx="97">
                  <c:v>35.81</c:v>
                </c:pt>
                <c:pt idx="98">
                  <c:v>43.41</c:v>
                </c:pt>
                <c:pt idx="99">
                  <c:v>44.76</c:v>
                </c:pt>
                <c:pt idx="100">
                  <c:v>53.44</c:v>
                </c:pt>
                <c:pt idx="101">
                  <c:v>64.11</c:v>
                </c:pt>
                <c:pt idx="102">
                  <c:v>60.83</c:v>
                </c:pt>
                <c:pt idx="103">
                  <c:v>57.05</c:v>
                </c:pt>
                <c:pt idx="104">
                  <c:v>62.1</c:v>
                </c:pt>
                <c:pt idx="105">
                  <c:v>50.45</c:v>
                </c:pt>
                <c:pt idx="106">
                  <c:v>39.86</c:v>
                </c:pt>
                <c:pt idx="107">
                  <c:v>35.65</c:v>
                </c:pt>
                <c:pt idx="108">
                  <c:v>43.83</c:v>
                </c:pt>
                <c:pt idx="109">
                  <c:v>44.2</c:v>
                </c:pt>
                <c:pt idx="110">
                  <c:v>50.21</c:v>
                </c:pt>
                <c:pt idx="111">
                  <c:v>38.92</c:v>
                </c:pt>
                <c:pt idx="112">
                  <c:v>37.24</c:v>
                </c:pt>
                <c:pt idx="113">
                  <c:v>42.4</c:v>
                </c:pt>
                <c:pt idx="114">
                  <c:v>56.26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Pool!$R$2</c:f>
              <c:strCache>
                <c:ptCount val="1"/>
                <c:pt idx="0">
                  <c:v>FGT6</c:v>
                </c:pt>
              </c:strCache>
            </c:strRef>
          </c:tx>
          <c:marker>
            <c:symbol val="none"/>
          </c:marker>
          <c:cat>
            <c:numRef>
              <c:f>Pool!$P$3:$P$117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Pool!$R$3:$R$117</c:f>
              <c:numCache>
                <c:formatCode>General</c:formatCode>
                <c:ptCount val="115"/>
                <c:pt idx="20">
                  <c:v>0</c:v>
                </c:pt>
                <c:pt idx="21">
                  <c:v>-11.74</c:v>
                </c:pt>
                <c:pt idx="22">
                  <c:v>-53.63</c:v>
                </c:pt>
                <c:pt idx="23">
                  <c:v>-70.239999999999995</c:v>
                </c:pt>
                <c:pt idx="24">
                  <c:v>-67.650000000000006</c:v>
                </c:pt>
                <c:pt idx="25">
                  <c:v>-11.17</c:v>
                </c:pt>
                <c:pt idx="26">
                  <c:v>-6.87</c:v>
                </c:pt>
                <c:pt idx="27">
                  <c:v>5.28</c:v>
                </c:pt>
                <c:pt idx="28">
                  <c:v>89.48</c:v>
                </c:pt>
                <c:pt idx="29">
                  <c:v>116.96</c:v>
                </c:pt>
                <c:pt idx="30">
                  <c:v>103.16</c:v>
                </c:pt>
                <c:pt idx="31">
                  <c:v>112.2</c:v>
                </c:pt>
                <c:pt idx="32">
                  <c:v>130.96</c:v>
                </c:pt>
                <c:pt idx="33">
                  <c:v>124.61</c:v>
                </c:pt>
                <c:pt idx="34">
                  <c:v>63.07</c:v>
                </c:pt>
                <c:pt idx="35">
                  <c:v>79.930000000000007</c:v>
                </c:pt>
                <c:pt idx="36">
                  <c:v>84.87</c:v>
                </c:pt>
                <c:pt idx="37">
                  <c:v>105.3</c:v>
                </c:pt>
                <c:pt idx="38">
                  <c:v>114.29</c:v>
                </c:pt>
                <c:pt idx="39">
                  <c:v>123.22</c:v>
                </c:pt>
                <c:pt idx="40">
                  <c:v>121.56</c:v>
                </c:pt>
                <c:pt idx="41">
                  <c:v>114.61</c:v>
                </c:pt>
                <c:pt idx="42">
                  <c:v>118.77</c:v>
                </c:pt>
                <c:pt idx="43">
                  <c:v>116.71</c:v>
                </c:pt>
                <c:pt idx="44">
                  <c:v>105.05</c:v>
                </c:pt>
                <c:pt idx="45">
                  <c:v>125</c:v>
                </c:pt>
                <c:pt idx="46">
                  <c:v>143.38</c:v>
                </c:pt>
                <c:pt idx="47">
                  <c:v>158.84</c:v>
                </c:pt>
                <c:pt idx="48">
                  <c:v>93.41</c:v>
                </c:pt>
                <c:pt idx="49">
                  <c:v>97.06</c:v>
                </c:pt>
                <c:pt idx="50">
                  <c:v>102.07</c:v>
                </c:pt>
                <c:pt idx="51">
                  <c:v>97.84</c:v>
                </c:pt>
                <c:pt idx="52">
                  <c:v>33.630000000000003</c:v>
                </c:pt>
                <c:pt idx="53">
                  <c:v>12.94</c:v>
                </c:pt>
                <c:pt idx="54">
                  <c:v>-16.059999999999999</c:v>
                </c:pt>
                <c:pt idx="55">
                  <c:v>-5.31</c:v>
                </c:pt>
                <c:pt idx="56">
                  <c:v>-1.29</c:v>
                </c:pt>
                <c:pt idx="57">
                  <c:v>21.42</c:v>
                </c:pt>
                <c:pt idx="58">
                  <c:v>38.08</c:v>
                </c:pt>
                <c:pt idx="59">
                  <c:v>35.4</c:v>
                </c:pt>
                <c:pt idx="60">
                  <c:v>62.23</c:v>
                </c:pt>
                <c:pt idx="61">
                  <c:v>74.14</c:v>
                </c:pt>
                <c:pt idx="62">
                  <c:v>67.23</c:v>
                </c:pt>
                <c:pt idx="63">
                  <c:v>68.67</c:v>
                </c:pt>
                <c:pt idx="64">
                  <c:v>67.819999999999993</c:v>
                </c:pt>
                <c:pt idx="65">
                  <c:v>63.28</c:v>
                </c:pt>
                <c:pt idx="66">
                  <c:v>58.56</c:v>
                </c:pt>
                <c:pt idx="67">
                  <c:v>45.84</c:v>
                </c:pt>
                <c:pt idx="68">
                  <c:v>48.71</c:v>
                </c:pt>
                <c:pt idx="69">
                  <c:v>56.19</c:v>
                </c:pt>
                <c:pt idx="70">
                  <c:v>67.78</c:v>
                </c:pt>
                <c:pt idx="71">
                  <c:v>77.959999999999994</c:v>
                </c:pt>
                <c:pt idx="72">
                  <c:v>73.41</c:v>
                </c:pt>
                <c:pt idx="73">
                  <c:v>78.45</c:v>
                </c:pt>
                <c:pt idx="74">
                  <c:v>80.709999999999994</c:v>
                </c:pt>
                <c:pt idx="75">
                  <c:v>76.47</c:v>
                </c:pt>
                <c:pt idx="76">
                  <c:v>75.069999999999993</c:v>
                </c:pt>
                <c:pt idx="77">
                  <c:v>63.84</c:v>
                </c:pt>
                <c:pt idx="78">
                  <c:v>46.35</c:v>
                </c:pt>
                <c:pt idx="79">
                  <c:v>40.9</c:v>
                </c:pt>
                <c:pt idx="80">
                  <c:v>51.86</c:v>
                </c:pt>
                <c:pt idx="81">
                  <c:v>42.79</c:v>
                </c:pt>
                <c:pt idx="82">
                  <c:v>-10.49</c:v>
                </c:pt>
                <c:pt idx="83">
                  <c:v>-39.130000000000003</c:v>
                </c:pt>
                <c:pt idx="84">
                  <c:v>-47.88</c:v>
                </c:pt>
                <c:pt idx="85">
                  <c:v>-48.3</c:v>
                </c:pt>
                <c:pt idx="86">
                  <c:v>-18.53</c:v>
                </c:pt>
                <c:pt idx="87">
                  <c:v>-23.89</c:v>
                </c:pt>
                <c:pt idx="88">
                  <c:v>-39.549999999999997</c:v>
                </c:pt>
                <c:pt idx="89">
                  <c:v>-37.770000000000003</c:v>
                </c:pt>
                <c:pt idx="90">
                  <c:v>-24.33</c:v>
                </c:pt>
                <c:pt idx="91">
                  <c:v>-24.36</c:v>
                </c:pt>
                <c:pt idx="92">
                  <c:v>-22.55</c:v>
                </c:pt>
                <c:pt idx="93">
                  <c:v>-3.61</c:v>
                </c:pt>
                <c:pt idx="94">
                  <c:v>-1.0900000000000001</c:v>
                </c:pt>
                <c:pt idx="95">
                  <c:v>1.59</c:v>
                </c:pt>
                <c:pt idx="96">
                  <c:v>4.68</c:v>
                </c:pt>
                <c:pt idx="97">
                  <c:v>2.66</c:v>
                </c:pt>
                <c:pt idx="98">
                  <c:v>15.07</c:v>
                </c:pt>
                <c:pt idx="99">
                  <c:v>18.32</c:v>
                </c:pt>
                <c:pt idx="100">
                  <c:v>30.61</c:v>
                </c:pt>
                <c:pt idx="101">
                  <c:v>47.59</c:v>
                </c:pt>
                <c:pt idx="102">
                  <c:v>43.16</c:v>
                </c:pt>
                <c:pt idx="103">
                  <c:v>37.28</c:v>
                </c:pt>
                <c:pt idx="104">
                  <c:v>44.87</c:v>
                </c:pt>
                <c:pt idx="105">
                  <c:v>27.6</c:v>
                </c:pt>
                <c:pt idx="106">
                  <c:v>11.65</c:v>
                </c:pt>
                <c:pt idx="107">
                  <c:v>5.96</c:v>
                </c:pt>
                <c:pt idx="108">
                  <c:v>12.54</c:v>
                </c:pt>
                <c:pt idx="109">
                  <c:v>14.16</c:v>
                </c:pt>
                <c:pt idx="110">
                  <c:v>24.79</c:v>
                </c:pt>
                <c:pt idx="111">
                  <c:v>9.92</c:v>
                </c:pt>
                <c:pt idx="112">
                  <c:v>9.74</c:v>
                </c:pt>
                <c:pt idx="113">
                  <c:v>19.34</c:v>
                </c:pt>
                <c:pt idx="114">
                  <c:v>42.12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Pool!$S$2</c:f>
              <c:strCache>
                <c:ptCount val="1"/>
                <c:pt idx="0">
                  <c:v>FGU6</c:v>
                </c:pt>
              </c:strCache>
            </c:strRef>
          </c:tx>
          <c:marker>
            <c:symbol val="none"/>
          </c:marker>
          <c:cat>
            <c:numRef>
              <c:f>Pool!$P$3:$P$117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Pool!$S$3:$S$117</c:f>
              <c:numCache>
                <c:formatCode>General</c:formatCode>
                <c:ptCount val="115"/>
                <c:pt idx="37">
                  <c:v>0</c:v>
                </c:pt>
                <c:pt idx="38">
                  <c:v>-33.71</c:v>
                </c:pt>
                <c:pt idx="39">
                  <c:v>-26.66</c:v>
                </c:pt>
                <c:pt idx="40">
                  <c:v>-22.9</c:v>
                </c:pt>
                <c:pt idx="41">
                  <c:v>-30.56</c:v>
                </c:pt>
                <c:pt idx="42">
                  <c:v>-25.9</c:v>
                </c:pt>
                <c:pt idx="43">
                  <c:v>-24.83</c:v>
                </c:pt>
                <c:pt idx="44">
                  <c:v>-91.91</c:v>
                </c:pt>
                <c:pt idx="45">
                  <c:v>-59.95</c:v>
                </c:pt>
                <c:pt idx="46">
                  <c:v>-33.700000000000003</c:v>
                </c:pt>
                <c:pt idx="47">
                  <c:v>-13.8</c:v>
                </c:pt>
                <c:pt idx="48">
                  <c:v>1.62</c:v>
                </c:pt>
                <c:pt idx="49">
                  <c:v>9.49</c:v>
                </c:pt>
                <c:pt idx="50">
                  <c:v>17.89</c:v>
                </c:pt>
                <c:pt idx="51">
                  <c:v>9.59</c:v>
                </c:pt>
                <c:pt idx="52">
                  <c:v>-32.6</c:v>
                </c:pt>
                <c:pt idx="53">
                  <c:v>-41.2</c:v>
                </c:pt>
                <c:pt idx="54">
                  <c:v>-62.02</c:v>
                </c:pt>
                <c:pt idx="55">
                  <c:v>-52.35</c:v>
                </c:pt>
                <c:pt idx="56">
                  <c:v>-51.22</c:v>
                </c:pt>
                <c:pt idx="57">
                  <c:v>-31.37</c:v>
                </c:pt>
                <c:pt idx="58">
                  <c:v>-18.09</c:v>
                </c:pt>
                <c:pt idx="59">
                  <c:v>7.07</c:v>
                </c:pt>
                <c:pt idx="60">
                  <c:v>32.380000000000003</c:v>
                </c:pt>
                <c:pt idx="61">
                  <c:v>48.27</c:v>
                </c:pt>
                <c:pt idx="62">
                  <c:v>44.06</c:v>
                </c:pt>
                <c:pt idx="63">
                  <c:v>50.85</c:v>
                </c:pt>
                <c:pt idx="64">
                  <c:v>53.36</c:v>
                </c:pt>
                <c:pt idx="65">
                  <c:v>50.59</c:v>
                </c:pt>
                <c:pt idx="66">
                  <c:v>22.4</c:v>
                </c:pt>
                <c:pt idx="67">
                  <c:v>8.06</c:v>
                </c:pt>
                <c:pt idx="68">
                  <c:v>9.33</c:v>
                </c:pt>
                <c:pt idx="69">
                  <c:v>15.52</c:v>
                </c:pt>
                <c:pt idx="70">
                  <c:v>22.86</c:v>
                </c:pt>
                <c:pt idx="71">
                  <c:v>29.54</c:v>
                </c:pt>
                <c:pt idx="72">
                  <c:v>22.1</c:v>
                </c:pt>
                <c:pt idx="73">
                  <c:v>28.54</c:v>
                </c:pt>
                <c:pt idx="74">
                  <c:v>34.75</c:v>
                </c:pt>
                <c:pt idx="75">
                  <c:v>32.94</c:v>
                </c:pt>
                <c:pt idx="76">
                  <c:v>30.87</c:v>
                </c:pt>
                <c:pt idx="77">
                  <c:v>20.74</c:v>
                </c:pt>
                <c:pt idx="78">
                  <c:v>3.45</c:v>
                </c:pt>
                <c:pt idx="79">
                  <c:v>-1.68</c:v>
                </c:pt>
                <c:pt idx="80">
                  <c:v>8.39</c:v>
                </c:pt>
                <c:pt idx="81">
                  <c:v>8.8000000000000007</c:v>
                </c:pt>
                <c:pt idx="82">
                  <c:v>-38.479999999999997</c:v>
                </c:pt>
                <c:pt idx="83">
                  <c:v>-81.790000000000006</c:v>
                </c:pt>
                <c:pt idx="84">
                  <c:v>-81.38</c:v>
                </c:pt>
                <c:pt idx="85">
                  <c:v>-83.16</c:v>
                </c:pt>
                <c:pt idx="86">
                  <c:v>-52.15</c:v>
                </c:pt>
                <c:pt idx="87">
                  <c:v>-59.56</c:v>
                </c:pt>
                <c:pt idx="88">
                  <c:v>-75.19</c:v>
                </c:pt>
                <c:pt idx="89">
                  <c:v>-72.22</c:v>
                </c:pt>
                <c:pt idx="90">
                  <c:v>-56.23</c:v>
                </c:pt>
                <c:pt idx="91">
                  <c:v>-49.59</c:v>
                </c:pt>
                <c:pt idx="92">
                  <c:v>-34.99</c:v>
                </c:pt>
                <c:pt idx="93">
                  <c:v>-2.58</c:v>
                </c:pt>
                <c:pt idx="94">
                  <c:v>6.28</c:v>
                </c:pt>
                <c:pt idx="95">
                  <c:v>11.51</c:v>
                </c:pt>
                <c:pt idx="96">
                  <c:v>19.5</c:v>
                </c:pt>
                <c:pt idx="97">
                  <c:v>17.489999999999998</c:v>
                </c:pt>
                <c:pt idx="98">
                  <c:v>30.93</c:v>
                </c:pt>
                <c:pt idx="99">
                  <c:v>34.74</c:v>
                </c:pt>
                <c:pt idx="100">
                  <c:v>66.040000000000006</c:v>
                </c:pt>
                <c:pt idx="101">
                  <c:v>85.58</c:v>
                </c:pt>
                <c:pt idx="102">
                  <c:v>84.11</c:v>
                </c:pt>
                <c:pt idx="103">
                  <c:v>87.18</c:v>
                </c:pt>
                <c:pt idx="104">
                  <c:v>105.05</c:v>
                </c:pt>
                <c:pt idx="105">
                  <c:v>95.68</c:v>
                </c:pt>
                <c:pt idx="106">
                  <c:v>84.44</c:v>
                </c:pt>
                <c:pt idx="107">
                  <c:v>82.64</c:v>
                </c:pt>
                <c:pt idx="108">
                  <c:v>105.32</c:v>
                </c:pt>
                <c:pt idx="109">
                  <c:v>107.74</c:v>
                </c:pt>
                <c:pt idx="110">
                  <c:v>117.33</c:v>
                </c:pt>
                <c:pt idx="111">
                  <c:v>101.87</c:v>
                </c:pt>
                <c:pt idx="112">
                  <c:v>100.98</c:v>
                </c:pt>
                <c:pt idx="113">
                  <c:v>109.05</c:v>
                </c:pt>
                <c:pt idx="114">
                  <c:v>131.31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Pool!$T$2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Pool!$P$3:$P$117</c:f>
              <c:numCache>
                <c:formatCode>m/d/yyyy</c:formatCode>
                <c:ptCount val="115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</c:numCache>
            </c:numRef>
          </c:cat>
          <c:val>
            <c:numRef>
              <c:f>Pool!$T$3:$T$117</c:f>
              <c:numCache>
                <c:formatCode>General</c:formatCode>
                <c:ptCount val="115"/>
                <c:pt idx="69">
                  <c:v>0</c:v>
                </c:pt>
                <c:pt idx="70">
                  <c:v>-6.22</c:v>
                </c:pt>
                <c:pt idx="71">
                  <c:v>1.32</c:v>
                </c:pt>
                <c:pt idx="72">
                  <c:v>-3.89</c:v>
                </c:pt>
                <c:pt idx="73">
                  <c:v>1.7</c:v>
                </c:pt>
                <c:pt idx="74">
                  <c:v>6.79</c:v>
                </c:pt>
                <c:pt idx="75">
                  <c:v>6.5</c:v>
                </c:pt>
                <c:pt idx="76">
                  <c:v>5.35</c:v>
                </c:pt>
                <c:pt idx="77">
                  <c:v>-1.75</c:v>
                </c:pt>
                <c:pt idx="78">
                  <c:v>-14.39</c:v>
                </c:pt>
                <c:pt idx="79">
                  <c:v>-18.48</c:v>
                </c:pt>
                <c:pt idx="80">
                  <c:v>-11.52</c:v>
                </c:pt>
                <c:pt idx="81">
                  <c:v>-18.2</c:v>
                </c:pt>
                <c:pt idx="82">
                  <c:v>-60.22</c:v>
                </c:pt>
                <c:pt idx="83">
                  <c:v>-107.55</c:v>
                </c:pt>
                <c:pt idx="84">
                  <c:v>-113.26</c:v>
                </c:pt>
                <c:pt idx="85">
                  <c:v>-111.54</c:v>
                </c:pt>
                <c:pt idx="86">
                  <c:v>-88.73</c:v>
                </c:pt>
                <c:pt idx="87">
                  <c:v>-90.8</c:v>
                </c:pt>
                <c:pt idx="88">
                  <c:v>-102.52</c:v>
                </c:pt>
                <c:pt idx="89">
                  <c:v>-101.28</c:v>
                </c:pt>
                <c:pt idx="90">
                  <c:v>-90.35</c:v>
                </c:pt>
                <c:pt idx="91">
                  <c:v>-86.83</c:v>
                </c:pt>
                <c:pt idx="92">
                  <c:v>-87.68</c:v>
                </c:pt>
                <c:pt idx="93">
                  <c:v>-75.430000000000007</c:v>
                </c:pt>
                <c:pt idx="94">
                  <c:v>-73.97</c:v>
                </c:pt>
                <c:pt idx="95">
                  <c:v>-72.16</c:v>
                </c:pt>
                <c:pt idx="96">
                  <c:v>-69.42</c:v>
                </c:pt>
                <c:pt idx="97">
                  <c:v>-69.98</c:v>
                </c:pt>
                <c:pt idx="98">
                  <c:v>-59.22</c:v>
                </c:pt>
                <c:pt idx="99">
                  <c:v>-53.7</c:v>
                </c:pt>
                <c:pt idx="100">
                  <c:v>-46.73</c:v>
                </c:pt>
                <c:pt idx="101">
                  <c:v>-36.32</c:v>
                </c:pt>
                <c:pt idx="102">
                  <c:v>-37.729999999999997</c:v>
                </c:pt>
                <c:pt idx="103">
                  <c:v>-40.659999999999997</c:v>
                </c:pt>
                <c:pt idx="104">
                  <c:v>-34.799999999999997</c:v>
                </c:pt>
                <c:pt idx="105">
                  <c:v>-44.13</c:v>
                </c:pt>
                <c:pt idx="106">
                  <c:v>-52.45</c:v>
                </c:pt>
                <c:pt idx="107">
                  <c:v>-55</c:v>
                </c:pt>
                <c:pt idx="108">
                  <c:v>-40.64</c:v>
                </c:pt>
                <c:pt idx="109">
                  <c:v>-39.479999999999997</c:v>
                </c:pt>
                <c:pt idx="110">
                  <c:v>-33.39</c:v>
                </c:pt>
                <c:pt idx="111">
                  <c:v>-42.74</c:v>
                </c:pt>
                <c:pt idx="112">
                  <c:v>-43.16</c:v>
                </c:pt>
                <c:pt idx="113">
                  <c:v>-37.61</c:v>
                </c:pt>
                <c:pt idx="114">
                  <c:v>-24.95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76352"/>
        <c:axId val="133477888"/>
      </c:lineChart>
      <c:dateAx>
        <c:axId val="1334763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3477888"/>
        <c:crosses val="autoZero"/>
        <c:auto val="1"/>
        <c:lblOffset val="100"/>
        <c:baseTimeUnit val="months"/>
      </c:dateAx>
      <c:valAx>
        <c:axId val="133477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476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[Loan_pool incentive check.xlsx]Loan!PivotTable4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Loan!$J$1:$J$2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strRef>
              <c:f>Loan!$I$3:$I$120</c:f>
              <c:strCache>
                <c:ptCount val="117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</c:strCache>
            </c:strRef>
          </c:cat>
          <c:val>
            <c:numRef>
              <c:f>Loan!$J$3:$J$120</c:f>
              <c:numCache>
                <c:formatCode>General</c:formatCode>
                <c:ptCount val="117"/>
                <c:pt idx="0">
                  <c:v>#N/A</c:v>
                </c:pt>
                <c:pt idx="1">
                  <c:v>-9.49</c:v>
                </c:pt>
                <c:pt idx="2">
                  <c:v>5.19</c:v>
                </c:pt>
                <c:pt idx="3">
                  <c:v>14.45</c:v>
                </c:pt>
                <c:pt idx="4">
                  <c:v>26.64</c:v>
                </c:pt>
                <c:pt idx="5">
                  <c:v>39.08</c:v>
                </c:pt>
                <c:pt idx="6">
                  <c:v>28.86</c:v>
                </c:pt>
                <c:pt idx="7">
                  <c:v>27.71</c:v>
                </c:pt>
                <c:pt idx="8">
                  <c:v>35.049999999999997</c:v>
                </c:pt>
                <c:pt idx="9">
                  <c:v>30.77</c:v>
                </c:pt>
                <c:pt idx="10">
                  <c:v>22.26</c:v>
                </c:pt>
                <c:pt idx="11">
                  <c:v>-17.61</c:v>
                </c:pt>
                <c:pt idx="12">
                  <c:v>-20.82</c:v>
                </c:pt>
                <c:pt idx="13">
                  <c:v>-8</c:v>
                </c:pt>
                <c:pt idx="14">
                  <c:v>10.54</c:v>
                </c:pt>
                <c:pt idx="15">
                  <c:v>16.66</c:v>
                </c:pt>
                <c:pt idx="16">
                  <c:v>34.47</c:v>
                </c:pt>
                <c:pt idx="17">
                  <c:v>45.69</c:v>
                </c:pt>
                <c:pt idx="18">
                  <c:v>80.37</c:v>
                </c:pt>
                <c:pt idx="19">
                  <c:v>59.97</c:v>
                </c:pt>
                <c:pt idx="20">
                  <c:v>53.25</c:v>
                </c:pt>
                <c:pt idx="21">
                  <c:v>54.01</c:v>
                </c:pt>
                <c:pt idx="22">
                  <c:v>41.78</c:v>
                </c:pt>
                <c:pt idx="23">
                  <c:v>7.08</c:v>
                </c:pt>
                <c:pt idx="24">
                  <c:v>-4.4000000000000004</c:v>
                </c:pt>
                <c:pt idx="25">
                  <c:v>-11.52</c:v>
                </c:pt>
                <c:pt idx="26">
                  <c:v>32.380000000000003</c:v>
                </c:pt>
                <c:pt idx="27">
                  <c:v>17.63</c:v>
                </c:pt>
                <c:pt idx="28">
                  <c:v>26.48</c:v>
                </c:pt>
                <c:pt idx="29">
                  <c:v>105.51</c:v>
                </c:pt>
                <c:pt idx="30">
                  <c:v>130.11000000000001</c:v>
                </c:pt>
                <c:pt idx="31">
                  <c:v>119.34</c:v>
                </c:pt>
                <c:pt idx="32">
                  <c:v>128.62</c:v>
                </c:pt>
                <c:pt idx="33">
                  <c:v>139.12</c:v>
                </c:pt>
                <c:pt idx="34">
                  <c:v>127.91</c:v>
                </c:pt>
                <c:pt idx="35">
                  <c:v>65.14</c:v>
                </c:pt>
                <c:pt idx="36">
                  <c:v>76.569999999999993</c:v>
                </c:pt>
                <c:pt idx="37">
                  <c:v>74.02</c:v>
                </c:pt>
                <c:pt idx="38">
                  <c:v>84.36</c:v>
                </c:pt>
                <c:pt idx="39">
                  <c:v>88.52</c:v>
                </c:pt>
                <c:pt idx="40">
                  <c:v>93.99</c:v>
                </c:pt>
                <c:pt idx="41">
                  <c:v>85.58</c:v>
                </c:pt>
                <c:pt idx="42">
                  <c:v>72.22</c:v>
                </c:pt>
                <c:pt idx="43">
                  <c:v>72.400000000000006</c:v>
                </c:pt>
                <c:pt idx="44">
                  <c:v>66.739999999999995</c:v>
                </c:pt>
                <c:pt idx="45">
                  <c:v>53.19</c:v>
                </c:pt>
                <c:pt idx="46">
                  <c:v>71.86</c:v>
                </c:pt>
                <c:pt idx="47">
                  <c:v>86.63</c:v>
                </c:pt>
                <c:pt idx="48">
                  <c:v>97.19</c:v>
                </c:pt>
                <c:pt idx="49">
                  <c:v>107.29</c:v>
                </c:pt>
                <c:pt idx="50">
                  <c:v>110.72</c:v>
                </c:pt>
                <c:pt idx="51">
                  <c:v>116.6</c:v>
                </c:pt>
                <c:pt idx="52">
                  <c:v>103.83</c:v>
                </c:pt>
                <c:pt idx="53">
                  <c:v>58.93</c:v>
                </c:pt>
                <c:pt idx="54">
                  <c:v>48.28</c:v>
                </c:pt>
                <c:pt idx="55">
                  <c:v>25.27</c:v>
                </c:pt>
                <c:pt idx="56">
                  <c:v>36.270000000000003</c:v>
                </c:pt>
                <c:pt idx="57">
                  <c:v>36.04</c:v>
                </c:pt>
                <c:pt idx="58">
                  <c:v>55.69</c:v>
                </c:pt>
                <c:pt idx="59">
                  <c:v>67.81</c:v>
                </c:pt>
                <c:pt idx="60">
                  <c:v>64.17</c:v>
                </c:pt>
                <c:pt idx="61">
                  <c:v>91.86</c:v>
                </c:pt>
                <c:pt idx="62">
                  <c:v>108.11</c:v>
                </c:pt>
                <c:pt idx="63">
                  <c:v>103.99</c:v>
                </c:pt>
                <c:pt idx="64">
                  <c:v>111.19</c:v>
                </c:pt>
                <c:pt idx="65">
                  <c:v>113.67</c:v>
                </c:pt>
                <c:pt idx="66">
                  <c:v>113.67</c:v>
                </c:pt>
                <c:pt idx="67">
                  <c:v>111.5</c:v>
                </c:pt>
                <c:pt idx="68">
                  <c:v>104.89</c:v>
                </c:pt>
                <c:pt idx="69">
                  <c:v>112.02</c:v>
                </c:pt>
                <c:pt idx="70">
                  <c:v>122.47</c:v>
                </c:pt>
                <c:pt idx="71">
                  <c:v>133.13999999999999</c:v>
                </c:pt>
                <c:pt idx="72">
                  <c:v>142.72999999999999</c:v>
                </c:pt>
                <c:pt idx="73">
                  <c:v>136.24</c:v>
                </c:pt>
                <c:pt idx="74">
                  <c:v>143.47999999999999</c:v>
                </c:pt>
                <c:pt idx="75">
                  <c:v>148.57</c:v>
                </c:pt>
                <c:pt idx="76">
                  <c:v>145.58000000000001</c:v>
                </c:pt>
                <c:pt idx="77">
                  <c:v>143.32</c:v>
                </c:pt>
                <c:pt idx="78">
                  <c:v>132.08000000000001</c:v>
                </c:pt>
                <c:pt idx="79">
                  <c:v>113.38</c:v>
                </c:pt>
                <c:pt idx="80">
                  <c:v>107.54</c:v>
                </c:pt>
                <c:pt idx="81">
                  <c:v>116.22</c:v>
                </c:pt>
                <c:pt idx="82">
                  <c:v>106.16</c:v>
                </c:pt>
                <c:pt idx="83">
                  <c:v>47.88</c:v>
                </c:pt>
                <c:pt idx="84">
                  <c:v>13.92</c:v>
                </c:pt>
                <c:pt idx="85">
                  <c:v>1.77</c:v>
                </c:pt>
                <c:pt idx="86">
                  <c:v>-2.34</c:v>
                </c:pt>
                <c:pt idx="87">
                  <c:v>25.9</c:v>
                </c:pt>
                <c:pt idx="88">
                  <c:v>15.29</c:v>
                </c:pt>
                <c:pt idx="89">
                  <c:v>-3.95</c:v>
                </c:pt>
                <c:pt idx="90">
                  <c:v>-4.1100000000000003</c:v>
                </c:pt>
                <c:pt idx="91">
                  <c:v>8.67</c:v>
                </c:pt>
                <c:pt idx="92">
                  <c:v>7.98</c:v>
                </c:pt>
                <c:pt idx="93">
                  <c:v>9.5299999999999994</c:v>
                </c:pt>
                <c:pt idx="94">
                  <c:v>28.48</c:v>
                </c:pt>
                <c:pt idx="95">
                  <c:v>30.05</c:v>
                </c:pt>
                <c:pt idx="96">
                  <c:v>31.7</c:v>
                </c:pt>
                <c:pt idx="97">
                  <c:v>33.200000000000003</c:v>
                </c:pt>
                <c:pt idx="98">
                  <c:v>29.28</c:v>
                </c:pt>
                <c:pt idx="99">
                  <c:v>41.25</c:v>
                </c:pt>
                <c:pt idx="100">
                  <c:v>43.49</c:v>
                </c:pt>
                <c:pt idx="101">
                  <c:v>58.26</c:v>
                </c:pt>
                <c:pt idx="102">
                  <c:v>75.28</c:v>
                </c:pt>
                <c:pt idx="103">
                  <c:v>70.33</c:v>
                </c:pt>
                <c:pt idx="104">
                  <c:v>65.55</c:v>
                </c:pt>
                <c:pt idx="105">
                  <c:v>74.22</c:v>
                </c:pt>
                <c:pt idx="106">
                  <c:v>56.75</c:v>
                </c:pt>
                <c:pt idx="107">
                  <c:v>40.590000000000003</c:v>
                </c:pt>
                <c:pt idx="108">
                  <c:v>34.39</c:v>
                </c:pt>
                <c:pt idx="109">
                  <c:v>48.51</c:v>
                </c:pt>
                <c:pt idx="110">
                  <c:v>49.28</c:v>
                </c:pt>
                <c:pt idx="111">
                  <c:v>58.68</c:v>
                </c:pt>
                <c:pt idx="112">
                  <c:v>41.08</c:v>
                </c:pt>
                <c:pt idx="113">
                  <c:v>38.880000000000003</c:v>
                </c:pt>
                <c:pt idx="114">
                  <c:v>47.33</c:v>
                </c:pt>
                <c:pt idx="115">
                  <c:v>69.34</c:v>
                </c:pt>
                <c:pt idx="116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Loan!$K$1:$K$2</c:f>
              <c:strCache>
                <c:ptCount val="1"/>
                <c:pt idx="0">
                  <c:v>FGT6</c:v>
                </c:pt>
              </c:strCache>
            </c:strRef>
          </c:tx>
          <c:marker>
            <c:symbol val="none"/>
          </c:marker>
          <c:cat>
            <c:strRef>
              <c:f>Loan!$I$3:$I$120</c:f>
              <c:strCache>
                <c:ptCount val="117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</c:strCache>
            </c:strRef>
          </c:cat>
          <c:val>
            <c:numRef>
              <c:f>Loan!$K$3:$K$120</c:f>
              <c:numCache>
                <c:formatCode>General</c:formatCode>
                <c:ptCount val="117"/>
                <c:pt idx="22">
                  <c:v>#N/A</c:v>
                </c:pt>
                <c:pt idx="23">
                  <c:v>-47.07</c:v>
                </c:pt>
                <c:pt idx="24">
                  <c:v>-62.5</c:v>
                </c:pt>
                <c:pt idx="25">
                  <c:v>-68.290000000000006</c:v>
                </c:pt>
                <c:pt idx="26">
                  <c:v>-10.47</c:v>
                </c:pt>
                <c:pt idx="27">
                  <c:v>-8.48</c:v>
                </c:pt>
                <c:pt idx="28">
                  <c:v>9.61</c:v>
                </c:pt>
                <c:pt idx="29">
                  <c:v>93.48</c:v>
                </c:pt>
                <c:pt idx="30">
                  <c:v>120.31</c:v>
                </c:pt>
                <c:pt idx="31">
                  <c:v>106.78</c:v>
                </c:pt>
                <c:pt idx="32">
                  <c:v>115.6</c:v>
                </c:pt>
                <c:pt idx="33">
                  <c:v>134.25</c:v>
                </c:pt>
                <c:pt idx="34">
                  <c:v>127.89</c:v>
                </c:pt>
                <c:pt idx="35">
                  <c:v>66.45</c:v>
                </c:pt>
                <c:pt idx="36">
                  <c:v>83.19</c:v>
                </c:pt>
                <c:pt idx="37">
                  <c:v>88.46</c:v>
                </c:pt>
                <c:pt idx="38">
                  <c:v>108.57</c:v>
                </c:pt>
                <c:pt idx="39">
                  <c:v>117.34</c:v>
                </c:pt>
                <c:pt idx="40">
                  <c:v>126.25</c:v>
                </c:pt>
                <c:pt idx="41">
                  <c:v>124.93</c:v>
                </c:pt>
                <c:pt idx="42">
                  <c:v>118.1</c:v>
                </c:pt>
                <c:pt idx="43">
                  <c:v>122.45</c:v>
                </c:pt>
                <c:pt idx="44">
                  <c:v>120.63</c:v>
                </c:pt>
                <c:pt idx="45">
                  <c:v>108.79</c:v>
                </c:pt>
                <c:pt idx="46">
                  <c:v>128.44</c:v>
                </c:pt>
                <c:pt idx="47">
                  <c:v>146.66</c:v>
                </c:pt>
                <c:pt idx="48">
                  <c:v>162.15</c:v>
                </c:pt>
                <c:pt idx="49">
                  <c:v>176.77</c:v>
                </c:pt>
                <c:pt idx="50">
                  <c:v>184.64</c:v>
                </c:pt>
                <c:pt idx="51">
                  <c:v>195.3</c:v>
                </c:pt>
                <c:pt idx="52">
                  <c:v>186.83</c:v>
                </c:pt>
                <c:pt idx="53">
                  <c:v>31.12</c:v>
                </c:pt>
                <c:pt idx="54">
                  <c:v>0.62</c:v>
                </c:pt>
                <c:pt idx="55">
                  <c:v>-36.85</c:v>
                </c:pt>
                <c:pt idx="56">
                  <c:v>-22.39</c:v>
                </c:pt>
                <c:pt idx="57">
                  <c:v>-15.35</c:v>
                </c:pt>
                <c:pt idx="58">
                  <c:v>10.83</c:v>
                </c:pt>
                <c:pt idx="59">
                  <c:v>28.54</c:v>
                </c:pt>
                <c:pt idx="60">
                  <c:v>26.45</c:v>
                </c:pt>
                <c:pt idx="61">
                  <c:v>54.74</c:v>
                </c:pt>
                <c:pt idx="62">
                  <c:v>67.22</c:v>
                </c:pt>
                <c:pt idx="63">
                  <c:v>56.26</c:v>
                </c:pt>
                <c:pt idx="64">
                  <c:v>56.42</c:v>
                </c:pt>
                <c:pt idx="65">
                  <c:v>60.24</c:v>
                </c:pt>
                <c:pt idx="66">
                  <c:v>56.16</c:v>
                </c:pt>
                <c:pt idx="67">
                  <c:v>52.45</c:v>
                </c:pt>
                <c:pt idx="68">
                  <c:v>42.05</c:v>
                </c:pt>
                <c:pt idx="69">
                  <c:v>46.93</c:v>
                </c:pt>
                <c:pt idx="70">
                  <c:v>55.82</c:v>
                </c:pt>
                <c:pt idx="71">
                  <c:v>68.12</c:v>
                </c:pt>
                <c:pt idx="72">
                  <c:v>79.099999999999994</c:v>
                </c:pt>
                <c:pt idx="73">
                  <c:v>74.17</c:v>
                </c:pt>
                <c:pt idx="74">
                  <c:v>78.78</c:v>
                </c:pt>
                <c:pt idx="75">
                  <c:v>81.98</c:v>
                </c:pt>
                <c:pt idx="76">
                  <c:v>77.37</c:v>
                </c:pt>
                <c:pt idx="77">
                  <c:v>75.87</c:v>
                </c:pt>
                <c:pt idx="78">
                  <c:v>63.62</c:v>
                </c:pt>
                <c:pt idx="79">
                  <c:v>45.14</c:v>
                </c:pt>
                <c:pt idx="80">
                  <c:v>40.369999999999997</c:v>
                </c:pt>
                <c:pt idx="81">
                  <c:v>51.84</c:v>
                </c:pt>
                <c:pt idx="82">
                  <c:v>42.91</c:v>
                </c:pt>
                <c:pt idx="83">
                  <c:v>-13.33</c:v>
                </c:pt>
                <c:pt idx="84">
                  <c:v>-44.08</c:v>
                </c:pt>
                <c:pt idx="85">
                  <c:v>-53.29</c:v>
                </c:pt>
                <c:pt idx="86">
                  <c:v>-53.92</c:v>
                </c:pt>
                <c:pt idx="87">
                  <c:v>-22.64</c:v>
                </c:pt>
                <c:pt idx="88">
                  <c:v>-29.69</c:v>
                </c:pt>
                <c:pt idx="89">
                  <c:v>-46.05</c:v>
                </c:pt>
                <c:pt idx="90">
                  <c:v>-44.17</c:v>
                </c:pt>
                <c:pt idx="91">
                  <c:v>-30.05</c:v>
                </c:pt>
                <c:pt idx="92">
                  <c:v>-29.2</c:v>
                </c:pt>
                <c:pt idx="93">
                  <c:v>-27.26</c:v>
                </c:pt>
                <c:pt idx="94">
                  <c:v>-6.97</c:v>
                </c:pt>
                <c:pt idx="95">
                  <c:v>-4.28</c:v>
                </c:pt>
                <c:pt idx="96">
                  <c:v>-1.5</c:v>
                </c:pt>
                <c:pt idx="97">
                  <c:v>1.6</c:v>
                </c:pt>
                <c:pt idx="98">
                  <c:v>-0.5</c:v>
                </c:pt>
                <c:pt idx="99">
                  <c:v>12.4</c:v>
                </c:pt>
                <c:pt idx="100">
                  <c:v>15.62</c:v>
                </c:pt>
                <c:pt idx="101">
                  <c:v>29.39</c:v>
                </c:pt>
                <c:pt idx="102">
                  <c:v>47.34</c:v>
                </c:pt>
                <c:pt idx="103">
                  <c:v>42.62</c:v>
                </c:pt>
                <c:pt idx="104">
                  <c:v>36.86</c:v>
                </c:pt>
                <c:pt idx="105">
                  <c:v>45.06</c:v>
                </c:pt>
                <c:pt idx="106">
                  <c:v>27.09</c:v>
                </c:pt>
                <c:pt idx="107">
                  <c:v>10.41</c:v>
                </c:pt>
                <c:pt idx="108">
                  <c:v>4.38</c:v>
                </c:pt>
                <c:pt idx="109">
                  <c:v>12.37</c:v>
                </c:pt>
                <c:pt idx="110">
                  <c:v>13.88</c:v>
                </c:pt>
                <c:pt idx="111">
                  <c:v>24.83</c:v>
                </c:pt>
                <c:pt idx="112">
                  <c:v>9.31</c:v>
                </c:pt>
                <c:pt idx="113">
                  <c:v>9.2100000000000009</c:v>
                </c:pt>
                <c:pt idx="114">
                  <c:v>19.14</c:v>
                </c:pt>
                <c:pt idx="115">
                  <c:v>42.93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Loan!$L$1:$L$2</c:f>
              <c:strCache>
                <c:ptCount val="1"/>
                <c:pt idx="0">
                  <c:v>FGU6</c:v>
                </c:pt>
              </c:strCache>
            </c:strRef>
          </c:tx>
          <c:marker>
            <c:symbol val="none"/>
          </c:marker>
          <c:cat>
            <c:strRef>
              <c:f>Loan!$I$3:$I$120</c:f>
              <c:strCache>
                <c:ptCount val="117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</c:strCache>
            </c:strRef>
          </c:cat>
          <c:val>
            <c:numRef>
              <c:f>Loan!$L$3:$L$120</c:f>
              <c:numCache>
                <c:formatCode>General</c:formatCode>
                <c:ptCount val="117"/>
                <c:pt idx="39">
                  <c:v>#N/A</c:v>
                </c:pt>
                <c:pt idx="40">
                  <c:v>-70.14</c:v>
                </c:pt>
                <c:pt idx="41">
                  <c:v>-104.85</c:v>
                </c:pt>
                <c:pt idx="42">
                  <c:v>-100.79</c:v>
                </c:pt>
                <c:pt idx="43">
                  <c:v>-95.82</c:v>
                </c:pt>
                <c:pt idx="44">
                  <c:v>-94.49</c:v>
                </c:pt>
                <c:pt idx="45">
                  <c:v>-162.93</c:v>
                </c:pt>
                <c:pt idx="46">
                  <c:v>-142.44</c:v>
                </c:pt>
                <c:pt idx="47">
                  <c:v>-126.27</c:v>
                </c:pt>
                <c:pt idx="48">
                  <c:v>-112.25</c:v>
                </c:pt>
                <c:pt idx="49">
                  <c:v>-101.15</c:v>
                </c:pt>
                <c:pt idx="50">
                  <c:v>-100.04</c:v>
                </c:pt>
                <c:pt idx="51">
                  <c:v>-92.6</c:v>
                </c:pt>
                <c:pt idx="52">
                  <c:v>-102.74</c:v>
                </c:pt>
                <c:pt idx="53">
                  <c:v>-152.62</c:v>
                </c:pt>
                <c:pt idx="54">
                  <c:v>-163.32</c:v>
                </c:pt>
                <c:pt idx="55">
                  <c:v>-188.45</c:v>
                </c:pt>
                <c:pt idx="56">
                  <c:v>-180.13</c:v>
                </c:pt>
                <c:pt idx="57">
                  <c:v>-179.89</c:v>
                </c:pt>
                <c:pt idx="58">
                  <c:v>-159.84</c:v>
                </c:pt>
                <c:pt idx="59">
                  <c:v>-146.94999999999999</c:v>
                </c:pt>
                <c:pt idx="60">
                  <c:v>-121.32</c:v>
                </c:pt>
                <c:pt idx="61">
                  <c:v>-93.78</c:v>
                </c:pt>
                <c:pt idx="62">
                  <c:v>-76.19</c:v>
                </c:pt>
                <c:pt idx="63">
                  <c:v>-79.63</c:v>
                </c:pt>
                <c:pt idx="64">
                  <c:v>-71.55</c:v>
                </c:pt>
                <c:pt idx="65">
                  <c:v>-68.739999999999995</c:v>
                </c:pt>
                <c:pt idx="66">
                  <c:v>-70.040000000000006</c:v>
                </c:pt>
                <c:pt idx="67">
                  <c:v>-97.74</c:v>
                </c:pt>
                <c:pt idx="68">
                  <c:v>-114.6</c:v>
                </c:pt>
                <c:pt idx="69">
                  <c:v>-113.14</c:v>
                </c:pt>
                <c:pt idx="70">
                  <c:v>-106.89</c:v>
                </c:pt>
                <c:pt idx="71">
                  <c:v>-100.14</c:v>
                </c:pt>
                <c:pt idx="72">
                  <c:v>-93.33</c:v>
                </c:pt>
                <c:pt idx="73">
                  <c:v>-100.5</c:v>
                </c:pt>
                <c:pt idx="74">
                  <c:v>-93.66</c:v>
                </c:pt>
                <c:pt idx="75">
                  <c:v>-86.74</c:v>
                </c:pt>
                <c:pt idx="76">
                  <c:v>-87.98</c:v>
                </c:pt>
                <c:pt idx="77">
                  <c:v>-88.01</c:v>
                </c:pt>
                <c:pt idx="78">
                  <c:v>-96.21</c:v>
                </c:pt>
                <c:pt idx="79">
                  <c:v>-111.25</c:v>
                </c:pt>
                <c:pt idx="80">
                  <c:v>-110.29</c:v>
                </c:pt>
                <c:pt idx="81">
                  <c:v>-96.53</c:v>
                </c:pt>
                <c:pt idx="82">
                  <c:v>-98.39</c:v>
                </c:pt>
                <c:pt idx="83">
                  <c:v>-149.46</c:v>
                </c:pt>
                <c:pt idx="84">
                  <c:v>-198.69</c:v>
                </c:pt>
                <c:pt idx="85">
                  <c:v>-203.16</c:v>
                </c:pt>
                <c:pt idx="86">
                  <c:v>-204.88</c:v>
                </c:pt>
                <c:pt idx="87">
                  <c:v>-174.14</c:v>
                </c:pt>
                <c:pt idx="88">
                  <c:v>-181.32</c:v>
                </c:pt>
                <c:pt idx="89">
                  <c:v>-197.34</c:v>
                </c:pt>
                <c:pt idx="90">
                  <c:v>-194.34</c:v>
                </c:pt>
                <c:pt idx="91">
                  <c:v>-178.49</c:v>
                </c:pt>
                <c:pt idx="92">
                  <c:v>-175.94</c:v>
                </c:pt>
                <c:pt idx="93">
                  <c:v>-168.61</c:v>
                </c:pt>
                <c:pt idx="94">
                  <c:v>-142.38</c:v>
                </c:pt>
                <c:pt idx="95">
                  <c:v>-137.29</c:v>
                </c:pt>
                <c:pt idx="96">
                  <c:v>-131.99</c:v>
                </c:pt>
                <c:pt idx="97">
                  <c:v>-126.61</c:v>
                </c:pt>
                <c:pt idx="98">
                  <c:v>-128.75</c:v>
                </c:pt>
                <c:pt idx="99">
                  <c:v>-114.86</c:v>
                </c:pt>
                <c:pt idx="100">
                  <c:v>-110.8</c:v>
                </c:pt>
                <c:pt idx="101">
                  <c:v>-90.66</c:v>
                </c:pt>
                <c:pt idx="102">
                  <c:v>-70.87</c:v>
                </c:pt>
                <c:pt idx="103">
                  <c:v>-72.64</c:v>
                </c:pt>
                <c:pt idx="104">
                  <c:v>-68.709999999999994</c:v>
                </c:pt>
                <c:pt idx="105">
                  <c:v>-50.52</c:v>
                </c:pt>
                <c:pt idx="106">
                  <c:v>-58.89</c:v>
                </c:pt>
                <c:pt idx="107">
                  <c:v>-70.67</c:v>
                </c:pt>
                <c:pt idx="108">
                  <c:v>-72.72</c:v>
                </c:pt>
                <c:pt idx="109">
                  <c:v>-50.32</c:v>
                </c:pt>
                <c:pt idx="110">
                  <c:v>-48.43</c:v>
                </c:pt>
                <c:pt idx="111">
                  <c:v>-37.909999999999997</c:v>
                </c:pt>
                <c:pt idx="112">
                  <c:v>-54.47</c:v>
                </c:pt>
                <c:pt idx="113">
                  <c:v>-55.57</c:v>
                </c:pt>
                <c:pt idx="114">
                  <c:v>-46.14</c:v>
                </c:pt>
                <c:pt idx="115">
                  <c:v>-23.27</c:v>
                </c:pt>
                <c:pt idx="116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Loan!$M$1:$M$2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strRef>
              <c:f>Loan!$I$3:$I$120</c:f>
              <c:strCache>
                <c:ptCount val="117"/>
                <c:pt idx="0">
                  <c:v>8/1/2006</c:v>
                </c:pt>
                <c:pt idx="1">
                  <c:v>9/1/2006</c:v>
                </c:pt>
                <c:pt idx="2">
                  <c:v>10/1/2006</c:v>
                </c:pt>
                <c:pt idx="3">
                  <c:v>11/1/2006</c:v>
                </c:pt>
                <c:pt idx="4">
                  <c:v>12/1/2006</c:v>
                </c:pt>
                <c:pt idx="5">
                  <c:v>1/1/2007</c:v>
                </c:pt>
                <c:pt idx="6">
                  <c:v>2/1/2007</c:v>
                </c:pt>
                <c:pt idx="7">
                  <c:v>3/1/2007</c:v>
                </c:pt>
                <c:pt idx="8">
                  <c:v>4/1/2007</c:v>
                </c:pt>
                <c:pt idx="9">
                  <c:v>5/1/2007</c:v>
                </c:pt>
                <c:pt idx="10">
                  <c:v>6/1/2007</c:v>
                </c:pt>
                <c:pt idx="11">
                  <c:v>7/1/2007</c:v>
                </c:pt>
                <c:pt idx="12">
                  <c:v>8/1/2007</c:v>
                </c:pt>
                <c:pt idx="13">
                  <c:v>9/1/2007</c:v>
                </c:pt>
                <c:pt idx="14">
                  <c:v>10/1/2007</c:v>
                </c:pt>
                <c:pt idx="15">
                  <c:v>11/1/2007</c:v>
                </c:pt>
                <c:pt idx="16">
                  <c:v>12/1/2007</c:v>
                </c:pt>
                <c:pt idx="17">
                  <c:v>1/1/2008</c:v>
                </c:pt>
                <c:pt idx="18">
                  <c:v>2/1/2008</c:v>
                </c:pt>
                <c:pt idx="19">
                  <c:v>3/1/2008</c:v>
                </c:pt>
                <c:pt idx="20">
                  <c:v>4/1/2008</c:v>
                </c:pt>
                <c:pt idx="21">
                  <c:v>5/1/2008</c:v>
                </c:pt>
                <c:pt idx="22">
                  <c:v>6/1/2008</c:v>
                </c:pt>
                <c:pt idx="23">
                  <c:v>7/1/2008</c:v>
                </c:pt>
                <c:pt idx="24">
                  <c:v>8/1/2008</c:v>
                </c:pt>
                <c:pt idx="25">
                  <c:v>9/1/2008</c:v>
                </c:pt>
                <c:pt idx="26">
                  <c:v>10/1/2008</c:v>
                </c:pt>
                <c:pt idx="27">
                  <c:v>11/1/2008</c:v>
                </c:pt>
                <c:pt idx="28">
                  <c:v>12/1/2008</c:v>
                </c:pt>
                <c:pt idx="29">
                  <c:v>1/1/2009</c:v>
                </c:pt>
                <c:pt idx="30">
                  <c:v>2/1/2009</c:v>
                </c:pt>
                <c:pt idx="31">
                  <c:v>3/1/2009</c:v>
                </c:pt>
                <c:pt idx="32">
                  <c:v>4/1/2009</c:v>
                </c:pt>
                <c:pt idx="33">
                  <c:v>5/1/2009</c:v>
                </c:pt>
                <c:pt idx="34">
                  <c:v>6/1/2009</c:v>
                </c:pt>
                <c:pt idx="35">
                  <c:v>7/1/2009</c:v>
                </c:pt>
                <c:pt idx="36">
                  <c:v>8/1/2009</c:v>
                </c:pt>
                <c:pt idx="37">
                  <c:v>9/1/2009</c:v>
                </c:pt>
                <c:pt idx="38">
                  <c:v>10/1/2009</c:v>
                </c:pt>
                <c:pt idx="39">
                  <c:v>11/1/2009</c:v>
                </c:pt>
                <c:pt idx="40">
                  <c:v>12/1/2009</c:v>
                </c:pt>
                <c:pt idx="41">
                  <c:v>1/1/2010</c:v>
                </c:pt>
                <c:pt idx="42">
                  <c:v>2/1/2010</c:v>
                </c:pt>
                <c:pt idx="43">
                  <c:v>3/1/2010</c:v>
                </c:pt>
                <c:pt idx="44">
                  <c:v>4/1/2010</c:v>
                </c:pt>
                <c:pt idx="45">
                  <c:v>5/1/2010</c:v>
                </c:pt>
                <c:pt idx="46">
                  <c:v>6/1/2010</c:v>
                </c:pt>
                <c:pt idx="47">
                  <c:v>7/1/2010</c:v>
                </c:pt>
                <c:pt idx="48">
                  <c:v>8/1/2010</c:v>
                </c:pt>
                <c:pt idx="49">
                  <c:v>9/1/2010</c:v>
                </c:pt>
                <c:pt idx="50">
                  <c:v>10/1/2010</c:v>
                </c:pt>
                <c:pt idx="51">
                  <c:v>11/1/2010</c:v>
                </c:pt>
                <c:pt idx="52">
                  <c:v>12/1/2010</c:v>
                </c:pt>
                <c:pt idx="53">
                  <c:v>1/1/2011</c:v>
                </c:pt>
                <c:pt idx="54">
                  <c:v>2/1/2011</c:v>
                </c:pt>
                <c:pt idx="55">
                  <c:v>3/1/2011</c:v>
                </c:pt>
                <c:pt idx="56">
                  <c:v>4/1/2011</c:v>
                </c:pt>
                <c:pt idx="57">
                  <c:v>5/1/2011</c:v>
                </c:pt>
                <c:pt idx="58">
                  <c:v>6/1/2011</c:v>
                </c:pt>
                <c:pt idx="59">
                  <c:v>7/1/2011</c:v>
                </c:pt>
                <c:pt idx="60">
                  <c:v>8/1/2011</c:v>
                </c:pt>
                <c:pt idx="61">
                  <c:v>9/1/2011</c:v>
                </c:pt>
                <c:pt idx="62">
                  <c:v>10/1/2011</c:v>
                </c:pt>
                <c:pt idx="63">
                  <c:v>11/1/2011</c:v>
                </c:pt>
                <c:pt idx="64">
                  <c:v>12/1/2011</c:v>
                </c:pt>
                <c:pt idx="65">
                  <c:v>1/1/2012</c:v>
                </c:pt>
                <c:pt idx="66">
                  <c:v>2/1/2012</c:v>
                </c:pt>
                <c:pt idx="67">
                  <c:v>3/1/2012</c:v>
                </c:pt>
                <c:pt idx="68">
                  <c:v>4/1/2012</c:v>
                </c:pt>
                <c:pt idx="69">
                  <c:v>5/1/2012</c:v>
                </c:pt>
                <c:pt idx="70">
                  <c:v>6/1/2012</c:v>
                </c:pt>
                <c:pt idx="71">
                  <c:v>7/1/2012</c:v>
                </c:pt>
                <c:pt idx="72">
                  <c:v>8/1/2012</c:v>
                </c:pt>
                <c:pt idx="73">
                  <c:v>9/1/2012</c:v>
                </c:pt>
                <c:pt idx="74">
                  <c:v>10/1/2012</c:v>
                </c:pt>
                <c:pt idx="75">
                  <c:v>11/1/2012</c:v>
                </c:pt>
                <c:pt idx="76">
                  <c:v>12/1/2012</c:v>
                </c:pt>
                <c:pt idx="77">
                  <c:v>1/1/2013</c:v>
                </c:pt>
                <c:pt idx="78">
                  <c:v>2/1/2013</c:v>
                </c:pt>
                <c:pt idx="79">
                  <c:v>3/1/2013</c:v>
                </c:pt>
                <c:pt idx="80">
                  <c:v>4/1/2013</c:v>
                </c:pt>
                <c:pt idx="81">
                  <c:v>5/1/2013</c:v>
                </c:pt>
                <c:pt idx="82">
                  <c:v>6/1/2013</c:v>
                </c:pt>
                <c:pt idx="83">
                  <c:v>7/1/2013</c:v>
                </c:pt>
                <c:pt idx="84">
                  <c:v>8/1/2013</c:v>
                </c:pt>
                <c:pt idx="85">
                  <c:v>9/1/2013</c:v>
                </c:pt>
                <c:pt idx="86">
                  <c:v>10/1/2013</c:v>
                </c:pt>
                <c:pt idx="87">
                  <c:v>11/1/2013</c:v>
                </c:pt>
                <c:pt idx="88">
                  <c:v>12/1/2013</c:v>
                </c:pt>
                <c:pt idx="89">
                  <c:v>1/1/2014</c:v>
                </c:pt>
                <c:pt idx="90">
                  <c:v>2/1/2014</c:v>
                </c:pt>
                <c:pt idx="91">
                  <c:v>3/1/2014</c:v>
                </c:pt>
                <c:pt idx="92">
                  <c:v>4/1/2014</c:v>
                </c:pt>
                <c:pt idx="93">
                  <c:v>5/1/2014</c:v>
                </c:pt>
                <c:pt idx="94">
                  <c:v>6/1/2014</c:v>
                </c:pt>
                <c:pt idx="95">
                  <c:v>7/1/2014</c:v>
                </c:pt>
                <c:pt idx="96">
                  <c:v>8/1/2014</c:v>
                </c:pt>
                <c:pt idx="97">
                  <c:v>9/1/2014</c:v>
                </c:pt>
                <c:pt idx="98">
                  <c:v>10/1/2014</c:v>
                </c:pt>
                <c:pt idx="99">
                  <c:v>11/1/2014</c:v>
                </c:pt>
                <c:pt idx="100">
                  <c:v>12/1/2014</c:v>
                </c:pt>
                <c:pt idx="101">
                  <c:v>1/1/2015</c:v>
                </c:pt>
                <c:pt idx="102">
                  <c:v>2/1/2015</c:v>
                </c:pt>
                <c:pt idx="103">
                  <c:v>3/1/2015</c:v>
                </c:pt>
                <c:pt idx="104">
                  <c:v>4/1/2015</c:v>
                </c:pt>
                <c:pt idx="105">
                  <c:v>5/1/2015</c:v>
                </c:pt>
                <c:pt idx="106">
                  <c:v>6/1/2015</c:v>
                </c:pt>
                <c:pt idx="107">
                  <c:v>7/1/2015</c:v>
                </c:pt>
                <c:pt idx="108">
                  <c:v>8/1/2015</c:v>
                </c:pt>
                <c:pt idx="109">
                  <c:v>9/1/2015</c:v>
                </c:pt>
                <c:pt idx="110">
                  <c:v>10/1/2015</c:v>
                </c:pt>
                <c:pt idx="111">
                  <c:v>11/1/2015</c:v>
                </c:pt>
                <c:pt idx="112">
                  <c:v>12/1/2015</c:v>
                </c:pt>
                <c:pt idx="113">
                  <c:v>1/1/2016</c:v>
                </c:pt>
                <c:pt idx="114">
                  <c:v>2/1/2016</c:v>
                </c:pt>
                <c:pt idx="115">
                  <c:v>3/1/2016</c:v>
                </c:pt>
                <c:pt idx="116">
                  <c:v>4/1/2016</c:v>
                </c:pt>
              </c:strCache>
            </c:strRef>
          </c:cat>
          <c:val>
            <c:numRef>
              <c:f>Loan!$M$3:$M$120</c:f>
              <c:numCache>
                <c:formatCode>General</c:formatCode>
                <c:ptCount val="117"/>
                <c:pt idx="70">
                  <c:v>#N/A</c:v>
                </c:pt>
                <c:pt idx="71">
                  <c:v>-142.08000000000001</c:v>
                </c:pt>
                <c:pt idx="72">
                  <c:v>-133.24</c:v>
                </c:pt>
                <c:pt idx="73">
                  <c:v>-139.16999999999999</c:v>
                </c:pt>
                <c:pt idx="74">
                  <c:v>-131.52000000000001</c:v>
                </c:pt>
                <c:pt idx="75">
                  <c:v>-124.37</c:v>
                </c:pt>
                <c:pt idx="76">
                  <c:v>-124.62</c:v>
                </c:pt>
                <c:pt idx="77">
                  <c:v>-126.02</c:v>
                </c:pt>
                <c:pt idx="78">
                  <c:v>-135.38</c:v>
                </c:pt>
                <c:pt idx="79">
                  <c:v>-151.94</c:v>
                </c:pt>
                <c:pt idx="80">
                  <c:v>-156.63999999999999</c:v>
                </c:pt>
                <c:pt idx="81">
                  <c:v>-147.13999999999999</c:v>
                </c:pt>
                <c:pt idx="82">
                  <c:v>-155.61000000000001</c:v>
                </c:pt>
                <c:pt idx="83">
                  <c:v>-210.33</c:v>
                </c:pt>
                <c:pt idx="84">
                  <c:v>-272.77</c:v>
                </c:pt>
                <c:pt idx="85">
                  <c:v>-282.10000000000002</c:v>
                </c:pt>
                <c:pt idx="86">
                  <c:v>-283.23</c:v>
                </c:pt>
                <c:pt idx="87">
                  <c:v>-252.48</c:v>
                </c:pt>
                <c:pt idx="88">
                  <c:v>-258.12</c:v>
                </c:pt>
                <c:pt idx="89">
                  <c:v>-275.74</c:v>
                </c:pt>
                <c:pt idx="90">
                  <c:v>-274.16000000000003</c:v>
                </c:pt>
                <c:pt idx="91">
                  <c:v>-259.87</c:v>
                </c:pt>
                <c:pt idx="92">
                  <c:v>-260.83999999999997</c:v>
                </c:pt>
                <c:pt idx="93">
                  <c:v>-261.38</c:v>
                </c:pt>
                <c:pt idx="94">
                  <c:v>-241.94</c:v>
                </c:pt>
                <c:pt idx="95">
                  <c:v>-238.98</c:v>
                </c:pt>
                <c:pt idx="96">
                  <c:v>-235.68</c:v>
                </c:pt>
                <c:pt idx="97">
                  <c:v>-232.23</c:v>
                </c:pt>
                <c:pt idx="98">
                  <c:v>-234.51</c:v>
                </c:pt>
                <c:pt idx="99">
                  <c:v>-220.66</c:v>
                </c:pt>
                <c:pt idx="100">
                  <c:v>-216.59</c:v>
                </c:pt>
                <c:pt idx="101">
                  <c:v>-202.58</c:v>
                </c:pt>
                <c:pt idx="102">
                  <c:v>-183.21</c:v>
                </c:pt>
                <c:pt idx="103">
                  <c:v>-185.56</c:v>
                </c:pt>
                <c:pt idx="104">
                  <c:v>-187.73</c:v>
                </c:pt>
                <c:pt idx="105">
                  <c:v>-175.02</c:v>
                </c:pt>
                <c:pt idx="106">
                  <c:v>-187.86</c:v>
                </c:pt>
                <c:pt idx="107">
                  <c:v>-199.94</c:v>
                </c:pt>
                <c:pt idx="108">
                  <c:v>-202.18</c:v>
                </c:pt>
                <c:pt idx="109">
                  <c:v>-175.5</c:v>
                </c:pt>
                <c:pt idx="110">
                  <c:v>-172.3</c:v>
                </c:pt>
                <c:pt idx="111">
                  <c:v>-160.38</c:v>
                </c:pt>
                <c:pt idx="112">
                  <c:v>-175.65</c:v>
                </c:pt>
                <c:pt idx="113">
                  <c:v>-176.58</c:v>
                </c:pt>
                <c:pt idx="114">
                  <c:v>-166.93</c:v>
                </c:pt>
                <c:pt idx="115">
                  <c:v>-143.85</c:v>
                </c:pt>
                <c:pt idx="11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35008"/>
        <c:axId val="316686336"/>
      </c:lineChart>
      <c:catAx>
        <c:axId val="316635008"/>
        <c:scaling>
          <c:orientation val="minMax"/>
        </c:scaling>
        <c:delete val="0"/>
        <c:axPos val="b"/>
        <c:majorTickMark val="out"/>
        <c:minorTickMark val="none"/>
        <c:tickLblPos val="nextTo"/>
        <c:crossAx val="316686336"/>
        <c:crosses val="autoZero"/>
        <c:auto val="1"/>
        <c:lblAlgn val="ctr"/>
        <c:lblOffset val="100"/>
        <c:noMultiLvlLbl val="0"/>
      </c:catAx>
      <c:valAx>
        <c:axId val="316686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6635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Coventional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exam!$Y$3</c:f>
              <c:strCache>
                <c:ptCount val="1"/>
                <c:pt idx="0">
                  <c:v>Pool Level Incentive</c:v>
                </c:pt>
              </c:strCache>
            </c:strRef>
          </c:tx>
          <c:spPr>
            <a:ln w="19050">
              <a:prstDash val="sysDot"/>
            </a:ln>
          </c:spPr>
          <c:marker>
            <c:symbol val="none"/>
          </c:marker>
          <c:cat>
            <c:numRef>
              <c:f>exam!$X$4:$X$265</c:f>
              <c:numCache>
                <c:formatCode>m/d/yyyy</c:formatCode>
                <c:ptCount val="262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34486</c:v>
                </c:pt>
                <c:pt idx="4">
                  <c:v>34516</c:v>
                </c:pt>
                <c:pt idx="5">
                  <c:v>34547</c:v>
                </c:pt>
                <c:pt idx="6">
                  <c:v>34578</c:v>
                </c:pt>
                <c:pt idx="7">
                  <c:v>34608</c:v>
                </c:pt>
                <c:pt idx="8">
                  <c:v>34639</c:v>
                </c:pt>
                <c:pt idx="9">
                  <c:v>34669</c:v>
                </c:pt>
                <c:pt idx="10">
                  <c:v>34700</c:v>
                </c:pt>
                <c:pt idx="11">
                  <c:v>34731</c:v>
                </c:pt>
                <c:pt idx="12">
                  <c:v>34759</c:v>
                </c:pt>
                <c:pt idx="13">
                  <c:v>34790</c:v>
                </c:pt>
                <c:pt idx="14">
                  <c:v>34820</c:v>
                </c:pt>
                <c:pt idx="15">
                  <c:v>34851</c:v>
                </c:pt>
                <c:pt idx="16">
                  <c:v>34881</c:v>
                </c:pt>
                <c:pt idx="17">
                  <c:v>34912</c:v>
                </c:pt>
                <c:pt idx="18">
                  <c:v>34943</c:v>
                </c:pt>
                <c:pt idx="19">
                  <c:v>34973</c:v>
                </c:pt>
                <c:pt idx="20">
                  <c:v>35004</c:v>
                </c:pt>
                <c:pt idx="21">
                  <c:v>35034</c:v>
                </c:pt>
                <c:pt idx="22">
                  <c:v>35065</c:v>
                </c:pt>
                <c:pt idx="23">
                  <c:v>35096</c:v>
                </c:pt>
                <c:pt idx="24">
                  <c:v>35125</c:v>
                </c:pt>
                <c:pt idx="25">
                  <c:v>35156</c:v>
                </c:pt>
                <c:pt idx="26">
                  <c:v>35186</c:v>
                </c:pt>
                <c:pt idx="27">
                  <c:v>35217</c:v>
                </c:pt>
                <c:pt idx="28">
                  <c:v>35247</c:v>
                </c:pt>
                <c:pt idx="29">
                  <c:v>35278</c:v>
                </c:pt>
                <c:pt idx="30">
                  <c:v>35309</c:v>
                </c:pt>
                <c:pt idx="31">
                  <c:v>35339</c:v>
                </c:pt>
                <c:pt idx="32">
                  <c:v>35370</c:v>
                </c:pt>
                <c:pt idx="33">
                  <c:v>35462</c:v>
                </c:pt>
                <c:pt idx="34">
                  <c:v>35490</c:v>
                </c:pt>
                <c:pt idx="35">
                  <c:v>35521</c:v>
                </c:pt>
                <c:pt idx="36">
                  <c:v>35551</c:v>
                </c:pt>
                <c:pt idx="37">
                  <c:v>35582</c:v>
                </c:pt>
                <c:pt idx="38">
                  <c:v>35612</c:v>
                </c:pt>
                <c:pt idx="39">
                  <c:v>35643</c:v>
                </c:pt>
                <c:pt idx="40">
                  <c:v>35674</c:v>
                </c:pt>
                <c:pt idx="41">
                  <c:v>35704</c:v>
                </c:pt>
                <c:pt idx="42">
                  <c:v>35735</c:v>
                </c:pt>
                <c:pt idx="43">
                  <c:v>35765</c:v>
                </c:pt>
                <c:pt idx="44">
                  <c:v>35796</c:v>
                </c:pt>
                <c:pt idx="45">
                  <c:v>35827</c:v>
                </c:pt>
                <c:pt idx="46">
                  <c:v>35855</c:v>
                </c:pt>
                <c:pt idx="47">
                  <c:v>35886</c:v>
                </c:pt>
                <c:pt idx="48">
                  <c:v>35916</c:v>
                </c:pt>
                <c:pt idx="49">
                  <c:v>35947</c:v>
                </c:pt>
                <c:pt idx="50">
                  <c:v>35977</c:v>
                </c:pt>
                <c:pt idx="51">
                  <c:v>36008</c:v>
                </c:pt>
                <c:pt idx="52">
                  <c:v>36039</c:v>
                </c:pt>
                <c:pt idx="53">
                  <c:v>36069</c:v>
                </c:pt>
                <c:pt idx="54">
                  <c:v>36100</c:v>
                </c:pt>
                <c:pt idx="55">
                  <c:v>36130</c:v>
                </c:pt>
                <c:pt idx="56">
                  <c:v>36161</c:v>
                </c:pt>
                <c:pt idx="57">
                  <c:v>36192</c:v>
                </c:pt>
                <c:pt idx="58">
                  <c:v>36220</c:v>
                </c:pt>
                <c:pt idx="59">
                  <c:v>36251</c:v>
                </c:pt>
                <c:pt idx="60">
                  <c:v>36281</c:v>
                </c:pt>
                <c:pt idx="61">
                  <c:v>36312</c:v>
                </c:pt>
                <c:pt idx="62">
                  <c:v>36342</c:v>
                </c:pt>
                <c:pt idx="63">
                  <c:v>36373</c:v>
                </c:pt>
                <c:pt idx="64">
                  <c:v>36404</c:v>
                </c:pt>
                <c:pt idx="65">
                  <c:v>36434</c:v>
                </c:pt>
                <c:pt idx="66">
                  <c:v>36465</c:v>
                </c:pt>
                <c:pt idx="67">
                  <c:v>36495</c:v>
                </c:pt>
                <c:pt idx="68">
                  <c:v>36526</c:v>
                </c:pt>
                <c:pt idx="69">
                  <c:v>36557</c:v>
                </c:pt>
                <c:pt idx="70">
                  <c:v>36586</c:v>
                </c:pt>
                <c:pt idx="71">
                  <c:v>36617</c:v>
                </c:pt>
                <c:pt idx="72">
                  <c:v>36647</c:v>
                </c:pt>
                <c:pt idx="73">
                  <c:v>36678</c:v>
                </c:pt>
                <c:pt idx="74">
                  <c:v>36708</c:v>
                </c:pt>
                <c:pt idx="75">
                  <c:v>36739</c:v>
                </c:pt>
                <c:pt idx="76">
                  <c:v>36770</c:v>
                </c:pt>
                <c:pt idx="77">
                  <c:v>36800</c:v>
                </c:pt>
                <c:pt idx="78">
                  <c:v>36831</c:v>
                </c:pt>
                <c:pt idx="79">
                  <c:v>36861</c:v>
                </c:pt>
                <c:pt idx="80">
                  <c:v>36892</c:v>
                </c:pt>
                <c:pt idx="81">
                  <c:v>36923</c:v>
                </c:pt>
                <c:pt idx="82">
                  <c:v>36951</c:v>
                </c:pt>
                <c:pt idx="83">
                  <c:v>36982</c:v>
                </c:pt>
                <c:pt idx="84">
                  <c:v>37012</c:v>
                </c:pt>
                <c:pt idx="85">
                  <c:v>37043</c:v>
                </c:pt>
                <c:pt idx="86">
                  <c:v>37073</c:v>
                </c:pt>
                <c:pt idx="87">
                  <c:v>37104</c:v>
                </c:pt>
                <c:pt idx="88">
                  <c:v>37135</c:v>
                </c:pt>
                <c:pt idx="89">
                  <c:v>37165</c:v>
                </c:pt>
                <c:pt idx="90">
                  <c:v>37196</c:v>
                </c:pt>
                <c:pt idx="91">
                  <c:v>37226</c:v>
                </c:pt>
                <c:pt idx="92">
                  <c:v>37257</c:v>
                </c:pt>
                <c:pt idx="93">
                  <c:v>37288</c:v>
                </c:pt>
                <c:pt idx="94">
                  <c:v>37316</c:v>
                </c:pt>
                <c:pt idx="95">
                  <c:v>37347</c:v>
                </c:pt>
                <c:pt idx="96">
                  <c:v>37377</c:v>
                </c:pt>
                <c:pt idx="97">
                  <c:v>37408</c:v>
                </c:pt>
                <c:pt idx="98">
                  <c:v>37438</c:v>
                </c:pt>
                <c:pt idx="99">
                  <c:v>37469</c:v>
                </c:pt>
                <c:pt idx="100">
                  <c:v>37500</c:v>
                </c:pt>
                <c:pt idx="101">
                  <c:v>37530</c:v>
                </c:pt>
                <c:pt idx="102">
                  <c:v>37561</c:v>
                </c:pt>
                <c:pt idx="103">
                  <c:v>37591</c:v>
                </c:pt>
                <c:pt idx="104">
                  <c:v>37622</c:v>
                </c:pt>
                <c:pt idx="105">
                  <c:v>37653</c:v>
                </c:pt>
                <c:pt idx="106">
                  <c:v>37681</c:v>
                </c:pt>
                <c:pt idx="107">
                  <c:v>37712</c:v>
                </c:pt>
                <c:pt idx="108">
                  <c:v>37742</c:v>
                </c:pt>
                <c:pt idx="109">
                  <c:v>37773</c:v>
                </c:pt>
                <c:pt idx="110">
                  <c:v>37803</c:v>
                </c:pt>
                <c:pt idx="111">
                  <c:v>37834</c:v>
                </c:pt>
                <c:pt idx="112">
                  <c:v>37865</c:v>
                </c:pt>
                <c:pt idx="113">
                  <c:v>37895</c:v>
                </c:pt>
                <c:pt idx="114">
                  <c:v>37926</c:v>
                </c:pt>
                <c:pt idx="115">
                  <c:v>37956</c:v>
                </c:pt>
                <c:pt idx="116">
                  <c:v>37987</c:v>
                </c:pt>
                <c:pt idx="117">
                  <c:v>38018</c:v>
                </c:pt>
                <c:pt idx="118">
                  <c:v>38047</c:v>
                </c:pt>
                <c:pt idx="119">
                  <c:v>38078</c:v>
                </c:pt>
                <c:pt idx="120">
                  <c:v>38108</c:v>
                </c:pt>
                <c:pt idx="121">
                  <c:v>38139</c:v>
                </c:pt>
                <c:pt idx="122">
                  <c:v>38169</c:v>
                </c:pt>
                <c:pt idx="123">
                  <c:v>38200</c:v>
                </c:pt>
                <c:pt idx="124">
                  <c:v>38231</c:v>
                </c:pt>
                <c:pt idx="125">
                  <c:v>38261</c:v>
                </c:pt>
                <c:pt idx="126">
                  <c:v>38292</c:v>
                </c:pt>
                <c:pt idx="127">
                  <c:v>38322</c:v>
                </c:pt>
                <c:pt idx="128">
                  <c:v>38353</c:v>
                </c:pt>
                <c:pt idx="129">
                  <c:v>38384</c:v>
                </c:pt>
                <c:pt idx="130">
                  <c:v>38412</c:v>
                </c:pt>
                <c:pt idx="131">
                  <c:v>38443</c:v>
                </c:pt>
                <c:pt idx="132">
                  <c:v>38473</c:v>
                </c:pt>
                <c:pt idx="133">
                  <c:v>38504</c:v>
                </c:pt>
                <c:pt idx="134">
                  <c:v>38534</c:v>
                </c:pt>
                <c:pt idx="135">
                  <c:v>38565</c:v>
                </c:pt>
                <c:pt idx="136">
                  <c:v>38596</c:v>
                </c:pt>
                <c:pt idx="137">
                  <c:v>38626</c:v>
                </c:pt>
                <c:pt idx="138">
                  <c:v>38657</c:v>
                </c:pt>
                <c:pt idx="139">
                  <c:v>38687</c:v>
                </c:pt>
                <c:pt idx="140">
                  <c:v>38718</c:v>
                </c:pt>
                <c:pt idx="141">
                  <c:v>38749</c:v>
                </c:pt>
                <c:pt idx="142">
                  <c:v>38777</c:v>
                </c:pt>
                <c:pt idx="143">
                  <c:v>38808</c:v>
                </c:pt>
                <c:pt idx="144">
                  <c:v>38838</c:v>
                </c:pt>
                <c:pt idx="145">
                  <c:v>38869</c:v>
                </c:pt>
                <c:pt idx="146">
                  <c:v>38899</c:v>
                </c:pt>
                <c:pt idx="147">
                  <c:v>38930</c:v>
                </c:pt>
                <c:pt idx="148">
                  <c:v>38961</c:v>
                </c:pt>
                <c:pt idx="149">
                  <c:v>38991</c:v>
                </c:pt>
                <c:pt idx="150">
                  <c:v>39022</c:v>
                </c:pt>
                <c:pt idx="151">
                  <c:v>39052</c:v>
                </c:pt>
                <c:pt idx="152">
                  <c:v>39083</c:v>
                </c:pt>
                <c:pt idx="153">
                  <c:v>39114</c:v>
                </c:pt>
                <c:pt idx="154">
                  <c:v>39142</c:v>
                </c:pt>
                <c:pt idx="155">
                  <c:v>39173</c:v>
                </c:pt>
                <c:pt idx="156">
                  <c:v>39203</c:v>
                </c:pt>
                <c:pt idx="157">
                  <c:v>39234</c:v>
                </c:pt>
                <c:pt idx="158">
                  <c:v>39264</c:v>
                </c:pt>
                <c:pt idx="159">
                  <c:v>39295</c:v>
                </c:pt>
                <c:pt idx="160">
                  <c:v>39326</c:v>
                </c:pt>
                <c:pt idx="161">
                  <c:v>39356</c:v>
                </c:pt>
                <c:pt idx="162">
                  <c:v>39387</c:v>
                </c:pt>
                <c:pt idx="163">
                  <c:v>39417</c:v>
                </c:pt>
                <c:pt idx="164">
                  <c:v>39448</c:v>
                </c:pt>
                <c:pt idx="165">
                  <c:v>39479</c:v>
                </c:pt>
                <c:pt idx="166">
                  <c:v>39508</c:v>
                </c:pt>
                <c:pt idx="167">
                  <c:v>39539</c:v>
                </c:pt>
                <c:pt idx="168">
                  <c:v>39569</c:v>
                </c:pt>
                <c:pt idx="169">
                  <c:v>39600</c:v>
                </c:pt>
                <c:pt idx="170">
                  <c:v>39630</c:v>
                </c:pt>
                <c:pt idx="171">
                  <c:v>39661</c:v>
                </c:pt>
                <c:pt idx="172">
                  <c:v>39692</c:v>
                </c:pt>
                <c:pt idx="173">
                  <c:v>39722</c:v>
                </c:pt>
                <c:pt idx="174">
                  <c:v>39753</c:v>
                </c:pt>
                <c:pt idx="175">
                  <c:v>39783</c:v>
                </c:pt>
                <c:pt idx="176">
                  <c:v>39814</c:v>
                </c:pt>
                <c:pt idx="177">
                  <c:v>39845</c:v>
                </c:pt>
                <c:pt idx="178">
                  <c:v>39873</c:v>
                </c:pt>
                <c:pt idx="179">
                  <c:v>39904</c:v>
                </c:pt>
                <c:pt idx="180">
                  <c:v>39934</c:v>
                </c:pt>
                <c:pt idx="181">
                  <c:v>39965</c:v>
                </c:pt>
                <c:pt idx="182">
                  <c:v>39995</c:v>
                </c:pt>
                <c:pt idx="183">
                  <c:v>40026</c:v>
                </c:pt>
                <c:pt idx="184">
                  <c:v>40057</c:v>
                </c:pt>
                <c:pt idx="185">
                  <c:v>40087</c:v>
                </c:pt>
                <c:pt idx="186">
                  <c:v>40118</c:v>
                </c:pt>
                <c:pt idx="187">
                  <c:v>40148</c:v>
                </c:pt>
                <c:pt idx="188">
                  <c:v>40179</c:v>
                </c:pt>
                <c:pt idx="189">
                  <c:v>40210</c:v>
                </c:pt>
                <c:pt idx="190">
                  <c:v>40238</c:v>
                </c:pt>
                <c:pt idx="191">
                  <c:v>40269</c:v>
                </c:pt>
                <c:pt idx="192">
                  <c:v>40299</c:v>
                </c:pt>
                <c:pt idx="193">
                  <c:v>40330</c:v>
                </c:pt>
                <c:pt idx="194">
                  <c:v>40360</c:v>
                </c:pt>
                <c:pt idx="195">
                  <c:v>40391</c:v>
                </c:pt>
                <c:pt idx="196">
                  <c:v>40422</c:v>
                </c:pt>
                <c:pt idx="197">
                  <c:v>40452</c:v>
                </c:pt>
                <c:pt idx="198">
                  <c:v>40483</c:v>
                </c:pt>
                <c:pt idx="199">
                  <c:v>40513</c:v>
                </c:pt>
                <c:pt idx="200">
                  <c:v>40544</c:v>
                </c:pt>
                <c:pt idx="201">
                  <c:v>40575</c:v>
                </c:pt>
                <c:pt idx="202">
                  <c:v>40603</c:v>
                </c:pt>
                <c:pt idx="203">
                  <c:v>40634</c:v>
                </c:pt>
                <c:pt idx="204">
                  <c:v>40664</c:v>
                </c:pt>
                <c:pt idx="205">
                  <c:v>40695</c:v>
                </c:pt>
                <c:pt idx="206">
                  <c:v>40725</c:v>
                </c:pt>
                <c:pt idx="207">
                  <c:v>40756</c:v>
                </c:pt>
                <c:pt idx="208">
                  <c:v>40787</c:v>
                </c:pt>
                <c:pt idx="209">
                  <c:v>40817</c:v>
                </c:pt>
                <c:pt idx="210">
                  <c:v>40848</c:v>
                </c:pt>
                <c:pt idx="211">
                  <c:v>40878</c:v>
                </c:pt>
                <c:pt idx="212">
                  <c:v>40909</c:v>
                </c:pt>
                <c:pt idx="213">
                  <c:v>40940</c:v>
                </c:pt>
                <c:pt idx="214">
                  <c:v>40969</c:v>
                </c:pt>
                <c:pt idx="215">
                  <c:v>41000</c:v>
                </c:pt>
                <c:pt idx="216">
                  <c:v>41030</c:v>
                </c:pt>
                <c:pt idx="217">
                  <c:v>41061</c:v>
                </c:pt>
                <c:pt idx="218">
                  <c:v>41091</c:v>
                </c:pt>
                <c:pt idx="219">
                  <c:v>41122</c:v>
                </c:pt>
                <c:pt idx="220">
                  <c:v>41153</c:v>
                </c:pt>
                <c:pt idx="221">
                  <c:v>41183</c:v>
                </c:pt>
                <c:pt idx="222">
                  <c:v>41214</c:v>
                </c:pt>
                <c:pt idx="223">
                  <c:v>41244</c:v>
                </c:pt>
                <c:pt idx="224">
                  <c:v>41275</c:v>
                </c:pt>
                <c:pt idx="225">
                  <c:v>41306</c:v>
                </c:pt>
                <c:pt idx="226">
                  <c:v>41334</c:v>
                </c:pt>
                <c:pt idx="227">
                  <c:v>41365</c:v>
                </c:pt>
                <c:pt idx="228">
                  <c:v>41395</c:v>
                </c:pt>
                <c:pt idx="229">
                  <c:v>41426</c:v>
                </c:pt>
                <c:pt idx="230">
                  <c:v>41456</c:v>
                </c:pt>
                <c:pt idx="231">
                  <c:v>41487</c:v>
                </c:pt>
                <c:pt idx="232">
                  <c:v>41518</c:v>
                </c:pt>
                <c:pt idx="233">
                  <c:v>41548</c:v>
                </c:pt>
                <c:pt idx="234">
                  <c:v>41579</c:v>
                </c:pt>
                <c:pt idx="235">
                  <c:v>41609</c:v>
                </c:pt>
                <c:pt idx="236">
                  <c:v>41640</c:v>
                </c:pt>
                <c:pt idx="237">
                  <c:v>41671</c:v>
                </c:pt>
                <c:pt idx="238">
                  <c:v>41699</c:v>
                </c:pt>
                <c:pt idx="239">
                  <c:v>41730</c:v>
                </c:pt>
                <c:pt idx="240">
                  <c:v>41760</c:v>
                </c:pt>
                <c:pt idx="241">
                  <c:v>41791</c:v>
                </c:pt>
                <c:pt idx="242">
                  <c:v>41821</c:v>
                </c:pt>
                <c:pt idx="243">
                  <c:v>41852</c:v>
                </c:pt>
                <c:pt idx="244">
                  <c:v>41883</c:v>
                </c:pt>
                <c:pt idx="245">
                  <c:v>41913</c:v>
                </c:pt>
                <c:pt idx="246">
                  <c:v>41944</c:v>
                </c:pt>
                <c:pt idx="247">
                  <c:v>41974</c:v>
                </c:pt>
                <c:pt idx="248">
                  <c:v>42005</c:v>
                </c:pt>
                <c:pt idx="249">
                  <c:v>42036</c:v>
                </c:pt>
                <c:pt idx="250">
                  <c:v>42064</c:v>
                </c:pt>
                <c:pt idx="251">
                  <c:v>42095</c:v>
                </c:pt>
                <c:pt idx="252">
                  <c:v>42125</c:v>
                </c:pt>
                <c:pt idx="253">
                  <c:v>42156</c:v>
                </c:pt>
                <c:pt idx="254">
                  <c:v>42186</c:v>
                </c:pt>
                <c:pt idx="255">
                  <c:v>42217</c:v>
                </c:pt>
                <c:pt idx="256">
                  <c:v>42248</c:v>
                </c:pt>
                <c:pt idx="257">
                  <c:v>42278</c:v>
                </c:pt>
                <c:pt idx="258">
                  <c:v>42309</c:v>
                </c:pt>
                <c:pt idx="259">
                  <c:v>42339</c:v>
                </c:pt>
                <c:pt idx="260">
                  <c:v>42370</c:v>
                </c:pt>
                <c:pt idx="261">
                  <c:v>42401</c:v>
                </c:pt>
              </c:numCache>
            </c:numRef>
          </c:cat>
          <c:val>
            <c:numRef>
              <c:f>exam!$Y$4:$Y$265</c:f>
              <c:numCache>
                <c:formatCode>General</c:formatCode>
                <c:ptCount val="262"/>
                <c:pt idx="0">
                  <c:v>-16.4077033335541</c:v>
                </c:pt>
                <c:pt idx="1">
                  <c:v>87.428239000221097</c:v>
                </c:pt>
                <c:pt idx="2">
                  <c:v>71.277345340520398</c:v>
                </c:pt>
                <c:pt idx="3">
                  <c:v>-103.462737757575</c:v>
                </c:pt>
                <c:pt idx="4">
                  <c:v>-66.475650664200003</c:v>
                </c:pt>
                <c:pt idx="5">
                  <c:v>-86.049271941226394</c:v>
                </c:pt>
                <c:pt idx="6">
                  <c:v>-73.2116847077735</c:v>
                </c:pt>
                <c:pt idx="7">
                  <c:v>-84.823510757846904</c:v>
                </c:pt>
                <c:pt idx="8">
                  <c:v>-112.361274536153</c:v>
                </c:pt>
                <c:pt idx="9">
                  <c:v>-136.85141670150799</c:v>
                </c:pt>
                <c:pt idx="10">
                  <c:v>-138.30075947822999</c:v>
                </c:pt>
                <c:pt idx="11">
                  <c:v>-132.65991709818101</c:v>
                </c:pt>
                <c:pt idx="12">
                  <c:v>-100.635081868333</c:v>
                </c:pt>
                <c:pt idx="13">
                  <c:v>-61.113693093077401</c:v>
                </c:pt>
                <c:pt idx="14">
                  <c:v>-47.333085285577198</c:v>
                </c:pt>
                <c:pt idx="15">
                  <c:v>-7.7088885297184699</c:v>
                </c:pt>
                <c:pt idx="16">
                  <c:v>33.319484450286602</c:v>
                </c:pt>
                <c:pt idx="17">
                  <c:v>30.002933229197399</c:v>
                </c:pt>
                <c:pt idx="18">
                  <c:v>4.5834677338715304</c:v>
                </c:pt>
                <c:pt idx="19">
                  <c:v>28.105361177696501</c:v>
                </c:pt>
                <c:pt idx="20">
                  <c:v>39.234684892137402</c:v>
                </c:pt>
                <c:pt idx="21">
                  <c:v>50.194496495304499</c:v>
                </c:pt>
                <c:pt idx="22">
                  <c:v>70.641061628701095</c:v>
                </c:pt>
                <c:pt idx="23">
                  <c:v>83.722270084232093</c:v>
                </c:pt>
                <c:pt idx="24">
                  <c:v>70.985568297597496</c:v>
                </c:pt>
                <c:pt idx="25">
                  <c:v>14.30987428369</c:v>
                </c:pt>
                <c:pt idx="26">
                  <c:v>-13.5112224795777</c:v>
                </c:pt>
                <c:pt idx="27">
                  <c:v>-27.8294620854759</c:v>
                </c:pt>
                <c:pt idx="28">
                  <c:v>-51.6390714075959</c:v>
                </c:pt>
                <c:pt idx="29">
                  <c:v>-44.819420675604903</c:v>
                </c:pt>
                <c:pt idx="30">
                  <c:v>-18.209855026976701</c:v>
                </c:pt>
                <c:pt idx="31">
                  <c:v>-40.162320121385001</c:v>
                </c:pt>
                <c:pt idx="32">
                  <c:v>-6.00594662376814</c:v>
                </c:pt>
                <c:pt idx="33">
                  <c:v>-10.515572837206999</c:v>
                </c:pt>
                <c:pt idx="34">
                  <c:v>19.204501399972401</c:v>
                </c:pt>
                <c:pt idx="35">
                  <c:v>-6.8514061903483201</c:v>
                </c:pt>
                <c:pt idx="36">
                  <c:v>-30.692901067573601</c:v>
                </c:pt>
                <c:pt idx="37">
                  <c:v>-9.0652760272758393</c:v>
                </c:pt>
                <c:pt idx="38">
                  <c:v>15.7599992334902</c:v>
                </c:pt>
                <c:pt idx="39">
                  <c:v>36.506498025022999</c:v>
                </c:pt>
                <c:pt idx="40">
                  <c:v>33.555500237645397</c:v>
                </c:pt>
                <c:pt idx="41">
                  <c:v>41.657292602479203</c:v>
                </c:pt>
                <c:pt idx="42">
                  <c:v>53.966108030047799</c:v>
                </c:pt>
                <c:pt idx="43">
                  <c:v>61.737136670805697</c:v>
                </c:pt>
                <c:pt idx="44">
                  <c:v>69.5271048427458</c:v>
                </c:pt>
                <c:pt idx="45">
                  <c:v>89.299880703299095</c:v>
                </c:pt>
                <c:pt idx="46">
                  <c:v>86.282475516937197</c:v>
                </c:pt>
                <c:pt idx="47">
                  <c:v>75.681397509607606</c:v>
                </c:pt>
                <c:pt idx="48">
                  <c:v>71.671792390953399</c:v>
                </c:pt>
                <c:pt idx="49">
                  <c:v>71.202140692255298</c:v>
                </c:pt>
                <c:pt idx="50">
                  <c:v>82.043912700650594</c:v>
                </c:pt>
                <c:pt idx="51">
                  <c:v>81.725536602393504</c:v>
                </c:pt>
                <c:pt idx="52">
                  <c:v>81.798434324058405</c:v>
                </c:pt>
                <c:pt idx="53">
                  <c:v>102.500335389035</c:v>
                </c:pt>
                <c:pt idx="54">
                  <c:v>101.198588612072</c:v>
                </c:pt>
                <c:pt idx="55">
                  <c:v>81.498388431008294</c:v>
                </c:pt>
                <c:pt idx="56">
                  <c:v>88.632320752646194</c:v>
                </c:pt>
                <c:pt idx="57">
                  <c:v>80.980930754633604</c:v>
                </c:pt>
                <c:pt idx="58">
                  <c:v>73.553652634209499</c:v>
                </c:pt>
                <c:pt idx="59">
                  <c:v>49.6684553935089</c:v>
                </c:pt>
                <c:pt idx="60">
                  <c:v>57.408066013001097</c:v>
                </c:pt>
                <c:pt idx="61">
                  <c:v>31.8642327381901</c:v>
                </c:pt>
                <c:pt idx="62">
                  <c:v>-10.2380505653603</c:v>
                </c:pt>
                <c:pt idx="63">
                  <c:v>-19.191478069947699</c:v>
                </c:pt>
                <c:pt idx="64">
                  <c:v>-50.191017084799597</c:v>
                </c:pt>
                <c:pt idx="65">
                  <c:v>-34.701283893554702</c:v>
                </c:pt>
                <c:pt idx="66">
                  <c:v>-43.644437799152698</c:v>
                </c:pt>
                <c:pt idx="67">
                  <c:v>-27.6138362516248</c:v>
                </c:pt>
                <c:pt idx="68">
                  <c:v>-44.340417407094499</c:v>
                </c:pt>
                <c:pt idx="69">
                  <c:v>-72.957060367255295</c:v>
                </c:pt>
                <c:pt idx="70">
                  <c:v>-83.008339471642003</c:v>
                </c:pt>
                <c:pt idx="71">
                  <c:v>-73.533882732341894</c:v>
                </c:pt>
                <c:pt idx="72">
                  <c:v>-63.575865418382698</c:v>
                </c:pt>
                <c:pt idx="73">
                  <c:v>-99.091235676799599</c:v>
                </c:pt>
                <c:pt idx="74">
                  <c:v>-73.200816190475706</c:v>
                </c:pt>
                <c:pt idx="75">
                  <c:v>-57.038128708563399</c:v>
                </c:pt>
                <c:pt idx="76">
                  <c:v>-42.736309970196402</c:v>
                </c:pt>
                <c:pt idx="77">
                  <c:v>-30.6781275776627</c:v>
                </c:pt>
                <c:pt idx="78">
                  <c:v>-18.152124875879299</c:v>
                </c:pt>
                <c:pt idx="79">
                  <c:v>-8.2315621683626201</c:v>
                </c:pt>
                <c:pt idx="80">
                  <c:v>32.027417005507601</c:v>
                </c:pt>
                <c:pt idx="81">
                  <c:v>62.909162979580799</c:v>
                </c:pt>
                <c:pt idx="82">
                  <c:v>59.511688953841798</c:v>
                </c:pt>
                <c:pt idx="83">
                  <c:v>68.440215839555407</c:v>
                </c:pt>
                <c:pt idx="84">
                  <c:v>54.2156438154271</c:v>
                </c:pt>
                <c:pt idx="85">
                  <c:v>41.9853035121319</c:v>
                </c:pt>
                <c:pt idx="86">
                  <c:v>40.841504606211601</c:v>
                </c:pt>
                <c:pt idx="87">
                  <c:v>42.3322094241176</c:v>
                </c:pt>
                <c:pt idx="88">
                  <c:v>58.691597550613501</c:v>
                </c:pt>
                <c:pt idx="89">
                  <c:v>70.493892222259305</c:v>
                </c:pt>
                <c:pt idx="90">
                  <c:v>89.787320849394305</c:v>
                </c:pt>
                <c:pt idx="91">
                  <c:v>83.915086209276396</c:v>
                </c:pt>
                <c:pt idx="92">
                  <c:v>40.403540956262198</c:v>
                </c:pt>
                <c:pt idx="93">
                  <c:v>43.182643993367599</c:v>
                </c:pt>
                <c:pt idx="94">
                  <c:v>57.851966716358397</c:v>
                </c:pt>
                <c:pt idx="95">
                  <c:v>32.6467285958255</c:v>
                </c:pt>
                <c:pt idx="96">
                  <c:v>38.2728977036179</c:v>
                </c:pt>
                <c:pt idx="97">
                  <c:v>55.030307979908201</c:v>
                </c:pt>
                <c:pt idx="98">
                  <c:v>72.505637049256904</c:v>
                </c:pt>
                <c:pt idx="99">
                  <c:v>88.905020322615698</c:v>
                </c:pt>
                <c:pt idx="100">
                  <c:v>104.20961712146</c:v>
                </c:pt>
                <c:pt idx="101">
                  <c:v>121.564436858909</c:v>
                </c:pt>
                <c:pt idx="102">
                  <c:v>116.79196803926099</c:v>
                </c:pt>
                <c:pt idx="103">
                  <c:v>117.334958094513</c:v>
                </c:pt>
                <c:pt idx="104">
                  <c:v>113.533712318623</c:v>
                </c:pt>
                <c:pt idx="105">
                  <c:v>121.989569293345</c:v>
                </c:pt>
                <c:pt idx="106">
                  <c:v>124.647730881247</c:v>
                </c:pt>
                <c:pt idx="107">
                  <c:v>129.57205022735101</c:v>
                </c:pt>
                <c:pt idx="108">
                  <c:v>117.997795646399</c:v>
                </c:pt>
                <c:pt idx="109">
                  <c:v>133.452895317794</c:v>
                </c:pt>
                <c:pt idx="110">
                  <c:v>155.803499514029</c:v>
                </c:pt>
                <c:pt idx="111">
                  <c:v>99.370428321488703</c:v>
                </c:pt>
                <c:pt idx="112">
                  <c:v>25.8816942729093</c:v>
                </c:pt>
                <c:pt idx="113">
                  <c:v>36.051575711412298</c:v>
                </c:pt>
                <c:pt idx="114">
                  <c:v>48.893189528514498</c:v>
                </c:pt>
                <c:pt idx="115">
                  <c:v>47.558282686150697</c:v>
                </c:pt>
                <c:pt idx="116">
                  <c:v>49.266356280284903</c:v>
                </c:pt>
                <c:pt idx="117">
                  <c:v>64.485664050076593</c:v>
                </c:pt>
                <c:pt idx="118">
                  <c:v>70.328111996417903</c:v>
                </c:pt>
                <c:pt idx="119">
                  <c:v>85.322218342166806</c:v>
                </c:pt>
                <c:pt idx="120">
                  <c:v>37.434115326906699</c:v>
                </c:pt>
                <c:pt idx="121">
                  <c:v>-1.95875488872107</c:v>
                </c:pt>
                <c:pt idx="122">
                  <c:v>-3.1357661450124699</c:v>
                </c:pt>
                <c:pt idx="123">
                  <c:v>21.959764118961999</c:v>
                </c:pt>
                <c:pt idx="124">
                  <c:v>34.608798679175997</c:v>
                </c:pt>
                <c:pt idx="125">
                  <c:v>43.852104860781502</c:v>
                </c:pt>
                <c:pt idx="126">
                  <c:v>48.408860624759797</c:v>
                </c:pt>
                <c:pt idx="127">
                  <c:v>47.211829120443603</c:v>
                </c:pt>
                <c:pt idx="128">
                  <c:v>43.781719162844396</c:v>
                </c:pt>
                <c:pt idx="129">
                  <c:v>46.160062944955797</c:v>
                </c:pt>
                <c:pt idx="130">
                  <c:v>51.881992528927803</c:v>
                </c:pt>
                <c:pt idx="131">
                  <c:v>22.2613567922599</c:v>
                </c:pt>
                <c:pt idx="132">
                  <c:v>29.7118722265439</c:v>
                </c:pt>
                <c:pt idx="133">
                  <c:v>43.076631509568998</c:v>
                </c:pt>
                <c:pt idx="134">
                  <c:v>56.644277147880203</c:v>
                </c:pt>
                <c:pt idx="135">
                  <c:v>45.655295602089097</c:v>
                </c:pt>
                <c:pt idx="136">
                  <c:v>33.238301562251102</c:v>
                </c:pt>
                <c:pt idx="137">
                  <c:v>31.355046295817399</c:v>
                </c:pt>
                <c:pt idx="138">
                  <c:v>3.9801042435941998</c:v>
                </c:pt>
                <c:pt idx="139">
                  <c:v>-22.360165361049301</c:v>
                </c:pt>
                <c:pt idx="140">
                  <c:v>-18.7220013701711</c:v>
                </c:pt>
                <c:pt idx="141">
                  <c:v>-4.8089666139557004</c:v>
                </c:pt>
                <c:pt idx="142">
                  <c:v>-15.762663294019401</c:v>
                </c:pt>
                <c:pt idx="143">
                  <c:v>-23.828077702867699</c:v>
                </c:pt>
                <c:pt idx="144">
                  <c:v>-40.955372448905898</c:v>
                </c:pt>
                <c:pt idx="145">
                  <c:v>-48.360283383088699</c:v>
                </c:pt>
                <c:pt idx="146">
                  <c:v>-55.236479386350901</c:v>
                </c:pt>
                <c:pt idx="147">
                  <c:v>-61.166366262258897</c:v>
                </c:pt>
                <c:pt idx="148">
                  <c:v>-32.970487190367102</c:v>
                </c:pt>
                <c:pt idx="149">
                  <c:v>-21.6735573117606</c:v>
                </c:pt>
                <c:pt idx="150">
                  <c:v>-15.6726972615552</c:v>
                </c:pt>
                <c:pt idx="151">
                  <c:v>-4.7787117808233797</c:v>
                </c:pt>
                <c:pt idx="152">
                  <c:v>7.6926003519994897</c:v>
                </c:pt>
                <c:pt idx="153">
                  <c:v>-2.13841230906062</c:v>
                </c:pt>
                <c:pt idx="154">
                  <c:v>-2.25831026140155</c:v>
                </c:pt>
                <c:pt idx="155">
                  <c:v>6.9606414732905302</c:v>
                </c:pt>
                <c:pt idx="156">
                  <c:v>3.6070488924826898</c:v>
                </c:pt>
                <c:pt idx="157">
                  <c:v>-3.9600264673618701</c:v>
                </c:pt>
                <c:pt idx="158">
                  <c:v>-42.589137425097597</c:v>
                </c:pt>
                <c:pt idx="159">
                  <c:v>-45.677195093323199</c:v>
                </c:pt>
                <c:pt idx="160">
                  <c:v>-32.140555988920802</c:v>
                </c:pt>
                <c:pt idx="161">
                  <c:v>-14.442540748305801</c:v>
                </c:pt>
                <c:pt idx="162">
                  <c:v>-9.66173864014646</c:v>
                </c:pt>
                <c:pt idx="163">
                  <c:v>7.0024135577248803</c:v>
                </c:pt>
                <c:pt idx="164">
                  <c:v>17.529088055110801</c:v>
                </c:pt>
                <c:pt idx="165">
                  <c:v>51.296566684557099</c:v>
                </c:pt>
                <c:pt idx="166">
                  <c:v>29.2785470858942</c:v>
                </c:pt>
                <c:pt idx="167">
                  <c:v>22.715108134434299</c:v>
                </c:pt>
                <c:pt idx="168">
                  <c:v>25.776018550991399</c:v>
                </c:pt>
                <c:pt idx="169">
                  <c:v>14.6250812184879</c:v>
                </c:pt>
                <c:pt idx="170">
                  <c:v>-18.724956615873399</c:v>
                </c:pt>
                <c:pt idx="171">
                  <c:v>-28.884888345353001</c:v>
                </c:pt>
                <c:pt idx="172">
                  <c:v>-35.371236499818302</c:v>
                </c:pt>
                <c:pt idx="173">
                  <c:v>8.67675578880581</c:v>
                </c:pt>
                <c:pt idx="174">
                  <c:v>-6.5053988504723401</c:v>
                </c:pt>
                <c:pt idx="175">
                  <c:v>2.2014533370415399</c:v>
                </c:pt>
                <c:pt idx="176">
                  <c:v>81.742998868807604</c:v>
                </c:pt>
                <c:pt idx="177">
                  <c:v>106.099103768715</c:v>
                </c:pt>
                <c:pt idx="178">
                  <c:v>94.344048597244594</c:v>
                </c:pt>
                <c:pt idx="179">
                  <c:v>103.043518346041</c:v>
                </c:pt>
                <c:pt idx="180">
                  <c:v>118.811783289959</c:v>
                </c:pt>
                <c:pt idx="181">
                  <c:v>110.759447752581</c:v>
                </c:pt>
                <c:pt idx="182">
                  <c:v>49.318461669328698</c:v>
                </c:pt>
                <c:pt idx="183">
                  <c:v>65.761988060439904</c:v>
                </c:pt>
                <c:pt idx="184">
                  <c:v>66.554905846379896</c:v>
                </c:pt>
                <c:pt idx="185">
                  <c:v>80.544974518845706</c:v>
                </c:pt>
                <c:pt idx="186">
                  <c:v>86.680970863359704</c:v>
                </c:pt>
                <c:pt idx="187">
                  <c:v>93.195206003955093</c:v>
                </c:pt>
                <c:pt idx="188">
                  <c:v>85.645880029264404</c:v>
                </c:pt>
                <c:pt idx="189">
                  <c:v>74.520515839913401</c:v>
                </c:pt>
                <c:pt idx="190">
                  <c:v>73.602806550716906</c:v>
                </c:pt>
                <c:pt idx="191">
                  <c:v>72.460383501074602</c:v>
                </c:pt>
                <c:pt idx="192">
                  <c:v>60.7368996799173</c:v>
                </c:pt>
                <c:pt idx="193">
                  <c:v>79.839703983789093</c:v>
                </c:pt>
                <c:pt idx="194">
                  <c:v>96.116082867699404</c:v>
                </c:pt>
                <c:pt idx="195">
                  <c:v>109.741062578091</c:v>
                </c:pt>
                <c:pt idx="196">
                  <c:v>121.428856159893</c:v>
                </c:pt>
                <c:pt idx="197">
                  <c:v>126.86485198711701</c:v>
                </c:pt>
                <c:pt idx="198">
                  <c:v>134.64438157942399</c:v>
                </c:pt>
                <c:pt idx="199">
                  <c:v>123.811589035273</c:v>
                </c:pt>
                <c:pt idx="200">
                  <c:v>81.018294997043498</c:v>
                </c:pt>
                <c:pt idx="201">
                  <c:v>72.498845966585407</c:v>
                </c:pt>
                <c:pt idx="202">
                  <c:v>51.5277629027863</c:v>
                </c:pt>
                <c:pt idx="203">
                  <c:v>62.366092186780897</c:v>
                </c:pt>
                <c:pt idx="204">
                  <c:v>61.914272603283202</c:v>
                </c:pt>
                <c:pt idx="205">
                  <c:v>80.9460474476423</c:v>
                </c:pt>
                <c:pt idx="206">
                  <c:v>93.0234851902147</c:v>
                </c:pt>
                <c:pt idx="207">
                  <c:v>88.436742728258494</c:v>
                </c:pt>
                <c:pt idx="208">
                  <c:v>116.058008309774</c:v>
                </c:pt>
                <c:pt idx="209">
                  <c:v>133.505001279666</c:v>
                </c:pt>
                <c:pt idx="210">
                  <c:v>130.42932608830799</c:v>
                </c:pt>
                <c:pt idx="211">
                  <c:v>138.62682934630701</c:v>
                </c:pt>
                <c:pt idx="212">
                  <c:v>141.38287328964901</c:v>
                </c:pt>
                <c:pt idx="213">
                  <c:v>142.02047477852301</c:v>
                </c:pt>
                <c:pt idx="214">
                  <c:v>140.14779394335801</c:v>
                </c:pt>
                <c:pt idx="215">
                  <c:v>132.303165977681</c:v>
                </c:pt>
                <c:pt idx="216">
                  <c:v>138.17243434819</c:v>
                </c:pt>
                <c:pt idx="217">
                  <c:v>147.43817150606199</c:v>
                </c:pt>
                <c:pt idx="218">
                  <c:v>158.467952595936</c:v>
                </c:pt>
                <c:pt idx="219">
                  <c:v>168.576457416902</c:v>
                </c:pt>
                <c:pt idx="220">
                  <c:v>162.77954020476699</c:v>
                </c:pt>
                <c:pt idx="221">
                  <c:v>170.72171678166399</c:v>
                </c:pt>
                <c:pt idx="222">
                  <c:v>176.50896154978099</c:v>
                </c:pt>
                <c:pt idx="223">
                  <c:v>174.540307179102</c:v>
                </c:pt>
                <c:pt idx="224">
                  <c:v>172.55886595285401</c:v>
                </c:pt>
                <c:pt idx="225">
                  <c:v>161.73704000984301</c:v>
                </c:pt>
                <c:pt idx="226">
                  <c:v>143.279626186955</c:v>
                </c:pt>
                <c:pt idx="227">
                  <c:v>136.45841635877699</c:v>
                </c:pt>
                <c:pt idx="228">
                  <c:v>144.548471335192</c:v>
                </c:pt>
                <c:pt idx="229">
                  <c:v>134.13611028948901</c:v>
                </c:pt>
                <c:pt idx="230">
                  <c:v>75.892824502367901</c:v>
                </c:pt>
                <c:pt idx="231">
                  <c:v>42.077713759528699</c:v>
                </c:pt>
                <c:pt idx="232">
                  <c:v>29.670641917016699</c:v>
                </c:pt>
                <c:pt idx="233">
                  <c:v>25.985154993762801</c:v>
                </c:pt>
                <c:pt idx="234">
                  <c:v>54.577944742444899</c:v>
                </c:pt>
                <c:pt idx="235">
                  <c:v>44.721464821635799</c:v>
                </c:pt>
                <c:pt idx="236">
                  <c:v>25.2259215480641</c:v>
                </c:pt>
                <c:pt idx="237">
                  <c:v>25.128449219056101</c:v>
                </c:pt>
                <c:pt idx="238">
                  <c:v>37.867007300124698</c:v>
                </c:pt>
                <c:pt idx="239">
                  <c:v>36.154222453592503</c:v>
                </c:pt>
                <c:pt idx="240">
                  <c:v>36.818243646413997</c:v>
                </c:pt>
                <c:pt idx="241">
                  <c:v>55.155180787509302</c:v>
                </c:pt>
                <c:pt idx="242">
                  <c:v>56.4134660892352</c:v>
                </c:pt>
                <c:pt idx="243">
                  <c:v>57.542700875233898</c:v>
                </c:pt>
                <c:pt idx="244">
                  <c:v>58.698074776554101</c:v>
                </c:pt>
                <c:pt idx="245">
                  <c:v>54.621022052478999</c:v>
                </c:pt>
                <c:pt idx="246">
                  <c:v>66.526670395745398</c:v>
                </c:pt>
                <c:pt idx="247">
                  <c:v>68.796895259797097</c:v>
                </c:pt>
                <c:pt idx="248">
                  <c:v>82.231961739500804</c:v>
                </c:pt>
                <c:pt idx="249">
                  <c:v>99.262311456176604</c:v>
                </c:pt>
                <c:pt idx="250">
                  <c:v>94.454453716012296</c:v>
                </c:pt>
                <c:pt idx="251">
                  <c:v>88.503940412031099</c:v>
                </c:pt>
                <c:pt idx="252">
                  <c:v>96.504671211668693</c:v>
                </c:pt>
                <c:pt idx="253">
                  <c:v>78.359502437596703</c:v>
                </c:pt>
                <c:pt idx="254">
                  <c:v>61.744500026495402</c:v>
                </c:pt>
                <c:pt idx="255">
                  <c:v>55.191516687308599</c:v>
                </c:pt>
                <c:pt idx="256">
                  <c:v>67.9523283289505</c:v>
                </c:pt>
                <c:pt idx="257">
                  <c:v>68.536648331195707</c:v>
                </c:pt>
                <c:pt idx="258">
                  <c:v>77.910490892157299</c:v>
                </c:pt>
                <c:pt idx="259">
                  <c:v>60.3509768169098</c:v>
                </c:pt>
                <c:pt idx="260">
                  <c:v>57.741546861546801</c:v>
                </c:pt>
                <c:pt idx="261">
                  <c:v>65.884430492594205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exam!$Z$3</c:f>
              <c:strCache>
                <c:ptCount val="1"/>
                <c:pt idx="0">
                  <c:v>Loan Level Incentive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exam!$X$4:$X$265</c:f>
              <c:numCache>
                <c:formatCode>m/d/yyyy</c:formatCode>
                <c:ptCount val="262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34486</c:v>
                </c:pt>
                <c:pt idx="4">
                  <c:v>34516</c:v>
                </c:pt>
                <c:pt idx="5">
                  <c:v>34547</c:v>
                </c:pt>
                <c:pt idx="6">
                  <c:v>34578</c:v>
                </c:pt>
                <c:pt idx="7">
                  <c:v>34608</c:v>
                </c:pt>
                <c:pt idx="8">
                  <c:v>34639</c:v>
                </c:pt>
                <c:pt idx="9">
                  <c:v>34669</c:v>
                </c:pt>
                <c:pt idx="10">
                  <c:v>34700</c:v>
                </c:pt>
                <c:pt idx="11">
                  <c:v>34731</c:v>
                </c:pt>
                <c:pt idx="12">
                  <c:v>34759</c:v>
                </c:pt>
                <c:pt idx="13">
                  <c:v>34790</c:v>
                </c:pt>
                <c:pt idx="14">
                  <c:v>34820</c:v>
                </c:pt>
                <c:pt idx="15">
                  <c:v>34851</c:v>
                </c:pt>
                <c:pt idx="16">
                  <c:v>34881</c:v>
                </c:pt>
                <c:pt idx="17">
                  <c:v>34912</c:v>
                </c:pt>
                <c:pt idx="18">
                  <c:v>34943</c:v>
                </c:pt>
                <c:pt idx="19">
                  <c:v>34973</c:v>
                </c:pt>
                <c:pt idx="20">
                  <c:v>35004</c:v>
                </c:pt>
                <c:pt idx="21">
                  <c:v>35034</c:v>
                </c:pt>
                <c:pt idx="22">
                  <c:v>35065</c:v>
                </c:pt>
                <c:pt idx="23">
                  <c:v>35096</c:v>
                </c:pt>
                <c:pt idx="24">
                  <c:v>35125</c:v>
                </c:pt>
                <c:pt idx="25">
                  <c:v>35156</c:v>
                </c:pt>
                <c:pt idx="26">
                  <c:v>35186</c:v>
                </c:pt>
                <c:pt idx="27">
                  <c:v>35217</c:v>
                </c:pt>
                <c:pt idx="28">
                  <c:v>35247</c:v>
                </c:pt>
                <c:pt idx="29">
                  <c:v>35278</c:v>
                </c:pt>
                <c:pt idx="30">
                  <c:v>35309</c:v>
                </c:pt>
                <c:pt idx="31">
                  <c:v>35339</c:v>
                </c:pt>
                <c:pt idx="32">
                  <c:v>35370</c:v>
                </c:pt>
                <c:pt idx="33">
                  <c:v>35462</c:v>
                </c:pt>
                <c:pt idx="34">
                  <c:v>35490</c:v>
                </c:pt>
                <c:pt idx="35">
                  <c:v>35521</c:v>
                </c:pt>
                <c:pt idx="36">
                  <c:v>35551</c:v>
                </c:pt>
                <c:pt idx="37">
                  <c:v>35582</c:v>
                </c:pt>
                <c:pt idx="38">
                  <c:v>35612</c:v>
                </c:pt>
                <c:pt idx="39">
                  <c:v>35643</c:v>
                </c:pt>
                <c:pt idx="40">
                  <c:v>35674</c:v>
                </c:pt>
                <c:pt idx="41">
                  <c:v>35704</c:v>
                </c:pt>
                <c:pt idx="42">
                  <c:v>35735</c:v>
                </c:pt>
                <c:pt idx="43">
                  <c:v>35765</c:v>
                </c:pt>
                <c:pt idx="44">
                  <c:v>35796</c:v>
                </c:pt>
                <c:pt idx="45">
                  <c:v>35827</c:v>
                </c:pt>
                <c:pt idx="46">
                  <c:v>35855</c:v>
                </c:pt>
                <c:pt idx="47">
                  <c:v>35886</c:v>
                </c:pt>
                <c:pt idx="48">
                  <c:v>35916</c:v>
                </c:pt>
                <c:pt idx="49">
                  <c:v>35947</c:v>
                </c:pt>
                <c:pt idx="50">
                  <c:v>35977</c:v>
                </c:pt>
                <c:pt idx="51">
                  <c:v>36008</c:v>
                </c:pt>
                <c:pt idx="52">
                  <c:v>36039</c:v>
                </c:pt>
                <c:pt idx="53">
                  <c:v>36069</c:v>
                </c:pt>
                <c:pt idx="54">
                  <c:v>36100</c:v>
                </c:pt>
                <c:pt idx="55">
                  <c:v>36130</c:v>
                </c:pt>
                <c:pt idx="56">
                  <c:v>36161</c:v>
                </c:pt>
                <c:pt idx="57">
                  <c:v>36192</c:v>
                </c:pt>
                <c:pt idx="58">
                  <c:v>36220</c:v>
                </c:pt>
                <c:pt idx="59">
                  <c:v>36251</c:v>
                </c:pt>
                <c:pt idx="60">
                  <c:v>36281</c:v>
                </c:pt>
                <c:pt idx="61">
                  <c:v>36312</c:v>
                </c:pt>
                <c:pt idx="62">
                  <c:v>36342</c:v>
                </c:pt>
                <c:pt idx="63">
                  <c:v>36373</c:v>
                </c:pt>
                <c:pt idx="64">
                  <c:v>36404</c:v>
                </c:pt>
                <c:pt idx="65">
                  <c:v>36434</c:v>
                </c:pt>
                <c:pt idx="66">
                  <c:v>36465</c:v>
                </c:pt>
                <c:pt idx="67">
                  <c:v>36495</c:v>
                </c:pt>
                <c:pt idx="68">
                  <c:v>36526</c:v>
                </c:pt>
                <c:pt idx="69">
                  <c:v>36557</c:v>
                </c:pt>
                <c:pt idx="70">
                  <c:v>36586</c:v>
                </c:pt>
                <c:pt idx="71">
                  <c:v>36617</c:v>
                </c:pt>
                <c:pt idx="72">
                  <c:v>36647</c:v>
                </c:pt>
                <c:pt idx="73">
                  <c:v>36678</c:v>
                </c:pt>
                <c:pt idx="74">
                  <c:v>36708</c:v>
                </c:pt>
                <c:pt idx="75">
                  <c:v>36739</c:v>
                </c:pt>
                <c:pt idx="76">
                  <c:v>36770</c:v>
                </c:pt>
                <c:pt idx="77">
                  <c:v>36800</c:v>
                </c:pt>
                <c:pt idx="78">
                  <c:v>36831</c:v>
                </c:pt>
                <c:pt idx="79">
                  <c:v>36861</c:v>
                </c:pt>
                <c:pt idx="80">
                  <c:v>36892</c:v>
                </c:pt>
                <c:pt idx="81">
                  <c:v>36923</c:v>
                </c:pt>
                <c:pt idx="82">
                  <c:v>36951</c:v>
                </c:pt>
                <c:pt idx="83">
                  <c:v>36982</c:v>
                </c:pt>
                <c:pt idx="84">
                  <c:v>37012</c:v>
                </c:pt>
                <c:pt idx="85">
                  <c:v>37043</c:v>
                </c:pt>
                <c:pt idx="86">
                  <c:v>37073</c:v>
                </c:pt>
                <c:pt idx="87">
                  <c:v>37104</c:v>
                </c:pt>
                <c:pt idx="88">
                  <c:v>37135</c:v>
                </c:pt>
                <c:pt idx="89">
                  <c:v>37165</c:v>
                </c:pt>
                <c:pt idx="90">
                  <c:v>37196</c:v>
                </c:pt>
                <c:pt idx="91">
                  <c:v>37226</c:v>
                </c:pt>
                <c:pt idx="92">
                  <c:v>37257</c:v>
                </c:pt>
                <c:pt idx="93">
                  <c:v>37288</c:v>
                </c:pt>
                <c:pt idx="94">
                  <c:v>37316</c:v>
                </c:pt>
                <c:pt idx="95">
                  <c:v>37347</c:v>
                </c:pt>
                <c:pt idx="96">
                  <c:v>37377</c:v>
                </c:pt>
                <c:pt idx="97">
                  <c:v>37408</c:v>
                </c:pt>
                <c:pt idx="98">
                  <c:v>37438</c:v>
                </c:pt>
                <c:pt idx="99">
                  <c:v>37469</c:v>
                </c:pt>
                <c:pt idx="100">
                  <c:v>37500</c:v>
                </c:pt>
                <c:pt idx="101">
                  <c:v>37530</c:v>
                </c:pt>
                <c:pt idx="102">
                  <c:v>37561</c:v>
                </c:pt>
                <c:pt idx="103">
                  <c:v>37591</c:v>
                </c:pt>
                <c:pt idx="104">
                  <c:v>37622</c:v>
                </c:pt>
                <c:pt idx="105">
                  <c:v>37653</c:v>
                </c:pt>
                <c:pt idx="106">
                  <c:v>37681</c:v>
                </c:pt>
                <c:pt idx="107">
                  <c:v>37712</c:v>
                </c:pt>
                <c:pt idx="108">
                  <c:v>37742</c:v>
                </c:pt>
                <c:pt idx="109">
                  <c:v>37773</c:v>
                </c:pt>
                <c:pt idx="110">
                  <c:v>37803</c:v>
                </c:pt>
                <c:pt idx="111">
                  <c:v>37834</c:v>
                </c:pt>
                <c:pt idx="112">
                  <c:v>37865</c:v>
                </c:pt>
                <c:pt idx="113">
                  <c:v>37895</c:v>
                </c:pt>
                <c:pt idx="114">
                  <c:v>37926</c:v>
                </c:pt>
                <c:pt idx="115">
                  <c:v>37956</c:v>
                </c:pt>
                <c:pt idx="116">
                  <c:v>37987</c:v>
                </c:pt>
                <c:pt idx="117">
                  <c:v>38018</c:v>
                </c:pt>
                <c:pt idx="118">
                  <c:v>38047</c:v>
                </c:pt>
                <c:pt idx="119">
                  <c:v>38078</c:v>
                </c:pt>
                <c:pt idx="120">
                  <c:v>38108</c:v>
                </c:pt>
                <c:pt idx="121">
                  <c:v>38139</c:v>
                </c:pt>
                <c:pt idx="122">
                  <c:v>38169</c:v>
                </c:pt>
                <c:pt idx="123">
                  <c:v>38200</c:v>
                </c:pt>
                <c:pt idx="124">
                  <c:v>38231</c:v>
                </c:pt>
                <c:pt idx="125">
                  <c:v>38261</c:v>
                </c:pt>
                <c:pt idx="126">
                  <c:v>38292</c:v>
                </c:pt>
                <c:pt idx="127">
                  <c:v>38322</c:v>
                </c:pt>
                <c:pt idx="128">
                  <c:v>38353</c:v>
                </c:pt>
                <c:pt idx="129">
                  <c:v>38384</c:v>
                </c:pt>
                <c:pt idx="130">
                  <c:v>38412</c:v>
                </c:pt>
                <c:pt idx="131">
                  <c:v>38443</c:v>
                </c:pt>
                <c:pt idx="132">
                  <c:v>38473</c:v>
                </c:pt>
                <c:pt idx="133">
                  <c:v>38504</c:v>
                </c:pt>
                <c:pt idx="134">
                  <c:v>38534</c:v>
                </c:pt>
                <c:pt idx="135">
                  <c:v>38565</c:v>
                </c:pt>
                <c:pt idx="136">
                  <c:v>38596</c:v>
                </c:pt>
                <c:pt idx="137">
                  <c:v>38626</c:v>
                </c:pt>
                <c:pt idx="138">
                  <c:v>38657</c:v>
                </c:pt>
                <c:pt idx="139">
                  <c:v>38687</c:v>
                </c:pt>
                <c:pt idx="140">
                  <c:v>38718</c:v>
                </c:pt>
                <c:pt idx="141">
                  <c:v>38749</c:v>
                </c:pt>
                <c:pt idx="142">
                  <c:v>38777</c:v>
                </c:pt>
                <c:pt idx="143">
                  <c:v>38808</c:v>
                </c:pt>
                <c:pt idx="144">
                  <c:v>38838</c:v>
                </c:pt>
                <c:pt idx="145">
                  <c:v>38869</c:v>
                </c:pt>
                <c:pt idx="146">
                  <c:v>38899</c:v>
                </c:pt>
                <c:pt idx="147">
                  <c:v>38930</c:v>
                </c:pt>
                <c:pt idx="148">
                  <c:v>38961</c:v>
                </c:pt>
                <c:pt idx="149">
                  <c:v>38991</c:v>
                </c:pt>
                <c:pt idx="150">
                  <c:v>39022</c:v>
                </c:pt>
                <c:pt idx="151">
                  <c:v>39052</c:v>
                </c:pt>
                <c:pt idx="152">
                  <c:v>39083</c:v>
                </c:pt>
                <c:pt idx="153">
                  <c:v>39114</c:v>
                </c:pt>
                <c:pt idx="154">
                  <c:v>39142</c:v>
                </c:pt>
                <c:pt idx="155">
                  <c:v>39173</c:v>
                </c:pt>
                <c:pt idx="156">
                  <c:v>39203</c:v>
                </c:pt>
                <c:pt idx="157">
                  <c:v>39234</c:v>
                </c:pt>
                <c:pt idx="158">
                  <c:v>39264</c:v>
                </c:pt>
                <c:pt idx="159">
                  <c:v>39295</c:v>
                </c:pt>
                <c:pt idx="160">
                  <c:v>39326</c:v>
                </c:pt>
                <c:pt idx="161">
                  <c:v>39356</c:v>
                </c:pt>
                <c:pt idx="162">
                  <c:v>39387</c:v>
                </c:pt>
                <c:pt idx="163">
                  <c:v>39417</c:v>
                </c:pt>
                <c:pt idx="164">
                  <c:v>39448</c:v>
                </c:pt>
                <c:pt idx="165">
                  <c:v>39479</c:v>
                </c:pt>
                <c:pt idx="166">
                  <c:v>39508</c:v>
                </c:pt>
                <c:pt idx="167">
                  <c:v>39539</c:v>
                </c:pt>
                <c:pt idx="168">
                  <c:v>39569</c:v>
                </c:pt>
                <c:pt idx="169">
                  <c:v>39600</c:v>
                </c:pt>
                <c:pt idx="170">
                  <c:v>39630</c:v>
                </c:pt>
                <c:pt idx="171">
                  <c:v>39661</c:v>
                </c:pt>
                <c:pt idx="172">
                  <c:v>39692</c:v>
                </c:pt>
                <c:pt idx="173">
                  <c:v>39722</c:v>
                </c:pt>
                <c:pt idx="174">
                  <c:v>39753</c:v>
                </c:pt>
                <c:pt idx="175">
                  <c:v>39783</c:v>
                </c:pt>
                <c:pt idx="176">
                  <c:v>39814</c:v>
                </c:pt>
                <c:pt idx="177">
                  <c:v>39845</c:v>
                </c:pt>
                <c:pt idx="178">
                  <c:v>39873</c:v>
                </c:pt>
                <c:pt idx="179">
                  <c:v>39904</c:v>
                </c:pt>
                <c:pt idx="180">
                  <c:v>39934</c:v>
                </c:pt>
                <c:pt idx="181">
                  <c:v>39965</c:v>
                </c:pt>
                <c:pt idx="182">
                  <c:v>39995</c:v>
                </c:pt>
                <c:pt idx="183">
                  <c:v>40026</c:v>
                </c:pt>
                <c:pt idx="184">
                  <c:v>40057</c:v>
                </c:pt>
                <c:pt idx="185">
                  <c:v>40087</c:v>
                </c:pt>
                <c:pt idx="186">
                  <c:v>40118</c:v>
                </c:pt>
                <c:pt idx="187">
                  <c:v>40148</c:v>
                </c:pt>
                <c:pt idx="188">
                  <c:v>40179</c:v>
                </c:pt>
                <c:pt idx="189">
                  <c:v>40210</c:v>
                </c:pt>
                <c:pt idx="190">
                  <c:v>40238</c:v>
                </c:pt>
                <c:pt idx="191">
                  <c:v>40269</c:v>
                </c:pt>
                <c:pt idx="192">
                  <c:v>40299</c:v>
                </c:pt>
                <c:pt idx="193">
                  <c:v>40330</c:v>
                </c:pt>
                <c:pt idx="194">
                  <c:v>40360</c:v>
                </c:pt>
                <c:pt idx="195">
                  <c:v>40391</c:v>
                </c:pt>
                <c:pt idx="196">
                  <c:v>40422</c:v>
                </c:pt>
                <c:pt idx="197">
                  <c:v>40452</c:v>
                </c:pt>
                <c:pt idx="198">
                  <c:v>40483</c:v>
                </c:pt>
                <c:pt idx="199">
                  <c:v>40513</c:v>
                </c:pt>
                <c:pt idx="200">
                  <c:v>40544</c:v>
                </c:pt>
                <c:pt idx="201">
                  <c:v>40575</c:v>
                </c:pt>
                <c:pt idx="202">
                  <c:v>40603</c:v>
                </c:pt>
                <c:pt idx="203">
                  <c:v>40634</c:v>
                </c:pt>
                <c:pt idx="204">
                  <c:v>40664</c:v>
                </c:pt>
                <c:pt idx="205">
                  <c:v>40695</c:v>
                </c:pt>
                <c:pt idx="206">
                  <c:v>40725</c:v>
                </c:pt>
                <c:pt idx="207">
                  <c:v>40756</c:v>
                </c:pt>
                <c:pt idx="208">
                  <c:v>40787</c:v>
                </c:pt>
                <c:pt idx="209">
                  <c:v>40817</c:v>
                </c:pt>
                <c:pt idx="210">
                  <c:v>40848</c:v>
                </c:pt>
                <c:pt idx="211">
                  <c:v>40878</c:v>
                </c:pt>
                <c:pt idx="212">
                  <c:v>40909</c:v>
                </c:pt>
                <c:pt idx="213">
                  <c:v>40940</c:v>
                </c:pt>
                <c:pt idx="214">
                  <c:v>40969</c:v>
                </c:pt>
                <c:pt idx="215">
                  <c:v>41000</c:v>
                </c:pt>
                <c:pt idx="216">
                  <c:v>41030</c:v>
                </c:pt>
                <c:pt idx="217">
                  <c:v>41061</c:v>
                </c:pt>
                <c:pt idx="218">
                  <c:v>41091</c:v>
                </c:pt>
                <c:pt idx="219">
                  <c:v>41122</c:v>
                </c:pt>
                <c:pt idx="220">
                  <c:v>41153</c:v>
                </c:pt>
                <c:pt idx="221">
                  <c:v>41183</c:v>
                </c:pt>
                <c:pt idx="222">
                  <c:v>41214</c:v>
                </c:pt>
                <c:pt idx="223">
                  <c:v>41244</c:v>
                </c:pt>
                <c:pt idx="224">
                  <c:v>41275</c:v>
                </c:pt>
                <c:pt idx="225">
                  <c:v>41306</c:v>
                </c:pt>
                <c:pt idx="226">
                  <c:v>41334</c:v>
                </c:pt>
                <c:pt idx="227">
                  <c:v>41365</c:v>
                </c:pt>
                <c:pt idx="228">
                  <c:v>41395</c:v>
                </c:pt>
                <c:pt idx="229">
                  <c:v>41426</c:v>
                </c:pt>
                <c:pt idx="230">
                  <c:v>41456</c:v>
                </c:pt>
                <c:pt idx="231">
                  <c:v>41487</c:v>
                </c:pt>
                <c:pt idx="232">
                  <c:v>41518</c:v>
                </c:pt>
                <c:pt idx="233">
                  <c:v>41548</c:v>
                </c:pt>
                <c:pt idx="234">
                  <c:v>41579</c:v>
                </c:pt>
                <c:pt idx="235">
                  <c:v>41609</c:v>
                </c:pt>
                <c:pt idx="236">
                  <c:v>41640</c:v>
                </c:pt>
                <c:pt idx="237">
                  <c:v>41671</c:v>
                </c:pt>
                <c:pt idx="238">
                  <c:v>41699</c:v>
                </c:pt>
                <c:pt idx="239">
                  <c:v>41730</c:v>
                </c:pt>
                <c:pt idx="240">
                  <c:v>41760</c:v>
                </c:pt>
                <c:pt idx="241">
                  <c:v>41791</c:v>
                </c:pt>
                <c:pt idx="242">
                  <c:v>41821</c:v>
                </c:pt>
                <c:pt idx="243">
                  <c:v>41852</c:v>
                </c:pt>
                <c:pt idx="244">
                  <c:v>41883</c:v>
                </c:pt>
                <c:pt idx="245">
                  <c:v>41913</c:v>
                </c:pt>
                <c:pt idx="246">
                  <c:v>41944</c:v>
                </c:pt>
                <c:pt idx="247">
                  <c:v>41974</c:v>
                </c:pt>
                <c:pt idx="248">
                  <c:v>42005</c:v>
                </c:pt>
                <c:pt idx="249">
                  <c:v>42036</c:v>
                </c:pt>
                <c:pt idx="250">
                  <c:v>42064</c:v>
                </c:pt>
                <c:pt idx="251">
                  <c:v>42095</c:v>
                </c:pt>
                <c:pt idx="252">
                  <c:v>42125</c:v>
                </c:pt>
                <c:pt idx="253">
                  <c:v>42156</c:v>
                </c:pt>
                <c:pt idx="254">
                  <c:v>42186</c:v>
                </c:pt>
                <c:pt idx="255">
                  <c:v>42217</c:v>
                </c:pt>
                <c:pt idx="256">
                  <c:v>42248</c:v>
                </c:pt>
                <c:pt idx="257">
                  <c:v>42278</c:v>
                </c:pt>
                <c:pt idx="258">
                  <c:v>42309</c:v>
                </c:pt>
                <c:pt idx="259">
                  <c:v>42339</c:v>
                </c:pt>
                <c:pt idx="260">
                  <c:v>42370</c:v>
                </c:pt>
                <c:pt idx="261">
                  <c:v>42401</c:v>
                </c:pt>
              </c:numCache>
            </c:numRef>
          </c:cat>
          <c:val>
            <c:numRef>
              <c:f>exam!$Z$4:$Z$265</c:f>
              <c:numCache>
                <c:formatCode>General</c:formatCode>
                <c:ptCount val="2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-1.8044656560339201</c:v>
                </c:pt>
                <c:pt idx="149">
                  <c:v>1.06599024950133</c:v>
                </c:pt>
                <c:pt idx="150">
                  <c:v>3.2817073924173199</c:v>
                </c:pt>
                <c:pt idx="151">
                  <c:v>6.52682923438703</c:v>
                </c:pt>
                <c:pt idx="152">
                  <c:v>10.0889333038091</c:v>
                </c:pt>
                <c:pt idx="153">
                  <c:v>8.0027057963012993</c:v>
                </c:pt>
                <c:pt idx="154">
                  <c:v>8.1035079058615604</c:v>
                </c:pt>
                <c:pt idx="155">
                  <c:v>10.9615964886766</c:v>
                </c:pt>
                <c:pt idx="156">
                  <c:v>10.1680191802411</c:v>
                </c:pt>
                <c:pt idx="157">
                  <c:v>7.6811192366785601</c:v>
                </c:pt>
                <c:pt idx="158">
                  <c:v>-6.4780578123856802</c:v>
                </c:pt>
                <c:pt idx="159">
                  <c:v>-7.99593307782773</c:v>
                </c:pt>
                <c:pt idx="160">
                  <c:v>-3.2034502916793102</c:v>
                </c:pt>
                <c:pt idx="161">
                  <c:v>4.2668853100737296</c:v>
                </c:pt>
                <c:pt idx="162">
                  <c:v>7.0538415752221999</c:v>
                </c:pt>
                <c:pt idx="163">
                  <c:v>15.0095904575023</c:v>
                </c:pt>
                <c:pt idx="164">
                  <c:v>20.563863681852698</c:v>
                </c:pt>
                <c:pt idx="165">
                  <c:v>37.114037435320299</c:v>
                </c:pt>
                <c:pt idx="166">
                  <c:v>27.971827188693499</c:v>
                </c:pt>
                <c:pt idx="167">
                  <c:v>25.645043781272499</c:v>
                </c:pt>
                <c:pt idx="168">
                  <c:v>26.767337017224399</c:v>
                </c:pt>
                <c:pt idx="169">
                  <c:v>21.190920503840999</c:v>
                </c:pt>
                <c:pt idx="170">
                  <c:v>3.6420228326978799</c:v>
                </c:pt>
                <c:pt idx="171">
                  <c:v>-2.4562066108885601</c:v>
                </c:pt>
                <c:pt idx="172">
                  <c:v>-6.3746271699104398</c:v>
                </c:pt>
                <c:pt idx="173">
                  <c:v>17.8888224477408</c:v>
                </c:pt>
                <c:pt idx="174">
                  <c:v>9.8364917509520708</c:v>
                </c:pt>
                <c:pt idx="175">
                  <c:v>14.907150686677999</c:v>
                </c:pt>
                <c:pt idx="176">
                  <c:v>60.017785832711901</c:v>
                </c:pt>
                <c:pt idx="177">
                  <c:v>74.425848102437101</c:v>
                </c:pt>
                <c:pt idx="178">
                  <c:v>67.808227608802596</c:v>
                </c:pt>
                <c:pt idx="179">
                  <c:v>72.691404241849895</c:v>
                </c:pt>
                <c:pt idx="180">
                  <c:v>81.436788025164304</c:v>
                </c:pt>
                <c:pt idx="181">
                  <c:v>76.525373345415005</c:v>
                </c:pt>
                <c:pt idx="182">
                  <c:v>39.058421129046401</c:v>
                </c:pt>
                <c:pt idx="183">
                  <c:v>47.658515904163202</c:v>
                </c:pt>
                <c:pt idx="184">
                  <c:v>46.8461679020091</c:v>
                </c:pt>
                <c:pt idx="185">
                  <c:v>54.813596589849801</c:v>
                </c:pt>
                <c:pt idx="186">
                  <c:v>58.322392222019602</c:v>
                </c:pt>
                <c:pt idx="187">
                  <c:v>62.429964226295702</c:v>
                </c:pt>
                <c:pt idx="188">
                  <c:v>56.857624536713402</c:v>
                </c:pt>
                <c:pt idx="189">
                  <c:v>48.724965046952804</c:v>
                </c:pt>
                <c:pt idx="190">
                  <c:v>46.383078037541402</c:v>
                </c:pt>
                <c:pt idx="191">
                  <c:v>45.2228809040298</c:v>
                </c:pt>
                <c:pt idx="192">
                  <c:v>36.498620748056901</c:v>
                </c:pt>
                <c:pt idx="193">
                  <c:v>49.862938294074603</c:v>
                </c:pt>
                <c:pt idx="194">
                  <c:v>60.718355833713098</c:v>
                </c:pt>
                <c:pt idx="195">
                  <c:v>69.891252697495602</c:v>
                </c:pt>
                <c:pt idx="196">
                  <c:v>77.675542598583505</c:v>
                </c:pt>
                <c:pt idx="197">
                  <c:v>80.870760470283201</c:v>
                </c:pt>
                <c:pt idx="198">
                  <c:v>85.858554503328506</c:v>
                </c:pt>
                <c:pt idx="199">
                  <c:v>77.050993596298895</c:v>
                </c:pt>
                <c:pt idx="200">
                  <c:v>43.8690442954872</c:v>
                </c:pt>
                <c:pt idx="201">
                  <c:v>35.984678930714402</c:v>
                </c:pt>
                <c:pt idx="202">
                  <c:v>18.5944225499933</c:v>
                </c:pt>
                <c:pt idx="203">
                  <c:v>27.236501972582101</c:v>
                </c:pt>
                <c:pt idx="204">
                  <c:v>27.280083038975501</c:v>
                </c:pt>
                <c:pt idx="205">
                  <c:v>42.6518196761727</c:v>
                </c:pt>
                <c:pt idx="206">
                  <c:v>52.287779062217801</c:v>
                </c:pt>
                <c:pt idx="207">
                  <c:v>49.675259001344003</c:v>
                </c:pt>
                <c:pt idx="208">
                  <c:v>71.566140375626603</c:v>
                </c:pt>
                <c:pt idx="209">
                  <c:v>84.8563528631868</c:v>
                </c:pt>
                <c:pt idx="210">
                  <c:v>81.945779169046006</c:v>
                </c:pt>
                <c:pt idx="211">
                  <c:v>87.910295988852894</c:v>
                </c:pt>
                <c:pt idx="212">
                  <c:v>90.083014332992406</c:v>
                </c:pt>
                <c:pt idx="213">
                  <c:v>90.447325803894998</c:v>
                </c:pt>
                <c:pt idx="214">
                  <c:v>89.211034117968893</c:v>
                </c:pt>
                <c:pt idx="215">
                  <c:v>84.2688593770485</c:v>
                </c:pt>
                <c:pt idx="216">
                  <c:v>90.154664829660902</c:v>
                </c:pt>
                <c:pt idx="217">
                  <c:v>98.858133422454699</c:v>
                </c:pt>
                <c:pt idx="218">
                  <c:v>108.258258165683</c:v>
                </c:pt>
                <c:pt idx="219">
                  <c:v>116.669911188578</c:v>
                </c:pt>
                <c:pt idx="220">
                  <c:v>111.989853374072</c:v>
                </c:pt>
                <c:pt idx="221">
                  <c:v>118.484472806531</c:v>
                </c:pt>
                <c:pt idx="222">
                  <c:v>123.328401755134</c:v>
                </c:pt>
                <c:pt idx="223">
                  <c:v>121.72432184082599</c:v>
                </c:pt>
                <c:pt idx="224">
                  <c:v>120.237144797537</c:v>
                </c:pt>
                <c:pt idx="225">
                  <c:v>111.30774689163501</c:v>
                </c:pt>
                <c:pt idx="226">
                  <c:v>95.743989998170505</c:v>
                </c:pt>
                <c:pt idx="227">
                  <c:v>91.236051298397896</c:v>
                </c:pt>
                <c:pt idx="228">
                  <c:v>99.297885843514095</c:v>
                </c:pt>
                <c:pt idx="229">
                  <c:v>91.165050557773796</c:v>
                </c:pt>
                <c:pt idx="230">
                  <c:v>40.728865012110099</c:v>
                </c:pt>
                <c:pt idx="231">
                  <c:v>10.932081748781499</c:v>
                </c:pt>
                <c:pt idx="232">
                  <c:v>0.40304044420725099</c:v>
                </c:pt>
                <c:pt idx="233">
                  <c:v>-2.9925252808259102</c:v>
                </c:pt>
                <c:pt idx="234">
                  <c:v>22.270124279054698</c:v>
                </c:pt>
                <c:pt idx="235">
                  <c:v>12.9716932092054</c:v>
                </c:pt>
                <c:pt idx="236">
                  <c:v>-4.2543712093641002</c:v>
                </c:pt>
                <c:pt idx="237">
                  <c:v>-4.2720706355693601</c:v>
                </c:pt>
                <c:pt idx="238">
                  <c:v>7.3300827408239702</c:v>
                </c:pt>
                <c:pt idx="239">
                  <c:v>6.6957277858175699</c:v>
                </c:pt>
                <c:pt idx="240">
                  <c:v>8.1517231075014909</c:v>
                </c:pt>
                <c:pt idx="241">
                  <c:v>25.400213702387902</c:v>
                </c:pt>
                <c:pt idx="242">
                  <c:v>26.911536116643799</c:v>
                </c:pt>
                <c:pt idx="243">
                  <c:v>28.489467011108101</c:v>
                </c:pt>
                <c:pt idx="244">
                  <c:v>29.9400298368388</c:v>
                </c:pt>
                <c:pt idx="245">
                  <c:v>26.416466301472401</c:v>
                </c:pt>
                <c:pt idx="246">
                  <c:v>37.484152900481902</c:v>
                </c:pt>
                <c:pt idx="247">
                  <c:v>39.687991571246002</c:v>
                </c:pt>
                <c:pt idx="248">
                  <c:v>53.344923237343899</c:v>
                </c:pt>
                <c:pt idx="249">
                  <c:v>69.253944964388694</c:v>
                </c:pt>
                <c:pt idx="250">
                  <c:v>64.824648557436902</c:v>
                </c:pt>
                <c:pt idx="251">
                  <c:v>60.380392606927998</c:v>
                </c:pt>
                <c:pt idx="252">
                  <c:v>68.592980146579904</c:v>
                </c:pt>
                <c:pt idx="253">
                  <c:v>52.496308545458902</c:v>
                </c:pt>
                <c:pt idx="254">
                  <c:v>37.504595638160197</c:v>
                </c:pt>
                <c:pt idx="255">
                  <c:v>31.809146655373102</c:v>
                </c:pt>
                <c:pt idx="256">
                  <c:v>45.133391683717903</c:v>
                </c:pt>
                <c:pt idx="257">
                  <c:v>45.9639274834826</c:v>
                </c:pt>
                <c:pt idx="258">
                  <c:v>54.898514830083897</c:v>
                </c:pt>
                <c:pt idx="259">
                  <c:v>38.463485951756098</c:v>
                </c:pt>
                <c:pt idx="260">
                  <c:v>36.400927054306599</c:v>
                </c:pt>
                <c:pt idx="261">
                  <c:v>44.4784749204413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exam!$AA$3</c:f>
              <c:strCache>
                <c:ptCount val="1"/>
                <c:pt idx="0">
                  <c:v>Combine</c:v>
                </c:pt>
              </c:strCache>
            </c:strRef>
          </c:tx>
          <c:marker>
            <c:symbol val="none"/>
          </c:marker>
          <c:cat>
            <c:numRef>
              <c:f>exam!$X$4:$X$265</c:f>
              <c:numCache>
                <c:formatCode>m/d/yyyy</c:formatCode>
                <c:ptCount val="262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34486</c:v>
                </c:pt>
                <c:pt idx="4">
                  <c:v>34516</c:v>
                </c:pt>
                <c:pt idx="5">
                  <c:v>34547</c:v>
                </c:pt>
                <c:pt idx="6">
                  <c:v>34578</c:v>
                </c:pt>
                <c:pt idx="7">
                  <c:v>34608</c:v>
                </c:pt>
                <c:pt idx="8">
                  <c:v>34639</c:v>
                </c:pt>
                <c:pt idx="9">
                  <c:v>34669</c:v>
                </c:pt>
                <c:pt idx="10">
                  <c:v>34700</c:v>
                </c:pt>
                <c:pt idx="11">
                  <c:v>34731</c:v>
                </c:pt>
                <c:pt idx="12">
                  <c:v>34759</c:v>
                </c:pt>
                <c:pt idx="13">
                  <c:v>34790</c:v>
                </c:pt>
                <c:pt idx="14">
                  <c:v>34820</c:v>
                </c:pt>
                <c:pt idx="15">
                  <c:v>34851</c:v>
                </c:pt>
                <c:pt idx="16">
                  <c:v>34881</c:v>
                </c:pt>
                <c:pt idx="17">
                  <c:v>34912</c:v>
                </c:pt>
                <c:pt idx="18">
                  <c:v>34943</c:v>
                </c:pt>
                <c:pt idx="19">
                  <c:v>34973</c:v>
                </c:pt>
                <c:pt idx="20">
                  <c:v>35004</c:v>
                </c:pt>
                <c:pt idx="21">
                  <c:v>35034</c:v>
                </c:pt>
                <c:pt idx="22">
                  <c:v>35065</c:v>
                </c:pt>
                <c:pt idx="23">
                  <c:v>35096</c:v>
                </c:pt>
                <c:pt idx="24">
                  <c:v>35125</c:v>
                </c:pt>
                <c:pt idx="25">
                  <c:v>35156</c:v>
                </c:pt>
                <c:pt idx="26">
                  <c:v>35186</c:v>
                </c:pt>
                <c:pt idx="27">
                  <c:v>35217</c:v>
                </c:pt>
                <c:pt idx="28">
                  <c:v>35247</c:v>
                </c:pt>
                <c:pt idx="29">
                  <c:v>35278</c:v>
                </c:pt>
                <c:pt idx="30">
                  <c:v>35309</c:v>
                </c:pt>
                <c:pt idx="31">
                  <c:v>35339</c:v>
                </c:pt>
                <c:pt idx="32">
                  <c:v>35370</c:v>
                </c:pt>
                <c:pt idx="33">
                  <c:v>35462</c:v>
                </c:pt>
                <c:pt idx="34">
                  <c:v>35490</c:v>
                </c:pt>
                <c:pt idx="35">
                  <c:v>35521</c:v>
                </c:pt>
                <c:pt idx="36">
                  <c:v>35551</c:v>
                </c:pt>
                <c:pt idx="37">
                  <c:v>35582</c:v>
                </c:pt>
                <c:pt idx="38">
                  <c:v>35612</c:v>
                </c:pt>
                <c:pt idx="39">
                  <c:v>35643</c:v>
                </c:pt>
                <c:pt idx="40">
                  <c:v>35674</c:v>
                </c:pt>
                <c:pt idx="41">
                  <c:v>35704</c:v>
                </c:pt>
                <c:pt idx="42">
                  <c:v>35735</c:v>
                </c:pt>
                <c:pt idx="43">
                  <c:v>35765</c:v>
                </c:pt>
                <c:pt idx="44">
                  <c:v>35796</c:v>
                </c:pt>
                <c:pt idx="45">
                  <c:v>35827</c:v>
                </c:pt>
                <c:pt idx="46">
                  <c:v>35855</c:v>
                </c:pt>
                <c:pt idx="47">
                  <c:v>35886</c:v>
                </c:pt>
                <c:pt idx="48">
                  <c:v>35916</c:v>
                </c:pt>
                <c:pt idx="49">
                  <c:v>35947</c:v>
                </c:pt>
                <c:pt idx="50">
                  <c:v>35977</c:v>
                </c:pt>
                <c:pt idx="51">
                  <c:v>36008</c:v>
                </c:pt>
                <c:pt idx="52">
                  <c:v>36039</c:v>
                </c:pt>
                <c:pt idx="53">
                  <c:v>36069</c:v>
                </c:pt>
                <c:pt idx="54">
                  <c:v>36100</c:v>
                </c:pt>
                <c:pt idx="55">
                  <c:v>36130</c:v>
                </c:pt>
                <c:pt idx="56">
                  <c:v>36161</c:v>
                </c:pt>
                <c:pt idx="57">
                  <c:v>36192</c:v>
                </c:pt>
                <c:pt idx="58">
                  <c:v>36220</c:v>
                </c:pt>
                <c:pt idx="59">
                  <c:v>36251</c:v>
                </c:pt>
                <c:pt idx="60">
                  <c:v>36281</c:v>
                </c:pt>
                <c:pt idx="61">
                  <c:v>36312</c:v>
                </c:pt>
                <c:pt idx="62">
                  <c:v>36342</c:v>
                </c:pt>
                <c:pt idx="63">
                  <c:v>36373</c:v>
                </c:pt>
                <c:pt idx="64">
                  <c:v>36404</c:v>
                </c:pt>
                <c:pt idx="65">
                  <c:v>36434</c:v>
                </c:pt>
                <c:pt idx="66">
                  <c:v>36465</c:v>
                </c:pt>
                <c:pt idx="67">
                  <c:v>36495</c:v>
                </c:pt>
                <c:pt idx="68">
                  <c:v>36526</c:v>
                </c:pt>
                <c:pt idx="69">
                  <c:v>36557</c:v>
                </c:pt>
                <c:pt idx="70">
                  <c:v>36586</c:v>
                </c:pt>
                <c:pt idx="71">
                  <c:v>36617</c:v>
                </c:pt>
                <c:pt idx="72">
                  <c:v>36647</c:v>
                </c:pt>
                <c:pt idx="73">
                  <c:v>36678</c:v>
                </c:pt>
                <c:pt idx="74">
                  <c:v>36708</c:v>
                </c:pt>
                <c:pt idx="75">
                  <c:v>36739</c:v>
                </c:pt>
                <c:pt idx="76">
                  <c:v>36770</c:v>
                </c:pt>
                <c:pt idx="77">
                  <c:v>36800</c:v>
                </c:pt>
                <c:pt idx="78">
                  <c:v>36831</c:v>
                </c:pt>
                <c:pt idx="79">
                  <c:v>36861</c:v>
                </c:pt>
                <c:pt idx="80">
                  <c:v>36892</c:v>
                </c:pt>
                <c:pt idx="81">
                  <c:v>36923</c:v>
                </c:pt>
                <c:pt idx="82">
                  <c:v>36951</c:v>
                </c:pt>
                <c:pt idx="83">
                  <c:v>36982</c:v>
                </c:pt>
                <c:pt idx="84">
                  <c:v>37012</c:v>
                </c:pt>
                <c:pt idx="85">
                  <c:v>37043</c:v>
                </c:pt>
                <c:pt idx="86">
                  <c:v>37073</c:v>
                </c:pt>
                <c:pt idx="87">
                  <c:v>37104</c:v>
                </c:pt>
                <c:pt idx="88">
                  <c:v>37135</c:v>
                </c:pt>
                <c:pt idx="89">
                  <c:v>37165</c:v>
                </c:pt>
                <c:pt idx="90">
                  <c:v>37196</c:v>
                </c:pt>
                <c:pt idx="91">
                  <c:v>37226</c:v>
                </c:pt>
                <c:pt idx="92">
                  <c:v>37257</c:v>
                </c:pt>
                <c:pt idx="93">
                  <c:v>37288</c:v>
                </c:pt>
                <c:pt idx="94">
                  <c:v>37316</c:v>
                </c:pt>
                <c:pt idx="95">
                  <c:v>37347</c:v>
                </c:pt>
                <c:pt idx="96">
                  <c:v>37377</c:v>
                </c:pt>
                <c:pt idx="97">
                  <c:v>37408</c:v>
                </c:pt>
                <c:pt idx="98">
                  <c:v>37438</c:v>
                </c:pt>
                <c:pt idx="99">
                  <c:v>37469</c:v>
                </c:pt>
                <c:pt idx="100">
                  <c:v>37500</c:v>
                </c:pt>
                <c:pt idx="101">
                  <c:v>37530</c:v>
                </c:pt>
                <c:pt idx="102">
                  <c:v>37561</c:v>
                </c:pt>
                <c:pt idx="103">
                  <c:v>37591</c:v>
                </c:pt>
                <c:pt idx="104">
                  <c:v>37622</c:v>
                </c:pt>
                <c:pt idx="105">
                  <c:v>37653</c:v>
                </c:pt>
                <c:pt idx="106">
                  <c:v>37681</c:v>
                </c:pt>
                <c:pt idx="107">
                  <c:v>37712</c:v>
                </c:pt>
                <c:pt idx="108">
                  <c:v>37742</c:v>
                </c:pt>
                <c:pt idx="109">
                  <c:v>37773</c:v>
                </c:pt>
                <c:pt idx="110">
                  <c:v>37803</c:v>
                </c:pt>
                <c:pt idx="111">
                  <c:v>37834</c:v>
                </c:pt>
                <c:pt idx="112">
                  <c:v>37865</c:v>
                </c:pt>
                <c:pt idx="113">
                  <c:v>37895</c:v>
                </c:pt>
                <c:pt idx="114">
                  <c:v>37926</c:v>
                </c:pt>
                <c:pt idx="115">
                  <c:v>37956</c:v>
                </c:pt>
                <c:pt idx="116">
                  <c:v>37987</c:v>
                </c:pt>
                <c:pt idx="117">
                  <c:v>38018</c:v>
                </c:pt>
                <c:pt idx="118">
                  <c:v>38047</c:v>
                </c:pt>
                <c:pt idx="119">
                  <c:v>38078</c:v>
                </c:pt>
                <c:pt idx="120">
                  <c:v>38108</c:v>
                </c:pt>
                <c:pt idx="121">
                  <c:v>38139</c:v>
                </c:pt>
                <c:pt idx="122">
                  <c:v>38169</c:v>
                </c:pt>
                <c:pt idx="123">
                  <c:v>38200</c:v>
                </c:pt>
                <c:pt idx="124">
                  <c:v>38231</c:v>
                </c:pt>
                <c:pt idx="125">
                  <c:v>38261</c:v>
                </c:pt>
                <c:pt idx="126">
                  <c:v>38292</c:v>
                </c:pt>
                <c:pt idx="127">
                  <c:v>38322</c:v>
                </c:pt>
                <c:pt idx="128">
                  <c:v>38353</c:v>
                </c:pt>
                <c:pt idx="129">
                  <c:v>38384</c:v>
                </c:pt>
                <c:pt idx="130">
                  <c:v>38412</c:v>
                </c:pt>
                <c:pt idx="131">
                  <c:v>38443</c:v>
                </c:pt>
                <c:pt idx="132">
                  <c:v>38473</c:v>
                </c:pt>
                <c:pt idx="133">
                  <c:v>38504</c:v>
                </c:pt>
                <c:pt idx="134">
                  <c:v>38534</c:v>
                </c:pt>
                <c:pt idx="135">
                  <c:v>38565</c:v>
                </c:pt>
                <c:pt idx="136">
                  <c:v>38596</c:v>
                </c:pt>
                <c:pt idx="137">
                  <c:v>38626</c:v>
                </c:pt>
                <c:pt idx="138">
                  <c:v>38657</c:v>
                </c:pt>
                <c:pt idx="139">
                  <c:v>38687</c:v>
                </c:pt>
                <c:pt idx="140">
                  <c:v>38718</c:v>
                </c:pt>
                <c:pt idx="141">
                  <c:v>38749</c:v>
                </c:pt>
                <c:pt idx="142">
                  <c:v>38777</c:v>
                </c:pt>
                <c:pt idx="143">
                  <c:v>38808</c:v>
                </c:pt>
                <c:pt idx="144">
                  <c:v>38838</c:v>
                </c:pt>
                <c:pt idx="145">
                  <c:v>38869</c:v>
                </c:pt>
                <c:pt idx="146">
                  <c:v>38899</c:v>
                </c:pt>
                <c:pt idx="147">
                  <c:v>38930</c:v>
                </c:pt>
                <c:pt idx="148">
                  <c:v>38961</c:v>
                </c:pt>
                <c:pt idx="149">
                  <c:v>38991</c:v>
                </c:pt>
                <c:pt idx="150">
                  <c:v>39022</c:v>
                </c:pt>
                <c:pt idx="151">
                  <c:v>39052</c:v>
                </c:pt>
                <c:pt idx="152">
                  <c:v>39083</c:v>
                </c:pt>
                <c:pt idx="153">
                  <c:v>39114</c:v>
                </c:pt>
                <c:pt idx="154">
                  <c:v>39142</c:v>
                </c:pt>
                <c:pt idx="155">
                  <c:v>39173</c:v>
                </c:pt>
                <c:pt idx="156">
                  <c:v>39203</c:v>
                </c:pt>
                <c:pt idx="157">
                  <c:v>39234</c:v>
                </c:pt>
                <c:pt idx="158">
                  <c:v>39264</c:v>
                </c:pt>
                <c:pt idx="159">
                  <c:v>39295</c:v>
                </c:pt>
                <c:pt idx="160">
                  <c:v>39326</c:v>
                </c:pt>
                <c:pt idx="161">
                  <c:v>39356</c:v>
                </c:pt>
                <c:pt idx="162">
                  <c:v>39387</c:v>
                </c:pt>
                <c:pt idx="163">
                  <c:v>39417</c:v>
                </c:pt>
                <c:pt idx="164">
                  <c:v>39448</c:v>
                </c:pt>
                <c:pt idx="165">
                  <c:v>39479</c:v>
                </c:pt>
                <c:pt idx="166">
                  <c:v>39508</c:v>
                </c:pt>
                <c:pt idx="167">
                  <c:v>39539</c:v>
                </c:pt>
                <c:pt idx="168">
                  <c:v>39569</c:v>
                </c:pt>
                <c:pt idx="169">
                  <c:v>39600</c:v>
                </c:pt>
                <c:pt idx="170">
                  <c:v>39630</c:v>
                </c:pt>
                <c:pt idx="171">
                  <c:v>39661</c:v>
                </c:pt>
                <c:pt idx="172">
                  <c:v>39692</c:v>
                </c:pt>
                <c:pt idx="173">
                  <c:v>39722</c:v>
                </c:pt>
                <c:pt idx="174">
                  <c:v>39753</c:v>
                </c:pt>
                <c:pt idx="175">
                  <c:v>39783</c:v>
                </c:pt>
                <c:pt idx="176">
                  <c:v>39814</c:v>
                </c:pt>
                <c:pt idx="177">
                  <c:v>39845</c:v>
                </c:pt>
                <c:pt idx="178">
                  <c:v>39873</c:v>
                </c:pt>
                <c:pt idx="179">
                  <c:v>39904</c:v>
                </c:pt>
                <c:pt idx="180">
                  <c:v>39934</c:v>
                </c:pt>
                <c:pt idx="181">
                  <c:v>39965</c:v>
                </c:pt>
                <c:pt idx="182">
                  <c:v>39995</c:v>
                </c:pt>
                <c:pt idx="183">
                  <c:v>40026</c:v>
                </c:pt>
                <c:pt idx="184">
                  <c:v>40057</c:v>
                </c:pt>
                <c:pt idx="185">
                  <c:v>40087</c:v>
                </c:pt>
                <c:pt idx="186">
                  <c:v>40118</c:v>
                </c:pt>
                <c:pt idx="187">
                  <c:v>40148</c:v>
                </c:pt>
                <c:pt idx="188">
                  <c:v>40179</c:v>
                </c:pt>
                <c:pt idx="189">
                  <c:v>40210</c:v>
                </c:pt>
                <c:pt idx="190">
                  <c:v>40238</c:v>
                </c:pt>
                <c:pt idx="191">
                  <c:v>40269</c:v>
                </c:pt>
                <c:pt idx="192">
                  <c:v>40299</c:v>
                </c:pt>
                <c:pt idx="193">
                  <c:v>40330</c:v>
                </c:pt>
                <c:pt idx="194">
                  <c:v>40360</c:v>
                </c:pt>
                <c:pt idx="195">
                  <c:v>40391</c:v>
                </c:pt>
                <c:pt idx="196">
                  <c:v>40422</c:v>
                </c:pt>
                <c:pt idx="197">
                  <c:v>40452</c:v>
                </c:pt>
                <c:pt idx="198">
                  <c:v>40483</c:v>
                </c:pt>
                <c:pt idx="199">
                  <c:v>40513</c:v>
                </c:pt>
                <c:pt idx="200">
                  <c:v>40544</c:v>
                </c:pt>
                <c:pt idx="201">
                  <c:v>40575</c:v>
                </c:pt>
                <c:pt idx="202">
                  <c:v>40603</c:v>
                </c:pt>
                <c:pt idx="203">
                  <c:v>40634</c:v>
                </c:pt>
                <c:pt idx="204">
                  <c:v>40664</c:v>
                </c:pt>
                <c:pt idx="205">
                  <c:v>40695</c:v>
                </c:pt>
                <c:pt idx="206">
                  <c:v>40725</c:v>
                </c:pt>
                <c:pt idx="207">
                  <c:v>40756</c:v>
                </c:pt>
                <c:pt idx="208">
                  <c:v>40787</c:v>
                </c:pt>
                <c:pt idx="209">
                  <c:v>40817</c:v>
                </c:pt>
                <c:pt idx="210">
                  <c:v>40848</c:v>
                </c:pt>
                <c:pt idx="211">
                  <c:v>40878</c:v>
                </c:pt>
                <c:pt idx="212">
                  <c:v>40909</c:v>
                </c:pt>
                <c:pt idx="213">
                  <c:v>40940</c:v>
                </c:pt>
                <c:pt idx="214">
                  <c:v>40969</c:v>
                </c:pt>
                <c:pt idx="215">
                  <c:v>41000</c:v>
                </c:pt>
                <c:pt idx="216">
                  <c:v>41030</c:v>
                </c:pt>
                <c:pt idx="217">
                  <c:v>41061</c:v>
                </c:pt>
                <c:pt idx="218">
                  <c:v>41091</c:v>
                </c:pt>
                <c:pt idx="219">
                  <c:v>41122</c:v>
                </c:pt>
                <c:pt idx="220">
                  <c:v>41153</c:v>
                </c:pt>
                <c:pt idx="221">
                  <c:v>41183</c:v>
                </c:pt>
                <c:pt idx="222">
                  <c:v>41214</c:v>
                </c:pt>
                <c:pt idx="223">
                  <c:v>41244</c:v>
                </c:pt>
                <c:pt idx="224">
                  <c:v>41275</c:v>
                </c:pt>
                <c:pt idx="225">
                  <c:v>41306</c:v>
                </c:pt>
                <c:pt idx="226">
                  <c:v>41334</c:v>
                </c:pt>
                <c:pt idx="227">
                  <c:v>41365</c:v>
                </c:pt>
                <c:pt idx="228">
                  <c:v>41395</c:v>
                </c:pt>
                <c:pt idx="229">
                  <c:v>41426</c:v>
                </c:pt>
                <c:pt idx="230">
                  <c:v>41456</c:v>
                </c:pt>
                <c:pt idx="231">
                  <c:v>41487</c:v>
                </c:pt>
                <c:pt idx="232">
                  <c:v>41518</c:v>
                </c:pt>
                <c:pt idx="233">
                  <c:v>41548</c:v>
                </c:pt>
                <c:pt idx="234">
                  <c:v>41579</c:v>
                </c:pt>
                <c:pt idx="235">
                  <c:v>41609</c:v>
                </c:pt>
                <c:pt idx="236">
                  <c:v>41640</c:v>
                </c:pt>
                <c:pt idx="237">
                  <c:v>41671</c:v>
                </c:pt>
                <c:pt idx="238">
                  <c:v>41699</c:v>
                </c:pt>
                <c:pt idx="239">
                  <c:v>41730</c:v>
                </c:pt>
                <c:pt idx="240">
                  <c:v>41760</c:v>
                </c:pt>
                <c:pt idx="241">
                  <c:v>41791</c:v>
                </c:pt>
                <c:pt idx="242">
                  <c:v>41821</c:v>
                </c:pt>
                <c:pt idx="243">
                  <c:v>41852</c:v>
                </c:pt>
                <c:pt idx="244">
                  <c:v>41883</c:v>
                </c:pt>
                <c:pt idx="245">
                  <c:v>41913</c:v>
                </c:pt>
                <c:pt idx="246">
                  <c:v>41944</c:v>
                </c:pt>
                <c:pt idx="247">
                  <c:v>41974</c:v>
                </c:pt>
                <c:pt idx="248">
                  <c:v>42005</c:v>
                </c:pt>
                <c:pt idx="249">
                  <c:v>42036</c:v>
                </c:pt>
                <c:pt idx="250">
                  <c:v>42064</c:v>
                </c:pt>
                <c:pt idx="251">
                  <c:v>42095</c:v>
                </c:pt>
                <c:pt idx="252">
                  <c:v>42125</c:v>
                </c:pt>
                <c:pt idx="253">
                  <c:v>42156</c:v>
                </c:pt>
                <c:pt idx="254">
                  <c:v>42186</c:v>
                </c:pt>
                <c:pt idx="255">
                  <c:v>42217</c:v>
                </c:pt>
                <c:pt idx="256">
                  <c:v>42248</c:v>
                </c:pt>
                <c:pt idx="257">
                  <c:v>42278</c:v>
                </c:pt>
                <c:pt idx="258">
                  <c:v>42309</c:v>
                </c:pt>
                <c:pt idx="259">
                  <c:v>42339</c:v>
                </c:pt>
                <c:pt idx="260">
                  <c:v>42370</c:v>
                </c:pt>
                <c:pt idx="261">
                  <c:v>42401</c:v>
                </c:pt>
              </c:numCache>
            </c:numRef>
          </c:cat>
          <c:val>
            <c:numRef>
              <c:f>exam!$AA$4:$AA$265</c:f>
              <c:numCache>
                <c:formatCode>General</c:formatCode>
                <c:ptCount val="262"/>
                <c:pt idx="0">
                  <c:v>-16.4077033335541</c:v>
                </c:pt>
                <c:pt idx="1">
                  <c:v>87.428239000221097</c:v>
                </c:pt>
                <c:pt idx="2">
                  <c:v>71.277345340520398</c:v>
                </c:pt>
                <c:pt idx="3">
                  <c:v>-103.462737757575</c:v>
                </c:pt>
                <c:pt idx="4">
                  <c:v>-66.475650664200003</c:v>
                </c:pt>
                <c:pt idx="5">
                  <c:v>-86.049271941226394</c:v>
                </c:pt>
                <c:pt idx="6">
                  <c:v>-73.2116847077735</c:v>
                </c:pt>
                <c:pt idx="7">
                  <c:v>-84.823510757846904</c:v>
                </c:pt>
                <c:pt idx="8">
                  <c:v>-112.361274536153</c:v>
                </c:pt>
                <c:pt idx="9">
                  <c:v>-136.85141670150799</c:v>
                </c:pt>
                <c:pt idx="10">
                  <c:v>-138.30075947822999</c:v>
                </c:pt>
                <c:pt idx="11">
                  <c:v>-132.65991709818101</c:v>
                </c:pt>
                <c:pt idx="12">
                  <c:v>-100.635081868333</c:v>
                </c:pt>
                <c:pt idx="13">
                  <c:v>-61.113693093077401</c:v>
                </c:pt>
                <c:pt idx="14">
                  <c:v>-47.333085285577198</c:v>
                </c:pt>
                <c:pt idx="15">
                  <c:v>-7.7088885297184699</c:v>
                </c:pt>
                <c:pt idx="16">
                  <c:v>33.319484450286602</c:v>
                </c:pt>
                <c:pt idx="17">
                  <c:v>30.002933229197399</c:v>
                </c:pt>
                <c:pt idx="18">
                  <c:v>4.5834677338715304</c:v>
                </c:pt>
                <c:pt idx="19">
                  <c:v>28.105361177696501</c:v>
                </c:pt>
                <c:pt idx="20">
                  <c:v>39.234684892137402</c:v>
                </c:pt>
                <c:pt idx="21">
                  <c:v>50.194496495304499</c:v>
                </c:pt>
                <c:pt idx="22">
                  <c:v>70.641061628701095</c:v>
                </c:pt>
                <c:pt idx="23">
                  <c:v>83.722270084232093</c:v>
                </c:pt>
                <c:pt idx="24">
                  <c:v>70.985568297597496</c:v>
                </c:pt>
                <c:pt idx="25">
                  <c:v>14.30987428369</c:v>
                </c:pt>
                <c:pt idx="26">
                  <c:v>-13.5112224795777</c:v>
                </c:pt>
                <c:pt idx="27">
                  <c:v>-27.8294620854759</c:v>
                </c:pt>
                <c:pt idx="28">
                  <c:v>-51.6390714075959</c:v>
                </c:pt>
                <c:pt idx="29">
                  <c:v>-44.819420675604903</c:v>
                </c:pt>
                <c:pt idx="30">
                  <c:v>-18.209855026976701</c:v>
                </c:pt>
                <c:pt idx="31">
                  <c:v>-40.162320121385001</c:v>
                </c:pt>
                <c:pt idx="32">
                  <c:v>-6.00594662376814</c:v>
                </c:pt>
                <c:pt idx="33">
                  <c:v>-10.515572837206999</c:v>
                </c:pt>
                <c:pt idx="34">
                  <c:v>19.204501399972401</c:v>
                </c:pt>
                <c:pt idx="35">
                  <c:v>-6.8514061903483201</c:v>
                </c:pt>
                <c:pt idx="36">
                  <c:v>-30.692901067573601</c:v>
                </c:pt>
                <c:pt idx="37">
                  <c:v>-9.0652760272758393</c:v>
                </c:pt>
                <c:pt idx="38">
                  <c:v>15.7599992334902</c:v>
                </c:pt>
                <c:pt idx="39">
                  <c:v>36.506498025022999</c:v>
                </c:pt>
                <c:pt idx="40">
                  <c:v>33.555500237645397</c:v>
                </c:pt>
                <c:pt idx="41">
                  <c:v>41.657292602479203</c:v>
                </c:pt>
                <c:pt idx="42">
                  <c:v>53.966108030047799</c:v>
                </c:pt>
                <c:pt idx="43">
                  <c:v>61.737136670805697</c:v>
                </c:pt>
                <c:pt idx="44">
                  <c:v>69.5271048427458</c:v>
                </c:pt>
                <c:pt idx="45">
                  <c:v>89.299880703299095</c:v>
                </c:pt>
                <c:pt idx="46">
                  <c:v>86.282475516937197</c:v>
                </c:pt>
                <c:pt idx="47">
                  <c:v>75.681397509607606</c:v>
                </c:pt>
                <c:pt idx="48">
                  <c:v>71.671792390953399</c:v>
                </c:pt>
                <c:pt idx="49">
                  <c:v>71.202140692255298</c:v>
                </c:pt>
                <c:pt idx="50">
                  <c:v>82.043912700650594</c:v>
                </c:pt>
                <c:pt idx="51">
                  <c:v>81.725536602393504</c:v>
                </c:pt>
                <c:pt idx="52">
                  <c:v>81.798434324058405</c:v>
                </c:pt>
                <c:pt idx="53">
                  <c:v>102.500335389035</c:v>
                </c:pt>
                <c:pt idx="54">
                  <c:v>101.198588612072</c:v>
                </c:pt>
                <c:pt idx="55">
                  <c:v>81.498388431008294</c:v>
                </c:pt>
                <c:pt idx="56">
                  <c:v>88.632320752646194</c:v>
                </c:pt>
                <c:pt idx="57">
                  <c:v>80.980930754633604</c:v>
                </c:pt>
                <c:pt idx="58">
                  <c:v>73.553652634209499</c:v>
                </c:pt>
                <c:pt idx="59">
                  <c:v>49.6684553935089</c:v>
                </c:pt>
                <c:pt idx="60">
                  <c:v>57.408066013001097</c:v>
                </c:pt>
                <c:pt idx="61">
                  <c:v>31.8642327381901</c:v>
                </c:pt>
                <c:pt idx="62">
                  <c:v>-10.2380505653603</c:v>
                </c:pt>
                <c:pt idx="63">
                  <c:v>-19.191478069947699</c:v>
                </c:pt>
                <c:pt idx="64">
                  <c:v>-50.191017084799597</c:v>
                </c:pt>
                <c:pt idx="65">
                  <c:v>-34.701283893554702</c:v>
                </c:pt>
                <c:pt idx="66">
                  <c:v>-43.644437799152698</c:v>
                </c:pt>
                <c:pt idx="67">
                  <c:v>-27.6138362516248</c:v>
                </c:pt>
                <c:pt idx="68">
                  <c:v>-44.340417407094499</c:v>
                </c:pt>
                <c:pt idx="69">
                  <c:v>-72.957060367255295</c:v>
                </c:pt>
                <c:pt idx="70">
                  <c:v>-83.008339471642003</c:v>
                </c:pt>
                <c:pt idx="71">
                  <c:v>-73.533882732341894</c:v>
                </c:pt>
                <c:pt idx="72">
                  <c:v>-63.575865418382698</c:v>
                </c:pt>
                <c:pt idx="73">
                  <c:v>-99.091235676799599</c:v>
                </c:pt>
                <c:pt idx="74">
                  <c:v>-73.200816190475706</c:v>
                </c:pt>
                <c:pt idx="75">
                  <c:v>-57.038128708563399</c:v>
                </c:pt>
                <c:pt idx="76">
                  <c:v>-42.736309970196402</c:v>
                </c:pt>
                <c:pt idx="77">
                  <c:v>-30.6781275776627</c:v>
                </c:pt>
                <c:pt idx="78">
                  <c:v>-18.152124875879299</c:v>
                </c:pt>
                <c:pt idx="79">
                  <c:v>-8.2315621683626201</c:v>
                </c:pt>
                <c:pt idx="80">
                  <c:v>32.027417005507601</c:v>
                </c:pt>
                <c:pt idx="81">
                  <c:v>62.909162979580799</c:v>
                </c:pt>
                <c:pt idx="82">
                  <c:v>59.511688953841798</c:v>
                </c:pt>
                <c:pt idx="83">
                  <c:v>68.440215839555407</c:v>
                </c:pt>
                <c:pt idx="84">
                  <c:v>54.2156438154271</c:v>
                </c:pt>
                <c:pt idx="85">
                  <c:v>41.9853035121319</c:v>
                </c:pt>
                <c:pt idx="86">
                  <c:v>40.841504606211601</c:v>
                </c:pt>
                <c:pt idx="87">
                  <c:v>42.3322094241176</c:v>
                </c:pt>
                <c:pt idx="88">
                  <c:v>58.691597550613501</c:v>
                </c:pt>
                <c:pt idx="89">
                  <c:v>70.493892222259305</c:v>
                </c:pt>
                <c:pt idx="90">
                  <c:v>89.787320849394305</c:v>
                </c:pt>
                <c:pt idx="91">
                  <c:v>83.915086209276396</c:v>
                </c:pt>
                <c:pt idx="92">
                  <c:v>40.403540956262198</c:v>
                </c:pt>
                <c:pt idx="93">
                  <c:v>43.182643993367599</c:v>
                </c:pt>
                <c:pt idx="94">
                  <c:v>57.851966716358397</c:v>
                </c:pt>
                <c:pt idx="95">
                  <c:v>32.6467285958255</c:v>
                </c:pt>
                <c:pt idx="96">
                  <c:v>38.2728977036179</c:v>
                </c:pt>
                <c:pt idx="97">
                  <c:v>55.030307979908201</c:v>
                </c:pt>
                <c:pt idx="98">
                  <c:v>72.505637049256904</c:v>
                </c:pt>
                <c:pt idx="99">
                  <c:v>88.905020322615698</c:v>
                </c:pt>
                <c:pt idx="100">
                  <c:v>104.20961712146</c:v>
                </c:pt>
                <c:pt idx="101">
                  <c:v>121.564436858909</c:v>
                </c:pt>
                <c:pt idx="102">
                  <c:v>116.79196803926099</c:v>
                </c:pt>
                <c:pt idx="103">
                  <c:v>117.334958094513</c:v>
                </c:pt>
                <c:pt idx="104">
                  <c:v>113.533712318623</c:v>
                </c:pt>
                <c:pt idx="105">
                  <c:v>121.989569293345</c:v>
                </c:pt>
                <c:pt idx="106">
                  <c:v>124.647730881247</c:v>
                </c:pt>
                <c:pt idx="107">
                  <c:v>129.57205022735101</c:v>
                </c:pt>
                <c:pt idx="108">
                  <c:v>117.997795646399</c:v>
                </c:pt>
                <c:pt idx="109">
                  <c:v>133.452895317794</c:v>
                </c:pt>
                <c:pt idx="110">
                  <c:v>155.803499514029</c:v>
                </c:pt>
                <c:pt idx="111">
                  <c:v>99.370428321488703</c:v>
                </c:pt>
                <c:pt idx="112">
                  <c:v>25.8816942729093</c:v>
                </c:pt>
                <c:pt idx="113">
                  <c:v>36.051575711412298</c:v>
                </c:pt>
                <c:pt idx="114">
                  <c:v>48.893189528514498</c:v>
                </c:pt>
                <c:pt idx="115">
                  <c:v>47.558282686150697</c:v>
                </c:pt>
                <c:pt idx="116">
                  <c:v>49.266356280284903</c:v>
                </c:pt>
                <c:pt idx="117">
                  <c:v>64.485664050076593</c:v>
                </c:pt>
                <c:pt idx="118">
                  <c:v>70.328111996417903</c:v>
                </c:pt>
                <c:pt idx="119">
                  <c:v>85.322218342166806</c:v>
                </c:pt>
                <c:pt idx="120">
                  <c:v>37.434115326906699</c:v>
                </c:pt>
                <c:pt idx="121">
                  <c:v>-1.95875488872107</c:v>
                </c:pt>
                <c:pt idx="122">
                  <c:v>-3.1357661450124699</c:v>
                </c:pt>
                <c:pt idx="123">
                  <c:v>21.959764118961999</c:v>
                </c:pt>
                <c:pt idx="124">
                  <c:v>34.608798679175997</c:v>
                </c:pt>
                <c:pt idx="125">
                  <c:v>43.852104860781502</c:v>
                </c:pt>
                <c:pt idx="126">
                  <c:v>48.408860624759797</c:v>
                </c:pt>
                <c:pt idx="127">
                  <c:v>47.211829120443603</c:v>
                </c:pt>
                <c:pt idx="128">
                  <c:v>43.781719162844396</c:v>
                </c:pt>
                <c:pt idx="129">
                  <c:v>46.160062944955797</c:v>
                </c:pt>
                <c:pt idx="130">
                  <c:v>51.881992528927803</c:v>
                </c:pt>
                <c:pt idx="131">
                  <c:v>22.2613567922599</c:v>
                </c:pt>
                <c:pt idx="132">
                  <c:v>29.7118722265439</c:v>
                </c:pt>
                <c:pt idx="133">
                  <c:v>43.076631509568998</c:v>
                </c:pt>
                <c:pt idx="134">
                  <c:v>56.644277147880203</c:v>
                </c:pt>
                <c:pt idx="135">
                  <c:v>45.655295602089097</c:v>
                </c:pt>
                <c:pt idx="136">
                  <c:v>33.238301562251102</c:v>
                </c:pt>
                <c:pt idx="137">
                  <c:v>31.355046295817399</c:v>
                </c:pt>
                <c:pt idx="138">
                  <c:v>3.9801042435941998</c:v>
                </c:pt>
                <c:pt idx="139">
                  <c:v>-22.360165361049301</c:v>
                </c:pt>
                <c:pt idx="140">
                  <c:v>-18.7220013701711</c:v>
                </c:pt>
                <c:pt idx="141">
                  <c:v>-4.8089666139557004</c:v>
                </c:pt>
                <c:pt idx="142">
                  <c:v>-15.762663294019401</c:v>
                </c:pt>
                <c:pt idx="143">
                  <c:v>-23.828077702867699</c:v>
                </c:pt>
                <c:pt idx="144">
                  <c:v>-40.955372448905898</c:v>
                </c:pt>
                <c:pt idx="145">
                  <c:v>-48.360283383088699</c:v>
                </c:pt>
                <c:pt idx="146">
                  <c:v>-55.236479386350901</c:v>
                </c:pt>
                <c:pt idx="147">
                  <c:v>-61.166366262258897</c:v>
                </c:pt>
                <c:pt idx="148">
                  <c:v>-1.8044656560339201</c:v>
                </c:pt>
                <c:pt idx="149">
                  <c:v>1.06599024950133</c:v>
                </c:pt>
                <c:pt idx="150">
                  <c:v>3.2817073924173199</c:v>
                </c:pt>
                <c:pt idx="151">
                  <c:v>6.52682923438703</c:v>
                </c:pt>
                <c:pt idx="152">
                  <c:v>10.0889333038091</c:v>
                </c:pt>
                <c:pt idx="153">
                  <c:v>8.0027057963012993</c:v>
                </c:pt>
                <c:pt idx="154">
                  <c:v>8.1035079058615604</c:v>
                </c:pt>
                <c:pt idx="155">
                  <c:v>10.9615964886766</c:v>
                </c:pt>
                <c:pt idx="156">
                  <c:v>10.1680191802411</c:v>
                </c:pt>
                <c:pt idx="157">
                  <c:v>7.6811192366785601</c:v>
                </c:pt>
                <c:pt idx="158">
                  <c:v>-6.4780578123856802</c:v>
                </c:pt>
                <c:pt idx="159">
                  <c:v>-7.99593307782773</c:v>
                </c:pt>
                <c:pt idx="160">
                  <c:v>-3.2034502916793102</c:v>
                </c:pt>
                <c:pt idx="161">
                  <c:v>4.2668853100737296</c:v>
                </c:pt>
                <c:pt idx="162">
                  <c:v>7.0538415752221999</c:v>
                </c:pt>
                <c:pt idx="163">
                  <c:v>15.0095904575023</c:v>
                </c:pt>
                <c:pt idx="164">
                  <c:v>20.563863681852698</c:v>
                </c:pt>
                <c:pt idx="165">
                  <c:v>37.114037435320299</c:v>
                </c:pt>
                <c:pt idx="166">
                  <c:v>27.971827188693499</c:v>
                </c:pt>
                <c:pt idx="167">
                  <c:v>25.645043781272499</c:v>
                </c:pt>
                <c:pt idx="168">
                  <c:v>26.767337017224399</c:v>
                </c:pt>
                <c:pt idx="169">
                  <c:v>21.190920503840999</c:v>
                </c:pt>
                <c:pt idx="170">
                  <c:v>3.6420228326978799</c:v>
                </c:pt>
                <c:pt idx="171">
                  <c:v>-2.4562066108885601</c:v>
                </c:pt>
                <c:pt idx="172">
                  <c:v>-6.3746271699104398</c:v>
                </c:pt>
                <c:pt idx="173">
                  <c:v>17.8888224477408</c:v>
                </c:pt>
                <c:pt idx="174">
                  <c:v>9.8364917509520708</c:v>
                </c:pt>
                <c:pt idx="175">
                  <c:v>14.907150686677999</c:v>
                </c:pt>
                <c:pt idx="176">
                  <c:v>60.017785832711901</c:v>
                </c:pt>
                <c:pt idx="177">
                  <c:v>74.425848102437101</c:v>
                </c:pt>
                <c:pt idx="178">
                  <c:v>67.808227608802596</c:v>
                </c:pt>
                <c:pt idx="179">
                  <c:v>72.691404241849895</c:v>
                </c:pt>
                <c:pt idx="180">
                  <c:v>81.436788025164304</c:v>
                </c:pt>
                <c:pt idx="181">
                  <c:v>76.525373345415005</c:v>
                </c:pt>
                <c:pt idx="182">
                  <c:v>39.058421129046401</c:v>
                </c:pt>
                <c:pt idx="183">
                  <c:v>47.658515904163202</c:v>
                </c:pt>
                <c:pt idx="184">
                  <c:v>46.8461679020091</c:v>
                </c:pt>
                <c:pt idx="185">
                  <c:v>54.813596589849801</c:v>
                </c:pt>
                <c:pt idx="186">
                  <c:v>58.322392222019602</c:v>
                </c:pt>
                <c:pt idx="187">
                  <c:v>62.429964226295702</c:v>
                </c:pt>
                <c:pt idx="188">
                  <c:v>56.857624536713402</c:v>
                </c:pt>
                <c:pt idx="189">
                  <c:v>48.724965046952804</c:v>
                </c:pt>
                <c:pt idx="190">
                  <c:v>46.383078037541402</c:v>
                </c:pt>
                <c:pt idx="191">
                  <c:v>45.2228809040298</c:v>
                </c:pt>
                <c:pt idx="192">
                  <c:v>36.498620748056901</c:v>
                </c:pt>
                <c:pt idx="193">
                  <c:v>49.862938294074603</c:v>
                </c:pt>
                <c:pt idx="194">
                  <c:v>60.718355833713098</c:v>
                </c:pt>
                <c:pt idx="195">
                  <c:v>69.891252697495602</c:v>
                </c:pt>
                <c:pt idx="196">
                  <c:v>77.675542598583505</c:v>
                </c:pt>
                <c:pt idx="197">
                  <c:v>80.870760470283201</c:v>
                </c:pt>
                <c:pt idx="198">
                  <c:v>85.858554503328506</c:v>
                </c:pt>
                <c:pt idx="199">
                  <c:v>77.050993596298895</c:v>
                </c:pt>
                <c:pt idx="200">
                  <c:v>43.8690442954872</c:v>
                </c:pt>
                <c:pt idx="201">
                  <c:v>35.984678930714402</c:v>
                </c:pt>
                <c:pt idx="202">
                  <c:v>18.5944225499933</c:v>
                </c:pt>
                <c:pt idx="203">
                  <c:v>27.236501972582101</c:v>
                </c:pt>
                <c:pt idx="204">
                  <c:v>27.280083038975501</c:v>
                </c:pt>
                <c:pt idx="205">
                  <c:v>42.6518196761727</c:v>
                </c:pt>
                <c:pt idx="206">
                  <c:v>52.287779062217801</c:v>
                </c:pt>
                <c:pt idx="207">
                  <c:v>49.675259001344003</c:v>
                </c:pt>
                <c:pt idx="208">
                  <c:v>71.566140375626603</c:v>
                </c:pt>
                <c:pt idx="209">
                  <c:v>84.8563528631868</c:v>
                </c:pt>
                <c:pt idx="210">
                  <c:v>81.945779169046006</c:v>
                </c:pt>
                <c:pt idx="211">
                  <c:v>87.910295988852894</c:v>
                </c:pt>
                <c:pt idx="212">
                  <c:v>90.083014332992406</c:v>
                </c:pt>
                <c:pt idx="213">
                  <c:v>90.447325803894998</c:v>
                </c:pt>
                <c:pt idx="214">
                  <c:v>89.211034117968893</c:v>
                </c:pt>
                <c:pt idx="215">
                  <c:v>84.2688593770485</c:v>
                </c:pt>
                <c:pt idx="216">
                  <c:v>90.154664829660902</c:v>
                </c:pt>
                <c:pt idx="217">
                  <c:v>98.858133422454699</c:v>
                </c:pt>
                <c:pt idx="218">
                  <c:v>108.258258165683</c:v>
                </c:pt>
                <c:pt idx="219">
                  <c:v>116.669911188578</c:v>
                </c:pt>
                <c:pt idx="220">
                  <c:v>111.989853374072</c:v>
                </c:pt>
                <c:pt idx="221">
                  <c:v>118.484472806531</c:v>
                </c:pt>
                <c:pt idx="222">
                  <c:v>123.328401755134</c:v>
                </c:pt>
                <c:pt idx="223">
                  <c:v>121.72432184082599</c:v>
                </c:pt>
                <c:pt idx="224">
                  <c:v>120.237144797537</c:v>
                </c:pt>
                <c:pt idx="225">
                  <c:v>111.30774689163501</c:v>
                </c:pt>
                <c:pt idx="226">
                  <c:v>95.743989998170505</c:v>
                </c:pt>
                <c:pt idx="227">
                  <c:v>91.236051298397896</c:v>
                </c:pt>
                <c:pt idx="228">
                  <c:v>99.297885843514095</c:v>
                </c:pt>
                <c:pt idx="229">
                  <c:v>91.165050557773796</c:v>
                </c:pt>
                <c:pt idx="230">
                  <c:v>40.728865012110099</c:v>
                </c:pt>
                <c:pt idx="231">
                  <c:v>10.932081748781499</c:v>
                </c:pt>
                <c:pt idx="232">
                  <c:v>0.40304044420725099</c:v>
                </c:pt>
                <c:pt idx="233">
                  <c:v>-2.9925252808259102</c:v>
                </c:pt>
                <c:pt idx="234">
                  <c:v>22.270124279054698</c:v>
                </c:pt>
                <c:pt idx="235">
                  <c:v>12.9716932092054</c:v>
                </c:pt>
                <c:pt idx="236">
                  <c:v>-4.2543712093641002</c:v>
                </c:pt>
                <c:pt idx="237">
                  <c:v>-4.2720706355693601</c:v>
                </c:pt>
                <c:pt idx="238">
                  <c:v>7.3300827408239702</c:v>
                </c:pt>
                <c:pt idx="239">
                  <c:v>6.6957277858175699</c:v>
                </c:pt>
                <c:pt idx="240">
                  <c:v>8.1517231075014909</c:v>
                </c:pt>
                <c:pt idx="241">
                  <c:v>25.400213702387902</c:v>
                </c:pt>
                <c:pt idx="242">
                  <c:v>26.911536116643799</c:v>
                </c:pt>
                <c:pt idx="243">
                  <c:v>28.489467011108101</c:v>
                </c:pt>
                <c:pt idx="244">
                  <c:v>29.9400298368388</c:v>
                </c:pt>
                <c:pt idx="245">
                  <c:v>26.416466301472401</c:v>
                </c:pt>
                <c:pt idx="246">
                  <c:v>37.484152900481902</c:v>
                </c:pt>
                <c:pt idx="247">
                  <c:v>39.687991571246002</c:v>
                </c:pt>
                <c:pt idx="248">
                  <c:v>53.344923237343899</c:v>
                </c:pt>
                <c:pt idx="249">
                  <c:v>69.253944964388694</c:v>
                </c:pt>
                <c:pt idx="250">
                  <c:v>64.824648557436902</c:v>
                </c:pt>
                <c:pt idx="251">
                  <c:v>60.380392606927998</c:v>
                </c:pt>
                <c:pt idx="252">
                  <c:v>68.592980146579904</c:v>
                </c:pt>
                <c:pt idx="253">
                  <c:v>52.496308545458902</c:v>
                </c:pt>
                <c:pt idx="254">
                  <c:v>37.504595638160197</c:v>
                </c:pt>
                <c:pt idx="255">
                  <c:v>31.809146655373102</c:v>
                </c:pt>
                <c:pt idx="256">
                  <c:v>45.133391683717903</c:v>
                </c:pt>
                <c:pt idx="257">
                  <c:v>45.9639274834826</c:v>
                </c:pt>
                <c:pt idx="258">
                  <c:v>54.898514830083897</c:v>
                </c:pt>
                <c:pt idx="259">
                  <c:v>38.463485951756098</c:v>
                </c:pt>
                <c:pt idx="260">
                  <c:v>36.400927054306599</c:v>
                </c:pt>
                <c:pt idx="261">
                  <c:v>44.4784749204413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450560"/>
        <c:axId val="262550272"/>
      </c:lineChart>
      <c:dateAx>
        <c:axId val="262450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262550272"/>
        <c:crosses val="autoZero"/>
        <c:auto val="1"/>
        <c:lblOffset val="100"/>
        <c:baseTimeUnit val="months"/>
      </c:dateAx>
      <c:valAx>
        <c:axId val="26255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2450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Jumbo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exam!$AE$3</c:f>
              <c:strCache>
                <c:ptCount val="1"/>
                <c:pt idx="0">
                  <c:v>Pool Level Incentive</c:v>
                </c:pt>
              </c:strCache>
            </c:strRef>
          </c:tx>
          <c:marker>
            <c:symbol val="none"/>
          </c:marker>
          <c:cat>
            <c:numRef>
              <c:f>exam!$AD$4:$AD$96</c:f>
              <c:numCache>
                <c:formatCode>m/d/yyyy</c:formatCode>
                <c:ptCount val="93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  <c:pt idx="88">
                  <c:v>42278</c:v>
                </c:pt>
                <c:pt idx="89">
                  <c:v>42309</c:v>
                </c:pt>
                <c:pt idx="90">
                  <c:v>42339</c:v>
                </c:pt>
                <c:pt idx="91">
                  <c:v>42370</c:v>
                </c:pt>
                <c:pt idx="92">
                  <c:v>42401</c:v>
                </c:pt>
              </c:numCache>
            </c:numRef>
          </c:cat>
          <c:val>
            <c:numRef>
              <c:f>exam!$AE$4:$AE$96</c:f>
              <c:numCache>
                <c:formatCode>General</c:formatCode>
                <c:ptCount val="93"/>
                <c:pt idx="0">
                  <c:v>-11.743841661125</c:v>
                </c:pt>
                <c:pt idx="1">
                  <c:v>-53.925963358305196</c:v>
                </c:pt>
                <c:pt idx="2">
                  <c:v>-70.552746471045296</c:v>
                </c:pt>
                <c:pt idx="3">
                  <c:v>-67.628576753302596</c:v>
                </c:pt>
                <c:pt idx="4">
                  <c:v>-11.2183136087788</c:v>
                </c:pt>
                <c:pt idx="5">
                  <c:v>-7.1385280776422597</c:v>
                </c:pt>
                <c:pt idx="6">
                  <c:v>5.1691776003341001</c:v>
                </c:pt>
                <c:pt idx="7">
                  <c:v>89.287058725830704</c:v>
                </c:pt>
                <c:pt idx="8">
                  <c:v>116.911549111358</c:v>
                </c:pt>
                <c:pt idx="9">
                  <c:v>103.14007302663801</c:v>
                </c:pt>
                <c:pt idx="10">
                  <c:v>111.81664784501601</c:v>
                </c:pt>
                <c:pt idx="11">
                  <c:v>130.68366920113201</c:v>
                </c:pt>
                <c:pt idx="12">
                  <c:v>124.728173793217</c:v>
                </c:pt>
                <c:pt idx="13">
                  <c:v>63.295016940594003</c:v>
                </c:pt>
                <c:pt idx="14">
                  <c:v>79.609947281185697</c:v>
                </c:pt>
                <c:pt idx="15">
                  <c:v>84.692738336899893</c:v>
                </c:pt>
                <c:pt idx="16">
                  <c:v>104.87563390392</c:v>
                </c:pt>
                <c:pt idx="17">
                  <c:v>113.948998733702</c:v>
                </c:pt>
                <c:pt idx="18">
                  <c:v>123.16688471778301</c:v>
                </c:pt>
                <c:pt idx="19">
                  <c:v>121.53168280009599</c:v>
                </c:pt>
                <c:pt idx="20">
                  <c:v>114.39866075955101</c:v>
                </c:pt>
                <c:pt idx="21">
                  <c:v>117.425630758523</c:v>
                </c:pt>
                <c:pt idx="22">
                  <c:v>116.636813382261</c:v>
                </c:pt>
                <c:pt idx="23">
                  <c:v>104.715913664521</c:v>
                </c:pt>
                <c:pt idx="24">
                  <c:v>124.74774744088801</c:v>
                </c:pt>
                <c:pt idx="25">
                  <c:v>143.00784122020599</c:v>
                </c:pt>
                <c:pt idx="26">
                  <c:v>158.76857935121501</c:v>
                </c:pt>
                <c:pt idx="27">
                  <c:v>174.162150311929</c:v>
                </c:pt>
                <c:pt idx="28">
                  <c:v>182.25964870231701</c:v>
                </c:pt>
                <c:pt idx="29">
                  <c:v>191.822269066161</c:v>
                </c:pt>
                <c:pt idx="30">
                  <c:v>184.04777470949</c:v>
                </c:pt>
                <c:pt idx="31">
                  <c:v>41.5174262089038</c:v>
                </c:pt>
                <c:pt idx="32">
                  <c:v>14.6938948916542</c:v>
                </c:pt>
                <c:pt idx="33">
                  <c:v>-19.076637522325299</c:v>
                </c:pt>
                <c:pt idx="34">
                  <c:v>-6.6500026464916102</c:v>
                </c:pt>
                <c:pt idx="35">
                  <c:v>-1.7276751987002801</c:v>
                </c:pt>
                <c:pt idx="36">
                  <c:v>22.5654996617736</c:v>
                </c:pt>
                <c:pt idx="37">
                  <c:v>39.812345773032398</c:v>
                </c:pt>
                <c:pt idx="38">
                  <c:v>36.765674605552697</c:v>
                </c:pt>
                <c:pt idx="39">
                  <c:v>64.395948753649705</c:v>
                </c:pt>
                <c:pt idx="40">
                  <c:v>80.477521478838895</c:v>
                </c:pt>
                <c:pt idx="41">
                  <c:v>71.538393399383096</c:v>
                </c:pt>
                <c:pt idx="42">
                  <c:v>74.674431509196495</c:v>
                </c:pt>
                <c:pt idx="43">
                  <c:v>73.0046120542913</c:v>
                </c:pt>
                <c:pt idx="44">
                  <c:v>68.050726640530698</c:v>
                </c:pt>
                <c:pt idx="45">
                  <c:v>62.754074874386198</c:v>
                </c:pt>
                <c:pt idx="46">
                  <c:v>48.871099005353102</c:v>
                </c:pt>
                <c:pt idx="47">
                  <c:v>51.082671657465198</c:v>
                </c:pt>
                <c:pt idx="48">
                  <c:v>58.5296097318788</c:v>
                </c:pt>
                <c:pt idx="49">
                  <c:v>70.470473808095704</c:v>
                </c:pt>
                <c:pt idx="50">
                  <c:v>81.723140650706895</c:v>
                </c:pt>
                <c:pt idx="51">
                  <c:v>76.585060872799403</c:v>
                </c:pt>
                <c:pt idx="52">
                  <c:v>81.477800753819196</c:v>
                </c:pt>
                <c:pt idx="53">
                  <c:v>84.7792603078572</c:v>
                </c:pt>
                <c:pt idx="54">
                  <c:v>79.829364398701301</c:v>
                </c:pt>
                <c:pt idx="55">
                  <c:v>78.329855795120196</c:v>
                </c:pt>
                <c:pt idx="56">
                  <c:v>66.194573975700905</c:v>
                </c:pt>
                <c:pt idx="57">
                  <c:v>47.646774390551997</c:v>
                </c:pt>
                <c:pt idx="58">
                  <c:v>41.562122371241699</c:v>
                </c:pt>
                <c:pt idx="59">
                  <c:v>52.886492981869402</c:v>
                </c:pt>
                <c:pt idx="60">
                  <c:v>44.155390613701897</c:v>
                </c:pt>
                <c:pt idx="61">
                  <c:v>-11.822492713775301</c:v>
                </c:pt>
                <c:pt idx="62">
                  <c:v>-42.008374196683597</c:v>
                </c:pt>
                <c:pt idx="63">
                  <c:v>-50.960358304586499</c:v>
                </c:pt>
                <c:pt idx="64">
                  <c:v>-51.108446729962097</c:v>
                </c:pt>
                <c:pt idx="65">
                  <c:v>-19.738677048454701</c:v>
                </c:pt>
                <c:pt idx="66">
                  <c:v>-25.3055685832385</c:v>
                </c:pt>
                <c:pt idx="67">
                  <c:v>-41.714102339941903</c:v>
                </c:pt>
                <c:pt idx="68">
                  <c:v>-39.754964619093798</c:v>
                </c:pt>
                <c:pt idx="69">
                  <c:v>-25.6199014016441</c:v>
                </c:pt>
                <c:pt idx="70">
                  <c:v>-25.983380862116999</c:v>
                </c:pt>
                <c:pt idx="71">
                  <c:v>-24.084778393886101</c:v>
                </c:pt>
                <c:pt idx="72">
                  <c:v>-4.0395411608184597</c:v>
                </c:pt>
                <c:pt idx="73">
                  <c:v>-1.4607704492751901</c:v>
                </c:pt>
                <c:pt idx="74">
                  <c:v>1.3110681354815401</c:v>
                </c:pt>
                <c:pt idx="75">
                  <c:v>4.6085011323931804</c:v>
                </c:pt>
                <c:pt idx="76">
                  <c:v>2.4867484620164699</c:v>
                </c:pt>
                <c:pt idx="77">
                  <c:v>15.579454156860001</c:v>
                </c:pt>
                <c:pt idx="78">
                  <c:v>18.818227428113602</c:v>
                </c:pt>
                <c:pt idx="79">
                  <c:v>31.6460884002528</c:v>
                </c:pt>
                <c:pt idx="80">
                  <c:v>49.614371696866399</c:v>
                </c:pt>
                <c:pt idx="81">
                  <c:v>44.6370191997269</c:v>
                </c:pt>
                <c:pt idx="82">
                  <c:v>38.2589853830751</c:v>
                </c:pt>
                <c:pt idx="83">
                  <c:v>46.513019673726397</c:v>
                </c:pt>
                <c:pt idx="84">
                  <c:v>28.438240654949499</c:v>
                </c:pt>
                <c:pt idx="85">
                  <c:v>11.771430594665601</c:v>
                </c:pt>
                <c:pt idx="86">
                  <c:v>5.9344104574471501</c:v>
                </c:pt>
                <c:pt idx="87">
                  <c:v>12.887784810335001</c:v>
                </c:pt>
                <c:pt idx="88">
                  <c:v>14.5477656617019</c:v>
                </c:pt>
                <c:pt idx="89">
                  <c:v>25.5595300904778</c:v>
                </c:pt>
                <c:pt idx="90">
                  <c:v>10.1161196089051</c:v>
                </c:pt>
                <c:pt idx="91">
                  <c:v>9.8801430387645794</c:v>
                </c:pt>
                <c:pt idx="92">
                  <c:v>19.916250870970099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exam!$AF$3</c:f>
              <c:strCache>
                <c:ptCount val="1"/>
                <c:pt idx="0">
                  <c:v>Loan Level Incentive</c:v>
                </c:pt>
              </c:strCache>
            </c:strRef>
          </c:tx>
          <c:marker>
            <c:symbol val="none"/>
          </c:marker>
          <c:cat>
            <c:numRef>
              <c:f>exam!$AD$4:$AD$96</c:f>
              <c:numCache>
                <c:formatCode>m/d/yyyy</c:formatCode>
                <c:ptCount val="93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  <c:pt idx="88">
                  <c:v>42278</c:v>
                </c:pt>
                <c:pt idx="89">
                  <c:v>42309</c:v>
                </c:pt>
                <c:pt idx="90">
                  <c:v>42339</c:v>
                </c:pt>
                <c:pt idx="91">
                  <c:v>42370</c:v>
                </c:pt>
                <c:pt idx="92">
                  <c:v>42401</c:v>
                </c:pt>
              </c:numCache>
            </c:numRef>
          </c:cat>
          <c:val>
            <c:numRef>
              <c:f>exam!$AF$4:$AF$96</c:f>
              <c:numCache>
                <c:formatCode>General</c:formatCode>
                <c:ptCount val="93"/>
                <c:pt idx="0">
                  <c:v>0</c:v>
                </c:pt>
                <c:pt idx="1">
                  <c:v>-20.018739541405701</c:v>
                </c:pt>
                <c:pt idx="2">
                  <c:v>-37.716827365880903</c:v>
                </c:pt>
                <c:pt idx="3">
                  <c:v>-55.0605319057805</c:v>
                </c:pt>
                <c:pt idx="4">
                  <c:v>-9.8247995042097607</c:v>
                </c:pt>
                <c:pt idx="5">
                  <c:v>-7.5060935250484198</c:v>
                </c:pt>
                <c:pt idx="6">
                  <c:v>8.7486402681943005</c:v>
                </c:pt>
                <c:pt idx="7">
                  <c:v>84.437865054881698</c:v>
                </c:pt>
                <c:pt idx="8">
                  <c:v>114.937513206912</c:v>
                </c:pt>
                <c:pt idx="9">
                  <c:v>104.046212729795</c:v>
                </c:pt>
                <c:pt idx="10">
                  <c:v>114.608209417891</c:v>
                </c:pt>
                <c:pt idx="11">
                  <c:v>133.97335040404599</c:v>
                </c:pt>
                <c:pt idx="12">
                  <c:v>128.051192357632</c:v>
                </c:pt>
                <c:pt idx="13">
                  <c:v>66.7286009605331</c:v>
                </c:pt>
                <c:pt idx="14">
                  <c:v>82.866338494422294</c:v>
                </c:pt>
                <c:pt idx="15">
                  <c:v>88.268101983143197</c:v>
                </c:pt>
                <c:pt idx="16">
                  <c:v>108.113998074297</c:v>
                </c:pt>
                <c:pt idx="17">
                  <c:v>116.96670340922699</c:v>
                </c:pt>
                <c:pt idx="18">
                  <c:v>126.18047176506001</c:v>
                </c:pt>
                <c:pt idx="19">
                  <c:v>124.91124701571999</c:v>
                </c:pt>
                <c:pt idx="20">
                  <c:v>117.899369021409</c:v>
                </c:pt>
                <c:pt idx="21">
                  <c:v>121.048555961538</c:v>
                </c:pt>
                <c:pt idx="22">
                  <c:v>120.620661710604</c:v>
                </c:pt>
                <c:pt idx="23">
                  <c:v>108.456805061222</c:v>
                </c:pt>
                <c:pt idx="24">
                  <c:v>128.16486765262701</c:v>
                </c:pt>
                <c:pt idx="25">
                  <c:v>146.31019178071</c:v>
                </c:pt>
                <c:pt idx="26">
                  <c:v>162.097357085944</c:v>
                </c:pt>
                <c:pt idx="27">
                  <c:v>177.181983160231</c:v>
                </c:pt>
                <c:pt idx="28">
                  <c:v>185.58690104919799</c:v>
                </c:pt>
                <c:pt idx="29">
                  <c:v>195.417225265154</c:v>
                </c:pt>
                <c:pt idx="30">
                  <c:v>187.39206261369</c:v>
                </c:pt>
                <c:pt idx="31">
                  <c:v>28.617351444073201</c:v>
                </c:pt>
                <c:pt idx="32">
                  <c:v>-1.34846536078344</c:v>
                </c:pt>
                <c:pt idx="33">
                  <c:v>-37.9787062378267</c:v>
                </c:pt>
                <c:pt idx="34">
                  <c:v>-23.265302735211201</c:v>
                </c:pt>
                <c:pt idx="35">
                  <c:v>-15.707909210405999</c:v>
                </c:pt>
                <c:pt idx="36">
                  <c:v>10.1937523989757</c:v>
                </c:pt>
                <c:pt idx="37">
                  <c:v>28.1257737407084</c:v>
                </c:pt>
                <c:pt idx="38">
                  <c:v>26.0317315500644</c:v>
                </c:pt>
                <c:pt idx="39">
                  <c:v>54.111300417106399</c:v>
                </c:pt>
                <c:pt idx="40">
                  <c:v>66.776718747426202</c:v>
                </c:pt>
                <c:pt idx="41">
                  <c:v>55.816505373894202</c:v>
                </c:pt>
                <c:pt idx="42">
                  <c:v>56.202313916723</c:v>
                </c:pt>
                <c:pt idx="43">
                  <c:v>59.803865391923502</c:v>
                </c:pt>
                <c:pt idx="44">
                  <c:v>56.294026761058497</c:v>
                </c:pt>
                <c:pt idx="45">
                  <c:v>52.8003595146291</c:v>
                </c:pt>
                <c:pt idx="46">
                  <c:v>42.580978036161298</c:v>
                </c:pt>
                <c:pt idx="47">
                  <c:v>46.6704905463179</c:v>
                </c:pt>
                <c:pt idx="48">
                  <c:v>55.341816130608898</c:v>
                </c:pt>
                <c:pt idx="49">
                  <c:v>67.733515369910194</c:v>
                </c:pt>
                <c:pt idx="50">
                  <c:v>78.903307172390797</c:v>
                </c:pt>
                <c:pt idx="51">
                  <c:v>73.871083119669507</c:v>
                </c:pt>
                <c:pt idx="52">
                  <c:v>78.450880246725802</c:v>
                </c:pt>
                <c:pt idx="53">
                  <c:v>81.612755620046002</c:v>
                </c:pt>
                <c:pt idx="54">
                  <c:v>76.624876996938298</c:v>
                </c:pt>
                <c:pt idx="55">
                  <c:v>75.399143700450594</c:v>
                </c:pt>
                <c:pt idx="56">
                  <c:v>63.028128554221396</c:v>
                </c:pt>
                <c:pt idx="57">
                  <c:v>44.450274395003902</c:v>
                </c:pt>
                <c:pt idx="58">
                  <c:v>39.428012088324003</c:v>
                </c:pt>
                <c:pt idx="59">
                  <c:v>50.9380813113644</c:v>
                </c:pt>
                <c:pt idx="60">
                  <c:v>42.154604199411402</c:v>
                </c:pt>
                <c:pt idx="61">
                  <c:v>-14.047429884422099</c:v>
                </c:pt>
                <c:pt idx="62">
                  <c:v>-44.716249794354297</c:v>
                </c:pt>
                <c:pt idx="63">
                  <c:v>-53.759928800163003</c:v>
                </c:pt>
                <c:pt idx="64">
                  <c:v>-54.1771877783845</c:v>
                </c:pt>
                <c:pt idx="65">
                  <c:v>-22.934202003044199</c:v>
                </c:pt>
                <c:pt idx="66">
                  <c:v>-29.873170704715001</c:v>
                </c:pt>
                <c:pt idx="67">
                  <c:v>-46.247072551568699</c:v>
                </c:pt>
                <c:pt idx="68">
                  <c:v>-44.323121622727598</c:v>
                </c:pt>
                <c:pt idx="69">
                  <c:v>-30.1737039142734</c:v>
                </c:pt>
                <c:pt idx="70">
                  <c:v>-29.374384892809701</c:v>
                </c:pt>
                <c:pt idx="71">
                  <c:v>-27.478833606270101</c:v>
                </c:pt>
                <c:pt idx="72">
                  <c:v>-7.17846372223641</c:v>
                </c:pt>
                <c:pt idx="73">
                  <c:v>-4.5743515505459396</c:v>
                </c:pt>
                <c:pt idx="74">
                  <c:v>-1.84747245573354</c:v>
                </c:pt>
                <c:pt idx="75">
                  <c:v>1.27967182270399</c:v>
                </c:pt>
                <c:pt idx="76">
                  <c:v>-0.79648389763494398</c:v>
                </c:pt>
                <c:pt idx="77">
                  <c:v>12.1022798569718</c:v>
                </c:pt>
                <c:pt idx="78">
                  <c:v>15.165134266170799</c:v>
                </c:pt>
                <c:pt idx="79">
                  <c:v>28.815338272533399</c:v>
                </c:pt>
                <c:pt idx="80">
                  <c:v>46.906721686172197</c:v>
                </c:pt>
                <c:pt idx="81">
                  <c:v>42.001335975471697</c:v>
                </c:pt>
                <c:pt idx="82">
                  <c:v>36.091890757362101</c:v>
                </c:pt>
                <c:pt idx="83">
                  <c:v>44.537295515288697</c:v>
                </c:pt>
                <c:pt idx="84">
                  <c:v>26.6376864912942</c:v>
                </c:pt>
                <c:pt idx="85">
                  <c:v>10.032120528756501</c:v>
                </c:pt>
                <c:pt idx="86">
                  <c:v>4.1202362481734101</c:v>
                </c:pt>
                <c:pt idx="87">
                  <c:v>12.1702289586513</c:v>
                </c:pt>
                <c:pt idx="88">
                  <c:v>13.7012861837048</c:v>
                </c:pt>
                <c:pt idx="89">
                  <c:v>24.559253414058698</c:v>
                </c:pt>
                <c:pt idx="90">
                  <c:v>9.0975953785772798</c:v>
                </c:pt>
                <c:pt idx="91">
                  <c:v>8.9542606452284605</c:v>
                </c:pt>
                <c:pt idx="92">
                  <c:v>18.947480679832299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00704"/>
        <c:axId val="117307264"/>
      </c:lineChart>
      <c:dateAx>
        <c:axId val="3718007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117307264"/>
        <c:crosses val="autoZero"/>
        <c:auto val="1"/>
        <c:lblOffset val="100"/>
        <c:baseTimeUnit val="months"/>
      </c:dateAx>
      <c:valAx>
        <c:axId val="11730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1800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CQ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exam!$AK$3</c:f>
              <c:strCache>
                <c:ptCount val="1"/>
                <c:pt idx="0">
                  <c:v>Pool Level Incentive</c:v>
                </c:pt>
              </c:strCache>
            </c:strRef>
          </c:tx>
          <c:marker>
            <c:symbol val="none"/>
          </c:marker>
          <c:cat>
            <c:numRef>
              <c:f>exam!$AJ$4:$AJ$79</c:f>
              <c:numCache>
                <c:formatCode>m/d/yyyy</c:formatCode>
                <c:ptCount val="76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</c:numCache>
            </c:numRef>
          </c:cat>
          <c:val>
            <c:numRef>
              <c:f>exam!$AK$4:$AK$79</c:f>
              <c:numCache>
                <c:formatCode>General</c:formatCode>
                <c:ptCount val="76"/>
                <c:pt idx="0">
                  <c:v>-33.707845904198599</c:v>
                </c:pt>
                <c:pt idx="1">
                  <c:v>-26.659638940675901</c:v>
                </c:pt>
                <c:pt idx="2">
                  <c:v>-22.899343913045101</c:v>
                </c:pt>
                <c:pt idx="3">
                  <c:v>-30.561541260637899</c:v>
                </c:pt>
                <c:pt idx="4">
                  <c:v>-26.0699366865488</c:v>
                </c:pt>
                <c:pt idx="5">
                  <c:v>-25.056185112943801</c:v>
                </c:pt>
                <c:pt idx="6">
                  <c:v>-91.905688118768197</c:v>
                </c:pt>
                <c:pt idx="7">
                  <c:v>-59.935428006769499</c:v>
                </c:pt>
                <c:pt idx="8">
                  <c:v>-33.701063119249703</c:v>
                </c:pt>
                <c:pt idx="9">
                  <c:v>-13.8008892363383</c:v>
                </c:pt>
                <c:pt idx="10">
                  <c:v>1.7802663290442799</c:v>
                </c:pt>
                <c:pt idx="11">
                  <c:v>10.3922324490888</c:v>
                </c:pt>
                <c:pt idx="12">
                  <c:v>19.327120962401899</c:v>
                </c:pt>
                <c:pt idx="13">
                  <c:v>10.219790849787699</c:v>
                </c:pt>
                <c:pt idx="14">
                  <c:v>-34.948626922046898</c:v>
                </c:pt>
                <c:pt idx="15">
                  <c:v>-43.850216971003299</c:v>
                </c:pt>
                <c:pt idx="16">
                  <c:v>-65.615428491254207</c:v>
                </c:pt>
                <c:pt idx="17">
                  <c:v>-54.774402827021198</c:v>
                </c:pt>
                <c:pt idx="18">
                  <c:v>-53.463766619070398</c:v>
                </c:pt>
                <c:pt idx="19">
                  <c:v>-32.601144736483803</c:v>
                </c:pt>
                <c:pt idx="20">
                  <c:v>-18.804666259870601</c:v>
                </c:pt>
                <c:pt idx="21">
                  <c:v>7.30229180139031</c:v>
                </c:pt>
                <c:pt idx="22">
                  <c:v>33.357188461453397</c:v>
                </c:pt>
                <c:pt idx="23">
                  <c:v>49.662503529667703</c:v>
                </c:pt>
                <c:pt idx="24">
                  <c:v>45.4991671497285</c:v>
                </c:pt>
                <c:pt idx="25">
                  <c:v>52.158800228407699</c:v>
                </c:pt>
                <c:pt idx="26">
                  <c:v>54.743011778794603</c:v>
                </c:pt>
                <c:pt idx="27">
                  <c:v>51.745992574838603</c:v>
                </c:pt>
                <c:pt idx="28">
                  <c:v>22.849314706923</c:v>
                </c:pt>
                <c:pt idx="29">
                  <c:v>8.2801945268904191</c:v>
                </c:pt>
                <c:pt idx="30">
                  <c:v>9.4576738037235408</c:v>
                </c:pt>
                <c:pt idx="31">
                  <c:v>15.675313940605101</c:v>
                </c:pt>
                <c:pt idx="32">
                  <c:v>23.131136692733399</c:v>
                </c:pt>
                <c:pt idx="33">
                  <c:v>29.883138475453801</c:v>
                </c:pt>
                <c:pt idx="34">
                  <c:v>22.336880252734701</c:v>
                </c:pt>
                <c:pt idx="35">
                  <c:v>28.810250783163301</c:v>
                </c:pt>
                <c:pt idx="36">
                  <c:v>35.062731610017302</c:v>
                </c:pt>
                <c:pt idx="37">
                  <c:v>33.242843836006102</c:v>
                </c:pt>
                <c:pt idx="38">
                  <c:v>31.088002652242398</c:v>
                </c:pt>
                <c:pt idx="39">
                  <c:v>20.821094686420899</c:v>
                </c:pt>
                <c:pt idx="40">
                  <c:v>3.3548472879931199</c:v>
                </c:pt>
                <c:pt idx="41">
                  <c:v>-1.85232775912442</c:v>
                </c:pt>
                <c:pt idx="42">
                  <c:v>8.3770957185732602</c:v>
                </c:pt>
                <c:pt idx="43">
                  <c:v>8.6800435056834697</c:v>
                </c:pt>
                <c:pt idx="44">
                  <c:v>-39.158668513172998</c:v>
                </c:pt>
                <c:pt idx="45">
                  <c:v>-83.395086711062405</c:v>
                </c:pt>
                <c:pt idx="46">
                  <c:v>-82.841910557307699</c:v>
                </c:pt>
                <c:pt idx="47">
                  <c:v>-84.622762446136505</c:v>
                </c:pt>
                <c:pt idx="48">
                  <c:v>-53.279030363604498</c:v>
                </c:pt>
                <c:pt idx="49">
                  <c:v>-60.9549187189455</c:v>
                </c:pt>
                <c:pt idx="50">
                  <c:v>-76.977364592085394</c:v>
                </c:pt>
                <c:pt idx="51">
                  <c:v>-73.866395374766498</c:v>
                </c:pt>
                <c:pt idx="52">
                  <c:v>-57.606057626353099</c:v>
                </c:pt>
                <c:pt idx="53">
                  <c:v>-50.839662430403799</c:v>
                </c:pt>
                <c:pt idx="54">
                  <c:v>-35.945747966305902</c:v>
                </c:pt>
                <c:pt idx="55">
                  <c:v>-2.8745022189706702</c:v>
                </c:pt>
                <c:pt idx="56">
                  <c:v>6.0882668506466704</c:v>
                </c:pt>
                <c:pt idx="57">
                  <c:v>11.402883350234699</c:v>
                </c:pt>
                <c:pt idx="58">
                  <c:v>19.570927441637402</c:v>
                </c:pt>
                <c:pt idx="59">
                  <c:v>17.490081383411301</c:v>
                </c:pt>
                <c:pt idx="60">
                  <c:v>31.212936565941298</c:v>
                </c:pt>
                <c:pt idx="61">
                  <c:v>35.137646861187697</c:v>
                </c:pt>
                <c:pt idx="62">
                  <c:v>66.925922507685598</c:v>
                </c:pt>
                <c:pt idx="63">
                  <c:v>86.985164806318394</c:v>
                </c:pt>
                <c:pt idx="64">
                  <c:v>85.4012428221167</c:v>
                </c:pt>
                <c:pt idx="65">
                  <c:v>88.376827239594903</c:v>
                </c:pt>
                <c:pt idx="66">
                  <c:v>106.66696194582801</c:v>
                </c:pt>
                <c:pt idx="67">
                  <c:v>97.219386063048006</c:v>
                </c:pt>
                <c:pt idx="68">
                  <c:v>85.727178638781893</c:v>
                </c:pt>
                <c:pt idx="69">
                  <c:v>83.940724928061002</c:v>
                </c:pt>
                <c:pt idx="70">
                  <c:v>107.12612453749701</c:v>
                </c:pt>
                <c:pt idx="71">
                  <c:v>109.60214873777799</c:v>
                </c:pt>
                <c:pt idx="72">
                  <c:v>120.293148259929</c:v>
                </c:pt>
                <c:pt idx="73">
                  <c:v>104.440294867369</c:v>
                </c:pt>
                <c:pt idx="74">
                  <c:v>103.4513879596</c:v>
                </c:pt>
                <c:pt idx="75">
                  <c:v>113.165454434517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exam!$AL$3</c:f>
              <c:strCache>
                <c:ptCount val="1"/>
                <c:pt idx="0">
                  <c:v>Loan Level Incentive</c:v>
                </c:pt>
              </c:strCache>
            </c:strRef>
          </c:tx>
          <c:marker>
            <c:symbol val="none"/>
          </c:marker>
          <c:cat>
            <c:numRef>
              <c:f>exam!$AJ$4:$AJ$79</c:f>
              <c:numCache>
                <c:formatCode>m/d/yyyy</c:formatCode>
                <c:ptCount val="76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</c:numCache>
            </c:numRef>
          </c:cat>
          <c:val>
            <c:numRef>
              <c:f>exam!$AL$4:$AL$79</c:f>
              <c:numCache>
                <c:formatCode>General</c:formatCode>
                <c:ptCount val="76"/>
                <c:pt idx="0">
                  <c:v>0</c:v>
                </c:pt>
                <c:pt idx="1">
                  <c:v>-6.3087048991916399</c:v>
                </c:pt>
                <c:pt idx="2">
                  <c:v>-33.6363500750955</c:v>
                </c:pt>
                <c:pt idx="3">
                  <c:v>-50.244673205674601</c:v>
                </c:pt>
                <c:pt idx="4">
                  <c:v>-59.574146123483096</c:v>
                </c:pt>
                <c:pt idx="5">
                  <c:v>-67.051744656376798</c:v>
                </c:pt>
                <c:pt idx="6">
                  <c:v>-120.361679664664</c:v>
                </c:pt>
                <c:pt idx="7">
                  <c:v>-114.088879934209</c:v>
                </c:pt>
                <c:pt idx="8">
                  <c:v>-111.992609041015</c:v>
                </c:pt>
                <c:pt idx="9">
                  <c:v>-112.262078365894</c:v>
                </c:pt>
                <c:pt idx="10">
                  <c:v>-101.14105637666</c:v>
                </c:pt>
                <c:pt idx="11">
                  <c:v>-99.632301848952295</c:v>
                </c:pt>
                <c:pt idx="12">
                  <c:v>-92.618563296656106</c:v>
                </c:pt>
                <c:pt idx="13">
                  <c:v>-102.71728572287699</c:v>
                </c:pt>
                <c:pt idx="14">
                  <c:v>-152.66161565728001</c:v>
                </c:pt>
                <c:pt idx="15">
                  <c:v>-163.30937108582401</c:v>
                </c:pt>
                <c:pt idx="16">
                  <c:v>-188.54078812749901</c:v>
                </c:pt>
                <c:pt idx="17">
                  <c:v>-180.149122494323</c:v>
                </c:pt>
                <c:pt idx="18">
                  <c:v>-179.948699346876</c:v>
                </c:pt>
                <c:pt idx="19">
                  <c:v>-159.897263468902</c:v>
                </c:pt>
                <c:pt idx="20">
                  <c:v>-146.973281850022</c:v>
                </c:pt>
                <c:pt idx="21">
                  <c:v>-121.33428889821199</c:v>
                </c:pt>
                <c:pt idx="22">
                  <c:v>-93.822098826832601</c:v>
                </c:pt>
                <c:pt idx="23">
                  <c:v>-76.133590055043697</c:v>
                </c:pt>
                <c:pt idx="24">
                  <c:v>-79.404008630436905</c:v>
                </c:pt>
                <c:pt idx="25">
                  <c:v>-71.601355401170693</c:v>
                </c:pt>
                <c:pt idx="26">
                  <c:v>-68.736338286989806</c:v>
                </c:pt>
                <c:pt idx="27">
                  <c:v>-70.049803945244307</c:v>
                </c:pt>
                <c:pt idx="28">
                  <c:v>-97.688548839569194</c:v>
                </c:pt>
                <c:pt idx="29">
                  <c:v>-113.38533658092</c:v>
                </c:pt>
                <c:pt idx="30">
                  <c:v>-112.920205086482</c:v>
                </c:pt>
                <c:pt idx="31">
                  <c:v>-106.919959150892</c:v>
                </c:pt>
                <c:pt idx="32">
                  <c:v>-100.05762229856001</c:v>
                </c:pt>
                <c:pt idx="33">
                  <c:v>-93.365630977383702</c:v>
                </c:pt>
                <c:pt idx="34">
                  <c:v>-100.437851528876</c:v>
                </c:pt>
                <c:pt idx="35">
                  <c:v>-93.543752768798598</c:v>
                </c:pt>
                <c:pt idx="36">
                  <c:v>-86.667490867902899</c:v>
                </c:pt>
                <c:pt idx="37">
                  <c:v>-87.879210028289606</c:v>
                </c:pt>
                <c:pt idx="38">
                  <c:v>-88.067790035688901</c:v>
                </c:pt>
                <c:pt idx="39">
                  <c:v>-96.2854641378282</c:v>
                </c:pt>
                <c:pt idx="40">
                  <c:v>-111.21402828330601</c:v>
                </c:pt>
                <c:pt idx="41">
                  <c:v>-110.32455857925601</c:v>
                </c:pt>
                <c:pt idx="42">
                  <c:v>-96.308334985345198</c:v>
                </c:pt>
                <c:pt idx="43">
                  <c:v>-98.493452433755294</c:v>
                </c:pt>
                <c:pt idx="44">
                  <c:v>-149.703489008584</c:v>
                </c:pt>
                <c:pt idx="45">
                  <c:v>-198.97646308505699</c:v>
                </c:pt>
                <c:pt idx="46">
                  <c:v>-203.468370016758</c:v>
                </c:pt>
                <c:pt idx="47">
                  <c:v>-205.092654548025</c:v>
                </c:pt>
                <c:pt idx="48">
                  <c:v>-174.369966342304</c:v>
                </c:pt>
                <c:pt idx="49">
                  <c:v>-181.57913934590999</c:v>
                </c:pt>
                <c:pt idx="50">
                  <c:v>-197.59219651711601</c:v>
                </c:pt>
                <c:pt idx="51">
                  <c:v>-194.533449395692</c:v>
                </c:pt>
                <c:pt idx="52">
                  <c:v>-178.700127790941</c:v>
                </c:pt>
                <c:pt idx="53">
                  <c:v>-176.16880810336599</c:v>
                </c:pt>
                <c:pt idx="54">
                  <c:v>-168.84305255432801</c:v>
                </c:pt>
                <c:pt idx="55">
                  <c:v>-142.60501923273699</c:v>
                </c:pt>
                <c:pt idx="56">
                  <c:v>-137.59043357532099</c:v>
                </c:pt>
                <c:pt idx="57">
                  <c:v>-132.31080305220999</c:v>
                </c:pt>
                <c:pt idx="58">
                  <c:v>-126.893707241679</c:v>
                </c:pt>
                <c:pt idx="59">
                  <c:v>-129.080379748014</c:v>
                </c:pt>
                <c:pt idx="60">
                  <c:v>-115.16467029237801</c:v>
                </c:pt>
                <c:pt idx="61">
                  <c:v>-111.080262547205</c:v>
                </c:pt>
                <c:pt idx="62">
                  <c:v>-91.027437984627895</c:v>
                </c:pt>
                <c:pt idx="63">
                  <c:v>-71.116488216445205</c:v>
                </c:pt>
                <c:pt idx="64">
                  <c:v>-72.977161005247595</c:v>
                </c:pt>
                <c:pt idx="65">
                  <c:v>-69.181840092116005</c:v>
                </c:pt>
                <c:pt idx="66">
                  <c:v>-50.973031259655897</c:v>
                </c:pt>
                <c:pt idx="67">
                  <c:v>-59.306945605365101</c:v>
                </c:pt>
                <c:pt idx="68">
                  <c:v>-71.106173279869196</c:v>
                </c:pt>
                <c:pt idx="69">
                  <c:v>-73.120839915715905</c:v>
                </c:pt>
                <c:pt idx="70">
                  <c:v>-50.686469617149399</c:v>
                </c:pt>
                <c:pt idx="71">
                  <c:v>-48.780316962717301</c:v>
                </c:pt>
                <c:pt idx="72">
                  <c:v>-38.211946497586197</c:v>
                </c:pt>
                <c:pt idx="73">
                  <c:v>-54.746653830162501</c:v>
                </c:pt>
                <c:pt idx="74">
                  <c:v>-55.918448112126796</c:v>
                </c:pt>
                <c:pt idx="75">
                  <c:v>-46.414185876603099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271232"/>
        <c:axId val="314272768"/>
      </c:lineChart>
      <c:dateAx>
        <c:axId val="314271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14272768"/>
        <c:crosses val="autoZero"/>
        <c:auto val="1"/>
        <c:lblOffset val="100"/>
        <c:baseTimeUnit val="months"/>
      </c:dateAx>
      <c:valAx>
        <c:axId val="31427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271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CR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exam!$AP$3</c:f>
              <c:strCache>
                <c:ptCount val="1"/>
                <c:pt idx="0">
                  <c:v>Pool Level Incentive</c:v>
                </c:pt>
              </c:strCache>
            </c:strRef>
          </c:tx>
          <c:marker>
            <c:symbol val="none"/>
          </c:marker>
          <c:cat>
            <c:numRef>
              <c:f>exam!$AO$4:$AO$47</c:f>
              <c:numCache>
                <c:formatCode>m/d/yyyy</c:formatCode>
                <c:ptCount val="44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</c:numCache>
            </c:numRef>
          </c:cat>
          <c:val>
            <c:numRef>
              <c:f>exam!$AP$4:$AP$47</c:f>
              <c:numCache>
                <c:formatCode>General</c:formatCode>
                <c:ptCount val="44"/>
                <c:pt idx="0">
                  <c:v>-6.3748528455134599</c:v>
                </c:pt>
                <c:pt idx="1">
                  <c:v>1.50128645780526</c:v>
                </c:pt>
                <c:pt idx="2">
                  <c:v>-5.0938941405060598</c:v>
                </c:pt>
                <c:pt idx="3">
                  <c:v>2.33156757307929</c:v>
                </c:pt>
                <c:pt idx="4">
                  <c:v>9.3116405119745096</c:v>
                </c:pt>
                <c:pt idx="5">
                  <c:v>8.6876944387811808</c:v>
                </c:pt>
                <c:pt idx="6">
                  <c:v>7.0974506203798899</c:v>
                </c:pt>
                <c:pt idx="7">
                  <c:v>-2.3799042375530699</c:v>
                </c:pt>
                <c:pt idx="8">
                  <c:v>-19.1214881076415</c:v>
                </c:pt>
                <c:pt idx="9">
                  <c:v>-24.3027429095667</c:v>
                </c:pt>
                <c:pt idx="10">
                  <c:v>-15.111411007820699</c:v>
                </c:pt>
                <c:pt idx="11">
                  <c:v>-23.812014872407801</c:v>
                </c:pt>
                <c:pt idx="12">
                  <c:v>-78.757828940362103</c:v>
                </c:pt>
                <c:pt idx="13">
                  <c:v>-141.50167744705701</c:v>
                </c:pt>
                <c:pt idx="14">
                  <c:v>-150.447525505389</c:v>
                </c:pt>
                <c:pt idx="15">
                  <c:v>-151.11778026074199</c:v>
                </c:pt>
                <c:pt idx="16">
                  <c:v>-120.141020120245</c:v>
                </c:pt>
                <c:pt idx="17">
                  <c:v>-125.680513851565</c:v>
                </c:pt>
                <c:pt idx="18">
                  <c:v>-143.40291243075399</c:v>
                </c:pt>
                <c:pt idx="19">
                  <c:v>-141.955758097776</c:v>
                </c:pt>
                <c:pt idx="20">
                  <c:v>-127.928462206833</c:v>
                </c:pt>
                <c:pt idx="21">
                  <c:v>-129.611413998877</c:v>
                </c:pt>
                <c:pt idx="22">
                  <c:v>-130.8062981118</c:v>
                </c:pt>
                <c:pt idx="23">
                  <c:v>-112.43641742838</c:v>
                </c:pt>
                <c:pt idx="24">
                  <c:v>-110.437720270089</c:v>
                </c:pt>
                <c:pt idx="25">
                  <c:v>-108.238171204925</c:v>
                </c:pt>
                <c:pt idx="26">
                  <c:v>-105.918169104353</c:v>
                </c:pt>
                <c:pt idx="27">
                  <c:v>-108.673678535791</c:v>
                </c:pt>
                <c:pt idx="28">
                  <c:v>-95.364690107339896</c:v>
                </c:pt>
                <c:pt idx="29">
                  <c:v>-91.880450741840306</c:v>
                </c:pt>
                <c:pt idx="30">
                  <c:v>-79.884741046041199</c:v>
                </c:pt>
                <c:pt idx="31">
                  <c:v>-62.052178106835697</c:v>
                </c:pt>
                <c:pt idx="32">
                  <c:v>-65.986478929954302</c:v>
                </c:pt>
                <c:pt idx="33">
                  <c:v>-71.315696676280396</c:v>
                </c:pt>
                <c:pt idx="34">
                  <c:v>-61.754441350297803</c:v>
                </c:pt>
                <c:pt idx="35">
                  <c:v>-78.381599788219305</c:v>
                </c:pt>
                <c:pt idx="36">
                  <c:v>-93.1507253086465</c:v>
                </c:pt>
                <c:pt idx="37">
                  <c:v>-97.627362168318996</c:v>
                </c:pt>
                <c:pt idx="38">
                  <c:v>-72.084920311210794</c:v>
                </c:pt>
                <c:pt idx="39">
                  <c:v>-69.994954909522207</c:v>
                </c:pt>
                <c:pt idx="40">
                  <c:v>-59.209865805475403</c:v>
                </c:pt>
                <c:pt idx="41">
                  <c:v>-75.695955895129401</c:v>
                </c:pt>
                <c:pt idx="42">
                  <c:v>-77.199289441955401</c:v>
                </c:pt>
                <c:pt idx="43">
                  <c:v>-67.822934053922907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exam!$AQ$3</c:f>
              <c:strCache>
                <c:ptCount val="1"/>
                <c:pt idx="0">
                  <c:v>Loan Level Incentive</c:v>
                </c:pt>
              </c:strCache>
            </c:strRef>
          </c:tx>
          <c:marker>
            <c:symbol val="none"/>
          </c:marker>
          <c:cat>
            <c:numRef>
              <c:f>exam!$AO$4:$AO$47</c:f>
              <c:numCache>
                <c:formatCode>m/d/yyyy</c:formatCode>
                <c:ptCount val="44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</c:numCache>
            </c:numRef>
          </c:cat>
          <c:val>
            <c:numRef>
              <c:f>exam!$AQ$4:$AQ$47</c:f>
              <c:numCache>
                <c:formatCode>General</c:formatCode>
                <c:ptCount val="44"/>
                <c:pt idx="0">
                  <c:v>-141.45203636955901</c:v>
                </c:pt>
                <c:pt idx="1">
                  <c:v>-133.22702976605501</c:v>
                </c:pt>
                <c:pt idx="2">
                  <c:v>-139.155161444225</c:v>
                </c:pt>
                <c:pt idx="3">
                  <c:v>-131.285396374953</c:v>
                </c:pt>
                <c:pt idx="4">
                  <c:v>-124.225032587191</c:v>
                </c:pt>
                <c:pt idx="5">
                  <c:v>-124.525915978177</c:v>
                </c:pt>
                <c:pt idx="6">
                  <c:v>-125.913735308661</c:v>
                </c:pt>
                <c:pt idx="7">
                  <c:v>-135.19515253414099</c:v>
                </c:pt>
                <c:pt idx="8">
                  <c:v>-151.785333703058</c:v>
                </c:pt>
                <c:pt idx="9">
                  <c:v>-156.58789498276599</c:v>
                </c:pt>
                <c:pt idx="10">
                  <c:v>-147.11097713275501</c:v>
                </c:pt>
                <c:pt idx="11">
                  <c:v>-155.61523254051201</c:v>
                </c:pt>
                <c:pt idx="12">
                  <c:v>-210.367209313123</c:v>
                </c:pt>
                <c:pt idx="13">
                  <c:v>-272.79964015704002</c:v>
                </c:pt>
                <c:pt idx="14">
                  <c:v>-282.12238110005399</c:v>
                </c:pt>
                <c:pt idx="15">
                  <c:v>-283.25441440360203</c:v>
                </c:pt>
                <c:pt idx="16">
                  <c:v>-252.50118157701399</c:v>
                </c:pt>
                <c:pt idx="17">
                  <c:v>-258.13333958754799</c:v>
                </c:pt>
                <c:pt idx="18">
                  <c:v>-275.777066197625</c:v>
                </c:pt>
                <c:pt idx="19">
                  <c:v>-274.17066890724499</c:v>
                </c:pt>
                <c:pt idx="20">
                  <c:v>-259.87876577275898</c:v>
                </c:pt>
                <c:pt idx="21">
                  <c:v>-260.84928127779898</c:v>
                </c:pt>
                <c:pt idx="22">
                  <c:v>-261.395198317611</c:v>
                </c:pt>
                <c:pt idx="23">
                  <c:v>-241.95086514979201</c:v>
                </c:pt>
                <c:pt idx="24">
                  <c:v>-239.001475392185</c:v>
                </c:pt>
                <c:pt idx="25">
                  <c:v>-235.69719095689899</c:v>
                </c:pt>
                <c:pt idx="26">
                  <c:v>-232.26704950384701</c:v>
                </c:pt>
                <c:pt idx="27">
                  <c:v>-234.53955507786901</c:v>
                </c:pt>
                <c:pt idx="28">
                  <c:v>-220.67006670081</c:v>
                </c:pt>
                <c:pt idx="29">
                  <c:v>-216.609244468127</c:v>
                </c:pt>
                <c:pt idx="30">
                  <c:v>-202.59513944393601</c:v>
                </c:pt>
                <c:pt idx="31">
                  <c:v>-183.233996455214</c:v>
                </c:pt>
                <c:pt idx="32">
                  <c:v>-185.59372003533201</c:v>
                </c:pt>
                <c:pt idx="33">
                  <c:v>-187.77970583405201</c:v>
                </c:pt>
                <c:pt idx="34">
                  <c:v>-175.07144694275399</c:v>
                </c:pt>
                <c:pt idx="35">
                  <c:v>-187.908638094336</c:v>
                </c:pt>
                <c:pt idx="36">
                  <c:v>-200.04129618904</c:v>
                </c:pt>
                <c:pt idx="37">
                  <c:v>-202.25295108000299</c:v>
                </c:pt>
                <c:pt idx="38">
                  <c:v>-175.546005688712</c:v>
                </c:pt>
                <c:pt idx="39">
                  <c:v>-172.368580786091</c:v>
                </c:pt>
                <c:pt idx="40">
                  <c:v>-160.464894757493</c:v>
                </c:pt>
                <c:pt idx="41">
                  <c:v>-175.69627640928999</c:v>
                </c:pt>
                <c:pt idx="42">
                  <c:v>-176.64769989280899</c:v>
                </c:pt>
                <c:pt idx="43">
                  <c:v>-166.966800238931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189568"/>
        <c:axId val="342191104"/>
      </c:lineChart>
      <c:dateAx>
        <c:axId val="342189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42191104"/>
        <c:crosses val="autoZero"/>
        <c:auto val="1"/>
        <c:lblOffset val="100"/>
        <c:baseTimeUnit val="months"/>
      </c:dateAx>
      <c:valAx>
        <c:axId val="34219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189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595312</xdr:colOff>
      <xdr:row>7</xdr:row>
      <xdr:rowOff>14287</xdr:rowOff>
    </xdr:from>
    <xdr:to>
      <xdr:col>27</xdr:col>
      <xdr:colOff>247650</xdr:colOff>
      <xdr:row>31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609599</xdr:colOff>
      <xdr:row>33</xdr:row>
      <xdr:rowOff>0</xdr:rowOff>
    </xdr:from>
    <xdr:to>
      <xdr:col>27</xdr:col>
      <xdr:colOff>247650</xdr:colOff>
      <xdr:row>52</xdr:row>
      <xdr:rowOff>171450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54</xdr:row>
      <xdr:rowOff>114299</xdr:rowOff>
    </xdr:from>
    <xdr:to>
      <xdr:col>27</xdr:col>
      <xdr:colOff>228600</xdr:colOff>
      <xdr:row>75</xdr:row>
      <xdr:rowOff>161924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195262</xdr:colOff>
      <xdr:row>7</xdr:row>
      <xdr:rowOff>61912</xdr:rowOff>
    </xdr:from>
    <xdr:to>
      <xdr:col>29</xdr:col>
      <xdr:colOff>500062</xdr:colOff>
      <xdr:row>21</xdr:row>
      <xdr:rowOff>138112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442912</xdr:colOff>
      <xdr:row>13</xdr:row>
      <xdr:rowOff>176212</xdr:rowOff>
    </xdr:from>
    <xdr:to>
      <xdr:col>25</xdr:col>
      <xdr:colOff>138112</xdr:colOff>
      <xdr:row>28</xdr:row>
      <xdr:rowOff>61912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390525</xdr:colOff>
      <xdr:row>2</xdr:row>
      <xdr:rowOff>171450</xdr:rowOff>
    </xdr:from>
    <xdr:to>
      <xdr:col>57</xdr:col>
      <xdr:colOff>461962</xdr:colOff>
      <xdr:row>26</xdr:row>
      <xdr:rowOff>23812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538162</xdr:colOff>
      <xdr:row>2</xdr:row>
      <xdr:rowOff>171450</xdr:rowOff>
    </xdr:from>
    <xdr:to>
      <xdr:col>70</xdr:col>
      <xdr:colOff>152400</xdr:colOff>
      <xdr:row>26</xdr:row>
      <xdr:rowOff>61912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376237</xdr:colOff>
      <xdr:row>29</xdr:row>
      <xdr:rowOff>42861</xdr:rowOff>
    </xdr:from>
    <xdr:to>
      <xdr:col>57</xdr:col>
      <xdr:colOff>466725</xdr:colOff>
      <xdr:row>50</xdr:row>
      <xdr:rowOff>142874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576261</xdr:colOff>
      <xdr:row>29</xdr:row>
      <xdr:rowOff>42862</xdr:rowOff>
    </xdr:from>
    <xdr:to>
      <xdr:col>70</xdr:col>
      <xdr:colOff>85724</xdr:colOff>
      <xdr:row>51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464.45880763889" createdVersion="4" refreshedVersion="4" minRefreshableVersion="3" recordCount="330">
  <cacheSource type="worksheet">
    <worksheetSource ref="A1:C1048576" sheet="New_LL"/>
  </cacheSource>
  <cacheFields count="3">
    <cacheField name="marketTicker" numFmtId="0">
      <sharedItems containsBlank="1" count="5">
        <s v="FGLMC"/>
        <s v="FGT6"/>
        <s v="FGU6"/>
        <s v="FGU9"/>
        <m/>
      </sharedItems>
    </cacheField>
    <cacheField name="asof" numFmtId="0">
      <sharedItems containsNonDate="0" containsDate="1" containsString="0" containsBlank="1" minDate="2006-09-01T00:00:00" maxDate="2016-03-02T00:00:00" count="116"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m/>
      </sharedItems>
    </cacheField>
    <cacheField name="refi_incentive" numFmtId="2">
      <sharedItems containsString="0" containsBlank="1" containsNumber="1" minValue="-283.23348391039099" maxValue="195.29735558702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464.467927893522" createdVersion="4" refreshedVersion="4" minRefreshableVersion="3" recordCount="492">
  <cacheSource type="worksheet">
    <worksheetSource ref="A1:D1048576" sheet="Pool"/>
  </cacheSource>
  <cacheFields count="4">
    <cacheField name="marketTicker" numFmtId="0">
      <sharedItems containsBlank="1" count="5">
        <s v="FGLMC"/>
        <s v="FGT6"/>
        <s v="FGU6"/>
        <s v="FGU9"/>
        <m/>
      </sharedItems>
    </cacheField>
    <cacheField name="loanCount" numFmtId="0">
      <sharedItems containsString="0" containsBlank="1" containsNumber="1" containsInteger="1" minValue="1" maxValue="178394"/>
    </cacheField>
    <cacheField name="asof" numFmtId="0">
      <sharedItems containsNonDate="0" containsDate="1" containsString="0" containsBlank="1" minDate="1994-01-01T00:00:00" maxDate="2016-05-02T00:00:00" count="270">
        <d v="2016-05-01T00:00:00"/>
        <d v="2016-04-01T00:00:00"/>
        <d v="2016-03-01T00:00:00"/>
        <d v="2016-02-01T00:00:00"/>
        <d v="2016-01-01T00:00:00"/>
        <d v="2015-12-01T00:00:00"/>
        <d v="2015-11-01T00:00:00"/>
        <d v="2015-10-01T00:00:00"/>
        <d v="2015-09-01T00:00:00"/>
        <d v="2015-08-01T00:00:00"/>
        <d v="2015-07-01T00:00:00"/>
        <d v="2015-06-01T00:00:00"/>
        <d v="2015-05-01T00:00:00"/>
        <d v="2015-04-01T00:00:00"/>
        <d v="2015-03-01T00:00:00"/>
        <d v="2015-02-01T00:00:00"/>
        <d v="2015-01-01T00:00:00"/>
        <d v="2014-12-01T00:00:00"/>
        <d v="2014-11-01T00:00:00"/>
        <d v="2014-10-01T00:00:00"/>
        <d v="2014-09-01T00:00:00"/>
        <d v="2014-08-01T00:00:00"/>
        <d v="2014-07-01T00:00:00"/>
        <d v="2014-06-01T00:00:00"/>
        <d v="2014-05-01T00:00:00"/>
        <d v="2014-04-01T00:00:00"/>
        <d v="2014-03-01T00:00:00"/>
        <d v="2014-02-01T00:00:00"/>
        <d v="2014-01-01T00:00:00"/>
        <d v="2013-12-01T00:00:00"/>
        <d v="2013-11-01T00:00:00"/>
        <d v="2013-10-01T00:00:00"/>
        <d v="2013-09-01T00:00:00"/>
        <d v="2013-08-01T00:00:00"/>
        <d v="2013-07-01T00:00:00"/>
        <d v="2013-06-01T00:00:00"/>
        <d v="2013-05-01T00:00:00"/>
        <d v="2013-04-01T00:00:00"/>
        <d v="2013-03-01T00:00:00"/>
        <d v="2013-02-01T00:00:00"/>
        <d v="2013-01-01T00:00:00"/>
        <d v="2012-12-01T00:00:00"/>
        <d v="2012-11-01T00:00:00"/>
        <d v="2012-10-01T00:00:00"/>
        <d v="2012-09-01T00:00:00"/>
        <d v="2012-08-01T00:00:00"/>
        <d v="2012-07-01T00:00:00"/>
        <d v="2012-06-01T00:00:00"/>
        <d v="2012-05-01T00:00:00"/>
        <d v="2012-04-01T00:00:00"/>
        <d v="2012-03-01T00:00:00"/>
        <d v="2012-02-01T00:00:00"/>
        <d v="2012-01-01T00:00:00"/>
        <d v="2011-12-01T00:00:00"/>
        <d v="2011-11-01T00:00:00"/>
        <d v="2011-10-01T00:00:00"/>
        <d v="2011-09-01T00:00:00"/>
        <d v="2011-08-01T00:00:00"/>
        <d v="2011-07-01T00:00:00"/>
        <d v="2011-06-01T00:00:00"/>
        <d v="2011-05-01T00:00:00"/>
        <d v="2011-04-01T00:00:00"/>
        <d v="2011-03-01T00:00:00"/>
        <d v="2011-02-01T00:00:00"/>
        <d v="2011-01-01T00:00:00"/>
        <d v="2010-12-01T00:00:00"/>
        <d v="2010-11-01T00:00:00"/>
        <d v="2010-10-01T00:00:00"/>
        <d v="2010-09-01T00:00:00"/>
        <d v="2010-08-01T00:00:00"/>
        <d v="2010-07-01T00:00:00"/>
        <d v="2010-06-01T00:00:00"/>
        <d v="2010-05-01T00:00:00"/>
        <d v="2010-04-01T00:00:00"/>
        <d v="2010-03-01T00:00:00"/>
        <d v="2010-02-01T00:00:00"/>
        <d v="2010-01-01T00:00:00"/>
        <d v="2009-12-01T00:00:00"/>
        <d v="2009-11-01T00:00:00"/>
        <d v="2009-10-01T00:00:00"/>
        <d v="2009-09-01T00:00:00"/>
        <d v="2009-08-01T00:00:00"/>
        <d v="2009-07-01T00:00:00"/>
        <d v="2009-06-01T00:00:00"/>
        <d v="2009-05-01T00:00:00"/>
        <d v="2009-04-01T00:00:00"/>
        <d v="2009-03-01T00:00:00"/>
        <d v="2009-02-01T00:00:00"/>
        <d v="2009-01-01T00:00:00"/>
        <d v="2008-12-01T00:00:00"/>
        <d v="2008-11-01T00:00:00"/>
        <d v="2008-10-01T00:00:00"/>
        <d v="2008-09-01T00:00:00"/>
        <d v="2008-08-01T00:00:00"/>
        <d v="2008-07-01T00:00:00"/>
        <d v="2008-06-01T00:00:00"/>
        <d v="2008-05-01T00:00:00"/>
        <d v="2008-04-01T00:00:00"/>
        <d v="2008-03-01T00:00:00"/>
        <d v="2008-02-01T00:00:00"/>
        <d v="2008-01-01T00:00:00"/>
        <d v="2007-12-01T00:00:00"/>
        <d v="2007-11-01T00:00:00"/>
        <d v="2007-10-01T00:00:00"/>
        <d v="2007-09-01T00:00:00"/>
        <d v="2007-08-01T00:00:00"/>
        <d v="2007-07-01T00:00:00"/>
        <d v="2007-06-01T00:00:00"/>
        <d v="2007-05-01T00:00:00"/>
        <d v="2007-04-01T00:00:00"/>
        <d v="2007-03-01T00:00:00"/>
        <d v="2007-02-01T00:00:00"/>
        <d v="2007-01-01T00:00:00"/>
        <d v="2006-12-01T00:00:00"/>
        <d v="2006-11-01T00:00:00"/>
        <d v="2006-10-01T00:00:00"/>
        <d v="2006-09-01T00:00:00"/>
        <d v="2006-08-01T00:00:00"/>
        <d v="2006-07-01T00:00:00"/>
        <d v="2006-06-01T00:00:00"/>
        <d v="2006-05-01T00:00:00"/>
        <d v="2006-04-01T00:00:00"/>
        <d v="2006-03-01T00:00:00"/>
        <d v="2006-02-01T00:00:00"/>
        <d v="2006-01-01T00:00:00"/>
        <d v="2005-12-01T00:00:00"/>
        <d v="2005-11-01T00:00:00"/>
        <d v="2005-10-01T00:00:00"/>
        <d v="2005-09-01T00:00:00"/>
        <d v="2005-08-01T00:00:00"/>
        <d v="2005-07-01T00:00:00"/>
        <d v="2005-06-01T00:00:00"/>
        <d v="2005-05-01T00:00:00"/>
        <d v="2005-04-01T00:00:00"/>
        <d v="2005-03-01T00:00:00"/>
        <d v="2005-02-01T00:00:00"/>
        <d v="2005-01-01T00:00:00"/>
        <d v="2004-12-01T00:00:00"/>
        <d v="2004-11-01T00:00:00"/>
        <d v="2004-10-01T00:00:00"/>
        <d v="2004-09-01T00:00:00"/>
        <d v="2004-08-01T00:00:00"/>
        <d v="2004-07-01T00:00:00"/>
        <d v="2004-06-01T00:00:00"/>
        <d v="2004-05-01T00:00:00"/>
        <d v="2004-04-01T00:00:00"/>
        <d v="2004-03-01T00:00:00"/>
        <d v="2004-02-01T00:00:00"/>
        <d v="2004-01-01T00:00:00"/>
        <d v="2003-12-01T00:00:00"/>
        <d v="2003-11-01T00:00:00"/>
        <d v="2003-10-01T00:00:00"/>
        <d v="2003-09-01T00:00:00"/>
        <d v="2003-08-01T00:00:00"/>
        <d v="2003-07-01T00:00:00"/>
        <d v="2003-06-01T00:00:00"/>
        <d v="2003-05-01T00:00:00"/>
        <d v="2003-04-01T00:00:00"/>
        <d v="2003-03-01T00:00:00"/>
        <d v="2003-02-01T00:00:00"/>
        <d v="2003-01-01T00:00:00"/>
        <d v="2002-12-01T00:00:00"/>
        <d v="2002-11-01T00:00:00"/>
        <d v="2002-10-01T00:00:00"/>
        <d v="2002-09-01T00:00:00"/>
        <d v="2002-08-01T00:00:00"/>
        <d v="2002-07-01T00:00:00"/>
        <d v="2002-06-01T00:00:00"/>
        <d v="2002-05-01T00:00:00"/>
        <d v="2002-04-01T00:00:00"/>
        <d v="2002-03-01T00:00:00"/>
        <d v="2002-02-01T00:00:00"/>
        <d v="2002-01-01T00:00:00"/>
        <d v="2001-12-01T00:00:00"/>
        <d v="2001-11-01T00:00:00"/>
        <d v="2001-10-01T00:00:00"/>
        <d v="2001-09-01T00:00:00"/>
        <d v="2001-08-01T00:00:00"/>
        <d v="2001-07-01T00:00:00"/>
        <d v="2001-06-01T00:00:00"/>
        <d v="2001-05-01T00:00:00"/>
        <d v="2001-04-01T00:00:00"/>
        <d v="2001-03-01T00:00:00"/>
        <d v="2001-02-01T00:00:00"/>
        <d v="2001-01-01T00:00:00"/>
        <d v="2000-12-01T00:00:00"/>
        <d v="2000-11-01T00:00:00"/>
        <d v="2000-10-01T00:00:00"/>
        <d v="2000-09-01T00:00:00"/>
        <d v="2000-08-01T00:00:00"/>
        <d v="2000-07-01T00:00:00"/>
        <d v="2000-06-01T00:00:00"/>
        <d v="2000-05-01T00:00:00"/>
        <d v="2000-04-01T00:00:00"/>
        <d v="2000-03-01T00:00:00"/>
        <d v="2000-02-01T00:00:00"/>
        <d v="2000-01-01T00:00:00"/>
        <d v="1999-12-01T00:00:00"/>
        <d v="1999-11-01T00:00:00"/>
        <d v="1999-10-01T00:00:00"/>
        <d v="1999-09-01T00:00:00"/>
        <d v="1999-08-01T00:00:00"/>
        <d v="1999-07-01T00:00:00"/>
        <d v="1999-06-01T00:00:00"/>
        <d v="1999-05-01T00:00:00"/>
        <d v="1999-04-01T00:00:00"/>
        <d v="1999-03-01T00:00:00"/>
        <d v="1999-02-01T00:00:00"/>
        <d v="1999-01-01T00:00:00"/>
        <d v="1998-12-01T00:00:00"/>
        <d v="1998-11-01T00:00:00"/>
        <d v="1998-10-01T00:00:00"/>
        <d v="1998-09-01T00:00:00"/>
        <d v="1998-08-01T00:00:00"/>
        <d v="1998-07-01T00:00:00"/>
        <d v="1998-06-01T00:00:00"/>
        <d v="1998-05-01T00:00:00"/>
        <d v="1998-04-01T00:00:00"/>
        <d v="1998-03-01T00:00:00"/>
        <d v="1998-02-01T00:00:00"/>
        <d v="1998-01-01T00:00:00"/>
        <d v="1997-12-01T00:00:00"/>
        <d v="1997-11-01T00:00:00"/>
        <d v="1997-10-01T00:00:00"/>
        <d v="1997-09-01T00:00:00"/>
        <d v="1997-08-01T00:00:00"/>
        <d v="1997-07-01T00:00:00"/>
        <d v="1997-06-01T00:00:00"/>
        <d v="1997-05-01T00:00:00"/>
        <d v="1997-04-01T00:00:00"/>
        <d v="1997-03-01T00:00:00"/>
        <d v="1997-02-01T00:00:00"/>
        <d v="1997-01-01T00:00:00"/>
        <d v="1996-12-01T00:00:00"/>
        <d v="1996-11-01T00:00:00"/>
        <d v="1996-10-01T00:00:00"/>
        <d v="1996-09-01T00:00:00"/>
        <d v="1996-08-01T00:00:00"/>
        <d v="1996-07-01T00:00:00"/>
        <d v="1996-06-01T00:00:00"/>
        <d v="1996-05-01T00:00:00"/>
        <d v="1996-04-01T00:00:00"/>
        <d v="1996-03-01T00:00:00"/>
        <d v="1996-02-01T00:00:00"/>
        <d v="1996-01-01T00:00:00"/>
        <d v="1995-12-01T00:00:00"/>
        <d v="1995-11-01T00:00:00"/>
        <d v="1995-10-01T00:00:00"/>
        <d v="1995-09-01T00:00:00"/>
        <d v="1995-08-01T00:00:00"/>
        <d v="1995-07-01T00:00:00"/>
        <d v="1995-06-01T00:00:00"/>
        <d v="1995-05-01T00:00:00"/>
        <d v="1995-04-01T00:00:00"/>
        <d v="1995-03-01T00:00:00"/>
        <d v="1995-02-01T00:00:00"/>
        <d v="1995-01-01T00:00:00"/>
        <d v="1994-12-01T00:00:00"/>
        <d v="1994-11-01T00:00:00"/>
        <d v="1994-10-01T00:00:00"/>
        <d v="1994-09-01T00:00:00"/>
        <d v="1994-08-01T00:00:00"/>
        <d v="1994-07-01T00:00:00"/>
        <d v="1994-06-01T00:00:00"/>
        <d v="1994-05-01T00:00:00"/>
        <d v="1994-04-01T00:00:00"/>
        <d v="1994-03-01T00:00:00"/>
        <d v="1994-02-01T00:00:00"/>
        <d v="1994-01-01T00:00:00"/>
        <m/>
      </sharedItems>
    </cacheField>
    <cacheField name="refi_incentive" numFmtId="0">
      <sharedItems containsBlank="1" containsMixedTypes="1" containsNumber="1" minValue="-119.03" maxValue="158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464.480171064817" createdVersion="4" refreshedVersion="4" minRefreshableVersion="3" recordCount="336">
  <cacheSource type="worksheet">
    <worksheetSource ref="A1:D337" sheet="Loan"/>
  </cacheSource>
  <cacheFields count="4">
    <cacheField name="asof" numFmtId="14">
      <sharedItems containsSemiMixedTypes="0" containsNonDate="0" containsDate="1" containsString="0" minDate="2006-08-01T00:00:00" maxDate="2016-04-02T00:00:00" count="117">
        <d v="2016-04-01T00:00:00"/>
        <d v="2016-03-01T00:00:00"/>
        <d v="2016-02-01T00:00:00"/>
        <d v="2016-01-01T00:00:00"/>
        <d v="2015-12-01T00:00:00"/>
        <d v="2015-11-01T00:00:00"/>
        <d v="2015-10-01T00:00:00"/>
        <d v="2015-09-01T00:00:00"/>
        <d v="2015-08-01T00:00:00"/>
        <d v="2015-07-01T00:00:00"/>
        <d v="2015-06-01T00:00:00"/>
        <d v="2015-05-01T00:00:00"/>
        <d v="2015-04-01T00:00:00"/>
        <d v="2015-03-01T00:00:00"/>
        <d v="2015-02-01T00:00:00"/>
        <d v="2015-01-01T00:00:00"/>
        <d v="2014-12-01T00:00:00"/>
        <d v="2014-11-01T00:00:00"/>
        <d v="2014-10-01T00:00:00"/>
        <d v="2014-09-01T00:00:00"/>
        <d v="2014-08-01T00:00:00"/>
        <d v="2014-07-01T00:00:00"/>
        <d v="2014-06-01T00:00:00"/>
        <d v="2014-05-01T00:00:00"/>
        <d v="2014-04-01T00:00:00"/>
        <d v="2014-03-01T00:00:00"/>
        <d v="2014-02-01T00:00:00"/>
        <d v="2014-01-01T00:00:00"/>
        <d v="2013-12-01T00:00:00"/>
        <d v="2013-11-01T00:00:00"/>
        <d v="2013-10-01T00:00:00"/>
        <d v="2013-09-01T00:00:00"/>
        <d v="2013-08-01T00:00:00"/>
        <d v="2013-07-01T00:00:00"/>
        <d v="2013-06-01T00:00:00"/>
        <d v="2013-05-01T00:00:00"/>
        <d v="2013-04-01T00:00:00"/>
        <d v="2013-03-01T00:00:00"/>
        <d v="2013-02-01T00:00:00"/>
        <d v="2013-01-01T00:00:00"/>
        <d v="2012-12-01T00:00:00"/>
        <d v="2012-11-01T00:00:00"/>
        <d v="2012-10-01T00:00:00"/>
        <d v="2012-09-01T00:00:00"/>
        <d v="2012-08-01T00:00:00"/>
        <d v="2012-07-01T00:00:00"/>
        <d v="2012-06-01T00:00:00"/>
        <d v="2012-05-01T00:00:00"/>
        <d v="2012-04-01T00:00:00"/>
        <d v="2012-03-01T00:00:00"/>
        <d v="2012-02-01T00:00:00"/>
        <d v="2012-01-01T00:00:00"/>
        <d v="2011-12-01T00:00:00"/>
        <d v="2011-11-01T00:00:00"/>
        <d v="2011-10-01T00:00:00"/>
        <d v="2011-09-01T00:00:00"/>
        <d v="2011-08-01T00:00:00"/>
        <d v="2011-07-01T00:00:00"/>
        <d v="2011-06-01T00:00:00"/>
        <d v="2011-05-01T00:00:00"/>
        <d v="2011-04-01T00:00:00"/>
        <d v="2011-03-01T00:00:00"/>
        <d v="2011-02-01T00:00:00"/>
        <d v="2011-01-01T00:00:00"/>
        <d v="2010-12-01T00:00:00"/>
        <d v="2010-11-01T00:00:00"/>
        <d v="2010-10-01T00:00:00"/>
        <d v="2010-09-01T00:00:00"/>
        <d v="2010-08-01T00:00:00"/>
        <d v="2010-07-01T00:00:00"/>
        <d v="2010-06-01T00:00:00"/>
        <d v="2010-05-01T00:00:00"/>
        <d v="2010-04-01T00:00:00"/>
        <d v="2010-03-01T00:00:00"/>
        <d v="2010-02-01T00:00:00"/>
        <d v="2010-01-01T00:00:00"/>
        <d v="2009-12-01T00:00:00"/>
        <d v="2009-11-01T00:00:00"/>
        <d v="2009-10-01T00:00:00"/>
        <d v="2009-09-01T00:00:00"/>
        <d v="2009-08-01T00:00:00"/>
        <d v="2009-07-01T00:00:00"/>
        <d v="2009-06-01T00:00:00"/>
        <d v="2009-05-01T00:00:00"/>
        <d v="2009-04-01T00:00:00"/>
        <d v="2009-03-01T00:00:00"/>
        <d v="2009-02-01T00:00:00"/>
        <d v="2009-01-01T00:00:00"/>
        <d v="2008-12-01T00:00:00"/>
        <d v="2008-11-01T00:00:00"/>
        <d v="2008-10-01T00:00:00"/>
        <d v="2008-09-01T00:00:00"/>
        <d v="2008-08-01T00:00:00"/>
        <d v="2008-07-01T00:00:00"/>
        <d v="2008-06-01T00:00:00"/>
        <d v="2008-05-01T00:00:00"/>
        <d v="2008-04-01T00:00:00"/>
        <d v="2008-03-01T00:00:00"/>
        <d v="2008-02-01T00:00:00"/>
        <d v="2008-01-01T00:00:00"/>
        <d v="2007-12-01T00:00:00"/>
        <d v="2007-11-01T00:00:00"/>
        <d v="2007-10-01T00:00:00"/>
        <d v="2007-09-01T00:00:00"/>
        <d v="2007-08-01T00:00:00"/>
        <d v="2007-07-01T00:00:00"/>
        <d v="2007-06-01T00:00:00"/>
        <d v="2007-05-01T00:00:00"/>
        <d v="2007-04-01T00:00:00"/>
        <d v="2007-03-01T00:00:00"/>
        <d v="2007-02-01T00:00:00"/>
        <d v="2007-01-01T00:00:00"/>
        <d v="2006-12-01T00:00:00"/>
        <d v="2006-11-01T00:00:00"/>
        <d v="2006-10-01T00:00:00"/>
        <d v="2006-09-01T00:00:00"/>
        <d v="2006-08-01T00:00:00"/>
      </sharedItems>
    </cacheField>
    <cacheField name="marketTicker" numFmtId="0">
      <sharedItems count="4">
        <s v="FGLMC"/>
        <s v="FGU6"/>
        <s v="FGU9"/>
        <s v="FGT6"/>
      </sharedItems>
    </cacheField>
    <cacheField name="loanCount" numFmtId="0">
      <sharedItems containsSemiMixedTypes="0" containsString="0" containsNumber="1" containsInteger="1" minValue="9" maxValue="5377701"/>
    </cacheField>
    <cacheField name="refi_incentive" numFmtId="0">
      <sharedItems containsMixedTypes="1" containsNumber="1" minValue="-283.23" maxValue="195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464.487701736114" createdVersion="4" refreshedVersion="4" minRefreshableVersion="3" recordCount="108">
  <cacheSource type="worksheet">
    <worksheetSource ref="A1:C109" sheet="FNM"/>
  </cacheSource>
  <cacheFields count="3">
    <cacheField name="marketTicker" numFmtId="0">
      <sharedItems count="4">
        <s v="FNCK"/>
        <s v="FNCL"/>
        <s v="FNCQ30"/>
        <s v="FNCR"/>
      </sharedItems>
    </cacheField>
    <cacheField name="asof" numFmtId="14">
      <sharedItems containsSemiMixedTypes="0" containsNonDate="0" containsDate="1" containsString="0" minDate="2014-01-01T00:00:00" maxDate="2016-03-02T00:00:00" count="27"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</sharedItems>
    </cacheField>
    <cacheField name="refi_incentive" numFmtId="0">
      <sharedItems containsSemiMixedTypes="0" containsString="0" containsNumber="1" minValue="-278.37102925818698" maxValue="46.8250248418845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2464.600008680558" createdVersion="4" refreshedVersion="4" minRefreshableVersion="3" recordCount="475">
  <cacheSource type="worksheet">
    <worksheetSource ref="A1:F476" sheet="exam"/>
  </cacheSource>
  <cacheFields count="6">
    <cacheField name="asofdate" numFmtId="14">
      <sharedItems containsSemiMixedTypes="0" containsNonDate="0" containsDate="1" containsString="0" minDate="1994-01-01T00:00:00" maxDate="2016-02-02T00:00:00" count="262">
        <d v="1994-02-01T00:00:00"/>
        <d v="2015-12-01T00:00:00"/>
        <d v="1994-03-01T00:00:00"/>
        <d v="2016-01-01T00:00:00"/>
        <d v="1994-07-01T00:00:00"/>
        <d v="2016-02-01T00:00:00"/>
        <d v="1994-08-01T00:00:00"/>
        <d v="1994-01-01T00:00:00"/>
        <d v="1994-09-01T00:00:00"/>
        <d v="1994-06-01T00:00:00"/>
        <d v="1994-10-01T00:00:00"/>
        <d v="1997-02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</sharedItems>
    </cacheField>
    <cacheField name="marketTicket" numFmtId="0">
      <sharedItems count="4">
        <s v="FGLMC"/>
        <s v="FGT6"/>
        <s v="FGU6"/>
        <s v="FGU9"/>
      </sharedItems>
    </cacheField>
    <cacheField name="count(1)" numFmtId="0">
      <sharedItems containsSemiMixedTypes="0" containsString="0" containsNumber="1" containsInteger="1" minValue="2" maxValue="168020"/>
    </cacheField>
    <cacheField name="equal" numFmtId="0">
      <sharedItems containsSemiMixedTypes="0" containsString="0" containsNumber="1" containsInteger="1" minValue="0" maxValue="6470"/>
    </cacheField>
    <cacheField name="avg_Pool" numFmtId="0">
      <sharedItems containsSemiMixedTypes="0" containsString="0" containsNumber="1" minValue="-151.11778026074199" maxValue="191.822269066161"/>
    </cacheField>
    <cacheField name="avg_Loan" numFmtId="0">
      <sharedItems containsSemiMixedTypes="0" containsString="0" containsNumber="1" minValue="-283.25441440360203" maxValue="195.4172252651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0">
  <r>
    <x v="0"/>
    <x v="0"/>
    <n v="-9.4856717499454195"/>
  </r>
  <r>
    <x v="0"/>
    <x v="1"/>
    <n v="5.1850440695420499"/>
  </r>
  <r>
    <x v="0"/>
    <x v="2"/>
    <n v="14.445318498906801"/>
  </r>
  <r>
    <x v="0"/>
    <x v="3"/>
    <n v="26.644466513666"/>
  </r>
  <r>
    <x v="0"/>
    <x v="4"/>
    <n v="39.0816403284039"/>
  </r>
  <r>
    <x v="0"/>
    <x v="5"/>
    <n v="28.862361828416699"/>
  </r>
  <r>
    <x v="0"/>
    <x v="6"/>
    <n v="27.710633390213602"/>
  </r>
  <r>
    <x v="0"/>
    <x v="7"/>
    <n v="35.049944248548101"/>
  </r>
  <r>
    <x v="0"/>
    <x v="8"/>
    <n v="30.774700298789401"/>
  </r>
  <r>
    <x v="0"/>
    <x v="9"/>
    <n v="22.262526332717702"/>
  </r>
  <r>
    <x v="0"/>
    <x v="10"/>
    <n v="-17.610160189902899"/>
  </r>
  <r>
    <x v="0"/>
    <x v="11"/>
    <n v="-20.819808728336401"/>
  </r>
  <r>
    <x v="0"/>
    <x v="12"/>
    <n v="-8.0029222828898501"/>
  </r>
  <r>
    <x v="0"/>
    <x v="13"/>
    <n v="10.544120851707399"/>
  </r>
  <r>
    <x v="0"/>
    <x v="14"/>
    <n v="16.6574861123006"/>
  </r>
  <r>
    <x v="0"/>
    <x v="15"/>
    <n v="34.469752023863798"/>
  </r>
  <r>
    <x v="0"/>
    <x v="16"/>
    <n v="45.6903099771462"/>
  </r>
  <r>
    <x v="0"/>
    <x v="17"/>
    <n v="80.370152216470998"/>
  </r>
  <r>
    <x v="0"/>
    <x v="18"/>
    <n v="59.965146332881602"/>
  </r>
  <r>
    <x v="0"/>
    <x v="19"/>
    <n v="53.253135009984703"/>
  </r>
  <r>
    <x v="0"/>
    <x v="20"/>
    <n v="54.013785486488501"/>
  </r>
  <r>
    <x v="0"/>
    <x v="21"/>
    <n v="41.778381928187798"/>
  </r>
  <r>
    <x v="0"/>
    <x v="22"/>
    <n v="7.07989026663871"/>
  </r>
  <r>
    <x v="0"/>
    <x v="23"/>
    <n v="-4.3990981688410198"/>
  </r>
  <r>
    <x v="0"/>
    <x v="24"/>
    <n v="-11.5174364086227"/>
  </r>
  <r>
    <x v="0"/>
    <x v="25"/>
    <n v="32.377943086068299"/>
  </r>
  <r>
    <x v="0"/>
    <x v="26"/>
    <n v="17.627129376611801"/>
  </r>
  <r>
    <x v="0"/>
    <x v="27"/>
    <n v="26.4795145035466"/>
  </r>
  <r>
    <x v="0"/>
    <x v="28"/>
    <n v="105.50925792341999"/>
  </r>
  <r>
    <x v="0"/>
    <x v="29"/>
    <n v="130.111984962809"/>
  </r>
  <r>
    <x v="0"/>
    <x v="30"/>
    <n v="119.339674561038"/>
  </r>
  <r>
    <x v="0"/>
    <x v="31"/>
    <n v="128.61977022560501"/>
  </r>
  <r>
    <x v="0"/>
    <x v="32"/>
    <n v="139.117891628416"/>
  </r>
  <r>
    <x v="0"/>
    <x v="33"/>
    <n v="127.914679468155"/>
  </r>
  <r>
    <x v="0"/>
    <x v="34"/>
    <n v="65.138921024264803"/>
  </r>
  <r>
    <x v="0"/>
    <x v="35"/>
    <n v="76.571806743199005"/>
  </r>
  <r>
    <x v="0"/>
    <x v="36"/>
    <n v="74.0241430931042"/>
  </r>
  <r>
    <x v="0"/>
    <x v="37"/>
    <n v="84.357494887820295"/>
  </r>
  <r>
    <x v="0"/>
    <x v="38"/>
    <n v="88.517504424304207"/>
  </r>
  <r>
    <x v="0"/>
    <x v="39"/>
    <n v="93.989171849700597"/>
  </r>
  <r>
    <x v="0"/>
    <x v="40"/>
    <n v="85.579845457918196"/>
  </r>
  <r>
    <x v="0"/>
    <x v="41"/>
    <n v="72.215564692825595"/>
  </r>
  <r>
    <x v="0"/>
    <x v="42"/>
    <n v="72.395330804655302"/>
  </r>
  <r>
    <x v="0"/>
    <x v="43"/>
    <n v="66.735365738503802"/>
  </r>
  <r>
    <x v="0"/>
    <x v="44"/>
    <n v="53.194128429884202"/>
  </r>
  <r>
    <x v="0"/>
    <x v="45"/>
    <n v="71.856806504369501"/>
  </r>
  <r>
    <x v="0"/>
    <x v="46"/>
    <n v="86.625901074900597"/>
  </r>
  <r>
    <x v="0"/>
    <x v="47"/>
    <n v="97.189580396668205"/>
  </r>
  <r>
    <x v="0"/>
    <x v="48"/>
    <n v="107.291040402959"/>
  </r>
  <r>
    <x v="0"/>
    <x v="49"/>
    <n v="110.71643784326599"/>
  </r>
  <r>
    <x v="0"/>
    <x v="50"/>
    <n v="116.598635465237"/>
  </r>
  <r>
    <x v="0"/>
    <x v="51"/>
    <n v="103.825743945"/>
  </r>
  <r>
    <x v="0"/>
    <x v="52"/>
    <n v="58.930172374543801"/>
  </r>
  <r>
    <x v="0"/>
    <x v="53"/>
    <n v="48.284555839033203"/>
  </r>
  <r>
    <x v="0"/>
    <x v="54"/>
    <n v="25.268551388663099"/>
  </r>
  <r>
    <x v="0"/>
    <x v="55"/>
    <n v="36.265571993554303"/>
  </r>
  <r>
    <x v="0"/>
    <x v="56"/>
    <n v="36.042354654255298"/>
  </r>
  <r>
    <x v="0"/>
    <x v="57"/>
    <n v="55.694841943456403"/>
  </r>
  <r>
    <x v="0"/>
    <x v="58"/>
    <n v="67.805388796156706"/>
  </r>
  <r>
    <x v="0"/>
    <x v="59"/>
    <n v="64.172004589599496"/>
  </r>
  <r>
    <x v="0"/>
    <x v="60"/>
    <n v="91.861907916415106"/>
  </r>
  <r>
    <x v="0"/>
    <x v="61"/>
    <n v="108.107907115438"/>
  </r>
  <r>
    <x v="0"/>
    <x v="62"/>
    <n v="103.987140453447"/>
  </r>
  <r>
    <x v="0"/>
    <x v="63"/>
    <n v="111.194039631793"/>
  </r>
  <r>
    <x v="0"/>
    <x v="64"/>
    <n v="113.673604998613"/>
  </r>
  <r>
    <x v="0"/>
    <x v="65"/>
    <n v="113.66505341430501"/>
  </r>
  <r>
    <x v="0"/>
    <x v="66"/>
    <n v="111.501442960943"/>
  </r>
  <r>
    <x v="0"/>
    <x v="67"/>
    <n v="104.888651890571"/>
  </r>
  <r>
    <x v="0"/>
    <x v="68"/>
    <n v="112.01698695002401"/>
  </r>
  <r>
    <x v="0"/>
    <x v="69"/>
    <n v="122.467487072567"/>
  </r>
  <r>
    <x v="0"/>
    <x v="70"/>
    <n v="133.144536677188"/>
  </r>
  <r>
    <x v="0"/>
    <x v="71"/>
    <n v="142.729528354732"/>
  </r>
  <r>
    <x v="0"/>
    <x v="72"/>
    <n v="136.24187503477401"/>
  </r>
  <r>
    <x v="0"/>
    <x v="73"/>
    <n v="143.48354093714801"/>
  </r>
  <r>
    <x v="0"/>
    <x v="74"/>
    <n v="148.56876656578299"/>
  </r>
  <r>
    <x v="0"/>
    <x v="75"/>
    <n v="145.57560632642199"/>
  </r>
  <r>
    <x v="0"/>
    <x v="76"/>
    <n v="143.321122358163"/>
  </r>
  <r>
    <x v="0"/>
    <x v="77"/>
    <n v="132.08348079640299"/>
  </r>
  <r>
    <x v="0"/>
    <x v="78"/>
    <n v="113.377907402516"/>
  </r>
  <r>
    <x v="0"/>
    <x v="79"/>
    <n v="107.538045847387"/>
  </r>
  <r>
    <x v="0"/>
    <x v="80"/>
    <n v="116.22162424637899"/>
  </r>
  <r>
    <x v="0"/>
    <x v="81"/>
    <n v="106.164162915937"/>
  </r>
  <r>
    <x v="0"/>
    <x v="82"/>
    <n v="47.881899508936002"/>
  </r>
  <r>
    <x v="0"/>
    <x v="83"/>
    <n v="13.9175198029209"/>
  </r>
  <r>
    <x v="0"/>
    <x v="84"/>
    <n v="1.77158069046327"/>
  </r>
  <r>
    <x v="0"/>
    <x v="85"/>
    <n v="-2.3353759330509498"/>
  </r>
  <r>
    <x v="0"/>
    <x v="86"/>
    <n v="25.903838322683999"/>
  </r>
  <r>
    <x v="0"/>
    <x v="87"/>
    <n v="15.2918565843443"/>
  </r>
  <r>
    <x v="0"/>
    <x v="88"/>
    <n v="-3.9483233444763499"/>
  </r>
  <r>
    <x v="0"/>
    <x v="89"/>
    <n v="-4.11004907382081"/>
  </r>
  <r>
    <x v="0"/>
    <x v="90"/>
    <n v="8.6713164626782202"/>
  </r>
  <r>
    <x v="0"/>
    <x v="91"/>
    <n v="7.9812186646337802"/>
  </r>
  <r>
    <x v="0"/>
    <x v="92"/>
    <n v="9.5280612487447396"/>
  </r>
  <r>
    <x v="0"/>
    <x v="93"/>
    <n v="28.4837199826753"/>
  </r>
  <r>
    <x v="0"/>
    <x v="94"/>
    <n v="30.052774324541701"/>
  </r>
  <r>
    <x v="0"/>
    <x v="95"/>
    <n v="31.702861375784298"/>
  </r>
  <r>
    <x v="0"/>
    <x v="96"/>
    <n v="33.203187195483402"/>
  </r>
  <r>
    <x v="0"/>
    <x v="97"/>
    <n v="29.2807065487717"/>
  </r>
  <r>
    <x v="0"/>
    <x v="98"/>
    <n v="41.249374008375398"/>
  </r>
  <r>
    <x v="0"/>
    <x v="99"/>
    <n v="43.4879589768315"/>
  </r>
  <r>
    <x v="0"/>
    <x v="100"/>
    <n v="58.2564646023432"/>
  </r>
  <r>
    <x v="0"/>
    <x v="101"/>
    <n v="75.275498342510701"/>
  </r>
  <r>
    <x v="0"/>
    <x v="102"/>
    <n v="70.330950332565806"/>
  </r>
  <r>
    <x v="0"/>
    <x v="103"/>
    <n v="65.547939278722694"/>
  </r>
  <r>
    <x v="0"/>
    <x v="104"/>
    <n v="74.219782018652893"/>
  </r>
  <r>
    <x v="0"/>
    <x v="105"/>
    <n v="56.749431661339699"/>
  </r>
  <r>
    <x v="0"/>
    <x v="106"/>
    <n v="40.592262832287702"/>
  </r>
  <r>
    <x v="0"/>
    <x v="107"/>
    <n v="34.386260336835498"/>
  </r>
  <r>
    <x v="0"/>
    <x v="108"/>
    <n v="48.512138286406"/>
  </r>
  <r>
    <x v="0"/>
    <x v="109"/>
    <n v="49.278841408629802"/>
  </r>
  <r>
    <x v="0"/>
    <x v="110"/>
    <n v="58.676064763613198"/>
  </r>
  <r>
    <x v="0"/>
    <x v="111"/>
    <n v="41.0793893098014"/>
  </r>
  <r>
    <x v="0"/>
    <x v="112"/>
    <n v="38.884497141899203"/>
  </r>
  <r>
    <x v="0"/>
    <x v="113"/>
    <n v="47.3332984618715"/>
  </r>
  <r>
    <x v="0"/>
    <x v="114"/>
    <n v="69.344126584361405"/>
  </r>
  <r>
    <x v="1"/>
    <x v="22"/>
    <n v="-47.069628709260598"/>
  </r>
  <r>
    <x v="1"/>
    <x v="23"/>
    <n v="-62.500933599499596"/>
  </r>
  <r>
    <x v="1"/>
    <x v="24"/>
    <n v="-68.292637221204103"/>
  </r>
  <r>
    <x v="1"/>
    <x v="25"/>
    <n v="-10.4678866108225"/>
  </r>
  <r>
    <x v="1"/>
    <x v="26"/>
    <n v="-8.4755899637733592"/>
  </r>
  <r>
    <x v="1"/>
    <x v="27"/>
    <n v="9.6121800811170992"/>
  </r>
  <r>
    <x v="1"/>
    <x v="28"/>
    <n v="93.481898607643402"/>
  </r>
  <r>
    <x v="1"/>
    <x v="29"/>
    <n v="120.314516648451"/>
  </r>
  <r>
    <x v="1"/>
    <x v="30"/>
    <n v="106.7802387409"/>
  </r>
  <r>
    <x v="1"/>
    <x v="31"/>
    <n v="115.60060134408801"/>
  </r>
  <r>
    <x v="1"/>
    <x v="32"/>
    <n v="134.25272080813099"/>
  </r>
  <r>
    <x v="1"/>
    <x v="33"/>
    <n v="127.88674401458501"/>
  </r>
  <r>
    <x v="1"/>
    <x v="34"/>
    <n v="66.452050730890505"/>
  </r>
  <r>
    <x v="1"/>
    <x v="35"/>
    <n v="83.190817020090805"/>
  </r>
  <r>
    <x v="1"/>
    <x v="36"/>
    <n v="88.461390710754699"/>
  </r>
  <r>
    <x v="1"/>
    <x v="37"/>
    <n v="108.569198746997"/>
  </r>
  <r>
    <x v="1"/>
    <x v="38"/>
    <n v="117.343833523447"/>
  </r>
  <r>
    <x v="1"/>
    <x v="39"/>
    <n v="126.25354860683299"/>
  </r>
  <r>
    <x v="1"/>
    <x v="40"/>
    <n v="124.933110859153"/>
  </r>
  <r>
    <x v="1"/>
    <x v="41"/>
    <n v="118.103576670188"/>
  </r>
  <r>
    <x v="1"/>
    <x v="42"/>
    <n v="122.45419772136199"/>
  </r>
  <r>
    <x v="1"/>
    <x v="43"/>
    <n v="120.626175807924"/>
  </r>
  <r>
    <x v="1"/>
    <x v="44"/>
    <n v="108.792671357709"/>
  </r>
  <r>
    <x v="1"/>
    <x v="45"/>
    <n v="128.43846937767901"/>
  </r>
  <r>
    <x v="1"/>
    <x v="46"/>
    <n v="146.66022120884"/>
  </r>
  <r>
    <x v="1"/>
    <x v="47"/>
    <n v="162.15155344204501"/>
  </r>
  <r>
    <x v="1"/>
    <x v="48"/>
    <n v="176.77439745321499"/>
  </r>
  <r>
    <x v="1"/>
    <x v="49"/>
    <n v="184.635415809026"/>
  </r>
  <r>
    <x v="1"/>
    <x v="50"/>
    <n v="195.29735558702799"/>
  </r>
  <r>
    <x v="1"/>
    <x v="51"/>
    <n v="186.83184749277899"/>
  </r>
  <r>
    <x v="1"/>
    <x v="52"/>
    <n v="31.1170736922918"/>
  </r>
  <r>
    <x v="1"/>
    <x v="53"/>
    <n v="0.62375249409120104"/>
  </r>
  <r>
    <x v="1"/>
    <x v="54"/>
    <n v="-36.848388533538497"/>
  </r>
  <r>
    <x v="1"/>
    <x v="55"/>
    <n v="-22.394429498140799"/>
  </r>
  <r>
    <x v="1"/>
    <x v="56"/>
    <n v="-15.351623509260699"/>
  </r>
  <r>
    <x v="1"/>
    <x v="57"/>
    <n v="10.8319583466634"/>
  </r>
  <r>
    <x v="1"/>
    <x v="58"/>
    <n v="28.540340906475699"/>
  </r>
  <r>
    <x v="1"/>
    <x v="59"/>
    <n v="26.448881474707999"/>
  </r>
  <r>
    <x v="1"/>
    <x v="60"/>
    <n v="54.738536677073498"/>
  </r>
  <r>
    <x v="1"/>
    <x v="61"/>
    <n v="67.218470023160705"/>
  </r>
  <r>
    <x v="1"/>
    <x v="62"/>
    <n v="56.258708691401303"/>
  </r>
  <r>
    <x v="1"/>
    <x v="63"/>
    <n v="56.419161572394898"/>
  </r>
  <r>
    <x v="1"/>
    <x v="64"/>
    <n v="60.235652548996903"/>
  </r>
  <r>
    <x v="1"/>
    <x v="65"/>
    <n v="56.157707734798898"/>
  </r>
  <r>
    <x v="1"/>
    <x v="66"/>
    <n v="52.451096771777003"/>
  </r>
  <r>
    <x v="1"/>
    <x v="67"/>
    <n v="42.047060990373403"/>
  </r>
  <r>
    <x v="1"/>
    <x v="68"/>
    <n v="46.925892680173497"/>
  </r>
  <r>
    <x v="1"/>
    <x v="69"/>
    <n v="55.818706938177399"/>
  </r>
  <r>
    <x v="1"/>
    <x v="70"/>
    <n v="68.122170929788993"/>
  </r>
  <r>
    <x v="1"/>
    <x v="71"/>
    <n v="79.096357472130407"/>
  </r>
  <r>
    <x v="1"/>
    <x v="72"/>
    <n v="74.165060436425406"/>
  </r>
  <r>
    <x v="1"/>
    <x v="73"/>
    <n v="78.7806952465709"/>
  </r>
  <r>
    <x v="1"/>
    <x v="74"/>
    <n v="81.983188409534904"/>
  </r>
  <r>
    <x v="1"/>
    <x v="75"/>
    <n v="77.372775034769205"/>
  </r>
  <r>
    <x v="1"/>
    <x v="76"/>
    <n v="75.871959936024894"/>
  </r>
  <r>
    <x v="1"/>
    <x v="77"/>
    <n v="63.622208242827497"/>
  </r>
  <r>
    <x v="1"/>
    <x v="78"/>
    <n v="45.137277361899201"/>
  </r>
  <r>
    <x v="1"/>
    <x v="79"/>
    <n v="40.3745588056941"/>
  </r>
  <r>
    <x v="1"/>
    <x v="80"/>
    <n v="51.835843078706901"/>
  </r>
  <r>
    <x v="1"/>
    <x v="81"/>
    <n v="42.910061617331301"/>
  </r>
  <r>
    <x v="1"/>
    <x v="82"/>
    <n v="-13.332059931106899"/>
  </r>
  <r>
    <x v="1"/>
    <x v="83"/>
    <n v="-44.078004716314901"/>
  </r>
  <r>
    <x v="1"/>
    <x v="84"/>
    <n v="-53.286578507747002"/>
  </r>
  <r>
    <x v="1"/>
    <x v="85"/>
    <n v="-53.915853181019699"/>
  </r>
  <r>
    <x v="1"/>
    <x v="86"/>
    <n v="-22.643412176103102"/>
  </r>
  <r>
    <x v="1"/>
    <x v="87"/>
    <n v="-29.687086323446898"/>
  </r>
  <r>
    <x v="1"/>
    <x v="88"/>
    <n v="-46.046191522867602"/>
  </r>
  <r>
    <x v="1"/>
    <x v="89"/>
    <n v="-44.174320815445199"/>
  </r>
  <r>
    <x v="1"/>
    <x v="90"/>
    <n v="-30.047274651576501"/>
  </r>
  <r>
    <x v="1"/>
    <x v="91"/>
    <n v="-29.199120093201401"/>
  </r>
  <r>
    <x v="1"/>
    <x v="92"/>
    <n v="-27.261819392597499"/>
  </r>
  <r>
    <x v="1"/>
    <x v="93"/>
    <n v="-6.96621818879537"/>
  </r>
  <r>
    <x v="1"/>
    <x v="94"/>
    <n v="-4.2849061620112598"/>
  </r>
  <r>
    <x v="1"/>
    <x v="95"/>
    <n v="-1.4995538246549101"/>
  </r>
  <r>
    <x v="1"/>
    <x v="96"/>
    <n v="1.5983485434556599"/>
  </r>
  <r>
    <x v="1"/>
    <x v="97"/>
    <n v="-0.50057698509172499"/>
  </r>
  <r>
    <x v="1"/>
    <x v="98"/>
    <n v="12.399359023217199"/>
  </r>
  <r>
    <x v="1"/>
    <x v="99"/>
    <n v="15.616415098372901"/>
  </r>
  <r>
    <x v="1"/>
    <x v="100"/>
    <n v="29.390602076154799"/>
  </r>
  <r>
    <x v="1"/>
    <x v="101"/>
    <n v="47.3405024785772"/>
  </r>
  <r>
    <x v="1"/>
    <x v="102"/>
    <n v="42.618668182878302"/>
  </r>
  <r>
    <x v="1"/>
    <x v="103"/>
    <n v="36.8596408774727"/>
  </r>
  <r>
    <x v="1"/>
    <x v="104"/>
    <n v="45.063800760938697"/>
  </r>
  <r>
    <x v="1"/>
    <x v="105"/>
    <n v="27.089992642462398"/>
  </r>
  <r>
    <x v="1"/>
    <x v="106"/>
    <n v="10.4111859302244"/>
  </r>
  <r>
    <x v="1"/>
    <x v="107"/>
    <n v="4.3792147552585403"/>
  </r>
  <r>
    <x v="1"/>
    <x v="108"/>
    <n v="12.373612928012101"/>
  </r>
  <r>
    <x v="1"/>
    <x v="109"/>
    <n v="13.875348960935201"/>
  </r>
  <r>
    <x v="1"/>
    <x v="110"/>
    <n v="24.8270306819003"/>
  </r>
  <r>
    <x v="1"/>
    <x v="111"/>
    <n v="9.31198977261481"/>
  </r>
  <r>
    <x v="1"/>
    <x v="112"/>
    <n v="9.2078872613880804"/>
  </r>
  <r>
    <x v="1"/>
    <x v="113"/>
    <n v="19.1405529377558"/>
  </r>
  <r>
    <x v="1"/>
    <x v="114"/>
    <n v="42.933800867543802"/>
  </r>
  <r>
    <x v="2"/>
    <x v="39"/>
    <n v="-70.136770695988503"/>
  </r>
  <r>
    <x v="2"/>
    <x v="40"/>
    <n v="-104.847731702657"/>
  </r>
  <r>
    <x v="2"/>
    <x v="41"/>
    <n v="-100.794548850697"/>
  </r>
  <r>
    <x v="2"/>
    <x v="42"/>
    <n v="-95.818319113452702"/>
  </r>
  <r>
    <x v="2"/>
    <x v="43"/>
    <n v="-94.491825197565305"/>
  </r>
  <r>
    <x v="2"/>
    <x v="44"/>
    <n v="-162.931215400192"/>
  </r>
  <r>
    <x v="2"/>
    <x v="45"/>
    <n v="-142.44495579935599"/>
  </r>
  <r>
    <x v="2"/>
    <x v="46"/>
    <n v="-126.270125492433"/>
  </r>
  <r>
    <x v="2"/>
    <x v="47"/>
    <n v="-112.247056553199"/>
  </r>
  <r>
    <x v="2"/>
    <x v="48"/>
    <n v="-101.15171495522"/>
  </r>
  <r>
    <x v="2"/>
    <x v="49"/>
    <n v="-100.043932644248"/>
  </r>
  <r>
    <x v="2"/>
    <x v="50"/>
    <n v="-92.598990722172402"/>
  </r>
  <r>
    <x v="2"/>
    <x v="51"/>
    <n v="-102.73808600244"/>
  </r>
  <r>
    <x v="2"/>
    <x v="52"/>
    <n v="-152.617178352595"/>
  </r>
  <r>
    <x v="2"/>
    <x v="53"/>
    <n v="-163.31616891635201"/>
  </r>
  <r>
    <x v="2"/>
    <x v="54"/>
    <n v="-188.44933960162001"/>
  </r>
  <r>
    <x v="2"/>
    <x v="55"/>
    <n v="-180.12814604326701"/>
  </r>
  <r>
    <x v="2"/>
    <x v="56"/>
    <n v="-179.89422492672699"/>
  </r>
  <r>
    <x v="2"/>
    <x v="57"/>
    <n v="-159.84040042960399"/>
  </r>
  <r>
    <x v="2"/>
    <x v="58"/>
    <n v="-146.94518042739199"/>
  </r>
  <r>
    <x v="2"/>
    <x v="59"/>
    <n v="-121.318314329172"/>
  </r>
  <r>
    <x v="2"/>
    <x v="60"/>
    <n v="-93.776439673627195"/>
  </r>
  <r>
    <x v="2"/>
    <x v="61"/>
    <n v="-76.186866662199293"/>
  </r>
  <r>
    <x v="2"/>
    <x v="62"/>
    <n v="-79.6290195717404"/>
  </r>
  <r>
    <x v="2"/>
    <x v="63"/>
    <n v="-71.546478240183902"/>
  </r>
  <r>
    <x v="2"/>
    <x v="64"/>
    <n v="-68.7398955888399"/>
  </r>
  <r>
    <x v="2"/>
    <x v="65"/>
    <n v="-70.039212433835203"/>
  </r>
  <r>
    <x v="2"/>
    <x v="66"/>
    <n v="-97.742811932843907"/>
  </r>
  <r>
    <x v="2"/>
    <x v="67"/>
    <n v="-114.596270848274"/>
  </r>
  <r>
    <x v="2"/>
    <x v="68"/>
    <n v="-113.140194551834"/>
  </r>
  <r>
    <x v="2"/>
    <x v="69"/>
    <n v="-106.891274020472"/>
  </r>
  <r>
    <x v="2"/>
    <x v="70"/>
    <n v="-100.139962636495"/>
  </r>
  <r>
    <x v="2"/>
    <x v="71"/>
    <n v="-93.325601790406495"/>
  </r>
  <r>
    <x v="2"/>
    <x v="72"/>
    <n v="-100.49552467072"/>
  </r>
  <r>
    <x v="2"/>
    <x v="73"/>
    <n v="-93.659558699570795"/>
  </r>
  <r>
    <x v="2"/>
    <x v="74"/>
    <n v="-86.743330865464102"/>
  </r>
  <r>
    <x v="2"/>
    <x v="75"/>
    <n v="-87.977590508037096"/>
  </r>
  <r>
    <x v="2"/>
    <x v="76"/>
    <n v="-88.013225433454096"/>
  </r>
  <r>
    <x v="2"/>
    <x v="77"/>
    <n v="-96.213708872485995"/>
  </r>
  <r>
    <x v="2"/>
    <x v="78"/>
    <n v="-111.245612784985"/>
  </r>
  <r>
    <x v="2"/>
    <x v="79"/>
    <n v="-110.290219812676"/>
  </r>
  <r>
    <x v="2"/>
    <x v="80"/>
    <n v="-96.531417475033805"/>
  </r>
  <r>
    <x v="2"/>
    <x v="81"/>
    <n v="-98.387497677106296"/>
  </r>
  <r>
    <x v="2"/>
    <x v="82"/>
    <n v="-149.46169984341299"/>
  </r>
  <r>
    <x v="2"/>
    <x v="83"/>
    <n v="-198.690961083437"/>
  </r>
  <r>
    <x v="2"/>
    <x v="84"/>
    <n v="-203.15536491588199"/>
  </r>
  <r>
    <x v="2"/>
    <x v="85"/>
    <n v="-204.87946544738099"/>
  </r>
  <r>
    <x v="2"/>
    <x v="86"/>
    <n v="-174.137763319241"/>
  </r>
  <r>
    <x v="2"/>
    <x v="87"/>
    <n v="-181.315420793025"/>
  </r>
  <r>
    <x v="2"/>
    <x v="88"/>
    <n v="-197.34233365688601"/>
  </r>
  <r>
    <x v="2"/>
    <x v="89"/>
    <n v="-194.33894976034401"/>
  </r>
  <r>
    <x v="2"/>
    <x v="90"/>
    <n v="-178.48692990154601"/>
  </r>
  <r>
    <x v="2"/>
    <x v="91"/>
    <n v="-175.941401795275"/>
  </r>
  <r>
    <x v="2"/>
    <x v="92"/>
    <n v="-168.61203152057601"/>
  </r>
  <r>
    <x v="2"/>
    <x v="93"/>
    <n v="-142.38210393666901"/>
  </r>
  <r>
    <x v="2"/>
    <x v="94"/>
    <n v="-137.28814372224801"/>
  </r>
  <r>
    <x v="2"/>
    <x v="95"/>
    <n v="-131.98744482244001"/>
  </r>
  <r>
    <x v="2"/>
    <x v="96"/>
    <n v="-126.607168182151"/>
  </r>
  <r>
    <x v="2"/>
    <x v="97"/>
    <n v="-128.74987432198199"/>
  </r>
  <r>
    <x v="2"/>
    <x v="98"/>
    <n v="-114.85659585177"/>
  </r>
  <r>
    <x v="2"/>
    <x v="99"/>
    <n v="-110.80000876517001"/>
  </r>
  <r>
    <x v="2"/>
    <x v="100"/>
    <n v="-90.656865239700096"/>
  </r>
  <r>
    <x v="2"/>
    <x v="101"/>
    <n v="-70.870406476145007"/>
  </r>
  <r>
    <x v="2"/>
    <x v="102"/>
    <n v="-72.637260094452003"/>
  </r>
  <r>
    <x v="2"/>
    <x v="103"/>
    <n v="-68.711562827176905"/>
  </r>
  <r>
    <x v="2"/>
    <x v="104"/>
    <n v="-50.524846771396597"/>
  </r>
  <r>
    <x v="2"/>
    <x v="105"/>
    <n v="-58.894842055431901"/>
  </r>
  <r>
    <x v="2"/>
    <x v="106"/>
    <n v="-70.665367534873099"/>
  </r>
  <r>
    <x v="2"/>
    <x v="107"/>
    <n v="-72.721954136915301"/>
  </r>
  <r>
    <x v="2"/>
    <x v="108"/>
    <n v="-50.322947054787697"/>
  </r>
  <r>
    <x v="2"/>
    <x v="109"/>
    <n v="-48.433994884894702"/>
  </r>
  <r>
    <x v="2"/>
    <x v="110"/>
    <n v="-37.907993418698901"/>
  </r>
  <r>
    <x v="2"/>
    <x v="111"/>
    <n v="-54.469340689123101"/>
  </r>
  <r>
    <x v="2"/>
    <x v="112"/>
    <n v="-55.565085626141602"/>
  </r>
  <r>
    <x v="2"/>
    <x v="113"/>
    <n v="-46.139739744210601"/>
  </r>
  <r>
    <x v="2"/>
    <x v="114"/>
    <n v="-23.272287823531201"/>
  </r>
  <r>
    <x v="3"/>
    <x v="70"/>
    <n v="-142.078371120138"/>
  </r>
  <r>
    <x v="3"/>
    <x v="71"/>
    <n v="-133.24023173531401"/>
  </r>
  <r>
    <x v="3"/>
    <x v="72"/>
    <n v="-139.16918260806699"/>
  </r>
  <r>
    <x v="3"/>
    <x v="73"/>
    <n v="-131.52255480477999"/>
  </r>
  <r>
    <x v="3"/>
    <x v="74"/>
    <n v="-124.367964398464"/>
  </r>
  <r>
    <x v="3"/>
    <x v="75"/>
    <n v="-124.61699437334001"/>
  </r>
  <r>
    <x v="3"/>
    <x v="76"/>
    <n v="-126.019882103846"/>
  </r>
  <r>
    <x v="3"/>
    <x v="77"/>
    <n v="-135.38000668457201"/>
  </r>
  <r>
    <x v="3"/>
    <x v="78"/>
    <n v="-151.93995731642599"/>
  </r>
  <r>
    <x v="3"/>
    <x v="79"/>
    <n v="-156.643793433399"/>
  </r>
  <r>
    <x v="3"/>
    <x v="80"/>
    <n v="-147.14089196368201"/>
  </r>
  <r>
    <x v="3"/>
    <x v="81"/>
    <n v="-155.60824224974101"/>
  </r>
  <r>
    <x v="3"/>
    <x v="82"/>
    <n v="-210.33492639561899"/>
  </r>
  <r>
    <x v="3"/>
    <x v="83"/>
    <n v="-272.76573344250801"/>
  </r>
  <r>
    <x v="3"/>
    <x v="84"/>
    <n v="-282.09694618045398"/>
  </r>
  <r>
    <x v="3"/>
    <x v="85"/>
    <n v="-283.23348391039099"/>
  </r>
  <r>
    <x v="3"/>
    <x v="86"/>
    <n v="-252.48439527586601"/>
  </r>
  <r>
    <x v="3"/>
    <x v="87"/>
    <n v="-258.121787056789"/>
  </r>
  <r>
    <x v="3"/>
    <x v="88"/>
    <n v="-275.74463100096602"/>
  </r>
  <r>
    <x v="3"/>
    <x v="89"/>
    <n v="-274.159595906395"/>
  </r>
  <r>
    <x v="3"/>
    <x v="90"/>
    <n v="-259.86501646436102"/>
  </r>
  <r>
    <x v="3"/>
    <x v="91"/>
    <n v="-260.84261917682198"/>
  </r>
  <r>
    <x v="3"/>
    <x v="92"/>
    <n v="-261.37617055120398"/>
  </r>
  <r>
    <x v="3"/>
    <x v="93"/>
    <n v="-241.94204596977801"/>
  </r>
  <r>
    <x v="3"/>
    <x v="94"/>
    <n v="-238.98042170208399"/>
  </r>
  <r>
    <x v="3"/>
    <x v="95"/>
    <n v="-235.67975334308099"/>
  </r>
  <r>
    <x v="3"/>
    <x v="96"/>
    <n v="-232.23468390435099"/>
  </r>
  <r>
    <x v="3"/>
    <x v="97"/>
    <n v="-234.51235811580599"/>
  </r>
  <r>
    <x v="3"/>
    <x v="98"/>
    <n v="-220.66327730984801"/>
  </r>
  <r>
    <x v="3"/>
    <x v="99"/>
    <n v="-216.59199712386501"/>
  </r>
  <r>
    <x v="3"/>
    <x v="100"/>
    <n v="-202.575032987388"/>
  </r>
  <r>
    <x v="3"/>
    <x v="101"/>
    <n v="-183.205626282981"/>
  </r>
  <r>
    <x v="3"/>
    <x v="102"/>
    <n v="-185.562968644954"/>
  </r>
  <r>
    <x v="3"/>
    <x v="103"/>
    <n v="-187.72622952096501"/>
  </r>
  <r>
    <x v="3"/>
    <x v="104"/>
    <n v="-175.01884349706799"/>
  </r>
  <r>
    <x v="3"/>
    <x v="105"/>
    <n v="-187.85534207746201"/>
  </r>
  <r>
    <x v="3"/>
    <x v="106"/>
    <n v="-199.94102766310999"/>
  </r>
  <r>
    <x v="3"/>
    <x v="107"/>
    <n v="-202.18359027963299"/>
  </r>
  <r>
    <x v="3"/>
    <x v="108"/>
    <n v="-175.50050719532101"/>
  </r>
  <r>
    <x v="3"/>
    <x v="109"/>
    <n v="-172.30309543489801"/>
  </r>
  <r>
    <x v="3"/>
    <x v="110"/>
    <n v="-160.379337614424"/>
  </r>
  <r>
    <x v="3"/>
    <x v="111"/>
    <n v="-175.647190347546"/>
  </r>
  <r>
    <x v="3"/>
    <x v="112"/>
    <n v="-176.58406373365199"/>
  </r>
  <r>
    <x v="3"/>
    <x v="113"/>
    <n v="-166.93194396833599"/>
  </r>
  <r>
    <x v="3"/>
    <x v="114"/>
    <n v="-143.84702943982401"/>
  </r>
  <r>
    <x v="4"/>
    <x v="11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2">
  <r>
    <x v="0"/>
    <n v="4"/>
    <x v="0"/>
    <s v="(NULL)"/>
  </r>
  <r>
    <x v="0"/>
    <n v="33"/>
    <x v="1"/>
    <s v="(NULL)"/>
  </r>
  <r>
    <x v="1"/>
    <n v="3"/>
    <x v="1"/>
    <s v="(NULL)"/>
  </r>
  <r>
    <x v="2"/>
    <n v="1"/>
    <x v="1"/>
    <s v="(NULL)"/>
  </r>
  <r>
    <x v="3"/>
    <n v="1"/>
    <x v="1"/>
    <s v="(NULL)"/>
  </r>
  <r>
    <x v="0"/>
    <n v="177656"/>
    <x v="2"/>
    <n v="56.26"/>
  </r>
  <r>
    <x v="1"/>
    <n v="1454"/>
    <x v="2"/>
    <n v="42.12"/>
  </r>
  <r>
    <x v="2"/>
    <n v="3931"/>
    <x v="2"/>
    <n v="131.31"/>
  </r>
  <r>
    <x v="3"/>
    <n v="2524"/>
    <x v="2"/>
    <n v="-24.95"/>
  </r>
  <r>
    <x v="0"/>
    <n v="177565"/>
    <x v="3"/>
    <n v="42.4"/>
  </r>
  <r>
    <x v="1"/>
    <n v="1445"/>
    <x v="3"/>
    <n v="19.34"/>
  </r>
  <r>
    <x v="2"/>
    <n v="3910"/>
    <x v="3"/>
    <n v="109.05"/>
  </r>
  <r>
    <x v="3"/>
    <n v="2514"/>
    <x v="3"/>
    <n v="-37.61"/>
  </r>
  <r>
    <x v="0"/>
    <n v="177611"/>
    <x v="4"/>
    <n v="37.24"/>
  </r>
  <r>
    <x v="1"/>
    <n v="1433"/>
    <x v="4"/>
    <n v="9.74"/>
  </r>
  <r>
    <x v="2"/>
    <n v="3890"/>
    <x v="4"/>
    <n v="100.98"/>
  </r>
  <r>
    <x v="3"/>
    <n v="2500"/>
    <x v="4"/>
    <n v="-43.16"/>
  </r>
  <r>
    <x v="0"/>
    <n v="177683"/>
    <x v="5"/>
    <n v="38.92"/>
  </r>
  <r>
    <x v="1"/>
    <n v="1424"/>
    <x v="5"/>
    <n v="9.92"/>
  </r>
  <r>
    <x v="2"/>
    <n v="3871"/>
    <x v="5"/>
    <n v="101.87"/>
  </r>
  <r>
    <x v="3"/>
    <n v="2484"/>
    <x v="5"/>
    <n v="-42.74"/>
  </r>
  <r>
    <x v="0"/>
    <n v="177815"/>
    <x v="6"/>
    <n v="50.21"/>
  </r>
  <r>
    <x v="1"/>
    <n v="1412"/>
    <x v="6"/>
    <n v="24.79"/>
  </r>
  <r>
    <x v="2"/>
    <n v="3853"/>
    <x v="6"/>
    <n v="117.33"/>
  </r>
  <r>
    <x v="3"/>
    <n v="2473"/>
    <x v="6"/>
    <n v="-33.39"/>
  </r>
  <r>
    <x v="0"/>
    <n v="177825"/>
    <x v="7"/>
    <n v="44.2"/>
  </r>
  <r>
    <x v="1"/>
    <n v="1403"/>
    <x v="7"/>
    <n v="14.16"/>
  </r>
  <r>
    <x v="2"/>
    <n v="3833"/>
    <x v="7"/>
    <n v="107.74"/>
  </r>
  <r>
    <x v="3"/>
    <n v="2457"/>
    <x v="7"/>
    <n v="-39.479999999999997"/>
  </r>
  <r>
    <x v="0"/>
    <n v="177781"/>
    <x v="8"/>
    <n v="43.83"/>
  </r>
  <r>
    <x v="1"/>
    <n v="1395"/>
    <x v="8"/>
    <n v="12.54"/>
  </r>
  <r>
    <x v="2"/>
    <n v="3809"/>
    <x v="8"/>
    <n v="105.32"/>
  </r>
  <r>
    <x v="3"/>
    <n v="2442"/>
    <x v="8"/>
    <n v="-40.64"/>
  </r>
  <r>
    <x v="0"/>
    <n v="177758"/>
    <x v="9"/>
    <n v="35.65"/>
  </r>
  <r>
    <x v="1"/>
    <n v="1390"/>
    <x v="9"/>
    <n v="5.96"/>
  </r>
  <r>
    <x v="2"/>
    <n v="3789"/>
    <x v="9"/>
    <n v="82.64"/>
  </r>
  <r>
    <x v="3"/>
    <n v="2425"/>
    <x v="9"/>
    <n v="-55"/>
  </r>
  <r>
    <x v="0"/>
    <n v="177695"/>
    <x v="10"/>
    <n v="39.86"/>
  </r>
  <r>
    <x v="1"/>
    <n v="1368"/>
    <x v="10"/>
    <n v="11.65"/>
  </r>
  <r>
    <x v="2"/>
    <n v="3767"/>
    <x v="10"/>
    <n v="84.44"/>
  </r>
  <r>
    <x v="3"/>
    <n v="2409"/>
    <x v="10"/>
    <n v="-52.45"/>
  </r>
  <r>
    <x v="0"/>
    <n v="177740"/>
    <x v="11"/>
    <n v="50.45"/>
  </r>
  <r>
    <x v="1"/>
    <n v="1354"/>
    <x v="11"/>
    <n v="27.6"/>
  </r>
  <r>
    <x v="2"/>
    <n v="3743"/>
    <x v="11"/>
    <n v="95.68"/>
  </r>
  <r>
    <x v="3"/>
    <n v="2395"/>
    <x v="11"/>
    <n v="-44.13"/>
  </r>
  <r>
    <x v="0"/>
    <n v="177738"/>
    <x v="12"/>
    <n v="62.1"/>
  </r>
  <r>
    <x v="1"/>
    <n v="1344"/>
    <x v="12"/>
    <n v="44.87"/>
  </r>
  <r>
    <x v="2"/>
    <n v="3720"/>
    <x v="12"/>
    <n v="105.05"/>
  </r>
  <r>
    <x v="3"/>
    <n v="2377"/>
    <x v="12"/>
    <n v="-34.799999999999997"/>
  </r>
  <r>
    <x v="0"/>
    <n v="177740"/>
    <x v="13"/>
    <n v="57.05"/>
  </r>
  <r>
    <x v="1"/>
    <n v="1323"/>
    <x v="13"/>
    <n v="37.28"/>
  </r>
  <r>
    <x v="2"/>
    <n v="3693"/>
    <x v="13"/>
    <n v="87.18"/>
  </r>
  <r>
    <x v="3"/>
    <n v="2360"/>
    <x v="13"/>
    <n v="-40.659999999999997"/>
  </r>
  <r>
    <x v="0"/>
    <n v="177657"/>
    <x v="14"/>
    <n v="60.83"/>
  </r>
  <r>
    <x v="1"/>
    <n v="1309"/>
    <x v="14"/>
    <n v="43.16"/>
  </r>
  <r>
    <x v="2"/>
    <n v="3656"/>
    <x v="14"/>
    <n v="84.11"/>
  </r>
  <r>
    <x v="3"/>
    <n v="2337"/>
    <x v="14"/>
    <n v="-37.729999999999997"/>
  </r>
  <r>
    <x v="0"/>
    <n v="177570"/>
    <x v="15"/>
    <n v="64.11"/>
  </r>
  <r>
    <x v="1"/>
    <n v="1292"/>
    <x v="15"/>
    <n v="47.59"/>
  </r>
  <r>
    <x v="2"/>
    <n v="3629"/>
    <x v="15"/>
    <n v="85.58"/>
  </r>
  <r>
    <x v="3"/>
    <n v="2314"/>
    <x v="15"/>
    <n v="-36.32"/>
  </r>
  <r>
    <x v="0"/>
    <n v="177498"/>
    <x v="16"/>
    <n v="53.44"/>
  </r>
  <r>
    <x v="1"/>
    <n v="1281"/>
    <x v="16"/>
    <n v="30.61"/>
  </r>
  <r>
    <x v="2"/>
    <n v="3594"/>
    <x v="16"/>
    <n v="66.040000000000006"/>
  </r>
  <r>
    <x v="3"/>
    <n v="2289"/>
    <x v="16"/>
    <n v="-46.73"/>
  </r>
  <r>
    <x v="0"/>
    <n v="177518"/>
    <x v="17"/>
    <n v="44.76"/>
  </r>
  <r>
    <x v="1"/>
    <n v="1271"/>
    <x v="17"/>
    <n v="18.32"/>
  </r>
  <r>
    <x v="2"/>
    <n v="3567"/>
    <x v="17"/>
    <n v="34.74"/>
  </r>
  <r>
    <x v="3"/>
    <n v="2271"/>
    <x v="17"/>
    <n v="-53.7"/>
  </r>
  <r>
    <x v="0"/>
    <n v="177555"/>
    <x v="18"/>
    <n v="43.41"/>
  </r>
  <r>
    <x v="1"/>
    <n v="1251"/>
    <x v="18"/>
    <n v="15.07"/>
  </r>
  <r>
    <x v="2"/>
    <n v="3534"/>
    <x v="18"/>
    <n v="30.93"/>
  </r>
  <r>
    <x v="3"/>
    <n v="2249"/>
    <x v="18"/>
    <n v="-59.22"/>
  </r>
  <r>
    <x v="0"/>
    <n v="177536"/>
    <x v="19"/>
    <n v="35.81"/>
  </r>
  <r>
    <x v="1"/>
    <n v="1240"/>
    <x v="19"/>
    <n v="2.66"/>
  </r>
  <r>
    <x v="2"/>
    <n v="3500"/>
    <x v="19"/>
    <n v="17.489999999999998"/>
  </r>
  <r>
    <x v="3"/>
    <n v="2227"/>
    <x v="19"/>
    <n v="-69.98"/>
  </r>
  <r>
    <x v="0"/>
    <n v="177533"/>
    <x v="20"/>
    <n v="38.51"/>
  </r>
  <r>
    <x v="1"/>
    <n v="1228"/>
    <x v="20"/>
    <n v="4.68"/>
  </r>
  <r>
    <x v="2"/>
    <n v="3470"/>
    <x v="20"/>
    <n v="19.5"/>
  </r>
  <r>
    <x v="3"/>
    <n v="2207"/>
    <x v="20"/>
    <n v="-69.42"/>
  </r>
  <r>
    <x v="0"/>
    <n v="177520"/>
    <x v="21"/>
    <n v="37.880000000000003"/>
  </r>
  <r>
    <x v="1"/>
    <n v="1213"/>
    <x v="21"/>
    <n v="1.59"/>
  </r>
  <r>
    <x v="2"/>
    <n v="3433"/>
    <x v="21"/>
    <n v="11.51"/>
  </r>
  <r>
    <x v="3"/>
    <n v="2183"/>
    <x v="21"/>
    <n v="-72.16"/>
  </r>
  <r>
    <x v="0"/>
    <n v="177561"/>
    <x v="22"/>
    <n v="37.17"/>
  </r>
  <r>
    <x v="1"/>
    <n v="1205"/>
    <x v="22"/>
    <n v="-1.0900000000000001"/>
  </r>
  <r>
    <x v="2"/>
    <n v="3400"/>
    <x v="22"/>
    <n v="6.28"/>
  </r>
  <r>
    <x v="3"/>
    <n v="2155"/>
    <x v="22"/>
    <n v="-73.97"/>
  </r>
  <r>
    <x v="0"/>
    <n v="177642"/>
    <x v="23"/>
    <n v="36.36"/>
  </r>
  <r>
    <x v="1"/>
    <n v="1203"/>
    <x v="23"/>
    <n v="-3.61"/>
  </r>
  <r>
    <x v="2"/>
    <n v="3361"/>
    <x v="23"/>
    <n v="-2.58"/>
  </r>
  <r>
    <x v="3"/>
    <n v="2128"/>
    <x v="23"/>
    <n v="-75.430000000000007"/>
  </r>
  <r>
    <x v="0"/>
    <n v="177709"/>
    <x v="24"/>
    <n v="24.42"/>
  </r>
  <r>
    <x v="1"/>
    <n v="1199"/>
    <x v="24"/>
    <n v="-22.55"/>
  </r>
  <r>
    <x v="2"/>
    <n v="3321"/>
    <x v="24"/>
    <n v="-34.99"/>
  </r>
  <r>
    <x v="3"/>
    <n v="2100"/>
    <x v="24"/>
    <n v="-87.68"/>
  </r>
  <r>
    <x v="0"/>
    <n v="177708"/>
    <x v="25"/>
    <n v="24"/>
  </r>
  <r>
    <x v="1"/>
    <n v="1194"/>
    <x v="25"/>
    <n v="-24.36"/>
  </r>
  <r>
    <x v="2"/>
    <n v="3279"/>
    <x v="25"/>
    <n v="-49.59"/>
  </r>
  <r>
    <x v="3"/>
    <n v="2071"/>
    <x v="25"/>
    <n v="-86.83"/>
  </r>
  <r>
    <x v="0"/>
    <n v="177725"/>
    <x v="26"/>
    <n v="25.08"/>
  </r>
  <r>
    <x v="1"/>
    <n v="1188"/>
    <x v="26"/>
    <n v="-24.33"/>
  </r>
  <r>
    <x v="2"/>
    <n v="3234"/>
    <x v="26"/>
    <n v="-56.23"/>
  </r>
  <r>
    <x v="3"/>
    <n v="2037"/>
    <x v="26"/>
    <n v="-90.35"/>
  </r>
  <r>
    <x v="0"/>
    <n v="177856"/>
    <x v="27"/>
    <n v="16.809999999999999"/>
  </r>
  <r>
    <x v="1"/>
    <n v="1176"/>
    <x v="27"/>
    <n v="-37.770000000000003"/>
  </r>
  <r>
    <x v="2"/>
    <n v="3187"/>
    <x v="27"/>
    <n v="-72.22"/>
  </r>
  <r>
    <x v="3"/>
    <n v="1989"/>
    <x v="27"/>
    <n v="-101.28"/>
  </r>
  <r>
    <x v="0"/>
    <n v="178036"/>
    <x v="28"/>
    <n v="16.940000000000001"/>
  </r>
  <r>
    <x v="1"/>
    <n v="1163"/>
    <x v="28"/>
    <n v="-39.549999999999997"/>
  </r>
  <r>
    <x v="2"/>
    <n v="3115"/>
    <x v="28"/>
    <n v="-75.19"/>
  </r>
  <r>
    <x v="3"/>
    <n v="1936"/>
    <x v="28"/>
    <n v="-102.52"/>
  </r>
  <r>
    <x v="0"/>
    <n v="178137"/>
    <x v="29"/>
    <n v="29.56"/>
  </r>
  <r>
    <x v="1"/>
    <n v="1154"/>
    <x v="29"/>
    <n v="-23.89"/>
  </r>
  <r>
    <x v="2"/>
    <n v="3059"/>
    <x v="29"/>
    <n v="-59.56"/>
  </r>
  <r>
    <x v="3"/>
    <n v="1887"/>
    <x v="29"/>
    <n v="-90.8"/>
  </r>
  <r>
    <x v="0"/>
    <n v="178237"/>
    <x v="30"/>
    <n v="36.04"/>
  </r>
  <r>
    <x v="1"/>
    <n v="1141"/>
    <x v="30"/>
    <n v="-18.53"/>
  </r>
  <r>
    <x v="2"/>
    <n v="2990"/>
    <x v="30"/>
    <n v="-52.15"/>
  </r>
  <r>
    <x v="3"/>
    <n v="1824"/>
    <x v="30"/>
    <n v="-88.73"/>
  </r>
  <r>
    <x v="0"/>
    <n v="178069"/>
    <x v="31"/>
    <n v="17.53"/>
  </r>
  <r>
    <x v="1"/>
    <n v="1128"/>
    <x v="31"/>
    <n v="-48.3"/>
  </r>
  <r>
    <x v="2"/>
    <n v="2890"/>
    <x v="31"/>
    <n v="-83.16"/>
  </r>
  <r>
    <x v="3"/>
    <n v="1755"/>
    <x v="31"/>
    <n v="-111.54"/>
  </r>
  <r>
    <x v="0"/>
    <n v="178221"/>
    <x v="32"/>
    <n v="19.98"/>
  </r>
  <r>
    <x v="1"/>
    <n v="1109"/>
    <x v="32"/>
    <n v="-47.88"/>
  </r>
  <r>
    <x v="2"/>
    <n v="2792"/>
    <x v="32"/>
    <n v="-81.38"/>
  </r>
  <r>
    <x v="3"/>
    <n v="1670"/>
    <x v="32"/>
    <n v="-113.26"/>
  </r>
  <r>
    <x v="0"/>
    <n v="178373"/>
    <x v="33"/>
    <n v="28.1"/>
  </r>
  <r>
    <x v="1"/>
    <n v="1077"/>
    <x v="33"/>
    <n v="-39.130000000000003"/>
  </r>
  <r>
    <x v="2"/>
    <n v="2710"/>
    <x v="33"/>
    <n v="-81.790000000000006"/>
  </r>
  <r>
    <x v="3"/>
    <n v="1578"/>
    <x v="33"/>
    <n v="-107.55"/>
  </r>
  <r>
    <x v="0"/>
    <n v="178334"/>
    <x v="34"/>
    <n v="49.66"/>
  </r>
  <r>
    <x v="1"/>
    <n v="1053"/>
    <x v="34"/>
    <n v="-10.49"/>
  </r>
  <r>
    <x v="2"/>
    <n v="2607"/>
    <x v="34"/>
    <n v="-38.479999999999997"/>
  </r>
  <r>
    <x v="3"/>
    <n v="1487"/>
    <x v="34"/>
    <n v="-60.22"/>
  </r>
  <r>
    <x v="0"/>
    <n v="178394"/>
    <x v="35"/>
    <n v="86.38"/>
  </r>
  <r>
    <x v="1"/>
    <n v="1031"/>
    <x v="35"/>
    <n v="42.79"/>
  </r>
  <r>
    <x v="2"/>
    <n v="2512"/>
    <x v="35"/>
    <n v="8.8000000000000007"/>
  </r>
  <r>
    <x v="3"/>
    <n v="1405"/>
    <x v="35"/>
    <n v="-18.2"/>
  </r>
  <r>
    <x v="0"/>
    <n v="178241"/>
    <x v="36"/>
    <n v="92.39"/>
  </r>
  <r>
    <x v="1"/>
    <n v="1008"/>
    <x v="36"/>
    <n v="51.86"/>
  </r>
  <r>
    <x v="2"/>
    <n v="2400"/>
    <x v="36"/>
    <n v="8.39"/>
  </r>
  <r>
    <x v="3"/>
    <n v="1310"/>
    <x v="36"/>
    <n v="-11.52"/>
  </r>
  <r>
    <x v="0"/>
    <n v="178139"/>
    <x v="37"/>
    <n v="86.53"/>
  </r>
  <r>
    <x v="1"/>
    <n v="980"/>
    <x v="37"/>
    <n v="40.9"/>
  </r>
  <r>
    <x v="2"/>
    <n v="2282"/>
    <x v="37"/>
    <n v="-1.68"/>
  </r>
  <r>
    <x v="3"/>
    <n v="1208"/>
    <x v="37"/>
    <n v="-18.48"/>
  </r>
  <r>
    <x v="0"/>
    <n v="178013"/>
    <x v="38"/>
    <n v="89.88"/>
  </r>
  <r>
    <x v="1"/>
    <n v="964"/>
    <x v="38"/>
    <n v="46.35"/>
  </r>
  <r>
    <x v="2"/>
    <n v="2163"/>
    <x v="38"/>
    <n v="3.45"/>
  </r>
  <r>
    <x v="3"/>
    <n v="1093"/>
    <x v="38"/>
    <n v="-14.39"/>
  </r>
  <r>
    <x v="0"/>
    <n v="177825"/>
    <x v="39"/>
    <n v="100.14"/>
  </r>
  <r>
    <x v="1"/>
    <n v="941"/>
    <x v="39"/>
    <n v="63.84"/>
  </r>
  <r>
    <x v="2"/>
    <n v="2024"/>
    <x v="39"/>
    <n v="20.74"/>
  </r>
  <r>
    <x v="3"/>
    <n v="971"/>
    <x v="39"/>
    <n v="-1.75"/>
  </r>
  <r>
    <x v="0"/>
    <n v="177577"/>
    <x v="40"/>
    <n v="105.81"/>
  </r>
  <r>
    <x v="1"/>
    <n v="914"/>
    <x v="40"/>
    <n v="75.069999999999993"/>
  </r>
  <r>
    <x v="2"/>
    <n v="1895"/>
    <x v="40"/>
    <n v="30.87"/>
  </r>
  <r>
    <x v="3"/>
    <n v="846"/>
    <x v="40"/>
    <n v="5.35"/>
  </r>
  <r>
    <x v="0"/>
    <n v="177298"/>
    <x v="41"/>
    <n v="106.19"/>
  </r>
  <r>
    <x v="1"/>
    <n v="892"/>
    <x v="41"/>
    <n v="76.47"/>
  </r>
  <r>
    <x v="2"/>
    <n v="1783"/>
    <x v="41"/>
    <n v="32.94"/>
  </r>
  <r>
    <x v="3"/>
    <n v="745"/>
    <x v="41"/>
    <n v="6.5"/>
  </r>
  <r>
    <x v="0"/>
    <n v="177340"/>
    <x v="42"/>
    <n v="105.84"/>
  </r>
  <r>
    <x v="1"/>
    <n v="868"/>
    <x v="42"/>
    <n v="80.709999999999994"/>
  </r>
  <r>
    <x v="2"/>
    <n v="1703"/>
    <x v="42"/>
    <n v="34.75"/>
  </r>
  <r>
    <x v="3"/>
    <n v="667"/>
    <x v="42"/>
    <n v="6.79"/>
  </r>
  <r>
    <x v="0"/>
    <n v="176662"/>
    <x v="43"/>
    <n v="101.17"/>
  </r>
  <r>
    <x v="1"/>
    <n v="829"/>
    <x v="43"/>
    <n v="78.45"/>
  </r>
  <r>
    <x v="2"/>
    <n v="1565"/>
    <x v="43"/>
    <n v="28.54"/>
  </r>
  <r>
    <x v="3"/>
    <n v="539"/>
    <x v="43"/>
    <n v="1.7"/>
  </r>
  <r>
    <x v="0"/>
    <n v="176300"/>
    <x v="44"/>
    <n v="95.62"/>
  </r>
  <r>
    <x v="1"/>
    <n v="796"/>
    <x v="44"/>
    <n v="73.41"/>
  </r>
  <r>
    <x v="2"/>
    <n v="1471"/>
    <x v="44"/>
    <n v="22.1"/>
  </r>
  <r>
    <x v="3"/>
    <n v="440"/>
    <x v="44"/>
    <n v="-3.89"/>
  </r>
  <r>
    <x v="0"/>
    <n v="176057"/>
    <x v="45"/>
    <n v="98.02"/>
  </r>
  <r>
    <x v="1"/>
    <n v="761"/>
    <x v="45"/>
    <n v="77.959999999999994"/>
  </r>
  <r>
    <x v="2"/>
    <n v="1375"/>
    <x v="45"/>
    <n v="29.54"/>
  </r>
  <r>
    <x v="3"/>
    <n v="335"/>
    <x v="45"/>
    <n v="1.32"/>
  </r>
  <r>
    <x v="0"/>
    <n v="175773"/>
    <x v="46"/>
    <n v="91.59"/>
  </r>
  <r>
    <x v="1"/>
    <n v="735"/>
    <x v="46"/>
    <n v="67.78"/>
  </r>
  <r>
    <x v="2"/>
    <n v="1283"/>
    <x v="46"/>
    <n v="22.86"/>
  </r>
  <r>
    <x v="3"/>
    <n v="226"/>
    <x v="46"/>
    <n v="-6.22"/>
  </r>
  <r>
    <x v="0"/>
    <n v="175603"/>
    <x v="47"/>
    <n v="84.39"/>
  </r>
  <r>
    <x v="1"/>
    <n v="712"/>
    <x v="47"/>
    <n v="56.19"/>
  </r>
  <r>
    <x v="2"/>
    <n v="1180"/>
    <x v="47"/>
    <n v="15.52"/>
  </r>
  <r>
    <x v="3"/>
    <n v="132"/>
    <x v="47"/>
    <s v="(NULL)"/>
  </r>
  <r>
    <x v="0"/>
    <n v="175406"/>
    <x v="48"/>
    <n v="78.599999999999994"/>
  </r>
  <r>
    <x v="1"/>
    <n v="679"/>
    <x v="48"/>
    <n v="48.71"/>
  </r>
  <r>
    <x v="2"/>
    <n v="1093"/>
    <x v="48"/>
    <n v="9.33"/>
  </r>
  <r>
    <x v="0"/>
    <n v="175226"/>
    <x v="49"/>
    <n v="74.8"/>
  </r>
  <r>
    <x v="1"/>
    <n v="647"/>
    <x v="49"/>
    <n v="45.84"/>
  </r>
  <r>
    <x v="2"/>
    <n v="1028"/>
    <x v="49"/>
    <n v="8.06"/>
  </r>
  <r>
    <x v="0"/>
    <n v="175080"/>
    <x v="50"/>
    <n v="78.62"/>
  </r>
  <r>
    <x v="1"/>
    <n v="623"/>
    <x v="50"/>
    <n v="58.56"/>
  </r>
  <r>
    <x v="2"/>
    <n v="971"/>
    <x v="50"/>
    <n v="22.4"/>
  </r>
  <r>
    <x v="0"/>
    <n v="174705"/>
    <x v="51"/>
    <n v="79.13"/>
  </r>
  <r>
    <x v="1"/>
    <n v="563"/>
    <x v="51"/>
    <n v="63.28"/>
  </r>
  <r>
    <x v="2"/>
    <n v="882"/>
    <x v="51"/>
    <n v="50.59"/>
  </r>
  <r>
    <x v="0"/>
    <n v="174574"/>
    <x v="52"/>
    <n v="78.47"/>
  </r>
  <r>
    <x v="1"/>
    <n v="529"/>
    <x v="52"/>
    <n v="67.819999999999993"/>
  </r>
  <r>
    <x v="2"/>
    <n v="841"/>
    <x v="52"/>
    <n v="53.36"/>
  </r>
  <r>
    <x v="0"/>
    <n v="174504"/>
    <x v="53"/>
    <n v="76.63"/>
  </r>
  <r>
    <x v="1"/>
    <n v="494"/>
    <x v="53"/>
    <n v="68.67"/>
  </r>
  <r>
    <x v="2"/>
    <n v="794"/>
    <x v="53"/>
    <n v="50.85"/>
  </r>
  <r>
    <x v="0"/>
    <n v="174436"/>
    <x v="54"/>
    <n v="71.81"/>
  </r>
  <r>
    <x v="1"/>
    <n v="473"/>
    <x v="54"/>
    <n v="67.23"/>
  </r>
  <r>
    <x v="2"/>
    <n v="773"/>
    <x v="54"/>
    <n v="44.06"/>
  </r>
  <r>
    <x v="0"/>
    <n v="174323"/>
    <x v="55"/>
    <n v="73.290000000000006"/>
  </r>
  <r>
    <x v="1"/>
    <n v="438"/>
    <x v="55"/>
    <n v="74.14"/>
  </r>
  <r>
    <x v="2"/>
    <n v="737"/>
    <x v="55"/>
    <n v="48.27"/>
  </r>
  <r>
    <x v="0"/>
    <n v="174081"/>
    <x v="56"/>
    <n v="66.739999999999995"/>
  </r>
  <r>
    <x v="1"/>
    <n v="395"/>
    <x v="56"/>
    <n v="62.23"/>
  </r>
  <r>
    <x v="2"/>
    <n v="699"/>
    <x v="56"/>
    <n v="32.380000000000003"/>
  </r>
  <r>
    <x v="0"/>
    <n v="173793"/>
    <x v="57"/>
    <n v="50.66"/>
  </r>
  <r>
    <x v="1"/>
    <n v="358"/>
    <x v="57"/>
    <n v="35.4"/>
  </r>
  <r>
    <x v="2"/>
    <n v="665"/>
    <x v="57"/>
    <n v="7.07"/>
  </r>
  <r>
    <x v="0"/>
    <n v="173645"/>
    <x v="58"/>
    <n v="56.82"/>
  </r>
  <r>
    <x v="1"/>
    <n v="319"/>
    <x v="58"/>
    <n v="38.08"/>
  </r>
  <r>
    <x v="2"/>
    <n v="632"/>
    <x v="58"/>
    <n v="-18.09"/>
  </r>
  <r>
    <x v="0"/>
    <n v="173477"/>
    <x v="59"/>
    <n v="49.42"/>
  </r>
  <r>
    <x v="1"/>
    <n v="283"/>
    <x v="59"/>
    <n v="21.42"/>
  </r>
  <r>
    <x v="2"/>
    <n v="601"/>
    <x v="59"/>
    <n v="-31.37"/>
  </r>
  <r>
    <x v="0"/>
    <n v="173244"/>
    <x v="60"/>
    <n v="39.64"/>
  </r>
  <r>
    <x v="1"/>
    <n v="242"/>
    <x v="60"/>
    <n v="-1.29"/>
  </r>
  <r>
    <x v="2"/>
    <n v="567"/>
    <x v="60"/>
    <n v="-51.22"/>
  </r>
  <r>
    <x v="0"/>
    <n v="172992"/>
    <x v="61"/>
    <n v="39.93"/>
  </r>
  <r>
    <x v="1"/>
    <n v="211"/>
    <x v="61"/>
    <n v="-5.31"/>
  </r>
  <r>
    <x v="2"/>
    <n v="532"/>
    <x v="61"/>
    <n v="-52.35"/>
  </r>
  <r>
    <x v="0"/>
    <n v="172830"/>
    <x v="62"/>
    <n v="33.01"/>
  </r>
  <r>
    <x v="1"/>
    <n v="181"/>
    <x v="62"/>
    <n v="-16.059999999999999"/>
  </r>
  <r>
    <x v="2"/>
    <n v="486"/>
    <x v="62"/>
    <n v="-62.02"/>
  </r>
  <r>
    <x v="0"/>
    <n v="172694"/>
    <x v="63"/>
    <n v="46.1"/>
  </r>
  <r>
    <x v="1"/>
    <n v="159"/>
    <x v="63"/>
    <n v="12.94"/>
  </r>
  <r>
    <x v="2"/>
    <n v="441"/>
    <x v="63"/>
    <n v="-41.2"/>
  </r>
  <r>
    <x v="0"/>
    <n v="172420"/>
    <x v="64"/>
    <n v="51.05"/>
  </r>
  <r>
    <x v="1"/>
    <n v="131"/>
    <x v="64"/>
    <n v="33.630000000000003"/>
  </r>
  <r>
    <x v="2"/>
    <n v="391"/>
    <x v="64"/>
    <n v="-32.6"/>
  </r>
  <r>
    <x v="0"/>
    <n v="172311"/>
    <x v="65"/>
    <n v="77.150000000000006"/>
  </r>
  <r>
    <x v="1"/>
    <n v="111"/>
    <x v="65"/>
    <n v="97.84"/>
  </r>
  <r>
    <x v="2"/>
    <n v="347"/>
    <x v="65"/>
    <n v="9.59"/>
  </r>
  <r>
    <x v="0"/>
    <n v="172086"/>
    <x v="66"/>
    <n v="83.83"/>
  </r>
  <r>
    <x v="1"/>
    <n v="92"/>
    <x v="66"/>
    <n v="102.07"/>
  </r>
  <r>
    <x v="2"/>
    <n v="311"/>
    <x v="66"/>
    <n v="17.89"/>
  </r>
  <r>
    <x v="0"/>
    <n v="171839"/>
    <x v="67"/>
    <n v="78.73"/>
  </r>
  <r>
    <x v="1"/>
    <n v="94"/>
    <x v="67"/>
    <n v="97.06"/>
  </r>
  <r>
    <x v="2"/>
    <n v="281"/>
    <x v="67"/>
    <n v="9.49"/>
  </r>
  <r>
    <x v="0"/>
    <n v="171705"/>
    <x v="68"/>
    <n v="74.8"/>
  </r>
  <r>
    <x v="1"/>
    <n v="94"/>
    <x v="68"/>
    <n v="93.41"/>
  </r>
  <r>
    <x v="2"/>
    <n v="246"/>
    <x v="68"/>
    <n v="1.62"/>
  </r>
  <r>
    <x v="0"/>
    <n v="171575"/>
    <x v="69"/>
    <n v="67.39"/>
  </r>
  <r>
    <x v="1"/>
    <n v="95"/>
    <x v="69"/>
    <n v="158.84"/>
  </r>
  <r>
    <x v="2"/>
    <n v="212"/>
    <x v="69"/>
    <n v="-13.8"/>
  </r>
  <r>
    <x v="0"/>
    <n v="171528"/>
    <x v="70"/>
    <n v="58.84"/>
  </r>
  <r>
    <x v="1"/>
    <n v="88"/>
    <x v="70"/>
    <n v="143.38"/>
  </r>
  <r>
    <x v="2"/>
    <n v="188"/>
    <x v="70"/>
    <n v="-33.700000000000003"/>
  </r>
  <r>
    <x v="0"/>
    <n v="171186"/>
    <x v="71"/>
    <n v="48.75"/>
  </r>
  <r>
    <x v="1"/>
    <n v="88"/>
    <x v="71"/>
    <n v="125"/>
  </r>
  <r>
    <x v="2"/>
    <n v="142"/>
    <x v="71"/>
    <n v="-59.95"/>
  </r>
  <r>
    <x v="0"/>
    <n v="171547"/>
    <x v="72"/>
    <n v="37"/>
  </r>
  <r>
    <x v="1"/>
    <n v="89"/>
    <x v="72"/>
    <n v="105.05"/>
  </r>
  <r>
    <x v="2"/>
    <n v="138"/>
    <x v="72"/>
    <n v="-91.91"/>
  </r>
  <r>
    <x v="0"/>
    <n v="171563"/>
    <x v="73"/>
    <n v="43.97"/>
  </r>
  <r>
    <x v="1"/>
    <n v="91"/>
    <x v="73"/>
    <n v="116.71"/>
  </r>
  <r>
    <x v="2"/>
    <n v="116"/>
    <x v="73"/>
    <n v="-24.83"/>
  </r>
  <r>
    <x v="0"/>
    <n v="172106"/>
    <x v="74"/>
    <n v="45.48"/>
  </r>
  <r>
    <x v="1"/>
    <n v="91"/>
    <x v="74"/>
    <n v="118.77"/>
  </r>
  <r>
    <x v="2"/>
    <n v="92"/>
    <x v="74"/>
    <n v="-25.9"/>
  </r>
  <r>
    <x v="0"/>
    <n v="172010"/>
    <x v="75"/>
    <n v="44.25"/>
  </r>
  <r>
    <x v="1"/>
    <n v="93"/>
    <x v="75"/>
    <n v="114.61"/>
  </r>
  <r>
    <x v="2"/>
    <n v="71"/>
    <x v="75"/>
    <n v="-30.56"/>
  </r>
  <r>
    <x v="0"/>
    <n v="171988"/>
    <x v="76"/>
    <n v="50.5"/>
  </r>
  <r>
    <x v="1"/>
    <n v="94"/>
    <x v="76"/>
    <n v="121.56"/>
  </r>
  <r>
    <x v="2"/>
    <n v="44"/>
    <x v="76"/>
    <n v="-22.9"/>
  </r>
  <r>
    <x v="0"/>
    <n v="171964"/>
    <x v="77"/>
    <n v="54.77"/>
  </r>
  <r>
    <x v="1"/>
    <n v="94"/>
    <x v="77"/>
    <n v="123.22"/>
  </r>
  <r>
    <x v="2"/>
    <n v="26"/>
    <x v="77"/>
    <n v="-26.66"/>
  </r>
  <r>
    <x v="0"/>
    <n v="171783"/>
    <x v="78"/>
    <n v="50.79"/>
  </r>
  <r>
    <x v="1"/>
    <n v="95"/>
    <x v="78"/>
    <n v="114.29"/>
  </r>
  <r>
    <x v="2"/>
    <n v="10"/>
    <x v="78"/>
    <n v="-33.71"/>
  </r>
  <r>
    <x v="0"/>
    <n v="171747"/>
    <x v="79"/>
    <n v="47.2"/>
  </r>
  <r>
    <x v="1"/>
    <n v="95"/>
    <x v="79"/>
    <n v="105.3"/>
  </r>
  <r>
    <x v="2"/>
    <n v="2"/>
    <x v="79"/>
    <s v="(NULL)"/>
  </r>
  <r>
    <x v="0"/>
    <n v="171682"/>
    <x v="80"/>
    <n v="38.869999999999997"/>
  </r>
  <r>
    <x v="1"/>
    <n v="95"/>
    <x v="80"/>
    <n v="84.87"/>
  </r>
  <r>
    <x v="0"/>
    <n v="171541"/>
    <x v="81"/>
    <n v="38.229999999999997"/>
  </r>
  <r>
    <x v="1"/>
    <n v="96"/>
    <x v="81"/>
    <n v="79.930000000000007"/>
  </r>
  <r>
    <x v="0"/>
    <n v="171365"/>
    <x v="82"/>
    <n v="28.56"/>
  </r>
  <r>
    <x v="1"/>
    <n v="97"/>
    <x v="82"/>
    <n v="63.07"/>
  </r>
  <r>
    <x v="0"/>
    <n v="171202"/>
    <x v="83"/>
    <n v="63.07"/>
  </r>
  <r>
    <x v="1"/>
    <n v="97"/>
    <x v="83"/>
    <n v="124.61"/>
  </r>
  <r>
    <x v="0"/>
    <n v="170987"/>
    <x v="84"/>
    <n v="67.14"/>
  </r>
  <r>
    <x v="1"/>
    <n v="98"/>
    <x v="84"/>
    <n v="130.96"/>
  </r>
  <r>
    <x v="0"/>
    <n v="170832"/>
    <x v="85"/>
    <n v="57.8"/>
  </r>
  <r>
    <x v="1"/>
    <n v="98"/>
    <x v="85"/>
    <n v="112.2"/>
  </r>
  <r>
    <x v="0"/>
    <n v="170671"/>
    <x v="86"/>
    <n v="52.53"/>
  </r>
  <r>
    <x v="1"/>
    <n v="98"/>
    <x v="86"/>
    <n v="103.16"/>
  </r>
  <r>
    <x v="0"/>
    <n v="170169"/>
    <x v="87"/>
    <n v="59.13"/>
  </r>
  <r>
    <x v="1"/>
    <n v="96"/>
    <x v="87"/>
    <n v="116.96"/>
  </r>
  <r>
    <x v="0"/>
    <n v="169898"/>
    <x v="88"/>
    <n v="46.43"/>
  </r>
  <r>
    <x v="1"/>
    <n v="91"/>
    <x v="88"/>
    <n v="89.48"/>
  </r>
  <r>
    <x v="0"/>
    <n v="169614"/>
    <x v="89"/>
    <n v="1.33"/>
  </r>
  <r>
    <x v="1"/>
    <n v="86"/>
    <x v="89"/>
    <n v="5.28"/>
  </r>
  <r>
    <x v="0"/>
    <n v="169226"/>
    <x v="90"/>
    <n v="-3.71"/>
  </r>
  <r>
    <x v="1"/>
    <n v="82"/>
    <x v="90"/>
    <n v="-6.87"/>
  </r>
  <r>
    <x v="0"/>
    <n v="168922"/>
    <x v="91"/>
    <n v="5.21"/>
  </r>
  <r>
    <x v="1"/>
    <n v="78"/>
    <x v="91"/>
    <n v="-11.17"/>
  </r>
  <r>
    <x v="0"/>
    <n v="168538"/>
    <x v="92"/>
    <n v="-21.26"/>
  </r>
  <r>
    <x v="1"/>
    <n v="76"/>
    <x v="92"/>
    <n v="-67.650000000000006"/>
  </r>
  <r>
    <x v="0"/>
    <n v="167992"/>
    <x v="93"/>
    <n v="-17.579999999999998"/>
  </r>
  <r>
    <x v="1"/>
    <n v="68"/>
    <x v="93"/>
    <n v="-70.239999999999995"/>
  </r>
  <r>
    <x v="0"/>
    <n v="167354"/>
    <x v="94"/>
    <n v="-11.41"/>
  </r>
  <r>
    <x v="1"/>
    <n v="64"/>
    <x v="94"/>
    <n v="-53.63"/>
  </r>
  <r>
    <x v="0"/>
    <n v="166861"/>
    <x v="95"/>
    <n v="9.1300000000000008"/>
  </r>
  <r>
    <x v="1"/>
    <n v="45"/>
    <x v="95"/>
    <n v="-11.74"/>
  </r>
  <r>
    <x v="0"/>
    <n v="166020"/>
    <x v="96"/>
    <n v="16"/>
  </r>
  <r>
    <x v="1"/>
    <n v="23"/>
    <x v="96"/>
    <s v="(NULL)"/>
  </r>
  <r>
    <x v="0"/>
    <n v="164825"/>
    <x v="97"/>
    <n v="14.26"/>
  </r>
  <r>
    <x v="0"/>
    <n v="163763"/>
    <x v="98"/>
    <n v="18.440000000000001"/>
  </r>
  <r>
    <x v="0"/>
    <n v="162546"/>
    <x v="99"/>
    <n v="32.270000000000003"/>
  </r>
  <r>
    <x v="0"/>
    <n v="160811"/>
    <x v="100"/>
    <n v="11.2"/>
  </r>
  <r>
    <x v="0"/>
    <n v="159634"/>
    <x v="101"/>
    <n v="4.5599999999999996"/>
  </r>
  <r>
    <x v="0"/>
    <n v="158324"/>
    <x v="102"/>
    <n v="-6.17"/>
  </r>
  <r>
    <x v="0"/>
    <n v="157161"/>
    <x v="103"/>
    <n v="-9.41"/>
  </r>
  <r>
    <x v="0"/>
    <n v="156094"/>
    <x v="104"/>
    <n v="-21.17"/>
  </r>
  <r>
    <x v="0"/>
    <n v="154883"/>
    <x v="105"/>
    <n v="-30.34"/>
  </r>
  <r>
    <x v="0"/>
    <n v="153872"/>
    <x v="106"/>
    <n v="-28.42"/>
  </r>
  <r>
    <x v="0"/>
    <n v="153128"/>
    <x v="107"/>
    <n v="-2.58"/>
  </r>
  <r>
    <x v="0"/>
    <n v="152290"/>
    <x v="108"/>
    <n v="2.54"/>
  </r>
  <r>
    <x v="0"/>
    <n v="151399"/>
    <x v="109"/>
    <n v="4.87"/>
  </r>
  <r>
    <x v="0"/>
    <n v="150554"/>
    <x v="110"/>
    <n v="-1.46"/>
  </r>
  <r>
    <x v="0"/>
    <n v="149583"/>
    <x v="111"/>
    <n v="-1.37"/>
  </r>
  <r>
    <x v="0"/>
    <n v="148903"/>
    <x v="112"/>
    <n v="5.47"/>
  </r>
  <r>
    <x v="0"/>
    <n v="148414"/>
    <x v="113"/>
    <n v="-3.25"/>
  </r>
  <r>
    <x v="0"/>
    <n v="147649"/>
    <x v="114"/>
    <n v="-10.98"/>
  </r>
  <r>
    <x v="0"/>
    <n v="147173"/>
    <x v="115"/>
    <n v="-15.42"/>
  </r>
  <r>
    <x v="0"/>
    <n v="146739"/>
    <x v="116"/>
    <n v="-23.69"/>
  </r>
  <r>
    <x v="0"/>
    <n v="146185"/>
    <x v="117"/>
    <n v="-44.24"/>
  </r>
  <r>
    <x v="0"/>
    <n v="145689"/>
    <x v="118"/>
    <n v="-40.229999999999997"/>
  </r>
  <r>
    <x v="0"/>
    <n v="145276"/>
    <x v="119"/>
    <n v="-35.28"/>
  </r>
  <r>
    <x v="0"/>
    <n v="144774"/>
    <x v="120"/>
    <n v="-29.98"/>
  </r>
  <r>
    <x v="0"/>
    <n v="144425"/>
    <x v="121"/>
    <n v="-17.39"/>
  </r>
  <r>
    <x v="0"/>
    <n v="143953"/>
    <x v="122"/>
    <n v="-11.5"/>
  </r>
  <r>
    <x v="0"/>
    <n v="143384"/>
    <x v="123"/>
    <n v="-3.41"/>
  </r>
  <r>
    <x v="0"/>
    <n v="142804"/>
    <x v="124"/>
    <n v="-13.74"/>
  </r>
  <r>
    <x v="0"/>
    <n v="142252"/>
    <x v="125"/>
    <n v="-16.48"/>
  </r>
  <r>
    <x v="0"/>
    <n v="141621"/>
    <x v="126"/>
    <n v="3.3"/>
  </r>
  <r>
    <x v="0"/>
    <n v="141124"/>
    <x v="127"/>
    <n v="23.95"/>
  </r>
  <r>
    <x v="0"/>
    <n v="140649"/>
    <x v="128"/>
    <n v="25.45"/>
  </r>
  <r>
    <x v="0"/>
    <n v="140138"/>
    <x v="129"/>
    <n v="34.81"/>
  </r>
  <r>
    <x v="0"/>
    <n v="139687"/>
    <x v="130"/>
    <n v="43.8"/>
  </r>
  <r>
    <x v="0"/>
    <n v="139339"/>
    <x v="131"/>
    <n v="34.53"/>
  </r>
  <r>
    <x v="0"/>
    <n v="138902"/>
    <x v="132"/>
    <n v="24.54"/>
  </r>
  <r>
    <x v="0"/>
    <n v="138594"/>
    <x v="133"/>
    <n v="18.53"/>
  </r>
  <r>
    <x v="0"/>
    <n v="138040"/>
    <x v="134"/>
    <n v="42.85"/>
  </r>
  <r>
    <x v="0"/>
    <n v="137614"/>
    <x v="135"/>
    <n v="38.44"/>
  </r>
  <r>
    <x v="0"/>
    <n v="137387"/>
    <x v="136"/>
    <n v="37.39"/>
  </r>
  <r>
    <x v="0"/>
    <n v="137192"/>
    <x v="137"/>
    <n v="40.9"/>
  </r>
  <r>
    <x v="0"/>
    <n v="136768"/>
    <x v="138"/>
    <n v="42.66"/>
  </r>
  <r>
    <x v="0"/>
    <n v="136619"/>
    <x v="139"/>
    <n v="38.81"/>
  </r>
  <r>
    <x v="0"/>
    <n v="136490"/>
    <x v="140"/>
    <n v="30.9"/>
  </r>
  <r>
    <x v="0"/>
    <n v="136347"/>
    <x v="141"/>
    <n v="19.93"/>
  </r>
  <r>
    <x v="0"/>
    <n v="136226"/>
    <x v="142"/>
    <n v="-1.74"/>
  </r>
  <r>
    <x v="0"/>
    <n v="136287"/>
    <x v="143"/>
    <n v="-0.59"/>
  </r>
  <r>
    <x v="0"/>
    <n v="136406"/>
    <x v="144"/>
    <n v="33.44"/>
  </r>
  <r>
    <x v="0"/>
    <n v="136252"/>
    <x v="145"/>
    <n v="74.45"/>
  </r>
  <r>
    <x v="0"/>
    <n v="135868"/>
    <x v="146"/>
    <n v="61.02"/>
  </r>
  <r>
    <x v="0"/>
    <n v="135654"/>
    <x v="147"/>
    <n v="56.3"/>
  </r>
  <r>
    <x v="0"/>
    <n v="135739"/>
    <x v="148"/>
    <n v="43.62"/>
  </r>
  <r>
    <x v="0"/>
    <n v="135910"/>
    <x v="149"/>
    <n v="42.25"/>
  </r>
  <r>
    <x v="0"/>
    <n v="136312"/>
    <x v="150"/>
    <n v="43.61"/>
  </r>
  <r>
    <x v="0"/>
    <n v="136901"/>
    <x v="151"/>
    <n v="32.68"/>
  </r>
  <r>
    <x v="0"/>
    <n v="137398"/>
    <x v="152"/>
    <n v="23.71"/>
  </r>
  <r>
    <x v="0"/>
    <n v="137518"/>
    <x v="153"/>
    <n v="83.31"/>
  </r>
  <r>
    <x v="0"/>
    <n v="137534"/>
    <x v="154"/>
    <n v="128.94999999999999"/>
  </r>
  <r>
    <x v="0"/>
    <n v="137600"/>
    <x v="155"/>
    <n v="109.92"/>
  </r>
  <r>
    <x v="0"/>
    <n v="137669"/>
    <x v="156"/>
    <n v="97.52"/>
  </r>
  <r>
    <x v="0"/>
    <n v="137628"/>
    <x v="157"/>
    <n v="106.67"/>
  </r>
  <r>
    <x v="0"/>
    <n v="137575"/>
    <x v="158"/>
    <n v="101.65"/>
  </r>
  <r>
    <x v="0"/>
    <n v="137406"/>
    <x v="159"/>
    <n v="99.84"/>
  </r>
  <r>
    <x v="0"/>
    <n v="137181"/>
    <x v="160"/>
    <n v="92.99"/>
  </r>
  <r>
    <x v="0"/>
    <n v="136954"/>
    <x v="161"/>
    <n v="95.31"/>
  </r>
  <r>
    <x v="0"/>
    <n v="136195"/>
    <x v="162"/>
    <n v="94.63"/>
  </r>
  <r>
    <x v="0"/>
    <n v="135496"/>
    <x v="163"/>
    <n v="97.59"/>
  </r>
  <r>
    <x v="0"/>
    <n v="134808"/>
    <x v="164"/>
    <n v="83.17"/>
  </r>
  <r>
    <x v="0"/>
    <n v="134035"/>
    <x v="165"/>
    <n v="70.67"/>
  </r>
  <r>
    <x v="0"/>
    <n v="133383"/>
    <x v="166"/>
    <n v="58.42"/>
  </r>
  <r>
    <x v="0"/>
    <n v="132852"/>
    <x v="167"/>
    <n v="44.52"/>
  </r>
  <r>
    <x v="0"/>
    <n v="132319"/>
    <x v="168"/>
    <n v="31.33"/>
  </r>
  <r>
    <x v="0"/>
    <n v="131825"/>
    <x v="169"/>
    <n v="27.04"/>
  </r>
  <r>
    <x v="0"/>
    <n v="131120"/>
    <x v="170"/>
    <n v="47.91"/>
  </r>
  <r>
    <x v="0"/>
    <n v="130570"/>
    <x v="171"/>
    <n v="36.14"/>
  </r>
  <r>
    <x v="0"/>
    <n v="129967"/>
    <x v="172"/>
    <n v="33.950000000000003"/>
  </r>
  <r>
    <x v="0"/>
    <n v="129300"/>
    <x v="173"/>
    <n v="68.75"/>
  </r>
  <r>
    <x v="0"/>
    <n v="128146"/>
    <x v="174"/>
    <n v="73"/>
  </r>
  <r>
    <x v="0"/>
    <n v="127237"/>
    <x v="175"/>
    <n v="57.61"/>
  </r>
  <r>
    <x v="0"/>
    <n v="126372"/>
    <x v="176"/>
    <n v="48.64"/>
  </r>
  <r>
    <x v="0"/>
    <n v="125389"/>
    <x v="177"/>
    <n v="35.22"/>
  </r>
  <r>
    <x v="0"/>
    <n v="124394"/>
    <x v="178"/>
    <n v="34.19"/>
  </r>
  <r>
    <x v="0"/>
    <n v="123051"/>
    <x v="179"/>
    <n v="35.31"/>
  </r>
  <r>
    <x v="0"/>
    <n v="121798"/>
    <x v="180"/>
    <n v="45.6"/>
  </r>
  <r>
    <x v="0"/>
    <n v="120460"/>
    <x v="181"/>
    <n v="57.31"/>
  </r>
  <r>
    <x v="0"/>
    <n v="119239"/>
    <x v="182"/>
    <n v="50.77"/>
  </r>
  <r>
    <x v="0"/>
    <n v="118171"/>
    <x v="183"/>
    <n v="53.57"/>
  </r>
  <r>
    <x v="0"/>
    <n v="117372"/>
    <x v="184"/>
    <n v="27.47"/>
  </r>
  <r>
    <x v="0"/>
    <n v="116547"/>
    <x v="185"/>
    <n v="-6.9"/>
  </r>
  <r>
    <x v="0"/>
    <n v="115643"/>
    <x v="186"/>
    <n v="-15.38"/>
  </r>
  <r>
    <x v="0"/>
    <n v="114739"/>
    <x v="187"/>
    <n v="-25.99"/>
  </r>
  <r>
    <x v="0"/>
    <n v="113900"/>
    <x v="188"/>
    <n v="-36.159999999999997"/>
  </r>
  <r>
    <x v="0"/>
    <n v="112753"/>
    <x v="189"/>
    <n v="-48.31"/>
  </r>
  <r>
    <x v="0"/>
    <n v="111933"/>
    <x v="190"/>
    <n v="-61.93"/>
  </r>
  <r>
    <x v="0"/>
    <n v="111145"/>
    <x v="191"/>
    <n v="-83.61"/>
  </r>
  <r>
    <x v="0"/>
    <n v="110373"/>
    <x v="192"/>
    <n v="-53.45"/>
  </r>
  <r>
    <x v="0"/>
    <n v="109591"/>
    <x v="193"/>
    <n v="-61.86"/>
  </r>
  <r>
    <x v="0"/>
    <n v="109095"/>
    <x v="194"/>
    <n v="-69.75"/>
  </r>
  <r>
    <x v="0"/>
    <n v="108477"/>
    <x v="195"/>
    <n v="-61.16"/>
  </r>
  <r>
    <x v="0"/>
    <n v="107933"/>
    <x v="196"/>
    <n v="-36.979999999999997"/>
  </r>
  <r>
    <x v="0"/>
    <n v="107228"/>
    <x v="197"/>
    <n v="-22.99"/>
  </r>
  <r>
    <x v="0"/>
    <n v="106736"/>
    <x v="198"/>
    <n v="-36.32"/>
  </r>
  <r>
    <x v="0"/>
    <n v="106216"/>
    <x v="199"/>
    <n v="-28.72"/>
  </r>
  <r>
    <x v="0"/>
    <n v="105603"/>
    <x v="200"/>
    <n v="-41.51"/>
  </r>
  <r>
    <x v="0"/>
    <n v="104791"/>
    <x v="201"/>
    <n v="-15.51"/>
  </r>
  <r>
    <x v="0"/>
    <n v="104062"/>
    <x v="202"/>
    <n v="-7.94"/>
  </r>
  <r>
    <x v="0"/>
    <n v="103279"/>
    <x v="203"/>
    <n v="26.77"/>
  </r>
  <r>
    <x v="0"/>
    <n v="102434"/>
    <x v="204"/>
    <n v="47.84"/>
  </r>
  <r>
    <x v="0"/>
    <n v="101316"/>
    <x v="205"/>
    <n v="41.14"/>
  </r>
  <r>
    <x v="0"/>
    <n v="99969"/>
    <x v="206"/>
    <n v="60.2"/>
  </r>
  <r>
    <x v="0"/>
    <n v="98708"/>
    <x v="207"/>
    <n v="65.78"/>
  </r>
  <r>
    <x v="0"/>
    <n v="97659"/>
    <x v="208"/>
    <n v="71.69"/>
  </r>
  <r>
    <x v="0"/>
    <n v="96612"/>
    <x v="209"/>
    <n v="65.150000000000006"/>
  </r>
  <r>
    <x v="0"/>
    <n v="95354"/>
    <x v="210"/>
    <n v="80.03"/>
  </r>
  <r>
    <x v="0"/>
    <n v="94275"/>
    <x v="211"/>
    <n v="80.94"/>
  </r>
  <r>
    <x v="0"/>
    <n v="93181"/>
    <x v="212"/>
    <n v="65.19"/>
  </r>
  <r>
    <x v="0"/>
    <n v="92100"/>
    <x v="213"/>
    <n v="65.69"/>
  </r>
  <r>
    <x v="0"/>
    <n v="91102"/>
    <x v="214"/>
    <n v="65.86"/>
  </r>
  <r>
    <x v="0"/>
    <n v="89963"/>
    <x v="215"/>
    <n v="57.86"/>
  </r>
  <r>
    <x v="0"/>
    <n v="89060"/>
    <x v="216"/>
    <n v="58.18"/>
  </r>
  <r>
    <x v="0"/>
    <n v="88069"/>
    <x v="217"/>
    <n v="60.99"/>
  </r>
  <r>
    <x v="0"/>
    <n v="86902"/>
    <x v="218"/>
    <n v="69.13"/>
  </r>
  <r>
    <x v="0"/>
    <n v="85942"/>
    <x v="219"/>
    <n v="71.56"/>
  </r>
  <r>
    <x v="0"/>
    <n v="85121"/>
    <x v="220"/>
    <n v="56.74"/>
  </r>
  <r>
    <x v="0"/>
    <n v="84354"/>
    <x v="221"/>
    <n v="50.38"/>
  </r>
  <r>
    <x v="0"/>
    <n v="83615"/>
    <x v="222"/>
    <n v="43.96"/>
  </r>
  <r>
    <x v="0"/>
    <n v="82933"/>
    <x v="223"/>
    <n v="34.29"/>
  </r>
  <r>
    <x v="0"/>
    <n v="82255"/>
    <x v="224"/>
    <n v="27.83"/>
  </r>
  <r>
    <x v="0"/>
    <n v="81681"/>
    <x v="225"/>
    <n v="30.2"/>
  </r>
  <r>
    <x v="0"/>
    <n v="81105"/>
    <x v="226"/>
    <n v="13.11"/>
  </r>
  <r>
    <x v="0"/>
    <n v="80584"/>
    <x v="227"/>
    <n v="-7.4"/>
  </r>
  <r>
    <x v="0"/>
    <n v="80044"/>
    <x v="228"/>
    <n v="-25.53"/>
  </r>
  <r>
    <x v="0"/>
    <n v="79491"/>
    <x v="229"/>
    <n v="-5.64"/>
  </r>
  <r>
    <x v="0"/>
    <n v="79010"/>
    <x v="230"/>
    <n v="16.399999999999999"/>
  </r>
  <r>
    <x v="0"/>
    <n v="78419"/>
    <x v="231"/>
    <n v="-6.99"/>
  </r>
  <r>
    <x v="0"/>
    <n v="734"/>
    <x v="232"/>
    <s v="(NULL)"/>
  </r>
  <r>
    <x v="0"/>
    <n v="77004"/>
    <x v="233"/>
    <n v="21.49"/>
  </r>
  <r>
    <x v="0"/>
    <n v="76304"/>
    <x v="234"/>
    <n v="-5.08"/>
  </r>
  <r>
    <x v="0"/>
    <n v="75536"/>
    <x v="235"/>
    <n v="-34.840000000000003"/>
  </r>
  <r>
    <x v="0"/>
    <n v="74787"/>
    <x v="236"/>
    <n v="-15.77"/>
  </r>
  <r>
    <x v="0"/>
    <n v="74153"/>
    <x v="237"/>
    <n v="-38.92"/>
  </r>
  <r>
    <x v="0"/>
    <n v="73399"/>
    <x v="238"/>
    <n v="-44.99"/>
  </r>
  <r>
    <x v="0"/>
    <n v="72582"/>
    <x v="239"/>
    <n v="-24.03"/>
  </r>
  <r>
    <x v="0"/>
    <n v="71837"/>
    <x v="240"/>
    <n v="-11.3"/>
  </r>
  <r>
    <x v="0"/>
    <n v="70920"/>
    <x v="241"/>
    <n v="13.16"/>
  </r>
  <r>
    <x v="0"/>
    <n v="70019"/>
    <x v="242"/>
    <n v="62.44"/>
  </r>
  <r>
    <x v="0"/>
    <n v="69070"/>
    <x v="243"/>
    <n v="73.2"/>
  </r>
  <r>
    <x v="0"/>
    <n v="68124"/>
    <x v="244"/>
    <n v="61.58"/>
  </r>
  <r>
    <x v="0"/>
    <n v="67183"/>
    <x v="245"/>
    <n v="43.7"/>
  </r>
  <r>
    <x v="0"/>
    <n v="66276"/>
    <x v="246"/>
    <n v="34.1"/>
  </r>
  <r>
    <x v="0"/>
    <n v="65436"/>
    <x v="247"/>
    <n v="24.45"/>
  </r>
  <r>
    <x v="0"/>
    <n v="64569"/>
    <x v="248"/>
    <n v="4.33"/>
  </r>
  <r>
    <x v="0"/>
    <n v="63556"/>
    <x v="249"/>
    <n v="26.02"/>
  </r>
  <r>
    <x v="0"/>
    <n v="62641"/>
    <x v="250"/>
    <n v="28.69"/>
  </r>
  <r>
    <x v="0"/>
    <n v="61808"/>
    <x v="251"/>
    <n v="-6.51"/>
  </r>
  <r>
    <x v="0"/>
    <n v="61084"/>
    <x v="252"/>
    <n v="-40.53"/>
  </r>
  <r>
    <x v="0"/>
    <n v="60460"/>
    <x v="253"/>
    <n v="-52.48"/>
  </r>
  <r>
    <x v="0"/>
    <n v="59876"/>
    <x v="254"/>
    <n v="-86.7"/>
  </r>
  <r>
    <x v="0"/>
    <n v="59397"/>
    <x v="255"/>
    <n v="-114.36"/>
  </r>
  <r>
    <x v="0"/>
    <n v="58978"/>
    <x v="256"/>
    <n v="-119.03"/>
  </r>
  <r>
    <x v="0"/>
    <n v="58574"/>
    <x v="257"/>
    <n v="-117.65"/>
  </r>
  <r>
    <x v="0"/>
    <n v="58186"/>
    <x v="258"/>
    <n v="-96.4"/>
  </r>
  <r>
    <x v="0"/>
    <n v="57759"/>
    <x v="259"/>
    <n v="-72.599999999999994"/>
  </r>
  <r>
    <x v="0"/>
    <n v="57171"/>
    <x v="260"/>
    <n v="-62.86"/>
  </r>
  <r>
    <x v="0"/>
    <n v="56451"/>
    <x v="261"/>
    <n v="-73.63"/>
  </r>
  <r>
    <x v="0"/>
    <n v="55728"/>
    <x v="262"/>
    <n v="-56.77"/>
  </r>
  <r>
    <x v="0"/>
    <n v="54921"/>
    <x v="263"/>
    <n v="-93.03"/>
  </r>
  <r>
    <x v="0"/>
    <n v="1138"/>
    <x v="264"/>
    <s v="(NULL)"/>
  </r>
  <r>
    <x v="0"/>
    <n v="52936"/>
    <x v="265"/>
    <n v="8.99"/>
  </r>
  <r>
    <x v="0"/>
    <n v="51579"/>
    <x v="266"/>
    <n v="61.79"/>
  </r>
  <r>
    <x v="0"/>
    <n v="50301"/>
    <x v="267"/>
    <n v="77.11"/>
  </r>
  <r>
    <x v="0"/>
    <n v="49082"/>
    <x v="268"/>
    <n v="-15.91"/>
  </r>
  <r>
    <x v="4"/>
    <m/>
    <x v="269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36">
  <r>
    <x v="0"/>
    <x v="0"/>
    <n v="1503"/>
    <s v="(NULL)"/>
  </r>
  <r>
    <x v="0"/>
    <x v="1"/>
    <n v="13"/>
    <s v="(NULL)"/>
  </r>
  <r>
    <x v="0"/>
    <x v="2"/>
    <n v="9"/>
    <s v="(NULL)"/>
  </r>
  <r>
    <x v="1"/>
    <x v="0"/>
    <n v="5377701"/>
    <n v="69.34"/>
  </r>
  <r>
    <x v="1"/>
    <x v="3"/>
    <n v="55099"/>
    <n v="42.93"/>
  </r>
  <r>
    <x v="1"/>
    <x v="1"/>
    <n v="165081"/>
    <n v="-23.27"/>
  </r>
  <r>
    <x v="1"/>
    <x v="2"/>
    <n v="124101"/>
    <n v="-143.85"/>
  </r>
  <r>
    <x v="2"/>
    <x v="0"/>
    <n v="5338806"/>
    <n v="47.33"/>
  </r>
  <r>
    <x v="2"/>
    <x v="3"/>
    <n v="55118"/>
    <n v="19.14"/>
  </r>
  <r>
    <x v="2"/>
    <x v="1"/>
    <n v="165876"/>
    <n v="-46.14"/>
  </r>
  <r>
    <x v="2"/>
    <x v="2"/>
    <n v="124548"/>
    <n v="-166.93"/>
  </r>
  <r>
    <x v="3"/>
    <x v="0"/>
    <n v="5322035"/>
    <n v="38.880000000000003"/>
  </r>
  <r>
    <x v="3"/>
    <x v="3"/>
    <n v="55163"/>
    <n v="9.2100000000000009"/>
  </r>
  <r>
    <x v="3"/>
    <x v="1"/>
    <n v="167030"/>
    <n v="-55.57"/>
  </r>
  <r>
    <x v="3"/>
    <x v="2"/>
    <n v="125072"/>
    <n v="-176.58"/>
  </r>
  <r>
    <x v="4"/>
    <x v="0"/>
    <n v="5294544"/>
    <n v="41.08"/>
  </r>
  <r>
    <x v="4"/>
    <x v="3"/>
    <n v="55095"/>
    <n v="9.31"/>
  </r>
  <r>
    <x v="4"/>
    <x v="1"/>
    <n v="167963"/>
    <n v="-54.47"/>
  </r>
  <r>
    <x v="4"/>
    <x v="2"/>
    <n v="125557"/>
    <n v="-175.65"/>
  </r>
  <r>
    <x v="5"/>
    <x v="0"/>
    <n v="5274480"/>
    <n v="58.68"/>
  </r>
  <r>
    <x v="5"/>
    <x v="3"/>
    <n v="55062"/>
    <n v="24.83"/>
  </r>
  <r>
    <x v="5"/>
    <x v="1"/>
    <n v="169156"/>
    <n v="-37.909999999999997"/>
  </r>
  <r>
    <x v="5"/>
    <x v="2"/>
    <n v="126133"/>
    <n v="-160.38"/>
  </r>
  <r>
    <x v="6"/>
    <x v="0"/>
    <n v="5249530"/>
    <n v="49.28"/>
  </r>
  <r>
    <x v="6"/>
    <x v="3"/>
    <n v="54985"/>
    <n v="13.88"/>
  </r>
  <r>
    <x v="6"/>
    <x v="1"/>
    <n v="170368"/>
    <n v="-48.43"/>
  </r>
  <r>
    <x v="6"/>
    <x v="2"/>
    <n v="126692"/>
    <n v="-172.3"/>
  </r>
  <r>
    <x v="7"/>
    <x v="0"/>
    <n v="5214348"/>
    <n v="48.51"/>
  </r>
  <r>
    <x v="7"/>
    <x v="3"/>
    <n v="54552"/>
    <n v="12.37"/>
  </r>
  <r>
    <x v="7"/>
    <x v="1"/>
    <n v="171580"/>
    <n v="-50.32"/>
  </r>
  <r>
    <x v="7"/>
    <x v="2"/>
    <n v="127258"/>
    <n v="-175.5"/>
  </r>
  <r>
    <x v="8"/>
    <x v="0"/>
    <n v="5183758"/>
    <n v="34.39"/>
  </r>
  <r>
    <x v="8"/>
    <x v="3"/>
    <n v="53957"/>
    <n v="4.38"/>
  </r>
  <r>
    <x v="8"/>
    <x v="1"/>
    <n v="172878"/>
    <n v="-72.72"/>
  </r>
  <r>
    <x v="8"/>
    <x v="2"/>
    <n v="127766"/>
    <n v="-202.18"/>
  </r>
  <r>
    <x v="9"/>
    <x v="0"/>
    <n v="5166922"/>
    <n v="40.590000000000003"/>
  </r>
  <r>
    <x v="9"/>
    <x v="3"/>
    <n v="53037"/>
    <n v="10.41"/>
  </r>
  <r>
    <x v="9"/>
    <x v="1"/>
    <n v="174356"/>
    <n v="-70.67"/>
  </r>
  <r>
    <x v="9"/>
    <x v="2"/>
    <n v="128291"/>
    <n v="-199.94"/>
  </r>
  <r>
    <x v="10"/>
    <x v="0"/>
    <n v="5129452"/>
    <n v="56.75"/>
  </r>
  <r>
    <x v="10"/>
    <x v="3"/>
    <n v="51548"/>
    <n v="27.09"/>
  </r>
  <r>
    <x v="10"/>
    <x v="1"/>
    <n v="175442"/>
    <n v="-58.89"/>
  </r>
  <r>
    <x v="10"/>
    <x v="2"/>
    <n v="128784"/>
    <n v="-187.86"/>
  </r>
  <r>
    <x v="11"/>
    <x v="0"/>
    <n v="5089891"/>
    <n v="74.22"/>
  </r>
  <r>
    <x v="11"/>
    <x v="3"/>
    <n v="50221"/>
    <n v="45.06"/>
  </r>
  <r>
    <x v="11"/>
    <x v="1"/>
    <n v="176573"/>
    <n v="-50.52"/>
  </r>
  <r>
    <x v="11"/>
    <x v="2"/>
    <n v="129176"/>
    <n v="-175.02"/>
  </r>
  <r>
    <x v="12"/>
    <x v="0"/>
    <n v="5071425"/>
    <n v="65.55"/>
  </r>
  <r>
    <x v="12"/>
    <x v="3"/>
    <n v="49291"/>
    <n v="36.86"/>
  </r>
  <r>
    <x v="12"/>
    <x v="1"/>
    <n v="177552"/>
    <n v="-68.709999999999994"/>
  </r>
  <r>
    <x v="12"/>
    <x v="2"/>
    <n v="129552"/>
    <n v="-187.73"/>
  </r>
  <r>
    <x v="13"/>
    <x v="0"/>
    <n v="5035311"/>
    <n v="70.33"/>
  </r>
  <r>
    <x v="13"/>
    <x v="3"/>
    <n v="48793"/>
    <n v="42.62"/>
  </r>
  <r>
    <x v="13"/>
    <x v="1"/>
    <n v="178149"/>
    <n v="-72.64"/>
  </r>
  <r>
    <x v="13"/>
    <x v="2"/>
    <n v="129811"/>
    <n v="-185.56"/>
  </r>
  <r>
    <x v="14"/>
    <x v="0"/>
    <n v="5005834"/>
    <n v="75.28"/>
  </r>
  <r>
    <x v="14"/>
    <x v="3"/>
    <n v="47348"/>
    <n v="47.34"/>
  </r>
  <r>
    <x v="14"/>
    <x v="1"/>
    <n v="178502"/>
    <n v="-70.87"/>
  </r>
  <r>
    <x v="14"/>
    <x v="2"/>
    <n v="129957"/>
    <n v="-183.21"/>
  </r>
  <r>
    <x v="15"/>
    <x v="0"/>
    <n v="4960585"/>
    <n v="58.26"/>
  </r>
  <r>
    <x v="15"/>
    <x v="3"/>
    <n v="46142"/>
    <n v="29.39"/>
  </r>
  <r>
    <x v="15"/>
    <x v="1"/>
    <n v="179128"/>
    <n v="-90.66"/>
  </r>
  <r>
    <x v="15"/>
    <x v="2"/>
    <n v="130182"/>
    <n v="-202.58"/>
  </r>
  <r>
    <x v="16"/>
    <x v="0"/>
    <n v="4935943"/>
    <n v="43.49"/>
  </r>
  <r>
    <x v="16"/>
    <x v="3"/>
    <n v="45528"/>
    <n v="15.62"/>
  </r>
  <r>
    <x v="16"/>
    <x v="1"/>
    <n v="179635"/>
    <n v="-110.8"/>
  </r>
  <r>
    <x v="16"/>
    <x v="2"/>
    <n v="130328"/>
    <n v="-216.59"/>
  </r>
  <r>
    <x v="17"/>
    <x v="0"/>
    <n v="4915296"/>
    <n v="41.25"/>
  </r>
  <r>
    <x v="17"/>
    <x v="3"/>
    <n v="44616"/>
    <n v="12.4"/>
  </r>
  <r>
    <x v="17"/>
    <x v="1"/>
    <n v="180235"/>
    <n v="-114.86"/>
  </r>
  <r>
    <x v="17"/>
    <x v="2"/>
    <n v="130555"/>
    <n v="-220.66"/>
  </r>
  <r>
    <x v="18"/>
    <x v="0"/>
    <n v="4883714"/>
    <n v="29.28"/>
  </r>
  <r>
    <x v="18"/>
    <x v="3"/>
    <n v="43891"/>
    <n v="-0.5"/>
  </r>
  <r>
    <x v="18"/>
    <x v="1"/>
    <n v="180586"/>
    <n v="-128.75"/>
  </r>
  <r>
    <x v="18"/>
    <x v="2"/>
    <n v="130643"/>
    <n v="-234.51"/>
  </r>
  <r>
    <x v="19"/>
    <x v="0"/>
    <n v="4847581"/>
    <n v="33.200000000000003"/>
  </r>
  <r>
    <x v="19"/>
    <x v="3"/>
    <n v="43233"/>
    <n v="1.6"/>
  </r>
  <r>
    <x v="19"/>
    <x v="1"/>
    <n v="181119"/>
    <n v="-126.61"/>
  </r>
  <r>
    <x v="19"/>
    <x v="2"/>
    <n v="130764"/>
    <n v="-232.23"/>
  </r>
  <r>
    <x v="20"/>
    <x v="0"/>
    <n v="4814140"/>
    <n v="31.7"/>
  </r>
  <r>
    <x v="20"/>
    <x v="3"/>
    <n v="42649"/>
    <n v="-1.5"/>
  </r>
  <r>
    <x v="20"/>
    <x v="1"/>
    <n v="181599"/>
    <n v="-131.99"/>
  </r>
  <r>
    <x v="20"/>
    <x v="2"/>
    <n v="130929"/>
    <n v="-235.68"/>
  </r>
  <r>
    <x v="21"/>
    <x v="0"/>
    <n v="4767120"/>
    <n v="30.05"/>
  </r>
  <r>
    <x v="21"/>
    <x v="3"/>
    <n v="42042"/>
    <n v="-4.28"/>
  </r>
  <r>
    <x v="21"/>
    <x v="1"/>
    <n v="181939"/>
    <n v="-137.29"/>
  </r>
  <r>
    <x v="21"/>
    <x v="2"/>
    <n v="130953"/>
    <n v="-238.98"/>
  </r>
  <r>
    <x v="22"/>
    <x v="0"/>
    <n v="4742247"/>
    <n v="28.48"/>
  </r>
  <r>
    <x v="22"/>
    <x v="3"/>
    <n v="41340"/>
    <n v="-6.97"/>
  </r>
  <r>
    <x v="22"/>
    <x v="1"/>
    <n v="182261"/>
    <n v="-142.38"/>
  </r>
  <r>
    <x v="22"/>
    <x v="2"/>
    <n v="130963"/>
    <n v="-241.94"/>
  </r>
  <r>
    <x v="23"/>
    <x v="0"/>
    <n v="4715936"/>
    <n v="9.5299999999999994"/>
  </r>
  <r>
    <x v="23"/>
    <x v="3"/>
    <n v="40855"/>
    <n v="-27.26"/>
  </r>
  <r>
    <x v="23"/>
    <x v="1"/>
    <n v="182320"/>
    <n v="-168.61"/>
  </r>
  <r>
    <x v="23"/>
    <x v="2"/>
    <n v="130890"/>
    <n v="-261.38"/>
  </r>
  <r>
    <x v="24"/>
    <x v="0"/>
    <n v="4697057"/>
    <n v="7.98"/>
  </r>
  <r>
    <x v="24"/>
    <x v="3"/>
    <n v="40347"/>
    <n v="-29.2"/>
  </r>
  <r>
    <x v="24"/>
    <x v="1"/>
    <n v="182243"/>
    <n v="-175.94"/>
  </r>
  <r>
    <x v="24"/>
    <x v="2"/>
    <n v="130682"/>
    <n v="-260.83999999999997"/>
  </r>
  <r>
    <x v="25"/>
    <x v="0"/>
    <n v="4673855"/>
    <n v="8.67"/>
  </r>
  <r>
    <x v="25"/>
    <x v="3"/>
    <n v="39786"/>
    <n v="-30.05"/>
  </r>
  <r>
    <x v="25"/>
    <x v="1"/>
    <n v="181852"/>
    <n v="-178.49"/>
  </r>
  <r>
    <x v="25"/>
    <x v="2"/>
    <n v="130429"/>
    <n v="-259.87"/>
  </r>
  <r>
    <x v="26"/>
    <x v="0"/>
    <n v="4664871"/>
    <n v="-4.1100000000000003"/>
  </r>
  <r>
    <x v="26"/>
    <x v="3"/>
    <n v="39356"/>
    <n v="-44.17"/>
  </r>
  <r>
    <x v="26"/>
    <x v="1"/>
    <n v="181219"/>
    <n v="-194.34"/>
  </r>
  <r>
    <x v="26"/>
    <x v="2"/>
    <n v="129983"/>
    <n v="-274.16000000000003"/>
  </r>
  <r>
    <x v="27"/>
    <x v="0"/>
    <n v="4650886"/>
    <n v="-3.95"/>
  </r>
  <r>
    <x v="27"/>
    <x v="3"/>
    <n v="39152"/>
    <n v="-46.05"/>
  </r>
  <r>
    <x v="27"/>
    <x v="1"/>
    <n v="180381"/>
    <n v="-197.34"/>
  </r>
  <r>
    <x v="27"/>
    <x v="2"/>
    <n v="129295"/>
    <n v="-275.74"/>
  </r>
  <r>
    <x v="28"/>
    <x v="0"/>
    <n v="4633969"/>
    <n v="15.29"/>
  </r>
  <r>
    <x v="28"/>
    <x v="3"/>
    <n v="38708"/>
    <n v="-29.69"/>
  </r>
  <r>
    <x v="28"/>
    <x v="1"/>
    <n v="179297"/>
    <n v="-181.32"/>
  </r>
  <r>
    <x v="28"/>
    <x v="2"/>
    <n v="128441"/>
    <n v="-258.12"/>
  </r>
  <r>
    <x v="29"/>
    <x v="0"/>
    <n v="4613766"/>
    <n v="25.9"/>
  </r>
  <r>
    <x v="29"/>
    <x v="3"/>
    <n v="37922"/>
    <n v="-22.64"/>
  </r>
  <r>
    <x v="29"/>
    <x v="1"/>
    <n v="178549"/>
    <n v="-174.14"/>
  </r>
  <r>
    <x v="29"/>
    <x v="2"/>
    <n v="127620"/>
    <n v="-252.48"/>
  </r>
  <r>
    <x v="30"/>
    <x v="0"/>
    <n v="4595294"/>
    <n v="-2.34"/>
  </r>
  <r>
    <x v="30"/>
    <x v="3"/>
    <n v="37422"/>
    <n v="-53.92"/>
  </r>
  <r>
    <x v="30"/>
    <x v="1"/>
    <n v="176434"/>
    <n v="-204.88"/>
  </r>
  <r>
    <x v="30"/>
    <x v="2"/>
    <n v="126418"/>
    <n v="-283.23"/>
  </r>
  <r>
    <x v="31"/>
    <x v="0"/>
    <n v="4602556"/>
    <n v="1.77"/>
  </r>
  <r>
    <x v="31"/>
    <x v="3"/>
    <n v="36914"/>
    <n v="-53.29"/>
  </r>
  <r>
    <x v="31"/>
    <x v="1"/>
    <n v="174502"/>
    <n v="-203.16"/>
  </r>
  <r>
    <x v="31"/>
    <x v="2"/>
    <n v="124807"/>
    <n v="-282.10000000000002"/>
  </r>
  <r>
    <x v="32"/>
    <x v="0"/>
    <n v="4618490"/>
    <n v="13.92"/>
  </r>
  <r>
    <x v="32"/>
    <x v="3"/>
    <n v="36548"/>
    <n v="-44.08"/>
  </r>
  <r>
    <x v="32"/>
    <x v="1"/>
    <n v="172069"/>
    <n v="-198.69"/>
  </r>
  <r>
    <x v="32"/>
    <x v="2"/>
    <n v="122306"/>
    <n v="-272.77"/>
  </r>
  <r>
    <x v="33"/>
    <x v="0"/>
    <n v="4611214"/>
    <n v="47.88"/>
  </r>
  <r>
    <x v="33"/>
    <x v="3"/>
    <n v="36090"/>
    <n v="-13.33"/>
  </r>
  <r>
    <x v="33"/>
    <x v="1"/>
    <n v="169149"/>
    <n v="-149.46"/>
  </r>
  <r>
    <x v="33"/>
    <x v="2"/>
    <n v="119754"/>
    <n v="-210.33"/>
  </r>
  <r>
    <x v="34"/>
    <x v="0"/>
    <n v="4615454"/>
    <n v="106.16"/>
  </r>
  <r>
    <x v="34"/>
    <x v="3"/>
    <n v="35716"/>
    <n v="42.91"/>
  </r>
  <r>
    <x v="34"/>
    <x v="1"/>
    <n v="165165"/>
    <n v="-98.39"/>
  </r>
  <r>
    <x v="34"/>
    <x v="2"/>
    <n v="116170"/>
    <n v="-155.61000000000001"/>
  </r>
  <r>
    <x v="35"/>
    <x v="0"/>
    <n v="4594775"/>
    <n v="116.22"/>
  </r>
  <r>
    <x v="35"/>
    <x v="3"/>
    <n v="35059"/>
    <n v="51.84"/>
  </r>
  <r>
    <x v="35"/>
    <x v="1"/>
    <n v="159792"/>
    <n v="-96.53"/>
  </r>
  <r>
    <x v="35"/>
    <x v="2"/>
    <n v="111896"/>
    <n v="-147.13999999999999"/>
  </r>
  <r>
    <x v="36"/>
    <x v="0"/>
    <n v="4596004"/>
    <n v="107.54"/>
  </r>
  <r>
    <x v="36"/>
    <x v="3"/>
    <n v="34467"/>
    <n v="40.369999999999997"/>
  </r>
  <r>
    <x v="36"/>
    <x v="1"/>
    <n v="153811"/>
    <n v="-110.29"/>
  </r>
  <r>
    <x v="36"/>
    <x v="2"/>
    <n v="106826"/>
    <n v="-156.63999999999999"/>
  </r>
  <r>
    <x v="37"/>
    <x v="0"/>
    <n v="4573294"/>
    <n v="113.38"/>
  </r>
  <r>
    <x v="37"/>
    <x v="3"/>
    <n v="34246"/>
    <n v="45.14"/>
  </r>
  <r>
    <x v="37"/>
    <x v="1"/>
    <n v="146201"/>
    <n v="-111.25"/>
  </r>
  <r>
    <x v="37"/>
    <x v="2"/>
    <n v="100048"/>
    <n v="-151.94"/>
  </r>
  <r>
    <x v="38"/>
    <x v="0"/>
    <n v="4556963"/>
    <n v="132.08000000000001"/>
  </r>
  <r>
    <x v="38"/>
    <x v="3"/>
    <n v="32887"/>
    <n v="63.62"/>
  </r>
  <r>
    <x v="38"/>
    <x v="1"/>
    <n v="138426"/>
    <n v="-96.21"/>
  </r>
  <r>
    <x v="38"/>
    <x v="2"/>
    <n v="92889"/>
    <n v="-135.38"/>
  </r>
  <r>
    <x v="39"/>
    <x v="0"/>
    <n v="4563919"/>
    <n v="143.32"/>
  </r>
  <r>
    <x v="39"/>
    <x v="3"/>
    <n v="32090"/>
    <n v="75.87"/>
  </r>
  <r>
    <x v="39"/>
    <x v="1"/>
    <n v="132100"/>
    <n v="-88.01"/>
  </r>
  <r>
    <x v="39"/>
    <x v="2"/>
    <n v="86487"/>
    <n v="-126.02"/>
  </r>
  <r>
    <x v="40"/>
    <x v="0"/>
    <n v="4560341"/>
    <n v="145.58000000000001"/>
  </r>
  <r>
    <x v="40"/>
    <x v="3"/>
    <n v="30792"/>
    <n v="77.37"/>
  </r>
  <r>
    <x v="40"/>
    <x v="1"/>
    <n v="125989"/>
    <n v="-87.98"/>
  </r>
  <r>
    <x v="40"/>
    <x v="2"/>
    <n v="80480"/>
    <n v="-124.62"/>
  </r>
  <r>
    <x v="41"/>
    <x v="0"/>
    <n v="4611777"/>
    <n v="148.57"/>
  </r>
  <r>
    <x v="41"/>
    <x v="3"/>
    <n v="30969"/>
    <n v="81.98"/>
  </r>
  <r>
    <x v="41"/>
    <x v="1"/>
    <n v="122017"/>
    <n v="-86.74"/>
  </r>
  <r>
    <x v="41"/>
    <x v="2"/>
    <n v="75671"/>
    <n v="-124.37"/>
  </r>
  <r>
    <x v="42"/>
    <x v="0"/>
    <n v="4562906"/>
    <n v="143.47999999999999"/>
  </r>
  <r>
    <x v="42"/>
    <x v="3"/>
    <n v="28616"/>
    <n v="78.78"/>
  </r>
  <r>
    <x v="42"/>
    <x v="1"/>
    <n v="113044"/>
    <n v="-93.66"/>
  </r>
  <r>
    <x v="42"/>
    <x v="2"/>
    <n v="66191"/>
    <n v="-131.52000000000001"/>
  </r>
  <r>
    <x v="43"/>
    <x v="0"/>
    <n v="4572486"/>
    <n v="136.24"/>
  </r>
  <r>
    <x v="43"/>
    <x v="3"/>
    <n v="26432"/>
    <n v="74.17"/>
  </r>
  <r>
    <x v="43"/>
    <x v="1"/>
    <n v="106940"/>
    <n v="-100.5"/>
  </r>
  <r>
    <x v="43"/>
    <x v="2"/>
    <n v="59080"/>
    <n v="-139.16999999999999"/>
  </r>
  <r>
    <x v="44"/>
    <x v="0"/>
    <n v="4600699"/>
    <n v="142.72999999999999"/>
  </r>
  <r>
    <x v="44"/>
    <x v="3"/>
    <n v="24727"/>
    <n v="79.099999999999994"/>
  </r>
  <r>
    <x v="44"/>
    <x v="1"/>
    <n v="99923"/>
    <n v="-93.33"/>
  </r>
  <r>
    <x v="44"/>
    <x v="2"/>
    <n v="50703"/>
    <n v="-133.24"/>
  </r>
  <r>
    <x v="45"/>
    <x v="0"/>
    <n v="4597371"/>
    <n v="133.13999999999999"/>
  </r>
  <r>
    <x v="45"/>
    <x v="3"/>
    <n v="23899"/>
    <n v="68.12"/>
  </r>
  <r>
    <x v="45"/>
    <x v="1"/>
    <n v="92492"/>
    <n v="-100.14"/>
  </r>
  <r>
    <x v="45"/>
    <x v="2"/>
    <n v="41218"/>
    <n v="-142.08000000000001"/>
  </r>
  <r>
    <x v="46"/>
    <x v="0"/>
    <n v="4619218"/>
    <n v="122.47"/>
  </r>
  <r>
    <x v="46"/>
    <x v="3"/>
    <n v="23108"/>
    <n v="55.82"/>
  </r>
  <r>
    <x v="46"/>
    <x v="1"/>
    <n v="84417"/>
    <n v="-106.89"/>
  </r>
  <r>
    <x v="46"/>
    <x v="2"/>
    <n v="31494"/>
    <s v="(NULL)"/>
  </r>
  <r>
    <x v="47"/>
    <x v="0"/>
    <n v="4616424"/>
    <n v="112.02"/>
  </r>
  <r>
    <x v="47"/>
    <x v="3"/>
    <n v="21637"/>
    <n v="46.93"/>
  </r>
  <r>
    <x v="47"/>
    <x v="1"/>
    <n v="75056"/>
    <n v="-113.14"/>
  </r>
  <r>
    <x v="48"/>
    <x v="0"/>
    <n v="4655645"/>
    <n v="104.89"/>
  </r>
  <r>
    <x v="48"/>
    <x v="3"/>
    <n v="20811"/>
    <n v="42.05"/>
  </r>
  <r>
    <x v="48"/>
    <x v="1"/>
    <n v="68501"/>
    <n v="-114.6"/>
  </r>
  <r>
    <x v="49"/>
    <x v="0"/>
    <n v="4666700"/>
    <n v="111.5"/>
  </r>
  <r>
    <x v="49"/>
    <x v="3"/>
    <n v="20526"/>
    <n v="52.45"/>
  </r>
  <r>
    <x v="49"/>
    <x v="1"/>
    <n v="63657"/>
    <n v="-97.74"/>
  </r>
  <r>
    <x v="50"/>
    <x v="0"/>
    <n v="4666198"/>
    <n v="113.67"/>
  </r>
  <r>
    <x v="50"/>
    <x v="3"/>
    <n v="18433"/>
    <n v="56.16"/>
  </r>
  <r>
    <x v="50"/>
    <x v="1"/>
    <n v="55091"/>
    <n v="-70.040000000000006"/>
  </r>
  <r>
    <x v="51"/>
    <x v="0"/>
    <n v="4666371"/>
    <n v="113.67"/>
  </r>
  <r>
    <x v="51"/>
    <x v="3"/>
    <n v="17015"/>
    <n v="60.24"/>
  </r>
  <r>
    <x v="51"/>
    <x v="1"/>
    <n v="51707"/>
    <n v="-68.739999999999995"/>
  </r>
  <r>
    <x v="52"/>
    <x v="0"/>
    <n v="4693791"/>
    <n v="111.19"/>
  </r>
  <r>
    <x v="52"/>
    <x v="3"/>
    <n v="15133"/>
    <n v="56.42"/>
  </r>
  <r>
    <x v="52"/>
    <x v="1"/>
    <n v="47275"/>
    <n v="-71.55"/>
  </r>
  <r>
    <x v="53"/>
    <x v="0"/>
    <n v="4745996"/>
    <n v="103.99"/>
  </r>
  <r>
    <x v="53"/>
    <x v="3"/>
    <n v="14585"/>
    <n v="56.26"/>
  </r>
  <r>
    <x v="53"/>
    <x v="1"/>
    <n v="46332"/>
    <n v="-79.63"/>
  </r>
  <r>
    <x v="54"/>
    <x v="0"/>
    <n v="4770757"/>
    <n v="108.11"/>
  </r>
  <r>
    <x v="54"/>
    <x v="3"/>
    <n v="13520"/>
    <n v="67.22"/>
  </r>
  <r>
    <x v="54"/>
    <x v="1"/>
    <n v="44192"/>
    <n v="-76.19"/>
  </r>
  <r>
    <x v="55"/>
    <x v="0"/>
    <n v="4769923"/>
    <n v="91.86"/>
  </r>
  <r>
    <x v="55"/>
    <x v="3"/>
    <n v="11935"/>
    <n v="54.74"/>
  </r>
  <r>
    <x v="55"/>
    <x v="1"/>
    <n v="41843"/>
    <n v="-93.78"/>
  </r>
  <r>
    <x v="56"/>
    <x v="0"/>
    <n v="4761620"/>
    <n v="64.17"/>
  </r>
  <r>
    <x v="56"/>
    <x v="3"/>
    <n v="10752"/>
    <n v="26.45"/>
  </r>
  <r>
    <x v="56"/>
    <x v="1"/>
    <n v="39262"/>
    <n v="-121.32"/>
  </r>
  <r>
    <x v="57"/>
    <x v="0"/>
    <n v="4756787"/>
    <n v="67.81"/>
  </r>
  <r>
    <x v="57"/>
    <x v="3"/>
    <n v="9930"/>
    <n v="28.54"/>
  </r>
  <r>
    <x v="57"/>
    <x v="1"/>
    <n v="36797"/>
    <n v="-146.94999999999999"/>
  </r>
  <r>
    <x v="58"/>
    <x v="0"/>
    <n v="4758780"/>
    <n v="55.69"/>
  </r>
  <r>
    <x v="58"/>
    <x v="3"/>
    <n v="9007"/>
    <n v="10.83"/>
  </r>
  <r>
    <x v="58"/>
    <x v="1"/>
    <n v="34498"/>
    <n v="-159.84"/>
  </r>
  <r>
    <x v="59"/>
    <x v="0"/>
    <n v="4752869"/>
    <n v="36.04"/>
  </r>
  <r>
    <x v="59"/>
    <x v="3"/>
    <n v="7570"/>
    <n v="-15.35"/>
  </r>
  <r>
    <x v="59"/>
    <x v="1"/>
    <n v="31632"/>
    <n v="-179.89"/>
  </r>
  <r>
    <x v="60"/>
    <x v="0"/>
    <n v="4757973"/>
    <n v="36.270000000000003"/>
  </r>
  <r>
    <x v="60"/>
    <x v="3"/>
    <n v="6373"/>
    <n v="-22.39"/>
  </r>
  <r>
    <x v="60"/>
    <x v="1"/>
    <n v="29493"/>
    <n v="-180.13"/>
  </r>
  <r>
    <x v="61"/>
    <x v="0"/>
    <n v="4768611"/>
    <n v="25.27"/>
  </r>
  <r>
    <x v="61"/>
    <x v="3"/>
    <n v="5376"/>
    <n v="-36.85"/>
  </r>
  <r>
    <x v="61"/>
    <x v="1"/>
    <n v="27067"/>
    <n v="-188.45"/>
  </r>
  <r>
    <x v="62"/>
    <x v="0"/>
    <n v="4778955"/>
    <n v="48.28"/>
  </r>
  <r>
    <x v="62"/>
    <x v="3"/>
    <n v="4762"/>
    <n v="0.62"/>
  </r>
  <r>
    <x v="62"/>
    <x v="1"/>
    <n v="22703"/>
    <n v="-163.32"/>
  </r>
  <r>
    <x v="63"/>
    <x v="0"/>
    <n v="4785106"/>
    <n v="58.93"/>
  </r>
  <r>
    <x v="63"/>
    <x v="3"/>
    <n v="2440"/>
    <n v="31.12"/>
  </r>
  <r>
    <x v="63"/>
    <x v="1"/>
    <n v="19070"/>
    <n v="-152.62"/>
  </r>
  <r>
    <x v="64"/>
    <x v="0"/>
    <n v="4794362"/>
    <n v="103.83"/>
  </r>
  <r>
    <x v="64"/>
    <x v="3"/>
    <n v="1694"/>
    <n v="186.83"/>
  </r>
  <r>
    <x v="64"/>
    <x v="1"/>
    <n v="16996"/>
    <n v="-102.74"/>
  </r>
  <r>
    <x v="65"/>
    <x v="0"/>
    <n v="4793645"/>
    <n v="116.6"/>
  </r>
  <r>
    <x v="65"/>
    <x v="3"/>
    <n v="654"/>
    <n v="195.3"/>
  </r>
  <r>
    <x v="65"/>
    <x v="1"/>
    <n v="13825"/>
    <n v="-92.6"/>
  </r>
  <r>
    <x v="66"/>
    <x v="0"/>
    <n v="4796743"/>
    <n v="110.72"/>
  </r>
  <r>
    <x v="66"/>
    <x v="3"/>
    <n v="705"/>
    <n v="184.64"/>
  </r>
  <r>
    <x v="66"/>
    <x v="1"/>
    <n v="10464"/>
    <n v="-100.04"/>
  </r>
  <r>
    <x v="67"/>
    <x v="0"/>
    <n v="4789399"/>
    <n v="107.29"/>
  </r>
  <r>
    <x v="67"/>
    <x v="3"/>
    <n v="756"/>
    <n v="176.77"/>
  </r>
  <r>
    <x v="67"/>
    <x v="1"/>
    <n v="9409"/>
    <n v="-101.15"/>
  </r>
  <r>
    <x v="68"/>
    <x v="0"/>
    <n v="4757504"/>
    <n v="97.19"/>
  </r>
  <r>
    <x v="68"/>
    <x v="3"/>
    <n v="824"/>
    <n v="162.15"/>
  </r>
  <r>
    <x v="68"/>
    <x v="1"/>
    <n v="7413"/>
    <n v="-112.25"/>
  </r>
  <r>
    <x v="69"/>
    <x v="0"/>
    <n v="4735788"/>
    <n v="86.63"/>
  </r>
  <r>
    <x v="69"/>
    <x v="3"/>
    <n v="865"/>
    <n v="146.66"/>
  </r>
  <r>
    <x v="69"/>
    <x v="1"/>
    <n v="6394"/>
    <n v="-126.27"/>
  </r>
  <r>
    <x v="70"/>
    <x v="0"/>
    <n v="4633346"/>
    <n v="71.86"/>
  </r>
  <r>
    <x v="70"/>
    <x v="3"/>
    <n v="915"/>
    <n v="128.44"/>
  </r>
  <r>
    <x v="70"/>
    <x v="1"/>
    <n v="4764"/>
    <n v="-142.44"/>
  </r>
  <r>
    <x v="71"/>
    <x v="0"/>
    <n v="4598015"/>
    <n v="53.19"/>
  </r>
  <r>
    <x v="71"/>
    <x v="3"/>
    <n v="965"/>
    <n v="108.79"/>
  </r>
  <r>
    <x v="71"/>
    <x v="1"/>
    <n v="3566"/>
    <n v="-162.93"/>
  </r>
  <r>
    <x v="72"/>
    <x v="0"/>
    <n v="4595576"/>
    <n v="66.739999999999995"/>
  </r>
  <r>
    <x v="72"/>
    <x v="3"/>
    <n v="1021"/>
    <n v="120.63"/>
  </r>
  <r>
    <x v="72"/>
    <x v="1"/>
    <n v="2618"/>
    <n v="-94.49"/>
  </r>
  <r>
    <x v="73"/>
    <x v="0"/>
    <n v="4703361"/>
    <n v="72.400000000000006"/>
  </r>
  <r>
    <x v="73"/>
    <x v="3"/>
    <n v="1088"/>
    <n v="122.45"/>
  </r>
  <r>
    <x v="73"/>
    <x v="1"/>
    <n v="1860"/>
    <n v="-95.82"/>
  </r>
  <r>
    <x v="74"/>
    <x v="0"/>
    <n v="4648911"/>
    <n v="72.22"/>
  </r>
  <r>
    <x v="74"/>
    <x v="3"/>
    <n v="1146"/>
    <n v="118.1"/>
  </r>
  <r>
    <x v="74"/>
    <x v="1"/>
    <n v="1151"/>
    <n v="-100.79"/>
  </r>
  <r>
    <x v="75"/>
    <x v="0"/>
    <n v="4614279"/>
    <n v="85.58"/>
  </r>
  <r>
    <x v="75"/>
    <x v="3"/>
    <n v="1245"/>
    <n v="124.93"/>
  </r>
  <r>
    <x v="75"/>
    <x v="1"/>
    <n v="583"/>
    <n v="-104.85"/>
  </r>
  <r>
    <x v="76"/>
    <x v="0"/>
    <n v="4543855"/>
    <n v="93.99"/>
  </r>
  <r>
    <x v="76"/>
    <x v="3"/>
    <n v="1324"/>
    <n v="126.25"/>
  </r>
  <r>
    <x v="76"/>
    <x v="1"/>
    <n v="189"/>
    <n v="-70.14"/>
  </r>
  <r>
    <x v="77"/>
    <x v="0"/>
    <n v="4501196"/>
    <n v="88.52"/>
  </r>
  <r>
    <x v="77"/>
    <x v="3"/>
    <n v="1392"/>
    <n v="117.34"/>
  </r>
  <r>
    <x v="77"/>
    <x v="1"/>
    <n v="24"/>
    <s v="(NULL)"/>
  </r>
  <r>
    <x v="78"/>
    <x v="0"/>
    <n v="4447897"/>
    <n v="84.36"/>
  </r>
  <r>
    <x v="78"/>
    <x v="3"/>
    <n v="1446"/>
    <n v="108.57"/>
  </r>
  <r>
    <x v="79"/>
    <x v="0"/>
    <n v="4378350"/>
    <n v="74.02"/>
  </r>
  <r>
    <x v="79"/>
    <x v="3"/>
    <n v="1499"/>
    <n v="88.46"/>
  </r>
  <r>
    <x v="80"/>
    <x v="0"/>
    <n v="4284466"/>
    <n v="76.569999999999993"/>
  </r>
  <r>
    <x v="80"/>
    <x v="3"/>
    <n v="1596"/>
    <n v="83.19"/>
  </r>
  <r>
    <x v="81"/>
    <x v="0"/>
    <n v="4220738"/>
    <n v="65.14"/>
  </r>
  <r>
    <x v="81"/>
    <x v="3"/>
    <n v="1675"/>
    <n v="66.45"/>
  </r>
  <r>
    <x v="82"/>
    <x v="0"/>
    <n v="4077127"/>
    <n v="127.91"/>
  </r>
  <r>
    <x v="82"/>
    <x v="3"/>
    <n v="1742"/>
    <n v="127.89"/>
  </r>
  <r>
    <x v="83"/>
    <x v="0"/>
    <n v="4012613"/>
    <n v="139.12"/>
  </r>
  <r>
    <x v="83"/>
    <x v="3"/>
    <n v="1821"/>
    <n v="134.25"/>
  </r>
  <r>
    <x v="84"/>
    <x v="0"/>
    <n v="3934545"/>
    <n v="128.62"/>
  </r>
  <r>
    <x v="84"/>
    <x v="3"/>
    <n v="1893"/>
    <n v="115.6"/>
  </r>
  <r>
    <x v="85"/>
    <x v="0"/>
    <n v="3810089"/>
    <n v="119.34"/>
  </r>
  <r>
    <x v="85"/>
    <x v="3"/>
    <n v="1935"/>
    <n v="106.78"/>
  </r>
  <r>
    <x v="86"/>
    <x v="0"/>
    <n v="3761554"/>
    <n v="130.11000000000001"/>
  </r>
  <r>
    <x v="86"/>
    <x v="3"/>
    <n v="1939"/>
    <n v="120.31"/>
  </r>
  <r>
    <x v="87"/>
    <x v="0"/>
    <n v="3726161"/>
    <n v="105.51"/>
  </r>
  <r>
    <x v="87"/>
    <x v="3"/>
    <n v="1883"/>
    <n v="93.48"/>
  </r>
  <r>
    <x v="88"/>
    <x v="0"/>
    <n v="3682476"/>
    <n v="26.48"/>
  </r>
  <r>
    <x v="88"/>
    <x v="3"/>
    <n v="1725"/>
    <n v="9.61"/>
  </r>
  <r>
    <x v="89"/>
    <x v="0"/>
    <n v="3651969"/>
    <n v="17.63"/>
  </r>
  <r>
    <x v="89"/>
    <x v="3"/>
    <n v="1627"/>
    <n v="-8.48"/>
  </r>
  <r>
    <x v="90"/>
    <x v="0"/>
    <n v="3616629"/>
    <n v="32.380000000000003"/>
  </r>
  <r>
    <x v="90"/>
    <x v="3"/>
    <n v="1377"/>
    <n v="-10.47"/>
  </r>
  <r>
    <x v="91"/>
    <x v="0"/>
    <n v="3557388"/>
    <n v="-11.52"/>
  </r>
  <r>
    <x v="91"/>
    <x v="3"/>
    <n v="1280"/>
    <n v="-68.290000000000006"/>
  </r>
  <r>
    <x v="92"/>
    <x v="0"/>
    <n v="3498053"/>
    <n v="-4.4000000000000004"/>
  </r>
  <r>
    <x v="92"/>
    <x v="3"/>
    <n v="1035"/>
    <n v="-62.5"/>
  </r>
  <r>
    <x v="93"/>
    <x v="0"/>
    <n v="3444874"/>
    <n v="7.08"/>
  </r>
  <r>
    <x v="93"/>
    <x v="3"/>
    <n v="617"/>
    <n v="-47.07"/>
  </r>
  <r>
    <x v="94"/>
    <x v="0"/>
    <n v="3335946"/>
    <n v="41.78"/>
  </r>
  <r>
    <x v="94"/>
    <x v="3"/>
    <n v="260"/>
    <s v="(NULL)"/>
  </r>
  <r>
    <x v="95"/>
    <x v="0"/>
    <n v="3222135"/>
    <n v="54.01"/>
  </r>
  <r>
    <x v="96"/>
    <x v="0"/>
    <n v="3121466"/>
    <n v="53.25"/>
  </r>
  <r>
    <x v="97"/>
    <x v="0"/>
    <n v="3029911"/>
    <n v="59.97"/>
  </r>
  <r>
    <x v="98"/>
    <x v="0"/>
    <n v="2888602"/>
    <n v="80.37"/>
  </r>
  <r>
    <x v="99"/>
    <x v="0"/>
    <n v="2791918"/>
    <n v="45.69"/>
  </r>
  <r>
    <x v="100"/>
    <x v="0"/>
    <n v="2676417"/>
    <n v="34.47"/>
  </r>
  <r>
    <x v="101"/>
    <x v="0"/>
    <n v="2552192"/>
    <n v="16.66"/>
  </r>
  <r>
    <x v="102"/>
    <x v="0"/>
    <n v="2438068"/>
    <n v="10.54"/>
  </r>
  <r>
    <x v="103"/>
    <x v="0"/>
    <n v="2297962"/>
    <n v="-8"/>
  </r>
  <r>
    <x v="104"/>
    <x v="0"/>
    <n v="2177680"/>
    <n v="-20.82"/>
  </r>
  <r>
    <x v="105"/>
    <x v="0"/>
    <n v="2074572"/>
    <n v="-17.61"/>
  </r>
  <r>
    <x v="106"/>
    <x v="0"/>
    <n v="1958177"/>
    <n v="22.26"/>
  </r>
  <r>
    <x v="107"/>
    <x v="0"/>
    <n v="1838672"/>
    <n v="30.77"/>
  </r>
  <r>
    <x v="108"/>
    <x v="0"/>
    <n v="1730929"/>
    <n v="35.049999999999997"/>
  </r>
  <r>
    <x v="109"/>
    <x v="0"/>
    <n v="1612578"/>
    <n v="27.71"/>
  </r>
  <r>
    <x v="110"/>
    <x v="0"/>
    <n v="1495980"/>
    <n v="28.86"/>
  </r>
  <r>
    <x v="111"/>
    <x v="0"/>
    <n v="1401531"/>
    <n v="39.08"/>
  </r>
  <r>
    <x v="112"/>
    <x v="0"/>
    <n v="1282168"/>
    <n v="26.64"/>
  </r>
  <r>
    <x v="113"/>
    <x v="0"/>
    <n v="1193664"/>
    <n v="14.45"/>
  </r>
  <r>
    <x v="114"/>
    <x v="0"/>
    <n v="1095360"/>
    <n v="5.19"/>
  </r>
  <r>
    <x v="115"/>
    <x v="0"/>
    <n v="981502"/>
    <n v="-9.49"/>
  </r>
  <r>
    <x v="116"/>
    <x v="0"/>
    <n v="863427"/>
    <s v="(NULL)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8">
  <r>
    <x v="0"/>
    <x v="0"/>
    <n v="-51.455376155776698"/>
  </r>
  <r>
    <x v="0"/>
    <x v="1"/>
    <n v="-49.126490582758997"/>
  </r>
  <r>
    <x v="0"/>
    <x v="2"/>
    <n v="-34.2658817452185"/>
  </r>
  <r>
    <x v="0"/>
    <x v="3"/>
    <n v="-34.481732955406201"/>
  </r>
  <r>
    <x v="0"/>
    <x v="4"/>
    <n v="-33.005223950118001"/>
  </r>
  <r>
    <x v="0"/>
    <x v="5"/>
    <n v="-13.0645507921671"/>
  </r>
  <r>
    <x v="0"/>
    <x v="6"/>
    <n v="-10.2700977106495"/>
  </r>
  <r>
    <x v="0"/>
    <x v="7"/>
    <n v="-7.2367131393748796"/>
  </r>
  <r>
    <x v="0"/>
    <x v="8"/>
    <n v="-4.0239419513455799"/>
  </r>
  <r>
    <x v="0"/>
    <x v="9"/>
    <n v="-5.5238193522771804"/>
  </r>
  <r>
    <x v="0"/>
    <x v="10"/>
    <n v="7.43145132554017"/>
  </r>
  <r>
    <x v="0"/>
    <x v="11"/>
    <n v="10.828040041677699"/>
  </r>
  <r>
    <x v="0"/>
    <x v="12"/>
    <n v="24.190399816172299"/>
  </r>
  <r>
    <x v="0"/>
    <x v="13"/>
    <n v="41.9411300184873"/>
  </r>
  <r>
    <x v="0"/>
    <x v="14"/>
    <n v="37.663682942686698"/>
  </r>
  <r>
    <x v="0"/>
    <x v="15"/>
    <n v="30.946084121633099"/>
  </r>
  <r>
    <x v="0"/>
    <x v="16"/>
    <n v="38.387170034990604"/>
  </r>
  <r>
    <x v="0"/>
    <x v="17"/>
    <n v="20.167759794127299"/>
  </r>
  <r>
    <x v="0"/>
    <x v="18"/>
    <n v="3.14118343704786"/>
  </r>
  <r>
    <x v="0"/>
    <x v="19"/>
    <n v="-3.3305347114329602"/>
  </r>
  <r>
    <x v="0"/>
    <x v="20"/>
    <n v="4.3364281364367701"/>
  </r>
  <r>
    <x v="0"/>
    <x v="21"/>
    <n v="5.7315242052968003"/>
  </r>
  <r>
    <x v="0"/>
    <x v="22"/>
    <n v="16.687536765016901"/>
  </r>
  <r>
    <x v="0"/>
    <x v="23"/>
    <n v="1.0743635884904901"/>
  </r>
  <r>
    <x v="0"/>
    <x v="24"/>
    <n v="0.893086635311095"/>
  </r>
  <r>
    <x v="0"/>
    <x v="25"/>
    <n v="10.775048817838501"/>
  </r>
  <r>
    <x v="0"/>
    <x v="26"/>
    <n v="34.579078960709303"/>
  </r>
  <r>
    <x v="1"/>
    <x v="0"/>
    <n v="-54.483150819422903"/>
  </r>
  <r>
    <x v="1"/>
    <x v="1"/>
    <n v="-51.549358284780801"/>
  </r>
  <r>
    <x v="1"/>
    <x v="2"/>
    <n v="-35.735115405702302"/>
  </r>
  <r>
    <x v="1"/>
    <x v="3"/>
    <n v="-35.985706600464397"/>
  </r>
  <r>
    <x v="1"/>
    <x v="4"/>
    <n v="-33.520668374976403"/>
  </r>
  <r>
    <x v="1"/>
    <x v="5"/>
    <n v="-13.712362380730999"/>
  </r>
  <r>
    <x v="1"/>
    <x v="6"/>
    <n v="-10.3068453089857"/>
  </r>
  <r>
    <x v="1"/>
    <x v="7"/>
    <n v="-7.0074018572992598"/>
  </r>
  <r>
    <x v="1"/>
    <x v="8"/>
    <n v="-3.9082170375127401"/>
  </r>
  <r>
    <x v="1"/>
    <x v="9"/>
    <n v="-5.73545124087833"/>
  </r>
  <r>
    <x v="1"/>
    <x v="10"/>
    <n v="8.3214443462077803"/>
  </r>
  <r>
    <x v="1"/>
    <x v="11"/>
    <n v="12.502308963256899"/>
  </r>
  <r>
    <x v="1"/>
    <x v="12"/>
    <n v="28.928569004389299"/>
  </r>
  <r>
    <x v="1"/>
    <x v="13"/>
    <n v="46.825024841884598"/>
  </r>
  <r>
    <x v="1"/>
    <x v="14"/>
    <n v="42.549667292354997"/>
  </r>
  <r>
    <x v="1"/>
    <x v="15"/>
    <n v="36.057479256224703"/>
  </r>
  <r>
    <x v="1"/>
    <x v="16"/>
    <n v="44.036859864426802"/>
  </r>
  <r>
    <x v="1"/>
    <x v="17"/>
    <n v="26.183816590879299"/>
  </r>
  <r>
    <x v="1"/>
    <x v="18"/>
    <n v="10.2849010054485"/>
  </r>
  <r>
    <x v="1"/>
    <x v="19"/>
    <n v="4.4043540163717703"/>
  </r>
  <r>
    <x v="1"/>
    <x v="20"/>
    <n v="19.1500333643346"/>
  </r>
  <r>
    <x v="1"/>
    <x v="21"/>
    <n v="20.7243370053483"/>
  </r>
  <r>
    <x v="1"/>
    <x v="22"/>
    <n v="30.976274805129702"/>
  </r>
  <r>
    <x v="1"/>
    <x v="23"/>
    <n v="14.284136117935301"/>
  </r>
  <r>
    <x v="1"/>
    <x v="24"/>
    <n v="12.603153014043601"/>
  </r>
  <r>
    <x v="1"/>
    <x v="25"/>
    <n v="21.6408405300519"/>
  </r>
  <r>
    <x v="1"/>
    <x v="26"/>
    <n v="44.2372153565113"/>
  </r>
  <r>
    <x v="2"/>
    <x v="0"/>
    <n v="-184.00080582106301"/>
  </r>
  <r>
    <x v="2"/>
    <x v="1"/>
    <n v="-181.93813707907401"/>
  </r>
  <r>
    <x v="2"/>
    <x v="2"/>
    <n v="-166.87166268807999"/>
  </r>
  <r>
    <x v="2"/>
    <x v="3"/>
    <n v="-169.93757634883201"/>
  </r>
  <r>
    <x v="2"/>
    <x v="4"/>
    <n v="-172.23092380611101"/>
  </r>
  <r>
    <x v="2"/>
    <x v="5"/>
    <n v="-153.068722755018"/>
  </r>
  <r>
    <x v="2"/>
    <x v="6"/>
    <n v="-150.05715922870399"/>
  </r>
  <r>
    <x v="2"/>
    <x v="7"/>
    <n v="-146.86159995582901"/>
  </r>
  <r>
    <x v="2"/>
    <x v="8"/>
    <n v="-143.759622473436"/>
  </r>
  <r>
    <x v="2"/>
    <x v="9"/>
    <n v="-145.72441665794199"/>
  </r>
  <r>
    <x v="2"/>
    <x v="10"/>
    <n v="-131.697713921721"/>
  </r>
  <r>
    <x v="2"/>
    <x v="11"/>
    <n v="-127.330971601421"/>
  </r>
  <r>
    <x v="2"/>
    <x v="12"/>
    <n v="-108.033329779751"/>
  </r>
  <r>
    <x v="2"/>
    <x v="13"/>
    <n v="-89.283898773175096"/>
  </r>
  <r>
    <x v="2"/>
    <x v="14"/>
    <n v="-92.468077211590497"/>
  </r>
  <r>
    <x v="2"/>
    <x v="15"/>
    <n v="-96.972265775466397"/>
  </r>
  <r>
    <x v="2"/>
    <x v="16"/>
    <n v="-87.0687028134559"/>
  </r>
  <r>
    <x v="2"/>
    <x v="17"/>
    <n v="-103.238807399728"/>
  </r>
  <r>
    <x v="2"/>
    <x v="18"/>
    <n v="-117.60652342275399"/>
  </r>
  <r>
    <x v="2"/>
    <x v="19"/>
    <n v="-122.067229149036"/>
  </r>
  <r>
    <x v="2"/>
    <x v="20"/>
    <n v="-100.53652409678099"/>
  </r>
  <r>
    <x v="2"/>
    <x v="21"/>
    <n v="-97.898638411900706"/>
  </r>
  <r>
    <x v="2"/>
    <x v="22"/>
    <n v="-86.637286073934106"/>
  </r>
  <r>
    <x v="2"/>
    <x v="23"/>
    <n v="-102.44878733467201"/>
  </r>
  <r>
    <x v="2"/>
    <x v="24"/>
    <n v="-103.138488502369"/>
  </r>
  <r>
    <x v="2"/>
    <x v="25"/>
    <n v="-93.135873343724299"/>
  </r>
  <r>
    <x v="2"/>
    <x v="26"/>
    <n v="-69.700077183699193"/>
  </r>
  <r>
    <x v="3"/>
    <x v="0"/>
    <n v="-278.37102925818698"/>
  </r>
  <r>
    <x v="3"/>
    <x v="1"/>
    <n v="-276.30216879439399"/>
  </r>
  <r>
    <x v="3"/>
    <x v="2"/>
    <n v="-261.23092725159302"/>
  </r>
  <r>
    <x v="3"/>
    <x v="3"/>
    <n v="-262.01517752451798"/>
  </r>
  <r>
    <x v="3"/>
    <x v="4"/>
    <n v="-266.14449986252799"/>
  </r>
  <r>
    <x v="3"/>
    <x v="5"/>
    <n v="-247.242252997614"/>
  </r>
  <r>
    <x v="3"/>
    <x v="6"/>
    <n v="-244.57149713786799"/>
  </r>
  <r>
    <x v="3"/>
    <x v="7"/>
    <n v="-241.68620956910499"/>
  </r>
  <r>
    <x v="3"/>
    <x v="8"/>
    <n v="-238.70884667719901"/>
  </r>
  <r>
    <x v="3"/>
    <x v="9"/>
    <n v="-240.83001301912299"/>
  </r>
  <r>
    <x v="3"/>
    <x v="10"/>
    <n v="-226.958560708139"/>
  </r>
  <r>
    <x v="3"/>
    <x v="11"/>
    <n v="-222.85761521353601"/>
  </r>
  <r>
    <x v="3"/>
    <x v="12"/>
    <n v="-209.77933947497999"/>
  </r>
  <r>
    <x v="3"/>
    <x v="13"/>
    <n v="-191.40979081060499"/>
  </r>
  <r>
    <x v="3"/>
    <x v="14"/>
    <n v="-194.824766094502"/>
  </r>
  <r>
    <x v="3"/>
    <x v="15"/>
    <n v="-199.691330437217"/>
  </r>
  <r>
    <x v="3"/>
    <x v="16"/>
    <n v="-189.80298466732401"/>
  </r>
  <r>
    <x v="3"/>
    <x v="17"/>
    <n v="-206.13719864443999"/>
  </r>
  <r>
    <x v="3"/>
    <x v="18"/>
    <n v="-220.482955314657"/>
  </r>
  <r>
    <x v="3"/>
    <x v="19"/>
    <n v="-225.10478689812399"/>
  </r>
  <r>
    <x v="3"/>
    <x v="20"/>
    <n v="-200.74634896646299"/>
  </r>
  <r>
    <x v="3"/>
    <x v="21"/>
    <n v="-198.37525496117499"/>
  </r>
  <r>
    <x v="3"/>
    <x v="22"/>
    <n v="-187.23217418347599"/>
  </r>
  <r>
    <x v="3"/>
    <x v="23"/>
    <n v="-203.37033008072601"/>
  </r>
  <r>
    <x v="3"/>
    <x v="24"/>
    <n v="-204.36457921040099"/>
  </r>
  <r>
    <x v="3"/>
    <x v="25"/>
    <n v="-194.66656903522099"/>
  </r>
  <r>
    <x v="3"/>
    <x v="26"/>
    <n v="-171.6356495123199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75">
  <r>
    <x v="0"/>
    <x v="0"/>
    <n v="47486"/>
    <n v="0"/>
    <n v="87.428239000221097"/>
    <n v="0"/>
  </r>
  <r>
    <x v="1"/>
    <x v="0"/>
    <n v="167289"/>
    <n v="6376"/>
    <n v="60.3509768169098"/>
    <n v="38.463485951756098"/>
  </r>
  <r>
    <x v="1"/>
    <x v="1"/>
    <n v="1368"/>
    <n v="136"/>
    <n v="10.1161196089051"/>
    <n v="9.0975953785772798"/>
  </r>
  <r>
    <x v="1"/>
    <x v="2"/>
    <n v="3826"/>
    <n v="1"/>
    <n v="104.440294867369"/>
    <n v="-54.746653830162501"/>
  </r>
  <r>
    <x v="1"/>
    <x v="3"/>
    <n v="2346"/>
    <n v="0"/>
    <n v="-75.695955895129401"/>
    <n v="-175.69627640928999"/>
  </r>
  <r>
    <x v="2"/>
    <x v="0"/>
    <n v="48719"/>
    <n v="3"/>
    <n v="71.277345340520398"/>
    <n v="0"/>
  </r>
  <r>
    <x v="3"/>
    <x v="0"/>
    <n v="167226"/>
    <n v="6387"/>
    <n v="57.741546861546801"/>
    <n v="36.400927054306599"/>
  </r>
  <r>
    <x v="3"/>
    <x v="1"/>
    <n v="1379"/>
    <n v="137"/>
    <n v="9.8801430387645794"/>
    <n v="8.9542606452284605"/>
  </r>
  <r>
    <x v="3"/>
    <x v="2"/>
    <n v="3844"/>
    <n v="1"/>
    <n v="103.4513879596"/>
    <n v="-55.918448112126796"/>
  </r>
  <r>
    <x v="3"/>
    <x v="3"/>
    <n v="2356"/>
    <n v="0"/>
    <n v="-77.199289441955401"/>
    <n v="-176.64769989280899"/>
  </r>
  <r>
    <x v="4"/>
    <x v="0"/>
    <n v="53276"/>
    <n v="1"/>
    <n v="-66.475650664200003"/>
    <n v="0"/>
  </r>
  <r>
    <x v="5"/>
    <x v="0"/>
    <n v="167129"/>
    <n v="6470"/>
    <n v="65.884430492594205"/>
    <n v="44.4784749204413"/>
  </r>
  <r>
    <x v="5"/>
    <x v="1"/>
    <n v="1386"/>
    <n v="140"/>
    <n v="19.916250870970099"/>
    <n v="18.947480679832299"/>
  </r>
  <r>
    <x v="5"/>
    <x v="2"/>
    <n v="3860"/>
    <n v="1"/>
    <n v="113.165454434517"/>
    <n v="-46.414185876603099"/>
  </r>
  <r>
    <x v="5"/>
    <x v="3"/>
    <n v="2368"/>
    <n v="0"/>
    <n v="-67.822934053922907"/>
    <n v="-166.966800238931"/>
  </r>
  <r>
    <x v="6"/>
    <x v="0"/>
    <n v="54078"/>
    <n v="0"/>
    <n v="-86.049271941226394"/>
    <n v="0"/>
  </r>
  <r>
    <x v="7"/>
    <x v="0"/>
    <n v="2131"/>
    <n v="1"/>
    <n v="-16.4077033335541"/>
    <n v="0"/>
  </r>
  <r>
    <x v="8"/>
    <x v="0"/>
    <n v="54805"/>
    <n v="21"/>
    <n v="-73.2116847077735"/>
    <n v="0"/>
  </r>
  <r>
    <x v="9"/>
    <x v="0"/>
    <n v="1105"/>
    <n v="0"/>
    <n v="-103.462737757575"/>
    <n v="0"/>
  </r>
  <r>
    <x v="10"/>
    <x v="0"/>
    <n v="55503"/>
    <n v="0"/>
    <n v="-84.823510757846904"/>
    <n v="0"/>
  </r>
  <r>
    <x v="11"/>
    <x v="0"/>
    <n v="678"/>
    <n v="0"/>
    <n v="-10.515572837206999"/>
    <n v="0"/>
  </r>
  <r>
    <x v="12"/>
    <x v="0"/>
    <n v="56089"/>
    <n v="2"/>
    <n v="-112.361274536153"/>
    <n v="0"/>
  </r>
  <r>
    <x v="13"/>
    <x v="0"/>
    <n v="56504"/>
    <n v="0"/>
    <n v="-136.85141670150799"/>
    <n v="0"/>
  </r>
  <r>
    <x v="14"/>
    <x v="0"/>
    <n v="56876"/>
    <n v="1"/>
    <n v="-138.30075947822999"/>
    <n v="0"/>
  </r>
  <r>
    <x v="15"/>
    <x v="0"/>
    <n v="57284"/>
    <n v="0"/>
    <n v="-132.65991709818101"/>
    <n v="0"/>
  </r>
  <r>
    <x v="16"/>
    <x v="0"/>
    <n v="57692"/>
    <n v="0"/>
    <n v="-100.635081868333"/>
    <n v="0"/>
  </r>
  <r>
    <x v="17"/>
    <x v="0"/>
    <n v="58134"/>
    <n v="3"/>
    <n v="-61.113693093077401"/>
    <n v="0"/>
  </r>
  <r>
    <x v="18"/>
    <x v="0"/>
    <n v="58691"/>
    <n v="3"/>
    <n v="-47.333085285577198"/>
    <n v="0"/>
  </r>
  <r>
    <x v="19"/>
    <x v="0"/>
    <n v="59283"/>
    <n v="0"/>
    <n v="-7.7088885297184699"/>
    <n v="0"/>
  </r>
  <r>
    <x v="20"/>
    <x v="0"/>
    <n v="59964"/>
    <n v="1"/>
    <n v="33.319484450286602"/>
    <n v="0"/>
  </r>
  <r>
    <x v="21"/>
    <x v="0"/>
    <n v="60778"/>
    <n v="1"/>
    <n v="30.002933229197399"/>
    <n v="0"/>
  </r>
  <r>
    <x v="22"/>
    <x v="0"/>
    <n v="61672"/>
    <n v="3"/>
    <n v="4.5834677338715304"/>
    <n v="0"/>
  </r>
  <r>
    <x v="23"/>
    <x v="0"/>
    <n v="62636"/>
    <n v="2"/>
    <n v="28.105361177696501"/>
    <n v="0"/>
  </r>
  <r>
    <x v="24"/>
    <x v="0"/>
    <n v="63493"/>
    <n v="316"/>
    <n v="39.234684892137402"/>
    <n v="0"/>
  </r>
  <r>
    <x v="25"/>
    <x v="0"/>
    <n v="64324"/>
    <n v="3"/>
    <n v="50.194496495304499"/>
    <n v="0"/>
  </r>
  <r>
    <x v="26"/>
    <x v="0"/>
    <n v="65201"/>
    <n v="0"/>
    <n v="70.641061628701095"/>
    <n v="0"/>
  </r>
  <r>
    <x v="27"/>
    <x v="0"/>
    <n v="66122"/>
    <n v="3"/>
    <n v="83.722270084232093"/>
    <n v="0"/>
  </r>
  <r>
    <x v="28"/>
    <x v="0"/>
    <n v="67042"/>
    <n v="3"/>
    <n v="70.985568297597496"/>
    <n v="0"/>
  </r>
  <r>
    <x v="29"/>
    <x v="0"/>
    <n v="67972"/>
    <n v="10"/>
    <n v="14.30987428369"/>
    <n v="0"/>
  </r>
  <r>
    <x v="30"/>
    <x v="0"/>
    <n v="68847"/>
    <n v="0"/>
    <n v="-13.5112224795777"/>
    <n v="0"/>
  </r>
  <r>
    <x v="31"/>
    <x v="0"/>
    <n v="69738"/>
    <n v="5"/>
    <n v="-27.8294620854759"/>
    <n v="0"/>
  </r>
  <r>
    <x v="32"/>
    <x v="0"/>
    <n v="70478"/>
    <n v="2"/>
    <n v="-51.6390714075959"/>
    <n v="0"/>
  </r>
  <r>
    <x v="33"/>
    <x v="0"/>
    <n v="71280"/>
    <n v="11"/>
    <n v="-44.819420675604903"/>
    <n v="0"/>
  </r>
  <r>
    <x v="34"/>
    <x v="0"/>
    <n v="72037"/>
    <n v="4"/>
    <n v="-18.209855026976701"/>
    <n v="0"/>
  </r>
  <r>
    <x v="35"/>
    <x v="0"/>
    <n v="72639"/>
    <n v="12"/>
    <n v="-40.162320121385001"/>
    <n v="0"/>
  </r>
  <r>
    <x v="36"/>
    <x v="0"/>
    <n v="73370"/>
    <n v="7"/>
    <n v="-6.00594662376814"/>
    <n v="0"/>
  </r>
  <r>
    <x v="37"/>
    <x v="0"/>
    <n v="76112"/>
    <n v="6"/>
    <n v="19.204501399972401"/>
    <n v="0"/>
  </r>
  <r>
    <x v="38"/>
    <x v="0"/>
    <n v="76700"/>
    <n v="8"/>
    <n v="-6.8514061903483201"/>
    <n v="0"/>
  </r>
  <r>
    <x v="39"/>
    <x v="0"/>
    <n v="77160"/>
    <n v="0"/>
    <n v="-30.692901067573601"/>
    <n v="0"/>
  </r>
  <r>
    <x v="40"/>
    <x v="0"/>
    <n v="77666"/>
    <n v="6"/>
    <n v="-9.0652760272758393"/>
    <n v="0"/>
  </r>
  <r>
    <x v="41"/>
    <x v="0"/>
    <n v="78199"/>
    <n v="5"/>
    <n v="15.7599992334902"/>
    <n v="0"/>
  </r>
  <r>
    <x v="42"/>
    <x v="0"/>
    <n v="78682"/>
    <n v="3"/>
    <n v="36.506498025022999"/>
    <n v="0"/>
  </r>
  <r>
    <x v="43"/>
    <x v="0"/>
    <n v="79222"/>
    <n v="0"/>
    <n v="33.555500237645397"/>
    <n v="0"/>
  </r>
  <r>
    <x v="44"/>
    <x v="0"/>
    <n v="79761"/>
    <n v="4"/>
    <n v="41.657292602479203"/>
    <n v="0"/>
  </r>
  <r>
    <x v="45"/>
    <x v="0"/>
    <n v="80392"/>
    <n v="2"/>
    <n v="53.966108030047799"/>
    <n v="0"/>
  </r>
  <r>
    <x v="46"/>
    <x v="0"/>
    <n v="81036"/>
    <n v="0"/>
    <n v="61.737136670805697"/>
    <n v="0"/>
  </r>
  <r>
    <x v="47"/>
    <x v="0"/>
    <n v="81772"/>
    <n v="3"/>
    <n v="69.5271048427458"/>
    <n v="0"/>
  </r>
  <r>
    <x v="48"/>
    <x v="0"/>
    <n v="82513"/>
    <n v="2"/>
    <n v="89.299880703299095"/>
    <n v="0"/>
  </r>
  <r>
    <x v="49"/>
    <x v="0"/>
    <n v="83282"/>
    <n v="0"/>
    <n v="86.282475516937197"/>
    <n v="0"/>
  </r>
  <r>
    <x v="50"/>
    <x v="0"/>
    <n v="84141"/>
    <n v="4"/>
    <n v="75.681397509607606"/>
    <n v="0"/>
  </r>
  <r>
    <x v="51"/>
    <x v="0"/>
    <n v="85193"/>
    <n v="3"/>
    <n v="71.671792390953399"/>
    <n v="0"/>
  </r>
  <r>
    <x v="52"/>
    <x v="0"/>
    <n v="86181"/>
    <n v="26"/>
    <n v="71.202140692255298"/>
    <n v="0"/>
  </r>
  <r>
    <x v="53"/>
    <x v="0"/>
    <n v="87067"/>
    <n v="18"/>
    <n v="82.043912700650594"/>
    <n v="0"/>
  </r>
  <r>
    <x v="54"/>
    <x v="0"/>
    <n v="88223"/>
    <n v="2"/>
    <n v="81.725536602393504"/>
    <n v="0"/>
  </r>
  <r>
    <x v="55"/>
    <x v="0"/>
    <n v="89211"/>
    <n v="8"/>
    <n v="81.798434324058405"/>
    <n v="0"/>
  </r>
  <r>
    <x v="56"/>
    <x v="0"/>
    <n v="90237"/>
    <n v="0"/>
    <n v="102.500335389035"/>
    <n v="0"/>
  </r>
  <r>
    <x v="57"/>
    <x v="0"/>
    <n v="91202"/>
    <n v="4"/>
    <n v="101.198588612072"/>
    <n v="0"/>
  </r>
  <r>
    <x v="58"/>
    <x v="0"/>
    <n v="92205"/>
    <n v="0"/>
    <n v="81.498388431008294"/>
    <n v="0"/>
  </r>
  <r>
    <x v="59"/>
    <x v="0"/>
    <n v="93321"/>
    <n v="1"/>
    <n v="88.632320752646194"/>
    <n v="0"/>
  </r>
  <r>
    <x v="60"/>
    <x v="0"/>
    <n v="94383"/>
    <n v="0"/>
    <n v="80.980930754633604"/>
    <n v="0"/>
  </r>
  <r>
    <x v="61"/>
    <x v="0"/>
    <n v="95452"/>
    <n v="8"/>
    <n v="73.553652634209499"/>
    <n v="0"/>
  </r>
  <r>
    <x v="62"/>
    <x v="0"/>
    <n v="96755"/>
    <n v="10"/>
    <n v="49.6684553935089"/>
    <n v="0"/>
  </r>
  <r>
    <x v="63"/>
    <x v="0"/>
    <n v="98051"/>
    <n v="3"/>
    <n v="57.408066013001097"/>
    <n v="0"/>
  </r>
  <r>
    <x v="64"/>
    <x v="0"/>
    <n v="99142"/>
    <n v="21"/>
    <n v="31.8642327381901"/>
    <n v="0"/>
  </r>
  <r>
    <x v="65"/>
    <x v="0"/>
    <n v="100055"/>
    <n v="8"/>
    <n v="-10.2380505653603"/>
    <n v="0"/>
  </r>
  <r>
    <x v="66"/>
    <x v="0"/>
    <n v="100837"/>
    <n v="7"/>
    <n v="-19.191478069947699"/>
    <n v="0"/>
  </r>
  <r>
    <x v="67"/>
    <x v="0"/>
    <n v="101619"/>
    <n v="29"/>
    <n v="-50.191017084799597"/>
    <n v="0"/>
  </r>
  <r>
    <x v="68"/>
    <x v="0"/>
    <n v="102503"/>
    <n v="5"/>
    <n v="-34.701283893554702"/>
    <n v="0"/>
  </r>
  <r>
    <x v="69"/>
    <x v="0"/>
    <n v="103128"/>
    <n v="8"/>
    <n v="-43.644437799152698"/>
    <n v="0"/>
  </r>
  <r>
    <x v="70"/>
    <x v="0"/>
    <n v="103674"/>
    <n v="14"/>
    <n v="-27.6138362516248"/>
    <n v="0"/>
  </r>
  <r>
    <x v="71"/>
    <x v="0"/>
    <n v="104162"/>
    <n v="13"/>
    <n v="-44.340417407094499"/>
    <n v="0"/>
  </r>
  <r>
    <x v="72"/>
    <x v="0"/>
    <n v="104941"/>
    <n v="13"/>
    <n v="-72.957060367255295"/>
    <n v="0"/>
  </r>
  <r>
    <x v="73"/>
    <x v="0"/>
    <n v="105494"/>
    <n v="0"/>
    <n v="-83.008339471642003"/>
    <n v="0"/>
  </r>
  <r>
    <x v="74"/>
    <x v="0"/>
    <n v="106101"/>
    <n v="5"/>
    <n v="-73.533882732341894"/>
    <n v="0"/>
  </r>
  <r>
    <x v="75"/>
    <x v="0"/>
    <n v="106571"/>
    <n v="0"/>
    <n v="-63.575865418382698"/>
    <n v="0"/>
  </r>
  <r>
    <x v="76"/>
    <x v="0"/>
    <n v="107316"/>
    <n v="12"/>
    <n v="-99.091235676799599"/>
    <n v="0"/>
  </r>
  <r>
    <x v="77"/>
    <x v="0"/>
    <n v="108083"/>
    <n v="8"/>
    <n v="-73.200816190475706"/>
    <n v="0"/>
  </r>
  <r>
    <x v="78"/>
    <x v="0"/>
    <n v="108869"/>
    <n v="0"/>
    <n v="-57.038128708563399"/>
    <n v="0"/>
  </r>
  <r>
    <x v="79"/>
    <x v="0"/>
    <n v="109714"/>
    <n v="9"/>
    <n v="-42.736309970196402"/>
    <n v="0"/>
  </r>
  <r>
    <x v="80"/>
    <x v="0"/>
    <n v="110745"/>
    <n v="10"/>
    <n v="-30.6781275776627"/>
    <n v="0"/>
  </r>
  <r>
    <x v="81"/>
    <x v="0"/>
    <n v="111672"/>
    <n v="0"/>
    <n v="-18.152124875879299"/>
    <n v="0"/>
  </r>
  <r>
    <x v="82"/>
    <x v="0"/>
    <n v="112526"/>
    <n v="10"/>
    <n v="-8.2315621683626201"/>
    <n v="0"/>
  </r>
  <r>
    <x v="83"/>
    <x v="0"/>
    <n v="113471"/>
    <n v="0"/>
    <n v="32.027417005507601"/>
    <n v="0"/>
  </r>
  <r>
    <x v="84"/>
    <x v="0"/>
    <n v="114318"/>
    <n v="69"/>
    <n v="62.909162979580799"/>
    <n v="0"/>
  </r>
  <r>
    <x v="85"/>
    <x v="0"/>
    <n v="115038"/>
    <n v="32"/>
    <n v="59.511688953841798"/>
    <n v="0"/>
  </r>
  <r>
    <x v="86"/>
    <x v="0"/>
    <n v="115944"/>
    <n v="5"/>
    <n v="68.440215839555407"/>
    <n v="0"/>
  </r>
  <r>
    <x v="87"/>
    <x v="0"/>
    <n v="117065"/>
    <n v="52"/>
    <n v="54.2156438154271"/>
    <n v="0"/>
  </r>
  <r>
    <x v="88"/>
    <x v="0"/>
    <n v="118257"/>
    <n v="8"/>
    <n v="41.9853035121319"/>
    <n v="0"/>
  </r>
  <r>
    <x v="89"/>
    <x v="0"/>
    <n v="119588"/>
    <n v="0"/>
    <n v="40.841504606211601"/>
    <n v="0"/>
  </r>
  <r>
    <x v="90"/>
    <x v="0"/>
    <n v="120908"/>
    <n v="43"/>
    <n v="42.3322094241176"/>
    <n v="0"/>
  </r>
  <r>
    <x v="91"/>
    <x v="0"/>
    <n v="121911"/>
    <n v="0"/>
    <n v="58.691597550613501"/>
    <n v="0"/>
  </r>
  <r>
    <x v="92"/>
    <x v="0"/>
    <n v="122885"/>
    <n v="17"/>
    <n v="70.493892222259305"/>
    <n v="0"/>
  </r>
  <r>
    <x v="93"/>
    <x v="0"/>
    <n v="123749"/>
    <n v="1"/>
    <n v="89.787320849394305"/>
    <n v="0"/>
  </r>
  <r>
    <x v="94"/>
    <x v="0"/>
    <n v="124570"/>
    <n v="1"/>
    <n v="83.915086209276396"/>
    <n v="0"/>
  </r>
  <r>
    <x v="95"/>
    <x v="0"/>
    <n v="125549"/>
    <n v="33"/>
    <n v="40.403540956262198"/>
    <n v="0"/>
  </r>
  <r>
    <x v="96"/>
    <x v="0"/>
    <n v="126071"/>
    <n v="3"/>
    <n v="43.182643993367599"/>
    <n v="0"/>
  </r>
  <r>
    <x v="97"/>
    <x v="0"/>
    <n v="126639"/>
    <n v="16"/>
    <n v="57.851966716358397"/>
    <n v="0"/>
  </r>
  <r>
    <x v="98"/>
    <x v="0"/>
    <n v="127220"/>
    <n v="31"/>
    <n v="32.6467285958255"/>
    <n v="0"/>
  </r>
  <r>
    <x v="99"/>
    <x v="0"/>
    <n v="127960"/>
    <n v="0"/>
    <n v="38.2728977036179"/>
    <n v="0"/>
  </r>
  <r>
    <x v="100"/>
    <x v="0"/>
    <n v="128469"/>
    <n v="2"/>
    <n v="55.030307979908201"/>
    <n v="0"/>
  </r>
  <r>
    <x v="101"/>
    <x v="0"/>
    <n v="129060"/>
    <n v="2"/>
    <n v="72.505637049256904"/>
    <n v="0"/>
  </r>
  <r>
    <x v="102"/>
    <x v="0"/>
    <n v="129668"/>
    <n v="2"/>
    <n v="88.905020322615698"/>
    <n v="0"/>
  </r>
  <r>
    <x v="103"/>
    <x v="0"/>
    <n v="130231"/>
    <n v="0"/>
    <n v="104.20961712146"/>
    <n v="0"/>
  </r>
  <r>
    <x v="104"/>
    <x v="0"/>
    <n v="130841"/>
    <n v="0"/>
    <n v="121.564436858909"/>
    <n v="0"/>
  </r>
  <r>
    <x v="105"/>
    <x v="0"/>
    <n v="131341"/>
    <n v="0"/>
    <n v="116.79196803926099"/>
    <n v="0"/>
  </r>
  <r>
    <x v="106"/>
    <x v="0"/>
    <n v="131796"/>
    <n v="0"/>
    <n v="117.334958094513"/>
    <n v="0"/>
  </r>
  <r>
    <x v="107"/>
    <x v="0"/>
    <n v="132488"/>
    <n v="0"/>
    <n v="113.533712318623"/>
    <n v="0"/>
  </r>
  <r>
    <x v="108"/>
    <x v="0"/>
    <n v="132628"/>
    <n v="0"/>
    <n v="121.989569293345"/>
    <n v="0"/>
  </r>
  <r>
    <x v="109"/>
    <x v="0"/>
    <n v="132710"/>
    <n v="0"/>
    <n v="124.647730881247"/>
    <n v="0"/>
  </r>
  <r>
    <x v="110"/>
    <x v="0"/>
    <n v="132780"/>
    <n v="0"/>
    <n v="129.57205022735101"/>
    <n v="0"/>
  </r>
  <r>
    <x v="111"/>
    <x v="0"/>
    <n v="132581"/>
    <n v="0"/>
    <n v="117.997795646399"/>
    <n v="0"/>
  </r>
  <r>
    <x v="112"/>
    <x v="0"/>
    <n v="132375"/>
    <n v="0"/>
    <n v="133.452895317794"/>
    <n v="0"/>
  </r>
  <r>
    <x v="113"/>
    <x v="0"/>
    <n v="132223"/>
    <n v="0"/>
    <n v="155.803499514029"/>
    <n v="0"/>
  </r>
  <r>
    <x v="114"/>
    <x v="0"/>
    <n v="131975"/>
    <n v="1"/>
    <n v="99.370428321488703"/>
    <n v="0"/>
  </r>
  <r>
    <x v="115"/>
    <x v="0"/>
    <n v="131484"/>
    <n v="1"/>
    <n v="25.8816942729093"/>
    <n v="0"/>
  </r>
  <r>
    <x v="116"/>
    <x v="0"/>
    <n v="131018"/>
    <n v="0"/>
    <n v="36.051575711412298"/>
    <n v="0"/>
  </r>
  <r>
    <x v="117"/>
    <x v="0"/>
    <n v="130769"/>
    <n v="4"/>
    <n v="48.893189528514498"/>
    <n v="0"/>
  </r>
  <r>
    <x v="118"/>
    <x v="0"/>
    <n v="130748"/>
    <n v="2"/>
    <n v="47.558282686150697"/>
    <n v="0"/>
  </r>
  <r>
    <x v="119"/>
    <x v="0"/>
    <n v="130742"/>
    <n v="3"/>
    <n v="49.266356280284903"/>
    <n v="0"/>
  </r>
  <r>
    <x v="120"/>
    <x v="0"/>
    <n v="130825"/>
    <n v="87"/>
    <n v="64.485664050076593"/>
    <n v="0"/>
  </r>
  <r>
    <x v="121"/>
    <x v="0"/>
    <n v="130896"/>
    <n v="3"/>
    <n v="70.328111996417903"/>
    <n v="0"/>
  </r>
  <r>
    <x v="122"/>
    <x v="0"/>
    <n v="130951"/>
    <n v="103"/>
    <n v="85.322218342166806"/>
    <n v="0"/>
  </r>
  <r>
    <x v="123"/>
    <x v="0"/>
    <n v="131022"/>
    <n v="0"/>
    <n v="37.434115326906699"/>
    <n v="0"/>
  </r>
  <r>
    <x v="124"/>
    <x v="0"/>
    <n v="131041"/>
    <n v="0"/>
    <n v="-1.95875488872107"/>
    <n v="0"/>
  </r>
  <r>
    <x v="125"/>
    <x v="0"/>
    <n v="130966"/>
    <n v="4"/>
    <n v="-3.1357661450124699"/>
    <n v="0"/>
  </r>
  <r>
    <x v="126"/>
    <x v="0"/>
    <n v="131079"/>
    <n v="5"/>
    <n v="21.959764118961999"/>
    <n v="0"/>
  </r>
  <r>
    <x v="127"/>
    <x v="0"/>
    <n v="131287"/>
    <n v="1"/>
    <n v="34.608798679175997"/>
    <n v="0"/>
  </r>
  <r>
    <x v="128"/>
    <x v="0"/>
    <n v="131434"/>
    <n v="2"/>
    <n v="43.852104860781502"/>
    <n v="0"/>
  </r>
  <r>
    <x v="129"/>
    <x v="0"/>
    <n v="131688"/>
    <n v="0"/>
    <n v="48.408860624759797"/>
    <n v="0"/>
  </r>
  <r>
    <x v="130"/>
    <x v="0"/>
    <n v="131933"/>
    <n v="0"/>
    <n v="47.211829120443603"/>
    <n v="0"/>
  </r>
  <r>
    <x v="131"/>
    <x v="0"/>
    <n v="132362"/>
    <n v="1"/>
    <n v="43.781719162844396"/>
    <n v="0"/>
  </r>
  <r>
    <x v="132"/>
    <x v="0"/>
    <n v="132661"/>
    <n v="9"/>
    <n v="46.160062944955797"/>
    <n v="0"/>
  </r>
  <r>
    <x v="133"/>
    <x v="0"/>
    <n v="132971"/>
    <n v="3"/>
    <n v="51.881992528927803"/>
    <n v="0"/>
  </r>
  <r>
    <x v="134"/>
    <x v="0"/>
    <n v="133205"/>
    <n v="8"/>
    <n v="22.2613567922599"/>
    <n v="0"/>
  </r>
  <r>
    <x v="135"/>
    <x v="0"/>
    <n v="133657"/>
    <n v="1"/>
    <n v="29.7118722265439"/>
    <n v="0"/>
  </r>
  <r>
    <x v="136"/>
    <x v="0"/>
    <n v="134041"/>
    <n v="11"/>
    <n v="43.076631509568998"/>
    <n v="0"/>
  </r>
  <r>
    <x v="137"/>
    <x v="0"/>
    <n v="134429"/>
    <n v="4"/>
    <n v="56.644277147880203"/>
    <n v="0"/>
  </r>
  <r>
    <x v="138"/>
    <x v="0"/>
    <n v="134737"/>
    <n v="1"/>
    <n v="45.655295602089097"/>
    <n v="0"/>
  </r>
  <r>
    <x v="139"/>
    <x v="0"/>
    <n v="135164"/>
    <n v="3"/>
    <n v="33.238301562251102"/>
    <n v="0"/>
  </r>
  <r>
    <x v="140"/>
    <x v="0"/>
    <n v="135581"/>
    <n v="2"/>
    <n v="31.355046295817399"/>
    <n v="0"/>
  </r>
  <r>
    <x v="141"/>
    <x v="0"/>
    <n v="136088"/>
    <n v="5"/>
    <n v="3.9801042435941998"/>
    <n v="0"/>
  </r>
  <r>
    <x v="142"/>
    <x v="0"/>
    <n v="136664"/>
    <n v="4"/>
    <n v="-22.360165361049301"/>
    <n v="0"/>
  </r>
  <r>
    <x v="143"/>
    <x v="0"/>
    <n v="137333"/>
    <n v="18"/>
    <n v="-18.7220013701711"/>
    <n v="0"/>
  </r>
  <r>
    <x v="144"/>
    <x v="0"/>
    <n v="138055"/>
    <n v="1"/>
    <n v="-4.8089666139557004"/>
    <n v="0"/>
  </r>
  <r>
    <x v="145"/>
    <x v="0"/>
    <n v="138700"/>
    <n v="4"/>
    <n v="-15.762663294019401"/>
    <n v="0"/>
  </r>
  <r>
    <x v="146"/>
    <x v="0"/>
    <n v="139160"/>
    <n v="6"/>
    <n v="-23.828077702867699"/>
    <n v="0"/>
  </r>
  <r>
    <x v="147"/>
    <x v="0"/>
    <n v="139612"/>
    <n v="2"/>
    <n v="-40.955372448905898"/>
    <n v="0"/>
  </r>
  <r>
    <x v="148"/>
    <x v="0"/>
    <n v="139922"/>
    <n v="2"/>
    <n v="-48.360283383088699"/>
    <n v="0"/>
  </r>
  <r>
    <x v="149"/>
    <x v="0"/>
    <n v="140370"/>
    <n v="6"/>
    <n v="-55.236479386350901"/>
    <n v="0"/>
  </r>
  <r>
    <x v="150"/>
    <x v="0"/>
    <n v="140805"/>
    <n v="1"/>
    <n v="-61.166366262258897"/>
    <n v="0"/>
  </r>
  <r>
    <x v="151"/>
    <x v="0"/>
    <n v="141270"/>
    <n v="7"/>
    <n v="-32.970487190367102"/>
    <n v="-1.8044656560339201"/>
  </r>
  <r>
    <x v="152"/>
    <x v="0"/>
    <n v="141799"/>
    <n v="11"/>
    <n v="-21.6735573117606"/>
    <n v="1.06599024950133"/>
  </r>
  <r>
    <x v="153"/>
    <x v="0"/>
    <n v="142264"/>
    <n v="17"/>
    <n v="-15.6726972615552"/>
    <n v="3.2817073924173199"/>
  </r>
  <r>
    <x v="154"/>
    <x v="0"/>
    <n v="142693"/>
    <n v="23"/>
    <n v="-4.7787117808233797"/>
    <n v="6.52682923438703"/>
  </r>
  <r>
    <x v="155"/>
    <x v="0"/>
    <n v="143356"/>
    <n v="26"/>
    <n v="7.6926003519994897"/>
    <n v="10.0889333038091"/>
  </r>
  <r>
    <x v="156"/>
    <x v="0"/>
    <n v="143881"/>
    <n v="32"/>
    <n v="-2.13841230906062"/>
    <n v="8.0027057963012993"/>
  </r>
  <r>
    <x v="157"/>
    <x v="0"/>
    <n v="144508"/>
    <n v="37"/>
    <n v="-2.25831026140155"/>
    <n v="8.1035079058615604"/>
  </r>
  <r>
    <x v="158"/>
    <x v="0"/>
    <n v="145300"/>
    <n v="41"/>
    <n v="6.9606414732905302"/>
    <n v="10.9615964886766"/>
  </r>
  <r>
    <x v="159"/>
    <x v="0"/>
    <n v="146014"/>
    <n v="76"/>
    <n v="3.6070488924826898"/>
    <n v="10.1680191802411"/>
  </r>
  <r>
    <x v="160"/>
    <x v="0"/>
    <n v="146821"/>
    <n v="81"/>
    <n v="-3.9600264673618701"/>
    <n v="7.6811192366785601"/>
  </r>
  <r>
    <x v="161"/>
    <x v="0"/>
    <n v="147523"/>
    <n v="97"/>
    <n v="-42.589137425097597"/>
    <n v="-6.4780578123856802"/>
  </r>
  <r>
    <x v="162"/>
    <x v="0"/>
    <n v="148261"/>
    <n v="131"/>
    <n v="-45.677195093323199"/>
    <n v="-7.99593307782773"/>
  </r>
  <r>
    <x v="163"/>
    <x v="0"/>
    <n v="149241"/>
    <n v="160"/>
    <n v="-32.140555988920802"/>
    <n v="-3.2034502916793102"/>
  </r>
  <r>
    <x v="164"/>
    <x v="0"/>
    <n v="150355"/>
    <n v="241"/>
    <n v="-14.442540748305801"/>
    <n v="4.2668853100737296"/>
  </r>
  <r>
    <x v="165"/>
    <x v="0"/>
    <n v="151280"/>
    <n v="241"/>
    <n v="-9.66173864014646"/>
    <n v="7.0538415752221999"/>
  </r>
  <r>
    <x v="166"/>
    <x v="0"/>
    <n v="152377"/>
    <n v="302"/>
    <n v="7.0024135577248803"/>
    <n v="15.0095904575023"/>
  </r>
  <r>
    <x v="167"/>
    <x v="0"/>
    <n v="153581"/>
    <n v="360"/>
    <n v="17.529088055110801"/>
    <n v="20.563863681852698"/>
  </r>
  <r>
    <x v="168"/>
    <x v="0"/>
    <n v="154746"/>
    <n v="423"/>
    <n v="51.296566684557099"/>
    <n v="37.114037435320299"/>
  </r>
  <r>
    <x v="169"/>
    <x v="0"/>
    <n v="156266"/>
    <n v="516"/>
    <n v="29.2785470858942"/>
    <n v="27.971827188693499"/>
  </r>
  <r>
    <x v="170"/>
    <x v="0"/>
    <n v="157247"/>
    <n v="622"/>
    <n v="22.715108134434299"/>
    <n v="25.645043781272499"/>
  </r>
  <r>
    <x v="171"/>
    <x v="0"/>
    <n v="158078"/>
    <n v="731"/>
    <n v="25.776018550991399"/>
    <n v="26.767337017224399"/>
  </r>
  <r>
    <x v="172"/>
    <x v="0"/>
    <n v="159118"/>
    <n v="796"/>
    <n v="14.6250812184879"/>
    <n v="21.190920503840999"/>
  </r>
  <r>
    <x v="172"/>
    <x v="1"/>
    <n v="19"/>
    <n v="0"/>
    <n v="-11.743841661125"/>
    <n v="0"/>
  </r>
  <r>
    <x v="173"/>
    <x v="0"/>
    <n v="160036"/>
    <n v="900"/>
    <n v="-18.724956615873399"/>
    <n v="3.6420228326978799"/>
  </r>
  <r>
    <x v="173"/>
    <x v="1"/>
    <n v="45"/>
    <n v="3"/>
    <n v="-53.925963358305196"/>
    <n v="-20.018739541405701"/>
  </r>
  <r>
    <x v="174"/>
    <x v="0"/>
    <n v="160574"/>
    <n v="946"/>
    <n v="-28.884888345353001"/>
    <n v="-2.4562066108885601"/>
  </r>
  <r>
    <x v="174"/>
    <x v="1"/>
    <n v="64"/>
    <n v="3"/>
    <n v="-70.552746471045296"/>
    <n v="-37.716827365880903"/>
  </r>
  <r>
    <x v="175"/>
    <x v="0"/>
    <n v="161112"/>
    <n v="1005"/>
    <n v="-35.371236499818302"/>
    <n v="-6.3746271699104398"/>
  </r>
  <r>
    <x v="175"/>
    <x v="1"/>
    <n v="67"/>
    <n v="3"/>
    <n v="-67.628576753302596"/>
    <n v="-55.0605319057805"/>
  </r>
  <r>
    <x v="176"/>
    <x v="0"/>
    <n v="161661"/>
    <n v="1065"/>
    <n v="8.67675578880581"/>
    <n v="17.8888224477408"/>
  </r>
  <r>
    <x v="176"/>
    <x v="1"/>
    <n v="70"/>
    <n v="4"/>
    <n v="-11.2183136087788"/>
    <n v="-9.8247995042097607"/>
  </r>
  <r>
    <x v="177"/>
    <x v="0"/>
    <n v="161931"/>
    <n v="1124"/>
    <n v="-6.5053988504723401"/>
    <n v="9.8364917509520708"/>
  </r>
  <r>
    <x v="177"/>
    <x v="1"/>
    <n v="77"/>
    <n v="4"/>
    <n v="-7.1385280776422597"/>
    <n v="-7.5060935250484198"/>
  </r>
  <r>
    <x v="178"/>
    <x v="0"/>
    <n v="162202"/>
    <n v="1186"/>
    <n v="2.2014533370415399"/>
    <n v="14.907150686677999"/>
  </r>
  <r>
    <x v="178"/>
    <x v="1"/>
    <n v="81"/>
    <n v="4"/>
    <n v="5.1691776003341001"/>
    <n v="8.7486402681943005"/>
  </r>
  <r>
    <x v="179"/>
    <x v="0"/>
    <n v="162506"/>
    <n v="1210"/>
    <n v="81.742998868807604"/>
    <n v="60.017785832711901"/>
  </r>
  <r>
    <x v="179"/>
    <x v="1"/>
    <n v="85"/>
    <n v="4"/>
    <n v="89.287058725830704"/>
    <n v="84.437865054881698"/>
  </r>
  <r>
    <x v="180"/>
    <x v="0"/>
    <n v="162671"/>
    <n v="1240"/>
    <n v="106.099103768715"/>
    <n v="74.425848102437101"/>
  </r>
  <r>
    <x v="180"/>
    <x v="1"/>
    <n v="91"/>
    <n v="4"/>
    <n v="116.911549111358"/>
    <n v="114.937513206912"/>
  </r>
  <r>
    <x v="181"/>
    <x v="0"/>
    <n v="162734"/>
    <n v="1262"/>
    <n v="94.344048597244594"/>
    <n v="67.808227608802596"/>
  </r>
  <r>
    <x v="181"/>
    <x v="1"/>
    <n v="96"/>
    <n v="4"/>
    <n v="103.14007302663801"/>
    <n v="104.046212729795"/>
  </r>
  <r>
    <x v="182"/>
    <x v="0"/>
    <n v="162941"/>
    <n v="1282"/>
    <n v="103.043518346041"/>
    <n v="72.691404241849895"/>
  </r>
  <r>
    <x v="182"/>
    <x v="1"/>
    <n v="98"/>
    <n v="4"/>
    <n v="111.81664784501601"/>
    <n v="114.608209417891"/>
  </r>
  <r>
    <x v="183"/>
    <x v="0"/>
    <n v="162980"/>
    <n v="1289"/>
    <n v="118.811783289959"/>
    <n v="81.436788025164304"/>
  </r>
  <r>
    <x v="183"/>
    <x v="1"/>
    <n v="97"/>
    <n v="3"/>
    <n v="130.68366920113201"/>
    <n v="133.97335040404599"/>
  </r>
  <r>
    <x v="184"/>
    <x v="0"/>
    <n v="163112"/>
    <n v="1294"/>
    <n v="110.759447752581"/>
    <n v="76.525373345415005"/>
  </r>
  <r>
    <x v="184"/>
    <x v="1"/>
    <n v="97"/>
    <n v="5"/>
    <n v="124.728173793217"/>
    <n v="128.051192357632"/>
  </r>
  <r>
    <x v="185"/>
    <x v="0"/>
    <n v="163268"/>
    <n v="1322"/>
    <n v="49.318461669328698"/>
    <n v="39.058421129046401"/>
  </r>
  <r>
    <x v="185"/>
    <x v="1"/>
    <n v="96"/>
    <n v="7"/>
    <n v="63.295016940594003"/>
    <n v="66.7286009605331"/>
  </r>
  <r>
    <x v="186"/>
    <x v="0"/>
    <n v="163365"/>
    <n v="1334"/>
    <n v="65.761988060439904"/>
    <n v="47.658515904163202"/>
  </r>
  <r>
    <x v="186"/>
    <x v="1"/>
    <n v="95"/>
    <n v="6"/>
    <n v="79.609947281185697"/>
    <n v="82.866338494422294"/>
  </r>
  <r>
    <x v="187"/>
    <x v="0"/>
    <n v="163553"/>
    <n v="1354"/>
    <n v="66.554905846379896"/>
    <n v="46.8461679020091"/>
  </r>
  <r>
    <x v="187"/>
    <x v="1"/>
    <n v="95"/>
    <n v="7"/>
    <n v="84.692738336899893"/>
    <n v="88.268101983143197"/>
  </r>
  <r>
    <x v="188"/>
    <x v="0"/>
    <n v="163796"/>
    <n v="1358"/>
    <n v="80.544974518845706"/>
    <n v="54.813596589849801"/>
  </r>
  <r>
    <x v="188"/>
    <x v="1"/>
    <n v="95"/>
    <n v="8"/>
    <n v="104.87563390392"/>
    <n v="108.113998074297"/>
  </r>
  <r>
    <x v="189"/>
    <x v="0"/>
    <n v="163849"/>
    <n v="1373"/>
    <n v="86.680970863359704"/>
    <n v="58.322392222019602"/>
  </r>
  <r>
    <x v="189"/>
    <x v="1"/>
    <n v="94"/>
    <n v="8"/>
    <n v="113.948998733702"/>
    <n v="116.96670340922699"/>
  </r>
  <r>
    <x v="189"/>
    <x v="2"/>
    <n v="2"/>
    <n v="0"/>
    <n v="-33.707845904198599"/>
    <n v="0"/>
  </r>
  <r>
    <x v="190"/>
    <x v="0"/>
    <n v="163915"/>
    <n v="1392"/>
    <n v="93.195206003955093"/>
    <n v="62.429964226295702"/>
  </r>
  <r>
    <x v="190"/>
    <x v="1"/>
    <n v="94"/>
    <n v="9"/>
    <n v="123.16688471778301"/>
    <n v="126.18047176506001"/>
  </r>
  <r>
    <x v="190"/>
    <x v="2"/>
    <n v="10"/>
    <n v="0"/>
    <n v="-26.659638940675901"/>
    <n v="-6.3087048991916399"/>
  </r>
  <r>
    <x v="191"/>
    <x v="0"/>
    <n v="164016"/>
    <n v="1411"/>
    <n v="85.645880029264404"/>
    <n v="56.857624536713402"/>
  </r>
  <r>
    <x v="191"/>
    <x v="1"/>
    <n v="93"/>
    <n v="9"/>
    <n v="121.53168280009599"/>
    <n v="124.91124701571999"/>
  </r>
  <r>
    <x v="191"/>
    <x v="2"/>
    <n v="26"/>
    <n v="0"/>
    <n v="-22.899343913045101"/>
    <n v="-33.6363500750955"/>
  </r>
  <r>
    <x v="192"/>
    <x v="0"/>
    <n v="164091"/>
    <n v="1433"/>
    <n v="74.520515839913401"/>
    <n v="48.724965046952804"/>
  </r>
  <r>
    <x v="192"/>
    <x v="1"/>
    <n v="91"/>
    <n v="11"/>
    <n v="114.39866075955101"/>
    <n v="117.899369021409"/>
  </r>
  <r>
    <x v="192"/>
    <x v="2"/>
    <n v="44"/>
    <n v="0"/>
    <n v="-30.561541260637899"/>
    <n v="-50.244673205674601"/>
  </r>
  <r>
    <x v="193"/>
    <x v="0"/>
    <n v="163536"/>
    <n v="1409"/>
    <n v="73.602806550716906"/>
    <n v="46.383078037541402"/>
  </r>
  <r>
    <x v="193"/>
    <x v="1"/>
    <n v="91"/>
    <n v="11"/>
    <n v="117.425630758523"/>
    <n v="121.048555961538"/>
  </r>
  <r>
    <x v="193"/>
    <x v="2"/>
    <n v="70"/>
    <n v="0"/>
    <n v="-26.0699366865488"/>
    <n v="-59.574146123483096"/>
  </r>
  <r>
    <x v="194"/>
    <x v="0"/>
    <n v="163506"/>
    <n v="1669"/>
    <n v="72.460383501074602"/>
    <n v="45.2228809040298"/>
  </r>
  <r>
    <x v="194"/>
    <x v="1"/>
    <n v="89"/>
    <n v="12"/>
    <n v="116.636813382261"/>
    <n v="120.620661710604"/>
  </r>
  <r>
    <x v="194"/>
    <x v="2"/>
    <n v="91"/>
    <n v="0"/>
    <n v="-25.056185112943801"/>
    <n v="-67.051744656376798"/>
  </r>
  <r>
    <x v="195"/>
    <x v="0"/>
    <n v="163425"/>
    <n v="1688"/>
    <n v="60.7368996799173"/>
    <n v="36.498620748056901"/>
  </r>
  <r>
    <x v="195"/>
    <x v="1"/>
    <n v="88"/>
    <n v="11"/>
    <n v="104.715913664521"/>
    <n v="108.456805061222"/>
  </r>
  <r>
    <x v="195"/>
    <x v="2"/>
    <n v="116"/>
    <n v="0"/>
    <n v="-91.905688118768197"/>
    <n v="-120.361679664664"/>
  </r>
  <r>
    <x v="196"/>
    <x v="0"/>
    <n v="163371"/>
    <n v="1725"/>
    <n v="79.839703983789093"/>
    <n v="49.862938294074603"/>
  </r>
  <r>
    <x v="196"/>
    <x v="1"/>
    <n v="88"/>
    <n v="12"/>
    <n v="124.74774744088801"/>
    <n v="128.16486765262701"/>
  </r>
  <r>
    <x v="196"/>
    <x v="2"/>
    <n v="138"/>
    <n v="0"/>
    <n v="-59.935428006769499"/>
    <n v="-114.088879934209"/>
  </r>
  <r>
    <x v="197"/>
    <x v="0"/>
    <n v="163347"/>
    <n v="1747"/>
    <n v="96.116082867699404"/>
    <n v="60.718355833713098"/>
  </r>
  <r>
    <x v="197"/>
    <x v="1"/>
    <n v="87"/>
    <n v="11"/>
    <n v="143.00784122020599"/>
    <n v="146.31019178071"/>
  </r>
  <r>
    <x v="197"/>
    <x v="2"/>
    <n v="164"/>
    <n v="0"/>
    <n v="-33.701063119249703"/>
    <n v="-111.992609041015"/>
  </r>
  <r>
    <x v="198"/>
    <x v="0"/>
    <n v="163343"/>
    <n v="1805"/>
    <n v="109.741062578091"/>
    <n v="69.891252697495602"/>
  </r>
  <r>
    <x v="198"/>
    <x v="1"/>
    <n v="86"/>
    <n v="10"/>
    <n v="158.76857935121501"/>
    <n v="162.097357085944"/>
  </r>
  <r>
    <x v="198"/>
    <x v="2"/>
    <n v="188"/>
    <n v="0"/>
    <n v="-13.8008892363383"/>
    <n v="-112.262078365894"/>
  </r>
  <r>
    <x v="199"/>
    <x v="0"/>
    <n v="163306"/>
    <n v="1848"/>
    <n v="121.428856159893"/>
    <n v="77.675542598583505"/>
  </r>
  <r>
    <x v="199"/>
    <x v="1"/>
    <n v="86"/>
    <n v="14"/>
    <n v="174.162150311929"/>
    <n v="177.181983160231"/>
  </r>
  <r>
    <x v="199"/>
    <x v="2"/>
    <n v="209"/>
    <n v="0"/>
    <n v="1.7802663290442799"/>
    <n v="-101.14105637666"/>
  </r>
  <r>
    <x v="200"/>
    <x v="0"/>
    <n v="163332"/>
    <n v="1902"/>
    <n v="126.86485198711701"/>
    <n v="80.870760470283201"/>
  </r>
  <r>
    <x v="200"/>
    <x v="1"/>
    <n v="84"/>
    <n v="13"/>
    <n v="182.25964870231701"/>
    <n v="185.58690104919799"/>
  </r>
  <r>
    <x v="200"/>
    <x v="2"/>
    <n v="241"/>
    <n v="0"/>
    <n v="10.3922324490888"/>
    <n v="-99.632301848952295"/>
  </r>
  <r>
    <x v="201"/>
    <x v="0"/>
    <n v="163383"/>
    <n v="1951"/>
    <n v="134.64438157942399"/>
    <n v="85.858554503328506"/>
  </r>
  <r>
    <x v="201"/>
    <x v="1"/>
    <n v="83"/>
    <n v="18"/>
    <n v="191.822269066161"/>
    <n v="195.417225265154"/>
  </r>
  <r>
    <x v="201"/>
    <x v="2"/>
    <n v="276"/>
    <n v="0"/>
    <n v="19.327120962401899"/>
    <n v="-92.618563296656106"/>
  </r>
  <r>
    <x v="202"/>
    <x v="0"/>
    <n v="163552"/>
    <n v="2033"/>
    <n v="123.811589035273"/>
    <n v="77.050993596298895"/>
  </r>
  <r>
    <x v="202"/>
    <x v="1"/>
    <n v="83"/>
    <n v="22"/>
    <n v="184.04777470949"/>
    <n v="187.39206261369"/>
  </r>
  <r>
    <x v="202"/>
    <x v="2"/>
    <n v="306"/>
    <n v="0"/>
    <n v="10.219790849787699"/>
    <n v="-102.71728572287699"/>
  </r>
  <r>
    <x v="203"/>
    <x v="0"/>
    <n v="163709"/>
    <n v="2117"/>
    <n v="81.018294997043498"/>
    <n v="43.8690442954872"/>
  </r>
  <r>
    <x v="203"/>
    <x v="1"/>
    <n v="100"/>
    <n v="23"/>
    <n v="41.5174262089038"/>
    <n v="28.617351444073201"/>
  </r>
  <r>
    <x v="203"/>
    <x v="2"/>
    <n v="342"/>
    <n v="0"/>
    <n v="-34.948626922046898"/>
    <n v="-152.66161565728001"/>
  </r>
  <r>
    <x v="204"/>
    <x v="0"/>
    <n v="163803"/>
    <n v="2198"/>
    <n v="72.498845966585407"/>
    <n v="35.984678930714402"/>
  </r>
  <r>
    <x v="204"/>
    <x v="1"/>
    <n v="118"/>
    <n v="24"/>
    <n v="14.6938948916542"/>
    <n v="-1.34846536078344"/>
  </r>
  <r>
    <x v="204"/>
    <x v="2"/>
    <n v="383"/>
    <n v="0"/>
    <n v="-43.850216971003299"/>
    <n v="-163.30937108582401"/>
  </r>
  <r>
    <x v="205"/>
    <x v="0"/>
    <n v="164008"/>
    <n v="2254"/>
    <n v="51.5277629027863"/>
    <n v="18.5944225499933"/>
  </r>
  <r>
    <x v="205"/>
    <x v="1"/>
    <n v="149"/>
    <n v="23"/>
    <n v="-19.076637522325299"/>
    <n v="-37.9787062378267"/>
  </r>
  <r>
    <x v="205"/>
    <x v="2"/>
    <n v="430"/>
    <n v="0"/>
    <n v="-65.615428491254207"/>
    <n v="-188.54078812749901"/>
  </r>
  <r>
    <x v="206"/>
    <x v="0"/>
    <n v="164116"/>
    <n v="2274"/>
    <n v="62.366092186780897"/>
    <n v="27.236501972582101"/>
  </r>
  <r>
    <x v="206"/>
    <x v="1"/>
    <n v="171"/>
    <n v="23"/>
    <n v="-6.6500026464916102"/>
    <n v="-23.265302735211201"/>
  </r>
  <r>
    <x v="206"/>
    <x v="2"/>
    <n v="478"/>
    <n v="0"/>
    <n v="-54.774402827021198"/>
    <n v="-180.149122494323"/>
  </r>
  <r>
    <x v="207"/>
    <x v="0"/>
    <n v="164235"/>
    <n v="2323"/>
    <n v="61.914272603283202"/>
    <n v="27.280083038975501"/>
  </r>
  <r>
    <x v="207"/>
    <x v="1"/>
    <n v="201"/>
    <n v="25"/>
    <n v="-1.7276751987002801"/>
    <n v="-15.707909210405999"/>
  </r>
  <r>
    <x v="207"/>
    <x v="2"/>
    <n v="523"/>
    <n v="0"/>
    <n v="-53.463766619070398"/>
    <n v="-179.948699346876"/>
  </r>
  <r>
    <x v="208"/>
    <x v="0"/>
    <n v="164363"/>
    <n v="2346"/>
    <n v="80.9460474476423"/>
    <n v="42.6518196761727"/>
  </r>
  <r>
    <x v="208"/>
    <x v="1"/>
    <n v="228"/>
    <n v="24"/>
    <n v="22.5654996617736"/>
    <n v="10.1937523989757"/>
  </r>
  <r>
    <x v="208"/>
    <x v="2"/>
    <n v="560"/>
    <n v="0"/>
    <n v="-32.601144736483803"/>
    <n v="-159.897263468902"/>
  </r>
  <r>
    <x v="209"/>
    <x v="0"/>
    <n v="164527"/>
    <n v="2373"/>
    <n v="93.0234851902147"/>
    <n v="52.287779062217801"/>
  </r>
  <r>
    <x v="209"/>
    <x v="1"/>
    <n v="269"/>
    <n v="25"/>
    <n v="39.812345773032398"/>
    <n v="28.1257737407084"/>
  </r>
  <r>
    <x v="209"/>
    <x v="2"/>
    <n v="593"/>
    <n v="0"/>
    <n v="-18.804666259870601"/>
    <n v="-146.973281850022"/>
  </r>
  <r>
    <x v="210"/>
    <x v="0"/>
    <n v="164725"/>
    <n v="2402"/>
    <n v="88.436742728258494"/>
    <n v="49.675259001344003"/>
  </r>
  <r>
    <x v="210"/>
    <x v="1"/>
    <n v="306"/>
    <n v="27"/>
    <n v="36.765674605552697"/>
    <n v="26.0317315500644"/>
  </r>
  <r>
    <x v="210"/>
    <x v="2"/>
    <n v="626"/>
    <n v="0"/>
    <n v="7.30229180139031"/>
    <n v="-121.33428889821199"/>
  </r>
  <r>
    <x v="211"/>
    <x v="0"/>
    <n v="164903"/>
    <n v="2432"/>
    <n v="116.058008309774"/>
    <n v="71.566140375626603"/>
  </r>
  <r>
    <x v="211"/>
    <x v="1"/>
    <n v="345"/>
    <n v="27"/>
    <n v="64.395948753649705"/>
    <n v="54.111300417106399"/>
  </r>
  <r>
    <x v="211"/>
    <x v="2"/>
    <n v="659"/>
    <n v="0"/>
    <n v="33.357188461453397"/>
    <n v="-93.822098826832601"/>
  </r>
  <r>
    <x v="212"/>
    <x v="0"/>
    <n v="165089"/>
    <n v="2492"/>
    <n v="133.505001279666"/>
    <n v="84.8563528631868"/>
  </r>
  <r>
    <x v="212"/>
    <x v="1"/>
    <n v="373"/>
    <n v="28"/>
    <n v="80.477521478838895"/>
    <n v="66.776718747426202"/>
  </r>
  <r>
    <x v="212"/>
    <x v="2"/>
    <n v="691"/>
    <n v="0"/>
    <n v="49.662503529667703"/>
    <n v="-76.133590055043697"/>
  </r>
  <r>
    <x v="213"/>
    <x v="0"/>
    <n v="165211"/>
    <n v="2540"/>
    <n v="130.42932608830799"/>
    <n v="81.945779169046006"/>
  </r>
  <r>
    <x v="213"/>
    <x v="1"/>
    <n v="417"/>
    <n v="28"/>
    <n v="71.538393399383096"/>
    <n v="55.816505373894202"/>
  </r>
  <r>
    <x v="213"/>
    <x v="2"/>
    <n v="724"/>
    <n v="0"/>
    <n v="45.4991671497285"/>
    <n v="-79.404008630436905"/>
  </r>
  <r>
    <x v="214"/>
    <x v="0"/>
    <n v="165281"/>
    <n v="2606"/>
    <n v="138.62682934630701"/>
    <n v="87.910295988852894"/>
  </r>
  <r>
    <x v="214"/>
    <x v="1"/>
    <n v="453"/>
    <n v="28"/>
    <n v="74.674431509196495"/>
    <n v="56.202313916723"/>
  </r>
  <r>
    <x v="214"/>
    <x v="2"/>
    <n v="767"/>
    <n v="0"/>
    <n v="52.158800228407699"/>
    <n v="-71.601355401170693"/>
  </r>
  <r>
    <x v="215"/>
    <x v="0"/>
    <n v="165285"/>
    <n v="2645"/>
    <n v="141.38287328964901"/>
    <n v="90.083014332992406"/>
  </r>
  <r>
    <x v="215"/>
    <x v="1"/>
    <n v="475"/>
    <n v="28"/>
    <n v="73.0046120542913"/>
    <n v="59.803865391923502"/>
  </r>
  <r>
    <x v="215"/>
    <x v="2"/>
    <n v="787"/>
    <n v="0"/>
    <n v="54.743011778794603"/>
    <n v="-68.736338286989806"/>
  </r>
  <r>
    <x v="216"/>
    <x v="0"/>
    <n v="165280"/>
    <n v="2710"/>
    <n v="142.02047477852301"/>
    <n v="90.447325803894998"/>
  </r>
  <r>
    <x v="216"/>
    <x v="1"/>
    <n v="505"/>
    <n v="32"/>
    <n v="68.050726640530698"/>
    <n v="56.294026761058497"/>
  </r>
  <r>
    <x v="216"/>
    <x v="2"/>
    <n v="834"/>
    <n v="0"/>
    <n v="51.745992574838603"/>
    <n v="-70.049803945244307"/>
  </r>
  <r>
    <x v="217"/>
    <x v="0"/>
    <n v="165378"/>
    <n v="2770"/>
    <n v="140.14779394335801"/>
    <n v="89.211034117968893"/>
  </r>
  <r>
    <x v="217"/>
    <x v="1"/>
    <n v="537"/>
    <n v="32"/>
    <n v="62.754074874386198"/>
    <n v="52.8003595146291"/>
  </r>
  <r>
    <x v="217"/>
    <x v="2"/>
    <n v="875"/>
    <n v="0"/>
    <n v="22.849314706923"/>
    <n v="-97.688548839569194"/>
  </r>
  <r>
    <x v="218"/>
    <x v="0"/>
    <n v="165670"/>
    <n v="2843"/>
    <n v="132.303165977681"/>
    <n v="84.2688593770485"/>
  </r>
  <r>
    <x v="218"/>
    <x v="1"/>
    <n v="586"/>
    <n v="34"/>
    <n v="48.871099005353102"/>
    <n v="42.580978036161298"/>
  </r>
  <r>
    <x v="218"/>
    <x v="2"/>
    <n v="946"/>
    <n v="0"/>
    <n v="8.2801945268904191"/>
    <n v="-113.38533658092"/>
  </r>
  <r>
    <x v="219"/>
    <x v="0"/>
    <n v="165833"/>
    <n v="2899"/>
    <n v="138.17243434819"/>
    <n v="90.154664829660902"/>
  </r>
  <r>
    <x v="219"/>
    <x v="1"/>
    <n v="621"/>
    <n v="37"/>
    <n v="51.082671657465198"/>
    <n v="46.6704905463179"/>
  </r>
  <r>
    <x v="219"/>
    <x v="2"/>
    <n v="1017"/>
    <n v="0"/>
    <n v="9.4576738037235408"/>
    <n v="-112.920205086482"/>
  </r>
  <r>
    <x v="220"/>
    <x v="0"/>
    <n v="165908"/>
    <n v="2917"/>
    <n v="147.43817150606199"/>
    <n v="98.858133422454699"/>
  </r>
  <r>
    <x v="220"/>
    <x v="1"/>
    <n v="655"/>
    <n v="38"/>
    <n v="58.5296097318788"/>
    <n v="55.341816130608898"/>
  </r>
  <r>
    <x v="220"/>
    <x v="2"/>
    <n v="1083"/>
    <n v="0"/>
    <n v="15.675313940605101"/>
    <n v="-106.919959150892"/>
  </r>
  <r>
    <x v="221"/>
    <x v="0"/>
    <n v="166007"/>
    <n v="2984"/>
    <n v="158.467952595936"/>
    <n v="108.258258165683"/>
  </r>
  <r>
    <x v="221"/>
    <x v="1"/>
    <n v="690"/>
    <n v="42"/>
    <n v="70.470473808095704"/>
    <n v="67.733515369910194"/>
  </r>
  <r>
    <x v="221"/>
    <x v="2"/>
    <n v="1172"/>
    <n v="0"/>
    <n v="23.131136692733399"/>
    <n v="-100.05762229856001"/>
  </r>
  <r>
    <x v="221"/>
    <x v="3"/>
    <n v="127"/>
    <n v="0"/>
    <n v="-6.3748528455134599"/>
    <n v="-141.45203636955901"/>
  </r>
  <r>
    <x v="222"/>
    <x v="0"/>
    <n v="166194"/>
    <n v="3095"/>
    <n v="168.576457416902"/>
    <n v="116.669911188578"/>
  </r>
  <r>
    <x v="222"/>
    <x v="1"/>
    <n v="711"/>
    <n v="43"/>
    <n v="81.723140650706895"/>
    <n v="78.903307172390797"/>
  </r>
  <r>
    <x v="222"/>
    <x v="2"/>
    <n v="1275"/>
    <n v="0"/>
    <n v="29.883138475453801"/>
    <n v="-93.365630977383702"/>
  </r>
  <r>
    <x v="222"/>
    <x v="3"/>
    <n v="218"/>
    <n v="0"/>
    <n v="1.50128645780526"/>
    <n v="-133.22702976605501"/>
  </r>
  <r>
    <x v="223"/>
    <x v="0"/>
    <n v="166333"/>
    <n v="3181"/>
    <n v="162.77954020476699"/>
    <n v="111.989853374072"/>
  </r>
  <r>
    <x v="223"/>
    <x v="1"/>
    <n v="738"/>
    <n v="50"/>
    <n v="76.585060872799403"/>
    <n v="73.871083119669507"/>
  </r>
  <r>
    <x v="223"/>
    <x v="2"/>
    <n v="1363"/>
    <n v="0"/>
    <n v="22.336880252734701"/>
    <n v="-100.437851528876"/>
  </r>
  <r>
    <x v="223"/>
    <x v="3"/>
    <n v="315"/>
    <n v="0"/>
    <n v="-5.0938941405060598"/>
    <n v="-139.155161444225"/>
  </r>
  <r>
    <x v="224"/>
    <x v="0"/>
    <n v="166609"/>
    <n v="3279"/>
    <n v="170.72171678166399"/>
    <n v="118.484472806531"/>
  </r>
  <r>
    <x v="224"/>
    <x v="1"/>
    <n v="772"/>
    <n v="51"/>
    <n v="81.477800753819196"/>
    <n v="78.450880246725802"/>
  </r>
  <r>
    <x v="224"/>
    <x v="2"/>
    <n v="1462"/>
    <n v="0"/>
    <n v="28.810250783163301"/>
    <n v="-93.543752768798598"/>
  </r>
  <r>
    <x v="224"/>
    <x v="3"/>
    <n v="415"/>
    <n v="0"/>
    <n v="2.33156757307929"/>
    <n v="-131.285396374953"/>
  </r>
  <r>
    <x v="225"/>
    <x v="0"/>
    <n v="166896"/>
    <n v="3368"/>
    <n v="176.50896154978099"/>
    <n v="123.328401755134"/>
  </r>
  <r>
    <x v="225"/>
    <x v="1"/>
    <n v="803"/>
    <n v="51"/>
    <n v="84.7792603078572"/>
    <n v="81.612755620046002"/>
  </r>
  <r>
    <x v="225"/>
    <x v="2"/>
    <n v="1557"/>
    <n v="0"/>
    <n v="35.062731610017302"/>
    <n v="-86.667490867902899"/>
  </r>
  <r>
    <x v="225"/>
    <x v="3"/>
    <n v="509"/>
    <n v="0"/>
    <n v="9.3116405119745096"/>
    <n v="-124.225032587191"/>
  </r>
  <r>
    <x v="226"/>
    <x v="0"/>
    <n v="167410"/>
    <n v="3473"/>
    <n v="174.540307179102"/>
    <n v="121.72432184082599"/>
  </r>
  <r>
    <x v="226"/>
    <x v="1"/>
    <n v="840"/>
    <n v="53"/>
    <n v="79.829364398701301"/>
    <n v="76.624876996938298"/>
  </r>
  <r>
    <x v="226"/>
    <x v="2"/>
    <n v="1683"/>
    <n v="0"/>
    <n v="33.242843836006102"/>
    <n v="-87.879210028289606"/>
  </r>
  <r>
    <x v="226"/>
    <x v="3"/>
    <n v="623"/>
    <n v="0"/>
    <n v="8.6876944387811808"/>
    <n v="-124.525915978177"/>
  </r>
  <r>
    <x v="227"/>
    <x v="0"/>
    <n v="167369"/>
    <n v="3563"/>
    <n v="172.55886595285401"/>
    <n v="120.237144797537"/>
  </r>
  <r>
    <x v="227"/>
    <x v="1"/>
    <n v="862"/>
    <n v="58"/>
    <n v="78.329855795120196"/>
    <n v="75.399143700450594"/>
  </r>
  <r>
    <x v="227"/>
    <x v="2"/>
    <n v="1772"/>
    <n v="0"/>
    <n v="31.088002652242398"/>
    <n v="-88.067790035688901"/>
  </r>
  <r>
    <x v="227"/>
    <x v="3"/>
    <n v="707"/>
    <n v="0"/>
    <n v="7.0974506203798899"/>
    <n v="-125.913735308661"/>
  </r>
  <r>
    <x v="228"/>
    <x v="0"/>
    <n v="167588"/>
    <n v="3658"/>
    <n v="161.73704000984301"/>
    <n v="111.30774689163501"/>
  </r>
  <r>
    <x v="228"/>
    <x v="1"/>
    <n v="883"/>
    <n v="57"/>
    <n v="66.194573975700905"/>
    <n v="63.028128554221396"/>
  </r>
  <r>
    <x v="228"/>
    <x v="2"/>
    <n v="1884"/>
    <n v="0"/>
    <n v="20.821094686420899"/>
    <n v="-96.2854641378282"/>
  </r>
  <r>
    <x v="228"/>
    <x v="3"/>
    <n v="803"/>
    <n v="0"/>
    <n v="-2.3799042375530699"/>
    <n v="-135.19515253414099"/>
  </r>
  <r>
    <x v="229"/>
    <x v="0"/>
    <n v="167731"/>
    <n v="3750"/>
    <n v="143.279626186955"/>
    <n v="95.743989998170505"/>
  </r>
  <r>
    <x v="229"/>
    <x v="1"/>
    <n v="909"/>
    <n v="60"/>
    <n v="47.646774390551997"/>
    <n v="44.450274395003902"/>
  </r>
  <r>
    <x v="229"/>
    <x v="2"/>
    <n v="2008"/>
    <n v="0"/>
    <n v="3.3548472879931199"/>
    <n v="-111.21402828330601"/>
  </r>
  <r>
    <x v="229"/>
    <x v="3"/>
    <n v="924"/>
    <n v="0"/>
    <n v="-19.1214881076415"/>
    <n v="-151.785333703058"/>
  </r>
  <r>
    <x v="230"/>
    <x v="0"/>
    <n v="167704"/>
    <n v="3826"/>
    <n v="136.45841635877699"/>
    <n v="91.236051298397896"/>
  </r>
  <r>
    <x v="230"/>
    <x v="1"/>
    <n v="932"/>
    <n v="59"/>
    <n v="41.562122371241699"/>
    <n v="39.428012088324003"/>
  </r>
  <r>
    <x v="230"/>
    <x v="2"/>
    <n v="2143"/>
    <n v="0"/>
    <n v="-1.85232775912442"/>
    <n v="-110.32455857925601"/>
  </r>
  <r>
    <x v="230"/>
    <x v="3"/>
    <n v="1042"/>
    <n v="0"/>
    <n v="-24.3027429095667"/>
    <n v="-156.58789498276599"/>
  </r>
  <r>
    <x v="231"/>
    <x v="0"/>
    <n v="167738"/>
    <n v="3939"/>
    <n v="144.548471335192"/>
    <n v="99.297885843514095"/>
  </r>
  <r>
    <x v="231"/>
    <x v="1"/>
    <n v="949"/>
    <n v="63"/>
    <n v="52.886492981869402"/>
    <n v="50.9380813113644"/>
  </r>
  <r>
    <x v="231"/>
    <x v="2"/>
    <n v="2261"/>
    <n v="0"/>
    <n v="8.3770957185732602"/>
    <n v="-96.308334985345198"/>
  </r>
  <r>
    <x v="231"/>
    <x v="3"/>
    <n v="1149"/>
    <n v="0"/>
    <n v="-15.111411007820699"/>
    <n v="-147.11097713275501"/>
  </r>
  <r>
    <x v="232"/>
    <x v="0"/>
    <n v="167856"/>
    <n v="4077"/>
    <n v="134.13611028948901"/>
    <n v="91.165050557773796"/>
  </r>
  <r>
    <x v="232"/>
    <x v="1"/>
    <n v="972"/>
    <n v="65"/>
    <n v="44.155390613701897"/>
    <n v="42.154604199411402"/>
  </r>
  <r>
    <x v="232"/>
    <x v="2"/>
    <n v="2381"/>
    <n v="0"/>
    <n v="8.6800435056834697"/>
    <n v="-98.493452433755294"/>
  </r>
  <r>
    <x v="232"/>
    <x v="3"/>
    <n v="1253"/>
    <n v="0"/>
    <n v="-23.812014872407801"/>
    <n v="-155.61523254051201"/>
  </r>
  <r>
    <x v="233"/>
    <x v="0"/>
    <n v="168020"/>
    <n v="4180"/>
    <n v="75.892824502367901"/>
    <n v="40.728865012110099"/>
  </r>
  <r>
    <x v="233"/>
    <x v="1"/>
    <n v="995"/>
    <n v="66"/>
    <n v="-11.822492713775301"/>
    <n v="-14.047429884422099"/>
  </r>
  <r>
    <x v="233"/>
    <x v="2"/>
    <n v="2498"/>
    <n v="0"/>
    <n v="-39.158668513172998"/>
    <n v="-149.703489008584"/>
  </r>
  <r>
    <x v="233"/>
    <x v="3"/>
    <n v="1350"/>
    <n v="0"/>
    <n v="-78.757828940362103"/>
    <n v="-210.367209313123"/>
  </r>
  <r>
    <x v="234"/>
    <x v="0"/>
    <n v="167898"/>
    <n v="4316"/>
    <n v="42.077713759528699"/>
    <n v="10.932081748781499"/>
  </r>
  <r>
    <x v="234"/>
    <x v="1"/>
    <n v="1019"/>
    <n v="71"/>
    <n v="-42.008374196683597"/>
    <n v="-44.716249794354297"/>
  </r>
  <r>
    <x v="234"/>
    <x v="2"/>
    <n v="2594"/>
    <n v="0"/>
    <n v="-83.395086711062405"/>
    <n v="-198.97646308505699"/>
  </r>
  <r>
    <x v="234"/>
    <x v="3"/>
    <n v="1432"/>
    <n v="0"/>
    <n v="-141.50167744705701"/>
    <n v="-272.79964015704002"/>
  </r>
  <r>
    <x v="235"/>
    <x v="0"/>
    <n v="167858"/>
    <n v="4399"/>
    <n v="29.670641917016699"/>
    <n v="0.40304044420725099"/>
  </r>
  <r>
    <x v="235"/>
    <x v="1"/>
    <n v="1042"/>
    <n v="80"/>
    <n v="-50.960358304586499"/>
    <n v="-53.759928800163003"/>
  </r>
  <r>
    <x v="235"/>
    <x v="2"/>
    <n v="2695"/>
    <n v="0"/>
    <n v="-82.841910557307699"/>
    <n v="-203.468370016758"/>
  </r>
  <r>
    <x v="235"/>
    <x v="3"/>
    <n v="1517"/>
    <n v="0"/>
    <n v="-150.447525505389"/>
    <n v="-282.12238110005399"/>
  </r>
  <r>
    <x v="236"/>
    <x v="0"/>
    <n v="167862"/>
    <n v="4558"/>
    <n v="25.985154993762801"/>
    <n v="-2.9925252808259102"/>
  </r>
  <r>
    <x v="236"/>
    <x v="1"/>
    <n v="1068"/>
    <n v="80"/>
    <n v="-51.108446729962097"/>
    <n v="-54.1771877783845"/>
  </r>
  <r>
    <x v="236"/>
    <x v="2"/>
    <n v="2780"/>
    <n v="0"/>
    <n v="-84.622762446136505"/>
    <n v="-205.092654548025"/>
  </r>
  <r>
    <x v="236"/>
    <x v="3"/>
    <n v="1605"/>
    <n v="0"/>
    <n v="-151.11778026074199"/>
    <n v="-283.25441440360203"/>
  </r>
  <r>
    <x v="237"/>
    <x v="0"/>
    <n v="167757"/>
    <n v="4703"/>
    <n v="54.577944742444899"/>
    <n v="22.270124279054698"/>
  </r>
  <r>
    <x v="237"/>
    <x v="1"/>
    <n v="1086"/>
    <n v="83"/>
    <n v="-19.738677048454701"/>
    <n v="-22.934202003044199"/>
  </r>
  <r>
    <x v="237"/>
    <x v="2"/>
    <n v="2875"/>
    <n v="0"/>
    <n v="-53.279030363604498"/>
    <n v="-174.369966342304"/>
  </r>
  <r>
    <x v="237"/>
    <x v="3"/>
    <n v="1688"/>
    <n v="0"/>
    <n v="-120.141020120245"/>
    <n v="-252.50118157701399"/>
  </r>
  <r>
    <x v="238"/>
    <x v="0"/>
    <n v="167893"/>
    <n v="4985"/>
    <n v="44.721464821635799"/>
    <n v="12.9716932092054"/>
  </r>
  <r>
    <x v="238"/>
    <x v="1"/>
    <n v="1107"/>
    <n v="78"/>
    <n v="-25.3055685832385"/>
    <n v="-29.873170704715001"/>
  </r>
  <r>
    <x v="238"/>
    <x v="2"/>
    <n v="2973"/>
    <n v="0"/>
    <n v="-60.9549187189455"/>
    <n v="-181.57913934590999"/>
  </r>
  <r>
    <x v="238"/>
    <x v="3"/>
    <n v="1747"/>
    <n v="0"/>
    <n v="-125.680513851565"/>
    <n v="-258.13333958754799"/>
  </r>
  <r>
    <x v="239"/>
    <x v="0"/>
    <n v="167880"/>
    <n v="5058"/>
    <n v="25.2259215480641"/>
    <n v="-4.2543712093641002"/>
  </r>
  <r>
    <x v="239"/>
    <x v="1"/>
    <n v="1120"/>
    <n v="80"/>
    <n v="-41.714102339941903"/>
    <n v="-46.247072551568699"/>
  </r>
  <r>
    <x v="239"/>
    <x v="2"/>
    <n v="3038"/>
    <n v="0"/>
    <n v="-76.977364592085394"/>
    <n v="-197.59219651711601"/>
  </r>
  <r>
    <x v="239"/>
    <x v="3"/>
    <n v="1805"/>
    <n v="0"/>
    <n v="-143.40291243075399"/>
    <n v="-275.777066197625"/>
  </r>
  <r>
    <x v="240"/>
    <x v="0"/>
    <n v="167816"/>
    <n v="5172"/>
    <n v="25.128449219056101"/>
    <n v="-4.2720706355693601"/>
  </r>
  <r>
    <x v="240"/>
    <x v="1"/>
    <n v="1129"/>
    <n v="81"/>
    <n v="-39.754964619093798"/>
    <n v="-44.323121622727598"/>
  </r>
  <r>
    <x v="240"/>
    <x v="2"/>
    <n v="3094"/>
    <n v="0"/>
    <n v="-73.866395374766498"/>
    <n v="-194.533449395692"/>
  </r>
  <r>
    <x v="240"/>
    <x v="3"/>
    <n v="1854"/>
    <n v="0"/>
    <n v="-141.955758097776"/>
    <n v="-274.17066890724499"/>
  </r>
  <r>
    <x v="241"/>
    <x v="0"/>
    <n v="167711"/>
    <n v="5262"/>
    <n v="37.867007300124698"/>
    <n v="7.3300827408239702"/>
  </r>
  <r>
    <x v="241"/>
    <x v="1"/>
    <n v="1143"/>
    <n v="80"/>
    <n v="-25.6199014016441"/>
    <n v="-30.1737039142734"/>
  </r>
  <r>
    <x v="241"/>
    <x v="2"/>
    <n v="3164"/>
    <n v="0"/>
    <n v="-57.606057626353099"/>
    <n v="-178.700127790941"/>
  </r>
  <r>
    <x v="241"/>
    <x v="3"/>
    <n v="1900"/>
    <n v="0"/>
    <n v="-127.928462206833"/>
    <n v="-259.87876577275898"/>
  </r>
  <r>
    <x v="242"/>
    <x v="0"/>
    <n v="167609"/>
    <n v="5458"/>
    <n v="36.154222453592503"/>
    <n v="6.6957277858175699"/>
  </r>
  <r>
    <x v="242"/>
    <x v="1"/>
    <n v="1153"/>
    <n v="84"/>
    <n v="-25.983380862116999"/>
    <n v="-29.374384892809701"/>
  </r>
  <r>
    <x v="242"/>
    <x v="2"/>
    <n v="3214"/>
    <n v="0"/>
    <n v="-50.839662430403799"/>
    <n v="-176.16880810336599"/>
  </r>
  <r>
    <x v="242"/>
    <x v="3"/>
    <n v="1945"/>
    <n v="0"/>
    <n v="-129.611413998877"/>
    <n v="-260.84928127779898"/>
  </r>
  <r>
    <x v="243"/>
    <x v="0"/>
    <n v="167527"/>
    <n v="5493"/>
    <n v="36.818243646413997"/>
    <n v="8.1517231075014909"/>
  </r>
  <r>
    <x v="243"/>
    <x v="1"/>
    <n v="1159"/>
    <n v="84"/>
    <n v="-24.084778393886101"/>
    <n v="-27.478833606270101"/>
  </r>
  <r>
    <x v="243"/>
    <x v="2"/>
    <n v="3259"/>
    <n v="0"/>
    <n v="-35.945747966305902"/>
    <n v="-168.84305255432801"/>
  </r>
  <r>
    <x v="243"/>
    <x v="3"/>
    <n v="1977"/>
    <n v="0"/>
    <n v="-130.8062981118"/>
    <n v="-261.395198317611"/>
  </r>
  <r>
    <x v="244"/>
    <x v="0"/>
    <n v="167424"/>
    <n v="5544"/>
    <n v="55.155180787509302"/>
    <n v="25.400213702387902"/>
  </r>
  <r>
    <x v="244"/>
    <x v="1"/>
    <n v="1164"/>
    <n v="87"/>
    <n v="-4.0395411608184597"/>
    <n v="-7.17846372223641"/>
  </r>
  <r>
    <x v="244"/>
    <x v="2"/>
    <n v="3302"/>
    <n v="0"/>
    <n v="-2.8745022189706702"/>
    <n v="-142.60501923273699"/>
  </r>
  <r>
    <x v="244"/>
    <x v="3"/>
    <n v="2006"/>
    <n v="0"/>
    <n v="-112.43641742838"/>
    <n v="-241.95086514979201"/>
  </r>
  <r>
    <x v="245"/>
    <x v="0"/>
    <n v="167365"/>
    <n v="5610"/>
    <n v="56.4134660892352"/>
    <n v="26.911536116643799"/>
  </r>
  <r>
    <x v="245"/>
    <x v="1"/>
    <n v="1167"/>
    <n v="89"/>
    <n v="-1.4607704492751901"/>
    <n v="-4.5743515505459396"/>
  </r>
  <r>
    <x v="245"/>
    <x v="2"/>
    <n v="3342"/>
    <n v="0"/>
    <n v="6.0882668506466704"/>
    <n v="-137.59043357532099"/>
  </r>
  <r>
    <x v="245"/>
    <x v="3"/>
    <n v="2033"/>
    <n v="0"/>
    <n v="-110.437720270089"/>
    <n v="-239.001475392185"/>
  </r>
  <r>
    <x v="246"/>
    <x v="0"/>
    <n v="167305"/>
    <n v="5490"/>
    <n v="57.542700875233898"/>
    <n v="28.489467011108101"/>
  </r>
  <r>
    <x v="246"/>
    <x v="1"/>
    <n v="1172"/>
    <n v="86"/>
    <n v="1.3110681354815401"/>
    <n v="-1.84747245573354"/>
  </r>
  <r>
    <x v="246"/>
    <x v="2"/>
    <n v="3381"/>
    <n v="0"/>
    <n v="11.402883350234699"/>
    <n v="-132.31080305220999"/>
  </r>
  <r>
    <x v="246"/>
    <x v="3"/>
    <n v="2058"/>
    <n v="0"/>
    <n v="-108.238171204925"/>
    <n v="-235.69719095689899"/>
  </r>
  <r>
    <x v="247"/>
    <x v="0"/>
    <n v="167266"/>
    <n v="5738"/>
    <n v="58.698074776554101"/>
    <n v="29.9400298368388"/>
  </r>
  <r>
    <x v="247"/>
    <x v="1"/>
    <n v="1181"/>
    <n v="94"/>
    <n v="4.6085011323931804"/>
    <n v="1.27967182270399"/>
  </r>
  <r>
    <x v="247"/>
    <x v="2"/>
    <n v="3414"/>
    <n v="0"/>
    <n v="19.570927441637402"/>
    <n v="-126.893707241679"/>
  </r>
  <r>
    <x v="247"/>
    <x v="3"/>
    <n v="2081"/>
    <n v="0"/>
    <n v="-105.918169104353"/>
    <n v="-232.26704950384701"/>
  </r>
  <r>
    <x v="248"/>
    <x v="0"/>
    <n v="167207"/>
    <n v="5791"/>
    <n v="54.621022052478999"/>
    <n v="26.416466301472401"/>
  </r>
  <r>
    <x v="248"/>
    <x v="1"/>
    <n v="1192"/>
    <n v="95"/>
    <n v="2.4867484620164699"/>
    <n v="-0.79648389763494398"/>
  </r>
  <r>
    <x v="248"/>
    <x v="2"/>
    <n v="3450"/>
    <n v="0"/>
    <n v="17.490081383411301"/>
    <n v="-129.080379748014"/>
  </r>
  <r>
    <x v="248"/>
    <x v="3"/>
    <n v="2099"/>
    <n v="0"/>
    <n v="-108.673678535791"/>
    <n v="-234.53955507786901"/>
  </r>
  <r>
    <x v="249"/>
    <x v="0"/>
    <n v="167179"/>
    <n v="5869"/>
    <n v="66.526670395745398"/>
    <n v="37.484152900481902"/>
  </r>
  <r>
    <x v="249"/>
    <x v="1"/>
    <n v="1202"/>
    <n v="95"/>
    <n v="15.579454156860001"/>
    <n v="12.1022798569718"/>
  </r>
  <r>
    <x v="249"/>
    <x v="2"/>
    <n v="3481"/>
    <n v="0"/>
    <n v="31.212936565941298"/>
    <n v="-115.16467029237801"/>
  </r>
  <r>
    <x v="249"/>
    <x v="3"/>
    <n v="2118"/>
    <n v="0"/>
    <n v="-95.364690107339896"/>
    <n v="-220.67006670081"/>
  </r>
  <r>
    <x v="250"/>
    <x v="0"/>
    <n v="167243"/>
    <n v="5970"/>
    <n v="68.796895259797097"/>
    <n v="39.687991571246002"/>
  </r>
  <r>
    <x v="250"/>
    <x v="1"/>
    <n v="1214"/>
    <n v="100"/>
    <n v="18.818227428113602"/>
    <n v="15.165134266170799"/>
  </r>
  <r>
    <x v="250"/>
    <x v="2"/>
    <n v="3515"/>
    <n v="0"/>
    <n v="35.137646861187697"/>
    <n v="-111.080262547205"/>
  </r>
  <r>
    <x v="250"/>
    <x v="3"/>
    <n v="2137"/>
    <n v="0"/>
    <n v="-91.880450741840306"/>
    <n v="-216.609244468127"/>
  </r>
  <r>
    <x v="251"/>
    <x v="0"/>
    <n v="167166"/>
    <n v="5706"/>
    <n v="82.231961739500804"/>
    <n v="53.344923237343899"/>
  </r>
  <r>
    <x v="251"/>
    <x v="1"/>
    <n v="1229"/>
    <n v="104"/>
    <n v="31.6460884002528"/>
    <n v="28.815338272533399"/>
  </r>
  <r>
    <x v="251"/>
    <x v="2"/>
    <n v="3548"/>
    <n v="0"/>
    <n v="66.925922507685598"/>
    <n v="-91.027437984627895"/>
  </r>
  <r>
    <x v="251"/>
    <x v="3"/>
    <n v="2158"/>
    <n v="0"/>
    <n v="-79.884741046041199"/>
    <n v="-202.59513944393601"/>
  </r>
  <r>
    <x v="252"/>
    <x v="0"/>
    <n v="167159"/>
    <n v="5782"/>
    <n v="99.262311456176604"/>
    <n v="69.253944964388694"/>
  </r>
  <r>
    <x v="252"/>
    <x v="1"/>
    <n v="1239"/>
    <n v="116"/>
    <n v="49.614371696866399"/>
    <n v="46.906721686172197"/>
  </r>
  <r>
    <x v="252"/>
    <x v="2"/>
    <n v="3575"/>
    <n v="0"/>
    <n v="86.985164806318394"/>
    <n v="-71.116488216445205"/>
  </r>
  <r>
    <x v="252"/>
    <x v="3"/>
    <n v="2177"/>
    <n v="0"/>
    <n v="-62.052178106835697"/>
    <n v="-183.233996455214"/>
  </r>
  <r>
    <x v="253"/>
    <x v="0"/>
    <n v="167225"/>
    <n v="5805"/>
    <n v="94.454453716012296"/>
    <n v="64.824648557436902"/>
  </r>
  <r>
    <x v="253"/>
    <x v="1"/>
    <n v="1248"/>
    <n v="118"/>
    <n v="44.6370191997269"/>
    <n v="42.001335975471697"/>
  </r>
  <r>
    <x v="253"/>
    <x v="2"/>
    <n v="3608"/>
    <n v="0"/>
    <n v="85.4012428221167"/>
    <n v="-72.977161005247595"/>
  </r>
  <r>
    <x v="253"/>
    <x v="3"/>
    <n v="2196"/>
    <n v="0"/>
    <n v="-65.986478929954302"/>
    <n v="-185.59372003533201"/>
  </r>
  <r>
    <x v="254"/>
    <x v="0"/>
    <n v="167181"/>
    <n v="5847"/>
    <n v="88.503940412031099"/>
    <n v="60.380392606927998"/>
  </r>
  <r>
    <x v="254"/>
    <x v="1"/>
    <n v="1264"/>
    <n v="121"/>
    <n v="38.2589853830751"/>
    <n v="36.091890757362101"/>
  </r>
  <r>
    <x v="254"/>
    <x v="2"/>
    <n v="3636"/>
    <n v="0"/>
    <n v="88.376827239594903"/>
    <n v="-69.181840092116005"/>
  </r>
  <r>
    <x v="254"/>
    <x v="3"/>
    <n v="2218"/>
    <n v="0"/>
    <n v="-71.315696676280396"/>
    <n v="-187.77970583405201"/>
  </r>
  <r>
    <x v="255"/>
    <x v="0"/>
    <n v="167160"/>
    <n v="5940"/>
    <n v="96.504671211668693"/>
    <n v="68.592980146579904"/>
  </r>
  <r>
    <x v="255"/>
    <x v="1"/>
    <n v="1273"/>
    <n v="125"/>
    <n v="46.513019673726397"/>
    <n v="44.537295515288697"/>
  </r>
  <r>
    <x v="255"/>
    <x v="2"/>
    <n v="3670"/>
    <n v="0"/>
    <n v="106.66696194582801"/>
    <n v="-50.973031259655897"/>
  </r>
  <r>
    <x v="255"/>
    <x v="3"/>
    <n v="2238"/>
    <n v="0"/>
    <n v="-61.754441350297803"/>
    <n v="-175.07144694275399"/>
  </r>
  <r>
    <x v="256"/>
    <x v="0"/>
    <n v="167178"/>
    <n v="5996"/>
    <n v="78.359502437596703"/>
    <n v="52.496308545458902"/>
  </r>
  <r>
    <x v="256"/>
    <x v="1"/>
    <n v="1292"/>
    <n v="130"/>
    <n v="28.438240654949499"/>
    <n v="26.6376864912942"/>
  </r>
  <r>
    <x v="256"/>
    <x v="2"/>
    <n v="3696"/>
    <n v="0"/>
    <n v="97.219386063048006"/>
    <n v="-59.306945605365101"/>
  </r>
  <r>
    <x v="256"/>
    <x v="3"/>
    <n v="2253"/>
    <n v="0"/>
    <n v="-78.381599788219305"/>
    <n v="-187.908638094336"/>
  </r>
  <r>
    <x v="257"/>
    <x v="0"/>
    <n v="167172"/>
    <n v="6037"/>
    <n v="61.744500026495402"/>
    <n v="37.504595638160197"/>
  </r>
  <r>
    <x v="257"/>
    <x v="1"/>
    <n v="1307"/>
    <n v="134"/>
    <n v="11.771430594665601"/>
    <n v="10.032120528756501"/>
  </r>
  <r>
    <x v="257"/>
    <x v="2"/>
    <n v="3719"/>
    <n v="0"/>
    <n v="85.727178638781893"/>
    <n v="-71.106173279869196"/>
  </r>
  <r>
    <x v="257"/>
    <x v="3"/>
    <n v="2270"/>
    <n v="0"/>
    <n v="-93.1507253086465"/>
    <n v="-200.04129618904"/>
  </r>
  <r>
    <x v="258"/>
    <x v="0"/>
    <n v="167107"/>
    <n v="6125"/>
    <n v="55.191516687308599"/>
    <n v="31.809146655373102"/>
  </r>
  <r>
    <x v="258"/>
    <x v="1"/>
    <n v="1319"/>
    <n v="133"/>
    <n v="5.9344104574471501"/>
    <n v="4.1202362481734101"/>
  </r>
  <r>
    <x v="258"/>
    <x v="2"/>
    <n v="3743"/>
    <n v="0"/>
    <n v="83.940724928061002"/>
    <n v="-73.120839915715905"/>
  </r>
  <r>
    <x v="258"/>
    <x v="3"/>
    <n v="2283"/>
    <n v="0"/>
    <n v="-97.627362168318996"/>
    <n v="-202.25295108000299"/>
  </r>
  <r>
    <x v="259"/>
    <x v="0"/>
    <n v="167211"/>
    <n v="6115"/>
    <n v="67.9523283289505"/>
    <n v="45.133391683717903"/>
  </r>
  <r>
    <x v="259"/>
    <x v="1"/>
    <n v="1339"/>
    <n v="130"/>
    <n v="12.887784810335001"/>
    <n v="12.1702289586513"/>
  </r>
  <r>
    <x v="259"/>
    <x v="2"/>
    <n v="3765"/>
    <n v="0"/>
    <n v="107.12612453749701"/>
    <n v="-50.686469617149399"/>
  </r>
  <r>
    <x v="259"/>
    <x v="3"/>
    <n v="2300"/>
    <n v="0"/>
    <n v="-72.084920311210794"/>
    <n v="-175.546005688712"/>
  </r>
  <r>
    <x v="260"/>
    <x v="0"/>
    <n v="167272"/>
    <n v="6197"/>
    <n v="68.536648331195707"/>
    <n v="45.9639274834826"/>
  </r>
  <r>
    <x v="260"/>
    <x v="1"/>
    <n v="1346"/>
    <n v="130"/>
    <n v="14.5477656617019"/>
    <n v="13.7012861837048"/>
  </r>
  <r>
    <x v="260"/>
    <x v="2"/>
    <n v="3784"/>
    <n v="1"/>
    <n v="109.60214873777799"/>
    <n v="-48.780316962717301"/>
  </r>
  <r>
    <x v="260"/>
    <x v="3"/>
    <n v="2317"/>
    <n v="0"/>
    <n v="-69.994954909522207"/>
    <n v="-172.368580786091"/>
  </r>
  <r>
    <x v="261"/>
    <x v="0"/>
    <n v="167258"/>
    <n v="6278"/>
    <n v="77.910490892157299"/>
    <n v="54.898514830083897"/>
  </r>
  <r>
    <x v="261"/>
    <x v="1"/>
    <n v="1358"/>
    <n v="135"/>
    <n v="25.5595300904778"/>
    <n v="24.559253414058698"/>
  </r>
  <r>
    <x v="261"/>
    <x v="2"/>
    <n v="3805"/>
    <n v="1"/>
    <n v="120.293148259929"/>
    <n v="-38.211946497586197"/>
  </r>
  <r>
    <x v="261"/>
    <x v="3"/>
    <n v="2330"/>
    <n v="0"/>
    <n v="-59.209865805475403"/>
    <n v="-160.4648947574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1:M119" firstHeaderRow="1" firstDataRow="2" firstDataCol="1"/>
  <pivotFields count="3"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dataField="1" showAll="0"/>
  </pivotFields>
  <rowFields count="1">
    <field x="1"/>
  </rowFields>
  <rowItems count="1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refi_incentive" fld="2" subtotal="average" baseField="0" baseItem="0" numFmtId="2"/>
  </dataFields>
  <formats count="5">
    <format dxfId="4">
      <pivotArea outline="0" collapsedLevelsAreSubtotals="1" fieldPosition="0"/>
    </format>
    <format dxfId="3">
      <pivotArea field="0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G1:M273" firstHeaderRow="1" firstDataRow="2" firstDataCol="1"/>
  <pivotFields count="4"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271"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69"/>
        <item t="default"/>
      </items>
    </pivotField>
    <pivotField dataField="1" showAll="0"/>
  </pivotFields>
  <rowFields count="1">
    <field x="2"/>
  </rowFields>
  <rowItems count="2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refi_incentive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I1:N120" firstHeaderRow="1" firstDataRow="2" firstDataCol="1"/>
  <pivotFields count="4">
    <pivotField axis="axisRow" numFmtId="14" showAll="0">
      <items count="118"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dataField="1" showAll="0"/>
  </pivotFields>
  <rowFields count="1">
    <field x="0"/>
  </rowFields>
  <rowItems count="1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efi_incentive" fld="3" subtotal="average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1:L30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numFmtId="14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refi_incentiv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3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K1:O48" firstHeaderRow="1" firstDataRow="3" firstDataCol="1"/>
  <pivotFields count="6">
    <pivotField axis="axisRow" numFmtId="14" showAll="0">
      <items count="263">
        <item x="7"/>
        <item x="0"/>
        <item x="2"/>
        <item x="9"/>
        <item x="4"/>
        <item x="6"/>
        <item x="8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11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1"/>
        <item x="3"/>
        <item x="5"/>
        <item t="default"/>
      </items>
    </pivotField>
    <pivotField axis="axisCol" showAll="0">
      <items count="5">
        <item h="1" x="0"/>
        <item h="1" x="1"/>
        <item h="1" x="2"/>
        <item x="3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45"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 t="grand">
      <x/>
    </i>
  </rowItems>
  <colFields count="2">
    <field x="1"/>
    <field x="-2"/>
  </colFields>
  <colItems count="4">
    <i>
      <x v="3"/>
      <x/>
    </i>
    <i r="1" i="1">
      <x v="1"/>
    </i>
    <i t="grand">
      <x/>
    </i>
    <i t="grand" i="1">
      <x/>
    </i>
  </colItems>
  <dataFields count="2">
    <dataField name="Sum of avg_Pool" fld="4" baseField="0" baseItem="0"/>
    <dataField name="Sum of avg_Loan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330"/>
  <sheetViews>
    <sheetView topLeftCell="E13" workbookViewId="0">
      <selection activeCell="AB56" sqref="AB56"/>
    </sheetView>
  </sheetViews>
  <sheetFormatPr defaultRowHeight="15" x14ac:dyDescent="0.25"/>
  <cols>
    <col min="3" max="3" width="9.140625" style="7"/>
    <col min="7" max="7" width="23.85546875" customWidth="1"/>
    <col min="8" max="8" width="16.28515625" style="7" customWidth="1"/>
    <col min="9" max="11" width="12.7109375" style="7" customWidth="1"/>
    <col min="12" max="12" width="7.28515625" style="7" customWidth="1"/>
    <col min="13" max="13" width="12.7109375" style="7" bestFit="1" customWidth="1"/>
  </cols>
  <sheetData>
    <row r="1" spans="1:13" x14ac:dyDescent="0.25">
      <c r="A1" t="s">
        <v>0</v>
      </c>
      <c r="B1" t="s">
        <v>1</v>
      </c>
      <c r="C1" s="7" t="s">
        <v>2</v>
      </c>
      <c r="G1" s="4" t="s">
        <v>11</v>
      </c>
      <c r="H1" s="8" t="s">
        <v>10</v>
      </c>
    </row>
    <row r="2" spans="1:13" x14ac:dyDescent="0.25">
      <c r="A2" t="s">
        <v>3</v>
      </c>
      <c r="B2" s="1">
        <v>38961</v>
      </c>
      <c r="C2" s="7">
        <v>-9.4856717499454195</v>
      </c>
      <c r="G2" s="4" t="s">
        <v>7</v>
      </c>
      <c r="H2" s="7" t="s">
        <v>3</v>
      </c>
      <c r="I2" s="7" t="s">
        <v>4</v>
      </c>
      <c r="J2" s="7" t="s">
        <v>5</v>
      </c>
      <c r="K2" s="7" t="s">
        <v>6</v>
      </c>
      <c r="L2" s="7" t="s">
        <v>8</v>
      </c>
      <c r="M2" s="7" t="s">
        <v>9</v>
      </c>
    </row>
    <row r="3" spans="1:13" x14ac:dyDescent="0.25">
      <c r="A3" t="s">
        <v>3</v>
      </c>
      <c r="B3" s="1">
        <v>38991</v>
      </c>
      <c r="C3" s="7">
        <v>5.1850440695420499</v>
      </c>
      <c r="G3" s="5">
        <v>38961</v>
      </c>
      <c r="H3" s="7">
        <v>-9.4856717499454195</v>
      </c>
      <c r="M3" s="7">
        <v>-9.4856717499454195</v>
      </c>
    </row>
    <row r="4" spans="1:13" x14ac:dyDescent="0.25">
      <c r="A4" t="s">
        <v>3</v>
      </c>
      <c r="B4" s="1">
        <v>39022</v>
      </c>
      <c r="C4" s="7">
        <v>14.445318498906801</v>
      </c>
      <c r="G4" s="5">
        <v>38991</v>
      </c>
      <c r="H4" s="7">
        <v>5.1850440695420499</v>
      </c>
      <c r="M4" s="7">
        <v>5.1850440695420499</v>
      </c>
    </row>
    <row r="5" spans="1:13" x14ac:dyDescent="0.25">
      <c r="A5" t="s">
        <v>3</v>
      </c>
      <c r="B5" s="1">
        <v>39052</v>
      </c>
      <c r="C5" s="7">
        <v>26.644466513666</v>
      </c>
      <c r="G5" s="5">
        <v>39022</v>
      </c>
      <c r="H5" s="7">
        <v>14.445318498906801</v>
      </c>
      <c r="M5" s="7">
        <v>14.445318498906801</v>
      </c>
    </row>
    <row r="6" spans="1:13" x14ac:dyDescent="0.25">
      <c r="A6" t="s">
        <v>3</v>
      </c>
      <c r="B6" s="1">
        <v>39083</v>
      </c>
      <c r="C6" s="7">
        <v>39.0816403284039</v>
      </c>
      <c r="G6" s="5">
        <v>39052</v>
      </c>
      <c r="H6" s="7">
        <v>26.644466513666</v>
      </c>
      <c r="M6" s="7">
        <v>26.644466513666</v>
      </c>
    </row>
    <row r="7" spans="1:13" x14ac:dyDescent="0.25">
      <c r="A7" t="s">
        <v>3</v>
      </c>
      <c r="B7" s="1">
        <v>39114</v>
      </c>
      <c r="C7" s="7">
        <v>28.862361828416699</v>
      </c>
      <c r="G7" s="5">
        <v>39083</v>
      </c>
      <c r="H7" s="7">
        <v>39.0816403284039</v>
      </c>
      <c r="M7" s="7">
        <v>39.0816403284039</v>
      </c>
    </row>
    <row r="8" spans="1:13" x14ac:dyDescent="0.25">
      <c r="A8" t="s">
        <v>3</v>
      </c>
      <c r="B8" s="1">
        <v>39142</v>
      </c>
      <c r="C8" s="7">
        <v>27.710633390213602</v>
      </c>
      <c r="G8" s="5">
        <v>39114</v>
      </c>
      <c r="H8" s="7">
        <v>28.862361828416699</v>
      </c>
      <c r="M8" s="7">
        <v>28.862361828416699</v>
      </c>
    </row>
    <row r="9" spans="1:13" x14ac:dyDescent="0.25">
      <c r="A9" t="s">
        <v>3</v>
      </c>
      <c r="B9" s="1">
        <v>39173</v>
      </c>
      <c r="C9" s="7">
        <v>35.049944248548101</v>
      </c>
      <c r="G9" s="5">
        <v>39142</v>
      </c>
      <c r="H9" s="7">
        <v>27.710633390213602</v>
      </c>
      <c r="M9" s="7">
        <v>27.710633390213602</v>
      </c>
    </row>
    <row r="10" spans="1:13" x14ac:dyDescent="0.25">
      <c r="A10" t="s">
        <v>3</v>
      </c>
      <c r="B10" s="1">
        <v>39203</v>
      </c>
      <c r="C10" s="7">
        <v>30.774700298789401</v>
      </c>
      <c r="G10" s="5">
        <v>39173</v>
      </c>
      <c r="H10" s="7">
        <v>35.049944248548101</v>
      </c>
      <c r="M10" s="7">
        <v>35.049944248548101</v>
      </c>
    </row>
    <row r="11" spans="1:13" x14ac:dyDescent="0.25">
      <c r="A11" t="s">
        <v>3</v>
      </c>
      <c r="B11" s="1">
        <v>39234</v>
      </c>
      <c r="C11" s="7">
        <v>22.262526332717702</v>
      </c>
      <c r="G11" s="5">
        <v>39203</v>
      </c>
      <c r="H11" s="7">
        <v>30.774700298789401</v>
      </c>
      <c r="M11" s="7">
        <v>30.774700298789401</v>
      </c>
    </row>
    <row r="12" spans="1:13" x14ac:dyDescent="0.25">
      <c r="A12" t="s">
        <v>3</v>
      </c>
      <c r="B12" s="1">
        <v>39264</v>
      </c>
      <c r="C12" s="7">
        <v>-17.610160189902899</v>
      </c>
      <c r="G12" s="5">
        <v>39234</v>
      </c>
      <c r="H12" s="7">
        <v>22.262526332717702</v>
      </c>
      <c r="M12" s="7">
        <v>22.262526332717702</v>
      </c>
    </row>
    <row r="13" spans="1:13" x14ac:dyDescent="0.25">
      <c r="A13" t="s">
        <v>3</v>
      </c>
      <c r="B13" s="1">
        <v>39295</v>
      </c>
      <c r="C13" s="7">
        <v>-20.819808728336401</v>
      </c>
      <c r="G13" s="5">
        <v>39264</v>
      </c>
      <c r="H13" s="7">
        <v>-17.610160189902899</v>
      </c>
      <c r="M13" s="7">
        <v>-17.610160189902899</v>
      </c>
    </row>
    <row r="14" spans="1:13" x14ac:dyDescent="0.25">
      <c r="A14" t="s">
        <v>3</v>
      </c>
      <c r="B14" s="1">
        <v>39326</v>
      </c>
      <c r="C14" s="7">
        <v>-8.0029222828898501</v>
      </c>
      <c r="G14" s="5">
        <v>39295</v>
      </c>
      <c r="H14" s="7">
        <v>-20.819808728336401</v>
      </c>
      <c r="M14" s="7">
        <v>-20.819808728336401</v>
      </c>
    </row>
    <row r="15" spans="1:13" x14ac:dyDescent="0.25">
      <c r="A15" t="s">
        <v>3</v>
      </c>
      <c r="B15" s="1">
        <v>39356</v>
      </c>
      <c r="C15" s="7">
        <v>10.544120851707399</v>
      </c>
      <c r="G15" s="5">
        <v>39326</v>
      </c>
      <c r="H15" s="7">
        <v>-8.0029222828898501</v>
      </c>
      <c r="M15" s="7">
        <v>-8.0029222828898501</v>
      </c>
    </row>
    <row r="16" spans="1:13" x14ac:dyDescent="0.25">
      <c r="A16" t="s">
        <v>3</v>
      </c>
      <c r="B16" s="1">
        <v>39387</v>
      </c>
      <c r="C16" s="7">
        <v>16.6574861123006</v>
      </c>
      <c r="G16" s="5">
        <v>39356</v>
      </c>
      <c r="H16" s="7">
        <v>10.544120851707399</v>
      </c>
      <c r="M16" s="7">
        <v>10.544120851707399</v>
      </c>
    </row>
    <row r="17" spans="1:13" x14ac:dyDescent="0.25">
      <c r="A17" t="s">
        <v>3</v>
      </c>
      <c r="B17" s="1">
        <v>39417</v>
      </c>
      <c r="C17" s="7">
        <v>34.469752023863798</v>
      </c>
      <c r="G17" s="5">
        <v>39387</v>
      </c>
      <c r="H17" s="7">
        <v>16.6574861123006</v>
      </c>
      <c r="M17" s="7">
        <v>16.6574861123006</v>
      </c>
    </row>
    <row r="18" spans="1:13" x14ac:dyDescent="0.25">
      <c r="A18" t="s">
        <v>3</v>
      </c>
      <c r="B18" s="1">
        <v>39448</v>
      </c>
      <c r="C18" s="7">
        <v>45.6903099771462</v>
      </c>
      <c r="G18" s="5">
        <v>39417</v>
      </c>
      <c r="H18" s="7">
        <v>34.469752023863798</v>
      </c>
      <c r="M18" s="7">
        <v>34.469752023863798</v>
      </c>
    </row>
    <row r="19" spans="1:13" x14ac:dyDescent="0.25">
      <c r="A19" t="s">
        <v>3</v>
      </c>
      <c r="B19" s="1">
        <v>39479</v>
      </c>
      <c r="C19" s="7">
        <v>80.370152216470998</v>
      </c>
      <c r="G19" s="5">
        <v>39448</v>
      </c>
      <c r="H19" s="7">
        <v>45.6903099771462</v>
      </c>
      <c r="M19" s="7">
        <v>45.6903099771462</v>
      </c>
    </row>
    <row r="20" spans="1:13" x14ac:dyDescent="0.25">
      <c r="A20" t="s">
        <v>3</v>
      </c>
      <c r="B20" s="1">
        <v>39508</v>
      </c>
      <c r="C20" s="7">
        <v>59.965146332881602</v>
      </c>
      <c r="G20" s="5">
        <v>39479</v>
      </c>
      <c r="H20" s="7">
        <v>80.370152216470998</v>
      </c>
      <c r="M20" s="7">
        <v>80.370152216470998</v>
      </c>
    </row>
    <row r="21" spans="1:13" x14ac:dyDescent="0.25">
      <c r="A21" t="s">
        <v>3</v>
      </c>
      <c r="B21" s="1">
        <v>39539</v>
      </c>
      <c r="C21" s="7">
        <v>53.253135009984703</v>
      </c>
      <c r="G21" s="5">
        <v>39508</v>
      </c>
      <c r="H21" s="7">
        <v>59.965146332881602</v>
      </c>
      <c r="M21" s="7">
        <v>59.965146332881602</v>
      </c>
    </row>
    <row r="22" spans="1:13" x14ac:dyDescent="0.25">
      <c r="A22" t="s">
        <v>3</v>
      </c>
      <c r="B22" s="1">
        <v>39569</v>
      </c>
      <c r="C22" s="7">
        <v>54.013785486488501</v>
      </c>
      <c r="G22" s="5">
        <v>39539</v>
      </c>
      <c r="H22" s="7">
        <v>53.253135009984703</v>
      </c>
      <c r="M22" s="7">
        <v>53.253135009984703</v>
      </c>
    </row>
    <row r="23" spans="1:13" x14ac:dyDescent="0.25">
      <c r="A23" t="s">
        <v>3</v>
      </c>
      <c r="B23" s="1">
        <v>39600</v>
      </c>
      <c r="C23" s="7">
        <v>41.778381928187798</v>
      </c>
      <c r="G23" s="5">
        <v>39569</v>
      </c>
      <c r="H23" s="7">
        <v>54.013785486488501</v>
      </c>
      <c r="M23" s="7">
        <v>54.013785486488501</v>
      </c>
    </row>
    <row r="24" spans="1:13" x14ac:dyDescent="0.25">
      <c r="A24" t="s">
        <v>3</v>
      </c>
      <c r="B24" s="1">
        <v>39630</v>
      </c>
      <c r="C24" s="7">
        <v>7.07989026663871</v>
      </c>
      <c r="G24" s="5">
        <v>39600</v>
      </c>
      <c r="H24" s="7">
        <v>41.778381928187798</v>
      </c>
      <c r="M24" s="7">
        <v>41.778381928187798</v>
      </c>
    </row>
    <row r="25" spans="1:13" x14ac:dyDescent="0.25">
      <c r="A25" t="s">
        <v>3</v>
      </c>
      <c r="B25" s="1">
        <v>39661</v>
      </c>
      <c r="C25" s="7">
        <v>-4.3990981688410198</v>
      </c>
      <c r="G25" s="5">
        <v>39630</v>
      </c>
      <c r="H25" s="7">
        <v>7.07989026663871</v>
      </c>
      <c r="I25" s="7">
        <v>-47.069628709260598</v>
      </c>
      <c r="M25" s="7">
        <v>-19.994869221310942</v>
      </c>
    </row>
    <row r="26" spans="1:13" x14ac:dyDescent="0.25">
      <c r="A26" t="s">
        <v>3</v>
      </c>
      <c r="B26" s="1">
        <v>39692</v>
      </c>
      <c r="C26" s="7">
        <v>-11.5174364086227</v>
      </c>
      <c r="G26" s="5">
        <v>39661</v>
      </c>
      <c r="H26" s="7">
        <v>-4.3990981688410198</v>
      </c>
      <c r="I26" s="7">
        <v>-62.500933599499596</v>
      </c>
      <c r="M26" s="7">
        <v>-33.450015884170305</v>
      </c>
    </row>
    <row r="27" spans="1:13" x14ac:dyDescent="0.25">
      <c r="A27" t="s">
        <v>3</v>
      </c>
      <c r="B27" s="1">
        <v>39722</v>
      </c>
      <c r="C27" s="7">
        <v>32.377943086068299</v>
      </c>
      <c r="G27" s="5">
        <v>39692</v>
      </c>
      <c r="H27" s="7">
        <v>-11.5174364086227</v>
      </c>
      <c r="I27" s="7">
        <v>-68.292637221204103</v>
      </c>
      <c r="M27" s="7">
        <v>-39.905036814913402</v>
      </c>
    </row>
    <row r="28" spans="1:13" x14ac:dyDescent="0.25">
      <c r="A28" t="s">
        <v>3</v>
      </c>
      <c r="B28" s="1">
        <v>39753</v>
      </c>
      <c r="C28" s="7">
        <v>17.627129376611801</v>
      </c>
      <c r="G28" s="5">
        <v>39722</v>
      </c>
      <c r="H28" s="7">
        <v>32.377943086068299</v>
      </c>
      <c r="I28" s="7">
        <v>-10.4678866108225</v>
      </c>
      <c r="M28" s="7">
        <v>10.9550282376229</v>
      </c>
    </row>
    <row r="29" spans="1:13" x14ac:dyDescent="0.25">
      <c r="A29" t="s">
        <v>3</v>
      </c>
      <c r="B29" s="1">
        <v>39783</v>
      </c>
      <c r="C29" s="7">
        <v>26.4795145035466</v>
      </c>
      <c r="G29" s="5">
        <v>39753</v>
      </c>
      <c r="H29" s="7">
        <v>17.627129376611801</v>
      </c>
      <c r="I29" s="7">
        <v>-8.4755899637733592</v>
      </c>
      <c r="M29" s="7">
        <v>4.5757697064192211</v>
      </c>
    </row>
    <row r="30" spans="1:13" x14ac:dyDescent="0.25">
      <c r="A30" t="s">
        <v>3</v>
      </c>
      <c r="B30" s="1">
        <v>39814</v>
      </c>
      <c r="C30" s="7">
        <v>105.50925792341999</v>
      </c>
      <c r="G30" s="5">
        <v>39783</v>
      </c>
      <c r="H30" s="7">
        <v>26.4795145035466</v>
      </c>
      <c r="I30" s="7">
        <v>9.6121800811170992</v>
      </c>
      <c r="M30" s="7">
        <v>18.04584729233185</v>
      </c>
    </row>
    <row r="31" spans="1:13" x14ac:dyDescent="0.25">
      <c r="A31" t="s">
        <v>3</v>
      </c>
      <c r="B31" s="1">
        <v>39845</v>
      </c>
      <c r="C31" s="7">
        <v>130.111984962809</v>
      </c>
      <c r="G31" s="5">
        <v>39814</v>
      </c>
      <c r="H31" s="7">
        <v>105.50925792341999</v>
      </c>
      <c r="I31" s="7">
        <v>93.481898607643402</v>
      </c>
      <c r="M31" s="7">
        <v>99.495578265531691</v>
      </c>
    </row>
    <row r="32" spans="1:13" x14ac:dyDescent="0.25">
      <c r="A32" t="s">
        <v>3</v>
      </c>
      <c r="B32" s="1">
        <v>39873</v>
      </c>
      <c r="C32" s="7">
        <v>119.339674561038</v>
      </c>
      <c r="G32" s="5">
        <v>39845</v>
      </c>
      <c r="H32" s="7">
        <v>130.111984962809</v>
      </c>
      <c r="I32" s="7">
        <v>120.314516648451</v>
      </c>
      <c r="M32" s="7">
        <v>125.21325080563</v>
      </c>
    </row>
    <row r="33" spans="1:13" x14ac:dyDescent="0.25">
      <c r="A33" t="s">
        <v>3</v>
      </c>
      <c r="B33" s="1">
        <v>39904</v>
      </c>
      <c r="C33" s="7">
        <v>128.61977022560501</v>
      </c>
      <c r="G33" s="5">
        <v>39873</v>
      </c>
      <c r="H33" s="7">
        <v>119.339674561038</v>
      </c>
      <c r="I33" s="7">
        <v>106.7802387409</v>
      </c>
      <c r="M33" s="7">
        <v>113.059956650969</v>
      </c>
    </row>
    <row r="34" spans="1:13" x14ac:dyDescent="0.25">
      <c r="A34" t="s">
        <v>3</v>
      </c>
      <c r="B34" s="1">
        <v>39934</v>
      </c>
      <c r="C34" s="7">
        <v>139.117891628416</v>
      </c>
      <c r="G34" s="5">
        <v>39904</v>
      </c>
      <c r="H34" s="7">
        <v>128.61977022560501</v>
      </c>
      <c r="I34" s="7">
        <v>115.60060134408801</v>
      </c>
      <c r="M34" s="7">
        <v>122.11018578484651</v>
      </c>
    </row>
    <row r="35" spans="1:13" x14ac:dyDescent="0.25">
      <c r="A35" t="s">
        <v>3</v>
      </c>
      <c r="B35" s="1">
        <v>39965</v>
      </c>
      <c r="C35" s="7">
        <v>127.914679468155</v>
      </c>
      <c r="G35" s="5">
        <v>39934</v>
      </c>
      <c r="H35" s="7">
        <v>139.117891628416</v>
      </c>
      <c r="I35" s="7">
        <v>134.25272080813099</v>
      </c>
      <c r="M35" s="7">
        <v>136.6853062182735</v>
      </c>
    </row>
    <row r="36" spans="1:13" x14ac:dyDescent="0.25">
      <c r="A36" t="s">
        <v>3</v>
      </c>
      <c r="B36" s="1">
        <v>39995</v>
      </c>
      <c r="C36" s="7">
        <v>65.138921024264803</v>
      </c>
      <c r="G36" s="5">
        <v>39965</v>
      </c>
      <c r="H36" s="7">
        <v>127.914679468155</v>
      </c>
      <c r="I36" s="7">
        <v>127.88674401458501</v>
      </c>
      <c r="M36" s="7">
        <v>127.90071174137</v>
      </c>
    </row>
    <row r="37" spans="1:13" x14ac:dyDescent="0.25">
      <c r="A37" t="s">
        <v>3</v>
      </c>
      <c r="B37" s="1">
        <v>40026</v>
      </c>
      <c r="C37" s="7">
        <v>76.571806743199005</v>
      </c>
      <c r="G37" s="5">
        <v>39995</v>
      </c>
      <c r="H37" s="7">
        <v>65.138921024264803</v>
      </c>
      <c r="I37" s="7">
        <v>66.452050730890505</v>
      </c>
      <c r="M37" s="7">
        <v>65.795485877577647</v>
      </c>
    </row>
    <row r="38" spans="1:13" x14ac:dyDescent="0.25">
      <c r="A38" t="s">
        <v>3</v>
      </c>
      <c r="B38" s="1">
        <v>40057</v>
      </c>
      <c r="C38" s="7">
        <v>74.0241430931042</v>
      </c>
      <c r="G38" s="5">
        <v>40026</v>
      </c>
      <c r="H38" s="7">
        <v>76.571806743199005</v>
      </c>
      <c r="I38" s="7">
        <v>83.190817020090805</v>
      </c>
      <c r="M38" s="7">
        <v>79.881311881644905</v>
      </c>
    </row>
    <row r="39" spans="1:13" x14ac:dyDescent="0.25">
      <c r="A39" t="s">
        <v>3</v>
      </c>
      <c r="B39" s="1">
        <v>40087</v>
      </c>
      <c r="C39" s="7">
        <v>84.357494887820295</v>
      </c>
      <c r="G39" s="5">
        <v>40057</v>
      </c>
      <c r="H39" s="7">
        <v>74.0241430931042</v>
      </c>
      <c r="I39" s="7">
        <v>88.461390710754699</v>
      </c>
      <c r="M39" s="7">
        <v>81.242766901929457</v>
      </c>
    </row>
    <row r="40" spans="1:13" x14ac:dyDescent="0.25">
      <c r="A40" t="s">
        <v>3</v>
      </c>
      <c r="B40" s="1">
        <v>40118</v>
      </c>
      <c r="C40" s="7">
        <v>88.517504424304207</v>
      </c>
      <c r="G40" s="5">
        <v>40087</v>
      </c>
      <c r="H40" s="7">
        <v>84.357494887820295</v>
      </c>
      <c r="I40" s="7">
        <v>108.569198746997</v>
      </c>
      <c r="M40" s="7">
        <v>96.463346817408649</v>
      </c>
    </row>
    <row r="41" spans="1:13" x14ac:dyDescent="0.25">
      <c r="A41" t="s">
        <v>3</v>
      </c>
      <c r="B41" s="1">
        <v>40148</v>
      </c>
      <c r="C41" s="7">
        <v>93.989171849700597</v>
      </c>
      <c r="G41" s="5">
        <v>40118</v>
      </c>
      <c r="H41" s="7">
        <v>88.517504424304207</v>
      </c>
      <c r="I41" s="7">
        <v>117.343833523447</v>
      </c>
      <c r="M41" s="7">
        <v>102.93066897387561</v>
      </c>
    </row>
    <row r="42" spans="1:13" x14ac:dyDescent="0.25">
      <c r="A42" t="s">
        <v>3</v>
      </c>
      <c r="B42" s="1">
        <v>40179</v>
      </c>
      <c r="C42" s="7">
        <v>85.579845457918196</v>
      </c>
      <c r="G42" s="5">
        <v>40148</v>
      </c>
      <c r="H42" s="7">
        <v>93.989171849700597</v>
      </c>
      <c r="I42" s="7">
        <v>126.25354860683299</v>
      </c>
      <c r="J42" s="7">
        <v>-70.136770695988503</v>
      </c>
      <c r="M42" s="7">
        <v>50.03531658684836</v>
      </c>
    </row>
    <row r="43" spans="1:13" x14ac:dyDescent="0.25">
      <c r="A43" t="s">
        <v>3</v>
      </c>
      <c r="B43" s="1">
        <v>40210</v>
      </c>
      <c r="C43" s="7">
        <v>72.215564692825595</v>
      </c>
      <c r="G43" s="5">
        <v>40179</v>
      </c>
      <c r="H43" s="7">
        <v>85.579845457918196</v>
      </c>
      <c r="I43" s="7">
        <v>124.933110859153</v>
      </c>
      <c r="J43" s="7">
        <v>-104.847731702657</v>
      </c>
      <c r="M43" s="7">
        <v>35.221741538138069</v>
      </c>
    </row>
    <row r="44" spans="1:13" x14ac:dyDescent="0.25">
      <c r="A44" t="s">
        <v>3</v>
      </c>
      <c r="B44" s="1">
        <v>40238</v>
      </c>
      <c r="C44" s="7">
        <v>72.395330804655302</v>
      </c>
      <c r="G44" s="5">
        <v>40210</v>
      </c>
      <c r="H44" s="7">
        <v>72.215564692825595</v>
      </c>
      <c r="I44" s="7">
        <v>118.103576670188</v>
      </c>
      <c r="J44" s="7">
        <v>-100.794548850697</v>
      </c>
      <c r="M44" s="7">
        <v>29.841530837438871</v>
      </c>
    </row>
    <row r="45" spans="1:13" x14ac:dyDescent="0.25">
      <c r="A45" t="s">
        <v>3</v>
      </c>
      <c r="B45" s="1">
        <v>40269</v>
      </c>
      <c r="C45" s="7">
        <v>66.735365738503802</v>
      </c>
      <c r="G45" s="5">
        <v>40238</v>
      </c>
      <c r="H45" s="7">
        <v>72.395330804655302</v>
      </c>
      <c r="I45" s="7">
        <v>122.45419772136199</v>
      </c>
      <c r="J45" s="7">
        <v>-95.818319113452702</v>
      </c>
      <c r="M45" s="7">
        <v>33.010403137521536</v>
      </c>
    </row>
    <row r="46" spans="1:13" x14ac:dyDescent="0.25">
      <c r="A46" t="s">
        <v>3</v>
      </c>
      <c r="B46" s="1">
        <v>40299</v>
      </c>
      <c r="C46" s="7">
        <v>53.194128429884202</v>
      </c>
      <c r="G46" s="5">
        <v>40269</v>
      </c>
      <c r="H46" s="7">
        <v>66.735365738503802</v>
      </c>
      <c r="I46" s="7">
        <v>120.626175807924</v>
      </c>
      <c r="J46" s="7">
        <v>-94.491825197565305</v>
      </c>
      <c r="M46" s="7">
        <v>30.956572116287504</v>
      </c>
    </row>
    <row r="47" spans="1:13" x14ac:dyDescent="0.25">
      <c r="A47" t="s">
        <v>3</v>
      </c>
      <c r="B47" s="1">
        <v>40330</v>
      </c>
      <c r="C47" s="7">
        <v>71.856806504369501</v>
      </c>
      <c r="G47" s="5">
        <v>40299</v>
      </c>
      <c r="H47" s="7">
        <v>53.194128429884202</v>
      </c>
      <c r="I47" s="7">
        <v>108.792671357709</v>
      </c>
      <c r="J47" s="7">
        <v>-162.931215400192</v>
      </c>
      <c r="M47" s="7">
        <v>-0.31480520419959629</v>
      </c>
    </row>
    <row r="48" spans="1:13" x14ac:dyDescent="0.25">
      <c r="A48" t="s">
        <v>3</v>
      </c>
      <c r="B48" s="1">
        <v>40360</v>
      </c>
      <c r="C48" s="7">
        <v>86.625901074900597</v>
      </c>
      <c r="G48" s="5">
        <v>40330</v>
      </c>
      <c r="H48" s="7">
        <v>71.856806504369501</v>
      </c>
      <c r="I48" s="7">
        <v>128.43846937767901</v>
      </c>
      <c r="J48" s="7">
        <v>-142.44495579935599</v>
      </c>
      <c r="M48" s="7">
        <v>19.283440027564172</v>
      </c>
    </row>
    <row r="49" spans="1:13" x14ac:dyDescent="0.25">
      <c r="A49" t="s">
        <v>3</v>
      </c>
      <c r="B49" s="1">
        <v>40391</v>
      </c>
      <c r="C49" s="7">
        <v>97.189580396668205</v>
      </c>
      <c r="G49" s="5">
        <v>40360</v>
      </c>
      <c r="H49" s="7">
        <v>86.625901074900597</v>
      </c>
      <c r="I49" s="7">
        <v>146.66022120884</v>
      </c>
      <c r="J49" s="7">
        <v>-126.270125492433</v>
      </c>
      <c r="M49" s="7">
        <v>35.671998930435869</v>
      </c>
    </row>
    <row r="50" spans="1:13" x14ac:dyDescent="0.25">
      <c r="A50" t="s">
        <v>3</v>
      </c>
      <c r="B50" s="1">
        <v>40422</v>
      </c>
      <c r="C50" s="7">
        <v>107.291040402959</v>
      </c>
      <c r="G50" s="5">
        <v>40391</v>
      </c>
      <c r="H50" s="7">
        <v>97.189580396668205</v>
      </c>
      <c r="I50" s="7">
        <v>162.15155344204501</v>
      </c>
      <c r="J50" s="7">
        <v>-112.247056553199</v>
      </c>
      <c r="M50" s="7">
        <v>49.03135909517141</v>
      </c>
    </row>
    <row r="51" spans="1:13" x14ac:dyDescent="0.25">
      <c r="A51" t="s">
        <v>3</v>
      </c>
      <c r="B51" s="1">
        <v>40452</v>
      </c>
      <c r="C51" s="7">
        <v>110.71643784326599</v>
      </c>
      <c r="G51" s="5">
        <v>40422</v>
      </c>
      <c r="H51" s="7">
        <v>107.291040402959</v>
      </c>
      <c r="I51" s="7">
        <v>176.77439745321499</v>
      </c>
      <c r="J51" s="7">
        <v>-101.15171495522</v>
      </c>
      <c r="M51" s="7">
        <v>60.971240966984652</v>
      </c>
    </row>
    <row r="52" spans="1:13" x14ac:dyDescent="0.25">
      <c r="A52" t="s">
        <v>3</v>
      </c>
      <c r="B52" s="1">
        <v>40483</v>
      </c>
      <c r="C52" s="7">
        <v>116.598635465237</v>
      </c>
      <c r="G52" s="5">
        <v>40452</v>
      </c>
      <c r="H52" s="7">
        <v>110.71643784326599</v>
      </c>
      <c r="I52" s="7">
        <v>184.635415809026</v>
      </c>
      <c r="J52" s="7">
        <v>-100.043932644248</v>
      </c>
      <c r="M52" s="7">
        <v>65.102640336014659</v>
      </c>
    </row>
    <row r="53" spans="1:13" x14ac:dyDescent="0.25">
      <c r="A53" t="s">
        <v>3</v>
      </c>
      <c r="B53" s="1">
        <v>40513</v>
      </c>
      <c r="C53" s="7">
        <v>103.825743945</v>
      </c>
      <c r="G53" s="5">
        <v>40483</v>
      </c>
      <c r="H53" s="7">
        <v>116.598635465237</v>
      </c>
      <c r="I53" s="7">
        <v>195.29735558702799</v>
      </c>
      <c r="J53" s="7">
        <v>-92.598990722172402</v>
      </c>
      <c r="M53" s="7">
        <v>73.099000110030872</v>
      </c>
    </row>
    <row r="54" spans="1:13" x14ac:dyDescent="0.25">
      <c r="A54" t="s">
        <v>3</v>
      </c>
      <c r="B54" s="1">
        <v>40544</v>
      </c>
      <c r="C54" s="7">
        <v>58.930172374543801</v>
      </c>
      <c r="G54" s="5">
        <v>40513</v>
      </c>
      <c r="H54" s="7">
        <v>103.825743945</v>
      </c>
      <c r="I54" s="7">
        <v>186.83184749277899</v>
      </c>
      <c r="J54" s="7">
        <v>-102.73808600244</v>
      </c>
      <c r="M54" s="7">
        <v>62.63983514511299</v>
      </c>
    </row>
    <row r="55" spans="1:13" x14ac:dyDescent="0.25">
      <c r="A55" t="s">
        <v>3</v>
      </c>
      <c r="B55" s="1">
        <v>40575</v>
      </c>
      <c r="C55" s="7">
        <v>48.284555839033203</v>
      </c>
      <c r="G55" s="5">
        <v>40544</v>
      </c>
      <c r="H55" s="7">
        <v>58.930172374543801</v>
      </c>
      <c r="I55" s="7">
        <v>31.1170736922918</v>
      </c>
      <c r="J55" s="7">
        <v>-152.617178352595</v>
      </c>
      <c r="M55" s="7">
        <v>-20.856644095253134</v>
      </c>
    </row>
    <row r="56" spans="1:13" x14ac:dyDescent="0.25">
      <c r="A56" t="s">
        <v>3</v>
      </c>
      <c r="B56" s="1">
        <v>40603</v>
      </c>
      <c r="C56" s="7">
        <v>25.268551388663099</v>
      </c>
      <c r="G56" s="5">
        <v>40575</v>
      </c>
      <c r="H56" s="7">
        <v>48.284555839033203</v>
      </c>
      <c r="I56" s="7">
        <v>0.62375249409120104</v>
      </c>
      <c r="J56" s="7">
        <v>-163.31616891635201</v>
      </c>
      <c r="M56" s="7">
        <v>-38.135953527742537</v>
      </c>
    </row>
    <row r="57" spans="1:13" x14ac:dyDescent="0.25">
      <c r="A57" t="s">
        <v>3</v>
      </c>
      <c r="B57" s="1">
        <v>40634</v>
      </c>
      <c r="C57" s="7">
        <v>36.265571993554303</v>
      </c>
      <c r="G57" s="5">
        <v>40603</v>
      </c>
      <c r="H57" s="7">
        <v>25.268551388663099</v>
      </c>
      <c r="I57" s="7">
        <v>-36.848388533538497</v>
      </c>
      <c r="J57" s="7">
        <v>-188.44933960162001</v>
      </c>
      <c r="M57" s="7">
        <v>-66.676392248831803</v>
      </c>
    </row>
    <row r="58" spans="1:13" x14ac:dyDescent="0.25">
      <c r="A58" t="s">
        <v>3</v>
      </c>
      <c r="B58" s="1">
        <v>40664</v>
      </c>
      <c r="C58" s="7">
        <v>36.042354654255298</v>
      </c>
      <c r="G58" s="5">
        <v>40634</v>
      </c>
      <c r="H58" s="7">
        <v>36.265571993554303</v>
      </c>
      <c r="I58" s="7">
        <v>-22.394429498140799</v>
      </c>
      <c r="J58" s="7">
        <v>-180.12814604326701</v>
      </c>
      <c r="M58" s="7">
        <v>-55.419001182617841</v>
      </c>
    </row>
    <row r="59" spans="1:13" x14ac:dyDescent="0.25">
      <c r="A59" t="s">
        <v>3</v>
      </c>
      <c r="B59" s="1">
        <v>40695</v>
      </c>
      <c r="C59" s="7">
        <v>55.694841943456403</v>
      </c>
      <c r="G59" s="5">
        <v>40664</v>
      </c>
      <c r="H59" s="7">
        <v>36.042354654255298</v>
      </c>
      <c r="I59" s="7">
        <v>-15.351623509260699</v>
      </c>
      <c r="J59" s="7">
        <v>-179.89422492672699</v>
      </c>
      <c r="M59" s="7">
        <v>-53.067831260577464</v>
      </c>
    </row>
    <row r="60" spans="1:13" x14ac:dyDescent="0.25">
      <c r="A60" t="s">
        <v>3</v>
      </c>
      <c r="B60" s="1">
        <v>40725</v>
      </c>
      <c r="C60" s="7">
        <v>67.805388796156706</v>
      </c>
      <c r="G60" s="5">
        <v>40695</v>
      </c>
      <c r="H60" s="7">
        <v>55.694841943456403</v>
      </c>
      <c r="I60" s="7">
        <v>10.8319583466634</v>
      </c>
      <c r="J60" s="7">
        <v>-159.84040042960399</v>
      </c>
      <c r="M60" s="7">
        <v>-31.104533379828059</v>
      </c>
    </row>
    <row r="61" spans="1:13" x14ac:dyDescent="0.25">
      <c r="A61" t="s">
        <v>3</v>
      </c>
      <c r="B61" s="1">
        <v>40756</v>
      </c>
      <c r="C61" s="7">
        <v>64.172004589599496</v>
      </c>
      <c r="G61" s="5">
        <v>40725</v>
      </c>
      <c r="H61" s="7">
        <v>67.805388796156706</v>
      </c>
      <c r="I61" s="7">
        <v>28.540340906475699</v>
      </c>
      <c r="J61" s="7">
        <v>-146.94518042739199</v>
      </c>
      <c r="M61" s="7">
        <v>-16.866483574919858</v>
      </c>
    </row>
    <row r="62" spans="1:13" x14ac:dyDescent="0.25">
      <c r="A62" t="s">
        <v>3</v>
      </c>
      <c r="B62" s="1">
        <v>40787</v>
      </c>
      <c r="C62" s="7">
        <v>91.861907916415106</v>
      </c>
      <c r="G62" s="5">
        <v>40756</v>
      </c>
      <c r="H62" s="7">
        <v>64.172004589599496</v>
      </c>
      <c r="I62" s="7">
        <v>26.448881474707999</v>
      </c>
      <c r="J62" s="7">
        <v>-121.318314329172</v>
      </c>
      <c r="M62" s="7">
        <v>-10.232476088288166</v>
      </c>
    </row>
    <row r="63" spans="1:13" x14ac:dyDescent="0.25">
      <c r="A63" t="s">
        <v>3</v>
      </c>
      <c r="B63" s="1">
        <v>40817</v>
      </c>
      <c r="C63" s="7">
        <v>108.107907115438</v>
      </c>
      <c r="G63" s="5">
        <v>40787</v>
      </c>
      <c r="H63" s="7">
        <v>91.861907916415106</v>
      </c>
      <c r="I63" s="7">
        <v>54.738536677073498</v>
      </c>
      <c r="J63" s="7">
        <v>-93.776439673627195</v>
      </c>
      <c r="M63" s="7">
        <v>17.608001639953798</v>
      </c>
    </row>
    <row r="64" spans="1:13" x14ac:dyDescent="0.25">
      <c r="A64" t="s">
        <v>3</v>
      </c>
      <c r="B64" s="1">
        <v>40848</v>
      </c>
      <c r="C64" s="7">
        <v>103.987140453447</v>
      </c>
      <c r="G64" s="5">
        <v>40817</v>
      </c>
      <c r="H64" s="7">
        <v>108.107907115438</v>
      </c>
      <c r="I64" s="7">
        <v>67.218470023160705</v>
      </c>
      <c r="J64" s="7">
        <v>-76.186866662199293</v>
      </c>
      <c r="M64" s="7">
        <v>33.046503492133134</v>
      </c>
    </row>
    <row r="65" spans="1:13" x14ac:dyDescent="0.25">
      <c r="A65" t="s">
        <v>3</v>
      </c>
      <c r="B65" s="1">
        <v>40878</v>
      </c>
      <c r="C65" s="7">
        <v>111.194039631793</v>
      </c>
      <c r="G65" s="5">
        <v>40848</v>
      </c>
      <c r="H65" s="7">
        <v>103.987140453447</v>
      </c>
      <c r="I65" s="7">
        <v>56.258708691401303</v>
      </c>
      <c r="J65" s="7">
        <v>-79.6290195717404</v>
      </c>
      <c r="M65" s="7">
        <v>26.872276524369301</v>
      </c>
    </row>
    <row r="66" spans="1:13" x14ac:dyDescent="0.25">
      <c r="A66" t="s">
        <v>3</v>
      </c>
      <c r="B66" s="1">
        <v>40909</v>
      </c>
      <c r="C66" s="7">
        <v>113.673604998613</v>
      </c>
      <c r="G66" s="5">
        <v>40878</v>
      </c>
      <c r="H66" s="7">
        <v>111.194039631793</v>
      </c>
      <c r="I66" s="7">
        <v>56.419161572394898</v>
      </c>
      <c r="J66" s="7">
        <v>-71.546478240183902</v>
      </c>
      <c r="M66" s="7">
        <v>32.022240988001336</v>
      </c>
    </row>
    <row r="67" spans="1:13" x14ac:dyDescent="0.25">
      <c r="A67" t="s">
        <v>3</v>
      </c>
      <c r="B67" s="1">
        <v>40940</v>
      </c>
      <c r="C67" s="7">
        <v>113.66505341430501</v>
      </c>
      <c r="G67" s="5">
        <v>40909</v>
      </c>
      <c r="H67" s="7">
        <v>113.673604998613</v>
      </c>
      <c r="I67" s="7">
        <v>60.235652548996903</v>
      </c>
      <c r="J67" s="7">
        <v>-68.7398955888399</v>
      </c>
      <c r="M67" s="7">
        <v>35.05645398625667</v>
      </c>
    </row>
    <row r="68" spans="1:13" x14ac:dyDescent="0.25">
      <c r="A68" t="s">
        <v>3</v>
      </c>
      <c r="B68" s="1">
        <v>40969</v>
      </c>
      <c r="C68" s="7">
        <v>111.501442960943</v>
      </c>
      <c r="G68" s="5">
        <v>40940</v>
      </c>
      <c r="H68" s="7">
        <v>113.66505341430501</v>
      </c>
      <c r="I68" s="7">
        <v>56.157707734798898</v>
      </c>
      <c r="J68" s="7">
        <v>-70.039212433835203</v>
      </c>
      <c r="M68" s="7">
        <v>33.261182905089569</v>
      </c>
    </row>
    <row r="69" spans="1:13" x14ac:dyDescent="0.25">
      <c r="A69" t="s">
        <v>3</v>
      </c>
      <c r="B69" s="1">
        <v>41000</v>
      </c>
      <c r="C69" s="7">
        <v>104.888651890571</v>
      </c>
      <c r="G69" s="5">
        <v>40969</v>
      </c>
      <c r="H69" s="7">
        <v>111.501442960943</v>
      </c>
      <c r="I69" s="7">
        <v>52.451096771777003</v>
      </c>
      <c r="J69" s="7">
        <v>-97.742811932843907</v>
      </c>
      <c r="M69" s="7">
        <v>22.069909266625363</v>
      </c>
    </row>
    <row r="70" spans="1:13" x14ac:dyDescent="0.25">
      <c r="A70" t="s">
        <v>3</v>
      </c>
      <c r="B70" s="1">
        <v>41030</v>
      </c>
      <c r="C70" s="7">
        <v>112.01698695002401</v>
      </c>
      <c r="G70" s="5">
        <v>41000</v>
      </c>
      <c r="H70" s="7">
        <v>104.888651890571</v>
      </c>
      <c r="I70" s="7">
        <v>42.047060990373403</v>
      </c>
      <c r="J70" s="7">
        <v>-114.596270848274</v>
      </c>
      <c r="M70" s="7">
        <v>10.779814010890135</v>
      </c>
    </row>
    <row r="71" spans="1:13" x14ac:dyDescent="0.25">
      <c r="A71" t="s">
        <v>3</v>
      </c>
      <c r="B71" s="1">
        <v>41061</v>
      </c>
      <c r="C71" s="7">
        <v>122.467487072567</v>
      </c>
      <c r="G71" s="5">
        <v>41030</v>
      </c>
      <c r="H71" s="7">
        <v>112.01698695002401</v>
      </c>
      <c r="I71" s="7">
        <v>46.925892680173497</v>
      </c>
      <c r="J71" s="7">
        <v>-113.140194551834</v>
      </c>
      <c r="M71" s="7">
        <v>15.267561692787831</v>
      </c>
    </row>
    <row r="72" spans="1:13" x14ac:dyDescent="0.25">
      <c r="A72" t="s">
        <v>3</v>
      </c>
      <c r="B72" s="1">
        <v>41091</v>
      </c>
      <c r="C72" s="7">
        <v>133.144536677188</v>
      </c>
      <c r="G72" s="5">
        <v>41061</v>
      </c>
      <c r="H72" s="7">
        <v>122.467487072567</v>
      </c>
      <c r="I72" s="7">
        <v>55.818706938177399</v>
      </c>
      <c r="J72" s="7">
        <v>-106.891274020472</v>
      </c>
      <c r="M72" s="7">
        <v>23.798306663424132</v>
      </c>
    </row>
    <row r="73" spans="1:13" x14ac:dyDescent="0.25">
      <c r="A73" t="s">
        <v>3</v>
      </c>
      <c r="B73" s="1">
        <v>41122</v>
      </c>
      <c r="C73" s="7">
        <v>142.729528354732</v>
      </c>
      <c r="G73" s="5">
        <v>41091</v>
      </c>
      <c r="H73" s="7">
        <v>133.144536677188</v>
      </c>
      <c r="I73" s="7">
        <v>68.122170929788993</v>
      </c>
      <c r="J73" s="7">
        <v>-100.139962636495</v>
      </c>
      <c r="K73" s="7">
        <v>-142.078371120138</v>
      </c>
      <c r="M73" s="7">
        <v>-10.237906537414005</v>
      </c>
    </row>
    <row r="74" spans="1:13" x14ac:dyDescent="0.25">
      <c r="A74" t="s">
        <v>3</v>
      </c>
      <c r="B74" s="1">
        <v>41153</v>
      </c>
      <c r="C74" s="7">
        <v>136.24187503477401</v>
      </c>
      <c r="G74" s="5">
        <v>41122</v>
      </c>
      <c r="H74" s="7">
        <v>142.729528354732</v>
      </c>
      <c r="I74" s="7">
        <v>79.096357472130407</v>
      </c>
      <c r="J74" s="7">
        <v>-93.325601790406495</v>
      </c>
      <c r="K74" s="7">
        <v>-133.24023173531401</v>
      </c>
      <c r="M74" s="7">
        <v>-1.1849869247145222</v>
      </c>
    </row>
    <row r="75" spans="1:13" x14ac:dyDescent="0.25">
      <c r="A75" t="s">
        <v>3</v>
      </c>
      <c r="B75" s="1">
        <v>41183</v>
      </c>
      <c r="C75" s="7">
        <v>143.48354093714801</v>
      </c>
      <c r="G75" s="5">
        <v>41153</v>
      </c>
      <c r="H75" s="7">
        <v>136.24187503477401</v>
      </c>
      <c r="I75" s="7">
        <v>74.165060436425406</v>
      </c>
      <c r="J75" s="7">
        <v>-100.49552467072</v>
      </c>
      <c r="K75" s="7">
        <v>-139.16918260806699</v>
      </c>
      <c r="M75" s="7">
        <v>-7.314442951896897</v>
      </c>
    </row>
    <row r="76" spans="1:13" x14ac:dyDescent="0.25">
      <c r="A76" t="s">
        <v>3</v>
      </c>
      <c r="B76" s="1">
        <v>41214</v>
      </c>
      <c r="C76" s="7">
        <v>148.56876656578299</v>
      </c>
      <c r="G76" s="5">
        <v>41183</v>
      </c>
      <c r="H76" s="7">
        <v>143.48354093714801</v>
      </c>
      <c r="I76" s="7">
        <v>78.7806952465709</v>
      </c>
      <c r="J76" s="7">
        <v>-93.659558699570795</v>
      </c>
      <c r="K76" s="7">
        <v>-131.52255480477999</v>
      </c>
      <c r="M76" s="7">
        <v>-0.72946933015796844</v>
      </c>
    </row>
    <row r="77" spans="1:13" x14ac:dyDescent="0.25">
      <c r="A77" t="s">
        <v>3</v>
      </c>
      <c r="B77" s="1">
        <v>41244</v>
      </c>
      <c r="C77" s="7">
        <v>145.57560632642199</v>
      </c>
      <c r="G77" s="5">
        <v>41214</v>
      </c>
      <c r="H77" s="7">
        <v>148.56876656578299</v>
      </c>
      <c r="I77" s="7">
        <v>81.983188409534904</v>
      </c>
      <c r="J77" s="7">
        <v>-86.743330865464102</v>
      </c>
      <c r="K77" s="7">
        <v>-124.367964398464</v>
      </c>
      <c r="M77" s="7">
        <v>4.8601649278474461</v>
      </c>
    </row>
    <row r="78" spans="1:13" x14ac:dyDescent="0.25">
      <c r="A78" t="s">
        <v>3</v>
      </c>
      <c r="B78" s="1">
        <v>41275</v>
      </c>
      <c r="C78" s="7">
        <v>143.321122358163</v>
      </c>
      <c r="G78" s="5">
        <v>41244</v>
      </c>
      <c r="H78" s="7">
        <v>145.57560632642199</v>
      </c>
      <c r="I78" s="7">
        <v>77.372775034769205</v>
      </c>
      <c r="J78" s="7">
        <v>-87.977590508037096</v>
      </c>
      <c r="K78" s="7">
        <v>-124.61699437334001</v>
      </c>
      <c r="M78" s="7">
        <v>2.5884491199535198</v>
      </c>
    </row>
    <row r="79" spans="1:13" x14ac:dyDescent="0.25">
      <c r="A79" t="s">
        <v>3</v>
      </c>
      <c r="B79" s="1">
        <v>41306</v>
      </c>
      <c r="C79" s="7">
        <v>132.08348079640299</v>
      </c>
      <c r="G79" s="5">
        <v>41275</v>
      </c>
      <c r="H79" s="7">
        <v>143.321122358163</v>
      </c>
      <c r="I79" s="7">
        <v>75.871959936024894</v>
      </c>
      <c r="J79" s="7">
        <v>-88.013225433454096</v>
      </c>
      <c r="K79" s="7">
        <v>-126.019882103846</v>
      </c>
      <c r="M79" s="7">
        <v>1.2899936892219479</v>
      </c>
    </row>
    <row r="80" spans="1:13" x14ac:dyDescent="0.25">
      <c r="A80" t="s">
        <v>3</v>
      </c>
      <c r="B80" s="1">
        <v>41334</v>
      </c>
      <c r="C80" s="7">
        <v>113.377907402516</v>
      </c>
      <c r="G80" s="5">
        <v>41306</v>
      </c>
      <c r="H80" s="7">
        <v>132.08348079640299</v>
      </c>
      <c r="I80" s="7">
        <v>63.622208242827497</v>
      </c>
      <c r="J80" s="7">
        <v>-96.213708872485995</v>
      </c>
      <c r="K80" s="7">
        <v>-135.38000668457201</v>
      </c>
      <c r="M80" s="7">
        <v>-8.9720066294568781</v>
      </c>
    </row>
    <row r="81" spans="1:13" x14ac:dyDescent="0.25">
      <c r="A81" t="s">
        <v>3</v>
      </c>
      <c r="B81" s="1">
        <v>41365</v>
      </c>
      <c r="C81" s="7">
        <v>107.538045847387</v>
      </c>
      <c r="G81" s="5">
        <v>41334</v>
      </c>
      <c r="H81" s="7">
        <v>113.377907402516</v>
      </c>
      <c r="I81" s="7">
        <v>45.137277361899201</v>
      </c>
      <c r="J81" s="7">
        <v>-111.245612784985</v>
      </c>
      <c r="K81" s="7">
        <v>-151.93995731642599</v>
      </c>
      <c r="M81" s="7">
        <v>-26.167596334248945</v>
      </c>
    </row>
    <row r="82" spans="1:13" x14ac:dyDescent="0.25">
      <c r="A82" t="s">
        <v>3</v>
      </c>
      <c r="B82" s="1">
        <v>41395</v>
      </c>
      <c r="C82" s="7">
        <v>116.22162424637899</v>
      </c>
      <c r="G82" s="5">
        <v>41365</v>
      </c>
      <c r="H82" s="7">
        <v>107.538045847387</v>
      </c>
      <c r="I82" s="7">
        <v>40.3745588056941</v>
      </c>
      <c r="J82" s="7">
        <v>-110.290219812676</v>
      </c>
      <c r="K82" s="7">
        <v>-156.643793433399</v>
      </c>
      <c r="M82" s="7">
        <v>-29.755352148248473</v>
      </c>
    </row>
    <row r="83" spans="1:13" x14ac:dyDescent="0.25">
      <c r="A83" t="s">
        <v>3</v>
      </c>
      <c r="B83" s="1">
        <v>41426</v>
      </c>
      <c r="C83" s="7">
        <v>106.164162915937</v>
      </c>
      <c r="G83" s="5">
        <v>41395</v>
      </c>
      <c r="H83" s="7">
        <v>116.22162424637899</v>
      </c>
      <c r="I83" s="7">
        <v>51.835843078706901</v>
      </c>
      <c r="J83" s="7">
        <v>-96.531417475033805</v>
      </c>
      <c r="K83" s="7">
        <v>-147.14089196368201</v>
      </c>
      <c r="M83" s="7">
        <v>-18.90371052840748</v>
      </c>
    </row>
    <row r="84" spans="1:13" x14ac:dyDescent="0.25">
      <c r="A84" t="s">
        <v>3</v>
      </c>
      <c r="B84" s="1">
        <v>41456</v>
      </c>
      <c r="C84" s="7">
        <v>47.881899508936002</v>
      </c>
      <c r="G84" s="5">
        <v>41426</v>
      </c>
      <c r="H84" s="7">
        <v>106.164162915937</v>
      </c>
      <c r="I84" s="7">
        <v>42.910061617331301</v>
      </c>
      <c r="J84" s="7">
        <v>-98.387497677106296</v>
      </c>
      <c r="K84" s="7">
        <v>-155.60824224974101</v>
      </c>
      <c r="M84" s="7">
        <v>-26.23037884839475</v>
      </c>
    </row>
    <row r="85" spans="1:13" x14ac:dyDescent="0.25">
      <c r="A85" t="s">
        <v>3</v>
      </c>
      <c r="B85" s="1">
        <v>41487</v>
      </c>
      <c r="C85" s="7">
        <v>13.9175198029209</v>
      </c>
      <c r="G85" s="5">
        <v>41456</v>
      </c>
      <c r="H85" s="7">
        <v>47.881899508936002</v>
      </c>
      <c r="I85" s="7">
        <v>-13.332059931106899</v>
      </c>
      <c r="J85" s="7">
        <v>-149.46169984341299</v>
      </c>
      <c r="K85" s="7">
        <v>-210.33492639561899</v>
      </c>
      <c r="M85" s="7">
        <v>-81.311696665300715</v>
      </c>
    </row>
    <row r="86" spans="1:13" x14ac:dyDescent="0.25">
      <c r="A86" t="s">
        <v>3</v>
      </c>
      <c r="B86" s="1">
        <v>41518</v>
      </c>
      <c r="C86" s="7">
        <v>1.77158069046327</v>
      </c>
      <c r="G86" s="5">
        <v>41487</v>
      </c>
      <c r="H86" s="7">
        <v>13.9175198029209</v>
      </c>
      <c r="I86" s="7">
        <v>-44.078004716314901</v>
      </c>
      <c r="J86" s="7">
        <v>-198.690961083437</v>
      </c>
      <c r="K86" s="7">
        <v>-272.76573344250801</v>
      </c>
      <c r="M86" s="7">
        <v>-125.40429485983475</v>
      </c>
    </row>
    <row r="87" spans="1:13" x14ac:dyDescent="0.25">
      <c r="A87" t="s">
        <v>3</v>
      </c>
      <c r="B87" s="1">
        <v>41548</v>
      </c>
      <c r="C87" s="7">
        <v>-2.3353759330509498</v>
      </c>
      <c r="G87" s="5">
        <v>41518</v>
      </c>
      <c r="H87" s="7">
        <v>1.77158069046327</v>
      </c>
      <c r="I87" s="7">
        <v>-53.286578507747002</v>
      </c>
      <c r="J87" s="7">
        <v>-203.15536491588199</v>
      </c>
      <c r="K87" s="7">
        <v>-282.09694618045398</v>
      </c>
      <c r="M87" s="7">
        <v>-134.19182722840492</v>
      </c>
    </row>
    <row r="88" spans="1:13" x14ac:dyDescent="0.25">
      <c r="A88" t="s">
        <v>3</v>
      </c>
      <c r="B88" s="1">
        <v>41579</v>
      </c>
      <c r="C88" s="7">
        <v>25.903838322683999</v>
      </c>
      <c r="G88" s="5">
        <v>41548</v>
      </c>
      <c r="H88" s="7">
        <v>-2.3353759330509498</v>
      </c>
      <c r="I88" s="7">
        <v>-53.915853181019699</v>
      </c>
      <c r="J88" s="7">
        <v>-204.87946544738099</v>
      </c>
      <c r="K88" s="7">
        <v>-283.23348391039099</v>
      </c>
      <c r="M88" s="7">
        <v>-136.09104461796068</v>
      </c>
    </row>
    <row r="89" spans="1:13" x14ac:dyDescent="0.25">
      <c r="A89" t="s">
        <v>3</v>
      </c>
      <c r="B89" s="1">
        <v>41609</v>
      </c>
      <c r="C89" s="7">
        <v>15.2918565843443</v>
      </c>
      <c r="G89" s="5">
        <v>41579</v>
      </c>
      <c r="H89" s="7">
        <v>25.903838322683999</v>
      </c>
      <c r="I89" s="7">
        <v>-22.643412176103102</v>
      </c>
      <c r="J89" s="7">
        <v>-174.137763319241</v>
      </c>
      <c r="K89" s="7">
        <v>-252.48439527586601</v>
      </c>
      <c r="M89" s="7">
        <v>-105.84043311213154</v>
      </c>
    </row>
    <row r="90" spans="1:13" x14ac:dyDescent="0.25">
      <c r="A90" t="s">
        <v>3</v>
      </c>
      <c r="B90" s="1">
        <v>41640</v>
      </c>
      <c r="C90" s="7">
        <v>-3.9483233444763499</v>
      </c>
      <c r="G90" s="5">
        <v>41609</v>
      </c>
      <c r="H90" s="7">
        <v>15.2918565843443</v>
      </c>
      <c r="I90" s="7">
        <v>-29.687086323446898</v>
      </c>
      <c r="J90" s="7">
        <v>-181.315420793025</v>
      </c>
      <c r="K90" s="7">
        <v>-258.121787056789</v>
      </c>
      <c r="M90" s="7">
        <v>-113.45810939722915</v>
      </c>
    </row>
    <row r="91" spans="1:13" x14ac:dyDescent="0.25">
      <c r="A91" t="s">
        <v>3</v>
      </c>
      <c r="B91" s="1">
        <v>41671</v>
      </c>
      <c r="C91" s="7">
        <v>-4.11004907382081</v>
      </c>
      <c r="G91" s="5">
        <v>41640</v>
      </c>
      <c r="H91" s="7">
        <v>-3.9483233444763499</v>
      </c>
      <c r="I91" s="7">
        <v>-46.046191522867602</v>
      </c>
      <c r="J91" s="7">
        <v>-197.34233365688601</v>
      </c>
      <c r="K91" s="7">
        <v>-275.74463100096602</v>
      </c>
      <c r="M91" s="7">
        <v>-130.77036988129899</v>
      </c>
    </row>
    <row r="92" spans="1:13" x14ac:dyDescent="0.25">
      <c r="A92" t="s">
        <v>3</v>
      </c>
      <c r="B92" s="1">
        <v>41699</v>
      </c>
      <c r="C92" s="7">
        <v>8.6713164626782202</v>
      </c>
      <c r="G92" s="5">
        <v>41671</v>
      </c>
      <c r="H92" s="7">
        <v>-4.11004907382081</v>
      </c>
      <c r="I92" s="7">
        <v>-44.174320815445199</v>
      </c>
      <c r="J92" s="7">
        <v>-194.33894976034401</v>
      </c>
      <c r="K92" s="7">
        <v>-274.159595906395</v>
      </c>
      <c r="M92" s="7">
        <v>-129.19572888900126</v>
      </c>
    </row>
    <row r="93" spans="1:13" x14ac:dyDescent="0.25">
      <c r="A93" t="s">
        <v>3</v>
      </c>
      <c r="B93" s="1">
        <v>41730</v>
      </c>
      <c r="C93" s="7">
        <v>7.9812186646337802</v>
      </c>
      <c r="G93" s="5">
        <v>41699</v>
      </c>
      <c r="H93" s="7">
        <v>8.6713164626782202</v>
      </c>
      <c r="I93" s="7">
        <v>-30.047274651576501</v>
      </c>
      <c r="J93" s="7">
        <v>-178.48692990154601</v>
      </c>
      <c r="K93" s="7">
        <v>-259.86501646436102</v>
      </c>
      <c r="M93" s="7">
        <v>-114.93197613870133</v>
      </c>
    </row>
    <row r="94" spans="1:13" x14ac:dyDescent="0.25">
      <c r="A94" t="s">
        <v>3</v>
      </c>
      <c r="B94" s="1">
        <v>41760</v>
      </c>
      <c r="C94" s="7">
        <v>9.5280612487447396</v>
      </c>
      <c r="G94" s="5">
        <v>41730</v>
      </c>
      <c r="H94" s="7">
        <v>7.9812186646337802</v>
      </c>
      <c r="I94" s="7">
        <v>-29.199120093201401</v>
      </c>
      <c r="J94" s="7">
        <v>-175.941401795275</v>
      </c>
      <c r="K94" s="7">
        <v>-260.84261917682198</v>
      </c>
      <c r="M94" s="7">
        <v>-114.50048060016616</v>
      </c>
    </row>
    <row r="95" spans="1:13" x14ac:dyDescent="0.25">
      <c r="A95" t="s">
        <v>3</v>
      </c>
      <c r="B95" s="1">
        <v>41791</v>
      </c>
      <c r="C95" s="7">
        <v>28.4837199826753</v>
      </c>
      <c r="G95" s="5">
        <v>41760</v>
      </c>
      <c r="H95" s="7">
        <v>9.5280612487447396</v>
      </c>
      <c r="I95" s="7">
        <v>-27.261819392597499</v>
      </c>
      <c r="J95" s="7">
        <v>-168.61203152057601</v>
      </c>
      <c r="K95" s="7">
        <v>-261.37617055120398</v>
      </c>
      <c r="M95" s="7">
        <v>-111.93049005390819</v>
      </c>
    </row>
    <row r="96" spans="1:13" x14ac:dyDescent="0.25">
      <c r="A96" t="s">
        <v>3</v>
      </c>
      <c r="B96" s="1">
        <v>41821</v>
      </c>
      <c r="C96" s="7">
        <v>30.052774324541701</v>
      </c>
      <c r="G96" s="5">
        <v>41791</v>
      </c>
      <c r="H96" s="7">
        <v>28.4837199826753</v>
      </c>
      <c r="I96" s="7">
        <v>-6.96621818879537</v>
      </c>
      <c r="J96" s="7">
        <v>-142.38210393666901</v>
      </c>
      <c r="K96" s="7">
        <v>-241.94204596977801</v>
      </c>
      <c r="M96" s="7">
        <v>-90.701662028141769</v>
      </c>
    </row>
    <row r="97" spans="1:13" x14ac:dyDescent="0.25">
      <c r="A97" t="s">
        <v>3</v>
      </c>
      <c r="B97" s="1">
        <v>41852</v>
      </c>
      <c r="C97" s="7">
        <v>31.702861375784298</v>
      </c>
      <c r="G97" s="5">
        <v>41821</v>
      </c>
      <c r="H97" s="7">
        <v>30.052774324541701</v>
      </c>
      <c r="I97" s="7">
        <v>-4.2849061620112598</v>
      </c>
      <c r="J97" s="7">
        <v>-137.28814372224801</v>
      </c>
      <c r="K97" s="7">
        <v>-238.98042170208399</v>
      </c>
      <c r="M97" s="7">
        <v>-87.62517431545038</v>
      </c>
    </row>
    <row r="98" spans="1:13" x14ac:dyDescent="0.25">
      <c r="A98" t="s">
        <v>3</v>
      </c>
      <c r="B98" s="1">
        <v>41883</v>
      </c>
      <c r="C98" s="7">
        <v>33.203187195483402</v>
      </c>
      <c r="G98" s="5">
        <v>41852</v>
      </c>
      <c r="H98" s="7">
        <v>31.702861375784298</v>
      </c>
      <c r="I98" s="7">
        <v>-1.4995538246549101</v>
      </c>
      <c r="J98" s="7">
        <v>-131.98744482244001</v>
      </c>
      <c r="K98" s="7">
        <v>-235.67975334308099</v>
      </c>
      <c r="M98" s="7">
        <v>-84.365972653597908</v>
      </c>
    </row>
    <row r="99" spans="1:13" x14ac:dyDescent="0.25">
      <c r="A99" t="s">
        <v>3</v>
      </c>
      <c r="B99" s="1">
        <v>41913</v>
      </c>
      <c r="C99" s="7">
        <v>29.2807065487717</v>
      </c>
      <c r="G99" s="5">
        <v>41883</v>
      </c>
      <c r="H99" s="7">
        <v>33.203187195483402</v>
      </c>
      <c r="I99" s="7">
        <v>1.5983485434556599</v>
      </c>
      <c r="J99" s="7">
        <v>-126.607168182151</v>
      </c>
      <c r="K99" s="7">
        <v>-232.23468390435099</v>
      </c>
      <c r="M99" s="7">
        <v>-81.010079086890727</v>
      </c>
    </row>
    <row r="100" spans="1:13" x14ac:dyDescent="0.25">
      <c r="A100" t="s">
        <v>3</v>
      </c>
      <c r="B100" s="1">
        <v>41944</v>
      </c>
      <c r="C100" s="7">
        <v>41.249374008375398</v>
      </c>
      <c r="G100" s="5">
        <v>41913</v>
      </c>
      <c r="H100" s="7">
        <v>29.2807065487717</v>
      </c>
      <c r="I100" s="7">
        <v>-0.50057698509172499</v>
      </c>
      <c r="J100" s="7">
        <v>-128.74987432198199</v>
      </c>
      <c r="K100" s="7">
        <v>-234.51235811580599</v>
      </c>
      <c r="M100" s="7">
        <v>-83.620525718527006</v>
      </c>
    </row>
    <row r="101" spans="1:13" x14ac:dyDescent="0.25">
      <c r="A101" t="s">
        <v>3</v>
      </c>
      <c r="B101" s="1">
        <v>41974</v>
      </c>
      <c r="C101" s="7">
        <v>43.4879589768315</v>
      </c>
      <c r="G101" s="5">
        <v>41944</v>
      </c>
      <c r="H101" s="7">
        <v>41.249374008375398</v>
      </c>
      <c r="I101" s="7">
        <v>12.399359023217199</v>
      </c>
      <c r="J101" s="7">
        <v>-114.85659585177</v>
      </c>
      <c r="K101" s="7">
        <v>-220.66327730984801</v>
      </c>
      <c r="M101" s="7">
        <v>-70.467785032506356</v>
      </c>
    </row>
    <row r="102" spans="1:13" x14ac:dyDescent="0.25">
      <c r="A102" t="s">
        <v>3</v>
      </c>
      <c r="B102" s="1">
        <v>42005</v>
      </c>
      <c r="C102" s="7">
        <v>58.2564646023432</v>
      </c>
      <c r="G102" s="5">
        <v>41974</v>
      </c>
      <c r="H102" s="7">
        <v>43.4879589768315</v>
      </c>
      <c r="I102" s="7">
        <v>15.616415098372901</v>
      </c>
      <c r="J102" s="7">
        <v>-110.80000876517001</v>
      </c>
      <c r="K102" s="7">
        <v>-216.59199712386501</v>
      </c>
      <c r="M102" s="7">
        <v>-67.071907953457654</v>
      </c>
    </row>
    <row r="103" spans="1:13" x14ac:dyDescent="0.25">
      <c r="A103" t="s">
        <v>3</v>
      </c>
      <c r="B103" s="1">
        <v>42036</v>
      </c>
      <c r="C103" s="7">
        <v>75.275498342510701</v>
      </c>
      <c r="G103" s="5">
        <v>42005</v>
      </c>
      <c r="H103" s="7">
        <v>58.2564646023432</v>
      </c>
      <c r="I103" s="7">
        <v>29.390602076154799</v>
      </c>
      <c r="J103" s="7">
        <v>-90.656865239700096</v>
      </c>
      <c r="K103" s="7">
        <v>-202.575032987388</v>
      </c>
      <c r="M103" s="7">
        <v>-51.396207887147526</v>
      </c>
    </row>
    <row r="104" spans="1:13" x14ac:dyDescent="0.25">
      <c r="A104" t="s">
        <v>3</v>
      </c>
      <c r="B104" s="1">
        <v>42064</v>
      </c>
      <c r="C104" s="7">
        <v>70.330950332565806</v>
      </c>
      <c r="G104" s="5">
        <v>42036</v>
      </c>
      <c r="H104" s="7">
        <v>75.275498342510701</v>
      </c>
      <c r="I104" s="7">
        <v>47.3405024785772</v>
      </c>
      <c r="J104" s="7">
        <v>-70.870406476145007</v>
      </c>
      <c r="K104" s="7">
        <v>-183.205626282981</v>
      </c>
      <c r="M104" s="7">
        <v>-32.865007984509525</v>
      </c>
    </row>
    <row r="105" spans="1:13" x14ac:dyDescent="0.25">
      <c r="A105" t="s">
        <v>3</v>
      </c>
      <c r="B105" s="1">
        <v>42095</v>
      </c>
      <c r="C105" s="7">
        <v>65.547939278722694</v>
      </c>
      <c r="G105" s="5">
        <v>42064</v>
      </c>
      <c r="H105" s="7">
        <v>70.330950332565806</v>
      </c>
      <c r="I105" s="7">
        <v>42.618668182878302</v>
      </c>
      <c r="J105" s="7">
        <v>-72.637260094452003</v>
      </c>
      <c r="K105" s="7">
        <v>-185.562968644954</v>
      </c>
      <c r="M105" s="7">
        <v>-36.312652555990468</v>
      </c>
    </row>
    <row r="106" spans="1:13" x14ac:dyDescent="0.25">
      <c r="A106" t="s">
        <v>3</v>
      </c>
      <c r="B106" s="1">
        <v>42125</v>
      </c>
      <c r="C106" s="7">
        <v>74.219782018652893</v>
      </c>
      <c r="G106" s="5">
        <v>42095</v>
      </c>
      <c r="H106" s="7">
        <v>65.547939278722694</v>
      </c>
      <c r="I106" s="7">
        <v>36.8596408774727</v>
      </c>
      <c r="J106" s="7">
        <v>-68.711562827176905</v>
      </c>
      <c r="K106" s="7">
        <v>-187.72622952096501</v>
      </c>
      <c r="M106" s="7">
        <v>-38.507553047986633</v>
      </c>
    </row>
    <row r="107" spans="1:13" x14ac:dyDescent="0.25">
      <c r="A107" t="s">
        <v>3</v>
      </c>
      <c r="B107" s="1">
        <v>42156</v>
      </c>
      <c r="C107" s="7">
        <v>56.749431661339699</v>
      </c>
      <c r="G107" s="5">
        <v>42125</v>
      </c>
      <c r="H107" s="7">
        <v>74.219782018652893</v>
      </c>
      <c r="I107" s="7">
        <v>45.063800760938697</v>
      </c>
      <c r="J107" s="7">
        <v>-50.524846771396597</v>
      </c>
      <c r="K107" s="7">
        <v>-175.01884349706799</v>
      </c>
      <c r="M107" s="7">
        <v>-26.565026872218247</v>
      </c>
    </row>
    <row r="108" spans="1:13" x14ac:dyDescent="0.25">
      <c r="A108" t="s">
        <v>3</v>
      </c>
      <c r="B108" s="1">
        <v>42186</v>
      </c>
      <c r="C108" s="7">
        <v>40.592262832287702</v>
      </c>
      <c r="G108" s="5">
        <v>42156</v>
      </c>
      <c r="H108" s="7">
        <v>56.749431661339699</v>
      </c>
      <c r="I108" s="7">
        <v>27.089992642462398</v>
      </c>
      <c r="J108" s="7">
        <v>-58.894842055431901</v>
      </c>
      <c r="K108" s="7">
        <v>-187.85534207746201</v>
      </c>
      <c r="M108" s="7">
        <v>-40.72768995727295</v>
      </c>
    </row>
    <row r="109" spans="1:13" x14ac:dyDescent="0.25">
      <c r="A109" t="s">
        <v>3</v>
      </c>
      <c r="B109" s="1">
        <v>42217</v>
      </c>
      <c r="C109" s="7">
        <v>34.386260336835498</v>
      </c>
      <c r="G109" s="5">
        <v>42186</v>
      </c>
      <c r="H109" s="7">
        <v>40.592262832287702</v>
      </c>
      <c r="I109" s="7">
        <v>10.4111859302244</v>
      </c>
      <c r="J109" s="7">
        <v>-70.665367534873099</v>
      </c>
      <c r="K109" s="7">
        <v>-199.94102766310999</v>
      </c>
      <c r="M109" s="7">
        <v>-54.900736608867746</v>
      </c>
    </row>
    <row r="110" spans="1:13" x14ac:dyDescent="0.25">
      <c r="A110" t="s">
        <v>3</v>
      </c>
      <c r="B110" s="1">
        <v>42248</v>
      </c>
      <c r="C110" s="7">
        <v>48.512138286406</v>
      </c>
      <c r="G110" s="5">
        <v>42217</v>
      </c>
      <c r="H110" s="7">
        <v>34.386260336835498</v>
      </c>
      <c r="I110" s="7">
        <v>4.3792147552585403</v>
      </c>
      <c r="J110" s="7">
        <v>-72.721954136915301</v>
      </c>
      <c r="K110" s="7">
        <v>-202.18359027963299</v>
      </c>
      <c r="M110" s="7">
        <v>-59.035017331113565</v>
      </c>
    </row>
    <row r="111" spans="1:13" x14ac:dyDescent="0.25">
      <c r="A111" t="s">
        <v>3</v>
      </c>
      <c r="B111" s="1">
        <v>42278</v>
      </c>
      <c r="C111" s="7">
        <v>49.278841408629802</v>
      </c>
      <c r="G111" s="5">
        <v>42248</v>
      </c>
      <c r="H111" s="7">
        <v>48.512138286406</v>
      </c>
      <c r="I111" s="7">
        <v>12.373612928012101</v>
      </c>
      <c r="J111" s="7">
        <v>-50.322947054787697</v>
      </c>
      <c r="K111" s="7">
        <v>-175.50050719532101</v>
      </c>
      <c r="M111" s="7">
        <v>-41.234425758922654</v>
      </c>
    </row>
    <row r="112" spans="1:13" x14ac:dyDescent="0.25">
      <c r="A112" t="s">
        <v>3</v>
      </c>
      <c r="B112" s="1">
        <v>42309</v>
      </c>
      <c r="C112" s="7">
        <v>58.676064763613198</v>
      </c>
      <c r="G112" s="5">
        <v>42278</v>
      </c>
      <c r="H112" s="7">
        <v>49.278841408629802</v>
      </c>
      <c r="I112" s="7">
        <v>13.875348960935201</v>
      </c>
      <c r="J112" s="7">
        <v>-48.433994884894702</v>
      </c>
      <c r="K112" s="7">
        <v>-172.30309543489801</v>
      </c>
      <c r="M112" s="7">
        <v>-39.395724987556932</v>
      </c>
    </row>
    <row r="113" spans="1:13" x14ac:dyDescent="0.25">
      <c r="A113" t="s">
        <v>3</v>
      </c>
      <c r="B113" s="1">
        <v>42339</v>
      </c>
      <c r="C113" s="7">
        <v>41.0793893098014</v>
      </c>
      <c r="G113" s="5">
        <v>42309</v>
      </c>
      <c r="H113" s="7">
        <v>58.676064763613198</v>
      </c>
      <c r="I113" s="7">
        <v>24.8270306819003</v>
      </c>
      <c r="J113" s="7">
        <v>-37.907993418698901</v>
      </c>
      <c r="K113" s="7">
        <v>-160.379337614424</v>
      </c>
      <c r="M113" s="7">
        <v>-28.69605889690235</v>
      </c>
    </row>
    <row r="114" spans="1:13" x14ac:dyDescent="0.25">
      <c r="A114" t="s">
        <v>3</v>
      </c>
      <c r="B114" s="1">
        <v>42370</v>
      </c>
      <c r="C114" s="7">
        <v>38.884497141899203</v>
      </c>
      <c r="G114" s="5">
        <v>42339</v>
      </c>
      <c r="H114" s="7">
        <v>41.0793893098014</v>
      </c>
      <c r="I114" s="7">
        <v>9.31198977261481</v>
      </c>
      <c r="J114" s="7">
        <v>-54.469340689123101</v>
      </c>
      <c r="K114" s="7">
        <v>-175.647190347546</v>
      </c>
      <c r="M114" s="7">
        <v>-44.931287988563227</v>
      </c>
    </row>
    <row r="115" spans="1:13" x14ac:dyDescent="0.25">
      <c r="A115" t="s">
        <v>3</v>
      </c>
      <c r="B115" s="1">
        <v>42401</v>
      </c>
      <c r="C115" s="7">
        <v>47.3332984618715</v>
      </c>
      <c r="G115" s="5">
        <v>42370</v>
      </c>
      <c r="H115" s="7">
        <v>38.884497141899203</v>
      </c>
      <c r="I115" s="7">
        <v>9.2078872613880804</v>
      </c>
      <c r="J115" s="7">
        <v>-55.565085626141602</v>
      </c>
      <c r="K115" s="7">
        <v>-176.58406373365199</v>
      </c>
      <c r="M115" s="7">
        <v>-46.014191239126575</v>
      </c>
    </row>
    <row r="116" spans="1:13" x14ac:dyDescent="0.25">
      <c r="A116" t="s">
        <v>3</v>
      </c>
      <c r="B116" s="1">
        <v>42430</v>
      </c>
      <c r="C116" s="7">
        <v>69.344126584361405</v>
      </c>
      <c r="G116" s="5">
        <v>42401</v>
      </c>
      <c r="H116" s="7">
        <v>47.3332984618715</v>
      </c>
      <c r="I116" s="7">
        <v>19.1405529377558</v>
      </c>
      <c r="J116" s="7">
        <v>-46.139739744210601</v>
      </c>
      <c r="K116" s="7">
        <v>-166.93194396833599</v>
      </c>
      <c r="M116" s="7">
        <v>-36.64945807822982</v>
      </c>
    </row>
    <row r="117" spans="1:13" x14ac:dyDescent="0.25">
      <c r="A117" t="s">
        <v>4</v>
      </c>
      <c r="B117" s="1">
        <v>39630</v>
      </c>
      <c r="C117" s="7">
        <v>-47.069628709260598</v>
      </c>
      <c r="G117" s="5">
        <v>42430</v>
      </c>
      <c r="H117" s="7">
        <v>69.344126584361405</v>
      </c>
      <c r="I117" s="7">
        <v>42.933800867543802</v>
      </c>
      <c r="J117" s="7">
        <v>-23.272287823531201</v>
      </c>
      <c r="K117" s="7">
        <v>-143.84702943982401</v>
      </c>
      <c r="M117" s="7">
        <v>-13.7103474528625</v>
      </c>
    </row>
    <row r="118" spans="1:13" x14ac:dyDescent="0.25">
      <c r="A118" t="s">
        <v>4</v>
      </c>
      <c r="B118" s="1">
        <v>39661</v>
      </c>
      <c r="C118" s="7">
        <v>-62.500933599499596</v>
      </c>
      <c r="G118" s="6" t="s">
        <v>8</v>
      </c>
    </row>
    <row r="119" spans="1:13" x14ac:dyDescent="0.25">
      <c r="A119" t="s">
        <v>4</v>
      </c>
      <c r="B119" s="1">
        <v>39692</v>
      </c>
      <c r="C119" s="7">
        <v>-68.292637221204103</v>
      </c>
      <c r="G119" s="6" t="s">
        <v>9</v>
      </c>
      <c r="H119" s="7">
        <v>62.232033903088329</v>
      </c>
      <c r="I119" s="7">
        <v>45.431373657492657</v>
      </c>
      <c r="J119" s="7">
        <v>-112.43636969636253</v>
      </c>
      <c r="K119" s="7">
        <v>-197.21377209576713</v>
      </c>
      <c r="M119" s="7">
        <v>-18.352529459668968</v>
      </c>
    </row>
    <row r="120" spans="1:13" x14ac:dyDescent="0.25">
      <c r="A120" t="s">
        <v>4</v>
      </c>
      <c r="B120" s="1">
        <v>39722</v>
      </c>
      <c r="C120" s="7">
        <v>-10.4678866108225</v>
      </c>
    </row>
    <row r="121" spans="1:13" x14ac:dyDescent="0.25">
      <c r="A121" t="s">
        <v>4</v>
      </c>
      <c r="B121" s="1">
        <v>39753</v>
      </c>
      <c r="C121" s="7">
        <v>-8.4755899637733592</v>
      </c>
    </row>
    <row r="122" spans="1:13" x14ac:dyDescent="0.25">
      <c r="A122" t="s">
        <v>4</v>
      </c>
      <c r="B122" s="1">
        <v>39783</v>
      </c>
      <c r="C122" s="7">
        <v>9.6121800811170992</v>
      </c>
    </row>
    <row r="123" spans="1:13" x14ac:dyDescent="0.25">
      <c r="A123" t="s">
        <v>4</v>
      </c>
      <c r="B123" s="1">
        <v>39814</v>
      </c>
      <c r="C123" s="7">
        <v>93.481898607643402</v>
      </c>
    </row>
    <row r="124" spans="1:13" x14ac:dyDescent="0.25">
      <c r="A124" t="s">
        <v>4</v>
      </c>
      <c r="B124" s="1">
        <v>39845</v>
      </c>
      <c r="C124" s="7">
        <v>120.314516648451</v>
      </c>
    </row>
    <row r="125" spans="1:13" x14ac:dyDescent="0.25">
      <c r="A125" t="s">
        <v>4</v>
      </c>
      <c r="B125" s="1">
        <v>39873</v>
      </c>
      <c r="C125" s="7">
        <v>106.7802387409</v>
      </c>
    </row>
    <row r="126" spans="1:13" x14ac:dyDescent="0.25">
      <c r="A126" t="s">
        <v>4</v>
      </c>
      <c r="B126" s="1">
        <v>39904</v>
      </c>
      <c r="C126" s="7">
        <v>115.60060134408801</v>
      </c>
    </row>
    <row r="127" spans="1:13" x14ac:dyDescent="0.25">
      <c r="A127" t="s">
        <v>4</v>
      </c>
      <c r="B127" s="1">
        <v>39934</v>
      </c>
      <c r="C127" s="7">
        <v>134.25272080813099</v>
      </c>
    </row>
    <row r="128" spans="1:13" x14ac:dyDescent="0.25">
      <c r="A128" t="s">
        <v>4</v>
      </c>
      <c r="B128" s="1">
        <v>39965</v>
      </c>
      <c r="C128" s="7">
        <v>127.88674401458501</v>
      </c>
    </row>
    <row r="129" spans="1:3" x14ac:dyDescent="0.25">
      <c r="A129" t="s">
        <v>4</v>
      </c>
      <c r="B129" s="1">
        <v>39995</v>
      </c>
      <c r="C129" s="7">
        <v>66.452050730890505</v>
      </c>
    </row>
    <row r="130" spans="1:3" x14ac:dyDescent="0.25">
      <c r="A130" t="s">
        <v>4</v>
      </c>
      <c r="B130" s="1">
        <v>40026</v>
      </c>
      <c r="C130" s="7">
        <v>83.190817020090805</v>
      </c>
    </row>
    <row r="131" spans="1:3" x14ac:dyDescent="0.25">
      <c r="A131" t="s">
        <v>4</v>
      </c>
      <c r="B131" s="1">
        <v>40057</v>
      </c>
      <c r="C131" s="7">
        <v>88.461390710754699</v>
      </c>
    </row>
    <row r="132" spans="1:3" x14ac:dyDescent="0.25">
      <c r="A132" t="s">
        <v>4</v>
      </c>
      <c r="B132" s="1">
        <v>40087</v>
      </c>
      <c r="C132" s="7">
        <v>108.569198746997</v>
      </c>
    </row>
    <row r="133" spans="1:3" x14ac:dyDescent="0.25">
      <c r="A133" t="s">
        <v>4</v>
      </c>
      <c r="B133" s="1">
        <v>40118</v>
      </c>
      <c r="C133" s="7">
        <v>117.343833523447</v>
      </c>
    </row>
    <row r="134" spans="1:3" x14ac:dyDescent="0.25">
      <c r="A134" t="s">
        <v>4</v>
      </c>
      <c r="B134" s="1">
        <v>40148</v>
      </c>
      <c r="C134" s="7">
        <v>126.25354860683299</v>
      </c>
    </row>
    <row r="135" spans="1:3" x14ac:dyDescent="0.25">
      <c r="A135" t="s">
        <v>4</v>
      </c>
      <c r="B135" s="1">
        <v>40179</v>
      </c>
      <c r="C135" s="7">
        <v>124.933110859153</v>
      </c>
    </row>
    <row r="136" spans="1:3" x14ac:dyDescent="0.25">
      <c r="A136" t="s">
        <v>4</v>
      </c>
      <c r="B136" s="1">
        <v>40210</v>
      </c>
      <c r="C136" s="7">
        <v>118.103576670188</v>
      </c>
    </row>
    <row r="137" spans="1:3" x14ac:dyDescent="0.25">
      <c r="A137" t="s">
        <v>4</v>
      </c>
      <c r="B137" s="1">
        <v>40238</v>
      </c>
      <c r="C137" s="7">
        <v>122.45419772136199</v>
      </c>
    </row>
    <row r="138" spans="1:3" x14ac:dyDescent="0.25">
      <c r="A138" t="s">
        <v>4</v>
      </c>
      <c r="B138" s="1">
        <v>40269</v>
      </c>
      <c r="C138" s="7">
        <v>120.626175807924</v>
      </c>
    </row>
    <row r="139" spans="1:3" x14ac:dyDescent="0.25">
      <c r="A139" t="s">
        <v>4</v>
      </c>
      <c r="B139" s="1">
        <v>40299</v>
      </c>
      <c r="C139" s="7">
        <v>108.792671357709</v>
      </c>
    </row>
    <row r="140" spans="1:3" x14ac:dyDescent="0.25">
      <c r="A140" t="s">
        <v>4</v>
      </c>
      <c r="B140" s="1">
        <v>40330</v>
      </c>
      <c r="C140" s="7">
        <v>128.43846937767901</v>
      </c>
    </row>
    <row r="141" spans="1:3" x14ac:dyDescent="0.25">
      <c r="A141" t="s">
        <v>4</v>
      </c>
      <c r="B141" s="1">
        <v>40360</v>
      </c>
      <c r="C141" s="7">
        <v>146.66022120884</v>
      </c>
    </row>
    <row r="142" spans="1:3" x14ac:dyDescent="0.25">
      <c r="A142" t="s">
        <v>4</v>
      </c>
      <c r="B142" s="1">
        <v>40391</v>
      </c>
      <c r="C142" s="7">
        <v>162.15155344204501</v>
      </c>
    </row>
    <row r="143" spans="1:3" x14ac:dyDescent="0.25">
      <c r="A143" t="s">
        <v>4</v>
      </c>
      <c r="B143" s="1">
        <v>40422</v>
      </c>
      <c r="C143" s="7">
        <v>176.77439745321499</v>
      </c>
    </row>
    <row r="144" spans="1:3" x14ac:dyDescent="0.25">
      <c r="A144" t="s">
        <v>4</v>
      </c>
      <c r="B144" s="1">
        <v>40452</v>
      </c>
      <c r="C144" s="7">
        <v>184.635415809026</v>
      </c>
    </row>
    <row r="145" spans="1:3" x14ac:dyDescent="0.25">
      <c r="A145" t="s">
        <v>4</v>
      </c>
      <c r="B145" s="1">
        <v>40483</v>
      </c>
      <c r="C145" s="7">
        <v>195.29735558702799</v>
      </c>
    </row>
    <row r="146" spans="1:3" x14ac:dyDescent="0.25">
      <c r="A146" t="s">
        <v>4</v>
      </c>
      <c r="B146" s="1">
        <v>40513</v>
      </c>
      <c r="C146" s="7">
        <v>186.83184749277899</v>
      </c>
    </row>
    <row r="147" spans="1:3" x14ac:dyDescent="0.25">
      <c r="A147" t="s">
        <v>4</v>
      </c>
      <c r="B147" s="1">
        <v>40544</v>
      </c>
      <c r="C147" s="7">
        <v>31.1170736922918</v>
      </c>
    </row>
    <row r="148" spans="1:3" x14ac:dyDescent="0.25">
      <c r="A148" t="s">
        <v>4</v>
      </c>
      <c r="B148" s="1">
        <v>40575</v>
      </c>
      <c r="C148" s="7">
        <v>0.62375249409120104</v>
      </c>
    </row>
    <row r="149" spans="1:3" x14ac:dyDescent="0.25">
      <c r="A149" t="s">
        <v>4</v>
      </c>
      <c r="B149" s="1">
        <v>40603</v>
      </c>
      <c r="C149" s="7">
        <v>-36.848388533538497</v>
      </c>
    </row>
    <row r="150" spans="1:3" x14ac:dyDescent="0.25">
      <c r="A150" t="s">
        <v>4</v>
      </c>
      <c r="B150" s="1">
        <v>40634</v>
      </c>
      <c r="C150" s="7">
        <v>-22.394429498140799</v>
      </c>
    </row>
    <row r="151" spans="1:3" x14ac:dyDescent="0.25">
      <c r="A151" t="s">
        <v>4</v>
      </c>
      <c r="B151" s="1">
        <v>40664</v>
      </c>
      <c r="C151" s="7">
        <v>-15.351623509260699</v>
      </c>
    </row>
    <row r="152" spans="1:3" x14ac:dyDescent="0.25">
      <c r="A152" t="s">
        <v>4</v>
      </c>
      <c r="B152" s="1">
        <v>40695</v>
      </c>
      <c r="C152" s="7">
        <v>10.8319583466634</v>
      </c>
    </row>
    <row r="153" spans="1:3" x14ac:dyDescent="0.25">
      <c r="A153" t="s">
        <v>4</v>
      </c>
      <c r="B153" s="1">
        <v>40725</v>
      </c>
      <c r="C153" s="7">
        <v>28.540340906475699</v>
      </c>
    </row>
    <row r="154" spans="1:3" x14ac:dyDescent="0.25">
      <c r="A154" t="s">
        <v>4</v>
      </c>
      <c r="B154" s="1">
        <v>40756</v>
      </c>
      <c r="C154" s="7">
        <v>26.448881474707999</v>
      </c>
    </row>
    <row r="155" spans="1:3" x14ac:dyDescent="0.25">
      <c r="A155" t="s">
        <v>4</v>
      </c>
      <c r="B155" s="1">
        <v>40787</v>
      </c>
      <c r="C155" s="7">
        <v>54.738536677073498</v>
      </c>
    </row>
    <row r="156" spans="1:3" x14ac:dyDescent="0.25">
      <c r="A156" t="s">
        <v>4</v>
      </c>
      <c r="B156" s="1">
        <v>40817</v>
      </c>
      <c r="C156" s="7">
        <v>67.218470023160705</v>
      </c>
    </row>
    <row r="157" spans="1:3" x14ac:dyDescent="0.25">
      <c r="A157" t="s">
        <v>4</v>
      </c>
      <c r="B157" s="1">
        <v>40848</v>
      </c>
      <c r="C157" s="7">
        <v>56.258708691401303</v>
      </c>
    </row>
    <row r="158" spans="1:3" x14ac:dyDescent="0.25">
      <c r="A158" t="s">
        <v>4</v>
      </c>
      <c r="B158" s="1">
        <v>40878</v>
      </c>
      <c r="C158" s="7">
        <v>56.419161572394898</v>
      </c>
    </row>
    <row r="159" spans="1:3" x14ac:dyDescent="0.25">
      <c r="A159" t="s">
        <v>4</v>
      </c>
      <c r="B159" s="1">
        <v>40909</v>
      </c>
      <c r="C159" s="7">
        <v>60.235652548996903</v>
      </c>
    </row>
    <row r="160" spans="1:3" x14ac:dyDescent="0.25">
      <c r="A160" t="s">
        <v>4</v>
      </c>
      <c r="B160" s="1">
        <v>40940</v>
      </c>
      <c r="C160" s="7">
        <v>56.157707734798898</v>
      </c>
    </row>
    <row r="161" spans="1:3" x14ac:dyDescent="0.25">
      <c r="A161" t="s">
        <v>4</v>
      </c>
      <c r="B161" s="1">
        <v>40969</v>
      </c>
      <c r="C161" s="7">
        <v>52.451096771777003</v>
      </c>
    </row>
    <row r="162" spans="1:3" x14ac:dyDescent="0.25">
      <c r="A162" t="s">
        <v>4</v>
      </c>
      <c r="B162" s="1">
        <v>41000</v>
      </c>
      <c r="C162" s="7">
        <v>42.047060990373403</v>
      </c>
    </row>
    <row r="163" spans="1:3" x14ac:dyDescent="0.25">
      <c r="A163" t="s">
        <v>4</v>
      </c>
      <c r="B163" s="1">
        <v>41030</v>
      </c>
      <c r="C163" s="7">
        <v>46.925892680173497</v>
      </c>
    </row>
    <row r="164" spans="1:3" x14ac:dyDescent="0.25">
      <c r="A164" t="s">
        <v>4</v>
      </c>
      <c r="B164" s="1">
        <v>41061</v>
      </c>
      <c r="C164" s="7">
        <v>55.818706938177399</v>
      </c>
    </row>
    <row r="165" spans="1:3" x14ac:dyDescent="0.25">
      <c r="A165" t="s">
        <v>4</v>
      </c>
      <c r="B165" s="1">
        <v>41091</v>
      </c>
      <c r="C165" s="7">
        <v>68.122170929788993</v>
      </c>
    </row>
    <row r="166" spans="1:3" x14ac:dyDescent="0.25">
      <c r="A166" t="s">
        <v>4</v>
      </c>
      <c r="B166" s="1">
        <v>41122</v>
      </c>
      <c r="C166" s="7">
        <v>79.096357472130407</v>
      </c>
    </row>
    <row r="167" spans="1:3" x14ac:dyDescent="0.25">
      <c r="A167" t="s">
        <v>4</v>
      </c>
      <c r="B167" s="1">
        <v>41153</v>
      </c>
      <c r="C167" s="7">
        <v>74.165060436425406</v>
      </c>
    </row>
    <row r="168" spans="1:3" x14ac:dyDescent="0.25">
      <c r="A168" t="s">
        <v>4</v>
      </c>
      <c r="B168" s="1">
        <v>41183</v>
      </c>
      <c r="C168" s="7">
        <v>78.7806952465709</v>
      </c>
    </row>
    <row r="169" spans="1:3" x14ac:dyDescent="0.25">
      <c r="A169" t="s">
        <v>4</v>
      </c>
      <c r="B169" s="1">
        <v>41214</v>
      </c>
      <c r="C169" s="7">
        <v>81.983188409534904</v>
      </c>
    </row>
    <row r="170" spans="1:3" x14ac:dyDescent="0.25">
      <c r="A170" t="s">
        <v>4</v>
      </c>
      <c r="B170" s="1">
        <v>41244</v>
      </c>
      <c r="C170" s="7">
        <v>77.372775034769205</v>
      </c>
    </row>
    <row r="171" spans="1:3" x14ac:dyDescent="0.25">
      <c r="A171" t="s">
        <v>4</v>
      </c>
      <c r="B171" s="1">
        <v>41275</v>
      </c>
      <c r="C171" s="7">
        <v>75.871959936024894</v>
      </c>
    </row>
    <row r="172" spans="1:3" x14ac:dyDescent="0.25">
      <c r="A172" t="s">
        <v>4</v>
      </c>
      <c r="B172" s="1">
        <v>41306</v>
      </c>
      <c r="C172" s="7">
        <v>63.622208242827497</v>
      </c>
    </row>
    <row r="173" spans="1:3" x14ac:dyDescent="0.25">
      <c r="A173" t="s">
        <v>4</v>
      </c>
      <c r="B173" s="1">
        <v>41334</v>
      </c>
      <c r="C173" s="7">
        <v>45.137277361899201</v>
      </c>
    </row>
    <row r="174" spans="1:3" x14ac:dyDescent="0.25">
      <c r="A174" t="s">
        <v>4</v>
      </c>
      <c r="B174" s="1">
        <v>41365</v>
      </c>
      <c r="C174" s="7">
        <v>40.3745588056941</v>
      </c>
    </row>
    <row r="175" spans="1:3" x14ac:dyDescent="0.25">
      <c r="A175" t="s">
        <v>4</v>
      </c>
      <c r="B175" s="1">
        <v>41395</v>
      </c>
      <c r="C175" s="7">
        <v>51.835843078706901</v>
      </c>
    </row>
    <row r="176" spans="1:3" x14ac:dyDescent="0.25">
      <c r="A176" t="s">
        <v>4</v>
      </c>
      <c r="B176" s="1">
        <v>41426</v>
      </c>
      <c r="C176" s="7">
        <v>42.910061617331301</v>
      </c>
    </row>
    <row r="177" spans="1:3" x14ac:dyDescent="0.25">
      <c r="A177" t="s">
        <v>4</v>
      </c>
      <c r="B177" s="1">
        <v>41456</v>
      </c>
      <c r="C177" s="7">
        <v>-13.332059931106899</v>
      </c>
    </row>
    <row r="178" spans="1:3" x14ac:dyDescent="0.25">
      <c r="A178" t="s">
        <v>4</v>
      </c>
      <c r="B178" s="1">
        <v>41487</v>
      </c>
      <c r="C178" s="7">
        <v>-44.078004716314901</v>
      </c>
    </row>
    <row r="179" spans="1:3" x14ac:dyDescent="0.25">
      <c r="A179" t="s">
        <v>4</v>
      </c>
      <c r="B179" s="1">
        <v>41518</v>
      </c>
      <c r="C179" s="7">
        <v>-53.286578507747002</v>
      </c>
    </row>
    <row r="180" spans="1:3" x14ac:dyDescent="0.25">
      <c r="A180" t="s">
        <v>4</v>
      </c>
      <c r="B180" s="1">
        <v>41548</v>
      </c>
      <c r="C180" s="7">
        <v>-53.915853181019699</v>
      </c>
    </row>
    <row r="181" spans="1:3" x14ac:dyDescent="0.25">
      <c r="A181" t="s">
        <v>4</v>
      </c>
      <c r="B181" s="1">
        <v>41579</v>
      </c>
      <c r="C181" s="7">
        <v>-22.643412176103102</v>
      </c>
    </row>
    <row r="182" spans="1:3" x14ac:dyDescent="0.25">
      <c r="A182" t="s">
        <v>4</v>
      </c>
      <c r="B182" s="1">
        <v>41609</v>
      </c>
      <c r="C182" s="7">
        <v>-29.687086323446898</v>
      </c>
    </row>
    <row r="183" spans="1:3" x14ac:dyDescent="0.25">
      <c r="A183" t="s">
        <v>4</v>
      </c>
      <c r="B183" s="1">
        <v>41640</v>
      </c>
      <c r="C183" s="7">
        <v>-46.046191522867602</v>
      </c>
    </row>
    <row r="184" spans="1:3" x14ac:dyDescent="0.25">
      <c r="A184" t="s">
        <v>4</v>
      </c>
      <c r="B184" s="1">
        <v>41671</v>
      </c>
      <c r="C184" s="7">
        <v>-44.174320815445199</v>
      </c>
    </row>
    <row r="185" spans="1:3" x14ac:dyDescent="0.25">
      <c r="A185" t="s">
        <v>4</v>
      </c>
      <c r="B185" s="1">
        <v>41699</v>
      </c>
      <c r="C185" s="7">
        <v>-30.047274651576501</v>
      </c>
    </row>
    <row r="186" spans="1:3" x14ac:dyDescent="0.25">
      <c r="A186" t="s">
        <v>4</v>
      </c>
      <c r="B186" s="1">
        <v>41730</v>
      </c>
      <c r="C186" s="7">
        <v>-29.199120093201401</v>
      </c>
    </row>
    <row r="187" spans="1:3" x14ac:dyDescent="0.25">
      <c r="A187" t="s">
        <v>4</v>
      </c>
      <c r="B187" s="1">
        <v>41760</v>
      </c>
      <c r="C187" s="7">
        <v>-27.261819392597499</v>
      </c>
    </row>
    <row r="188" spans="1:3" x14ac:dyDescent="0.25">
      <c r="A188" t="s">
        <v>4</v>
      </c>
      <c r="B188" s="1">
        <v>41791</v>
      </c>
      <c r="C188" s="7">
        <v>-6.96621818879537</v>
      </c>
    </row>
    <row r="189" spans="1:3" x14ac:dyDescent="0.25">
      <c r="A189" t="s">
        <v>4</v>
      </c>
      <c r="B189" s="1">
        <v>41821</v>
      </c>
      <c r="C189" s="7">
        <v>-4.2849061620112598</v>
      </c>
    </row>
    <row r="190" spans="1:3" x14ac:dyDescent="0.25">
      <c r="A190" t="s">
        <v>4</v>
      </c>
      <c r="B190" s="1">
        <v>41852</v>
      </c>
      <c r="C190" s="7">
        <v>-1.4995538246549101</v>
      </c>
    </row>
    <row r="191" spans="1:3" x14ac:dyDescent="0.25">
      <c r="A191" t="s">
        <v>4</v>
      </c>
      <c r="B191" s="1">
        <v>41883</v>
      </c>
      <c r="C191" s="7">
        <v>1.5983485434556599</v>
      </c>
    </row>
    <row r="192" spans="1:3" x14ac:dyDescent="0.25">
      <c r="A192" t="s">
        <v>4</v>
      </c>
      <c r="B192" s="1">
        <v>41913</v>
      </c>
      <c r="C192" s="7">
        <v>-0.50057698509172499</v>
      </c>
    </row>
    <row r="193" spans="1:3" x14ac:dyDescent="0.25">
      <c r="A193" t="s">
        <v>4</v>
      </c>
      <c r="B193" s="1">
        <v>41944</v>
      </c>
      <c r="C193" s="7">
        <v>12.399359023217199</v>
      </c>
    </row>
    <row r="194" spans="1:3" x14ac:dyDescent="0.25">
      <c r="A194" t="s">
        <v>4</v>
      </c>
      <c r="B194" s="1">
        <v>41974</v>
      </c>
      <c r="C194" s="7">
        <v>15.616415098372901</v>
      </c>
    </row>
    <row r="195" spans="1:3" x14ac:dyDescent="0.25">
      <c r="A195" t="s">
        <v>4</v>
      </c>
      <c r="B195" s="1">
        <v>42005</v>
      </c>
      <c r="C195" s="7">
        <v>29.390602076154799</v>
      </c>
    </row>
    <row r="196" spans="1:3" x14ac:dyDescent="0.25">
      <c r="A196" t="s">
        <v>4</v>
      </c>
      <c r="B196" s="1">
        <v>42036</v>
      </c>
      <c r="C196" s="7">
        <v>47.3405024785772</v>
      </c>
    </row>
    <row r="197" spans="1:3" x14ac:dyDescent="0.25">
      <c r="A197" t="s">
        <v>4</v>
      </c>
      <c r="B197" s="1">
        <v>42064</v>
      </c>
      <c r="C197" s="7">
        <v>42.618668182878302</v>
      </c>
    </row>
    <row r="198" spans="1:3" x14ac:dyDescent="0.25">
      <c r="A198" t="s">
        <v>4</v>
      </c>
      <c r="B198" s="1">
        <v>42095</v>
      </c>
      <c r="C198" s="7">
        <v>36.8596408774727</v>
      </c>
    </row>
    <row r="199" spans="1:3" x14ac:dyDescent="0.25">
      <c r="A199" t="s">
        <v>4</v>
      </c>
      <c r="B199" s="1">
        <v>42125</v>
      </c>
      <c r="C199" s="7">
        <v>45.063800760938697</v>
      </c>
    </row>
    <row r="200" spans="1:3" x14ac:dyDescent="0.25">
      <c r="A200" t="s">
        <v>4</v>
      </c>
      <c r="B200" s="1">
        <v>42156</v>
      </c>
      <c r="C200" s="7">
        <v>27.089992642462398</v>
      </c>
    </row>
    <row r="201" spans="1:3" x14ac:dyDescent="0.25">
      <c r="A201" t="s">
        <v>4</v>
      </c>
      <c r="B201" s="1">
        <v>42186</v>
      </c>
      <c r="C201" s="7">
        <v>10.4111859302244</v>
      </c>
    </row>
    <row r="202" spans="1:3" x14ac:dyDescent="0.25">
      <c r="A202" t="s">
        <v>4</v>
      </c>
      <c r="B202" s="1">
        <v>42217</v>
      </c>
      <c r="C202" s="7">
        <v>4.3792147552585403</v>
      </c>
    </row>
    <row r="203" spans="1:3" x14ac:dyDescent="0.25">
      <c r="A203" t="s">
        <v>4</v>
      </c>
      <c r="B203" s="1">
        <v>42248</v>
      </c>
      <c r="C203" s="7">
        <v>12.373612928012101</v>
      </c>
    </row>
    <row r="204" spans="1:3" x14ac:dyDescent="0.25">
      <c r="A204" t="s">
        <v>4</v>
      </c>
      <c r="B204" s="1">
        <v>42278</v>
      </c>
      <c r="C204" s="7">
        <v>13.875348960935201</v>
      </c>
    </row>
    <row r="205" spans="1:3" x14ac:dyDescent="0.25">
      <c r="A205" t="s">
        <v>4</v>
      </c>
      <c r="B205" s="1">
        <v>42309</v>
      </c>
      <c r="C205" s="7">
        <v>24.8270306819003</v>
      </c>
    </row>
    <row r="206" spans="1:3" x14ac:dyDescent="0.25">
      <c r="A206" t="s">
        <v>4</v>
      </c>
      <c r="B206" s="1">
        <v>42339</v>
      </c>
      <c r="C206" s="7">
        <v>9.31198977261481</v>
      </c>
    </row>
    <row r="207" spans="1:3" x14ac:dyDescent="0.25">
      <c r="A207" t="s">
        <v>4</v>
      </c>
      <c r="B207" s="1">
        <v>42370</v>
      </c>
      <c r="C207" s="7">
        <v>9.2078872613880804</v>
      </c>
    </row>
    <row r="208" spans="1:3" x14ac:dyDescent="0.25">
      <c r="A208" t="s">
        <v>4</v>
      </c>
      <c r="B208" s="1">
        <v>42401</v>
      </c>
      <c r="C208" s="7">
        <v>19.1405529377558</v>
      </c>
    </row>
    <row r="209" spans="1:3" x14ac:dyDescent="0.25">
      <c r="A209" t="s">
        <v>4</v>
      </c>
      <c r="B209" s="1">
        <v>42430</v>
      </c>
      <c r="C209" s="7">
        <v>42.933800867543802</v>
      </c>
    </row>
    <row r="210" spans="1:3" x14ac:dyDescent="0.25">
      <c r="A210" t="s">
        <v>5</v>
      </c>
      <c r="B210" s="1">
        <v>40148</v>
      </c>
      <c r="C210" s="7">
        <v>-70.136770695988503</v>
      </c>
    </row>
    <row r="211" spans="1:3" x14ac:dyDescent="0.25">
      <c r="A211" t="s">
        <v>5</v>
      </c>
      <c r="B211" s="1">
        <v>40179</v>
      </c>
      <c r="C211" s="7">
        <v>-104.847731702657</v>
      </c>
    </row>
    <row r="212" spans="1:3" x14ac:dyDescent="0.25">
      <c r="A212" t="s">
        <v>5</v>
      </c>
      <c r="B212" s="1">
        <v>40210</v>
      </c>
      <c r="C212" s="7">
        <v>-100.794548850697</v>
      </c>
    </row>
    <row r="213" spans="1:3" x14ac:dyDescent="0.25">
      <c r="A213" t="s">
        <v>5</v>
      </c>
      <c r="B213" s="1">
        <v>40238</v>
      </c>
      <c r="C213" s="7">
        <v>-95.818319113452702</v>
      </c>
    </row>
    <row r="214" spans="1:3" x14ac:dyDescent="0.25">
      <c r="A214" t="s">
        <v>5</v>
      </c>
      <c r="B214" s="1">
        <v>40269</v>
      </c>
      <c r="C214" s="7">
        <v>-94.491825197565305</v>
      </c>
    </row>
    <row r="215" spans="1:3" x14ac:dyDescent="0.25">
      <c r="A215" t="s">
        <v>5</v>
      </c>
      <c r="B215" s="1">
        <v>40299</v>
      </c>
      <c r="C215" s="7">
        <v>-162.931215400192</v>
      </c>
    </row>
    <row r="216" spans="1:3" x14ac:dyDescent="0.25">
      <c r="A216" t="s">
        <v>5</v>
      </c>
      <c r="B216" s="1">
        <v>40330</v>
      </c>
      <c r="C216" s="7">
        <v>-142.44495579935599</v>
      </c>
    </row>
    <row r="217" spans="1:3" x14ac:dyDescent="0.25">
      <c r="A217" t="s">
        <v>5</v>
      </c>
      <c r="B217" s="1">
        <v>40360</v>
      </c>
      <c r="C217" s="7">
        <v>-126.270125492433</v>
      </c>
    </row>
    <row r="218" spans="1:3" x14ac:dyDescent="0.25">
      <c r="A218" t="s">
        <v>5</v>
      </c>
      <c r="B218" s="1">
        <v>40391</v>
      </c>
      <c r="C218" s="7">
        <v>-112.247056553199</v>
      </c>
    </row>
    <row r="219" spans="1:3" x14ac:dyDescent="0.25">
      <c r="A219" t="s">
        <v>5</v>
      </c>
      <c r="B219" s="1">
        <v>40422</v>
      </c>
      <c r="C219" s="7">
        <v>-101.15171495522</v>
      </c>
    </row>
    <row r="220" spans="1:3" x14ac:dyDescent="0.25">
      <c r="A220" t="s">
        <v>5</v>
      </c>
      <c r="B220" s="1">
        <v>40452</v>
      </c>
      <c r="C220" s="7">
        <v>-100.043932644248</v>
      </c>
    </row>
    <row r="221" spans="1:3" x14ac:dyDescent="0.25">
      <c r="A221" t="s">
        <v>5</v>
      </c>
      <c r="B221" s="1">
        <v>40483</v>
      </c>
      <c r="C221" s="7">
        <v>-92.598990722172402</v>
      </c>
    </row>
    <row r="222" spans="1:3" x14ac:dyDescent="0.25">
      <c r="A222" t="s">
        <v>5</v>
      </c>
      <c r="B222" s="1">
        <v>40513</v>
      </c>
      <c r="C222" s="7">
        <v>-102.73808600244</v>
      </c>
    </row>
    <row r="223" spans="1:3" x14ac:dyDescent="0.25">
      <c r="A223" t="s">
        <v>5</v>
      </c>
      <c r="B223" s="1">
        <v>40544</v>
      </c>
      <c r="C223" s="7">
        <v>-152.617178352595</v>
      </c>
    </row>
    <row r="224" spans="1:3" x14ac:dyDescent="0.25">
      <c r="A224" t="s">
        <v>5</v>
      </c>
      <c r="B224" s="1">
        <v>40575</v>
      </c>
      <c r="C224" s="7">
        <v>-163.31616891635201</v>
      </c>
    </row>
    <row r="225" spans="1:3" x14ac:dyDescent="0.25">
      <c r="A225" t="s">
        <v>5</v>
      </c>
      <c r="B225" s="1">
        <v>40603</v>
      </c>
      <c r="C225" s="7">
        <v>-188.44933960162001</v>
      </c>
    </row>
    <row r="226" spans="1:3" x14ac:dyDescent="0.25">
      <c r="A226" t="s">
        <v>5</v>
      </c>
      <c r="B226" s="1">
        <v>40634</v>
      </c>
      <c r="C226" s="7">
        <v>-180.12814604326701</v>
      </c>
    </row>
    <row r="227" spans="1:3" x14ac:dyDescent="0.25">
      <c r="A227" t="s">
        <v>5</v>
      </c>
      <c r="B227" s="1">
        <v>40664</v>
      </c>
      <c r="C227" s="7">
        <v>-179.89422492672699</v>
      </c>
    </row>
    <row r="228" spans="1:3" x14ac:dyDescent="0.25">
      <c r="A228" t="s">
        <v>5</v>
      </c>
      <c r="B228" s="1">
        <v>40695</v>
      </c>
      <c r="C228" s="7">
        <v>-159.84040042960399</v>
      </c>
    </row>
    <row r="229" spans="1:3" x14ac:dyDescent="0.25">
      <c r="A229" t="s">
        <v>5</v>
      </c>
      <c r="B229" s="1">
        <v>40725</v>
      </c>
      <c r="C229" s="7">
        <v>-146.94518042739199</v>
      </c>
    </row>
    <row r="230" spans="1:3" x14ac:dyDescent="0.25">
      <c r="A230" t="s">
        <v>5</v>
      </c>
      <c r="B230" s="1">
        <v>40756</v>
      </c>
      <c r="C230" s="7">
        <v>-121.318314329172</v>
      </c>
    </row>
    <row r="231" spans="1:3" x14ac:dyDescent="0.25">
      <c r="A231" t="s">
        <v>5</v>
      </c>
      <c r="B231" s="1">
        <v>40787</v>
      </c>
      <c r="C231" s="7">
        <v>-93.776439673627195</v>
      </c>
    </row>
    <row r="232" spans="1:3" x14ac:dyDescent="0.25">
      <c r="A232" t="s">
        <v>5</v>
      </c>
      <c r="B232" s="1">
        <v>40817</v>
      </c>
      <c r="C232" s="7">
        <v>-76.186866662199293</v>
      </c>
    </row>
    <row r="233" spans="1:3" x14ac:dyDescent="0.25">
      <c r="A233" t="s">
        <v>5</v>
      </c>
      <c r="B233" s="1">
        <v>40848</v>
      </c>
      <c r="C233" s="7">
        <v>-79.6290195717404</v>
      </c>
    </row>
    <row r="234" spans="1:3" x14ac:dyDescent="0.25">
      <c r="A234" t="s">
        <v>5</v>
      </c>
      <c r="B234" s="1">
        <v>40878</v>
      </c>
      <c r="C234" s="7">
        <v>-71.546478240183902</v>
      </c>
    </row>
    <row r="235" spans="1:3" x14ac:dyDescent="0.25">
      <c r="A235" t="s">
        <v>5</v>
      </c>
      <c r="B235" s="1">
        <v>40909</v>
      </c>
      <c r="C235" s="7">
        <v>-68.7398955888399</v>
      </c>
    </row>
    <row r="236" spans="1:3" x14ac:dyDescent="0.25">
      <c r="A236" t="s">
        <v>5</v>
      </c>
      <c r="B236" s="1">
        <v>40940</v>
      </c>
      <c r="C236" s="7">
        <v>-70.039212433835203</v>
      </c>
    </row>
    <row r="237" spans="1:3" x14ac:dyDescent="0.25">
      <c r="A237" t="s">
        <v>5</v>
      </c>
      <c r="B237" s="1">
        <v>40969</v>
      </c>
      <c r="C237" s="7">
        <v>-97.742811932843907</v>
      </c>
    </row>
    <row r="238" spans="1:3" x14ac:dyDescent="0.25">
      <c r="A238" t="s">
        <v>5</v>
      </c>
      <c r="B238" s="1">
        <v>41000</v>
      </c>
      <c r="C238" s="7">
        <v>-114.596270848274</v>
      </c>
    </row>
    <row r="239" spans="1:3" x14ac:dyDescent="0.25">
      <c r="A239" t="s">
        <v>5</v>
      </c>
      <c r="B239" s="1">
        <v>41030</v>
      </c>
      <c r="C239" s="7">
        <v>-113.140194551834</v>
      </c>
    </row>
    <row r="240" spans="1:3" x14ac:dyDescent="0.25">
      <c r="A240" t="s">
        <v>5</v>
      </c>
      <c r="B240" s="1">
        <v>41061</v>
      </c>
      <c r="C240" s="7">
        <v>-106.891274020472</v>
      </c>
    </row>
    <row r="241" spans="1:3" x14ac:dyDescent="0.25">
      <c r="A241" t="s">
        <v>5</v>
      </c>
      <c r="B241" s="1">
        <v>41091</v>
      </c>
      <c r="C241" s="7">
        <v>-100.139962636495</v>
      </c>
    </row>
    <row r="242" spans="1:3" x14ac:dyDescent="0.25">
      <c r="A242" t="s">
        <v>5</v>
      </c>
      <c r="B242" s="1">
        <v>41122</v>
      </c>
      <c r="C242" s="7">
        <v>-93.325601790406495</v>
      </c>
    </row>
    <row r="243" spans="1:3" x14ac:dyDescent="0.25">
      <c r="A243" t="s">
        <v>5</v>
      </c>
      <c r="B243" s="1">
        <v>41153</v>
      </c>
      <c r="C243" s="7">
        <v>-100.49552467072</v>
      </c>
    </row>
    <row r="244" spans="1:3" x14ac:dyDescent="0.25">
      <c r="A244" t="s">
        <v>5</v>
      </c>
      <c r="B244" s="1">
        <v>41183</v>
      </c>
      <c r="C244" s="7">
        <v>-93.659558699570795</v>
      </c>
    </row>
    <row r="245" spans="1:3" x14ac:dyDescent="0.25">
      <c r="A245" t="s">
        <v>5</v>
      </c>
      <c r="B245" s="1">
        <v>41214</v>
      </c>
      <c r="C245" s="7">
        <v>-86.743330865464102</v>
      </c>
    </row>
    <row r="246" spans="1:3" x14ac:dyDescent="0.25">
      <c r="A246" t="s">
        <v>5</v>
      </c>
      <c r="B246" s="1">
        <v>41244</v>
      </c>
      <c r="C246" s="7">
        <v>-87.977590508037096</v>
      </c>
    </row>
    <row r="247" spans="1:3" x14ac:dyDescent="0.25">
      <c r="A247" t="s">
        <v>5</v>
      </c>
      <c r="B247" s="1">
        <v>41275</v>
      </c>
      <c r="C247" s="7">
        <v>-88.013225433454096</v>
      </c>
    </row>
    <row r="248" spans="1:3" x14ac:dyDescent="0.25">
      <c r="A248" t="s">
        <v>5</v>
      </c>
      <c r="B248" s="1">
        <v>41306</v>
      </c>
      <c r="C248" s="7">
        <v>-96.213708872485995</v>
      </c>
    </row>
    <row r="249" spans="1:3" x14ac:dyDescent="0.25">
      <c r="A249" t="s">
        <v>5</v>
      </c>
      <c r="B249" s="1">
        <v>41334</v>
      </c>
      <c r="C249" s="7">
        <v>-111.245612784985</v>
      </c>
    </row>
    <row r="250" spans="1:3" x14ac:dyDescent="0.25">
      <c r="A250" t="s">
        <v>5</v>
      </c>
      <c r="B250" s="1">
        <v>41365</v>
      </c>
      <c r="C250" s="7">
        <v>-110.290219812676</v>
      </c>
    </row>
    <row r="251" spans="1:3" x14ac:dyDescent="0.25">
      <c r="A251" t="s">
        <v>5</v>
      </c>
      <c r="B251" s="1">
        <v>41395</v>
      </c>
      <c r="C251" s="7">
        <v>-96.531417475033805</v>
      </c>
    </row>
    <row r="252" spans="1:3" x14ac:dyDescent="0.25">
      <c r="A252" t="s">
        <v>5</v>
      </c>
      <c r="B252" s="1">
        <v>41426</v>
      </c>
      <c r="C252" s="7">
        <v>-98.387497677106296</v>
      </c>
    </row>
    <row r="253" spans="1:3" x14ac:dyDescent="0.25">
      <c r="A253" t="s">
        <v>5</v>
      </c>
      <c r="B253" s="1">
        <v>41456</v>
      </c>
      <c r="C253" s="7">
        <v>-149.46169984341299</v>
      </c>
    </row>
    <row r="254" spans="1:3" x14ac:dyDescent="0.25">
      <c r="A254" t="s">
        <v>5</v>
      </c>
      <c r="B254" s="1">
        <v>41487</v>
      </c>
      <c r="C254" s="7">
        <v>-198.690961083437</v>
      </c>
    </row>
    <row r="255" spans="1:3" x14ac:dyDescent="0.25">
      <c r="A255" t="s">
        <v>5</v>
      </c>
      <c r="B255" s="1">
        <v>41518</v>
      </c>
      <c r="C255" s="7">
        <v>-203.15536491588199</v>
      </c>
    </row>
    <row r="256" spans="1:3" x14ac:dyDescent="0.25">
      <c r="A256" t="s">
        <v>5</v>
      </c>
      <c r="B256" s="1">
        <v>41548</v>
      </c>
      <c r="C256" s="7">
        <v>-204.87946544738099</v>
      </c>
    </row>
    <row r="257" spans="1:3" x14ac:dyDescent="0.25">
      <c r="A257" t="s">
        <v>5</v>
      </c>
      <c r="B257" s="1">
        <v>41579</v>
      </c>
      <c r="C257" s="7">
        <v>-174.137763319241</v>
      </c>
    </row>
    <row r="258" spans="1:3" x14ac:dyDescent="0.25">
      <c r="A258" t="s">
        <v>5</v>
      </c>
      <c r="B258" s="1">
        <v>41609</v>
      </c>
      <c r="C258" s="7">
        <v>-181.315420793025</v>
      </c>
    </row>
    <row r="259" spans="1:3" x14ac:dyDescent="0.25">
      <c r="A259" t="s">
        <v>5</v>
      </c>
      <c r="B259" s="1">
        <v>41640</v>
      </c>
      <c r="C259" s="7">
        <v>-197.34233365688601</v>
      </c>
    </row>
    <row r="260" spans="1:3" x14ac:dyDescent="0.25">
      <c r="A260" t="s">
        <v>5</v>
      </c>
      <c r="B260" s="1">
        <v>41671</v>
      </c>
      <c r="C260" s="7">
        <v>-194.33894976034401</v>
      </c>
    </row>
    <row r="261" spans="1:3" x14ac:dyDescent="0.25">
      <c r="A261" t="s">
        <v>5</v>
      </c>
      <c r="B261" s="1">
        <v>41699</v>
      </c>
      <c r="C261" s="7">
        <v>-178.48692990154601</v>
      </c>
    </row>
    <row r="262" spans="1:3" x14ac:dyDescent="0.25">
      <c r="A262" t="s">
        <v>5</v>
      </c>
      <c r="B262" s="1">
        <v>41730</v>
      </c>
      <c r="C262" s="7">
        <v>-175.941401795275</v>
      </c>
    </row>
    <row r="263" spans="1:3" x14ac:dyDescent="0.25">
      <c r="A263" t="s">
        <v>5</v>
      </c>
      <c r="B263" s="1">
        <v>41760</v>
      </c>
      <c r="C263" s="7">
        <v>-168.61203152057601</v>
      </c>
    </row>
    <row r="264" spans="1:3" x14ac:dyDescent="0.25">
      <c r="A264" t="s">
        <v>5</v>
      </c>
      <c r="B264" s="1">
        <v>41791</v>
      </c>
      <c r="C264" s="7">
        <v>-142.38210393666901</v>
      </c>
    </row>
    <row r="265" spans="1:3" x14ac:dyDescent="0.25">
      <c r="A265" t="s">
        <v>5</v>
      </c>
      <c r="B265" s="1">
        <v>41821</v>
      </c>
      <c r="C265" s="7">
        <v>-137.28814372224801</v>
      </c>
    </row>
    <row r="266" spans="1:3" x14ac:dyDescent="0.25">
      <c r="A266" t="s">
        <v>5</v>
      </c>
      <c r="B266" s="1">
        <v>41852</v>
      </c>
      <c r="C266" s="7">
        <v>-131.98744482244001</v>
      </c>
    </row>
    <row r="267" spans="1:3" x14ac:dyDescent="0.25">
      <c r="A267" t="s">
        <v>5</v>
      </c>
      <c r="B267" s="1">
        <v>41883</v>
      </c>
      <c r="C267" s="7">
        <v>-126.607168182151</v>
      </c>
    </row>
    <row r="268" spans="1:3" x14ac:dyDescent="0.25">
      <c r="A268" t="s">
        <v>5</v>
      </c>
      <c r="B268" s="1">
        <v>41913</v>
      </c>
      <c r="C268" s="7">
        <v>-128.74987432198199</v>
      </c>
    </row>
    <row r="269" spans="1:3" x14ac:dyDescent="0.25">
      <c r="A269" t="s">
        <v>5</v>
      </c>
      <c r="B269" s="1">
        <v>41944</v>
      </c>
      <c r="C269" s="7">
        <v>-114.85659585177</v>
      </c>
    </row>
    <row r="270" spans="1:3" x14ac:dyDescent="0.25">
      <c r="A270" t="s">
        <v>5</v>
      </c>
      <c r="B270" s="1">
        <v>41974</v>
      </c>
      <c r="C270" s="7">
        <v>-110.80000876517001</v>
      </c>
    </row>
    <row r="271" spans="1:3" x14ac:dyDescent="0.25">
      <c r="A271" t="s">
        <v>5</v>
      </c>
      <c r="B271" s="1">
        <v>42005</v>
      </c>
      <c r="C271" s="7">
        <v>-90.656865239700096</v>
      </c>
    </row>
    <row r="272" spans="1:3" x14ac:dyDescent="0.25">
      <c r="A272" t="s">
        <v>5</v>
      </c>
      <c r="B272" s="1">
        <v>42036</v>
      </c>
      <c r="C272" s="7">
        <v>-70.870406476145007</v>
      </c>
    </row>
    <row r="273" spans="1:3" x14ac:dyDescent="0.25">
      <c r="A273" t="s">
        <v>5</v>
      </c>
      <c r="B273" s="1">
        <v>42064</v>
      </c>
      <c r="C273" s="7">
        <v>-72.637260094452003</v>
      </c>
    </row>
    <row r="274" spans="1:3" x14ac:dyDescent="0.25">
      <c r="A274" t="s">
        <v>5</v>
      </c>
      <c r="B274" s="1">
        <v>42095</v>
      </c>
      <c r="C274" s="7">
        <v>-68.711562827176905</v>
      </c>
    </row>
    <row r="275" spans="1:3" x14ac:dyDescent="0.25">
      <c r="A275" t="s">
        <v>5</v>
      </c>
      <c r="B275" s="1">
        <v>42125</v>
      </c>
      <c r="C275" s="7">
        <v>-50.524846771396597</v>
      </c>
    </row>
    <row r="276" spans="1:3" x14ac:dyDescent="0.25">
      <c r="A276" t="s">
        <v>5</v>
      </c>
      <c r="B276" s="1">
        <v>42156</v>
      </c>
      <c r="C276" s="7">
        <v>-58.894842055431901</v>
      </c>
    </row>
    <row r="277" spans="1:3" x14ac:dyDescent="0.25">
      <c r="A277" t="s">
        <v>5</v>
      </c>
      <c r="B277" s="1">
        <v>42186</v>
      </c>
      <c r="C277" s="7">
        <v>-70.665367534873099</v>
      </c>
    </row>
    <row r="278" spans="1:3" x14ac:dyDescent="0.25">
      <c r="A278" t="s">
        <v>5</v>
      </c>
      <c r="B278" s="1">
        <v>42217</v>
      </c>
      <c r="C278" s="7">
        <v>-72.721954136915301</v>
      </c>
    </row>
    <row r="279" spans="1:3" x14ac:dyDescent="0.25">
      <c r="A279" t="s">
        <v>5</v>
      </c>
      <c r="B279" s="1">
        <v>42248</v>
      </c>
      <c r="C279" s="7">
        <v>-50.322947054787697</v>
      </c>
    </row>
    <row r="280" spans="1:3" x14ac:dyDescent="0.25">
      <c r="A280" t="s">
        <v>5</v>
      </c>
      <c r="B280" s="1">
        <v>42278</v>
      </c>
      <c r="C280" s="7">
        <v>-48.433994884894702</v>
      </c>
    </row>
    <row r="281" spans="1:3" x14ac:dyDescent="0.25">
      <c r="A281" t="s">
        <v>5</v>
      </c>
      <c r="B281" s="1">
        <v>42309</v>
      </c>
      <c r="C281" s="7">
        <v>-37.907993418698901</v>
      </c>
    </row>
    <row r="282" spans="1:3" x14ac:dyDescent="0.25">
      <c r="A282" t="s">
        <v>5</v>
      </c>
      <c r="B282" s="1">
        <v>42339</v>
      </c>
      <c r="C282" s="7">
        <v>-54.469340689123101</v>
      </c>
    </row>
    <row r="283" spans="1:3" x14ac:dyDescent="0.25">
      <c r="A283" t="s">
        <v>5</v>
      </c>
      <c r="B283" s="1">
        <v>42370</v>
      </c>
      <c r="C283" s="7">
        <v>-55.565085626141602</v>
      </c>
    </row>
    <row r="284" spans="1:3" x14ac:dyDescent="0.25">
      <c r="A284" t="s">
        <v>5</v>
      </c>
      <c r="B284" s="1">
        <v>42401</v>
      </c>
      <c r="C284" s="7">
        <v>-46.139739744210601</v>
      </c>
    </row>
    <row r="285" spans="1:3" x14ac:dyDescent="0.25">
      <c r="A285" t="s">
        <v>5</v>
      </c>
      <c r="B285" s="1">
        <v>42430</v>
      </c>
      <c r="C285" s="7">
        <v>-23.272287823531201</v>
      </c>
    </row>
    <row r="286" spans="1:3" x14ac:dyDescent="0.25">
      <c r="A286" t="s">
        <v>6</v>
      </c>
      <c r="B286" s="1">
        <v>41091</v>
      </c>
      <c r="C286" s="7">
        <v>-142.078371120138</v>
      </c>
    </row>
    <row r="287" spans="1:3" x14ac:dyDescent="0.25">
      <c r="A287" t="s">
        <v>6</v>
      </c>
      <c r="B287" s="1">
        <v>41122</v>
      </c>
      <c r="C287" s="7">
        <v>-133.24023173531401</v>
      </c>
    </row>
    <row r="288" spans="1:3" x14ac:dyDescent="0.25">
      <c r="A288" t="s">
        <v>6</v>
      </c>
      <c r="B288" s="1">
        <v>41153</v>
      </c>
      <c r="C288" s="7">
        <v>-139.16918260806699</v>
      </c>
    </row>
    <row r="289" spans="1:3" x14ac:dyDescent="0.25">
      <c r="A289" t="s">
        <v>6</v>
      </c>
      <c r="B289" s="1">
        <v>41183</v>
      </c>
      <c r="C289" s="7">
        <v>-131.52255480477999</v>
      </c>
    </row>
    <row r="290" spans="1:3" x14ac:dyDescent="0.25">
      <c r="A290" t="s">
        <v>6</v>
      </c>
      <c r="B290" s="1">
        <v>41214</v>
      </c>
      <c r="C290" s="7">
        <v>-124.367964398464</v>
      </c>
    </row>
    <row r="291" spans="1:3" x14ac:dyDescent="0.25">
      <c r="A291" t="s">
        <v>6</v>
      </c>
      <c r="B291" s="1">
        <v>41244</v>
      </c>
      <c r="C291" s="7">
        <v>-124.61699437334001</v>
      </c>
    </row>
    <row r="292" spans="1:3" x14ac:dyDescent="0.25">
      <c r="A292" t="s">
        <v>6</v>
      </c>
      <c r="B292" s="1">
        <v>41275</v>
      </c>
      <c r="C292" s="7">
        <v>-126.019882103846</v>
      </c>
    </row>
    <row r="293" spans="1:3" x14ac:dyDescent="0.25">
      <c r="A293" t="s">
        <v>6</v>
      </c>
      <c r="B293" s="1">
        <v>41306</v>
      </c>
      <c r="C293" s="7">
        <v>-135.38000668457201</v>
      </c>
    </row>
    <row r="294" spans="1:3" x14ac:dyDescent="0.25">
      <c r="A294" t="s">
        <v>6</v>
      </c>
      <c r="B294" s="1">
        <v>41334</v>
      </c>
      <c r="C294" s="7">
        <v>-151.93995731642599</v>
      </c>
    </row>
    <row r="295" spans="1:3" x14ac:dyDescent="0.25">
      <c r="A295" t="s">
        <v>6</v>
      </c>
      <c r="B295" s="1">
        <v>41365</v>
      </c>
      <c r="C295" s="7">
        <v>-156.643793433399</v>
      </c>
    </row>
    <row r="296" spans="1:3" x14ac:dyDescent="0.25">
      <c r="A296" t="s">
        <v>6</v>
      </c>
      <c r="B296" s="1">
        <v>41395</v>
      </c>
      <c r="C296" s="7">
        <v>-147.14089196368201</v>
      </c>
    </row>
    <row r="297" spans="1:3" x14ac:dyDescent="0.25">
      <c r="A297" t="s">
        <v>6</v>
      </c>
      <c r="B297" s="1">
        <v>41426</v>
      </c>
      <c r="C297" s="7">
        <v>-155.60824224974101</v>
      </c>
    </row>
    <row r="298" spans="1:3" x14ac:dyDescent="0.25">
      <c r="A298" t="s">
        <v>6</v>
      </c>
      <c r="B298" s="1">
        <v>41456</v>
      </c>
      <c r="C298" s="7">
        <v>-210.33492639561899</v>
      </c>
    </row>
    <row r="299" spans="1:3" x14ac:dyDescent="0.25">
      <c r="A299" t="s">
        <v>6</v>
      </c>
      <c r="B299" s="1">
        <v>41487</v>
      </c>
      <c r="C299" s="7">
        <v>-272.76573344250801</v>
      </c>
    </row>
    <row r="300" spans="1:3" x14ac:dyDescent="0.25">
      <c r="A300" t="s">
        <v>6</v>
      </c>
      <c r="B300" s="1">
        <v>41518</v>
      </c>
      <c r="C300" s="7">
        <v>-282.09694618045398</v>
      </c>
    </row>
    <row r="301" spans="1:3" x14ac:dyDescent="0.25">
      <c r="A301" t="s">
        <v>6</v>
      </c>
      <c r="B301" s="1">
        <v>41548</v>
      </c>
      <c r="C301" s="7">
        <v>-283.23348391039099</v>
      </c>
    </row>
    <row r="302" spans="1:3" x14ac:dyDescent="0.25">
      <c r="A302" t="s">
        <v>6</v>
      </c>
      <c r="B302" s="1">
        <v>41579</v>
      </c>
      <c r="C302" s="7">
        <v>-252.48439527586601</v>
      </c>
    </row>
    <row r="303" spans="1:3" x14ac:dyDescent="0.25">
      <c r="A303" t="s">
        <v>6</v>
      </c>
      <c r="B303" s="1">
        <v>41609</v>
      </c>
      <c r="C303" s="7">
        <v>-258.121787056789</v>
      </c>
    </row>
    <row r="304" spans="1:3" x14ac:dyDescent="0.25">
      <c r="A304" t="s">
        <v>6</v>
      </c>
      <c r="B304" s="1">
        <v>41640</v>
      </c>
      <c r="C304" s="7">
        <v>-275.74463100096602</v>
      </c>
    </row>
    <row r="305" spans="1:3" x14ac:dyDescent="0.25">
      <c r="A305" t="s">
        <v>6</v>
      </c>
      <c r="B305" s="1">
        <v>41671</v>
      </c>
      <c r="C305" s="7">
        <v>-274.159595906395</v>
      </c>
    </row>
    <row r="306" spans="1:3" x14ac:dyDescent="0.25">
      <c r="A306" t="s">
        <v>6</v>
      </c>
      <c r="B306" s="1">
        <v>41699</v>
      </c>
      <c r="C306" s="7">
        <v>-259.86501646436102</v>
      </c>
    </row>
    <row r="307" spans="1:3" x14ac:dyDescent="0.25">
      <c r="A307" t="s">
        <v>6</v>
      </c>
      <c r="B307" s="1">
        <v>41730</v>
      </c>
      <c r="C307" s="7">
        <v>-260.84261917682198</v>
      </c>
    </row>
    <row r="308" spans="1:3" x14ac:dyDescent="0.25">
      <c r="A308" t="s">
        <v>6</v>
      </c>
      <c r="B308" s="1">
        <v>41760</v>
      </c>
      <c r="C308" s="7">
        <v>-261.37617055120398</v>
      </c>
    </row>
    <row r="309" spans="1:3" x14ac:dyDescent="0.25">
      <c r="A309" t="s">
        <v>6</v>
      </c>
      <c r="B309" s="1">
        <v>41791</v>
      </c>
      <c r="C309" s="7">
        <v>-241.94204596977801</v>
      </c>
    </row>
    <row r="310" spans="1:3" x14ac:dyDescent="0.25">
      <c r="A310" t="s">
        <v>6</v>
      </c>
      <c r="B310" s="1">
        <v>41821</v>
      </c>
      <c r="C310" s="7">
        <v>-238.98042170208399</v>
      </c>
    </row>
    <row r="311" spans="1:3" x14ac:dyDescent="0.25">
      <c r="A311" t="s">
        <v>6</v>
      </c>
      <c r="B311" s="1">
        <v>41852</v>
      </c>
      <c r="C311" s="7">
        <v>-235.67975334308099</v>
      </c>
    </row>
    <row r="312" spans="1:3" x14ac:dyDescent="0.25">
      <c r="A312" t="s">
        <v>6</v>
      </c>
      <c r="B312" s="1">
        <v>41883</v>
      </c>
      <c r="C312" s="7">
        <v>-232.23468390435099</v>
      </c>
    </row>
    <row r="313" spans="1:3" x14ac:dyDescent="0.25">
      <c r="A313" t="s">
        <v>6</v>
      </c>
      <c r="B313" s="1">
        <v>41913</v>
      </c>
      <c r="C313" s="7">
        <v>-234.51235811580599</v>
      </c>
    </row>
    <row r="314" spans="1:3" x14ac:dyDescent="0.25">
      <c r="A314" t="s">
        <v>6</v>
      </c>
      <c r="B314" s="1">
        <v>41944</v>
      </c>
      <c r="C314" s="7">
        <v>-220.66327730984801</v>
      </c>
    </row>
    <row r="315" spans="1:3" x14ac:dyDescent="0.25">
      <c r="A315" t="s">
        <v>6</v>
      </c>
      <c r="B315" s="1">
        <v>41974</v>
      </c>
      <c r="C315" s="7">
        <v>-216.59199712386501</v>
      </c>
    </row>
    <row r="316" spans="1:3" x14ac:dyDescent="0.25">
      <c r="A316" t="s">
        <v>6</v>
      </c>
      <c r="B316" s="1">
        <v>42005</v>
      </c>
      <c r="C316" s="7">
        <v>-202.575032987388</v>
      </c>
    </row>
    <row r="317" spans="1:3" x14ac:dyDescent="0.25">
      <c r="A317" t="s">
        <v>6</v>
      </c>
      <c r="B317" s="1">
        <v>42036</v>
      </c>
      <c r="C317" s="7">
        <v>-183.205626282981</v>
      </c>
    </row>
    <row r="318" spans="1:3" x14ac:dyDescent="0.25">
      <c r="A318" t="s">
        <v>6</v>
      </c>
      <c r="B318" s="1">
        <v>42064</v>
      </c>
      <c r="C318" s="7">
        <v>-185.562968644954</v>
      </c>
    </row>
    <row r="319" spans="1:3" x14ac:dyDescent="0.25">
      <c r="A319" t="s">
        <v>6</v>
      </c>
      <c r="B319" s="1">
        <v>42095</v>
      </c>
      <c r="C319" s="7">
        <v>-187.72622952096501</v>
      </c>
    </row>
    <row r="320" spans="1:3" x14ac:dyDescent="0.25">
      <c r="A320" t="s">
        <v>6</v>
      </c>
      <c r="B320" s="1">
        <v>42125</v>
      </c>
      <c r="C320" s="7">
        <v>-175.01884349706799</v>
      </c>
    </row>
    <row r="321" spans="1:3" x14ac:dyDescent="0.25">
      <c r="A321" t="s">
        <v>6</v>
      </c>
      <c r="B321" s="1">
        <v>42156</v>
      </c>
      <c r="C321" s="7">
        <v>-187.85534207746201</v>
      </c>
    </row>
    <row r="322" spans="1:3" x14ac:dyDescent="0.25">
      <c r="A322" t="s">
        <v>6</v>
      </c>
      <c r="B322" s="1">
        <v>42186</v>
      </c>
      <c r="C322" s="7">
        <v>-199.94102766310999</v>
      </c>
    </row>
    <row r="323" spans="1:3" x14ac:dyDescent="0.25">
      <c r="A323" t="s">
        <v>6</v>
      </c>
      <c r="B323" s="1">
        <v>42217</v>
      </c>
      <c r="C323" s="7">
        <v>-202.18359027963299</v>
      </c>
    </row>
    <row r="324" spans="1:3" x14ac:dyDescent="0.25">
      <c r="A324" t="s">
        <v>6</v>
      </c>
      <c r="B324" s="1">
        <v>42248</v>
      </c>
      <c r="C324" s="7">
        <v>-175.50050719532101</v>
      </c>
    </row>
    <row r="325" spans="1:3" x14ac:dyDescent="0.25">
      <c r="A325" t="s">
        <v>6</v>
      </c>
      <c r="B325" s="1">
        <v>42278</v>
      </c>
      <c r="C325" s="7">
        <v>-172.30309543489801</v>
      </c>
    </row>
    <row r="326" spans="1:3" x14ac:dyDescent="0.25">
      <c r="A326" t="s">
        <v>6</v>
      </c>
      <c r="B326" s="1">
        <v>42309</v>
      </c>
      <c r="C326" s="7">
        <v>-160.379337614424</v>
      </c>
    </row>
    <row r="327" spans="1:3" x14ac:dyDescent="0.25">
      <c r="A327" t="s">
        <v>6</v>
      </c>
      <c r="B327" s="1">
        <v>42339</v>
      </c>
      <c r="C327" s="7">
        <v>-175.647190347546</v>
      </c>
    </row>
    <row r="328" spans="1:3" x14ac:dyDescent="0.25">
      <c r="A328" t="s">
        <v>6</v>
      </c>
      <c r="B328" s="1">
        <v>42370</v>
      </c>
      <c r="C328" s="7">
        <v>-176.58406373365199</v>
      </c>
    </row>
    <row r="329" spans="1:3" x14ac:dyDescent="0.25">
      <c r="A329" t="s">
        <v>6</v>
      </c>
      <c r="B329" s="1">
        <v>42401</v>
      </c>
      <c r="C329" s="7">
        <v>-166.93194396833599</v>
      </c>
    </row>
    <row r="330" spans="1:3" x14ac:dyDescent="0.25">
      <c r="A330" t="s">
        <v>6</v>
      </c>
      <c r="B330" s="1">
        <v>42430</v>
      </c>
      <c r="C330" s="7">
        <v>-143.84702943982401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492"/>
  <sheetViews>
    <sheetView workbookViewId="0">
      <selection activeCell="P2" sqref="P2:T117"/>
    </sheetView>
  </sheetViews>
  <sheetFormatPr defaultRowHeight="15" x14ac:dyDescent="0.25"/>
  <cols>
    <col min="7" max="7" width="23.85546875" customWidth="1"/>
    <col min="8" max="8" width="16.28515625" customWidth="1"/>
    <col min="9" max="10" width="12" customWidth="1"/>
    <col min="11" max="11" width="12.7109375" customWidth="1"/>
    <col min="12" max="12" width="7.28515625" customWidth="1"/>
    <col min="13" max="13" width="12.7109375" bestFit="1" customWidth="1"/>
  </cols>
  <sheetData>
    <row r="1" spans="1:20" x14ac:dyDescent="0.25">
      <c r="A1" t="s">
        <v>0</v>
      </c>
      <c r="B1" t="s">
        <v>12</v>
      </c>
      <c r="C1" t="s">
        <v>1</v>
      </c>
      <c r="D1" t="s">
        <v>2</v>
      </c>
      <c r="G1" s="4" t="s">
        <v>11</v>
      </c>
      <c r="H1" s="4" t="s">
        <v>10</v>
      </c>
    </row>
    <row r="2" spans="1:20" x14ac:dyDescent="0.25">
      <c r="A2" t="s">
        <v>3</v>
      </c>
      <c r="B2">
        <v>4</v>
      </c>
      <c r="C2" s="1">
        <v>42491</v>
      </c>
      <c r="D2" t="s">
        <v>13</v>
      </c>
      <c r="G2" s="4" t="s">
        <v>7</v>
      </c>
      <c r="H2" t="s">
        <v>3</v>
      </c>
      <c r="I2" t="s">
        <v>4</v>
      </c>
      <c r="J2" t="s">
        <v>5</v>
      </c>
      <c r="K2" t="s">
        <v>6</v>
      </c>
      <c r="L2" t="s">
        <v>8</v>
      </c>
      <c r="M2" t="s">
        <v>9</v>
      </c>
      <c r="Q2" s="3" t="s">
        <v>3</v>
      </c>
      <c r="R2" s="3" t="s">
        <v>4</v>
      </c>
      <c r="S2" s="3" t="s">
        <v>5</v>
      </c>
      <c r="T2" s="3" t="s">
        <v>6</v>
      </c>
    </row>
    <row r="3" spans="1:20" x14ac:dyDescent="0.25">
      <c r="A3" t="s">
        <v>3</v>
      </c>
      <c r="B3">
        <v>33</v>
      </c>
      <c r="C3" s="1">
        <v>42461</v>
      </c>
      <c r="D3" t="s">
        <v>13</v>
      </c>
      <c r="G3" s="5">
        <v>34335</v>
      </c>
      <c r="H3" s="2">
        <v>-15.91</v>
      </c>
      <c r="I3" s="2"/>
      <c r="J3" s="2"/>
      <c r="K3" s="2"/>
      <c r="L3" s="2"/>
      <c r="M3" s="2">
        <v>-15.91</v>
      </c>
      <c r="P3" s="5">
        <v>38961</v>
      </c>
      <c r="Q3" s="2">
        <v>-23.69</v>
      </c>
      <c r="R3" s="2"/>
      <c r="S3" s="2"/>
      <c r="T3" s="2"/>
    </row>
    <row r="4" spans="1:20" x14ac:dyDescent="0.25">
      <c r="A4" t="s">
        <v>4</v>
      </c>
      <c r="B4">
        <v>3</v>
      </c>
      <c r="C4" s="1">
        <v>42461</v>
      </c>
      <c r="D4" t="s">
        <v>13</v>
      </c>
      <c r="G4" s="5">
        <v>34366</v>
      </c>
      <c r="H4" s="2">
        <v>77.11</v>
      </c>
      <c r="I4" s="2"/>
      <c r="J4" s="2"/>
      <c r="K4" s="2"/>
      <c r="L4" s="2"/>
      <c r="M4" s="2">
        <v>77.11</v>
      </c>
      <c r="P4" s="5">
        <v>38991</v>
      </c>
      <c r="Q4" s="2">
        <v>-15.42</v>
      </c>
      <c r="R4" s="2"/>
      <c r="S4" s="2"/>
      <c r="T4" s="2"/>
    </row>
    <row r="5" spans="1:20" x14ac:dyDescent="0.25">
      <c r="A5" t="s">
        <v>5</v>
      </c>
      <c r="B5">
        <v>1</v>
      </c>
      <c r="C5" s="1">
        <v>42461</v>
      </c>
      <c r="D5" t="s">
        <v>13</v>
      </c>
      <c r="G5" s="5">
        <v>34394</v>
      </c>
      <c r="H5" s="2">
        <v>61.79</v>
      </c>
      <c r="I5" s="2"/>
      <c r="J5" s="2"/>
      <c r="K5" s="2"/>
      <c r="L5" s="2"/>
      <c r="M5" s="2">
        <v>61.79</v>
      </c>
      <c r="P5" s="5">
        <v>39022</v>
      </c>
      <c r="Q5" s="2">
        <v>-10.98</v>
      </c>
      <c r="R5" s="2"/>
      <c r="S5" s="2"/>
      <c r="T5" s="2"/>
    </row>
    <row r="6" spans="1:20" x14ac:dyDescent="0.25">
      <c r="A6" t="s">
        <v>6</v>
      </c>
      <c r="B6">
        <v>1</v>
      </c>
      <c r="C6" s="1">
        <v>42461</v>
      </c>
      <c r="D6" t="s">
        <v>13</v>
      </c>
      <c r="G6" s="5">
        <v>34425</v>
      </c>
      <c r="H6" s="2">
        <v>8.99</v>
      </c>
      <c r="I6" s="2"/>
      <c r="J6" s="2"/>
      <c r="K6" s="2"/>
      <c r="L6" s="2"/>
      <c r="M6" s="2">
        <v>8.99</v>
      </c>
      <c r="P6" s="5">
        <v>39052</v>
      </c>
      <c r="Q6" s="2">
        <v>-3.25</v>
      </c>
      <c r="R6" s="2"/>
      <c r="S6" s="2"/>
      <c r="T6" s="2"/>
    </row>
    <row r="7" spans="1:20" x14ac:dyDescent="0.25">
      <c r="A7" t="s">
        <v>3</v>
      </c>
      <c r="B7">
        <v>177656</v>
      </c>
      <c r="C7" s="1">
        <v>42430</v>
      </c>
      <c r="D7">
        <v>56.26</v>
      </c>
      <c r="G7" s="5">
        <v>34455</v>
      </c>
      <c r="H7" s="2" t="e">
        <v>#DIV/0!</v>
      </c>
      <c r="I7" s="2"/>
      <c r="J7" s="2"/>
      <c r="K7" s="2"/>
      <c r="L7" s="2"/>
      <c r="M7" s="2" t="e">
        <v>#DIV/0!</v>
      </c>
      <c r="P7" s="5">
        <v>39083</v>
      </c>
      <c r="Q7" s="2">
        <v>5.47</v>
      </c>
      <c r="R7" s="2"/>
      <c r="S7" s="2"/>
      <c r="T7" s="2"/>
    </row>
    <row r="8" spans="1:20" x14ac:dyDescent="0.25">
      <c r="A8" t="s">
        <v>4</v>
      </c>
      <c r="B8">
        <v>1454</v>
      </c>
      <c r="C8" s="1">
        <v>42430</v>
      </c>
      <c r="D8">
        <v>42.12</v>
      </c>
      <c r="G8" s="5">
        <v>34486</v>
      </c>
      <c r="H8" s="2">
        <v>-93.03</v>
      </c>
      <c r="I8" s="2"/>
      <c r="J8" s="2"/>
      <c r="K8" s="2"/>
      <c r="L8" s="2"/>
      <c r="M8" s="2">
        <v>-93.03</v>
      </c>
      <c r="P8" s="5">
        <v>39114</v>
      </c>
      <c r="Q8" s="2">
        <v>-1.37</v>
      </c>
      <c r="R8" s="2"/>
      <c r="S8" s="2"/>
      <c r="T8" s="2"/>
    </row>
    <row r="9" spans="1:20" x14ac:dyDescent="0.25">
      <c r="A9" t="s">
        <v>5</v>
      </c>
      <c r="B9">
        <v>3931</v>
      </c>
      <c r="C9" s="1">
        <v>42430</v>
      </c>
      <c r="D9">
        <v>131.31</v>
      </c>
      <c r="G9" s="5">
        <v>34516</v>
      </c>
      <c r="H9" s="2">
        <v>-56.77</v>
      </c>
      <c r="I9" s="2"/>
      <c r="J9" s="2"/>
      <c r="K9" s="2"/>
      <c r="L9" s="2"/>
      <c r="M9" s="2">
        <v>-56.77</v>
      </c>
      <c r="P9" s="5">
        <v>39142</v>
      </c>
      <c r="Q9" s="2">
        <v>-1.46</v>
      </c>
      <c r="R9" s="2"/>
      <c r="S9" s="2"/>
      <c r="T9" s="2"/>
    </row>
    <row r="10" spans="1:20" x14ac:dyDescent="0.25">
      <c r="A10" t="s">
        <v>6</v>
      </c>
      <c r="B10">
        <v>2524</v>
      </c>
      <c r="C10" s="1">
        <v>42430</v>
      </c>
      <c r="D10">
        <v>-24.95</v>
      </c>
      <c r="G10" s="5">
        <v>34547</v>
      </c>
      <c r="H10" s="2">
        <v>-73.63</v>
      </c>
      <c r="I10" s="2"/>
      <c r="J10" s="2"/>
      <c r="K10" s="2"/>
      <c r="L10" s="2"/>
      <c r="M10" s="2">
        <v>-73.63</v>
      </c>
      <c r="P10" s="5">
        <v>39173</v>
      </c>
      <c r="Q10" s="2">
        <v>4.87</v>
      </c>
      <c r="R10" s="2"/>
      <c r="S10" s="2"/>
      <c r="T10" s="2"/>
    </row>
    <row r="11" spans="1:20" x14ac:dyDescent="0.25">
      <c r="A11" t="s">
        <v>3</v>
      </c>
      <c r="B11">
        <v>177565</v>
      </c>
      <c r="C11" s="1">
        <v>42401</v>
      </c>
      <c r="D11">
        <v>42.4</v>
      </c>
      <c r="G11" s="5">
        <v>34578</v>
      </c>
      <c r="H11" s="2">
        <v>-62.86</v>
      </c>
      <c r="I11" s="2"/>
      <c r="J11" s="2"/>
      <c r="K11" s="2"/>
      <c r="L11" s="2"/>
      <c r="M11" s="2">
        <v>-62.86</v>
      </c>
      <c r="P11" s="5">
        <v>39203</v>
      </c>
      <c r="Q11" s="2">
        <v>2.54</v>
      </c>
      <c r="R11" s="2"/>
      <c r="S11" s="2"/>
      <c r="T11" s="2"/>
    </row>
    <row r="12" spans="1:20" x14ac:dyDescent="0.25">
      <c r="A12" t="s">
        <v>4</v>
      </c>
      <c r="B12">
        <v>1445</v>
      </c>
      <c r="C12" s="1">
        <v>42401</v>
      </c>
      <c r="D12">
        <v>19.34</v>
      </c>
      <c r="G12" s="5">
        <v>34608</v>
      </c>
      <c r="H12" s="2">
        <v>-72.599999999999994</v>
      </c>
      <c r="I12" s="2"/>
      <c r="J12" s="2"/>
      <c r="K12" s="2"/>
      <c r="L12" s="2"/>
      <c r="M12" s="2">
        <v>-72.599999999999994</v>
      </c>
      <c r="P12" s="5">
        <v>39234</v>
      </c>
      <c r="Q12" s="2">
        <v>-2.58</v>
      </c>
      <c r="R12" s="2"/>
      <c r="S12" s="2"/>
      <c r="T12" s="2"/>
    </row>
    <row r="13" spans="1:20" x14ac:dyDescent="0.25">
      <c r="A13" t="s">
        <v>5</v>
      </c>
      <c r="B13">
        <v>3910</v>
      </c>
      <c r="C13" s="1">
        <v>42401</v>
      </c>
      <c r="D13">
        <v>109.05</v>
      </c>
      <c r="G13" s="5">
        <v>34639</v>
      </c>
      <c r="H13" s="2">
        <v>-96.4</v>
      </c>
      <c r="I13" s="2"/>
      <c r="J13" s="2"/>
      <c r="K13" s="2"/>
      <c r="L13" s="2"/>
      <c r="M13" s="2">
        <v>-96.4</v>
      </c>
      <c r="P13" s="5">
        <v>39264</v>
      </c>
      <c r="Q13" s="2">
        <v>-28.42</v>
      </c>
      <c r="R13" s="2"/>
      <c r="S13" s="2"/>
      <c r="T13" s="2"/>
    </row>
    <row r="14" spans="1:20" x14ac:dyDescent="0.25">
      <c r="A14" t="s">
        <v>6</v>
      </c>
      <c r="B14">
        <v>2514</v>
      </c>
      <c r="C14" s="1">
        <v>42401</v>
      </c>
      <c r="D14">
        <v>-37.61</v>
      </c>
      <c r="G14" s="5">
        <v>34669</v>
      </c>
      <c r="H14" s="2">
        <v>-117.65</v>
      </c>
      <c r="I14" s="2"/>
      <c r="J14" s="2"/>
      <c r="K14" s="2"/>
      <c r="L14" s="2"/>
      <c r="M14" s="2">
        <v>-117.65</v>
      </c>
      <c r="P14" s="5">
        <v>39295</v>
      </c>
      <c r="Q14" s="2">
        <v>-30.34</v>
      </c>
      <c r="R14" s="2"/>
      <c r="S14" s="2"/>
      <c r="T14" s="2"/>
    </row>
    <row r="15" spans="1:20" x14ac:dyDescent="0.25">
      <c r="A15" t="s">
        <v>3</v>
      </c>
      <c r="B15">
        <v>177611</v>
      </c>
      <c r="C15" s="1">
        <v>42370</v>
      </c>
      <c r="D15">
        <v>37.24</v>
      </c>
      <c r="G15" s="5">
        <v>34700</v>
      </c>
      <c r="H15" s="2">
        <v>-119.03</v>
      </c>
      <c r="I15" s="2"/>
      <c r="J15" s="2"/>
      <c r="K15" s="2"/>
      <c r="L15" s="2"/>
      <c r="M15" s="2">
        <v>-119.03</v>
      </c>
      <c r="P15" s="5">
        <v>39326</v>
      </c>
      <c r="Q15" s="2">
        <v>-21.17</v>
      </c>
      <c r="R15" s="2"/>
      <c r="S15" s="2"/>
      <c r="T15" s="2"/>
    </row>
    <row r="16" spans="1:20" x14ac:dyDescent="0.25">
      <c r="A16" t="s">
        <v>4</v>
      </c>
      <c r="B16">
        <v>1433</v>
      </c>
      <c r="C16" s="1">
        <v>42370</v>
      </c>
      <c r="D16">
        <v>9.74</v>
      </c>
      <c r="G16" s="5">
        <v>34731</v>
      </c>
      <c r="H16" s="2">
        <v>-114.36</v>
      </c>
      <c r="I16" s="2"/>
      <c r="J16" s="2"/>
      <c r="K16" s="2"/>
      <c r="L16" s="2"/>
      <c r="M16" s="2">
        <v>-114.36</v>
      </c>
      <c r="P16" s="5">
        <v>39356</v>
      </c>
      <c r="Q16" s="2">
        <v>-9.41</v>
      </c>
      <c r="R16" s="2"/>
      <c r="S16" s="2"/>
      <c r="T16" s="2"/>
    </row>
    <row r="17" spans="1:20" x14ac:dyDescent="0.25">
      <c r="A17" t="s">
        <v>5</v>
      </c>
      <c r="B17">
        <v>3890</v>
      </c>
      <c r="C17" s="1">
        <v>42370</v>
      </c>
      <c r="D17">
        <v>100.98</v>
      </c>
      <c r="G17" s="5">
        <v>34759</v>
      </c>
      <c r="H17" s="2">
        <v>-86.7</v>
      </c>
      <c r="I17" s="2"/>
      <c r="J17" s="2"/>
      <c r="K17" s="2"/>
      <c r="L17" s="2"/>
      <c r="M17" s="2">
        <v>-86.7</v>
      </c>
      <c r="P17" s="5">
        <v>39387</v>
      </c>
      <c r="Q17" s="2">
        <v>-6.17</v>
      </c>
      <c r="R17" s="2"/>
      <c r="S17" s="2"/>
      <c r="T17" s="2"/>
    </row>
    <row r="18" spans="1:20" x14ac:dyDescent="0.25">
      <c r="A18" t="s">
        <v>6</v>
      </c>
      <c r="B18">
        <v>2500</v>
      </c>
      <c r="C18" s="1">
        <v>42370</v>
      </c>
      <c r="D18">
        <v>-43.16</v>
      </c>
      <c r="G18" s="5">
        <v>34790</v>
      </c>
      <c r="H18" s="2">
        <v>-52.48</v>
      </c>
      <c r="I18" s="2"/>
      <c r="J18" s="2"/>
      <c r="K18" s="2"/>
      <c r="L18" s="2"/>
      <c r="M18" s="2">
        <v>-52.48</v>
      </c>
      <c r="P18" s="5">
        <v>39417</v>
      </c>
      <c r="Q18" s="2">
        <v>4.5599999999999996</v>
      </c>
      <c r="R18" s="2"/>
      <c r="S18" s="2"/>
      <c r="T18" s="2"/>
    </row>
    <row r="19" spans="1:20" x14ac:dyDescent="0.25">
      <c r="A19" t="s">
        <v>3</v>
      </c>
      <c r="B19">
        <v>177683</v>
      </c>
      <c r="C19" s="1">
        <v>42339</v>
      </c>
      <c r="D19">
        <v>38.92</v>
      </c>
      <c r="G19" s="5">
        <v>34820</v>
      </c>
      <c r="H19" s="2">
        <v>-40.53</v>
      </c>
      <c r="I19" s="2"/>
      <c r="J19" s="2"/>
      <c r="K19" s="2"/>
      <c r="L19" s="2"/>
      <c r="M19" s="2">
        <v>-40.53</v>
      </c>
      <c r="P19" s="5">
        <v>39448</v>
      </c>
      <c r="Q19" s="2">
        <v>11.2</v>
      </c>
      <c r="R19" s="2"/>
      <c r="S19" s="2"/>
      <c r="T19" s="2"/>
    </row>
    <row r="20" spans="1:20" x14ac:dyDescent="0.25">
      <c r="A20" t="s">
        <v>4</v>
      </c>
      <c r="B20">
        <v>1424</v>
      </c>
      <c r="C20" s="1">
        <v>42339</v>
      </c>
      <c r="D20">
        <v>9.92</v>
      </c>
      <c r="G20" s="5">
        <v>34851</v>
      </c>
      <c r="H20" s="2">
        <v>-6.51</v>
      </c>
      <c r="I20" s="2"/>
      <c r="J20" s="2"/>
      <c r="K20" s="2"/>
      <c r="L20" s="2"/>
      <c r="M20" s="2">
        <v>-6.51</v>
      </c>
      <c r="P20" s="5">
        <v>39479</v>
      </c>
      <c r="Q20" s="2">
        <v>32.270000000000003</v>
      </c>
      <c r="R20" s="2"/>
      <c r="S20" s="2"/>
      <c r="T20" s="2"/>
    </row>
    <row r="21" spans="1:20" x14ac:dyDescent="0.25">
      <c r="A21" t="s">
        <v>5</v>
      </c>
      <c r="B21">
        <v>3871</v>
      </c>
      <c r="C21" s="1">
        <v>42339</v>
      </c>
      <c r="D21">
        <v>101.87</v>
      </c>
      <c r="G21" s="5">
        <v>34881</v>
      </c>
      <c r="H21" s="2">
        <v>28.69</v>
      </c>
      <c r="I21" s="2"/>
      <c r="J21" s="2"/>
      <c r="K21" s="2"/>
      <c r="L21" s="2"/>
      <c r="M21" s="2">
        <v>28.69</v>
      </c>
      <c r="P21" s="5">
        <v>39508</v>
      </c>
      <c r="Q21" s="2">
        <v>18.440000000000001</v>
      </c>
      <c r="R21" s="2"/>
      <c r="S21" s="2"/>
      <c r="T21" s="2"/>
    </row>
    <row r="22" spans="1:20" x14ac:dyDescent="0.25">
      <c r="A22" t="s">
        <v>6</v>
      </c>
      <c r="B22">
        <v>2484</v>
      </c>
      <c r="C22" s="1">
        <v>42339</v>
      </c>
      <c r="D22">
        <v>-42.74</v>
      </c>
      <c r="G22" s="5">
        <v>34912</v>
      </c>
      <c r="H22" s="2">
        <v>26.02</v>
      </c>
      <c r="I22" s="2"/>
      <c r="J22" s="2"/>
      <c r="K22" s="2"/>
      <c r="L22" s="2"/>
      <c r="M22" s="2">
        <v>26.02</v>
      </c>
      <c r="P22" s="5">
        <v>39539</v>
      </c>
      <c r="Q22" s="2">
        <v>14.26</v>
      </c>
      <c r="R22" s="2"/>
      <c r="S22" s="2"/>
      <c r="T22" s="2"/>
    </row>
    <row r="23" spans="1:20" x14ac:dyDescent="0.25">
      <c r="A23" t="s">
        <v>3</v>
      </c>
      <c r="B23">
        <v>177815</v>
      </c>
      <c r="C23" s="1">
        <v>42309</v>
      </c>
      <c r="D23">
        <v>50.21</v>
      </c>
      <c r="G23" s="5">
        <v>34943</v>
      </c>
      <c r="H23" s="2">
        <v>4.33</v>
      </c>
      <c r="I23" s="2"/>
      <c r="J23" s="2"/>
      <c r="K23" s="2"/>
      <c r="L23" s="2"/>
      <c r="M23" s="2">
        <v>4.33</v>
      </c>
      <c r="P23" s="5">
        <v>39569</v>
      </c>
      <c r="Q23" s="2">
        <v>16</v>
      </c>
      <c r="R23" s="2" t="e">
        <v>#DIV/0!</v>
      </c>
      <c r="S23" s="2"/>
      <c r="T23" s="2"/>
    </row>
    <row r="24" spans="1:20" x14ac:dyDescent="0.25">
      <c r="A24" t="s">
        <v>4</v>
      </c>
      <c r="B24">
        <v>1412</v>
      </c>
      <c r="C24" s="1">
        <v>42309</v>
      </c>
      <c r="D24">
        <v>24.79</v>
      </c>
      <c r="G24" s="5">
        <v>34973</v>
      </c>
      <c r="H24" s="2">
        <v>24.45</v>
      </c>
      <c r="I24" s="2"/>
      <c r="J24" s="2"/>
      <c r="K24" s="2"/>
      <c r="L24" s="2"/>
      <c r="M24" s="2">
        <v>24.45</v>
      </c>
      <c r="P24" s="5">
        <v>39600</v>
      </c>
      <c r="Q24" s="2">
        <v>9.1300000000000008</v>
      </c>
      <c r="R24" s="2">
        <v>-11.74</v>
      </c>
      <c r="S24" s="2"/>
      <c r="T24" s="2"/>
    </row>
    <row r="25" spans="1:20" x14ac:dyDescent="0.25">
      <c r="A25" t="s">
        <v>5</v>
      </c>
      <c r="B25">
        <v>3853</v>
      </c>
      <c r="C25" s="1">
        <v>42309</v>
      </c>
      <c r="D25">
        <v>117.33</v>
      </c>
      <c r="G25" s="5">
        <v>35004</v>
      </c>
      <c r="H25" s="2">
        <v>34.1</v>
      </c>
      <c r="I25" s="2"/>
      <c r="J25" s="2"/>
      <c r="K25" s="2"/>
      <c r="L25" s="2"/>
      <c r="M25" s="2">
        <v>34.1</v>
      </c>
      <c r="P25" s="5">
        <v>39630</v>
      </c>
      <c r="Q25" s="2">
        <v>-11.41</v>
      </c>
      <c r="R25" s="2">
        <v>-53.63</v>
      </c>
      <c r="S25" s="2"/>
      <c r="T25" s="2"/>
    </row>
    <row r="26" spans="1:20" x14ac:dyDescent="0.25">
      <c r="A26" t="s">
        <v>6</v>
      </c>
      <c r="B26">
        <v>2473</v>
      </c>
      <c r="C26" s="1">
        <v>42309</v>
      </c>
      <c r="D26">
        <v>-33.39</v>
      </c>
      <c r="G26" s="5">
        <v>35034</v>
      </c>
      <c r="H26" s="2">
        <v>43.7</v>
      </c>
      <c r="I26" s="2"/>
      <c r="J26" s="2"/>
      <c r="K26" s="2"/>
      <c r="L26" s="2"/>
      <c r="M26" s="2">
        <v>43.7</v>
      </c>
      <c r="P26" s="5">
        <v>39661</v>
      </c>
      <c r="Q26" s="2">
        <v>-17.579999999999998</v>
      </c>
      <c r="R26" s="2">
        <v>-70.239999999999995</v>
      </c>
      <c r="S26" s="2"/>
      <c r="T26" s="2"/>
    </row>
    <row r="27" spans="1:20" x14ac:dyDescent="0.25">
      <c r="A27" t="s">
        <v>3</v>
      </c>
      <c r="B27">
        <v>177825</v>
      </c>
      <c r="C27" s="1">
        <v>42278</v>
      </c>
      <c r="D27">
        <v>44.2</v>
      </c>
      <c r="G27" s="5">
        <v>35065</v>
      </c>
      <c r="H27" s="2">
        <v>61.58</v>
      </c>
      <c r="I27" s="2"/>
      <c r="J27" s="2"/>
      <c r="K27" s="2"/>
      <c r="L27" s="2"/>
      <c r="M27" s="2">
        <v>61.58</v>
      </c>
      <c r="P27" s="5">
        <v>39692</v>
      </c>
      <c r="Q27" s="2">
        <v>-21.26</v>
      </c>
      <c r="R27" s="2">
        <v>-67.650000000000006</v>
      </c>
      <c r="S27" s="2"/>
      <c r="T27" s="2"/>
    </row>
    <row r="28" spans="1:20" x14ac:dyDescent="0.25">
      <c r="A28" t="s">
        <v>4</v>
      </c>
      <c r="B28">
        <v>1403</v>
      </c>
      <c r="C28" s="1">
        <v>42278</v>
      </c>
      <c r="D28">
        <v>14.16</v>
      </c>
      <c r="G28" s="5">
        <v>35096</v>
      </c>
      <c r="H28" s="2">
        <v>73.2</v>
      </c>
      <c r="I28" s="2"/>
      <c r="J28" s="2"/>
      <c r="K28" s="2"/>
      <c r="L28" s="2"/>
      <c r="M28" s="2">
        <v>73.2</v>
      </c>
      <c r="P28" s="5">
        <v>39722</v>
      </c>
      <c r="Q28" s="2">
        <v>5.21</v>
      </c>
      <c r="R28" s="2">
        <v>-11.17</v>
      </c>
      <c r="S28" s="2"/>
      <c r="T28" s="2"/>
    </row>
    <row r="29" spans="1:20" x14ac:dyDescent="0.25">
      <c r="A29" t="s">
        <v>5</v>
      </c>
      <c r="B29">
        <v>3833</v>
      </c>
      <c r="C29" s="1">
        <v>42278</v>
      </c>
      <c r="D29">
        <v>107.74</v>
      </c>
      <c r="G29" s="5">
        <v>35125</v>
      </c>
      <c r="H29" s="2">
        <v>62.44</v>
      </c>
      <c r="I29" s="2"/>
      <c r="J29" s="2"/>
      <c r="K29" s="2"/>
      <c r="L29" s="2"/>
      <c r="M29" s="2">
        <v>62.44</v>
      </c>
      <c r="P29" s="5">
        <v>39753</v>
      </c>
      <c r="Q29" s="2">
        <v>-3.71</v>
      </c>
      <c r="R29" s="2">
        <v>-6.87</v>
      </c>
      <c r="S29" s="2"/>
      <c r="T29" s="2"/>
    </row>
    <row r="30" spans="1:20" x14ac:dyDescent="0.25">
      <c r="A30" t="s">
        <v>6</v>
      </c>
      <c r="B30">
        <v>2457</v>
      </c>
      <c r="C30" s="1">
        <v>42278</v>
      </c>
      <c r="D30">
        <v>-39.479999999999997</v>
      </c>
      <c r="G30" s="5">
        <v>35156</v>
      </c>
      <c r="H30" s="2">
        <v>13.16</v>
      </c>
      <c r="I30" s="2"/>
      <c r="J30" s="2"/>
      <c r="K30" s="2"/>
      <c r="L30" s="2"/>
      <c r="M30" s="2">
        <v>13.16</v>
      </c>
      <c r="P30" s="5">
        <v>39783</v>
      </c>
      <c r="Q30" s="2">
        <v>1.33</v>
      </c>
      <c r="R30" s="2">
        <v>5.28</v>
      </c>
      <c r="S30" s="2"/>
      <c r="T30" s="2"/>
    </row>
    <row r="31" spans="1:20" x14ac:dyDescent="0.25">
      <c r="A31" t="s">
        <v>3</v>
      </c>
      <c r="B31">
        <v>177781</v>
      </c>
      <c r="C31" s="1">
        <v>42248</v>
      </c>
      <c r="D31">
        <v>43.83</v>
      </c>
      <c r="G31" s="5">
        <v>35186</v>
      </c>
      <c r="H31" s="2">
        <v>-11.3</v>
      </c>
      <c r="I31" s="2"/>
      <c r="J31" s="2"/>
      <c r="K31" s="2"/>
      <c r="L31" s="2"/>
      <c r="M31" s="2">
        <v>-11.3</v>
      </c>
      <c r="P31" s="5">
        <v>39814</v>
      </c>
      <c r="Q31" s="2">
        <v>46.43</v>
      </c>
      <c r="R31" s="2">
        <v>89.48</v>
      </c>
      <c r="S31" s="2"/>
      <c r="T31" s="2"/>
    </row>
    <row r="32" spans="1:20" x14ac:dyDescent="0.25">
      <c r="A32" t="s">
        <v>4</v>
      </c>
      <c r="B32">
        <v>1395</v>
      </c>
      <c r="C32" s="1">
        <v>42248</v>
      </c>
      <c r="D32">
        <v>12.54</v>
      </c>
      <c r="G32" s="5">
        <v>35217</v>
      </c>
      <c r="H32" s="2">
        <v>-24.03</v>
      </c>
      <c r="I32" s="2"/>
      <c r="J32" s="2"/>
      <c r="K32" s="2"/>
      <c r="L32" s="2"/>
      <c r="M32" s="2">
        <v>-24.03</v>
      </c>
      <c r="P32" s="5">
        <v>39845</v>
      </c>
      <c r="Q32" s="2">
        <v>59.13</v>
      </c>
      <c r="R32" s="2">
        <v>116.96</v>
      </c>
      <c r="S32" s="2"/>
      <c r="T32" s="2"/>
    </row>
    <row r="33" spans="1:20" x14ac:dyDescent="0.25">
      <c r="A33" t="s">
        <v>5</v>
      </c>
      <c r="B33">
        <v>3809</v>
      </c>
      <c r="C33" s="1">
        <v>42248</v>
      </c>
      <c r="D33">
        <v>105.32</v>
      </c>
      <c r="G33" s="5">
        <v>35247</v>
      </c>
      <c r="H33" s="2">
        <v>-44.99</v>
      </c>
      <c r="I33" s="2"/>
      <c r="J33" s="2"/>
      <c r="K33" s="2"/>
      <c r="L33" s="2"/>
      <c r="M33" s="2">
        <v>-44.99</v>
      </c>
      <c r="P33" s="5">
        <v>39873</v>
      </c>
      <c r="Q33" s="2">
        <v>52.53</v>
      </c>
      <c r="R33" s="2">
        <v>103.16</v>
      </c>
      <c r="S33" s="2"/>
      <c r="T33" s="2"/>
    </row>
    <row r="34" spans="1:20" x14ac:dyDescent="0.25">
      <c r="A34" t="s">
        <v>6</v>
      </c>
      <c r="B34">
        <v>2442</v>
      </c>
      <c r="C34" s="1">
        <v>42248</v>
      </c>
      <c r="D34">
        <v>-40.64</v>
      </c>
      <c r="G34" s="5">
        <v>35278</v>
      </c>
      <c r="H34" s="2">
        <v>-38.92</v>
      </c>
      <c r="I34" s="2"/>
      <c r="J34" s="2"/>
      <c r="K34" s="2"/>
      <c r="L34" s="2"/>
      <c r="M34" s="2">
        <v>-38.92</v>
      </c>
      <c r="P34" s="5">
        <v>39904</v>
      </c>
      <c r="Q34" s="2">
        <v>57.8</v>
      </c>
      <c r="R34" s="2">
        <v>112.2</v>
      </c>
      <c r="S34" s="2"/>
      <c r="T34" s="2"/>
    </row>
    <row r="35" spans="1:20" x14ac:dyDescent="0.25">
      <c r="A35" t="s">
        <v>3</v>
      </c>
      <c r="B35">
        <v>177758</v>
      </c>
      <c r="C35" s="1">
        <v>42217</v>
      </c>
      <c r="D35">
        <v>35.65</v>
      </c>
      <c r="G35" s="5">
        <v>35309</v>
      </c>
      <c r="H35" s="2">
        <v>-15.77</v>
      </c>
      <c r="I35" s="2"/>
      <c r="J35" s="2"/>
      <c r="K35" s="2"/>
      <c r="L35" s="2"/>
      <c r="M35" s="2">
        <v>-15.77</v>
      </c>
      <c r="P35" s="5">
        <v>39934</v>
      </c>
      <c r="Q35" s="2">
        <v>67.14</v>
      </c>
      <c r="R35" s="2">
        <v>130.96</v>
      </c>
      <c r="S35" s="2"/>
      <c r="T35" s="2"/>
    </row>
    <row r="36" spans="1:20" x14ac:dyDescent="0.25">
      <c r="A36" t="s">
        <v>4</v>
      </c>
      <c r="B36">
        <v>1390</v>
      </c>
      <c r="C36" s="1">
        <v>42217</v>
      </c>
      <c r="D36">
        <v>5.96</v>
      </c>
      <c r="G36" s="5">
        <v>35339</v>
      </c>
      <c r="H36" s="2">
        <v>-34.840000000000003</v>
      </c>
      <c r="I36" s="2"/>
      <c r="J36" s="2"/>
      <c r="K36" s="2"/>
      <c r="L36" s="2"/>
      <c r="M36" s="2">
        <v>-34.840000000000003</v>
      </c>
      <c r="P36" s="5">
        <v>39965</v>
      </c>
      <c r="Q36" s="2">
        <v>63.07</v>
      </c>
      <c r="R36" s="2">
        <v>124.61</v>
      </c>
      <c r="S36" s="2"/>
      <c r="T36" s="2"/>
    </row>
    <row r="37" spans="1:20" x14ac:dyDescent="0.25">
      <c r="A37" t="s">
        <v>5</v>
      </c>
      <c r="B37">
        <v>3789</v>
      </c>
      <c r="C37" s="1">
        <v>42217</v>
      </c>
      <c r="D37">
        <v>82.64</v>
      </c>
      <c r="G37" s="5">
        <v>35370</v>
      </c>
      <c r="H37" s="2">
        <v>-5.08</v>
      </c>
      <c r="I37" s="2"/>
      <c r="J37" s="2"/>
      <c r="K37" s="2"/>
      <c r="L37" s="2"/>
      <c r="M37" s="2">
        <v>-5.08</v>
      </c>
      <c r="P37" s="5">
        <v>39995</v>
      </c>
      <c r="Q37" s="2">
        <v>28.56</v>
      </c>
      <c r="R37" s="2">
        <v>63.07</v>
      </c>
      <c r="S37" s="2"/>
      <c r="T37" s="2"/>
    </row>
    <row r="38" spans="1:20" x14ac:dyDescent="0.25">
      <c r="A38" t="s">
        <v>6</v>
      </c>
      <c r="B38">
        <v>2425</v>
      </c>
      <c r="C38" s="1">
        <v>42217</v>
      </c>
      <c r="D38">
        <v>-55</v>
      </c>
      <c r="G38" s="5">
        <v>35400</v>
      </c>
      <c r="H38" s="2">
        <v>21.49</v>
      </c>
      <c r="I38" s="2"/>
      <c r="J38" s="2"/>
      <c r="K38" s="2"/>
      <c r="L38" s="2"/>
      <c r="M38" s="2">
        <v>21.49</v>
      </c>
      <c r="P38" s="5">
        <v>40026</v>
      </c>
      <c r="Q38" s="2">
        <v>38.229999999999997</v>
      </c>
      <c r="R38" s="2">
        <v>79.930000000000007</v>
      </c>
      <c r="S38" s="2"/>
      <c r="T38" s="2"/>
    </row>
    <row r="39" spans="1:20" x14ac:dyDescent="0.25">
      <c r="A39" t="s">
        <v>3</v>
      </c>
      <c r="B39">
        <v>177695</v>
      </c>
      <c r="C39" s="1">
        <v>42186</v>
      </c>
      <c r="D39">
        <v>39.86</v>
      </c>
      <c r="G39" s="5">
        <v>35431</v>
      </c>
      <c r="H39" s="2" t="e">
        <v>#DIV/0!</v>
      </c>
      <c r="I39" s="2"/>
      <c r="J39" s="2"/>
      <c r="K39" s="2"/>
      <c r="L39" s="2"/>
      <c r="M39" s="2" t="e">
        <v>#DIV/0!</v>
      </c>
      <c r="P39" s="5">
        <v>40057</v>
      </c>
      <c r="Q39" s="2">
        <v>38.869999999999997</v>
      </c>
      <c r="R39" s="2">
        <v>84.87</v>
      </c>
      <c r="S39" s="2"/>
      <c r="T39" s="2"/>
    </row>
    <row r="40" spans="1:20" x14ac:dyDescent="0.25">
      <c r="A40" t="s">
        <v>4</v>
      </c>
      <c r="B40">
        <v>1368</v>
      </c>
      <c r="C40" s="1">
        <v>42186</v>
      </c>
      <c r="D40">
        <v>11.65</v>
      </c>
      <c r="G40" s="5">
        <v>35462</v>
      </c>
      <c r="H40" s="2">
        <v>-6.99</v>
      </c>
      <c r="I40" s="2"/>
      <c r="J40" s="2"/>
      <c r="K40" s="2"/>
      <c r="L40" s="2"/>
      <c r="M40" s="2">
        <v>-6.99</v>
      </c>
      <c r="P40" s="5">
        <v>40087</v>
      </c>
      <c r="Q40" s="2">
        <v>47.2</v>
      </c>
      <c r="R40" s="2">
        <v>105.3</v>
      </c>
      <c r="S40" s="2" t="e">
        <v>#DIV/0!</v>
      </c>
      <c r="T40" s="2"/>
    </row>
    <row r="41" spans="1:20" x14ac:dyDescent="0.25">
      <c r="A41" t="s">
        <v>5</v>
      </c>
      <c r="B41">
        <v>3767</v>
      </c>
      <c r="C41" s="1">
        <v>42186</v>
      </c>
      <c r="D41">
        <v>84.44</v>
      </c>
      <c r="G41" s="5">
        <v>35490</v>
      </c>
      <c r="H41" s="2">
        <v>16.399999999999999</v>
      </c>
      <c r="I41" s="2"/>
      <c r="J41" s="2"/>
      <c r="K41" s="2"/>
      <c r="L41" s="2"/>
      <c r="M41" s="2">
        <v>16.399999999999999</v>
      </c>
      <c r="P41" s="5">
        <v>40118</v>
      </c>
      <c r="Q41" s="2">
        <v>50.79</v>
      </c>
      <c r="R41" s="2">
        <v>114.29</v>
      </c>
      <c r="S41" s="2">
        <v>-33.71</v>
      </c>
      <c r="T41" s="2"/>
    </row>
    <row r="42" spans="1:20" x14ac:dyDescent="0.25">
      <c r="A42" t="s">
        <v>6</v>
      </c>
      <c r="B42">
        <v>2409</v>
      </c>
      <c r="C42" s="1">
        <v>42186</v>
      </c>
      <c r="D42">
        <v>-52.45</v>
      </c>
      <c r="G42" s="5">
        <v>35521</v>
      </c>
      <c r="H42" s="2">
        <v>-5.64</v>
      </c>
      <c r="I42" s="2"/>
      <c r="J42" s="2"/>
      <c r="K42" s="2"/>
      <c r="L42" s="2"/>
      <c r="M42" s="2">
        <v>-5.64</v>
      </c>
      <c r="P42" s="5">
        <v>40148</v>
      </c>
      <c r="Q42" s="2">
        <v>54.77</v>
      </c>
      <c r="R42" s="2">
        <v>123.22</v>
      </c>
      <c r="S42" s="2">
        <v>-26.66</v>
      </c>
      <c r="T42" s="2"/>
    </row>
    <row r="43" spans="1:20" x14ac:dyDescent="0.25">
      <c r="A43" t="s">
        <v>3</v>
      </c>
      <c r="B43">
        <v>177740</v>
      </c>
      <c r="C43" s="1">
        <v>42156</v>
      </c>
      <c r="D43">
        <v>50.45</v>
      </c>
      <c r="G43" s="5">
        <v>35551</v>
      </c>
      <c r="H43" s="2">
        <v>-25.53</v>
      </c>
      <c r="I43" s="2"/>
      <c r="J43" s="2"/>
      <c r="K43" s="2"/>
      <c r="L43" s="2"/>
      <c r="M43" s="2">
        <v>-25.53</v>
      </c>
      <c r="P43" s="5">
        <v>40179</v>
      </c>
      <c r="Q43" s="2">
        <v>50.5</v>
      </c>
      <c r="R43" s="2">
        <v>121.56</v>
      </c>
      <c r="S43" s="2">
        <v>-22.9</v>
      </c>
      <c r="T43" s="2"/>
    </row>
    <row r="44" spans="1:20" x14ac:dyDescent="0.25">
      <c r="A44" t="s">
        <v>4</v>
      </c>
      <c r="B44">
        <v>1354</v>
      </c>
      <c r="C44" s="1">
        <v>42156</v>
      </c>
      <c r="D44">
        <v>27.6</v>
      </c>
      <c r="G44" s="5">
        <v>35582</v>
      </c>
      <c r="H44" s="2">
        <v>-7.4</v>
      </c>
      <c r="I44" s="2"/>
      <c r="J44" s="2"/>
      <c r="K44" s="2"/>
      <c r="L44" s="2"/>
      <c r="M44" s="2">
        <v>-7.4</v>
      </c>
      <c r="P44" s="5">
        <v>40210</v>
      </c>
      <c r="Q44" s="2">
        <v>44.25</v>
      </c>
      <c r="R44" s="2">
        <v>114.61</v>
      </c>
      <c r="S44" s="2">
        <v>-30.56</v>
      </c>
      <c r="T44" s="2"/>
    </row>
    <row r="45" spans="1:20" x14ac:dyDescent="0.25">
      <c r="A45" t="s">
        <v>5</v>
      </c>
      <c r="B45">
        <v>3743</v>
      </c>
      <c r="C45" s="1">
        <v>42156</v>
      </c>
      <c r="D45">
        <v>95.68</v>
      </c>
      <c r="G45" s="5">
        <v>35612</v>
      </c>
      <c r="H45" s="2">
        <v>13.11</v>
      </c>
      <c r="I45" s="2"/>
      <c r="J45" s="2"/>
      <c r="K45" s="2"/>
      <c r="L45" s="2"/>
      <c r="M45" s="2">
        <v>13.11</v>
      </c>
      <c r="P45" s="5">
        <v>40238</v>
      </c>
      <c r="Q45" s="2">
        <v>45.48</v>
      </c>
      <c r="R45" s="2">
        <v>118.77</v>
      </c>
      <c r="S45" s="2">
        <v>-25.9</v>
      </c>
      <c r="T45" s="2"/>
    </row>
    <row r="46" spans="1:20" x14ac:dyDescent="0.25">
      <c r="A46" t="s">
        <v>6</v>
      </c>
      <c r="B46">
        <v>2395</v>
      </c>
      <c r="C46" s="1">
        <v>42156</v>
      </c>
      <c r="D46">
        <v>-44.13</v>
      </c>
      <c r="G46" s="5">
        <v>35643</v>
      </c>
      <c r="H46" s="2">
        <v>30.2</v>
      </c>
      <c r="I46" s="2"/>
      <c r="J46" s="2"/>
      <c r="K46" s="2"/>
      <c r="L46" s="2"/>
      <c r="M46" s="2">
        <v>30.2</v>
      </c>
      <c r="P46" s="5">
        <v>40269</v>
      </c>
      <c r="Q46" s="2">
        <v>43.97</v>
      </c>
      <c r="R46" s="2">
        <v>116.71</v>
      </c>
      <c r="S46" s="2">
        <v>-24.83</v>
      </c>
      <c r="T46" s="2"/>
    </row>
    <row r="47" spans="1:20" x14ac:dyDescent="0.25">
      <c r="A47" t="s">
        <v>3</v>
      </c>
      <c r="B47">
        <v>177738</v>
      </c>
      <c r="C47" s="1">
        <v>42125</v>
      </c>
      <c r="D47">
        <v>62.1</v>
      </c>
      <c r="G47" s="5">
        <v>35674</v>
      </c>
      <c r="H47" s="2">
        <v>27.83</v>
      </c>
      <c r="I47" s="2"/>
      <c r="J47" s="2"/>
      <c r="K47" s="2"/>
      <c r="L47" s="2"/>
      <c r="M47" s="2">
        <v>27.83</v>
      </c>
      <c r="P47" s="5">
        <v>40299</v>
      </c>
      <c r="Q47" s="2">
        <v>37</v>
      </c>
      <c r="R47" s="2">
        <v>105.05</v>
      </c>
      <c r="S47" s="2">
        <v>-91.91</v>
      </c>
      <c r="T47" s="2"/>
    </row>
    <row r="48" spans="1:20" x14ac:dyDescent="0.25">
      <c r="A48" t="s">
        <v>4</v>
      </c>
      <c r="B48">
        <v>1344</v>
      </c>
      <c r="C48" s="1">
        <v>42125</v>
      </c>
      <c r="D48">
        <v>44.87</v>
      </c>
      <c r="G48" s="5">
        <v>35704</v>
      </c>
      <c r="H48" s="2">
        <v>34.29</v>
      </c>
      <c r="I48" s="2"/>
      <c r="J48" s="2"/>
      <c r="K48" s="2"/>
      <c r="L48" s="2"/>
      <c r="M48" s="2">
        <v>34.29</v>
      </c>
      <c r="P48" s="5">
        <v>40330</v>
      </c>
      <c r="Q48" s="2">
        <v>48.75</v>
      </c>
      <c r="R48" s="2">
        <v>125</v>
      </c>
      <c r="S48" s="2">
        <v>-59.95</v>
      </c>
      <c r="T48" s="2"/>
    </row>
    <row r="49" spans="1:20" x14ac:dyDescent="0.25">
      <c r="A49" t="s">
        <v>5</v>
      </c>
      <c r="B49">
        <v>3720</v>
      </c>
      <c r="C49" s="1">
        <v>42125</v>
      </c>
      <c r="D49">
        <v>105.05</v>
      </c>
      <c r="G49" s="5">
        <v>35735</v>
      </c>
      <c r="H49" s="2">
        <v>43.96</v>
      </c>
      <c r="I49" s="2"/>
      <c r="J49" s="2"/>
      <c r="K49" s="2"/>
      <c r="L49" s="2"/>
      <c r="M49" s="2">
        <v>43.96</v>
      </c>
      <c r="P49" s="5">
        <v>40360</v>
      </c>
      <c r="Q49" s="2">
        <v>58.84</v>
      </c>
      <c r="R49" s="2">
        <v>143.38</v>
      </c>
      <c r="S49" s="2">
        <v>-33.700000000000003</v>
      </c>
      <c r="T49" s="2"/>
    </row>
    <row r="50" spans="1:20" x14ac:dyDescent="0.25">
      <c r="A50" t="s">
        <v>6</v>
      </c>
      <c r="B50">
        <v>2377</v>
      </c>
      <c r="C50" s="1">
        <v>42125</v>
      </c>
      <c r="D50">
        <v>-34.799999999999997</v>
      </c>
      <c r="G50" s="5">
        <v>35765</v>
      </c>
      <c r="H50" s="2">
        <v>50.38</v>
      </c>
      <c r="I50" s="2"/>
      <c r="J50" s="2"/>
      <c r="K50" s="2"/>
      <c r="L50" s="2"/>
      <c r="M50" s="2">
        <v>50.38</v>
      </c>
      <c r="P50" s="5">
        <v>40391</v>
      </c>
      <c r="Q50" s="2">
        <v>67.39</v>
      </c>
      <c r="R50" s="2">
        <v>158.84</v>
      </c>
      <c r="S50" s="2">
        <v>-13.8</v>
      </c>
      <c r="T50" s="2"/>
    </row>
    <row r="51" spans="1:20" x14ac:dyDescent="0.25">
      <c r="A51" t="s">
        <v>3</v>
      </c>
      <c r="B51">
        <v>177740</v>
      </c>
      <c r="C51" s="1">
        <v>42095</v>
      </c>
      <c r="D51">
        <v>57.05</v>
      </c>
      <c r="G51" s="5">
        <v>35796</v>
      </c>
      <c r="H51" s="2">
        <v>56.74</v>
      </c>
      <c r="I51" s="2"/>
      <c r="J51" s="2"/>
      <c r="K51" s="2"/>
      <c r="L51" s="2"/>
      <c r="M51" s="2">
        <v>56.74</v>
      </c>
      <c r="P51" s="5">
        <v>40422</v>
      </c>
      <c r="Q51" s="2">
        <v>74.8</v>
      </c>
      <c r="R51" s="2">
        <v>93.41</v>
      </c>
      <c r="S51" s="2">
        <v>1.62</v>
      </c>
      <c r="T51" s="2"/>
    </row>
    <row r="52" spans="1:20" x14ac:dyDescent="0.25">
      <c r="A52" t="s">
        <v>4</v>
      </c>
      <c r="B52">
        <v>1323</v>
      </c>
      <c r="C52" s="1">
        <v>42095</v>
      </c>
      <c r="D52">
        <v>37.28</v>
      </c>
      <c r="G52" s="5">
        <v>35827</v>
      </c>
      <c r="H52" s="2">
        <v>71.56</v>
      </c>
      <c r="I52" s="2"/>
      <c r="J52" s="2"/>
      <c r="K52" s="2"/>
      <c r="L52" s="2"/>
      <c r="M52" s="2">
        <v>71.56</v>
      </c>
      <c r="P52" s="5">
        <v>40452</v>
      </c>
      <c r="Q52" s="2">
        <v>78.73</v>
      </c>
      <c r="R52" s="2">
        <v>97.06</v>
      </c>
      <c r="S52" s="2">
        <v>9.49</v>
      </c>
      <c r="T52" s="2"/>
    </row>
    <row r="53" spans="1:20" x14ac:dyDescent="0.25">
      <c r="A53" t="s">
        <v>5</v>
      </c>
      <c r="B53">
        <v>3693</v>
      </c>
      <c r="C53" s="1">
        <v>42095</v>
      </c>
      <c r="D53">
        <v>87.18</v>
      </c>
      <c r="G53" s="5">
        <v>35855</v>
      </c>
      <c r="H53" s="2">
        <v>69.13</v>
      </c>
      <c r="I53" s="2"/>
      <c r="J53" s="2"/>
      <c r="K53" s="2"/>
      <c r="L53" s="2"/>
      <c r="M53" s="2">
        <v>69.13</v>
      </c>
      <c r="P53" s="5">
        <v>40483</v>
      </c>
      <c r="Q53" s="2">
        <v>83.83</v>
      </c>
      <c r="R53" s="2">
        <v>102.07</v>
      </c>
      <c r="S53" s="2">
        <v>17.89</v>
      </c>
      <c r="T53" s="2"/>
    </row>
    <row r="54" spans="1:20" x14ac:dyDescent="0.25">
      <c r="A54" t="s">
        <v>6</v>
      </c>
      <c r="B54">
        <v>2360</v>
      </c>
      <c r="C54" s="1">
        <v>42095</v>
      </c>
      <c r="D54">
        <v>-40.659999999999997</v>
      </c>
      <c r="G54" s="5">
        <v>35886</v>
      </c>
      <c r="H54" s="2">
        <v>60.99</v>
      </c>
      <c r="I54" s="2"/>
      <c r="J54" s="2"/>
      <c r="K54" s="2"/>
      <c r="L54" s="2"/>
      <c r="M54" s="2">
        <v>60.99</v>
      </c>
      <c r="P54" s="5">
        <v>40513</v>
      </c>
      <c r="Q54" s="2">
        <v>77.150000000000006</v>
      </c>
      <c r="R54" s="2">
        <v>97.84</v>
      </c>
      <c r="S54" s="2">
        <v>9.59</v>
      </c>
      <c r="T54" s="2"/>
    </row>
    <row r="55" spans="1:20" x14ac:dyDescent="0.25">
      <c r="A55" t="s">
        <v>3</v>
      </c>
      <c r="B55">
        <v>177657</v>
      </c>
      <c r="C55" s="1">
        <v>42064</v>
      </c>
      <c r="D55">
        <v>60.83</v>
      </c>
      <c r="G55" s="5">
        <v>35916</v>
      </c>
      <c r="H55" s="2">
        <v>58.18</v>
      </c>
      <c r="I55" s="2"/>
      <c r="J55" s="2"/>
      <c r="K55" s="2"/>
      <c r="L55" s="2"/>
      <c r="M55" s="2">
        <v>58.18</v>
      </c>
      <c r="P55" s="5">
        <v>40544</v>
      </c>
      <c r="Q55" s="2">
        <v>51.05</v>
      </c>
      <c r="R55" s="2">
        <v>33.630000000000003</v>
      </c>
      <c r="S55" s="2">
        <v>-32.6</v>
      </c>
      <c r="T55" s="2"/>
    </row>
    <row r="56" spans="1:20" x14ac:dyDescent="0.25">
      <c r="A56" t="s">
        <v>4</v>
      </c>
      <c r="B56">
        <v>1309</v>
      </c>
      <c r="C56" s="1">
        <v>42064</v>
      </c>
      <c r="D56">
        <v>43.16</v>
      </c>
      <c r="G56" s="5">
        <v>35947</v>
      </c>
      <c r="H56" s="2">
        <v>57.86</v>
      </c>
      <c r="I56" s="2"/>
      <c r="J56" s="2"/>
      <c r="K56" s="2"/>
      <c r="L56" s="2"/>
      <c r="M56" s="2">
        <v>57.86</v>
      </c>
      <c r="P56" s="5">
        <v>40575</v>
      </c>
      <c r="Q56" s="2">
        <v>46.1</v>
      </c>
      <c r="R56" s="2">
        <v>12.94</v>
      </c>
      <c r="S56" s="2">
        <v>-41.2</v>
      </c>
      <c r="T56" s="2"/>
    </row>
    <row r="57" spans="1:20" x14ac:dyDescent="0.25">
      <c r="A57" t="s">
        <v>5</v>
      </c>
      <c r="B57">
        <v>3656</v>
      </c>
      <c r="C57" s="1">
        <v>42064</v>
      </c>
      <c r="D57">
        <v>84.11</v>
      </c>
      <c r="G57" s="5">
        <v>35977</v>
      </c>
      <c r="H57" s="2">
        <v>65.86</v>
      </c>
      <c r="I57" s="2"/>
      <c r="J57" s="2"/>
      <c r="K57" s="2"/>
      <c r="L57" s="2"/>
      <c r="M57" s="2">
        <v>65.86</v>
      </c>
      <c r="P57" s="5">
        <v>40603</v>
      </c>
      <c r="Q57" s="2">
        <v>33.01</v>
      </c>
      <c r="R57" s="2">
        <v>-16.059999999999999</v>
      </c>
      <c r="S57" s="2">
        <v>-62.02</v>
      </c>
      <c r="T57" s="2"/>
    </row>
    <row r="58" spans="1:20" x14ac:dyDescent="0.25">
      <c r="A58" t="s">
        <v>6</v>
      </c>
      <c r="B58">
        <v>2337</v>
      </c>
      <c r="C58" s="1">
        <v>42064</v>
      </c>
      <c r="D58">
        <v>-37.729999999999997</v>
      </c>
      <c r="G58" s="5">
        <v>36008</v>
      </c>
      <c r="H58" s="2">
        <v>65.69</v>
      </c>
      <c r="I58" s="2"/>
      <c r="J58" s="2"/>
      <c r="K58" s="2"/>
      <c r="L58" s="2"/>
      <c r="M58" s="2">
        <v>65.69</v>
      </c>
      <c r="P58" s="5">
        <v>40634</v>
      </c>
      <c r="Q58" s="2">
        <v>39.93</v>
      </c>
      <c r="R58" s="2">
        <v>-5.31</v>
      </c>
      <c r="S58" s="2">
        <v>-52.35</v>
      </c>
      <c r="T58" s="2"/>
    </row>
    <row r="59" spans="1:20" x14ac:dyDescent="0.25">
      <c r="A59" t="s">
        <v>3</v>
      </c>
      <c r="B59">
        <v>177570</v>
      </c>
      <c r="C59" s="1">
        <v>42036</v>
      </c>
      <c r="D59">
        <v>64.11</v>
      </c>
      <c r="G59" s="5">
        <v>36039</v>
      </c>
      <c r="H59" s="2">
        <v>65.19</v>
      </c>
      <c r="I59" s="2"/>
      <c r="J59" s="2"/>
      <c r="K59" s="2"/>
      <c r="L59" s="2"/>
      <c r="M59" s="2">
        <v>65.19</v>
      </c>
      <c r="P59" s="5">
        <v>40664</v>
      </c>
      <c r="Q59" s="2">
        <v>39.64</v>
      </c>
      <c r="R59" s="2">
        <v>-1.29</v>
      </c>
      <c r="S59" s="2">
        <v>-51.22</v>
      </c>
      <c r="T59" s="2"/>
    </row>
    <row r="60" spans="1:20" x14ac:dyDescent="0.25">
      <c r="A60" t="s">
        <v>4</v>
      </c>
      <c r="B60">
        <v>1292</v>
      </c>
      <c r="C60" s="1">
        <v>42036</v>
      </c>
      <c r="D60">
        <v>47.59</v>
      </c>
      <c r="G60" s="5">
        <v>36069</v>
      </c>
      <c r="H60" s="2">
        <v>80.94</v>
      </c>
      <c r="I60" s="2"/>
      <c r="J60" s="2"/>
      <c r="K60" s="2"/>
      <c r="L60" s="2"/>
      <c r="M60" s="2">
        <v>80.94</v>
      </c>
      <c r="P60" s="5">
        <v>40695</v>
      </c>
      <c r="Q60" s="2">
        <v>49.42</v>
      </c>
      <c r="R60" s="2">
        <v>21.42</v>
      </c>
      <c r="S60" s="2">
        <v>-31.37</v>
      </c>
      <c r="T60" s="2"/>
    </row>
    <row r="61" spans="1:20" x14ac:dyDescent="0.25">
      <c r="A61" t="s">
        <v>5</v>
      </c>
      <c r="B61">
        <v>3629</v>
      </c>
      <c r="C61" s="1">
        <v>42036</v>
      </c>
      <c r="D61">
        <v>85.58</v>
      </c>
      <c r="G61" s="5">
        <v>36100</v>
      </c>
      <c r="H61" s="2">
        <v>80.03</v>
      </c>
      <c r="I61" s="2"/>
      <c r="J61" s="2"/>
      <c r="K61" s="2"/>
      <c r="L61" s="2"/>
      <c r="M61" s="2">
        <v>80.03</v>
      </c>
      <c r="P61" s="5">
        <v>40725</v>
      </c>
      <c r="Q61" s="2">
        <v>56.82</v>
      </c>
      <c r="R61" s="2">
        <v>38.08</v>
      </c>
      <c r="S61" s="2">
        <v>-18.09</v>
      </c>
      <c r="T61" s="2"/>
    </row>
    <row r="62" spans="1:20" x14ac:dyDescent="0.25">
      <c r="A62" t="s">
        <v>6</v>
      </c>
      <c r="B62">
        <v>2314</v>
      </c>
      <c r="C62" s="1">
        <v>42036</v>
      </c>
      <c r="D62">
        <v>-36.32</v>
      </c>
      <c r="G62" s="5">
        <v>36130</v>
      </c>
      <c r="H62" s="2">
        <v>65.150000000000006</v>
      </c>
      <c r="I62" s="2"/>
      <c r="J62" s="2"/>
      <c r="K62" s="2"/>
      <c r="L62" s="2"/>
      <c r="M62" s="2">
        <v>65.150000000000006</v>
      </c>
      <c r="P62" s="5">
        <v>40756</v>
      </c>
      <c r="Q62" s="2">
        <v>50.66</v>
      </c>
      <c r="R62" s="2">
        <v>35.4</v>
      </c>
      <c r="S62" s="2">
        <v>7.07</v>
      </c>
      <c r="T62" s="2"/>
    </row>
    <row r="63" spans="1:20" x14ac:dyDescent="0.25">
      <c r="A63" t="s">
        <v>3</v>
      </c>
      <c r="B63">
        <v>177498</v>
      </c>
      <c r="C63" s="1">
        <v>42005</v>
      </c>
      <c r="D63">
        <v>53.44</v>
      </c>
      <c r="G63" s="5">
        <v>36161</v>
      </c>
      <c r="H63" s="2">
        <v>71.69</v>
      </c>
      <c r="I63" s="2"/>
      <c r="J63" s="2"/>
      <c r="K63" s="2"/>
      <c r="L63" s="2"/>
      <c r="M63" s="2">
        <v>71.69</v>
      </c>
      <c r="P63" s="5">
        <v>40787</v>
      </c>
      <c r="Q63" s="2">
        <v>66.739999999999995</v>
      </c>
      <c r="R63" s="2">
        <v>62.23</v>
      </c>
      <c r="S63" s="2">
        <v>32.380000000000003</v>
      </c>
      <c r="T63" s="2"/>
    </row>
    <row r="64" spans="1:20" x14ac:dyDescent="0.25">
      <c r="A64" t="s">
        <v>4</v>
      </c>
      <c r="B64">
        <v>1281</v>
      </c>
      <c r="C64" s="1">
        <v>42005</v>
      </c>
      <c r="D64">
        <v>30.61</v>
      </c>
      <c r="G64" s="5">
        <v>36192</v>
      </c>
      <c r="H64" s="2">
        <v>65.78</v>
      </c>
      <c r="I64" s="2"/>
      <c r="J64" s="2"/>
      <c r="K64" s="2"/>
      <c r="L64" s="2"/>
      <c r="M64" s="2">
        <v>65.78</v>
      </c>
      <c r="P64" s="5">
        <v>40817</v>
      </c>
      <c r="Q64" s="2">
        <v>73.290000000000006</v>
      </c>
      <c r="R64" s="2">
        <v>74.14</v>
      </c>
      <c r="S64" s="2">
        <v>48.27</v>
      </c>
      <c r="T64" s="2"/>
    </row>
    <row r="65" spans="1:20" x14ac:dyDescent="0.25">
      <c r="A65" t="s">
        <v>5</v>
      </c>
      <c r="B65">
        <v>3594</v>
      </c>
      <c r="C65" s="1">
        <v>42005</v>
      </c>
      <c r="D65">
        <v>66.040000000000006</v>
      </c>
      <c r="G65" s="5">
        <v>36220</v>
      </c>
      <c r="H65" s="2">
        <v>60.2</v>
      </c>
      <c r="I65" s="2"/>
      <c r="J65" s="2"/>
      <c r="K65" s="2"/>
      <c r="L65" s="2"/>
      <c r="M65" s="2">
        <v>60.2</v>
      </c>
      <c r="P65" s="5">
        <v>40848</v>
      </c>
      <c r="Q65" s="2">
        <v>71.81</v>
      </c>
      <c r="R65" s="2">
        <v>67.23</v>
      </c>
      <c r="S65" s="2">
        <v>44.06</v>
      </c>
      <c r="T65" s="2"/>
    </row>
    <row r="66" spans="1:20" x14ac:dyDescent="0.25">
      <c r="A66" t="s">
        <v>6</v>
      </c>
      <c r="B66">
        <v>2289</v>
      </c>
      <c r="C66" s="1">
        <v>42005</v>
      </c>
      <c r="D66">
        <v>-46.73</v>
      </c>
      <c r="G66" s="5">
        <v>36251</v>
      </c>
      <c r="H66" s="2">
        <v>41.14</v>
      </c>
      <c r="I66" s="2"/>
      <c r="J66" s="2"/>
      <c r="K66" s="2"/>
      <c r="L66" s="2"/>
      <c r="M66" s="2">
        <v>41.14</v>
      </c>
      <c r="P66" s="5">
        <v>40878</v>
      </c>
      <c r="Q66" s="2">
        <v>76.63</v>
      </c>
      <c r="R66" s="2">
        <v>68.67</v>
      </c>
      <c r="S66" s="2">
        <v>50.85</v>
      </c>
      <c r="T66" s="2"/>
    </row>
    <row r="67" spans="1:20" x14ac:dyDescent="0.25">
      <c r="A67" t="s">
        <v>3</v>
      </c>
      <c r="B67">
        <v>177518</v>
      </c>
      <c r="C67" s="1">
        <v>41974</v>
      </c>
      <c r="D67">
        <v>44.76</v>
      </c>
      <c r="G67" s="5">
        <v>36281</v>
      </c>
      <c r="H67" s="2">
        <v>47.84</v>
      </c>
      <c r="I67" s="2"/>
      <c r="J67" s="2"/>
      <c r="K67" s="2"/>
      <c r="L67" s="2"/>
      <c r="M67" s="2">
        <v>47.84</v>
      </c>
      <c r="P67" s="5">
        <v>40909</v>
      </c>
      <c r="Q67" s="2">
        <v>78.47</v>
      </c>
      <c r="R67" s="2">
        <v>67.819999999999993</v>
      </c>
      <c r="S67" s="2">
        <v>53.36</v>
      </c>
      <c r="T67" s="2"/>
    </row>
    <row r="68" spans="1:20" x14ac:dyDescent="0.25">
      <c r="A68" t="s">
        <v>4</v>
      </c>
      <c r="B68">
        <v>1271</v>
      </c>
      <c r="C68" s="1">
        <v>41974</v>
      </c>
      <c r="D68">
        <v>18.32</v>
      </c>
      <c r="G68" s="5">
        <v>36312</v>
      </c>
      <c r="H68" s="2">
        <v>26.77</v>
      </c>
      <c r="I68" s="2"/>
      <c r="J68" s="2"/>
      <c r="K68" s="2"/>
      <c r="L68" s="2"/>
      <c r="M68" s="2">
        <v>26.77</v>
      </c>
      <c r="P68" s="5">
        <v>40940</v>
      </c>
      <c r="Q68" s="2">
        <v>79.13</v>
      </c>
      <c r="R68" s="2">
        <v>63.28</v>
      </c>
      <c r="S68" s="2">
        <v>50.59</v>
      </c>
      <c r="T68" s="2"/>
    </row>
    <row r="69" spans="1:20" x14ac:dyDescent="0.25">
      <c r="A69" t="s">
        <v>5</v>
      </c>
      <c r="B69">
        <v>3567</v>
      </c>
      <c r="C69" s="1">
        <v>41974</v>
      </c>
      <c r="D69">
        <v>34.74</v>
      </c>
      <c r="G69" s="5">
        <v>36342</v>
      </c>
      <c r="H69" s="2">
        <v>-7.94</v>
      </c>
      <c r="I69" s="2"/>
      <c r="J69" s="2"/>
      <c r="K69" s="2"/>
      <c r="L69" s="2"/>
      <c r="M69" s="2">
        <v>-7.94</v>
      </c>
      <c r="P69" s="5">
        <v>40969</v>
      </c>
      <c r="Q69" s="2">
        <v>78.62</v>
      </c>
      <c r="R69" s="2">
        <v>58.56</v>
      </c>
      <c r="S69" s="2">
        <v>22.4</v>
      </c>
      <c r="T69" s="2"/>
    </row>
    <row r="70" spans="1:20" x14ac:dyDescent="0.25">
      <c r="A70" t="s">
        <v>6</v>
      </c>
      <c r="B70">
        <v>2271</v>
      </c>
      <c r="C70" s="1">
        <v>41974</v>
      </c>
      <c r="D70">
        <v>-53.7</v>
      </c>
      <c r="G70" s="5">
        <v>36373</v>
      </c>
      <c r="H70" s="2">
        <v>-15.51</v>
      </c>
      <c r="I70" s="2"/>
      <c r="J70" s="2"/>
      <c r="K70" s="2"/>
      <c r="L70" s="2"/>
      <c r="M70" s="2">
        <v>-15.51</v>
      </c>
      <c r="P70" s="5">
        <v>41000</v>
      </c>
      <c r="Q70" s="2">
        <v>74.8</v>
      </c>
      <c r="R70" s="2">
        <v>45.84</v>
      </c>
      <c r="S70" s="2">
        <v>8.06</v>
      </c>
      <c r="T70" s="2"/>
    </row>
    <row r="71" spans="1:20" x14ac:dyDescent="0.25">
      <c r="A71" t="s">
        <v>3</v>
      </c>
      <c r="B71">
        <v>177555</v>
      </c>
      <c r="C71" s="1">
        <v>41944</v>
      </c>
      <c r="D71">
        <v>43.41</v>
      </c>
      <c r="G71" s="5">
        <v>36404</v>
      </c>
      <c r="H71" s="2">
        <v>-41.51</v>
      </c>
      <c r="I71" s="2"/>
      <c r="J71" s="2"/>
      <c r="K71" s="2"/>
      <c r="L71" s="2"/>
      <c r="M71" s="2">
        <v>-41.51</v>
      </c>
      <c r="P71" s="5">
        <v>41030</v>
      </c>
      <c r="Q71" s="2">
        <v>78.599999999999994</v>
      </c>
      <c r="R71" s="2">
        <v>48.71</v>
      </c>
      <c r="S71" s="2">
        <v>9.33</v>
      </c>
      <c r="T71" s="2"/>
    </row>
    <row r="72" spans="1:20" x14ac:dyDescent="0.25">
      <c r="A72" t="s">
        <v>4</v>
      </c>
      <c r="B72">
        <v>1251</v>
      </c>
      <c r="C72" s="1">
        <v>41944</v>
      </c>
      <c r="D72">
        <v>15.07</v>
      </c>
      <c r="G72" s="5">
        <v>36434</v>
      </c>
      <c r="H72" s="2">
        <v>-28.72</v>
      </c>
      <c r="I72" s="2"/>
      <c r="J72" s="2"/>
      <c r="K72" s="2"/>
      <c r="L72" s="2"/>
      <c r="M72" s="2">
        <v>-28.72</v>
      </c>
      <c r="P72" s="5">
        <v>41061</v>
      </c>
      <c r="Q72" s="2">
        <v>84.39</v>
      </c>
      <c r="R72" s="2">
        <v>56.19</v>
      </c>
      <c r="S72" s="2">
        <v>15.52</v>
      </c>
      <c r="T72" s="2" t="e">
        <v>#DIV/0!</v>
      </c>
    </row>
    <row r="73" spans="1:20" x14ac:dyDescent="0.25">
      <c r="A73" t="s">
        <v>5</v>
      </c>
      <c r="B73">
        <v>3534</v>
      </c>
      <c r="C73" s="1">
        <v>41944</v>
      </c>
      <c r="D73">
        <v>30.93</v>
      </c>
      <c r="G73" s="5">
        <v>36465</v>
      </c>
      <c r="H73" s="2">
        <v>-36.32</v>
      </c>
      <c r="I73" s="2"/>
      <c r="J73" s="2"/>
      <c r="K73" s="2"/>
      <c r="L73" s="2"/>
      <c r="M73" s="2">
        <v>-36.32</v>
      </c>
      <c r="P73" s="5">
        <v>41091</v>
      </c>
      <c r="Q73" s="2">
        <v>91.59</v>
      </c>
      <c r="R73" s="2">
        <v>67.78</v>
      </c>
      <c r="S73" s="2">
        <v>22.86</v>
      </c>
      <c r="T73" s="2">
        <v>-6.22</v>
      </c>
    </row>
    <row r="74" spans="1:20" x14ac:dyDescent="0.25">
      <c r="A74" t="s">
        <v>6</v>
      </c>
      <c r="B74">
        <v>2249</v>
      </c>
      <c r="C74" s="1">
        <v>41944</v>
      </c>
      <c r="D74">
        <v>-59.22</v>
      </c>
      <c r="G74" s="5">
        <v>36495</v>
      </c>
      <c r="H74" s="2">
        <v>-22.99</v>
      </c>
      <c r="I74" s="2"/>
      <c r="J74" s="2"/>
      <c r="K74" s="2"/>
      <c r="L74" s="2"/>
      <c r="M74" s="2">
        <v>-22.99</v>
      </c>
      <c r="P74" s="5">
        <v>41122</v>
      </c>
      <c r="Q74" s="2">
        <v>98.02</v>
      </c>
      <c r="R74" s="2">
        <v>77.959999999999994</v>
      </c>
      <c r="S74" s="2">
        <v>29.54</v>
      </c>
      <c r="T74" s="2">
        <v>1.32</v>
      </c>
    </row>
    <row r="75" spans="1:20" x14ac:dyDescent="0.25">
      <c r="A75" t="s">
        <v>3</v>
      </c>
      <c r="B75">
        <v>177536</v>
      </c>
      <c r="C75" s="1">
        <v>41913</v>
      </c>
      <c r="D75">
        <v>35.81</v>
      </c>
      <c r="G75" s="5">
        <v>36526</v>
      </c>
      <c r="H75" s="2">
        <v>-36.979999999999997</v>
      </c>
      <c r="I75" s="2"/>
      <c r="J75" s="2"/>
      <c r="K75" s="2"/>
      <c r="L75" s="2"/>
      <c r="M75" s="2">
        <v>-36.979999999999997</v>
      </c>
      <c r="P75" s="5">
        <v>41153</v>
      </c>
      <c r="Q75" s="2">
        <v>95.62</v>
      </c>
      <c r="R75" s="2">
        <v>73.41</v>
      </c>
      <c r="S75" s="2">
        <v>22.1</v>
      </c>
      <c r="T75" s="2">
        <v>-3.89</v>
      </c>
    </row>
    <row r="76" spans="1:20" x14ac:dyDescent="0.25">
      <c r="A76" t="s">
        <v>4</v>
      </c>
      <c r="B76">
        <v>1240</v>
      </c>
      <c r="C76" s="1">
        <v>41913</v>
      </c>
      <c r="D76">
        <v>2.66</v>
      </c>
      <c r="G76" s="5">
        <v>36557</v>
      </c>
      <c r="H76" s="2">
        <v>-61.16</v>
      </c>
      <c r="I76" s="2"/>
      <c r="J76" s="2"/>
      <c r="K76" s="2"/>
      <c r="L76" s="2"/>
      <c r="M76" s="2">
        <v>-61.16</v>
      </c>
      <c r="P76" s="5">
        <v>41183</v>
      </c>
      <c r="Q76" s="2">
        <v>101.17</v>
      </c>
      <c r="R76" s="2">
        <v>78.45</v>
      </c>
      <c r="S76" s="2">
        <v>28.54</v>
      </c>
      <c r="T76" s="2">
        <v>1.7</v>
      </c>
    </row>
    <row r="77" spans="1:20" x14ac:dyDescent="0.25">
      <c r="A77" t="s">
        <v>5</v>
      </c>
      <c r="B77">
        <v>3500</v>
      </c>
      <c r="C77" s="1">
        <v>41913</v>
      </c>
      <c r="D77">
        <v>17.489999999999998</v>
      </c>
      <c r="G77" s="5">
        <v>36586</v>
      </c>
      <c r="H77" s="2">
        <v>-69.75</v>
      </c>
      <c r="I77" s="2"/>
      <c r="J77" s="2"/>
      <c r="K77" s="2"/>
      <c r="L77" s="2"/>
      <c r="M77" s="2">
        <v>-69.75</v>
      </c>
      <c r="P77" s="5">
        <v>41214</v>
      </c>
      <c r="Q77" s="2">
        <v>105.84</v>
      </c>
      <c r="R77" s="2">
        <v>80.709999999999994</v>
      </c>
      <c r="S77" s="2">
        <v>34.75</v>
      </c>
      <c r="T77" s="2">
        <v>6.79</v>
      </c>
    </row>
    <row r="78" spans="1:20" x14ac:dyDescent="0.25">
      <c r="A78" t="s">
        <v>6</v>
      </c>
      <c r="B78">
        <v>2227</v>
      </c>
      <c r="C78" s="1">
        <v>41913</v>
      </c>
      <c r="D78">
        <v>-69.98</v>
      </c>
      <c r="G78" s="5">
        <v>36617</v>
      </c>
      <c r="H78" s="2">
        <v>-61.86</v>
      </c>
      <c r="I78" s="2"/>
      <c r="J78" s="2"/>
      <c r="K78" s="2"/>
      <c r="L78" s="2"/>
      <c r="M78" s="2">
        <v>-61.86</v>
      </c>
      <c r="P78" s="5">
        <v>41244</v>
      </c>
      <c r="Q78" s="2">
        <v>106.19</v>
      </c>
      <c r="R78" s="2">
        <v>76.47</v>
      </c>
      <c r="S78" s="2">
        <v>32.94</v>
      </c>
      <c r="T78" s="2">
        <v>6.5</v>
      </c>
    </row>
    <row r="79" spans="1:20" x14ac:dyDescent="0.25">
      <c r="A79" t="s">
        <v>3</v>
      </c>
      <c r="B79">
        <v>177533</v>
      </c>
      <c r="C79" s="1">
        <v>41883</v>
      </c>
      <c r="D79">
        <v>38.51</v>
      </c>
      <c r="G79" s="5">
        <v>36647</v>
      </c>
      <c r="H79" s="2">
        <v>-53.45</v>
      </c>
      <c r="I79" s="2"/>
      <c r="J79" s="2"/>
      <c r="K79" s="2"/>
      <c r="L79" s="2"/>
      <c r="M79" s="2">
        <v>-53.45</v>
      </c>
      <c r="P79" s="5">
        <v>41275</v>
      </c>
      <c r="Q79" s="2">
        <v>105.81</v>
      </c>
      <c r="R79" s="2">
        <v>75.069999999999993</v>
      </c>
      <c r="S79" s="2">
        <v>30.87</v>
      </c>
      <c r="T79" s="2">
        <v>5.35</v>
      </c>
    </row>
    <row r="80" spans="1:20" x14ac:dyDescent="0.25">
      <c r="A80" t="s">
        <v>4</v>
      </c>
      <c r="B80">
        <v>1228</v>
      </c>
      <c r="C80" s="1">
        <v>41883</v>
      </c>
      <c r="D80">
        <v>4.68</v>
      </c>
      <c r="G80" s="5">
        <v>36678</v>
      </c>
      <c r="H80" s="2">
        <v>-83.61</v>
      </c>
      <c r="I80" s="2"/>
      <c r="J80" s="2"/>
      <c r="K80" s="2"/>
      <c r="L80" s="2"/>
      <c r="M80" s="2">
        <v>-83.61</v>
      </c>
      <c r="P80" s="5">
        <v>41306</v>
      </c>
      <c r="Q80" s="2">
        <v>100.14</v>
      </c>
      <c r="R80" s="2">
        <v>63.84</v>
      </c>
      <c r="S80" s="2">
        <v>20.74</v>
      </c>
      <c r="T80" s="2">
        <v>-1.75</v>
      </c>
    </row>
    <row r="81" spans="1:20" x14ac:dyDescent="0.25">
      <c r="A81" t="s">
        <v>5</v>
      </c>
      <c r="B81">
        <v>3470</v>
      </c>
      <c r="C81" s="1">
        <v>41883</v>
      </c>
      <c r="D81">
        <v>19.5</v>
      </c>
      <c r="G81" s="5">
        <v>36708</v>
      </c>
      <c r="H81" s="2">
        <v>-61.93</v>
      </c>
      <c r="I81" s="2"/>
      <c r="J81" s="2"/>
      <c r="K81" s="2"/>
      <c r="L81" s="2"/>
      <c r="M81" s="2">
        <v>-61.93</v>
      </c>
      <c r="P81" s="5">
        <v>41334</v>
      </c>
      <c r="Q81" s="2">
        <v>89.88</v>
      </c>
      <c r="R81" s="2">
        <v>46.35</v>
      </c>
      <c r="S81" s="2">
        <v>3.45</v>
      </c>
      <c r="T81" s="2">
        <v>-14.39</v>
      </c>
    </row>
    <row r="82" spans="1:20" x14ac:dyDescent="0.25">
      <c r="A82" t="s">
        <v>6</v>
      </c>
      <c r="B82">
        <v>2207</v>
      </c>
      <c r="C82" s="1">
        <v>41883</v>
      </c>
      <c r="D82">
        <v>-69.42</v>
      </c>
      <c r="G82" s="5">
        <v>36739</v>
      </c>
      <c r="H82" s="2">
        <v>-48.31</v>
      </c>
      <c r="I82" s="2"/>
      <c r="J82" s="2"/>
      <c r="K82" s="2"/>
      <c r="L82" s="2"/>
      <c r="M82" s="2">
        <v>-48.31</v>
      </c>
      <c r="P82" s="5">
        <v>41365</v>
      </c>
      <c r="Q82" s="2">
        <v>86.53</v>
      </c>
      <c r="R82" s="2">
        <v>40.9</v>
      </c>
      <c r="S82" s="2">
        <v>-1.68</v>
      </c>
      <c r="T82" s="2">
        <v>-18.48</v>
      </c>
    </row>
    <row r="83" spans="1:20" x14ac:dyDescent="0.25">
      <c r="A83" t="s">
        <v>3</v>
      </c>
      <c r="B83">
        <v>177520</v>
      </c>
      <c r="C83" s="1">
        <v>41852</v>
      </c>
      <c r="D83">
        <v>37.880000000000003</v>
      </c>
      <c r="G83" s="5">
        <v>36770</v>
      </c>
      <c r="H83" s="2">
        <v>-36.159999999999997</v>
      </c>
      <c r="I83" s="2"/>
      <c r="J83" s="2"/>
      <c r="K83" s="2"/>
      <c r="L83" s="2"/>
      <c r="M83" s="2">
        <v>-36.159999999999997</v>
      </c>
      <c r="P83" s="5">
        <v>41395</v>
      </c>
      <c r="Q83" s="2">
        <v>92.39</v>
      </c>
      <c r="R83" s="2">
        <v>51.86</v>
      </c>
      <c r="S83" s="2">
        <v>8.39</v>
      </c>
      <c r="T83" s="2">
        <v>-11.52</v>
      </c>
    </row>
    <row r="84" spans="1:20" x14ac:dyDescent="0.25">
      <c r="A84" t="s">
        <v>4</v>
      </c>
      <c r="B84">
        <v>1213</v>
      </c>
      <c r="C84" s="1">
        <v>41852</v>
      </c>
      <c r="D84">
        <v>1.59</v>
      </c>
      <c r="G84" s="5">
        <v>36800</v>
      </c>
      <c r="H84" s="2">
        <v>-25.99</v>
      </c>
      <c r="I84" s="2"/>
      <c r="J84" s="2"/>
      <c r="K84" s="2"/>
      <c r="L84" s="2"/>
      <c r="M84" s="2">
        <v>-25.99</v>
      </c>
      <c r="P84" s="5">
        <v>41426</v>
      </c>
      <c r="Q84" s="2">
        <v>86.38</v>
      </c>
      <c r="R84" s="2">
        <v>42.79</v>
      </c>
      <c r="S84" s="2">
        <v>8.8000000000000007</v>
      </c>
      <c r="T84" s="2">
        <v>-18.2</v>
      </c>
    </row>
    <row r="85" spans="1:20" x14ac:dyDescent="0.25">
      <c r="A85" t="s">
        <v>5</v>
      </c>
      <c r="B85">
        <v>3433</v>
      </c>
      <c r="C85" s="1">
        <v>41852</v>
      </c>
      <c r="D85">
        <v>11.51</v>
      </c>
      <c r="G85" s="5">
        <v>36831</v>
      </c>
      <c r="H85" s="2">
        <v>-15.38</v>
      </c>
      <c r="I85" s="2"/>
      <c r="J85" s="2"/>
      <c r="K85" s="2"/>
      <c r="L85" s="2"/>
      <c r="M85" s="2">
        <v>-15.38</v>
      </c>
      <c r="P85" s="5">
        <v>41456</v>
      </c>
      <c r="Q85" s="2">
        <v>49.66</v>
      </c>
      <c r="R85" s="2">
        <v>-10.49</v>
      </c>
      <c r="S85" s="2">
        <v>-38.479999999999997</v>
      </c>
      <c r="T85" s="2">
        <v>-60.22</v>
      </c>
    </row>
    <row r="86" spans="1:20" x14ac:dyDescent="0.25">
      <c r="A86" t="s">
        <v>6</v>
      </c>
      <c r="B86">
        <v>2183</v>
      </c>
      <c r="C86" s="1">
        <v>41852</v>
      </c>
      <c r="D86">
        <v>-72.16</v>
      </c>
      <c r="G86" s="5">
        <v>36861</v>
      </c>
      <c r="H86" s="2">
        <v>-6.9</v>
      </c>
      <c r="I86" s="2"/>
      <c r="J86" s="2"/>
      <c r="K86" s="2"/>
      <c r="L86" s="2"/>
      <c r="M86" s="2">
        <v>-6.9</v>
      </c>
      <c r="P86" s="5">
        <v>41487</v>
      </c>
      <c r="Q86" s="2">
        <v>28.1</v>
      </c>
      <c r="R86" s="2">
        <v>-39.130000000000003</v>
      </c>
      <c r="S86" s="2">
        <v>-81.790000000000006</v>
      </c>
      <c r="T86" s="2">
        <v>-107.55</v>
      </c>
    </row>
    <row r="87" spans="1:20" x14ac:dyDescent="0.25">
      <c r="A87" t="s">
        <v>3</v>
      </c>
      <c r="B87">
        <v>177561</v>
      </c>
      <c r="C87" s="1">
        <v>41821</v>
      </c>
      <c r="D87">
        <v>37.17</v>
      </c>
      <c r="G87" s="5">
        <v>36892</v>
      </c>
      <c r="H87" s="2">
        <v>27.47</v>
      </c>
      <c r="I87" s="2"/>
      <c r="J87" s="2"/>
      <c r="K87" s="2"/>
      <c r="L87" s="2"/>
      <c r="M87" s="2">
        <v>27.47</v>
      </c>
      <c r="P87" s="5">
        <v>41518</v>
      </c>
      <c r="Q87" s="2">
        <v>19.98</v>
      </c>
      <c r="R87" s="2">
        <v>-47.88</v>
      </c>
      <c r="S87" s="2">
        <v>-81.38</v>
      </c>
      <c r="T87" s="2">
        <v>-113.26</v>
      </c>
    </row>
    <row r="88" spans="1:20" x14ac:dyDescent="0.25">
      <c r="A88" t="s">
        <v>4</v>
      </c>
      <c r="B88">
        <v>1205</v>
      </c>
      <c r="C88" s="1">
        <v>41821</v>
      </c>
      <c r="D88">
        <v>-1.0900000000000001</v>
      </c>
      <c r="G88" s="5">
        <v>36923</v>
      </c>
      <c r="H88" s="2">
        <v>53.57</v>
      </c>
      <c r="I88" s="2"/>
      <c r="J88" s="2"/>
      <c r="K88" s="2"/>
      <c r="L88" s="2"/>
      <c r="M88" s="2">
        <v>53.57</v>
      </c>
      <c r="P88" s="5">
        <v>41548</v>
      </c>
      <c r="Q88" s="2">
        <v>17.53</v>
      </c>
      <c r="R88" s="2">
        <v>-48.3</v>
      </c>
      <c r="S88" s="2">
        <v>-83.16</v>
      </c>
      <c r="T88" s="2">
        <v>-111.54</v>
      </c>
    </row>
    <row r="89" spans="1:20" x14ac:dyDescent="0.25">
      <c r="A89" t="s">
        <v>5</v>
      </c>
      <c r="B89">
        <v>3400</v>
      </c>
      <c r="C89" s="1">
        <v>41821</v>
      </c>
      <c r="D89">
        <v>6.28</v>
      </c>
      <c r="G89" s="5">
        <v>36951</v>
      </c>
      <c r="H89" s="2">
        <v>50.77</v>
      </c>
      <c r="I89" s="2"/>
      <c r="J89" s="2"/>
      <c r="K89" s="2"/>
      <c r="L89" s="2"/>
      <c r="M89" s="2">
        <v>50.77</v>
      </c>
      <c r="P89" s="5">
        <v>41579</v>
      </c>
      <c r="Q89" s="2">
        <v>36.04</v>
      </c>
      <c r="R89" s="2">
        <v>-18.53</v>
      </c>
      <c r="S89" s="2">
        <v>-52.15</v>
      </c>
      <c r="T89" s="2">
        <v>-88.73</v>
      </c>
    </row>
    <row r="90" spans="1:20" x14ac:dyDescent="0.25">
      <c r="A90" t="s">
        <v>6</v>
      </c>
      <c r="B90">
        <v>2155</v>
      </c>
      <c r="C90" s="1">
        <v>41821</v>
      </c>
      <c r="D90">
        <v>-73.97</v>
      </c>
      <c r="G90" s="5">
        <v>36982</v>
      </c>
      <c r="H90" s="2">
        <v>57.31</v>
      </c>
      <c r="I90" s="2"/>
      <c r="J90" s="2"/>
      <c r="K90" s="2"/>
      <c r="L90" s="2"/>
      <c r="M90" s="2">
        <v>57.31</v>
      </c>
      <c r="P90" s="5">
        <v>41609</v>
      </c>
      <c r="Q90" s="2">
        <v>29.56</v>
      </c>
      <c r="R90" s="2">
        <v>-23.89</v>
      </c>
      <c r="S90" s="2">
        <v>-59.56</v>
      </c>
      <c r="T90" s="2">
        <v>-90.8</v>
      </c>
    </row>
    <row r="91" spans="1:20" x14ac:dyDescent="0.25">
      <c r="A91" t="s">
        <v>3</v>
      </c>
      <c r="B91">
        <v>177642</v>
      </c>
      <c r="C91" s="1">
        <v>41791</v>
      </c>
      <c r="D91">
        <v>36.36</v>
      </c>
      <c r="G91" s="5">
        <v>37012</v>
      </c>
      <c r="H91" s="2">
        <v>45.6</v>
      </c>
      <c r="I91" s="2"/>
      <c r="J91" s="2"/>
      <c r="K91" s="2"/>
      <c r="L91" s="2"/>
      <c r="M91" s="2">
        <v>45.6</v>
      </c>
      <c r="P91" s="5">
        <v>41640</v>
      </c>
      <c r="Q91" s="2">
        <v>16.940000000000001</v>
      </c>
      <c r="R91" s="2">
        <v>-39.549999999999997</v>
      </c>
      <c r="S91" s="2">
        <v>-75.19</v>
      </c>
      <c r="T91" s="2">
        <v>-102.52</v>
      </c>
    </row>
    <row r="92" spans="1:20" x14ac:dyDescent="0.25">
      <c r="A92" t="s">
        <v>4</v>
      </c>
      <c r="B92">
        <v>1203</v>
      </c>
      <c r="C92" s="1">
        <v>41791</v>
      </c>
      <c r="D92">
        <v>-3.61</v>
      </c>
      <c r="G92" s="5">
        <v>37043</v>
      </c>
      <c r="H92" s="2">
        <v>35.31</v>
      </c>
      <c r="I92" s="2"/>
      <c r="J92" s="2"/>
      <c r="K92" s="2"/>
      <c r="L92" s="2"/>
      <c r="M92" s="2">
        <v>35.31</v>
      </c>
      <c r="P92" s="5">
        <v>41671</v>
      </c>
      <c r="Q92" s="2">
        <v>16.809999999999999</v>
      </c>
      <c r="R92" s="2">
        <v>-37.770000000000003</v>
      </c>
      <c r="S92" s="2">
        <v>-72.22</v>
      </c>
      <c r="T92" s="2">
        <v>-101.28</v>
      </c>
    </row>
    <row r="93" spans="1:20" x14ac:dyDescent="0.25">
      <c r="A93" t="s">
        <v>5</v>
      </c>
      <c r="B93">
        <v>3361</v>
      </c>
      <c r="C93" s="1">
        <v>41791</v>
      </c>
      <c r="D93">
        <v>-2.58</v>
      </c>
      <c r="G93" s="5">
        <v>37073</v>
      </c>
      <c r="H93" s="2">
        <v>34.19</v>
      </c>
      <c r="I93" s="2"/>
      <c r="J93" s="2"/>
      <c r="K93" s="2"/>
      <c r="L93" s="2"/>
      <c r="M93" s="2">
        <v>34.19</v>
      </c>
      <c r="P93" s="5">
        <v>41699</v>
      </c>
      <c r="Q93" s="2">
        <v>25.08</v>
      </c>
      <c r="R93" s="2">
        <v>-24.33</v>
      </c>
      <c r="S93" s="2">
        <v>-56.23</v>
      </c>
      <c r="T93" s="2">
        <v>-90.35</v>
      </c>
    </row>
    <row r="94" spans="1:20" x14ac:dyDescent="0.25">
      <c r="A94" t="s">
        <v>6</v>
      </c>
      <c r="B94">
        <v>2128</v>
      </c>
      <c r="C94" s="1">
        <v>41791</v>
      </c>
      <c r="D94">
        <v>-75.430000000000007</v>
      </c>
      <c r="G94" s="5">
        <v>37104</v>
      </c>
      <c r="H94" s="2">
        <v>35.22</v>
      </c>
      <c r="I94" s="2"/>
      <c r="J94" s="2"/>
      <c r="K94" s="2"/>
      <c r="L94" s="2"/>
      <c r="M94" s="2">
        <v>35.22</v>
      </c>
      <c r="P94" s="5">
        <v>41730</v>
      </c>
      <c r="Q94" s="2">
        <v>24</v>
      </c>
      <c r="R94" s="2">
        <v>-24.36</v>
      </c>
      <c r="S94" s="2">
        <v>-49.59</v>
      </c>
      <c r="T94" s="2">
        <v>-86.83</v>
      </c>
    </row>
    <row r="95" spans="1:20" x14ac:dyDescent="0.25">
      <c r="A95" t="s">
        <v>3</v>
      </c>
      <c r="B95">
        <v>177709</v>
      </c>
      <c r="C95" s="1">
        <v>41760</v>
      </c>
      <c r="D95">
        <v>24.42</v>
      </c>
      <c r="G95" s="5">
        <v>37135</v>
      </c>
      <c r="H95" s="2">
        <v>48.64</v>
      </c>
      <c r="I95" s="2"/>
      <c r="J95" s="2"/>
      <c r="K95" s="2"/>
      <c r="L95" s="2"/>
      <c r="M95" s="2">
        <v>48.64</v>
      </c>
      <c r="P95" s="5">
        <v>41760</v>
      </c>
      <c r="Q95" s="2">
        <v>24.42</v>
      </c>
      <c r="R95" s="2">
        <v>-22.55</v>
      </c>
      <c r="S95" s="2">
        <v>-34.99</v>
      </c>
      <c r="T95" s="2">
        <v>-87.68</v>
      </c>
    </row>
    <row r="96" spans="1:20" x14ac:dyDescent="0.25">
      <c r="A96" t="s">
        <v>4</v>
      </c>
      <c r="B96">
        <v>1199</v>
      </c>
      <c r="C96" s="1">
        <v>41760</v>
      </c>
      <c r="D96">
        <v>-22.55</v>
      </c>
      <c r="G96" s="5">
        <v>37165</v>
      </c>
      <c r="H96" s="2">
        <v>57.61</v>
      </c>
      <c r="I96" s="2"/>
      <c r="J96" s="2"/>
      <c r="K96" s="2"/>
      <c r="L96" s="2"/>
      <c r="M96" s="2">
        <v>57.61</v>
      </c>
      <c r="P96" s="5">
        <v>41791</v>
      </c>
      <c r="Q96" s="2">
        <v>36.36</v>
      </c>
      <c r="R96" s="2">
        <v>-3.61</v>
      </c>
      <c r="S96" s="2">
        <v>-2.58</v>
      </c>
      <c r="T96" s="2">
        <v>-75.430000000000007</v>
      </c>
    </row>
    <row r="97" spans="1:20" x14ac:dyDescent="0.25">
      <c r="A97" t="s">
        <v>5</v>
      </c>
      <c r="B97">
        <v>3321</v>
      </c>
      <c r="C97" s="1">
        <v>41760</v>
      </c>
      <c r="D97">
        <v>-34.99</v>
      </c>
      <c r="G97" s="5">
        <v>37196</v>
      </c>
      <c r="H97" s="2">
        <v>73</v>
      </c>
      <c r="I97" s="2"/>
      <c r="J97" s="2"/>
      <c r="K97" s="2"/>
      <c r="L97" s="2"/>
      <c r="M97" s="2">
        <v>73</v>
      </c>
      <c r="P97" s="5">
        <v>41821</v>
      </c>
      <c r="Q97" s="2">
        <v>37.17</v>
      </c>
      <c r="R97" s="2">
        <v>-1.0900000000000001</v>
      </c>
      <c r="S97" s="2">
        <v>6.28</v>
      </c>
      <c r="T97" s="2">
        <v>-73.97</v>
      </c>
    </row>
    <row r="98" spans="1:20" x14ac:dyDescent="0.25">
      <c r="A98" t="s">
        <v>6</v>
      </c>
      <c r="B98">
        <v>2100</v>
      </c>
      <c r="C98" s="1">
        <v>41760</v>
      </c>
      <c r="D98">
        <v>-87.68</v>
      </c>
      <c r="G98" s="5">
        <v>37226</v>
      </c>
      <c r="H98" s="2">
        <v>68.75</v>
      </c>
      <c r="I98" s="2"/>
      <c r="J98" s="2"/>
      <c r="K98" s="2"/>
      <c r="L98" s="2"/>
      <c r="M98" s="2">
        <v>68.75</v>
      </c>
      <c r="P98" s="5">
        <v>41852</v>
      </c>
      <c r="Q98" s="2">
        <v>37.880000000000003</v>
      </c>
      <c r="R98" s="2">
        <v>1.59</v>
      </c>
      <c r="S98" s="2">
        <v>11.51</v>
      </c>
      <c r="T98" s="2">
        <v>-72.16</v>
      </c>
    </row>
    <row r="99" spans="1:20" x14ac:dyDescent="0.25">
      <c r="A99" t="s">
        <v>3</v>
      </c>
      <c r="B99">
        <v>177708</v>
      </c>
      <c r="C99" s="1">
        <v>41730</v>
      </c>
      <c r="D99">
        <v>24</v>
      </c>
      <c r="G99" s="5">
        <v>37257</v>
      </c>
      <c r="H99" s="2">
        <v>33.950000000000003</v>
      </c>
      <c r="I99" s="2"/>
      <c r="J99" s="2"/>
      <c r="K99" s="2"/>
      <c r="L99" s="2"/>
      <c r="M99" s="2">
        <v>33.950000000000003</v>
      </c>
      <c r="P99" s="5">
        <v>41883</v>
      </c>
      <c r="Q99" s="2">
        <v>38.51</v>
      </c>
      <c r="R99" s="2">
        <v>4.68</v>
      </c>
      <c r="S99" s="2">
        <v>19.5</v>
      </c>
      <c r="T99" s="2">
        <v>-69.42</v>
      </c>
    </row>
    <row r="100" spans="1:20" x14ac:dyDescent="0.25">
      <c r="A100" t="s">
        <v>4</v>
      </c>
      <c r="B100">
        <v>1194</v>
      </c>
      <c r="C100" s="1">
        <v>41730</v>
      </c>
      <c r="D100">
        <v>-24.36</v>
      </c>
      <c r="G100" s="5">
        <v>37288</v>
      </c>
      <c r="H100" s="2">
        <v>36.14</v>
      </c>
      <c r="I100" s="2"/>
      <c r="J100" s="2"/>
      <c r="K100" s="2"/>
      <c r="L100" s="2"/>
      <c r="M100" s="2">
        <v>36.14</v>
      </c>
      <c r="P100" s="5">
        <v>41913</v>
      </c>
      <c r="Q100" s="2">
        <v>35.81</v>
      </c>
      <c r="R100" s="2">
        <v>2.66</v>
      </c>
      <c r="S100" s="2">
        <v>17.489999999999998</v>
      </c>
      <c r="T100" s="2">
        <v>-69.98</v>
      </c>
    </row>
    <row r="101" spans="1:20" x14ac:dyDescent="0.25">
      <c r="A101" t="s">
        <v>5</v>
      </c>
      <c r="B101">
        <v>3279</v>
      </c>
      <c r="C101" s="1">
        <v>41730</v>
      </c>
      <c r="D101">
        <v>-49.59</v>
      </c>
      <c r="G101" s="5">
        <v>37316</v>
      </c>
      <c r="H101" s="2">
        <v>47.91</v>
      </c>
      <c r="I101" s="2"/>
      <c r="J101" s="2"/>
      <c r="K101" s="2"/>
      <c r="L101" s="2"/>
      <c r="M101" s="2">
        <v>47.91</v>
      </c>
      <c r="P101" s="5">
        <v>41944</v>
      </c>
      <c r="Q101" s="2">
        <v>43.41</v>
      </c>
      <c r="R101" s="2">
        <v>15.07</v>
      </c>
      <c r="S101" s="2">
        <v>30.93</v>
      </c>
      <c r="T101" s="2">
        <v>-59.22</v>
      </c>
    </row>
    <row r="102" spans="1:20" x14ac:dyDescent="0.25">
      <c r="A102" t="s">
        <v>6</v>
      </c>
      <c r="B102">
        <v>2071</v>
      </c>
      <c r="C102" s="1">
        <v>41730</v>
      </c>
      <c r="D102">
        <v>-86.83</v>
      </c>
      <c r="G102" s="5">
        <v>37347</v>
      </c>
      <c r="H102" s="2">
        <v>27.04</v>
      </c>
      <c r="I102" s="2"/>
      <c r="J102" s="2"/>
      <c r="K102" s="2"/>
      <c r="L102" s="2"/>
      <c r="M102" s="2">
        <v>27.04</v>
      </c>
      <c r="P102" s="5">
        <v>41974</v>
      </c>
      <c r="Q102" s="2">
        <v>44.76</v>
      </c>
      <c r="R102" s="2">
        <v>18.32</v>
      </c>
      <c r="S102" s="2">
        <v>34.74</v>
      </c>
      <c r="T102" s="2">
        <v>-53.7</v>
      </c>
    </row>
    <row r="103" spans="1:20" x14ac:dyDescent="0.25">
      <c r="A103" t="s">
        <v>3</v>
      </c>
      <c r="B103">
        <v>177725</v>
      </c>
      <c r="C103" s="1">
        <v>41699</v>
      </c>
      <c r="D103">
        <v>25.08</v>
      </c>
      <c r="G103" s="5">
        <v>37377</v>
      </c>
      <c r="H103" s="2">
        <v>31.33</v>
      </c>
      <c r="I103" s="2"/>
      <c r="J103" s="2"/>
      <c r="K103" s="2"/>
      <c r="L103" s="2"/>
      <c r="M103" s="2">
        <v>31.33</v>
      </c>
      <c r="P103" s="5">
        <v>42005</v>
      </c>
      <c r="Q103" s="2">
        <v>53.44</v>
      </c>
      <c r="R103" s="2">
        <v>30.61</v>
      </c>
      <c r="S103" s="2">
        <v>66.040000000000006</v>
      </c>
      <c r="T103" s="2">
        <v>-46.73</v>
      </c>
    </row>
    <row r="104" spans="1:20" x14ac:dyDescent="0.25">
      <c r="A104" t="s">
        <v>4</v>
      </c>
      <c r="B104">
        <v>1188</v>
      </c>
      <c r="C104" s="1">
        <v>41699</v>
      </c>
      <c r="D104">
        <v>-24.33</v>
      </c>
      <c r="G104" s="5">
        <v>37408</v>
      </c>
      <c r="H104" s="2">
        <v>44.52</v>
      </c>
      <c r="I104" s="2"/>
      <c r="J104" s="2"/>
      <c r="K104" s="2"/>
      <c r="L104" s="2"/>
      <c r="M104" s="2">
        <v>44.52</v>
      </c>
      <c r="P104" s="5">
        <v>42036</v>
      </c>
      <c r="Q104" s="2">
        <v>64.11</v>
      </c>
      <c r="R104" s="2">
        <v>47.59</v>
      </c>
      <c r="S104" s="2">
        <v>85.58</v>
      </c>
      <c r="T104" s="2">
        <v>-36.32</v>
      </c>
    </row>
    <row r="105" spans="1:20" x14ac:dyDescent="0.25">
      <c r="A105" t="s">
        <v>5</v>
      </c>
      <c r="B105">
        <v>3234</v>
      </c>
      <c r="C105" s="1">
        <v>41699</v>
      </c>
      <c r="D105">
        <v>-56.23</v>
      </c>
      <c r="G105" s="5">
        <v>37438</v>
      </c>
      <c r="H105" s="2">
        <v>58.42</v>
      </c>
      <c r="I105" s="2"/>
      <c r="J105" s="2"/>
      <c r="K105" s="2"/>
      <c r="L105" s="2"/>
      <c r="M105" s="2">
        <v>58.42</v>
      </c>
      <c r="P105" s="5">
        <v>42064</v>
      </c>
      <c r="Q105" s="2">
        <v>60.83</v>
      </c>
      <c r="R105" s="2">
        <v>43.16</v>
      </c>
      <c r="S105" s="2">
        <v>84.11</v>
      </c>
      <c r="T105" s="2">
        <v>-37.729999999999997</v>
      </c>
    </row>
    <row r="106" spans="1:20" x14ac:dyDescent="0.25">
      <c r="A106" t="s">
        <v>6</v>
      </c>
      <c r="B106">
        <v>2037</v>
      </c>
      <c r="C106" s="1">
        <v>41699</v>
      </c>
      <c r="D106">
        <v>-90.35</v>
      </c>
      <c r="G106" s="5">
        <v>37469</v>
      </c>
      <c r="H106" s="2">
        <v>70.67</v>
      </c>
      <c r="I106" s="2"/>
      <c r="J106" s="2"/>
      <c r="K106" s="2"/>
      <c r="L106" s="2"/>
      <c r="M106" s="2">
        <v>70.67</v>
      </c>
      <c r="P106" s="5">
        <v>42095</v>
      </c>
      <c r="Q106" s="2">
        <v>57.05</v>
      </c>
      <c r="R106" s="2">
        <v>37.28</v>
      </c>
      <c r="S106" s="2">
        <v>87.18</v>
      </c>
      <c r="T106" s="2">
        <v>-40.659999999999997</v>
      </c>
    </row>
    <row r="107" spans="1:20" x14ac:dyDescent="0.25">
      <c r="A107" t="s">
        <v>3</v>
      </c>
      <c r="B107">
        <v>177856</v>
      </c>
      <c r="C107" s="1">
        <v>41671</v>
      </c>
      <c r="D107">
        <v>16.809999999999999</v>
      </c>
      <c r="G107" s="5">
        <v>37500</v>
      </c>
      <c r="H107" s="2">
        <v>83.17</v>
      </c>
      <c r="I107" s="2"/>
      <c r="J107" s="2"/>
      <c r="K107" s="2"/>
      <c r="L107" s="2"/>
      <c r="M107" s="2">
        <v>83.17</v>
      </c>
      <c r="P107" s="5">
        <v>42125</v>
      </c>
      <c r="Q107" s="2">
        <v>62.1</v>
      </c>
      <c r="R107" s="2">
        <v>44.87</v>
      </c>
      <c r="S107" s="2">
        <v>105.05</v>
      </c>
      <c r="T107" s="2">
        <v>-34.799999999999997</v>
      </c>
    </row>
    <row r="108" spans="1:20" x14ac:dyDescent="0.25">
      <c r="A108" t="s">
        <v>4</v>
      </c>
      <c r="B108">
        <v>1176</v>
      </c>
      <c r="C108" s="1">
        <v>41671</v>
      </c>
      <c r="D108">
        <v>-37.770000000000003</v>
      </c>
      <c r="G108" s="5">
        <v>37530</v>
      </c>
      <c r="H108" s="2">
        <v>97.59</v>
      </c>
      <c r="I108" s="2"/>
      <c r="J108" s="2"/>
      <c r="K108" s="2"/>
      <c r="L108" s="2"/>
      <c r="M108" s="2">
        <v>97.59</v>
      </c>
      <c r="P108" s="5">
        <v>42156</v>
      </c>
      <c r="Q108" s="2">
        <v>50.45</v>
      </c>
      <c r="R108" s="2">
        <v>27.6</v>
      </c>
      <c r="S108" s="2">
        <v>95.68</v>
      </c>
      <c r="T108" s="2">
        <v>-44.13</v>
      </c>
    </row>
    <row r="109" spans="1:20" x14ac:dyDescent="0.25">
      <c r="A109" t="s">
        <v>5</v>
      </c>
      <c r="B109">
        <v>3187</v>
      </c>
      <c r="C109" s="1">
        <v>41671</v>
      </c>
      <c r="D109">
        <v>-72.22</v>
      </c>
      <c r="G109" s="5">
        <v>37561</v>
      </c>
      <c r="H109" s="2">
        <v>94.63</v>
      </c>
      <c r="I109" s="2"/>
      <c r="J109" s="2"/>
      <c r="K109" s="2"/>
      <c r="L109" s="2"/>
      <c r="M109" s="2">
        <v>94.63</v>
      </c>
      <c r="P109" s="5">
        <v>42186</v>
      </c>
      <c r="Q109" s="2">
        <v>39.86</v>
      </c>
      <c r="R109" s="2">
        <v>11.65</v>
      </c>
      <c r="S109" s="2">
        <v>84.44</v>
      </c>
      <c r="T109" s="2">
        <v>-52.45</v>
      </c>
    </row>
    <row r="110" spans="1:20" x14ac:dyDescent="0.25">
      <c r="A110" t="s">
        <v>6</v>
      </c>
      <c r="B110">
        <v>1989</v>
      </c>
      <c r="C110" s="1">
        <v>41671</v>
      </c>
      <c r="D110">
        <v>-101.28</v>
      </c>
      <c r="G110" s="5">
        <v>37591</v>
      </c>
      <c r="H110" s="2">
        <v>95.31</v>
      </c>
      <c r="I110" s="2"/>
      <c r="J110" s="2"/>
      <c r="K110" s="2"/>
      <c r="L110" s="2"/>
      <c r="M110" s="2">
        <v>95.31</v>
      </c>
      <c r="P110" s="5">
        <v>42217</v>
      </c>
      <c r="Q110" s="2">
        <v>35.65</v>
      </c>
      <c r="R110" s="2">
        <v>5.96</v>
      </c>
      <c r="S110" s="2">
        <v>82.64</v>
      </c>
      <c r="T110" s="2">
        <v>-55</v>
      </c>
    </row>
    <row r="111" spans="1:20" x14ac:dyDescent="0.25">
      <c r="A111" t="s">
        <v>3</v>
      </c>
      <c r="B111">
        <v>178036</v>
      </c>
      <c r="C111" s="1">
        <v>41640</v>
      </c>
      <c r="D111">
        <v>16.940000000000001</v>
      </c>
      <c r="G111" s="5">
        <v>37622</v>
      </c>
      <c r="H111" s="2">
        <v>92.99</v>
      </c>
      <c r="I111" s="2"/>
      <c r="J111" s="2"/>
      <c r="K111" s="2"/>
      <c r="L111" s="2"/>
      <c r="M111" s="2">
        <v>92.99</v>
      </c>
      <c r="P111" s="5">
        <v>42248</v>
      </c>
      <c r="Q111" s="2">
        <v>43.83</v>
      </c>
      <c r="R111" s="2">
        <v>12.54</v>
      </c>
      <c r="S111" s="2">
        <v>105.32</v>
      </c>
      <c r="T111" s="2">
        <v>-40.64</v>
      </c>
    </row>
    <row r="112" spans="1:20" x14ac:dyDescent="0.25">
      <c r="A112" t="s">
        <v>4</v>
      </c>
      <c r="B112">
        <v>1163</v>
      </c>
      <c r="C112" s="1">
        <v>41640</v>
      </c>
      <c r="D112">
        <v>-39.549999999999997</v>
      </c>
      <c r="G112" s="5">
        <v>37653</v>
      </c>
      <c r="H112" s="2">
        <v>99.84</v>
      </c>
      <c r="I112" s="2"/>
      <c r="J112" s="2"/>
      <c r="K112" s="2"/>
      <c r="L112" s="2"/>
      <c r="M112" s="2">
        <v>99.84</v>
      </c>
      <c r="P112" s="5">
        <v>42278</v>
      </c>
      <c r="Q112" s="2">
        <v>44.2</v>
      </c>
      <c r="R112" s="2">
        <v>14.16</v>
      </c>
      <c r="S112" s="2">
        <v>107.74</v>
      </c>
      <c r="T112" s="2">
        <v>-39.479999999999997</v>
      </c>
    </row>
    <row r="113" spans="1:20" x14ac:dyDescent="0.25">
      <c r="A113" t="s">
        <v>5</v>
      </c>
      <c r="B113">
        <v>3115</v>
      </c>
      <c r="C113" s="1">
        <v>41640</v>
      </c>
      <c r="D113">
        <v>-75.19</v>
      </c>
      <c r="G113" s="5">
        <v>37681</v>
      </c>
      <c r="H113" s="2">
        <v>101.65</v>
      </c>
      <c r="I113" s="2"/>
      <c r="J113" s="2"/>
      <c r="K113" s="2"/>
      <c r="L113" s="2"/>
      <c r="M113" s="2">
        <v>101.65</v>
      </c>
      <c r="P113" s="5">
        <v>42309</v>
      </c>
      <c r="Q113" s="2">
        <v>50.21</v>
      </c>
      <c r="R113" s="2">
        <v>24.79</v>
      </c>
      <c r="S113" s="2">
        <v>117.33</v>
      </c>
      <c r="T113" s="2">
        <v>-33.39</v>
      </c>
    </row>
    <row r="114" spans="1:20" x14ac:dyDescent="0.25">
      <c r="A114" t="s">
        <v>6</v>
      </c>
      <c r="B114">
        <v>1936</v>
      </c>
      <c r="C114" s="1">
        <v>41640</v>
      </c>
      <c r="D114">
        <v>-102.52</v>
      </c>
      <c r="G114" s="5">
        <v>37712</v>
      </c>
      <c r="H114" s="2">
        <v>106.67</v>
      </c>
      <c r="I114" s="2"/>
      <c r="J114" s="2"/>
      <c r="K114" s="2"/>
      <c r="L114" s="2"/>
      <c r="M114" s="2">
        <v>106.67</v>
      </c>
      <c r="P114" s="5">
        <v>42339</v>
      </c>
      <c r="Q114" s="2">
        <v>38.92</v>
      </c>
      <c r="R114" s="2">
        <v>9.92</v>
      </c>
      <c r="S114" s="2">
        <v>101.87</v>
      </c>
      <c r="T114" s="2">
        <v>-42.74</v>
      </c>
    </row>
    <row r="115" spans="1:20" x14ac:dyDescent="0.25">
      <c r="A115" t="s">
        <v>3</v>
      </c>
      <c r="B115">
        <v>178137</v>
      </c>
      <c r="C115" s="1">
        <v>41609</v>
      </c>
      <c r="D115">
        <v>29.56</v>
      </c>
      <c r="G115" s="5">
        <v>37742</v>
      </c>
      <c r="H115" s="2">
        <v>97.52</v>
      </c>
      <c r="I115" s="2"/>
      <c r="J115" s="2"/>
      <c r="K115" s="2"/>
      <c r="L115" s="2"/>
      <c r="M115" s="2">
        <v>97.52</v>
      </c>
      <c r="P115" s="5">
        <v>42370</v>
      </c>
      <c r="Q115" s="2">
        <v>37.24</v>
      </c>
      <c r="R115" s="2">
        <v>9.74</v>
      </c>
      <c r="S115" s="2">
        <v>100.98</v>
      </c>
      <c r="T115" s="2">
        <v>-43.16</v>
      </c>
    </row>
    <row r="116" spans="1:20" x14ac:dyDescent="0.25">
      <c r="A116" t="s">
        <v>4</v>
      </c>
      <c r="B116">
        <v>1154</v>
      </c>
      <c r="C116" s="1">
        <v>41609</v>
      </c>
      <c r="D116">
        <v>-23.89</v>
      </c>
      <c r="G116" s="5">
        <v>37773</v>
      </c>
      <c r="H116" s="2">
        <v>109.92</v>
      </c>
      <c r="I116" s="2"/>
      <c r="J116" s="2"/>
      <c r="K116" s="2"/>
      <c r="L116" s="2"/>
      <c r="M116" s="2">
        <v>109.92</v>
      </c>
      <c r="P116" s="5">
        <v>42401</v>
      </c>
      <c r="Q116" s="2">
        <v>42.4</v>
      </c>
      <c r="R116" s="2">
        <v>19.34</v>
      </c>
      <c r="S116" s="2">
        <v>109.05</v>
      </c>
      <c r="T116" s="2">
        <v>-37.61</v>
      </c>
    </row>
    <row r="117" spans="1:20" x14ac:dyDescent="0.25">
      <c r="A117" t="s">
        <v>5</v>
      </c>
      <c r="B117">
        <v>3059</v>
      </c>
      <c r="C117" s="1">
        <v>41609</v>
      </c>
      <c r="D117">
        <v>-59.56</v>
      </c>
      <c r="G117" s="5">
        <v>37803</v>
      </c>
      <c r="H117" s="2">
        <v>128.94999999999999</v>
      </c>
      <c r="I117" s="2"/>
      <c r="J117" s="2"/>
      <c r="K117" s="2"/>
      <c r="L117" s="2"/>
      <c r="M117" s="2">
        <v>128.94999999999999</v>
      </c>
      <c r="P117" s="5">
        <v>42430</v>
      </c>
      <c r="Q117" s="2">
        <v>56.26</v>
      </c>
      <c r="R117" s="2">
        <v>42.12</v>
      </c>
      <c r="S117" s="2">
        <v>131.31</v>
      </c>
      <c r="T117" s="2">
        <v>-24.95</v>
      </c>
    </row>
    <row r="118" spans="1:20" x14ac:dyDescent="0.25">
      <c r="A118" t="s">
        <v>6</v>
      </c>
      <c r="B118">
        <v>1887</v>
      </c>
      <c r="C118" s="1">
        <v>41609</v>
      </c>
      <c r="D118">
        <v>-90.8</v>
      </c>
      <c r="G118" s="5">
        <v>37834</v>
      </c>
      <c r="H118" s="2">
        <v>83.31</v>
      </c>
      <c r="I118" s="2"/>
      <c r="J118" s="2"/>
      <c r="K118" s="2"/>
      <c r="L118" s="2"/>
      <c r="M118" s="2">
        <v>83.31</v>
      </c>
    </row>
    <row r="119" spans="1:20" x14ac:dyDescent="0.25">
      <c r="A119" t="s">
        <v>3</v>
      </c>
      <c r="B119">
        <v>178237</v>
      </c>
      <c r="C119" s="1">
        <v>41579</v>
      </c>
      <c r="D119">
        <v>36.04</v>
      </c>
      <c r="G119" s="5">
        <v>37865</v>
      </c>
      <c r="H119" s="2">
        <v>23.71</v>
      </c>
      <c r="I119" s="2"/>
      <c r="J119" s="2"/>
      <c r="K119" s="2"/>
      <c r="L119" s="2"/>
      <c r="M119" s="2">
        <v>23.71</v>
      </c>
    </row>
    <row r="120" spans="1:20" x14ac:dyDescent="0.25">
      <c r="A120" t="s">
        <v>4</v>
      </c>
      <c r="B120">
        <v>1141</v>
      </c>
      <c r="C120" s="1">
        <v>41579</v>
      </c>
      <c r="D120">
        <v>-18.53</v>
      </c>
      <c r="G120" s="5">
        <v>37895</v>
      </c>
      <c r="H120" s="2">
        <v>32.68</v>
      </c>
      <c r="I120" s="2"/>
      <c r="J120" s="2"/>
      <c r="K120" s="2"/>
      <c r="L120" s="2"/>
      <c r="M120" s="2">
        <v>32.68</v>
      </c>
    </row>
    <row r="121" spans="1:20" x14ac:dyDescent="0.25">
      <c r="A121" t="s">
        <v>5</v>
      </c>
      <c r="B121">
        <v>2990</v>
      </c>
      <c r="C121" s="1">
        <v>41579</v>
      </c>
      <c r="D121">
        <v>-52.15</v>
      </c>
      <c r="G121" s="5">
        <v>37926</v>
      </c>
      <c r="H121" s="2">
        <v>43.61</v>
      </c>
      <c r="I121" s="2"/>
      <c r="J121" s="2"/>
      <c r="K121" s="2"/>
      <c r="L121" s="2"/>
      <c r="M121" s="2">
        <v>43.61</v>
      </c>
    </row>
    <row r="122" spans="1:20" x14ac:dyDescent="0.25">
      <c r="A122" t="s">
        <v>6</v>
      </c>
      <c r="B122">
        <v>1824</v>
      </c>
      <c r="C122" s="1">
        <v>41579</v>
      </c>
      <c r="D122">
        <v>-88.73</v>
      </c>
      <c r="G122" s="5">
        <v>37956</v>
      </c>
      <c r="H122" s="2">
        <v>42.25</v>
      </c>
      <c r="I122" s="2"/>
      <c r="J122" s="2"/>
      <c r="K122" s="2"/>
      <c r="L122" s="2"/>
      <c r="M122" s="2">
        <v>42.25</v>
      </c>
    </row>
    <row r="123" spans="1:20" x14ac:dyDescent="0.25">
      <c r="A123" t="s">
        <v>3</v>
      </c>
      <c r="B123">
        <v>178069</v>
      </c>
      <c r="C123" s="1">
        <v>41548</v>
      </c>
      <c r="D123">
        <v>17.53</v>
      </c>
      <c r="G123" s="5">
        <v>37987</v>
      </c>
      <c r="H123" s="2">
        <v>43.62</v>
      </c>
      <c r="I123" s="2"/>
      <c r="J123" s="2"/>
      <c r="K123" s="2"/>
      <c r="L123" s="2"/>
      <c r="M123" s="2">
        <v>43.62</v>
      </c>
    </row>
    <row r="124" spans="1:20" x14ac:dyDescent="0.25">
      <c r="A124" t="s">
        <v>4</v>
      </c>
      <c r="B124">
        <v>1128</v>
      </c>
      <c r="C124" s="1">
        <v>41548</v>
      </c>
      <c r="D124">
        <v>-48.3</v>
      </c>
      <c r="G124" s="5">
        <v>38018</v>
      </c>
      <c r="H124" s="2">
        <v>56.3</v>
      </c>
      <c r="I124" s="2"/>
      <c r="J124" s="2"/>
      <c r="K124" s="2"/>
      <c r="L124" s="2"/>
      <c r="M124" s="2">
        <v>56.3</v>
      </c>
    </row>
    <row r="125" spans="1:20" x14ac:dyDescent="0.25">
      <c r="A125" t="s">
        <v>5</v>
      </c>
      <c r="B125">
        <v>2890</v>
      </c>
      <c r="C125" s="1">
        <v>41548</v>
      </c>
      <c r="D125">
        <v>-83.16</v>
      </c>
      <c r="G125" s="5">
        <v>38047</v>
      </c>
      <c r="H125" s="2">
        <v>61.02</v>
      </c>
      <c r="I125" s="2"/>
      <c r="J125" s="2"/>
      <c r="K125" s="2"/>
      <c r="L125" s="2"/>
      <c r="M125" s="2">
        <v>61.02</v>
      </c>
    </row>
    <row r="126" spans="1:20" x14ac:dyDescent="0.25">
      <c r="A126" t="s">
        <v>6</v>
      </c>
      <c r="B126">
        <v>1755</v>
      </c>
      <c r="C126" s="1">
        <v>41548</v>
      </c>
      <c r="D126">
        <v>-111.54</v>
      </c>
      <c r="G126" s="5">
        <v>38078</v>
      </c>
      <c r="H126" s="2">
        <v>74.45</v>
      </c>
      <c r="I126" s="2"/>
      <c r="J126" s="2"/>
      <c r="K126" s="2"/>
      <c r="L126" s="2"/>
      <c r="M126" s="2">
        <v>74.45</v>
      </c>
    </row>
    <row r="127" spans="1:20" x14ac:dyDescent="0.25">
      <c r="A127" t="s">
        <v>3</v>
      </c>
      <c r="B127">
        <v>178221</v>
      </c>
      <c r="C127" s="1">
        <v>41518</v>
      </c>
      <c r="D127">
        <v>19.98</v>
      </c>
      <c r="G127" s="5">
        <v>38108</v>
      </c>
      <c r="H127" s="2">
        <v>33.44</v>
      </c>
      <c r="I127" s="2"/>
      <c r="J127" s="2"/>
      <c r="K127" s="2"/>
      <c r="L127" s="2"/>
      <c r="M127" s="2">
        <v>33.44</v>
      </c>
    </row>
    <row r="128" spans="1:20" x14ac:dyDescent="0.25">
      <c r="A128" t="s">
        <v>4</v>
      </c>
      <c r="B128">
        <v>1109</v>
      </c>
      <c r="C128" s="1">
        <v>41518</v>
      </c>
      <c r="D128">
        <v>-47.88</v>
      </c>
      <c r="G128" s="5">
        <v>38139</v>
      </c>
      <c r="H128" s="2">
        <v>-0.59</v>
      </c>
      <c r="I128" s="2"/>
      <c r="J128" s="2"/>
      <c r="K128" s="2"/>
      <c r="L128" s="2"/>
      <c r="M128" s="2">
        <v>-0.59</v>
      </c>
    </row>
    <row r="129" spans="1:13" x14ac:dyDescent="0.25">
      <c r="A129" t="s">
        <v>5</v>
      </c>
      <c r="B129">
        <v>2792</v>
      </c>
      <c r="C129" s="1">
        <v>41518</v>
      </c>
      <c r="D129">
        <v>-81.38</v>
      </c>
      <c r="G129" s="5">
        <v>38169</v>
      </c>
      <c r="H129" s="2">
        <v>-1.74</v>
      </c>
      <c r="I129" s="2"/>
      <c r="J129" s="2"/>
      <c r="K129" s="2"/>
      <c r="L129" s="2"/>
      <c r="M129" s="2">
        <v>-1.74</v>
      </c>
    </row>
    <row r="130" spans="1:13" x14ac:dyDescent="0.25">
      <c r="A130" t="s">
        <v>6</v>
      </c>
      <c r="B130">
        <v>1670</v>
      </c>
      <c r="C130" s="1">
        <v>41518</v>
      </c>
      <c r="D130">
        <v>-113.26</v>
      </c>
      <c r="G130" s="5">
        <v>38200</v>
      </c>
      <c r="H130" s="2">
        <v>19.93</v>
      </c>
      <c r="I130" s="2"/>
      <c r="J130" s="2"/>
      <c r="K130" s="2"/>
      <c r="L130" s="2"/>
      <c r="M130" s="2">
        <v>19.93</v>
      </c>
    </row>
    <row r="131" spans="1:13" x14ac:dyDescent="0.25">
      <c r="A131" t="s">
        <v>3</v>
      </c>
      <c r="B131">
        <v>178373</v>
      </c>
      <c r="C131" s="1">
        <v>41487</v>
      </c>
      <c r="D131">
        <v>28.1</v>
      </c>
      <c r="G131" s="5">
        <v>38231</v>
      </c>
      <c r="H131" s="2">
        <v>30.9</v>
      </c>
      <c r="I131" s="2"/>
      <c r="J131" s="2"/>
      <c r="K131" s="2"/>
      <c r="L131" s="2"/>
      <c r="M131" s="2">
        <v>30.9</v>
      </c>
    </row>
    <row r="132" spans="1:13" x14ac:dyDescent="0.25">
      <c r="A132" t="s">
        <v>4</v>
      </c>
      <c r="B132">
        <v>1077</v>
      </c>
      <c r="C132" s="1">
        <v>41487</v>
      </c>
      <c r="D132">
        <v>-39.130000000000003</v>
      </c>
      <c r="G132" s="5">
        <v>38261</v>
      </c>
      <c r="H132" s="2">
        <v>38.81</v>
      </c>
      <c r="I132" s="2"/>
      <c r="J132" s="2"/>
      <c r="K132" s="2"/>
      <c r="L132" s="2"/>
      <c r="M132" s="2">
        <v>38.81</v>
      </c>
    </row>
    <row r="133" spans="1:13" x14ac:dyDescent="0.25">
      <c r="A133" t="s">
        <v>5</v>
      </c>
      <c r="B133">
        <v>2710</v>
      </c>
      <c r="C133" s="1">
        <v>41487</v>
      </c>
      <c r="D133">
        <v>-81.790000000000006</v>
      </c>
      <c r="G133" s="5">
        <v>38292</v>
      </c>
      <c r="H133" s="2">
        <v>42.66</v>
      </c>
      <c r="I133" s="2"/>
      <c r="J133" s="2"/>
      <c r="K133" s="2"/>
      <c r="L133" s="2"/>
      <c r="M133" s="2">
        <v>42.66</v>
      </c>
    </row>
    <row r="134" spans="1:13" x14ac:dyDescent="0.25">
      <c r="A134" t="s">
        <v>6</v>
      </c>
      <c r="B134">
        <v>1578</v>
      </c>
      <c r="C134" s="1">
        <v>41487</v>
      </c>
      <c r="D134">
        <v>-107.55</v>
      </c>
      <c r="G134" s="5">
        <v>38322</v>
      </c>
      <c r="H134" s="2">
        <v>40.9</v>
      </c>
      <c r="I134" s="2"/>
      <c r="J134" s="2"/>
      <c r="K134" s="2"/>
      <c r="L134" s="2"/>
      <c r="M134" s="2">
        <v>40.9</v>
      </c>
    </row>
    <row r="135" spans="1:13" x14ac:dyDescent="0.25">
      <c r="A135" t="s">
        <v>3</v>
      </c>
      <c r="B135">
        <v>178334</v>
      </c>
      <c r="C135" s="1">
        <v>41456</v>
      </c>
      <c r="D135">
        <v>49.66</v>
      </c>
      <c r="G135" s="5">
        <v>38353</v>
      </c>
      <c r="H135" s="2">
        <v>37.39</v>
      </c>
      <c r="I135" s="2"/>
      <c r="J135" s="2"/>
      <c r="K135" s="2"/>
      <c r="L135" s="2"/>
      <c r="M135" s="2">
        <v>37.39</v>
      </c>
    </row>
    <row r="136" spans="1:13" x14ac:dyDescent="0.25">
      <c r="A136" t="s">
        <v>4</v>
      </c>
      <c r="B136">
        <v>1053</v>
      </c>
      <c r="C136" s="1">
        <v>41456</v>
      </c>
      <c r="D136">
        <v>-10.49</v>
      </c>
      <c r="G136" s="5">
        <v>38384</v>
      </c>
      <c r="H136" s="2">
        <v>38.44</v>
      </c>
      <c r="I136" s="2"/>
      <c r="J136" s="2"/>
      <c r="K136" s="2"/>
      <c r="L136" s="2"/>
      <c r="M136" s="2">
        <v>38.44</v>
      </c>
    </row>
    <row r="137" spans="1:13" x14ac:dyDescent="0.25">
      <c r="A137" t="s">
        <v>5</v>
      </c>
      <c r="B137">
        <v>2607</v>
      </c>
      <c r="C137" s="1">
        <v>41456</v>
      </c>
      <c r="D137">
        <v>-38.479999999999997</v>
      </c>
      <c r="G137" s="5">
        <v>38412</v>
      </c>
      <c r="H137" s="2">
        <v>42.85</v>
      </c>
      <c r="I137" s="2"/>
      <c r="J137" s="2"/>
      <c r="K137" s="2"/>
      <c r="L137" s="2"/>
      <c r="M137" s="2">
        <v>42.85</v>
      </c>
    </row>
    <row r="138" spans="1:13" x14ac:dyDescent="0.25">
      <c r="A138" t="s">
        <v>6</v>
      </c>
      <c r="B138">
        <v>1487</v>
      </c>
      <c r="C138" s="1">
        <v>41456</v>
      </c>
      <c r="D138">
        <v>-60.22</v>
      </c>
      <c r="G138" s="5">
        <v>38443</v>
      </c>
      <c r="H138" s="2">
        <v>18.53</v>
      </c>
      <c r="I138" s="2"/>
      <c r="J138" s="2"/>
      <c r="K138" s="2"/>
      <c r="L138" s="2"/>
      <c r="M138" s="2">
        <v>18.53</v>
      </c>
    </row>
    <row r="139" spans="1:13" x14ac:dyDescent="0.25">
      <c r="A139" t="s">
        <v>3</v>
      </c>
      <c r="B139">
        <v>178394</v>
      </c>
      <c r="C139" s="1">
        <v>41426</v>
      </c>
      <c r="D139">
        <v>86.38</v>
      </c>
      <c r="G139" s="5">
        <v>38473</v>
      </c>
      <c r="H139" s="2">
        <v>24.54</v>
      </c>
      <c r="I139" s="2"/>
      <c r="J139" s="2"/>
      <c r="K139" s="2"/>
      <c r="L139" s="2"/>
      <c r="M139" s="2">
        <v>24.54</v>
      </c>
    </row>
    <row r="140" spans="1:13" x14ac:dyDescent="0.25">
      <c r="A140" t="s">
        <v>4</v>
      </c>
      <c r="B140">
        <v>1031</v>
      </c>
      <c r="C140" s="1">
        <v>41426</v>
      </c>
      <c r="D140">
        <v>42.79</v>
      </c>
      <c r="G140" s="5">
        <v>38504</v>
      </c>
      <c r="H140" s="2">
        <v>34.53</v>
      </c>
      <c r="I140" s="2"/>
      <c r="J140" s="2"/>
      <c r="K140" s="2"/>
      <c r="L140" s="2"/>
      <c r="M140" s="2">
        <v>34.53</v>
      </c>
    </row>
    <row r="141" spans="1:13" x14ac:dyDescent="0.25">
      <c r="A141" t="s">
        <v>5</v>
      </c>
      <c r="B141">
        <v>2512</v>
      </c>
      <c r="C141" s="1">
        <v>41426</v>
      </c>
      <c r="D141">
        <v>8.8000000000000007</v>
      </c>
      <c r="G141" s="5">
        <v>38534</v>
      </c>
      <c r="H141" s="2">
        <v>43.8</v>
      </c>
      <c r="I141" s="2"/>
      <c r="J141" s="2"/>
      <c r="K141" s="2"/>
      <c r="L141" s="2"/>
      <c r="M141" s="2">
        <v>43.8</v>
      </c>
    </row>
    <row r="142" spans="1:13" x14ac:dyDescent="0.25">
      <c r="A142" t="s">
        <v>6</v>
      </c>
      <c r="B142">
        <v>1405</v>
      </c>
      <c r="C142" s="1">
        <v>41426</v>
      </c>
      <c r="D142">
        <v>-18.2</v>
      </c>
      <c r="G142" s="5">
        <v>38565</v>
      </c>
      <c r="H142" s="2">
        <v>34.81</v>
      </c>
      <c r="I142" s="2"/>
      <c r="J142" s="2"/>
      <c r="K142" s="2"/>
      <c r="L142" s="2"/>
      <c r="M142" s="2">
        <v>34.81</v>
      </c>
    </row>
    <row r="143" spans="1:13" x14ac:dyDescent="0.25">
      <c r="A143" t="s">
        <v>3</v>
      </c>
      <c r="B143">
        <v>178241</v>
      </c>
      <c r="C143" s="1">
        <v>41395</v>
      </c>
      <c r="D143">
        <v>92.39</v>
      </c>
      <c r="G143" s="5">
        <v>38596</v>
      </c>
      <c r="H143" s="2">
        <v>25.45</v>
      </c>
      <c r="I143" s="2"/>
      <c r="J143" s="2"/>
      <c r="K143" s="2"/>
      <c r="L143" s="2"/>
      <c r="M143" s="2">
        <v>25.45</v>
      </c>
    </row>
    <row r="144" spans="1:13" x14ac:dyDescent="0.25">
      <c r="A144" t="s">
        <v>4</v>
      </c>
      <c r="B144">
        <v>1008</v>
      </c>
      <c r="C144" s="1">
        <v>41395</v>
      </c>
      <c r="D144">
        <v>51.86</v>
      </c>
      <c r="G144" s="5">
        <v>38626</v>
      </c>
      <c r="H144" s="2">
        <v>23.95</v>
      </c>
      <c r="I144" s="2"/>
      <c r="J144" s="2"/>
      <c r="K144" s="2"/>
      <c r="L144" s="2"/>
      <c r="M144" s="2">
        <v>23.95</v>
      </c>
    </row>
    <row r="145" spans="1:13" x14ac:dyDescent="0.25">
      <c r="A145" t="s">
        <v>5</v>
      </c>
      <c r="B145">
        <v>2400</v>
      </c>
      <c r="C145" s="1">
        <v>41395</v>
      </c>
      <c r="D145">
        <v>8.39</v>
      </c>
      <c r="G145" s="5">
        <v>38657</v>
      </c>
      <c r="H145" s="2">
        <v>3.3</v>
      </c>
      <c r="I145" s="2"/>
      <c r="J145" s="2"/>
      <c r="K145" s="2"/>
      <c r="L145" s="2"/>
      <c r="M145" s="2">
        <v>3.3</v>
      </c>
    </row>
    <row r="146" spans="1:13" x14ac:dyDescent="0.25">
      <c r="A146" t="s">
        <v>6</v>
      </c>
      <c r="B146">
        <v>1310</v>
      </c>
      <c r="C146" s="1">
        <v>41395</v>
      </c>
      <c r="D146">
        <v>-11.52</v>
      </c>
      <c r="G146" s="5">
        <v>38687</v>
      </c>
      <c r="H146" s="2">
        <v>-16.48</v>
      </c>
      <c r="I146" s="2"/>
      <c r="J146" s="2"/>
      <c r="K146" s="2"/>
      <c r="L146" s="2"/>
      <c r="M146" s="2">
        <v>-16.48</v>
      </c>
    </row>
    <row r="147" spans="1:13" x14ac:dyDescent="0.25">
      <c r="A147" t="s">
        <v>3</v>
      </c>
      <c r="B147">
        <v>178139</v>
      </c>
      <c r="C147" s="1">
        <v>41365</v>
      </c>
      <c r="D147">
        <v>86.53</v>
      </c>
      <c r="G147" s="5">
        <v>38718</v>
      </c>
      <c r="H147" s="2">
        <v>-13.74</v>
      </c>
      <c r="I147" s="2"/>
      <c r="J147" s="2"/>
      <c r="K147" s="2"/>
      <c r="L147" s="2"/>
      <c r="M147" s="2">
        <v>-13.74</v>
      </c>
    </row>
    <row r="148" spans="1:13" x14ac:dyDescent="0.25">
      <c r="A148" t="s">
        <v>4</v>
      </c>
      <c r="B148">
        <v>980</v>
      </c>
      <c r="C148" s="1">
        <v>41365</v>
      </c>
      <c r="D148">
        <v>40.9</v>
      </c>
      <c r="G148" s="5">
        <v>38749</v>
      </c>
      <c r="H148" s="2">
        <v>-3.41</v>
      </c>
      <c r="I148" s="2"/>
      <c r="J148" s="2"/>
      <c r="K148" s="2"/>
      <c r="L148" s="2"/>
      <c r="M148" s="2">
        <v>-3.41</v>
      </c>
    </row>
    <row r="149" spans="1:13" x14ac:dyDescent="0.25">
      <c r="A149" t="s">
        <v>5</v>
      </c>
      <c r="B149">
        <v>2282</v>
      </c>
      <c r="C149" s="1">
        <v>41365</v>
      </c>
      <c r="D149">
        <v>-1.68</v>
      </c>
      <c r="G149" s="5">
        <v>38777</v>
      </c>
      <c r="H149" s="2">
        <v>-11.5</v>
      </c>
      <c r="I149" s="2"/>
      <c r="J149" s="2"/>
      <c r="K149" s="2"/>
      <c r="L149" s="2"/>
      <c r="M149" s="2">
        <v>-11.5</v>
      </c>
    </row>
    <row r="150" spans="1:13" x14ac:dyDescent="0.25">
      <c r="A150" t="s">
        <v>6</v>
      </c>
      <c r="B150">
        <v>1208</v>
      </c>
      <c r="C150" s="1">
        <v>41365</v>
      </c>
      <c r="D150">
        <v>-18.48</v>
      </c>
      <c r="G150" s="5">
        <v>38808</v>
      </c>
      <c r="H150" s="2">
        <v>-17.39</v>
      </c>
      <c r="I150" s="2"/>
      <c r="J150" s="2"/>
      <c r="K150" s="2"/>
      <c r="L150" s="2"/>
      <c r="M150" s="2">
        <v>-17.39</v>
      </c>
    </row>
    <row r="151" spans="1:13" x14ac:dyDescent="0.25">
      <c r="A151" t="s">
        <v>3</v>
      </c>
      <c r="B151">
        <v>178013</v>
      </c>
      <c r="C151" s="1">
        <v>41334</v>
      </c>
      <c r="D151">
        <v>89.88</v>
      </c>
      <c r="G151" s="5">
        <v>38838</v>
      </c>
      <c r="H151" s="2">
        <v>-29.98</v>
      </c>
      <c r="I151" s="2"/>
      <c r="J151" s="2"/>
      <c r="K151" s="2"/>
      <c r="L151" s="2"/>
      <c r="M151" s="2">
        <v>-29.98</v>
      </c>
    </row>
    <row r="152" spans="1:13" x14ac:dyDescent="0.25">
      <c r="A152" t="s">
        <v>4</v>
      </c>
      <c r="B152">
        <v>964</v>
      </c>
      <c r="C152" s="1">
        <v>41334</v>
      </c>
      <c r="D152">
        <v>46.35</v>
      </c>
      <c r="G152" s="5">
        <v>38869</v>
      </c>
      <c r="H152" s="2">
        <v>-35.28</v>
      </c>
      <c r="I152" s="2"/>
      <c r="J152" s="2"/>
      <c r="K152" s="2"/>
      <c r="L152" s="2"/>
      <c r="M152" s="2">
        <v>-35.28</v>
      </c>
    </row>
    <row r="153" spans="1:13" x14ac:dyDescent="0.25">
      <c r="A153" t="s">
        <v>5</v>
      </c>
      <c r="B153">
        <v>2163</v>
      </c>
      <c r="C153" s="1">
        <v>41334</v>
      </c>
      <c r="D153">
        <v>3.45</v>
      </c>
      <c r="G153" s="5">
        <v>38899</v>
      </c>
      <c r="H153" s="2">
        <v>-40.229999999999997</v>
      </c>
      <c r="I153" s="2"/>
      <c r="J153" s="2"/>
      <c r="K153" s="2"/>
      <c r="L153" s="2"/>
      <c r="M153" s="2">
        <v>-40.229999999999997</v>
      </c>
    </row>
    <row r="154" spans="1:13" x14ac:dyDescent="0.25">
      <c r="A154" t="s">
        <v>6</v>
      </c>
      <c r="B154">
        <v>1093</v>
      </c>
      <c r="C154" s="1">
        <v>41334</v>
      </c>
      <c r="D154">
        <v>-14.39</v>
      </c>
      <c r="G154" s="5">
        <v>38930</v>
      </c>
      <c r="H154" s="2">
        <v>-44.24</v>
      </c>
      <c r="I154" s="2"/>
      <c r="J154" s="2"/>
      <c r="K154" s="2"/>
      <c r="L154" s="2"/>
      <c r="M154" s="2">
        <v>-44.24</v>
      </c>
    </row>
    <row r="155" spans="1:13" x14ac:dyDescent="0.25">
      <c r="A155" t="s">
        <v>3</v>
      </c>
      <c r="B155">
        <v>177825</v>
      </c>
      <c r="C155" s="1">
        <v>41306</v>
      </c>
      <c r="D155">
        <v>100.14</v>
      </c>
      <c r="G155" s="5">
        <v>38961</v>
      </c>
      <c r="H155" s="2">
        <v>-23.69</v>
      </c>
      <c r="I155" s="2"/>
      <c r="J155" s="2"/>
      <c r="K155" s="2"/>
      <c r="L155" s="2"/>
      <c r="M155" s="2">
        <v>-23.69</v>
      </c>
    </row>
    <row r="156" spans="1:13" x14ac:dyDescent="0.25">
      <c r="A156" t="s">
        <v>4</v>
      </c>
      <c r="B156">
        <v>941</v>
      </c>
      <c r="C156" s="1">
        <v>41306</v>
      </c>
      <c r="D156">
        <v>63.84</v>
      </c>
      <c r="G156" s="5">
        <v>38991</v>
      </c>
      <c r="H156" s="2">
        <v>-15.42</v>
      </c>
      <c r="I156" s="2"/>
      <c r="J156" s="2"/>
      <c r="K156" s="2"/>
      <c r="L156" s="2"/>
      <c r="M156" s="2">
        <v>-15.42</v>
      </c>
    </row>
    <row r="157" spans="1:13" x14ac:dyDescent="0.25">
      <c r="A157" t="s">
        <v>5</v>
      </c>
      <c r="B157">
        <v>2024</v>
      </c>
      <c r="C157" s="1">
        <v>41306</v>
      </c>
      <c r="D157">
        <v>20.74</v>
      </c>
      <c r="G157" s="5">
        <v>39022</v>
      </c>
      <c r="H157" s="2">
        <v>-10.98</v>
      </c>
      <c r="I157" s="2"/>
      <c r="J157" s="2"/>
      <c r="K157" s="2"/>
      <c r="L157" s="2"/>
      <c r="M157" s="2">
        <v>-10.98</v>
      </c>
    </row>
    <row r="158" spans="1:13" x14ac:dyDescent="0.25">
      <c r="A158" t="s">
        <v>6</v>
      </c>
      <c r="B158">
        <v>971</v>
      </c>
      <c r="C158" s="1">
        <v>41306</v>
      </c>
      <c r="D158">
        <v>-1.75</v>
      </c>
      <c r="G158" s="5">
        <v>39052</v>
      </c>
      <c r="H158" s="2">
        <v>-3.25</v>
      </c>
      <c r="I158" s="2"/>
      <c r="J158" s="2"/>
      <c r="K158" s="2"/>
      <c r="L158" s="2"/>
      <c r="M158" s="2">
        <v>-3.25</v>
      </c>
    </row>
    <row r="159" spans="1:13" x14ac:dyDescent="0.25">
      <c r="A159" t="s">
        <v>3</v>
      </c>
      <c r="B159">
        <v>177577</v>
      </c>
      <c r="C159" s="1">
        <v>41275</v>
      </c>
      <c r="D159">
        <v>105.81</v>
      </c>
      <c r="G159" s="5">
        <v>39083</v>
      </c>
      <c r="H159" s="2">
        <v>5.47</v>
      </c>
      <c r="I159" s="2"/>
      <c r="J159" s="2"/>
      <c r="K159" s="2"/>
      <c r="L159" s="2"/>
      <c r="M159" s="2">
        <v>5.47</v>
      </c>
    </row>
    <row r="160" spans="1:13" x14ac:dyDescent="0.25">
      <c r="A160" t="s">
        <v>4</v>
      </c>
      <c r="B160">
        <v>914</v>
      </c>
      <c r="C160" s="1">
        <v>41275</v>
      </c>
      <c r="D160">
        <v>75.069999999999993</v>
      </c>
      <c r="G160" s="5">
        <v>39114</v>
      </c>
      <c r="H160" s="2">
        <v>-1.37</v>
      </c>
      <c r="I160" s="2"/>
      <c r="J160" s="2"/>
      <c r="K160" s="2"/>
      <c r="L160" s="2"/>
      <c r="M160" s="2">
        <v>-1.37</v>
      </c>
    </row>
    <row r="161" spans="1:13" x14ac:dyDescent="0.25">
      <c r="A161" t="s">
        <v>5</v>
      </c>
      <c r="B161">
        <v>1895</v>
      </c>
      <c r="C161" s="1">
        <v>41275</v>
      </c>
      <c r="D161">
        <v>30.87</v>
      </c>
      <c r="G161" s="5">
        <v>39142</v>
      </c>
      <c r="H161" s="2">
        <v>-1.46</v>
      </c>
      <c r="I161" s="2"/>
      <c r="J161" s="2"/>
      <c r="K161" s="2"/>
      <c r="L161" s="2"/>
      <c r="M161" s="2">
        <v>-1.46</v>
      </c>
    </row>
    <row r="162" spans="1:13" x14ac:dyDescent="0.25">
      <c r="A162" t="s">
        <v>6</v>
      </c>
      <c r="B162">
        <v>846</v>
      </c>
      <c r="C162" s="1">
        <v>41275</v>
      </c>
      <c r="D162">
        <v>5.35</v>
      </c>
      <c r="G162" s="5">
        <v>39173</v>
      </c>
      <c r="H162" s="2">
        <v>4.87</v>
      </c>
      <c r="I162" s="2"/>
      <c r="J162" s="2"/>
      <c r="K162" s="2"/>
      <c r="L162" s="2"/>
      <c r="M162" s="2">
        <v>4.87</v>
      </c>
    </row>
    <row r="163" spans="1:13" x14ac:dyDescent="0.25">
      <c r="A163" t="s">
        <v>3</v>
      </c>
      <c r="B163">
        <v>177298</v>
      </c>
      <c r="C163" s="1">
        <v>41244</v>
      </c>
      <c r="D163">
        <v>106.19</v>
      </c>
      <c r="G163" s="5">
        <v>39203</v>
      </c>
      <c r="H163" s="2">
        <v>2.54</v>
      </c>
      <c r="I163" s="2"/>
      <c r="J163" s="2"/>
      <c r="K163" s="2"/>
      <c r="L163" s="2"/>
      <c r="M163" s="2">
        <v>2.54</v>
      </c>
    </row>
    <row r="164" spans="1:13" x14ac:dyDescent="0.25">
      <c r="A164" t="s">
        <v>4</v>
      </c>
      <c r="B164">
        <v>892</v>
      </c>
      <c r="C164" s="1">
        <v>41244</v>
      </c>
      <c r="D164">
        <v>76.47</v>
      </c>
      <c r="G164" s="5">
        <v>39234</v>
      </c>
      <c r="H164" s="2">
        <v>-2.58</v>
      </c>
      <c r="I164" s="2"/>
      <c r="J164" s="2"/>
      <c r="K164" s="2"/>
      <c r="L164" s="2"/>
      <c r="M164" s="2">
        <v>-2.58</v>
      </c>
    </row>
    <row r="165" spans="1:13" x14ac:dyDescent="0.25">
      <c r="A165" t="s">
        <v>5</v>
      </c>
      <c r="B165">
        <v>1783</v>
      </c>
      <c r="C165" s="1">
        <v>41244</v>
      </c>
      <c r="D165">
        <v>32.94</v>
      </c>
      <c r="G165" s="5">
        <v>39264</v>
      </c>
      <c r="H165" s="2">
        <v>-28.42</v>
      </c>
      <c r="I165" s="2"/>
      <c r="J165" s="2"/>
      <c r="K165" s="2"/>
      <c r="L165" s="2"/>
      <c r="M165" s="2">
        <v>-28.42</v>
      </c>
    </row>
    <row r="166" spans="1:13" x14ac:dyDescent="0.25">
      <c r="A166" t="s">
        <v>6</v>
      </c>
      <c r="B166">
        <v>745</v>
      </c>
      <c r="C166" s="1">
        <v>41244</v>
      </c>
      <c r="D166">
        <v>6.5</v>
      </c>
      <c r="G166" s="5">
        <v>39295</v>
      </c>
      <c r="H166" s="2">
        <v>-30.34</v>
      </c>
      <c r="I166" s="2"/>
      <c r="J166" s="2"/>
      <c r="K166" s="2"/>
      <c r="L166" s="2"/>
      <c r="M166" s="2">
        <v>-30.34</v>
      </c>
    </row>
    <row r="167" spans="1:13" x14ac:dyDescent="0.25">
      <c r="A167" t="s">
        <v>3</v>
      </c>
      <c r="B167">
        <v>177340</v>
      </c>
      <c r="C167" s="1">
        <v>41214</v>
      </c>
      <c r="D167">
        <v>105.84</v>
      </c>
      <c r="G167" s="5">
        <v>39326</v>
      </c>
      <c r="H167" s="2">
        <v>-21.17</v>
      </c>
      <c r="I167" s="2"/>
      <c r="J167" s="2"/>
      <c r="K167" s="2"/>
      <c r="L167" s="2"/>
      <c r="M167" s="2">
        <v>-21.17</v>
      </c>
    </row>
    <row r="168" spans="1:13" x14ac:dyDescent="0.25">
      <c r="A168" t="s">
        <v>4</v>
      </c>
      <c r="B168">
        <v>868</v>
      </c>
      <c r="C168" s="1">
        <v>41214</v>
      </c>
      <c r="D168">
        <v>80.709999999999994</v>
      </c>
      <c r="G168" s="5">
        <v>39356</v>
      </c>
      <c r="H168" s="2">
        <v>-9.41</v>
      </c>
      <c r="I168" s="2"/>
      <c r="J168" s="2"/>
      <c r="K168" s="2"/>
      <c r="L168" s="2"/>
      <c r="M168" s="2">
        <v>-9.41</v>
      </c>
    </row>
    <row r="169" spans="1:13" x14ac:dyDescent="0.25">
      <c r="A169" t="s">
        <v>5</v>
      </c>
      <c r="B169">
        <v>1703</v>
      </c>
      <c r="C169" s="1">
        <v>41214</v>
      </c>
      <c r="D169">
        <v>34.75</v>
      </c>
      <c r="G169" s="5">
        <v>39387</v>
      </c>
      <c r="H169" s="2">
        <v>-6.17</v>
      </c>
      <c r="I169" s="2"/>
      <c r="J169" s="2"/>
      <c r="K169" s="2"/>
      <c r="L169" s="2"/>
      <c r="M169" s="2">
        <v>-6.17</v>
      </c>
    </row>
    <row r="170" spans="1:13" x14ac:dyDescent="0.25">
      <c r="A170" t="s">
        <v>6</v>
      </c>
      <c r="B170">
        <v>667</v>
      </c>
      <c r="C170" s="1">
        <v>41214</v>
      </c>
      <c r="D170">
        <v>6.79</v>
      </c>
      <c r="G170" s="5">
        <v>39417</v>
      </c>
      <c r="H170" s="2">
        <v>4.5599999999999996</v>
      </c>
      <c r="I170" s="2"/>
      <c r="J170" s="2"/>
      <c r="K170" s="2"/>
      <c r="L170" s="2"/>
      <c r="M170" s="2">
        <v>4.5599999999999996</v>
      </c>
    </row>
    <row r="171" spans="1:13" x14ac:dyDescent="0.25">
      <c r="A171" t="s">
        <v>3</v>
      </c>
      <c r="B171">
        <v>176662</v>
      </c>
      <c r="C171" s="1">
        <v>41183</v>
      </c>
      <c r="D171">
        <v>101.17</v>
      </c>
      <c r="G171" s="5">
        <v>39448</v>
      </c>
      <c r="H171" s="2">
        <v>11.2</v>
      </c>
      <c r="I171" s="2"/>
      <c r="J171" s="2"/>
      <c r="K171" s="2"/>
      <c r="L171" s="2"/>
      <c r="M171" s="2">
        <v>11.2</v>
      </c>
    </row>
    <row r="172" spans="1:13" x14ac:dyDescent="0.25">
      <c r="A172" t="s">
        <v>4</v>
      </c>
      <c r="B172">
        <v>829</v>
      </c>
      <c r="C172" s="1">
        <v>41183</v>
      </c>
      <c r="D172">
        <v>78.45</v>
      </c>
      <c r="G172" s="5">
        <v>39479</v>
      </c>
      <c r="H172" s="2">
        <v>32.270000000000003</v>
      </c>
      <c r="I172" s="2"/>
      <c r="J172" s="2"/>
      <c r="K172" s="2"/>
      <c r="L172" s="2"/>
      <c r="M172" s="2">
        <v>32.270000000000003</v>
      </c>
    </row>
    <row r="173" spans="1:13" x14ac:dyDescent="0.25">
      <c r="A173" t="s">
        <v>5</v>
      </c>
      <c r="B173">
        <v>1565</v>
      </c>
      <c r="C173" s="1">
        <v>41183</v>
      </c>
      <c r="D173">
        <v>28.54</v>
      </c>
      <c r="G173" s="5">
        <v>39508</v>
      </c>
      <c r="H173" s="2">
        <v>18.440000000000001</v>
      </c>
      <c r="I173" s="2"/>
      <c r="J173" s="2"/>
      <c r="K173" s="2"/>
      <c r="L173" s="2"/>
      <c r="M173" s="2">
        <v>18.440000000000001</v>
      </c>
    </row>
    <row r="174" spans="1:13" x14ac:dyDescent="0.25">
      <c r="A174" t="s">
        <v>6</v>
      </c>
      <c r="B174">
        <v>539</v>
      </c>
      <c r="C174" s="1">
        <v>41183</v>
      </c>
      <c r="D174">
        <v>1.7</v>
      </c>
      <c r="G174" s="5">
        <v>39539</v>
      </c>
      <c r="H174" s="2">
        <v>14.26</v>
      </c>
      <c r="I174" s="2"/>
      <c r="J174" s="2"/>
      <c r="K174" s="2"/>
      <c r="L174" s="2"/>
      <c r="M174" s="2">
        <v>14.26</v>
      </c>
    </row>
    <row r="175" spans="1:13" x14ac:dyDescent="0.25">
      <c r="A175" t="s">
        <v>3</v>
      </c>
      <c r="B175">
        <v>176300</v>
      </c>
      <c r="C175" s="1">
        <v>41153</v>
      </c>
      <c r="D175">
        <v>95.62</v>
      </c>
      <c r="G175" s="5">
        <v>39569</v>
      </c>
      <c r="H175" s="2">
        <v>16</v>
      </c>
      <c r="I175" s="2" t="e">
        <v>#DIV/0!</v>
      </c>
      <c r="J175" s="2"/>
      <c r="K175" s="2"/>
      <c r="L175" s="2"/>
      <c r="M175" s="2">
        <v>16</v>
      </c>
    </row>
    <row r="176" spans="1:13" x14ac:dyDescent="0.25">
      <c r="A176" t="s">
        <v>4</v>
      </c>
      <c r="B176">
        <v>796</v>
      </c>
      <c r="C176" s="1">
        <v>41153</v>
      </c>
      <c r="D176">
        <v>73.41</v>
      </c>
      <c r="G176" s="5">
        <v>39600</v>
      </c>
      <c r="H176" s="2">
        <v>9.1300000000000008</v>
      </c>
      <c r="I176" s="2">
        <v>-11.74</v>
      </c>
      <c r="J176" s="2"/>
      <c r="K176" s="2"/>
      <c r="L176" s="2"/>
      <c r="M176" s="2">
        <v>-1.3049999999999997</v>
      </c>
    </row>
    <row r="177" spans="1:13" x14ac:dyDescent="0.25">
      <c r="A177" t="s">
        <v>5</v>
      </c>
      <c r="B177">
        <v>1471</v>
      </c>
      <c r="C177" s="1">
        <v>41153</v>
      </c>
      <c r="D177">
        <v>22.1</v>
      </c>
      <c r="G177" s="5">
        <v>39630</v>
      </c>
      <c r="H177" s="2">
        <v>-11.41</v>
      </c>
      <c r="I177" s="2">
        <v>-53.63</v>
      </c>
      <c r="J177" s="2"/>
      <c r="K177" s="2"/>
      <c r="L177" s="2"/>
      <c r="M177" s="2">
        <v>-32.520000000000003</v>
      </c>
    </row>
    <row r="178" spans="1:13" x14ac:dyDescent="0.25">
      <c r="A178" t="s">
        <v>6</v>
      </c>
      <c r="B178">
        <v>440</v>
      </c>
      <c r="C178" s="1">
        <v>41153</v>
      </c>
      <c r="D178">
        <v>-3.89</v>
      </c>
      <c r="G178" s="5">
        <v>39661</v>
      </c>
      <c r="H178" s="2">
        <v>-17.579999999999998</v>
      </c>
      <c r="I178" s="2">
        <v>-70.239999999999995</v>
      </c>
      <c r="J178" s="2"/>
      <c r="K178" s="2"/>
      <c r="L178" s="2"/>
      <c r="M178" s="2">
        <v>-43.91</v>
      </c>
    </row>
    <row r="179" spans="1:13" x14ac:dyDescent="0.25">
      <c r="A179" t="s">
        <v>3</v>
      </c>
      <c r="B179">
        <v>176057</v>
      </c>
      <c r="C179" s="1">
        <v>41122</v>
      </c>
      <c r="D179">
        <v>98.02</v>
      </c>
      <c r="G179" s="5">
        <v>39692</v>
      </c>
      <c r="H179" s="2">
        <v>-21.26</v>
      </c>
      <c r="I179" s="2">
        <v>-67.650000000000006</v>
      </c>
      <c r="J179" s="2"/>
      <c r="K179" s="2"/>
      <c r="L179" s="2"/>
      <c r="M179" s="2">
        <v>-44.455000000000005</v>
      </c>
    </row>
    <row r="180" spans="1:13" x14ac:dyDescent="0.25">
      <c r="A180" t="s">
        <v>4</v>
      </c>
      <c r="B180">
        <v>761</v>
      </c>
      <c r="C180" s="1">
        <v>41122</v>
      </c>
      <c r="D180">
        <v>77.959999999999994</v>
      </c>
      <c r="G180" s="5">
        <v>39722</v>
      </c>
      <c r="H180" s="2">
        <v>5.21</v>
      </c>
      <c r="I180" s="2">
        <v>-11.17</v>
      </c>
      <c r="J180" s="2"/>
      <c r="K180" s="2"/>
      <c r="L180" s="2"/>
      <c r="M180" s="2">
        <v>-2.98</v>
      </c>
    </row>
    <row r="181" spans="1:13" x14ac:dyDescent="0.25">
      <c r="A181" t="s">
        <v>5</v>
      </c>
      <c r="B181">
        <v>1375</v>
      </c>
      <c r="C181" s="1">
        <v>41122</v>
      </c>
      <c r="D181">
        <v>29.54</v>
      </c>
      <c r="G181" s="5">
        <v>39753</v>
      </c>
      <c r="H181" s="2">
        <v>-3.71</v>
      </c>
      <c r="I181" s="2">
        <v>-6.87</v>
      </c>
      <c r="J181" s="2"/>
      <c r="K181" s="2"/>
      <c r="L181" s="2"/>
      <c r="M181" s="2">
        <v>-5.29</v>
      </c>
    </row>
    <row r="182" spans="1:13" x14ac:dyDescent="0.25">
      <c r="A182" t="s">
        <v>6</v>
      </c>
      <c r="B182">
        <v>335</v>
      </c>
      <c r="C182" s="1">
        <v>41122</v>
      </c>
      <c r="D182">
        <v>1.32</v>
      </c>
      <c r="G182" s="5">
        <v>39783</v>
      </c>
      <c r="H182" s="2">
        <v>1.33</v>
      </c>
      <c r="I182" s="2">
        <v>5.28</v>
      </c>
      <c r="J182" s="2"/>
      <c r="K182" s="2"/>
      <c r="L182" s="2"/>
      <c r="M182" s="2">
        <v>3.3050000000000002</v>
      </c>
    </row>
    <row r="183" spans="1:13" x14ac:dyDescent="0.25">
      <c r="A183" t="s">
        <v>3</v>
      </c>
      <c r="B183">
        <v>175773</v>
      </c>
      <c r="C183" s="1">
        <v>41091</v>
      </c>
      <c r="D183">
        <v>91.59</v>
      </c>
      <c r="G183" s="5">
        <v>39814</v>
      </c>
      <c r="H183" s="2">
        <v>46.43</v>
      </c>
      <c r="I183" s="2">
        <v>89.48</v>
      </c>
      <c r="J183" s="2"/>
      <c r="K183" s="2"/>
      <c r="L183" s="2"/>
      <c r="M183" s="2">
        <v>67.954999999999998</v>
      </c>
    </row>
    <row r="184" spans="1:13" x14ac:dyDescent="0.25">
      <c r="A184" t="s">
        <v>4</v>
      </c>
      <c r="B184">
        <v>735</v>
      </c>
      <c r="C184" s="1">
        <v>41091</v>
      </c>
      <c r="D184">
        <v>67.78</v>
      </c>
      <c r="G184" s="5">
        <v>39845</v>
      </c>
      <c r="H184" s="2">
        <v>59.13</v>
      </c>
      <c r="I184" s="2">
        <v>116.96</v>
      </c>
      <c r="J184" s="2"/>
      <c r="K184" s="2"/>
      <c r="L184" s="2"/>
      <c r="M184" s="2">
        <v>88.045000000000002</v>
      </c>
    </row>
    <row r="185" spans="1:13" x14ac:dyDescent="0.25">
      <c r="A185" t="s">
        <v>5</v>
      </c>
      <c r="B185">
        <v>1283</v>
      </c>
      <c r="C185" s="1">
        <v>41091</v>
      </c>
      <c r="D185">
        <v>22.86</v>
      </c>
      <c r="G185" s="5">
        <v>39873</v>
      </c>
      <c r="H185" s="2">
        <v>52.53</v>
      </c>
      <c r="I185" s="2">
        <v>103.16</v>
      </c>
      <c r="J185" s="2"/>
      <c r="K185" s="2"/>
      <c r="L185" s="2"/>
      <c r="M185" s="2">
        <v>77.844999999999999</v>
      </c>
    </row>
    <row r="186" spans="1:13" x14ac:dyDescent="0.25">
      <c r="A186" t="s">
        <v>6</v>
      </c>
      <c r="B186">
        <v>226</v>
      </c>
      <c r="C186" s="1">
        <v>41091</v>
      </c>
      <c r="D186">
        <v>-6.22</v>
      </c>
      <c r="G186" s="5">
        <v>39904</v>
      </c>
      <c r="H186" s="2">
        <v>57.8</v>
      </c>
      <c r="I186" s="2">
        <v>112.2</v>
      </c>
      <c r="J186" s="2"/>
      <c r="K186" s="2"/>
      <c r="L186" s="2"/>
      <c r="M186" s="2">
        <v>85</v>
      </c>
    </row>
    <row r="187" spans="1:13" x14ac:dyDescent="0.25">
      <c r="A187" t="s">
        <v>3</v>
      </c>
      <c r="B187">
        <v>175603</v>
      </c>
      <c r="C187" s="1">
        <v>41061</v>
      </c>
      <c r="D187">
        <v>84.39</v>
      </c>
      <c r="G187" s="5">
        <v>39934</v>
      </c>
      <c r="H187" s="2">
        <v>67.14</v>
      </c>
      <c r="I187" s="2">
        <v>130.96</v>
      </c>
      <c r="J187" s="2"/>
      <c r="K187" s="2"/>
      <c r="L187" s="2"/>
      <c r="M187" s="2">
        <v>99.050000000000011</v>
      </c>
    </row>
    <row r="188" spans="1:13" x14ac:dyDescent="0.25">
      <c r="A188" t="s">
        <v>4</v>
      </c>
      <c r="B188">
        <v>712</v>
      </c>
      <c r="C188" s="1">
        <v>41061</v>
      </c>
      <c r="D188">
        <v>56.19</v>
      </c>
      <c r="G188" s="5">
        <v>39965</v>
      </c>
      <c r="H188" s="2">
        <v>63.07</v>
      </c>
      <c r="I188" s="2">
        <v>124.61</v>
      </c>
      <c r="J188" s="2"/>
      <c r="K188" s="2"/>
      <c r="L188" s="2"/>
      <c r="M188" s="2">
        <v>93.84</v>
      </c>
    </row>
    <row r="189" spans="1:13" x14ac:dyDescent="0.25">
      <c r="A189" t="s">
        <v>5</v>
      </c>
      <c r="B189">
        <v>1180</v>
      </c>
      <c r="C189" s="1">
        <v>41061</v>
      </c>
      <c r="D189">
        <v>15.52</v>
      </c>
      <c r="G189" s="5">
        <v>39995</v>
      </c>
      <c r="H189" s="2">
        <v>28.56</v>
      </c>
      <c r="I189" s="2">
        <v>63.07</v>
      </c>
      <c r="J189" s="2"/>
      <c r="K189" s="2"/>
      <c r="L189" s="2"/>
      <c r="M189" s="2">
        <v>45.814999999999998</v>
      </c>
    </row>
    <row r="190" spans="1:13" x14ac:dyDescent="0.25">
      <c r="A190" t="s">
        <v>6</v>
      </c>
      <c r="B190">
        <v>132</v>
      </c>
      <c r="C190" s="1">
        <v>41061</v>
      </c>
      <c r="D190" t="s">
        <v>13</v>
      </c>
      <c r="G190" s="5">
        <v>40026</v>
      </c>
      <c r="H190" s="2">
        <v>38.229999999999997</v>
      </c>
      <c r="I190" s="2">
        <v>79.930000000000007</v>
      </c>
      <c r="J190" s="2"/>
      <c r="K190" s="2"/>
      <c r="L190" s="2"/>
      <c r="M190" s="2">
        <v>59.08</v>
      </c>
    </row>
    <row r="191" spans="1:13" x14ac:dyDescent="0.25">
      <c r="A191" t="s">
        <v>3</v>
      </c>
      <c r="B191">
        <v>175406</v>
      </c>
      <c r="C191" s="1">
        <v>41030</v>
      </c>
      <c r="D191">
        <v>78.599999999999994</v>
      </c>
      <c r="G191" s="5">
        <v>40057</v>
      </c>
      <c r="H191" s="2">
        <v>38.869999999999997</v>
      </c>
      <c r="I191" s="2">
        <v>84.87</v>
      </c>
      <c r="J191" s="2"/>
      <c r="K191" s="2"/>
      <c r="L191" s="2"/>
      <c r="M191" s="2">
        <v>61.870000000000005</v>
      </c>
    </row>
    <row r="192" spans="1:13" x14ac:dyDescent="0.25">
      <c r="A192" t="s">
        <v>4</v>
      </c>
      <c r="B192">
        <v>679</v>
      </c>
      <c r="C192" s="1">
        <v>41030</v>
      </c>
      <c r="D192">
        <v>48.71</v>
      </c>
      <c r="G192" s="5">
        <v>40087</v>
      </c>
      <c r="H192" s="2">
        <v>47.2</v>
      </c>
      <c r="I192" s="2">
        <v>105.3</v>
      </c>
      <c r="J192" s="2" t="e">
        <v>#DIV/0!</v>
      </c>
      <c r="K192" s="2"/>
      <c r="L192" s="2"/>
      <c r="M192" s="2">
        <v>76.25</v>
      </c>
    </row>
    <row r="193" spans="1:13" x14ac:dyDescent="0.25">
      <c r="A193" t="s">
        <v>5</v>
      </c>
      <c r="B193">
        <v>1093</v>
      </c>
      <c r="C193" s="1">
        <v>41030</v>
      </c>
      <c r="D193">
        <v>9.33</v>
      </c>
      <c r="G193" s="5">
        <v>40118</v>
      </c>
      <c r="H193" s="2">
        <v>50.79</v>
      </c>
      <c r="I193" s="2">
        <v>114.29</v>
      </c>
      <c r="J193" s="2">
        <v>-33.71</v>
      </c>
      <c r="K193" s="2"/>
      <c r="L193" s="2"/>
      <c r="M193" s="2">
        <v>43.79</v>
      </c>
    </row>
    <row r="194" spans="1:13" x14ac:dyDescent="0.25">
      <c r="A194" t="s">
        <v>3</v>
      </c>
      <c r="B194">
        <v>175226</v>
      </c>
      <c r="C194" s="1">
        <v>41000</v>
      </c>
      <c r="D194">
        <v>74.8</v>
      </c>
      <c r="G194" s="5">
        <v>40148</v>
      </c>
      <c r="H194" s="2">
        <v>54.77</v>
      </c>
      <c r="I194" s="2">
        <v>123.22</v>
      </c>
      <c r="J194" s="2">
        <v>-26.66</v>
      </c>
      <c r="K194" s="2"/>
      <c r="L194" s="2"/>
      <c r="M194" s="2">
        <v>50.443333333333335</v>
      </c>
    </row>
    <row r="195" spans="1:13" x14ac:dyDescent="0.25">
      <c r="A195" t="s">
        <v>4</v>
      </c>
      <c r="B195">
        <v>647</v>
      </c>
      <c r="C195" s="1">
        <v>41000</v>
      </c>
      <c r="D195">
        <v>45.84</v>
      </c>
      <c r="G195" s="5">
        <v>40179</v>
      </c>
      <c r="H195" s="2">
        <v>50.5</v>
      </c>
      <c r="I195" s="2">
        <v>121.56</v>
      </c>
      <c r="J195" s="2">
        <v>-22.9</v>
      </c>
      <c r="K195" s="2"/>
      <c r="L195" s="2"/>
      <c r="M195" s="2">
        <v>49.72</v>
      </c>
    </row>
    <row r="196" spans="1:13" x14ac:dyDescent="0.25">
      <c r="A196" t="s">
        <v>5</v>
      </c>
      <c r="B196">
        <v>1028</v>
      </c>
      <c r="C196" s="1">
        <v>41000</v>
      </c>
      <c r="D196">
        <v>8.06</v>
      </c>
      <c r="G196" s="5">
        <v>40210</v>
      </c>
      <c r="H196" s="2">
        <v>44.25</v>
      </c>
      <c r="I196" s="2">
        <v>114.61</v>
      </c>
      <c r="J196" s="2">
        <v>-30.56</v>
      </c>
      <c r="K196" s="2"/>
      <c r="L196" s="2"/>
      <c r="M196" s="2">
        <v>42.766666666666673</v>
      </c>
    </row>
    <row r="197" spans="1:13" x14ac:dyDescent="0.25">
      <c r="A197" t="s">
        <v>3</v>
      </c>
      <c r="B197">
        <v>175080</v>
      </c>
      <c r="C197" s="1">
        <v>40969</v>
      </c>
      <c r="D197">
        <v>78.62</v>
      </c>
      <c r="G197" s="5">
        <v>40238</v>
      </c>
      <c r="H197" s="2">
        <v>45.48</v>
      </c>
      <c r="I197" s="2">
        <v>118.77</v>
      </c>
      <c r="J197" s="2">
        <v>-25.9</v>
      </c>
      <c r="K197" s="2"/>
      <c r="L197" s="2"/>
      <c r="M197" s="2">
        <v>46.116666666666667</v>
      </c>
    </row>
    <row r="198" spans="1:13" x14ac:dyDescent="0.25">
      <c r="A198" t="s">
        <v>4</v>
      </c>
      <c r="B198">
        <v>623</v>
      </c>
      <c r="C198" s="1">
        <v>40969</v>
      </c>
      <c r="D198">
        <v>58.56</v>
      </c>
      <c r="G198" s="5">
        <v>40269</v>
      </c>
      <c r="H198" s="2">
        <v>43.97</v>
      </c>
      <c r="I198" s="2">
        <v>116.71</v>
      </c>
      <c r="J198" s="2">
        <v>-24.83</v>
      </c>
      <c r="K198" s="2"/>
      <c r="L198" s="2"/>
      <c r="M198" s="2">
        <v>45.283333333333339</v>
      </c>
    </row>
    <row r="199" spans="1:13" x14ac:dyDescent="0.25">
      <c r="A199" t="s">
        <v>5</v>
      </c>
      <c r="B199">
        <v>971</v>
      </c>
      <c r="C199" s="1">
        <v>40969</v>
      </c>
      <c r="D199">
        <v>22.4</v>
      </c>
      <c r="G199" s="5">
        <v>40299</v>
      </c>
      <c r="H199" s="2">
        <v>37</v>
      </c>
      <c r="I199" s="2">
        <v>105.05</v>
      </c>
      <c r="J199" s="2">
        <v>-91.91</v>
      </c>
      <c r="K199" s="2"/>
      <c r="L199" s="2"/>
      <c r="M199" s="2">
        <v>16.713333333333338</v>
      </c>
    </row>
    <row r="200" spans="1:13" x14ac:dyDescent="0.25">
      <c r="A200" t="s">
        <v>3</v>
      </c>
      <c r="B200">
        <v>174705</v>
      </c>
      <c r="C200" s="1">
        <v>40940</v>
      </c>
      <c r="D200">
        <v>79.13</v>
      </c>
      <c r="G200" s="5">
        <v>40330</v>
      </c>
      <c r="H200" s="2">
        <v>48.75</v>
      </c>
      <c r="I200" s="2">
        <v>125</v>
      </c>
      <c r="J200" s="2">
        <v>-59.95</v>
      </c>
      <c r="K200" s="2"/>
      <c r="L200" s="2"/>
      <c r="M200" s="2">
        <v>37.93333333333333</v>
      </c>
    </row>
    <row r="201" spans="1:13" x14ac:dyDescent="0.25">
      <c r="A201" t="s">
        <v>4</v>
      </c>
      <c r="B201">
        <v>563</v>
      </c>
      <c r="C201" s="1">
        <v>40940</v>
      </c>
      <c r="D201">
        <v>63.28</v>
      </c>
      <c r="G201" s="5">
        <v>40360</v>
      </c>
      <c r="H201" s="2">
        <v>58.84</v>
      </c>
      <c r="I201" s="2">
        <v>143.38</v>
      </c>
      <c r="J201" s="2">
        <v>-33.700000000000003</v>
      </c>
      <c r="K201" s="2"/>
      <c r="L201" s="2"/>
      <c r="M201" s="2">
        <v>56.173333333333325</v>
      </c>
    </row>
    <row r="202" spans="1:13" x14ac:dyDescent="0.25">
      <c r="A202" t="s">
        <v>5</v>
      </c>
      <c r="B202">
        <v>882</v>
      </c>
      <c r="C202" s="1">
        <v>40940</v>
      </c>
      <c r="D202">
        <v>50.59</v>
      </c>
      <c r="G202" s="5">
        <v>40391</v>
      </c>
      <c r="H202" s="2">
        <v>67.39</v>
      </c>
      <c r="I202" s="2">
        <v>158.84</v>
      </c>
      <c r="J202" s="2">
        <v>-13.8</v>
      </c>
      <c r="K202" s="2"/>
      <c r="L202" s="2"/>
      <c r="M202" s="2">
        <v>70.81</v>
      </c>
    </row>
    <row r="203" spans="1:13" x14ac:dyDescent="0.25">
      <c r="A203" t="s">
        <v>3</v>
      </c>
      <c r="B203">
        <v>174574</v>
      </c>
      <c r="C203" s="1">
        <v>40909</v>
      </c>
      <c r="D203">
        <v>78.47</v>
      </c>
      <c r="G203" s="5">
        <v>40422</v>
      </c>
      <c r="H203" s="2">
        <v>74.8</v>
      </c>
      <c r="I203" s="2">
        <v>93.41</v>
      </c>
      <c r="J203" s="2">
        <v>1.62</v>
      </c>
      <c r="K203" s="2"/>
      <c r="L203" s="2"/>
      <c r="M203" s="2">
        <v>56.609999999999992</v>
      </c>
    </row>
    <row r="204" spans="1:13" x14ac:dyDescent="0.25">
      <c r="A204" t="s">
        <v>4</v>
      </c>
      <c r="B204">
        <v>529</v>
      </c>
      <c r="C204" s="1">
        <v>40909</v>
      </c>
      <c r="D204">
        <v>67.819999999999993</v>
      </c>
      <c r="G204" s="5">
        <v>40452</v>
      </c>
      <c r="H204" s="2">
        <v>78.73</v>
      </c>
      <c r="I204" s="2">
        <v>97.06</v>
      </c>
      <c r="J204" s="2">
        <v>9.49</v>
      </c>
      <c r="K204" s="2"/>
      <c r="L204" s="2"/>
      <c r="M204" s="2">
        <v>61.760000000000012</v>
      </c>
    </row>
    <row r="205" spans="1:13" x14ac:dyDescent="0.25">
      <c r="A205" t="s">
        <v>5</v>
      </c>
      <c r="B205">
        <v>841</v>
      </c>
      <c r="C205" s="1">
        <v>40909</v>
      </c>
      <c r="D205">
        <v>53.36</v>
      </c>
      <c r="G205" s="5">
        <v>40483</v>
      </c>
      <c r="H205" s="2">
        <v>83.83</v>
      </c>
      <c r="I205" s="2">
        <v>102.07</v>
      </c>
      <c r="J205" s="2">
        <v>17.89</v>
      </c>
      <c r="K205" s="2"/>
      <c r="L205" s="2"/>
      <c r="M205" s="2">
        <v>67.929999999999993</v>
      </c>
    </row>
    <row r="206" spans="1:13" x14ac:dyDescent="0.25">
      <c r="A206" t="s">
        <v>3</v>
      </c>
      <c r="B206">
        <v>174504</v>
      </c>
      <c r="C206" s="1">
        <v>40878</v>
      </c>
      <c r="D206">
        <v>76.63</v>
      </c>
      <c r="G206" s="5">
        <v>40513</v>
      </c>
      <c r="H206" s="2">
        <v>77.150000000000006</v>
      </c>
      <c r="I206" s="2">
        <v>97.84</v>
      </c>
      <c r="J206" s="2">
        <v>9.59</v>
      </c>
      <c r="K206" s="2"/>
      <c r="L206" s="2"/>
      <c r="M206" s="2">
        <v>61.526666666666671</v>
      </c>
    </row>
    <row r="207" spans="1:13" x14ac:dyDescent="0.25">
      <c r="A207" t="s">
        <v>4</v>
      </c>
      <c r="B207">
        <v>494</v>
      </c>
      <c r="C207" s="1">
        <v>40878</v>
      </c>
      <c r="D207">
        <v>68.67</v>
      </c>
      <c r="G207" s="5">
        <v>40544</v>
      </c>
      <c r="H207" s="2">
        <v>51.05</v>
      </c>
      <c r="I207" s="2">
        <v>33.630000000000003</v>
      </c>
      <c r="J207" s="2">
        <v>-32.6</v>
      </c>
      <c r="K207" s="2"/>
      <c r="L207" s="2"/>
      <c r="M207" s="2">
        <v>17.360000000000003</v>
      </c>
    </row>
    <row r="208" spans="1:13" x14ac:dyDescent="0.25">
      <c r="A208" t="s">
        <v>5</v>
      </c>
      <c r="B208">
        <v>794</v>
      </c>
      <c r="C208" s="1">
        <v>40878</v>
      </c>
      <c r="D208">
        <v>50.85</v>
      </c>
      <c r="G208" s="5">
        <v>40575</v>
      </c>
      <c r="H208" s="2">
        <v>46.1</v>
      </c>
      <c r="I208" s="2">
        <v>12.94</v>
      </c>
      <c r="J208" s="2">
        <v>-41.2</v>
      </c>
      <c r="K208" s="2"/>
      <c r="L208" s="2"/>
      <c r="M208" s="2">
        <v>5.9466666666666654</v>
      </c>
    </row>
    <row r="209" spans="1:13" x14ac:dyDescent="0.25">
      <c r="A209" t="s">
        <v>3</v>
      </c>
      <c r="B209">
        <v>174436</v>
      </c>
      <c r="C209" s="1">
        <v>40848</v>
      </c>
      <c r="D209">
        <v>71.81</v>
      </c>
      <c r="G209" s="5">
        <v>40603</v>
      </c>
      <c r="H209" s="2">
        <v>33.01</v>
      </c>
      <c r="I209" s="2">
        <v>-16.059999999999999</v>
      </c>
      <c r="J209" s="2">
        <v>-62.02</v>
      </c>
      <c r="K209" s="2"/>
      <c r="L209" s="2"/>
      <c r="M209" s="2">
        <v>-15.023333333333335</v>
      </c>
    </row>
    <row r="210" spans="1:13" x14ac:dyDescent="0.25">
      <c r="A210" t="s">
        <v>4</v>
      </c>
      <c r="B210">
        <v>473</v>
      </c>
      <c r="C210" s="1">
        <v>40848</v>
      </c>
      <c r="D210">
        <v>67.23</v>
      </c>
      <c r="G210" s="5">
        <v>40634</v>
      </c>
      <c r="H210" s="2">
        <v>39.93</v>
      </c>
      <c r="I210" s="2">
        <v>-5.31</v>
      </c>
      <c r="J210" s="2">
        <v>-52.35</v>
      </c>
      <c r="K210" s="2"/>
      <c r="L210" s="2"/>
      <c r="M210" s="2">
        <v>-5.910000000000001</v>
      </c>
    </row>
    <row r="211" spans="1:13" x14ac:dyDescent="0.25">
      <c r="A211" t="s">
        <v>5</v>
      </c>
      <c r="B211">
        <v>773</v>
      </c>
      <c r="C211" s="1">
        <v>40848</v>
      </c>
      <c r="D211">
        <v>44.06</v>
      </c>
      <c r="G211" s="5">
        <v>40664</v>
      </c>
      <c r="H211" s="2">
        <v>39.64</v>
      </c>
      <c r="I211" s="2">
        <v>-1.29</v>
      </c>
      <c r="J211" s="2">
        <v>-51.22</v>
      </c>
      <c r="K211" s="2"/>
      <c r="L211" s="2"/>
      <c r="M211" s="2">
        <v>-4.2899999999999991</v>
      </c>
    </row>
    <row r="212" spans="1:13" x14ac:dyDescent="0.25">
      <c r="A212" t="s">
        <v>3</v>
      </c>
      <c r="B212">
        <v>174323</v>
      </c>
      <c r="C212" s="1">
        <v>40817</v>
      </c>
      <c r="D212">
        <v>73.290000000000006</v>
      </c>
      <c r="G212" s="5">
        <v>40695</v>
      </c>
      <c r="H212" s="2">
        <v>49.42</v>
      </c>
      <c r="I212" s="2">
        <v>21.42</v>
      </c>
      <c r="J212" s="2">
        <v>-31.37</v>
      </c>
      <c r="K212" s="2"/>
      <c r="L212" s="2"/>
      <c r="M212" s="2">
        <v>13.156666666666666</v>
      </c>
    </row>
    <row r="213" spans="1:13" x14ac:dyDescent="0.25">
      <c r="A213" t="s">
        <v>4</v>
      </c>
      <c r="B213">
        <v>438</v>
      </c>
      <c r="C213" s="1">
        <v>40817</v>
      </c>
      <c r="D213">
        <v>74.14</v>
      </c>
      <c r="G213" s="5">
        <v>40725</v>
      </c>
      <c r="H213" s="2">
        <v>56.82</v>
      </c>
      <c r="I213" s="2">
        <v>38.08</v>
      </c>
      <c r="J213" s="2">
        <v>-18.09</v>
      </c>
      <c r="K213" s="2"/>
      <c r="L213" s="2"/>
      <c r="M213" s="2">
        <v>25.603333333333335</v>
      </c>
    </row>
    <row r="214" spans="1:13" x14ac:dyDescent="0.25">
      <c r="A214" t="s">
        <v>5</v>
      </c>
      <c r="B214">
        <v>737</v>
      </c>
      <c r="C214" s="1">
        <v>40817</v>
      </c>
      <c r="D214">
        <v>48.27</v>
      </c>
      <c r="G214" s="5">
        <v>40756</v>
      </c>
      <c r="H214" s="2">
        <v>50.66</v>
      </c>
      <c r="I214" s="2">
        <v>35.4</v>
      </c>
      <c r="J214" s="2">
        <v>7.07</v>
      </c>
      <c r="K214" s="2"/>
      <c r="L214" s="2"/>
      <c r="M214" s="2">
        <v>31.043333333333333</v>
      </c>
    </row>
    <row r="215" spans="1:13" x14ac:dyDescent="0.25">
      <c r="A215" t="s">
        <v>3</v>
      </c>
      <c r="B215">
        <v>174081</v>
      </c>
      <c r="C215" s="1">
        <v>40787</v>
      </c>
      <c r="D215">
        <v>66.739999999999995</v>
      </c>
      <c r="G215" s="5">
        <v>40787</v>
      </c>
      <c r="H215" s="2">
        <v>66.739999999999995</v>
      </c>
      <c r="I215" s="2">
        <v>62.23</v>
      </c>
      <c r="J215" s="2">
        <v>32.380000000000003</v>
      </c>
      <c r="K215" s="2"/>
      <c r="L215" s="2"/>
      <c r="M215" s="2">
        <v>53.783333333333331</v>
      </c>
    </row>
    <row r="216" spans="1:13" x14ac:dyDescent="0.25">
      <c r="A216" t="s">
        <v>4</v>
      </c>
      <c r="B216">
        <v>395</v>
      </c>
      <c r="C216" s="1">
        <v>40787</v>
      </c>
      <c r="D216">
        <v>62.23</v>
      </c>
      <c r="G216" s="5">
        <v>40817</v>
      </c>
      <c r="H216" s="2">
        <v>73.290000000000006</v>
      </c>
      <c r="I216" s="2">
        <v>74.14</v>
      </c>
      <c r="J216" s="2">
        <v>48.27</v>
      </c>
      <c r="K216" s="2"/>
      <c r="L216" s="2"/>
      <c r="M216" s="2">
        <v>65.233333333333334</v>
      </c>
    </row>
    <row r="217" spans="1:13" x14ac:dyDescent="0.25">
      <c r="A217" t="s">
        <v>5</v>
      </c>
      <c r="B217">
        <v>699</v>
      </c>
      <c r="C217" s="1">
        <v>40787</v>
      </c>
      <c r="D217">
        <v>32.380000000000003</v>
      </c>
      <c r="G217" s="5">
        <v>40848</v>
      </c>
      <c r="H217" s="2">
        <v>71.81</v>
      </c>
      <c r="I217" s="2">
        <v>67.23</v>
      </c>
      <c r="J217" s="2">
        <v>44.06</v>
      </c>
      <c r="K217" s="2"/>
      <c r="L217" s="2"/>
      <c r="M217" s="2">
        <v>61.033333333333339</v>
      </c>
    </row>
    <row r="218" spans="1:13" x14ac:dyDescent="0.25">
      <c r="A218" t="s">
        <v>3</v>
      </c>
      <c r="B218">
        <v>173793</v>
      </c>
      <c r="C218" s="1">
        <v>40756</v>
      </c>
      <c r="D218">
        <v>50.66</v>
      </c>
      <c r="G218" s="5">
        <v>40878</v>
      </c>
      <c r="H218" s="2">
        <v>76.63</v>
      </c>
      <c r="I218" s="2">
        <v>68.67</v>
      </c>
      <c r="J218" s="2">
        <v>50.85</v>
      </c>
      <c r="K218" s="2"/>
      <c r="L218" s="2"/>
      <c r="M218" s="2">
        <v>65.38333333333334</v>
      </c>
    </row>
    <row r="219" spans="1:13" x14ac:dyDescent="0.25">
      <c r="A219" t="s">
        <v>4</v>
      </c>
      <c r="B219">
        <v>358</v>
      </c>
      <c r="C219" s="1">
        <v>40756</v>
      </c>
      <c r="D219">
        <v>35.4</v>
      </c>
      <c r="G219" s="5">
        <v>40909</v>
      </c>
      <c r="H219" s="2">
        <v>78.47</v>
      </c>
      <c r="I219" s="2">
        <v>67.819999999999993</v>
      </c>
      <c r="J219" s="2">
        <v>53.36</v>
      </c>
      <c r="K219" s="2"/>
      <c r="L219" s="2"/>
      <c r="M219" s="2">
        <v>66.55</v>
      </c>
    </row>
    <row r="220" spans="1:13" x14ac:dyDescent="0.25">
      <c r="A220" t="s">
        <v>5</v>
      </c>
      <c r="B220">
        <v>665</v>
      </c>
      <c r="C220" s="1">
        <v>40756</v>
      </c>
      <c r="D220">
        <v>7.07</v>
      </c>
      <c r="G220" s="5">
        <v>40940</v>
      </c>
      <c r="H220" s="2">
        <v>79.13</v>
      </c>
      <c r="I220" s="2">
        <v>63.28</v>
      </c>
      <c r="J220" s="2">
        <v>50.59</v>
      </c>
      <c r="K220" s="2"/>
      <c r="L220" s="2"/>
      <c r="M220" s="2">
        <v>64.333333333333329</v>
      </c>
    </row>
    <row r="221" spans="1:13" x14ac:dyDescent="0.25">
      <c r="A221" t="s">
        <v>3</v>
      </c>
      <c r="B221">
        <v>173645</v>
      </c>
      <c r="C221" s="1">
        <v>40725</v>
      </c>
      <c r="D221">
        <v>56.82</v>
      </c>
      <c r="G221" s="5">
        <v>40969</v>
      </c>
      <c r="H221" s="2">
        <v>78.62</v>
      </c>
      <c r="I221" s="2">
        <v>58.56</v>
      </c>
      <c r="J221" s="2">
        <v>22.4</v>
      </c>
      <c r="K221" s="2"/>
      <c r="L221" s="2"/>
      <c r="M221" s="2">
        <v>53.193333333333335</v>
      </c>
    </row>
    <row r="222" spans="1:13" x14ac:dyDescent="0.25">
      <c r="A222" t="s">
        <v>4</v>
      </c>
      <c r="B222">
        <v>319</v>
      </c>
      <c r="C222" s="1">
        <v>40725</v>
      </c>
      <c r="D222">
        <v>38.08</v>
      </c>
      <c r="G222" s="5">
        <v>41000</v>
      </c>
      <c r="H222" s="2">
        <v>74.8</v>
      </c>
      <c r="I222" s="2">
        <v>45.84</v>
      </c>
      <c r="J222" s="2">
        <v>8.06</v>
      </c>
      <c r="K222" s="2"/>
      <c r="L222" s="2"/>
      <c r="M222" s="2">
        <v>42.9</v>
      </c>
    </row>
    <row r="223" spans="1:13" x14ac:dyDescent="0.25">
      <c r="A223" t="s">
        <v>5</v>
      </c>
      <c r="B223">
        <v>632</v>
      </c>
      <c r="C223" s="1">
        <v>40725</v>
      </c>
      <c r="D223">
        <v>-18.09</v>
      </c>
      <c r="G223" s="5">
        <v>41030</v>
      </c>
      <c r="H223" s="2">
        <v>78.599999999999994</v>
      </c>
      <c r="I223" s="2">
        <v>48.71</v>
      </c>
      <c r="J223" s="2">
        <v>9.33</v>
      </c>
      <c r="K223" s="2"/>
      <c r="L223" s="2"/>
      <c r="M223" s="2">
        <v>45.546666666666674</v>
      </c>
    </row>
    <row r="224" spans="1:13" x14ac:dyDescent="0.25">
      <c r="A224" t="s">
        <v>3</v>
      </c>
      <c r="B224">
        <v>173477</v>
      </c>
      <c r="C224" s="1">
        <v>40695</v>
      </c>
      <c r="D224">
        <v>49.42</v>
      </c>
      <c r="G224" s="5">
        <v>41061</v>
      </c>
      <c r="H224" s="2">
        <v>84.39</v>
      </c>
      <c r="I224" s="2">
        <v>56.19</v>
      </c>
      <c r="J224" s="2">
        <v>15.52</v>
      </c>
      <c r="K224" s="2" t="e">
        <v>#DIV/0!</v>
      </c>
      <c r="L224" s="2"/>
      <c r="M224" s="2">
        <v>52.033333333333331</v>
      </c>
    </row>
    <row r="225" spans="1:13" x14ac:dyDescent="0.25">
      <c r="A225" t="s">
        <v>4</v>
      </c>
      <c r="B225">
        <v>283</v>
      </c>
      <c r="C225" s="1">
        <v>40695</v>
      </c>
      <c r="D225">
        <v>21.42</v>
      </c>
      <c r="G225" s="5">
        <v>41091</v>
      </c>
      <c r="H225" s="2">
        <v>91.59</v>
      </c>
      <c r="I225" s="2">
        <v>67.78</v>
      </c>
      <c r="J225" s="2">
        <v>22.86</v>
      </c>
      <c r="K225" s="2">
        <v>-6.22</v>
      </c>
      <c r="L225" s="2"/>
      <c r="M225" s="2">
        <v>44.002500000000005</v>
      </c>
    </row>
    <row r="226" spans="1:13" x14ac:dyDescent="0.25">
      <c r="A226" t="s">
        <v>5</v>
      </c>
      <c r="B226">
        <v>601</v>
      </c>
      <c r="C226" s="1">
        <v>40695</v>
      </c>
      <c r="D226">
        <v>-31.37</v>
      </c>
      <c r="G226" s="5">
        <v>41122</v>
      </c>
      <c r="H226" s="2">
        <v>98.02</v>
      </c>
      <c r="I226" s="2">
        <v>77.959999999999994</v>
      </c>
      <c r="J226" s="2">
        <v>29.54</v>
      </c>
      <c r="K226" s="2">
        <v>1.32</v>
      </c>
      <c r="L226" s="2"/>
      <c r="M226" s="2">
        <v>51.709999999999994</v>
      </c>
    </row>
    <row r="227" spans="1:13" x14ac:dyDescent="0.25">
      <c r="A227" t="s">
        <v>3</v>
      </c>
      <c r="B227">
        <v>173244</v>
      </c>
      <c r="C227" s="1">
        <v>40664</v>
      </c>
      <c r="D227">
        <v>39.64</v>
      </c>
      <c r="G227" s="5">
        <v>41153</v>
      </c>
      <c r="H227" s="2">
        <v>95.62</v>
      </c>
      <c r="I227" s="2">
        <v>73.41</v>
      </c>
      <c r="J227" s="2">
        <v>22.1</v>
      </c>
      <c r="K227" s="2">
        <v>-3.89</v>
      </c>
      <c r="L227" s="2"/>
      <c r="M227" s="2">
        <v>46.81</v>
      </c>
    </row>
    <row r="228" spans="1:13" x14ac:dyDescent="0.25">
      <c r="A228" t="s">
        <v>4</v>
      </c>
      <c r="B228">
        <v>242</v>
      </c>
      <c r="C228" s="1">
        <v>40664</v>
      </c>
      <c r="D228">
        <v>-1.29</v>
      </c>
      <c r="G228" s="5">
        <v>41183</v>
      </c>
      <c r="H228" s="2">
        <v>101.17</v>
      </c>
      <c r="I228" s="2">
        <v>78.45</v>
      </c>
      <c r="J228" s="2">
        <v>28.54</v>
      </c>
      <c r="K228" s="2">
        <v>1.7</v>
      </c>
      <c r="L228" s="2"/>
      <c r="M228" s="2">
        <v>52.464999999999996</v>
      </c>
    </row>
    <row r="229" spans="1:13" x14ac:dyDescent="0.25">
      <c r="A229" t="s">
        <v>5</v>
      </c>
      <c r="B229">
        <v>567</v>
      </c>
      <c r="C229" s="1">
        <v>40664</v>
      </c>
      <c r="D229">
        <v>-51.22</v>
      </c>
      <c r="G229" s="5">
        <v>41214</v>
      </c>
      <c r="H229" s="2">
        <v>105.84</v>
      </c>
      <c r="I229" s="2">
        <v>80.709999999999994</v>
      </c>
      <c r="J229" s="2">
        <v>34.75</v>
      </c>
      <c r="K229" s="2">
        <v>6.79</v>
      </c>
      <c r="L229" s="2"/>
      <c r="M229" s="2">
        <v>57.022500000000001</v>
      </c>
    </row>
    <row r="230" spans="1:13" x14ac:dyDescent="0.25">
      <c r="A230" t="s">
        <v>3</v>
      </c>
      <c r="B230">
        <v>172992</v>
      </c>
      <c r="C230" s="1">
        <v>40634</v>
      </c>
      <c r="D230">
        <v>39.93</v>
      </c>
      <c r="G230" s="5">
        <v>41244</v>
      </c>
      <c r="H230" s="2">
        <v>106.19</v>
      </c>
      <c r="I230" s="2">
        <v>76.47</v>
      </c>
      <c r="J230" s="2">
        <v>32.94</v>
      </c>
      <c r="K230" s="2">
        <v>6.5</v>
      </c>
      <c r="L230" s="2"/>
      <c r="M230" s="2">
        <v>55.524999999999999</v>
      </c>
    </row>
    <row r="231" spans="1:13" x14ac:dyDescent="0.25">
      <c r="A231" t="s">
        <v>4</v>
      </c>
      <c r="B231">
        <v>211</v>
      </c>
      <c r="C231" s="1">
        <v>40634</v>
      </c>
      <c r="D231">
        <v>-5.31</v>
      </c>
      <c r="G231" s="5">
        <v>41275</v>
      </c>
      <c r="H231" s="2">
        <v>105.81</v>
      </c>
      <c r="I231" s="2">
        <v>75.069999999999993</v>
      </c>
      <c r="J231" s="2">
        <v>30.87</v>
      </c>
      <c r="K231" s="2">
        <v>5.35</v>
      </c>
      <c r="L231" s="2"/>
      <c r="M231" s="2">
        <v>54.274999999999999</v>
      </c>
    </row>
    <row r="232" spans="1:13" x14ac:dyDescent="0.25">
      <c r="A232" t="s">
        <v>5</v>
      </c>
      <c r="B232">
        <v>532</v>
      </c>
      <c r="C232" s="1">
        <v>40634</v>
      </c>
      <c r="D232">
        <v>-52.35</v>
      </c>
      <c r="G232" s="5">
        <v>41306</v>
      </c>
      <c r="H232" s="2">
        <v>100.14</v>
      </c>
      <c r="I232" s="2">
        <v>63.84</v>
      </c>
      <c r="J232" s="2">
        <v>20.74</v>
      </c>
      <c r="K232" s="2">
        <v>-1.75</v>
      </c>
      <c r="L232" s="2"/>
      <c r="M232" s="2">
        <v>45.742500000000007</v>
      </c>
    </row>
    <row r="233" spans="1:13" x14ac:dyDescent="0.25">
      <c r="A233" t="s">
        <v>3</v>
      </c>
      <c r="B233">
        <v>172830</v>
      </c>
      <c r="C233" s="1">
        <v>40603</v>
      </c>
      <c r="D233">
        <v>33.01</v>
      </c>
      <c r="G233" s="5">
        <v>41334</v>
      </c>
      <c r="H233" s="2">
        <v>89.88</v>
      </c>
      <c r="I233" s="2">
        <v>46.35</v>
      </c>
      <c r="J233" s="2">
        <v>3.45</v>
      </c>
      <c r="K233" s="2">
        <v>-14.39</v>
      </c>
      <c r="L233" s="2"/>
      <c r="M233" s="2">
        <v>31.322499999999994</v>
      </c>
    </row>
    <row r="234" spans="1:13" x14ac:dyDescent="0.25">
      <c r="A234" t="s">
        <v>4</v>
      </c>
      <c r="B234">
        <v>181</v>
      </c>
      <c r="C234" s="1">
        <v>40603</v>
      </c>
      <c r="D234">
        <v>-16.059999999999999</v>
      </c>
      <c r="G234" s="5">
        <v>41365</v>
      </c>
      <c r="H234" s="2">
        <v>86.53</v>
      </c>
      <c r="I234" s="2">
        <v>40.9</v>
      </c>
      <c r="J234" s="2">
        <v>-1.68</v>
      </c>
      <c r="K234" s="2">
        <v>-18.48</v>
      </c>
      <c r="L234" s="2"/>
      <c r="M234" s="2">
        <v>26.817499999999999</v>
      </c>
    </row>
    <row r="235" spans="1:13" x14ac:dyDescent="0.25">
      <c r="A235" t="s">
        <v>5</v>
      </c>
      <c r="B235">
        <v>486</v>
      </c>
      <c r="C235" s="1">
        <v>40603</v>
      </c>
      <c r="D235">
        <v>-62.02</v>
      </c>
      <c r="G235" s="5">
        <v>41395</v>
      </c>
      <c r="H235" s="2">
        <v>92.39</v>
      </c>
      <c r="I235" s="2">
        <v>51.86</v>
      </c>
      <c r="J235" s="2">
        <v>8.39</v>
      </c>
      <c r="K235" s="2">
        <v>-11.52</v>
      </c>
      <c r="L235" s="2"/>
      <c r="M235" s="2">
        <v>35.279999999999994</v>
      </c>
    </row>
    <row r="236" spans="1:13" x14ac:dyDescent="0.25">
      <c r="A236" t="s">
        <v>3</v>
      </c>
      <c r="B236">
        <v>172694</v>
      </c>
      <c r="C236" s="1">
        <v>40575</v>
      </c>
      <c r="D236">
        <v>46.1</v>
      </c>
      <c r="G236" s="5">
        <v>41426</v>
      </c>
      <c r="H236" s="2">
        <v>86.38</v>
      </c>
      <c r="I236" s="2">
        <v>42.79</v>
      </c>
      <c r="J236" s="2">
        <v>8.8000000000000007</v>
      </c>
      <c r="K236" s="2">
        <v>-18.2</v>
      </c>
      <c r="L236" s="2"/>
      <c r="M236" s="2">
        <v>29.942499999999999</v>
      </c>
    </row>
    <row r="237" spans="1:13" x14ac:dyDescent="0.25">
      <c r="A237" t="s">
        <v>4</v>
      </c>
      <c r="B237">
        <v>159</v>
      </c>
      <c r="C237" s="1">
        <v>40575</v>
      </c>
      <c r="D237">
        <v>12.94</v>
      </c>
      <c r="G237" s="5">
        <v>41456</v>
      </c>
      <c r="H237" s="2">
        <v>49.66</v>
      </c>
      <c r="I237" s="2">
        <v>-10.49</v>
      </c>
      <c r="J237" s="2">
        <v>-38.479999999999997</v>
      </c>
      <c r="K237" s="2">
        <v>-60.22</v>
      </c>
      <c r="L237" s="2"/>
      <c r="M237" s="2">
        <v>-14.8825</v>
      </c>
    </row>
    <row r="238" spans="1:13" x14ac:dyDescent="0.25">
      <c r="A238" t="s">
        <v>5</v>
      </c>
      <c r="B238">
        <v>441</v>
      </c>
      <c r="C238" s="1">
        <v>40575</v>
      </c>
      <c r="D238">
        <v>-41.2</v>
      </c>
      <c r="G238" s="5">
        <v>41487</v>
      </c>
      <c r="H238" s="2">
        <v>28.1</v>
      </c>
      <c r="I238" s="2">
        <v>-39.130000000000003</v>
      </c>
      <c r="J238" s="2">
        <v>-81.790000000000006</v>
      </c>
      <c r="K238" s="2">
        <v>-107.55</v>
      </c>
      <c r="L238" s="2"/>
      <c r="M238" s="2">
        <v>-50.092500000000001</v>
      </c>
    </row>
    <row r="239" spans="1:13" x14ac:dyDescent="0.25">
      <c r="A239" t="s">
        <v>3</v>
      </c>
      <c r="B239">
        <v>172420</v>
      </c>
      <c r="C239" s="1">
        <v>40544</v>
      </c>
      <c r="D239">
        <v>51.05</v>
      </c>
      <c r="G239" s="5">
        <v>41518</v>
      </c>
      <c r="H239" s="2">
        <v>19.98</v>
      </c>
      <c r="I239" s="2">
        <v>-47.88</v>
      </c>
      <c r="J239" s="2">
        <v>-81.38</v>
      </c>
      <c r="K239" s="2">
        <v>-113.26</v>
      </c>
      <c r="L239" s="2"/>
      <c r="M239" s="2">
        <v>-55.635000000000005</v>
      </c>
    </row>
    <row r="240" spans="1:13" x14ac:dyDescent="0.25">
      <c r="A240" t="s">
        <v>4</v>
      </c>
      <c r="B240">
        <v>131</v>
      </c>
      <c r="C240" s="1">
        <v>40544</v>
      </c>
      <c r="D240">
        <v>33.630000000000003</v>
      </c>
      <c r="G240" s="5">
        <v>41548</v>
      </c>
      <c r="H240" s="2">
        <v>17.53</v>
      </c>
      <c r="I240" s="2">
        <v>-48.3</v>
      </c>
      <c r="J240" s="2">
        <v>-83.16</v>
      </c>
      <c r="K240" s="2">
        <v>-111.54</v>
      </c>
      <c r="L240" s="2"/>
      <c r="M240" s="2">
        <v>-56.3675</v>
      </c>
    </row>
    <row r="241" spans="1:13" x14ac:dyDescent="0.25">
      <c r="A241" t="s">
        <v>5</v>
      </c>
      <c r="B241">
        <v>391</v>
      </c>
      <c r="C241" s="1">
        <v>40544</v>
      </c>
      <c r="D241">
        <v>-32.6</v>
      </c>
      <c r="G241" s="5">
        <v>41579</v>
      </c>
      <c r="H241" s="2">
        <v>36.04</v>
      </c>
      <c r="I241" s="2">
        <v>-18.53</v>
      </c>
      <c r="J241" s="2">
        <v>-52.15</v>
      </c>
      <c r="K241" s="2">
        <v>-88.73</v>
      </c>
      <c r="L241" s="2"/>
      <c r="M241" s="2">
        <v>-30.842500000000001</v>
      </c>
    </row>
    <row r="242" spans="1:13" x14ac:dyDescent="0.25">
      <c r="A242" t="s">
        <v>3</v>
      </c>
      <c r="B242">
        <v>172311</v>
      </c>
      <c r="C242" s="1">
        <v>40513</v>
      </c>
      <c r="D242">
        <v>77.150000000000006</v>
      </c>
      <c r="G242" s="5">
        <v>41609</v>
      </c>
      <c r="H242" s="2">
        <v>29.56</v>
      </c>
      <c r="I242" s="2">
        <v>-23.89</v>
      </c>
      <c r="J242" s="2">
        <v>-59.56</v>
      </c>
      <c r="K242" s="2">
        <v>-90.8</v>
      </c>
      <c r="L242" s="2"/>
      <c r="M242" s="2">
        <v>-36.172499999999999</v>
      </c>
    </row>
    <row r="243" spans="1:13" x14ac:dyDescent="0.25">
      <c r="A243" t="s">
        <v>4</v>
      </c>
      <c r="B243">
        <v>111</v>
      </c>
      <c r="C243" s="1">
        <v>40513</v>
      </c>
      <c r="D243">
        <v>97.84</v>
      </c>
      <c r="G243" s="5">
        <v>41640</v>
      </c>
      <c r="H243" s="2">
        <v>16.940000000000001</v>
      </c>
      <c r="I243" s="2">
        <v>-39.549999999999997</v>
      </c>
      <c r="J243" s="2">
        <v>-75.19</v>
      </c>
      <c r="K243" s="2">
        <v>-102.52</v>
      </c>
      <c r="L243" s="2"/>
      <c r="M243" s="2">
        <v>-50.08</v>
      </c>
    </row>
    <row r="244" spans="1:13" x14ac:dyDescent="0.25">
      <c r="A244" t="s">
        <v>5</v>
      </c>
      <c r="B244">
        <v>347</v>
      </c>
      <c r="C244" s="1">
        <v>40513</v>
      </c>
      <c r="D244">
        <v>9.59</v>
      </c>
      <c r="G244" s="5">
        <v>41671</v>
      </c>
      <c r="H244" s="2">
        <v>16.809999999999999</v>
      </c>
      <c r="I244" s="2">
        <v>-37.770000000000003</v>
      </c>
      <c r="J244" s="2">
        <v>-72.22</v>
      </c>
      <c r="K244" s="2">
        <v>-101.28</v>
      </c>
      <c r="L244" s="2"/>
      <c r="M244" s="2">
        <v>-48.615000000000002</v>
      </c>
    </row>
    <row r="245" spans="1:13" x14ac:dyDescent="0.25">
      <c r="A245" t="s">
        <v>3</v>
      </c>
      <c r="B245">
        <v>172086</v>
      </c>
      <c r="C245" s="1">
        <v>40483</v>
      </c>
      <c r="D245">
        <v>83.83</v>
      </c>
      <c r="G245" s="5">
        <v>41699</v>
      </c>
      <c r="H245" s="2">
        <v>25.08</v>
      </c>
      <c r="I245" s="2">
        <v>-24.33</v>
      </c>
      <c r="J245" s="2">
        <v>-56.23</v>
      </c>
      <c r="K245" s="2">
        <v>-90.35</v>
      </c>
      <c r="L245" s="2"/>
      <c r="M245" s="2">
        <v>-36.457499999999996</v>
      </c>
    </row>
    <row r="246" spans="1:13" x14ac:dyDescent="0.25">
      <c r="A246" t="s">
        <v>4</v>
      </c>
      <c r="B246">
        <v>92</v>
      </c>
      <c r="C246" s="1">
        <v>40483</v>
      </c>
      <c r="D246">
        <v>102.07</v>
      </c>
      <c r="G246" s="5">
        <v>41730</v>
      </c>
      <c r="H246" s="2">
        <v>24</v>
      </c>
      <c r="I246" s="2">
        <v>-24.36</v>
      </c>
      <c r="J246" s="2">
        <v>-49.59</v>
      </c>
      <c r="K246" s="2">
        <v>-86.83</v>
      </c>
      <c r="L246" s="2"/>
      <c r="M246" s="2">
        <v>-34.195</v>
      </c>
    </row>
    <row r="247" spans="1:13" x14ac:dyDescent="0.25">
      <c r="A247" t="s">
        <v>5</v>
      </c>
      <c r="B247">
        <v>311</v>
      </c>
      <c r="C247" s="1">
        <v>40483</v>
      </c>
      <c r="D247">
        <v>17.89</v>
      </c>
      <c r="G247" s="5">
        <v>41760</v>
      </c>
      <c r="H247" s="2">
        <v>24.42</v>
      </c>
      <c r="I247" s="2">
        <v>-22.55</v>
      </c>
      <c r="J247" s="2">
        <v>-34.99</v>
      </c>
      <c r="K247" s="2">
        <v>-87.68</v>
      </c>
      <c r="L247" s="2"/>
      <c r="M247" s="2">
        <v>-30.200000000000003</v>
      </c>
    </row>
    <row r="248" spans="1:13" x14ac:dyDescent="0.25">
      <c r="A248" t="s">
        <v>3</v>
      </c>
      <c r="B248">
        <v>171839</v>
      </c>
      <c r="C248" s="1">
        <v>40452</v>
      </c>
      <c r="D248">
        <v>78.73</v>
      </c>
      <c r="G248" s="5">
        <v>41791</v>
      </c>
      <c r="H248" s="2">
        <v>36.36</v>
      </c>
      <c r="I248" s="2">
        <v>-3.61</v>
      </c>
      <c r="J248" s="2">
        <v>-2.58</v>
      </c>
      <c r="K248" s="2">
        <v>-75.430000000000007</v>
      </c>
      <c r="L248" s="2"/>
      <c r="M248" s="2">
        <v>-11.315000000000001</v>
      </c>
    </row>
    <row r="249" spans="1:13" x14ac:dyDescent="0.25">
      <c r="A249" t="s">
        <v>4</v>
      </c>
      <c r="B249">
        <v>94</v>
      </c>
      <c r="C249" s="1">
        <v>40452</v>
      </c>
      <c r="D249">
        <v>97.06</v>
      </c>
      <c r="G249" s="5">
        <v>41821</v>
      </c>
      <c r="H249" s="2">
        <v>37.17</v>
      </c>
      <c r="I249" s="2">
        <v>-1.0900000000000001</v>
      </c>
      <c r="J249" s="2">
        <v>6.28</v>
      </c>
      <c r="K249" s="2">
        <v>-73.97</v>
      </c>
      <c r="L249" s="2"/>
      <c r="M249" s="2">
        <v>-7.9024999999999999</v>
      </c>
    </row>
    <row r="250" spans="1:13" x14ac:dyDescent="0.25">
      <c r="A250" t="s">
        <v>5</v>
      </c>
      <c r="B250">
        <v>281</v>
      </c>
      <c r="C250" s="1">
        <v>40452</v>
      </c>
      <c r="D250">
        <v>9.49</v>
      </c>
      <c r="G250" s="5">
        <v>41852</v>
      </c>
      <c r="H250" s="2">
        <v>37.880000000000003</v>
      </c>
      <c r="I250" s="2">
        <v>1.59</v>
      </c>
      <c r="J250" s="2">
        <v>11.51</v>
      </c>
      <c r="K250" s="2">
        <v>-72.16</v>
      </c>
      <c r="L250" s="2"/>
      <c r="M250" s="2">
        <v>-5.2949999999999982</v>
      </c>
    </row>
    <row r="251" spans="1:13" x14ac:dyDescent="0.25">
      <c r="A251" t="s">
        <v>3</v>
      </c>
      <c r="B251">
        <v>171705</v>
      </c>
      <c r="C251" s="1">
        <v>40422</v>
      </c>
      <c r="D251">
        <v>74.8</v>
      </c>
      <c r="G251" s="5">
        <v>41883</v>
      </c>
      <c r="H251" s="2">
        <v>38.51</v>
      </c>
      <c r="I251" s="2">
        <v>4.68</v>
      </c>
      <c r="J251" s="2">
        <v>19.5</v>
      </c>
      <c r="K251" s="2">
        <v>-69.42</v>
      </c>
      <c r="L251" s="2"/>
      <c r="M251" s="2">
        <v>-1.682500000000001</v>
      </c>
    </row>
    <row r="252" spans="1:13" x14ac:dyDescent="0.25">
      <c r="A252" t="s">
        <v>4</v>
      </c>
      <c r="B252">
        <v>94</v>
      </c>
      <c r="C252" s="1">
        <v>40422</v>
      </c>
      <c r="D252">
        <v>93.41</v>
      </c>
      <c r="G252" s="5">
        <v>41913</v>
      </c>
      <c r="H252" s="2">
        <v>35.81</v>
      </c>
      <c r="I252" s="2">
        <v>2.66</v>
      </c>
      <c r="J252" s="2">
        <v>17.489999999999998</v>
      </c>
      <c r="K252" s="2">
        <v>-69.98</v>
      </c>
      <c r="L252" s="2"/>
      <c r="M252" s="2">
        <v>-3.5050000000000026</v>
      </c>
    </row>
    <row r="253" spans="1:13" x14ac:dyDescent="0.25">
      <c r="A253" t="s">
        <v>5</v>
      </c>
      <c r="B253">
        <v>246</v>
      </c>
      <c r="C253" s="1">
        <v>40422</v>
      </c>
      <c r="D253">
        <v>1.62</v>
      </c>
      <c r="G253" s="5">
        <v>41944</v>
      </c>
      <c r="H253" s="2">
        <v>43.41</v>
      </c>
      <c r="I253" s="2">
        <v>15.07</v>
      </c>
      <c r="J253" s="2">
        <v>30.93</v>
      </c>
      <c r="K253" s="2">
        <v>-59.22</v>
      </c>
      <c r="L253" s="2"/>
      <c r="M253" s="2">
        <v>7.5474999999999994</v>
      </c>
    </row>
    <row r="254" spans="1:13" x14ac:dyDescent="0.25">
      <c r="A254" t="s">
        <v>3</v>
      </c>
      <c r="B254">
        <v>171575</v>
      </c>
      <c r="C254" s="1">
        <v>40391</v>
      </c>
      <c r="D254">
        <v>67.39</v>
      </c>
      <c r="G254" s="5">
        <v>41974</v>
      </c>
      <c r="H254" s="2">
        <v>44.76</v>
      </c>
      <c r="I254" s="2">
        <v>18.32</v>
      </c>
      <c r="J254" s="2">
        <v>34.74</v>
      </c>
      <c r="K254" s="2">
        <v>-53.7</v>
      </c>
      <c r="L254" s="2"/>
      <c r="M254" s="2">
        <v>11.029999999999998</v>
      </c>
    </row>
    <row r="255" spans="1:13" x14ac:dyDescent="0.25">
      <c r="A255" t="s">
        <v>4</v>
      </c>
      <c r="B255">
        <v>95</v>
      </c>
      <c r="C255" s="1">
        <v>40391</v>
      </c>
      <c r="D255">
        <v>158.84</v>
      </c>
      <c r="G255" s="5">
        <v>42005</v>
      </c>
      <c r="H255" s="2">
        <v>53.44</v>
      </c>
      <c r="I255" s="2">
        <v>30.61</v>
      </c>
      <c r="J255" s="2">
        <v>66.040000000000006</v>
      </c>
      <c r="K255" s="2">
        <v>-46.73</v>
      </c>
      <c r="L255" s="2"/>
      <c r="M255" s="2">
        <v>25.840000000000003</v>
      </c>
    </row>
    <row r="256" spans="1:13" x14ac:dyDescent="0.25">
      <c r="A256" t="s">
        <v>5</v>
      </c>
      <c r="B256">
        <v>212</v>
      </c>
      <c r="C256" s="1">
        <v>40391</v>
      </c>
      <c r="D256">
        <v>-13.8</v>
      </c>
      <c r="G256" s="5">
        <v>42036</v>
      </c>
      <c r="H256" s="2">
        <v>64.11</v>
      </c>
      <c r="I256" s="2">
        <v>47.59</v>
      </c>
      <c r="J256" s="2">
        <v>85.58</v>
      </c>
      <c r="K256" s="2">
        <v>-36.32</v>
      </c>
      <c r="L256" s="2"/>
      <c r="M256" s="2">
        <v>40.24</v>
      </c>
    </row>
    <row r="257" spans="1:13" x14ac:dyDescent="0.25">
      <c r="A257" t="s">
        <v>3</v>
      </c>
      <c r="B257">
        <v>171528</v>
      </c>
      <c r="C257" s="1">
        <v>40360</v>
      </c>
      <c r="D257">
        <v>58.84</v>
      </c>
      <c r="G257" s="5">
        <v>42064</v>
      </c>
      <c r="H257" s="2">
        <v>60.83</v>
      </c>
      <c r="I257" s="2">
        <v>43.16</v>
      </c>
      <c r="J257" s="2">
        <v>84.11</v>
      </c>
      <c r="K257" s="2">
        <v>-37.729999999999997</v>
      </c>
      <c r="L257" s="2"/>
      <c r="M257" s="2">
        <v>37.592500000000001</v>
      </c>
    </row>
    <row r="258" spans="1:13" x14ac:dyDescent="0.25">
      <c r="A258" t="s">
        <v>4</v>
      </c>
      <c r="B258">
        <v>88</v>
      </c>
      <c r="C258" s="1">
        <v>40360</v>
      </c>
      <c r="D258">
        <v>143.38</v>
      </c>
      <c r="G258" s="5">
        <v>42095</v>
      </c>
      <c r="H258" s="2">
        <v>57.05</v>
      </c>
      <c r="I258" s="2">
        <v>37.28</v>
      </c>
      <c r="J258" s="2">
        <v>87.18</v>
      </c>
      <c r="K258" s="2">
        <v>-40.659999999999997</v>
      </c>
      <c r="L258" s="2"/>
      <c r="M258" s="2">
        <v>35.212499999999999</v>
      </c>
    </row>
    <row r="259" spans="1:13" x14ac:dyDescent="0.25">
      <c r="A259" t="s">
        <v>5</v>
      </c>
      <c r="B259">
        <v>188</v>
      </c>
      <c r="C259" s="1">
        <v>40360</v>
      </c>
      <c r="D259">
        <v>-33.700000000000003</v>
      </c>
      <c r="G259" s="5">
        <v>42125</v>
      </c>
      <c r="H259" s="2">
        <v>62.1</v>
      </c>
      <c r="I259" s="2">
        <v>44.87</v>
      </c>
      <c r="J259" s="2">
        <v>105.05</v>
      </c>
      <c r="K259" s="2">
        <v>-34.799999999999997</v>
      </c>
      <c r="L259" s="2"/>
      <c r="M259" s="2">
        <v>44.304999999999993</v>
      </c>
    </row>
    <row r="260" spans="1:13" x14ac:dyDescent="0.25">
      <c r="A260" t="s">
        <v>3</v>
      </c>
      <c r="B260">
        <v>171186</v>
      </c>
      <c r="C260" s="1">
        <v>40330</v>
      </c>
      <c r="D260">
        <v>48.75</v>
      </c>
      <c r="G260" s="5">
        <v>42156</v>
      </c>
      <c r="H260" s="2">
        <v>50.45</v>
      </c>
      <c r="I260" s="2">
        <v>27.6</v>
      </c>
      <c r="J260" s="2">
        <v>95.68</v>
      </c>
      <c r="K260" s="2">
        <v>-44.13</v>
      </c>
      <c r="L260" s="2"/>
      <c r="M260" s="2">
        <v>32.400000000000006</v>
      </c>
    </row>
    <row r="261" spans="1:13" x14ac:dyDescent="0.25">
      <c r="A261" t="s">
        <v>4</v>
      </c>
      <c r="B261">
        <v>88</v>
      </c>
      <c r="C261" s="1">
        <v>40330</v>
      </c>
      <c r="D261">
        <v>125</v>
      </c>
      <c r="G261" s="5">
        <v>42186</v>
      </c>
      <c r="H261" s="2">
        <v>39.86</v>
      </c>
      <c r="I261" s="2">
        <v>11.65</v>
      </c>
      <c r="J261" s="2">
        <v>84.44</v>
      </c>
      <c r="K261" s="2">
        <v>-52.45</v>
      </c>
      <c r="L261" s="2"/>
      <c r="M261" s="2">
        <v>20.874999999999996</v>
      </c>
    </row>
    <row r="262" spans="1:13" x14ac:dyDescent="0.25">
      <c r="A262" t="s">
        <v>5</v>
      </c>
      <c r="B262">
        <v>142</v>
      </c>
      <c r="C262" s="1">
        <v>40330</v>
      </c>
      <c r="D262">
        <v>-59.95</v>
      </c>
      <c r="G262" s="5">
        <v>42217</v>
      </c>
      <c r="H262" s="2">
        <v>35.65</v>
      </c>
      <c r="I262" s="2">
        <v>5.96</v>
      </c>
      <c r="J262" s="2">
        <v>82.64</v>
      </c>
      <c r="K262" s="2">
        <v>-55</v>
      </c>
      <c r="L262" s="2"/>
      <c r="M262" s="2">
        <v>17.3125</v>
      </c>
    </row>
    <row r="263" spans="1:13" x14ac:dyDescent="0.25">
      <c r="A263" t="s">
        <v>3</v>
      </c>
      <c r="B263">
        <v>171547</v>
      </c>
      <c r="C263" s="1">
        <v>40299</v>
      </c>
      <c r="D263">
        <v>37</v>
      </c>
      <c r="G263" s="5">
        <v>42248</v>
      </c>
      <c r="H263" s="2">
        <v>43.83</v>
      </c>
      <c r="I263" s="2">
        <v>12.54</v>
      </c>
      <c r="J263" s="2">
        <v>105.32</v>
      </c>
      <c r="K263" s="2">
        <v>-40.64</v>
      </c>
      <c r="L263" s="2"/>
      <c r="M263" s="2">
        <v>30.262499999999999</v>
      </c>
    </row>
    <row r="264" spans="1:13" x14ac:dyDescent="0.25">
      <c r="A264" t="s">
        <v>4</v>
      </c>
      <c r="B264">
        <v>89</v>
      </c>
      <c r="C264" s="1">
        <v>40299</v>
      </c>
      <c r="D264">
        <v>105.05</v>
      </c>
      <c r="G264" s="5">
        <v>42278</v>
      </c>
      <c r="H264" s="2">
        <v>44.2</v>
      </c>
      <c r="I264" s="2">
        <v>14.16</v>
      </c>
      <c r="J264" s="2">
        <v>107.74</v>
      </c>
      <c r="K264" s="2">
        <v>-39.479999999999997</v>
      </c>
      <c r="L264" s="2"/>
      <c r="M264" s="2">
        <v>31.655000000000001</v>
      </c>
    </row>
    <row r="265" spans="1:13" x14ac:dyDescent="0.25">
      <c r="A265" t="s">
        <v>5</v>
      </c>
      <c r="B265">
        <v>138</v>
      </c>
      <c r="C265" s="1">
        <v>40299</v>
      </c>
      <c r="D265">
        <v>-91.91</v>
      </c>
      <c r="G265" s="5">
        <v>42309</v>
      </c>
      <c r="H265" s="2">
        <v>50.21</v>
      </c>
      <c r="I265" s="2">
        <v>24.79</v>
      </c>
      <c r="J265" s="2">
        <v>117.33</v>
      </c>
      <c r="K265" s="2">
        <v>-33.39</v>
      </c>
      <c r="L265" s="2"/>
      <c r="M265" s="2">
        <v>39.734999999999999</v>
      </c>
    </row>
    <row r="266" spans="1:13" x14ac:dyDescent="0.25">
      <c r="A266" t="s">
        <v>3</v>
      </c>
      <c r="B266">
        <v>171563</v>
      </c>
      <c r="C266" s="1">
        <v>40269</v>
      </c>
      <c r="D266">
        <v>43.97</v>
      </c>
      <c r="G266" s="5">
        <v>42339</v>
      </c>
      <c r="H266" s="2">
        <v>38.92</v>
      </c>
      <c r="I266" s="2">
        <v>9.92</v>
      </c>
      <c r="J266" s="2">
        <v>101.87</v>
      </c>
      <c r="K266" s="2">
        <v>-42.74</v>
      </c>
      <c r="L266" s="2"/>
      <c r="M266" s="2">
        <v>26.9925</v>
      </c>
    </row>
    <row r="267" spans="1:13" x14ac:dyDescent="0.25">
      <c r="A267" t="s">
        <v>4</v>
      </c>
      <c r="B267">
        <v>91</v>
      </c>
      <c r="C267" s="1">
        <v>40269</v>
      </c>
      <c r="D267">
        <v>116.71</v>
      </c>
      <c r="G267" s="5">
        <v>42370</v>
      </c>
      <c r="H267" s="2">
        <v>37.24</v>
      </c>
      <c r="I267" s="2">
        <v>9.74</v>
      </c>
      <c r="J267" s="2">
        <v>100.98</v>
      </c>
      <c r="K267" s="2">
        <v>-43.16</v>
      </c>
      <c r="L267" s="2"/>
      <c r="M267" s="2">
        <v>26.200000000000003</v>
      </c>
    </row>
    <row r="268" spans="1:13" x14ac:dyDescent="0.25">
      <c r="A268" t="s">
        <v>5</v>
      </c>
      <c r="B268">
        <v>116</v>
      </c>
      <c r="C268" s="1">
        <v>40269</v>
      </c>
      <c r="D268">
        <v>-24.83</v>
      </c>
      <c r="G268" s="5">
        <v>42401</v>
      </c>
      <c r="H268" s="2">
        <v>42.4</v>
      </c>
      <c r="I268" s="2">
        <v>19.34</v>
      </c>
      <c r="J268" s="2">
        <v>109.05</v>
      </c>
      <c r="K268" s="2">
        <v>-37.61</v>
      </c>
      <c r="L268" s="2"/>
      <c r="M268" s="2">
        <v>33.295000000000002</v>
      </c>
    </row>
    <row r="269" spans="1:13" x14ac:dyDescent="0.25">
      <c r="A269" t="s">
        <v>3</v>
      </c>
      <c r="B269">
        <v>172106</v>
      </c>
      <c r="C269" s="1">
        <v>40238</v>
      </c>
      <c r="D269">
        <v>45.48</v>
      </c>
      <c r="G269" s="5">
        <v>42430</v>
      </c>
      <c r="H269" s="2">
        <v>56.26</v>
      </c>
      <c r="I269" s="2">
        <v>42.12</v>
      </c>
      <c r="J269" s="2">
        <v>131.31</v>
      </c>
      <c r="K269" s="2">
        <v>-24.95</v>
      </c>
      <c r="L269" s="2"/>
      <c r="M269" s="2">
        <v>51.185000000000002</v>
      </c>
    </row>
    <row r="270" spans="1:13" x14ac:dyDescent="0.25">
      <c r="A270" t="s">
        <v>4</v>
      </c>
      <c r="B270">
        <v>91</v>
      </c>
      <c r="C270" s="1">
        <v>40238</v>
      </c>
      <c r="D270">
        <v>118.77</v>
      </c>
      <c r="G270" s="5">
        <v>42461</v>
      </c>
      <c r="H270" s="2" t="e">
        <v>#DIV/0!</v>
      </c>
      <c r="I270" s="2" t="e">
        <v>#DIV/0!</v>
      </c>
      <c r="J270" s="2" t="e">
        <v>#DIV/0!</v>
      </c>
      <c r="K270" s="2" t="e">
        <v>#DIV/0!</v>
      </c>
      <c r="L270" s="2"/>
      <c r="M270" s="2" t="e">
        <v>#DIV/0!</v>
      </c>
    </row>
    <row r="271" spans="1:13" x14ac:dyDescent="0.25">
      <c r="A271" t="s">
        <v>5</v>
      </c>
      <c r="B271">
        <v>92</v>
      </c>
      <c r="C271" s="1">
        <v>40238</v>
      </c>
      <c r="D271">
        <v>-25.9</v>
      </c>
      <c r="G271" s="5">
        <v>42491</v>
      </c>
      <c r="H271" s="2" t="e">
        <v>#DIV/0!</v>
      </c>
      <c r="I271" s="2"/>
      <c r="J271" s="2"/>
      <c r="K271" s="2"/>
      <c r="L271" s="2"/>
      <c r="M271" s="2" t="e">
        <v>#DIV/0!</v>
      </c>
    </row>
    <row r="272" spans="1:13" x14ac:dyDescent="0.25">
      <c r="A272" t="s">
        <v>3</v>
      </c>
      <c r="B272">
        <v>172010</v>
      </c>
      <c r="C272" s="1">
        <v>40210</v>
      </c>
      <c r="D272">
        <v>44.25</v>
      </c>
      <c r="G272" s="6" t="s">
        <v>8</v>
      </c>
      <c r="H272" s="2"/>
      <c r="I272" s="2"/>
      <c r="J272" s="2"/>
      <c r="K272" s="2"/>
      <c r="L272" s="2"/>
      <c r="M272" s="2"/>
    </row>
    <row r="273" spans="1:13" x14ac:dyDescent="0.25">
      <c r="A273" t="s">
        <v>4</v>
      </c>
      <c r="B273">
        <v>93</v>
      </c>
      <c r="C273" s="1">
        <v>40210</v>
      </c>
      <c r="D273">
        <v>114.61</v>
      </c>
      <c r="G273" s="6" t="s">
        <v>9</v>
      </c>
      <c r="H273" s="2">
        <v>28.567207547169819</v>
      </c>
      <c r="I273" s="2">
        <v>42.718829787234043</v>
      </c>
      <c r="J273" s="2">
        <v>11.252727272727267</v>
      </c>
      <c r="K273" s="2">
        <v>-48.382666666666672</v>
      </c>
      <c r="L273" s="2"/>
      <c r="M273" s="2">
        <v>21.361995841995853</v>
      </c>
    </row>
    <row r="274" spans="1:13" x14ac:dyDescent="0.25">
      <c r="A274" t="s">
        <v>5</v>
      </c>
      <c r="B274">
        <v>71</v>
      </c>
      <c r="C274" s="1">
        <v>40210</v>
      </c>
      <c r="D274">
        <v>-30.56</v>
      </c>
    </row>
    <row r="275" spans="1:13" x14ac:dyDescent="0.25">
      <c r="A275" t="s">
        <v>3</v>
      </c>
      <c r="B275">
        <v>171988</v>
      </c>
      <c r="C275" s="1">
        <v>40179</v>
      </c>
      <c r="D275">
        <v>50.5</v>
      </c>
    </row>
    <row r="276" spans="1:13" x14ac:dyDescent="0.25">
      <c r="A276" t="s">
        <v>4</v>
      </c>
      <c r="B276">
        <v>94</v>
      </c>
      <c r="C276" s="1">
        <v>40179</v>
      </c>
      <c r="D276">
        <v>121.56</v>
      </c>
    </row>
    <row r="277" spans="1:13" x14ac:dyDescent="0.25">
      <c r="A277" t="s">
        <v>5</v>
      </c>
      <c r="B277">
        <v>44</v>
      </c>
      <c r="C277" s="1">
        <v>40179</v>
      </c>
      <c r="D277">
        <v>-22.9</v>
      </c>
    </row>
    <row r="278" spans="1:13" x14ac:dyDescent="0.25">
      <c r="A278" t="s">
        <v>3</v>
      </c>
      <c r="B278">
        <v>171964</v>
      </c>
      <c r="C278" s="1">
        <v>40148</v>
      </c>
      <c r="D278">
        <v>54.77</v>
      </c>
    </row>
    <row r="279" spans="1:13" x14ac:dyDescent="0.25">
      <c r="A279" t="s">
        <v>4</v>
      </c>
      <c r="B279">
        <v>94</v>
      </c>
      <c r="C279" s="1">
        <v>40148</v>
      </c>
      <c r="D279">
        <v>123.22</v>
      </c>
    </row>
    <row r="280" spans="1:13" x14ac:dyDescent="0.25">
      <c r="A280" t="s">
        <v>5</v>
      </c>
      <c r="B280">
        <v>26</v>
      </c>
      <c r="C280" s="1">
        <v>40148</v>
      </c>
      <c r="D280">
        <v>-26.66</v>
      </c>
    </row>
    <row r="281" spans="1:13" x14ac:dyDescent="0.25">
      <c r="A281" t="s">
        <v>3</v>
      </c>
      <c r="B281">
        <v>171783</v>
      </c>
      <c r="C281" s="1">
        <v>40118</v>
      </c>
      <c r="D281">
        <v>50.79</v>
      </c>
    </row>
    <row r="282" spans="1:13" x14ac:dyDescent="0.25">
      <c r="A282" t="s">
        <v>4</v>
      </c>
      <c r="B282">
        <v>95</v>
      </c>
      <c r="C282" s="1">
        <v>40118</v>
      </c>
      <c r="D282">
        <v>114.29</v>
      </c>
    </row>
    <row r="283" spans="1:13" x14ac:dyDescent="0.25">
      <c r="A283" t="s">
        <v>5</v>
      </c>
      <c r="B283">
        <v>10</v>
      </c>
      <c r="C283" s="1">
        <v>40118</v>
      </c>
      <c r="D283">
        <v>-33.71</v>
      </c>
    </row>
    <row r="284" spans="1:13" x14ac:dyDescent="0.25">
      <c r="A284" t="s">
        <v>3</v>
      </c>
      <c r="B284">
        <v>171747</v>
      </c>
      <c r="C284" s="1">
        <v>40087</v>
      </c>
      <c r="D284">
        <v>47.2</v>
      </c>
    </row>
    <row r="285" spans="1:13" x14ac:dyDescent="0.25">
      <c r="A285" t="s">
        <v>4</v>
      </c>
      <c r="B285">
        <v>95</v>
      </c>
      <c r="C285" s="1">
        <v>40087</v>
      </c>
      <c r="D285">
        <v>105.3</v>
      </c>
    </row>
    <row r="286" spans="1:13" x14ac:dyDescent="0.25">
      <c r="A286" t="s">
        <v>5</v>
      </c>
      <c r="B286">
        <v>2</v>
      </c>
      <c r="C286" s="1">
        <v>40087</v>
      </c>
      <c r="D286" t="s">
        <v>13</v>
      </c>
    </row>
    <row r="287" spans="1:13" x14ac:dyDescent="0.25">
      <c r="A287" t="s">
        <v>3</v>
      </c>
      <c r="B287">
        <v>171682</v>
      </c>
      <c r="C287" s="1">
        <v>40057</v>
      </c>
      <c r="D287">
        <v>38.869999999999997</v>
      </c>
    </row>
    <row r="288" spans="1:13" x14ac:dyDescent="0.25">
      <c r="A288" t="s">
        <v>4</v>
      </c>
      <c r="B288">
        <v>95</v>
      </c>
      <c r="C288" s="1">
        <v>40057</v>
      </c>
      <c r="D288">
        <v>84.87</v>
      </c>
    </row>
    <row r="289" spans="1:4" x14ac:dyDescent="0.25">
      <c r="A289" t="s">
        <v>3</v>
      </c>
      <c r="B289">
        <v>171541</v>
      </c>
      <c r="C289" s="1">
        <v>40026</v>
      </c>
      <c r="D289">
        <v>38.229999999999997</v>
      </c>
    </row>
    <row r="290" spans="1:4" x14ac:dyDescent="0.25">
      <c r="A290" t="s">
        <v>4</v>
      </c>
      <c r="B290">
        <v>96</v>
      </c>
      <c r="C290" s="1">
        <v>40026</v>
      </c>
      <c r="D290">
        <v>79.930000000000007</v>
      </c>
    </row>
    <row r="291" spans="1:4" x14ac:dyDescent="0.25">
      <c r="A291" t="s">
        <v>3</v>
      </c>
      <c r="B291">
        <v>171365</v>
      </c>
      <c r="C291" s="1">
        <v>39995</v>
      </c>
      <c r="D291">
        <v>28.56</v>
      </c>
    </row>
    <row r="292" spans="1:4" x14ac:dyDescent="0.25">
      <c r="A292" t="s">
        <v>4</v>
      </c>
      <c r="B292">
        <v>97</v>
      </c>
      <c r="C292" s="1">
        <v>39995</v>
      </c>
      <c r="D292">
        <v>63.07</v>
      </c>
    </row>
    <row r="293" spans="1:4" x14ac:dyDescent="0.25">
      <c r="A293" t="s">
        <v>3</v>
      </c>
      <c r="B293">
        <v>171202</v>
      </c>
      <c r="C293" s="1">
        <v>39965</v>
      </c>
      <c r="D293">
        <v>63.07</v>
      </c>
    </row>
    <row r="294" spans="1:4" x14ac:dyDescent="0.25">
      <c r="A294" t="s">
        <v>4</v>
      </c>
      <c r="B294">
        <v>97</v>
      </c>
      <c r="C294" s="1">
        <v>39965</v>
      </c>
      <c r="D294">
        <v>124.61</v>
      </c>
    </row>
    <row r="295" spans="1:4" x14ac:dyDescent="0.25">
      <c r="A295" t="s">
        <v>3</v>
      </c>
      <c r="B295">
        <v>170987</v>
      </c>
      <c r="C295" s="1">
        <v>39934</v>
      </c>
      <c r="D295">
        <v>67.14</v>
      </c>
    </row>
    <row r="296" spans="1:4" x14ac:dyDescent="0.25">
      <c r="A296" t="s">
        <v>4</v>
      </c>
      <c r="B296">
        <v>98</v>
      </c>
      <c r="C296" s="1">
        <v>39934</v>
      </c>
      <c r="D296">
        <v>130.96</v>
      </c>
    </row>
    <row r="297" spans="1:4" x14ac:dyDescent="0.25">
      <c r="A297" t="s">
        <v>3</v>
      </c>
      <c r="B297">
        <v>170832</v>
      </c>
      <c r="C297" s="1">
        <v>39904</v>
      </c>
      <c r="D297">
        <v>57.8</v>
      </c>
    </row>
    <row r="298" spans="1:4" x14ac:dyDescent="0.25">
      <c r="A298" t="s">
        <v>4</v>
      </c>
      <c r="B298">
        <v>98</v>
      </c>
      <c r="C298" s="1">
        <v>39904</v>
      </c>
      <c r="D298">
        <v>112.2</v>
      </c>
    </row>
    <row r="299" spans="1:4" x14ac:dyDescent="0.25">
      <c r="A299" t="s">
        <v>3</v>
      </c>
      <c r="B299">
        <v>170671</v>
      </c>
      <c r="C299" s="1">
        <v>39873</v>
      </c>
      <c r="D299">
        <v>52.53</v>
      </c>
    </row>
    <row r="300" spans="1:4" x14ac:dyDescent="0.25">
      <c r="A300" t="s">
        <v>4</v>
      </c>
      <c r="B300">
        <v>98</v>
      </c>
      <c r="C300" s="1">
        <v>39873</v>
      </c>
      <c r="D300">
        <v>103.16</v>
      </c>
    </row>
    <row r="301" spans="1:4" x14ac:dyDescent="0.25">
      <c r="A301" t="s">
        <v>3</v>
      </c>
      <c r="B301">
        <v>170169</v>
      </c>
      <c r="C301" s="1">
        <v>39845</v>
      </c>
      <c r="D301">
        <v>59.13</v>
      </c>
    </row>
    <row r="302" spans="1:4" x14ac:dyDescent="0.25">
      <c r="A302" t="s">
        <v>4</v>
      </c>
      <c r="B302">
        <v>96</v>
      </c>
      <c r="C302" s="1">
        <v>39845</v>
      </c>
      <c r="D302">
        <v>116.96</v>
      </c>
    </row>
    <row r="303" spans="1:4" x14ac:dyDescent="0.25">
      <c r="A303" t="s">
        <v>3</v>
      </c>
      <c r="B303">
        <v>169898</v>
      </c>
      <c r="C303" s="1">
        <v>39814</v>
      </c>
      <c r="D303">
        <v>46.43</v>
      </c>
    </row>
    <row r="304" spans="1:4" x14ac:dyDescent="0.25">
      <c r="A304" t="s">
        <v>4</v>
      </c>
      <c r="B304">
        <v>91</v>
      </c>
      <c r="C304" s="1">
        <v>39814</v>
      </c>
      <c r="D304">
        <v>89.48</v>
      </c>
    </row>
    <row r="305" spans="1:4" x14ac:dyDescent="0.25">
      <c r="A305" t="s">
        <v>3</v>
      </c>
      <c r="B305">
        <v>169614</v>
      </c>
      <c r="C305" s="1">
        <v>39783</v>
      </c>
      <c r="D305">
        <v>1.33</v>
      </c>
    </row>
    <row r="306" spans="1:4" x14ac:dyDescent="0.25">
      <c r="A306" t="s">
        <v>4</v>
      </c>
      <c r="B306">
        <v>86</v>
      </c>
      <c r="C306" s="1">
        <v>39783</v>
      </c>
      <c r="D306">
        <v>5.28</v>
      </c>
    </row>
    <row r="307" spans="1:4" x14ac:dyDescent="0.25">
      <c r="A307" t="s">
        <v>3</v>
      </c>
      <c r="B307">
        <v>169226</v>
      </c>
      <c r="C307" s="1">
        <v>39753</v>
      </c>
      <c r="D307">
        <v>-3.71</v>
      </c>
    </row>
    <row r="308" spans="1:4" x14ac:dyDescent="0.25">
      <c r="A308" t="s">
        <v>4</v>
      </c>
      <c r="B308">
        <v>82</v>
      </c>
      <c r="C308" s="1">
        <v>39753</v>
      </c>
      <c r="D308">
        <v>-6.87</v>
      </c>
    </row>
    <row r="309" spans="1:4" x14ac:dyDescent="0.25">
      <c r="A309" t="s">
        <v>3</v>
      </c>
      <c r="B309">
        <v>168922</v>
      </c>
      <c r="C309" s="1">
        <v>39722</v>
      </c>
      <c r="D309">
        <v>5.21</v>
      </c>
    </row>
    <row r="310" spans="1:4" x14ac:dyDescent="0.25">
      <c r="A310" t="s">
        <v>4</v>
      </c>
      <c r="B310">
        <v>78</v>
      </c>
      <c r="C310" s="1">
        <v>39722</v>
      </c>
      <c r="D310">
        <v>-11.17</v>
      </c>
    </row>
    <row r="311" spans="1:4" x14ac:dyDescent="0.25">
      <c r="A311" t="s">
        <v>3</v>
      </c>
      <c r="B311">
        <v>168538</v>
      </c>
      <c r="C311" s="1">
        <v>39692</v>
      </c>
      <c r="D311">
        <v>-21.26</v>
      </c>
    </row>
    <row r="312" spans="1:4" x14ac:dyDescent="0.25">
      <c r="A312" t="s">
        <v>4</v>
      </c>
      <c r="B312">
        <v>76</v>
      </c>
      <c r="C312" s="1">
        <v>39692</v>
      </c>
      <c r="D312">
        <v>-67.650000000000006</v>
      </c>
    </row>
    <row r="313" spans="1:4" x14ac:dyDescent="0.25">
      <c r="A313" t="s">
        <v>3</v>
      </c>
      <c r="B313">
        <v>167992</v>
      </c>
      <c r="C313" s="1">
        <v>39661</v>
      </c>
      <c r="D313">
        <v>-17.579999999999998</v>
      </c>
    </row>
    <row r="314" spans="1:4" x14ac:dyDescent="0.25">
      <c r="A314" t="s">
        <v>4</v>
      </c>
      <c r="B314">
        <v>68</v>
      </c>
      <c r="C314" s="1">
        <v>39661</v>
      </c>
      <c r="D314">
        <v>-70.239999999999995</v>
      </c>
    </row>
    <row r="315" spans="1:4" x14ac:dyDescent="0.25">
      <c r="A315" t="s">
        <v>3</v>
      </c>
      <c r="B315">
        <v>167354</v>
      </c>
      <c r="C315" s="1">
        <v>39630</v>
      </c>
      <c r="D315">
        <v>-11.41</v>
      </c>
    </row>
    <row r="316" spans="1:4" x14ac:dyDescent="0.25">
      <c r="A316" t="s">
        <v>4</v>
      </c>
      <c r="B316">
        <v>64</v>
      </c>
      <c r="C316" s="1">
        <v>39630</v>
      </c>
      <c r="D316">
        <v>-53.63</v>
      </c>
    </row>
    <row r="317" spans="1:4" x14ac:dyDescent="0.25">
      <c r="A317" t="s">
        <v>3</v>
      </c>
      <c r="B317">
        <v>166861</v>
      </c>
      <c r="C317" s="1">
        <v>39600</v>
      </c>
      <c r="D317">
        <v>9.1300000000000008</v>
      </c>
    </row>
    <row r="318" spans="1:4" x14ac:dyDescent="0.25">
      <c r="A318" t="s">
        <v>4</v>
      </c>
      <c r="B318">
        <v>45</v>
      </c>
      <c r="C318" s="1">
        <v>39600</v>
      </c>
      <c r="D318">
        <v>-11.74</v>
      </c>
    </row>
    <row r="319" spans="1:4" x14ac:dyDescent="0.25">
      <c r="A319" t="s">
        <v>3</v>
      </c>
      <c r="B319">
        <v>166020</v>
      </c>
      <c r="C319" s="1">
        <v>39569</v>
      </c>
      <c r="D319">
        <v>16</v>
      </c>
    </row>
    <row r="320" spans="1:4" x14ac:dyDescent="0.25">
      <c r="A320" t="s">
        <v>4</v>
      </c>
      <c r="B320">
        <v>23</v>
      </c>
      <c r="C320" s="1">
        <v>39569</v>
      </c>
      <c r="D320" t="s">
        <v>13</v>
      </c>
    </row>
    <row r="321" spans="1:4" x14ac:dyDescent="0.25">
      <c r="A321" t="s">
        <v>3</v>
      </c>
      <c r="B321">
        <v>164825</v>
      </c>
      <c r="C321" s="1">
        <v>39539</v>
      </c>
      <c r="D321">
        <v>14.26</v>
      </c>
    </row>
    <row r="322" spans="1:4" x14ac:dyDescent="0.25">
      <c r="A322" t="s">
        <v>3</v>
      </c>
      <c r="B322">
        <v>163763</v>
      </c>
      <c r="C322" s="1">
        <v>39508</v>
      </c>
      <c r="D322">
        <v>18.440000000000001</v>
      </c>
    </row>
    <row r="323" spans="1:4" x14ac:dyDescent="0.25">
      <c r="A323" t="s">
        <v>3</v>
      </c>
      <c r="B323">
        <v>162546</v>
      </c>
      <c r="C323" s="1">
        <v>39479</v>
      </c>
      <c r="D323">
        <v>32.270000000000003</v>
      </c>
    </row>
    <row r="324" spans="1:4" x14ac:dyDescent="0.25">
      <c r="A324" t="s">
        <v>3</v>
      </c>
      <c r="B324">
        <v>160811</v>
      </c>
      <c r="C324" s="1">
        <v>39448</v>
      </c>
      <c r="D324">
        <v>11.2</v>
      </c>
    </row>
    <row r="325" spans="1:4" x14ac:dyDescent="0.25">
      <c r="A325" t="s">
        <v>3</v>
      </c>
      <c r="B325">
        <v>159634</v>
      </c>
      <c r="C325" s="1">
        <v>39417</v>
      </c>
      <c r="D325">
        <v>4.5599999999999996</v>
      </c>
    </row>
    <row r="326" spans="1:4" x14ac:dyDescent="0.25">
      <c r="A326" t="s">
        <v>3</v>
      </c>
      <c r="B326">
        <v>158324</v>
      </c>
      <c r="C326" s="1">
        <v>39387</v>
      </c>
      <c r="D326">
        <v>-6.17</v>
      </c>
    </row>
    <row r="327" spans="1:4" x14ac:dyDescent="0.25">
      <c r="A327" t="s">
        <v>3</v>
      </c>
      <c r="B327">
        <v>157161</v>
      </c>
      <c r="C327" s="1">
        <v>39356</v>
      </c>
      <c r="D327">
        <v>-9.41</v>
      </c>
    </row>
    <row r="328" spans="1:4" x14ac:dyDescent="0.25">
      <c r="A328" t="s">
        <v>3</v>
      </c>
      <c r="B328">
        <v>156094</v>
      </c>
      <c r="C328" s="1">
        <v>39326</v>
      </c>
      <c r="D328">
        <v>-21.17</v>
      </c>
    </row>
    <row r="329" spans="1:4" x14ac:dyDescent="0.25">
      <c r="A329" t="s">
        <v>3</v>
      </c>
      <c r="B329">
        <v>154883</v>
      </c>
      <c r="C329" s="1">
        <v>39295</v>
      </c>
      <c r="D329">
        <v>-30.34</v>
      </c>
    </row>
    <row r="330" spans="1:4" x14ac:dyDescent="0.25">
      <c r="A330" t="s">
        <v>3</v>
      </c>
      <c r="B330">
        <v>153872</v>
      </c>
      <c r="C330" s="1">
        <v>39264</v>
      </c>
      <c r="D330">
        <v>-28.42</v>
      </c>
    </row>
    <row r="331" spans="1:4" x14ac:dyDescent="0.25">
      <c r="A331" t="s">
        <v>3</v>
      </c>
      <c r="B331">
        <v>153128</v>
      </c>
      <c r="C331" s="1">
        <v>39234</v>
      </c>
      <c r="D331">
        <v>-2.58</v>
      </c>
    </row>
    <row r="332" spans="1:4" x14ac:dyDescent="0.25">
      <c r="A332" t="s">
        <v>3</v>
      </c>
      <c r="B332">
        <v>152290</v>
      </c>
      <c r="C332" s="1">
        <v>39203</v>
      </c>
      <c r="D332">
        <v>2.54</v>
      </c>
    </row>
    <row r="333" spans="1:4" x14ac:dyDescent="0.25">
      <c r="A333" t="s">
        <v>3</v>
      </c>
      <c r="B333">
        <v>151399</v>
      </c>
      <c r="C333" s="1">
        <v>39173</v>
      </c>
      <c r="D333">
        <v>4.87</v>
      </c>
    </row>
    <row r="334" spans="1:4" x14ac:dyDescent="0.25">
      <c r="A334" t="s">
        <v>3</v>
      </c>
      <c r="B334">
        <v>150554</v>
      </c>
      <c r="C334" s="1">
        <v>39142</v>
      </c>
      <c r="D334">
        <v>-1.46</v>
      </c>
    </row>
    <row r="335" spans="1:4" x14ac:dyDescent="0.25">
      <c r="A335" t="s">
        <v>3</v>
      </c>
      <c r="B335">
        <v>149583</v>
      </c>
      <c r="C335" s="1">
        <v>39114</v>
      </c>
      <c r="D335">
        <v>-1.37</v>
      </c>
    </row>
    <row r="336" spans="1:4" x14ac:dyDescent="0.25">
      <c r="A336" t="s">
        <v>3</v>
      </c>
      <c r="B336">
        <v>148903</v>
      </c>
      <c r="C336" s="1">
        <v>39083</v>
      </c>
      <c r="D336">
        <v>5.47</v>
      </c>
    </row>
    <row r="337" spans="1:4" x14ac:dyDescent="0.25">
      <c r="A337" t="s">
        <v>3</v>
      </c>
      <c r="B337">
        <v>148414</v>
      </c>
      <c r="C337" s="1">
        <v>39052</v>
      </c>
      <c r="D337">
        <v>-3.25</v>
      </c>
    </row>
    <row r="338" spans="1:4" x14ac:dyDescent="0.25">
      <c r="A338" t="s">
        <v>3</v>
      </c>
      <c r="B338">
        <v>147649</v>
      </c>
      <c r="C338" s="1">
        <v>39022</v>
      </c>
      <c r="D338">
        <v>-10.98</v>
      </c>
    </row>
    <row r="339" spans="1:4" x14ac:dyDescent="0.25">
      <c r="A339" t="s">
        <v>3</v>
      </c>
      <c r="B339">
        <v>147173</v>
      </c>
      <c r="C339" s="1">
        <v>38991</v>
      </c>
      <c r="D339">
        <v>-15.42</v>
      </c>
    </row>
    <row r="340" spans="1:4" x14ac:dyDescent="0.25">
      <c r="A340" t="s">
        <v>3</v>
      </c>
      <c r="B340">
        <v>146739</v>
      </c>
      <c r="C340" s="1">
        <v>38961</v>
      </c>
      <c r="D340">
        <v>-23.69</v>
      </c>
    </row>
    <row r="341" spans="1:4" x14ac:dyDescent="0.25">
      <c r="A341" t="s">
        <v>3</v>
      </c>
      <c r="B341">
        <v>146185</v>
      </c>
      <c r="C341" s="1">
        <v>38930</v>
      </c>
      <c r="D341">
        <v>-44.24</v>
      </c>
    </row>
    <row r="342" spans="1:4" x14ac:dyDescent="0.25">
      <c r="A342" t="s">
        <v>3</v>
      </c>
      <c r="B342">
        <v>145689</v>
      </c>
      <c r="C342" s="1">
        <v>38899</v>
      </c>
      <c r="D342">
        <v>-40.229999999999997</v>
      </c>
    </row>
    <row r="343" spans="1:4" x14ac:dyDescent="0.25">
      <c r="A343" t="s">
        <v>3</v>
      </c>
      <c r="B343">
        <v>145276</v>
      </c>
      <c r="C343" s="1">
        <v>38869</v>
      </c>
      <c r="D343">
        <v>-35.28</v>
      </c>
    </row>
    <row r="344" spans="1:4" x14ac:dyDescent="0.25">
      <c r="A344" t="s">
        <v>3</v>
      </c>
      <c r="B344">
        <v>144774</v>
      </c>
      <c r="C344" s="1">
        <v>38838</v>
      </c>
      <c r="D344">
        <v>-29.98</v>
      </c>
    </row>
    <row r="345" spans="1:4" x14ac:dyDescent="0.25">
      <c r="A345" t="s">
        <v>3</v>
      </c>
      <c r="B345">
        <v>144425</v>
      </c>
      <c r="C345" s="1">
        <v>38808</v>
      </c>
      <c r="D345">
        <v>-17.39</v>
      </c>
    </row>
    <row r="346" spans="1:4" x14ac:dyDescent="0.25">
      <c r="A346" t="s">
        <v>3</v>
      </c>
      <c r="B346">
        <v>143953</v>
      </c>
      <c r="C346" s="1">
        <v>38777</v>
      </c>
      <c r="D346">
        <v>-11.5</v>
      </c>
    </row>
    <row r="347" spans="1:4" x14ac:dyDescent="0.25">
      <c r="A347" t="s">
        <v>3</v>
      </c>
      <c r="B347">
        <v>143384</v>
      </c>
      <c r="C347" s="1">
        <v>38749</v>
      </c>
      <c r="D347">
        <v>-3.41</v>
      </c>
    </row>
    <row r="348" spans="1:4" x14ac:dyDescent="0.25">
      <c r="A348" t="s">
        <v>3</v>
      </c>
      <c r="B348">
        <v>142804</v>
      </c>
      <c r="C348" s="1">
        <v>38718</v>
      </c>
      <c r="D348">
        <v>-13.74</v>
      </c>
    </row>
    <row r="349" spans="1:4" x14ac:dyDescent="0.25">
      <c r="A349" t="s">
        <v>3</v>
      </c>
      <c r="B349">
        <v>142252</v>
      </c>
      <c r="C349" s="1">
        <v>38687</v>
      </c>
      <c r="D349">
        <v>-16.48</v>
      </c>
    </row>
    <row r="350" spans="1:4" x14ac:dyDescent="0.25">
      <c r="A350" t="s">
        <v>3</v>
      </c>
      <c r="B350">
        <v>141621</v>
      </c>
      <c r="C350" s="1">
        <v>38657</v>
      </c>
      <c r="D350">
        <v>3.3</v>
      </c>
    </row>
    <row r="351" spans="1:4" x14ac:dyDescent="0.25">
      <c r="A351" t="s">
        <v>3</v>
      </c>
      <c r="B351">
        <v>141124</v>
      </c>
      <c r="C351" s="1">
        <v>38626</v>
      </c>
      <c r="D351">
        <v>23.95</v>
      </c>
    </row>
    <row r="352" spans="1:4" x14ac:dyDescent="0.25">
      <c r="A352" t="s">
        <v>3</v>
      </c>
      <c r="B352">
        <v>140649</v>
      </c>
      <c r="C352" s="1">
        <v>38596</v>
      </c>
      <c r="D352">
        <v>25.45</v>
      </c>
    </row>
    <row r="353" spans="1:4" x14ac:dyDescent="0.25">
      <c r="A353" t="s">
        <v>3</v>
      </c>
      <c r="B353">
        <v>140138</v>
      </c>
      <c r="C353" s="1">
        <v>38565</v>
      </c>
      <c r="D353">
        <v>34.81</v>
      </c>
    </row>
    <row r="354" spans="1:4" x14ac:dyDescent="0.25">
      <c r="A354" t="s">
        <v>3</v>
      </c>
      <c r="B354">
        <v>139687</v>
      </c>
      <c r="C354" s="1">
        <v>38534</v>
      </c>
      <c r="D354">
        <v>43.8</v>
      </c>
    </row>
    <row r="355" spans="1:4" x14ac:dyDescent="0.25">
      <c r="A355" t="s">
        <v>3</v>
      </c>
      <c r="B355">
        <v>139339</v>
      </c>
      <c r="C355" s="1">
        <v>38504</v>
      </c>
      <c r="D355">
        <v>34.53</v>
      </c>
    </row>
    <row r="356" spans="1:4" x14ac:dyDescent="0.25">
      <c r="A356" t="s">
        <v>3</v>
      </c>
      <c r="B356">
        <v>138902</v>
      </c>
      <c r="C356" s="1">
        <v>38473</v>
      </c>
      <c r="D356">
        <v>24.54</v>
      </c>
    </row>
    <row r="357" spans="1:4" x14ac:dyDescent="0.25">
      <c r="A357" t="s">
        <v>3</v>
      </c>
      <c r="B357">
        <v>138594</v>
      </c>
      <c r="C357" s="1">
        <v>38443</v>
      </c>
      <c r="D357">
        <v>18.53</v>
      </c>
    </row>
    <row r="358" spans="1:4" x14ac:dyDescent="0.25">
      <c r="A358" t="s">
        <v>3</v>
      </c>
      <c r="B358">
        <v>138040</v>
      </c>
      <c r="C358" s="1">
        <v>38412</v>
      </c>
      <c r="D358">
        <v>42.85</v>
      </c>
    </row>
    <row r="359" spans="1:4" x14ac:dyDescent="0.25">
      <c r="A359" t="s">
        <v>3</v>
      </c>
      <c r="B359">
        <v>137614</v>
      </c>
      <c r="C359" s="1">
        <v>38384</v>
      </c>
      <c r="D359">
        <v>38.44</v>
      </c>
    </row>
    <row r="360" spans="1:4" x14ac:dyDescent="0.25">
      <c r="A360" t="s">
        <v>3</v>
      </c>
      <c r="B360">
        <v>137387</v>
      </c>
      <c r="C360" s="1">
        <v>38353</v>
      </c>
      <c r="D360">
        <v>37.39</v>
      </c>
    </row>
    <row r="361" spans="1:4" x14ac:dyDescent="0.25">
      <c r="A361" t="s">
        <v>3</v>
      </c>
      <c r="B361">
        <v>137192</v>
      </c>
      <c r="C361" s="1">
        <v>38322</v>
      </c>
      <c r="D361">
        <v>40.9</v>
      </c>
    </row>
    <row r="362" spans="1:4" x14ac:dyDescent="0.25">
      <c r="A362" t="s">
        <v>3</v>
      </c>
      <c r="B362">
        <v>136768</v>
      </c>
      <c r="C362" s="1">
        <v>38292</v>
      </c>
      <c r="D362">
        <v>42.66</v>
      </c>
    </row>
    <row r="363" spans="1:4" x14ac:dyDescent="0.25">
      <c r="A363" t="s">
        <v>3</v>
      </c>
      <c r="B363">
        <v>136619</v>
      </c>
      <c r="C363" s="1">
        <v>38261</v>
      </c>
      <c r="D363">
        <v>38.81</v>
      </c>
    </row>
    <row r="364" spans="1:4" x14ac:dyDescent="0.25">
      <c r="A364" t="s">
        <v>3</v>
      </c>
      <c r="B364">
        <v>136490</v>
      </c>
      <c r="C364" s="1">
        <v>38231</v>
      </c>
      <c r="D364">
        <v>30.9</v>
      </c>
    </row>
    <row r="365" spans="1:4" x14ac:dyDescent="0.25">
      <c r="A365" t="s">
        <v>3</v>
      </c>
      <c r="B365">
        <v>136347</v>
      </c>
      <c r="C365" s="1">
        <v>38200</v>
      </c>
      <c r="D365">
        <v>19.93</v>
      </c>
    </row>
    <row r="366" spans="1:4" x14ac:dyDescent="0.25">
      <c r="A366" t="s">
        <v>3</v>
      </c>
      <c r="B366">
        <v>136226</v>
      </c>
      <c r="C366" s="1">
        <v>38169</v>
      </c>
      <c r="D366">
        <v>-1.74</v>
      </c>
    </row>
    <row r="367" spans="1:4" x14ac:dyDescent="0.25">
      <c r="A367" t="s">
        <v>3</v>
      </c>
      <c r="B367">
        <v>136287</v>
      </c>
      <c r="C367" s="1">
        <v>38139</v>
      </c>
      <c r="D367">
        <v>-0.59</v>
      </c>
    </row>
    <row r="368" spans="1:4" x14ac:dyDescent="0.25">
      <c r="A368" t="s">
        <v>3</v>
      </c>
      <c r="B368">
        <v>136406</v>
      </c>
      <c r="C368" s="1">
        <v>38108</v>
      </c>
      <c r="D368">
        <v>33.44</v>
      </c>
    </row>
    <row r="369" spans="1:4" x14ac:dyDescent="0.25">
      <c r="A369" t="s">
        <v>3</v>
      </c>
      <c r="B369">
        <v>136252</v>
      </c>
      <c r="C369" s="1">
        <v>38078</v>
      </c>
      <c r="D369">
        <v>74.45</v>
      </c>
    </row>
    <row r="370" spans="1:4" x14ac:dyDescent="0.25">
      <c r="A370" t="s">
        <v>3</v>
      </c>
      <c r="B370">
        <v>135868</v>
      </c>
      <c r="C370" s="1">
        <v>38047</v>
      </c>
      <c r="D370">
        <v>61.02</v>
      </c>
    </row>
    <row r="371" spans="1:4" x14ac:dyDescent="0.25">
      <c r="A371" t="s">
        <v>3</v>
      </c>
      <c r="B371">
        <v>135654</v>
      </c>
      <c r="C371" s="1">
        <v>38018</v>
      </c>
      <c r="D371">
        <v>56.3</v>
      </c>
    </row>
    <row r="372" spans="1:4" x14ac:dyDescent="0.25">
      <c r="A372" t="s">
        <v>3</v>
      </c>
      <c r="B372">
        <v>135739</v>
      </c>
      <c r="C372" s="1">
        <v>37987</v>
      </c>
      <c r="D372">
        <v>43.62</v>
      </c>
    </row>
    <row r="373" spans="1:4" x14ac:dyDescent="0.25">
      <c r="A373" t="s">
        <v>3</v>
      </c>
      <c r="B373">
        <v>135910</v>
      </c>
      <c r="C373" s="1">
        <v>37956</v>
      </c>
      <c r="D373">
        <v>42.25</v>
      </c>
    </row>
    <row r="374" spans="1:4" x14ac:dyDescent="0.25">
      <c r="A374" t="s">
        <v>3</v>
      </c>
      <c r="B374">
        <v>136312</v>
      </c>
      <c r="C374" s="1">
        <v>37926</v>
      </c>
      <c r="D374">
        <v>43.61</v>
      </c>
    </row>
    <row r="375" spans="1:4" x14ac:dyDescent="0.25">
      <c r="A375" t="s">
        <v>3</v>
      </c>
      <c r="B375">
        <v>136901</v>
      </c>
      <c r="C375" s="1">
        <v>37895</v>
      </c>
      <c r="D375">
        <v>32.68</v>
      </c>
    </row>
    <row r="376" spans="1:4" x14ac:dyDescent="0.25">
      <c r="A376" t="s">
        <v>3</v>
      </c>
      <c r="B376">
        <v>137398</v>
      </c>
      <c r="C376" s="1">
        <v>37865</v>
      </c>
      <c r="D376">
        <v>23.71</v>
      </c>
    </row>
    <row r="377" spans="1:4" x14ac:dyDescent="0.25">
      <c r="A377" t="s">
        <v>3</v>
      </c>
      <c r="B377">
        <v>137518</v>
      </c>
      <c r="C377" s="1">
        <v>37834</v>
      </c>
      <c r="D377">
        <v>83.31</v>
      </c>
    </row>
    <row r="378" spans="1:4" x14ac:dyDescent="0.25">
      <c r="A378" t="s">
        <v>3</v>
      </c>
      <c r="B378">
        <v>137534</v>
      </c>
      <c r="C378" s="1">
        <v>37803</v>
      </c>
      <c r="D378">
        <v>128.94999999999999</v>
      </c>
    </row>
    <row r="379" spans="1:4" x14ac:dyDescent="0.25">
      <c r="A379" t="s">
        <v>3</v>
      </c>
      <c r="B379">
        <v>137600</v>
      </c>
      <c r="C379" s="1">
        <v>37773</v>
      </c>
      <c r="D379">
        <v>109.92</v>
      </c>
    </row>
    <row r="380" spans="1:4" x14ac:dyDescent="0.25">
      <c r="A380" t="s">
        <v>3</v>
      </c>
      <c r="B380">
        <v>137669</v>
      </c>
      <c r="C380" s="1">
        <v>37742</v>
      </c>
      <c r="D380">
        <v>97.52</v>
      </c>
    </row>
    <row r="381" spans="1:4" x14ac:dyDescent="0.25">
      <c r="A381" t="s">
        <v>3</v>
      </c>
      <c r="B381">
        <v>137628</v>
      </c>
      <c r="C381" s="1">
        <v>37712</v>
      </c>
      <c r="D381">
        <v>106.67</v>
      </c>
    </row>
    <row r="382" spans="1:4" x14ac:dyDescent="0.25">
      <c r="A382" t="s">
        <v>3</v>
      </c>
      <c r="B382">
        <v>137575</v>
      </c>
      <c r="C382" s="1">
        <v>37681</v>
      </c>
      <c r="D382">
        <v>101.65</v>
      </c>
    </row>
    <row r="383" spans="1:4" x14ac:dyDescent="0.25">
      <c r="A383" t="s">
        <v>3</v>
      </c>
      <c r="B383">
        <v>137406</v>
      </c>
      <c r="C383" s="1">
        <v>37653</v>
      </c>
      <c r="D383">
        <v>99.84</v>
      </c>
    </row>
    <row r="384" spans="1:4" x14ac:dyDescent="0.25">
      <c r="A384" t="s">
        <v>3</v>
      </c>
      <c r="B384">
        <v>137181</v>
      </c>
      <c r="C384" s="1">
        <v>37622</v>
      </c>
      <c r="D384">
        <v>92.99</v>
      </c>
    </row>
    <row r="385" spans="1:4" x14ac:dyDescent="0.25">
      <c r="A385" t="s">
        <v>3</v>
      </c>
      <c r="B385">
        <v>136954</v>
      </c>
      <c r="C385" s="1">
        <v>37591</v>
      </c>
      <c r="D385">
        <v>95.31</v>
      </c>
    </row>
    <row r="386" spans="1:4" x14ac:dyDescent="0.25">
      <c r="A386" t="s">
        <v>3</v>
      </c>
      <c r="B386">
        <v>136195</v>
      </c>
      <c r="C386" s="1">
        <v>37561</v>
      </c>
      <c r="D386">
        <v>94.63</v>
      </c>
    </row>
    <row r="387" spans="1:4" x14ac:dyDescent="0.25">
      <c r="A387" t="s">
        <v>3</v>
      </c>
      <c r="B387">
        <v>135496</v>
      </c>
      <c r="C387" s="1">
        <v>37530</v>
      </c>
      <c r="D387">
        <v>97.59</v>
      </c>
    </row>
    <row r="388" spans="1:4" x14ac:dyDescent="0.25">
      <c r="A388" t="s">
        <v>3</v>
      </c>
      <c r="B388">
        <v>134808</v>
      </c>
      <c r="C388" s="1">
        <v>37500</v>
      </c>
      <c r="D388">
        <v>83.17</v>
      </c>
    </row>
    <row r="389" spans="1:4" x14ac:dyDescent="0.25">
      <c r="A389" t="s">
        <v>3</v>
      </c>
      <c r="B389">
        <v>134035</v>
      </c>
      <c r="C389" s="1">
        <v>37469</v>
      </c>
      <c r="D389">
        <v>70.67</v>
      </c>
    </row>
    <row r="390" spans="1:4" x14ac:dyDescent="0.25">
      <c r="A390" t="s">
        <v>3</v>
      </c>
      <c r="B390">
        <v>133383</v>
      </c>
      <c r="C390" s="1">
        <v>37438</v>
      </c>
      <c r="D390">
        <v>58.42</v>
      </c>
    </row>
    <row r="391" spans="1:4" x14ac:dyDescent="0.25">
      <c r="A391" t="s">
        <v>3</v>
      </c>
      <c r="B391">
        <v>132852</v>
      </c>
      <c r="C391" s="1">
        <v>37408</v>
      </c>
      <c r="D391">
        <v>44.52</v>
      </c>
    </row>
    <row r="392" spans="1:4" x14ac:dyDescent="0.25">
      <c r="A392" t="s">
        <v>3</v>
      </c>
      <c r="B392">
        <v>132319</v>
      </c>
      <c r="C392" s="1">
        <v>37377</v>
      </c>
      <c r="D392">
        <v>31.33</v>
      </c>
    </row>
    <row r="393" spans="1:4" x14ac:dyDescent="0.25">
      <c r="A393" t="s">
        <v>3</v>
      </c>
      <c r="B393">
        <v>131825</v>
      </c>
      <c r="C393" s="1">
        <v>37347</v>
      </c>
      <c r="D393">
        <v>27.04</v>
      </c>
    </row>
    <row r="394" spans="1:4" x14ac:dyDescent="0.25">
      <c r="A394" t="s">
        <v>3</v>
      </c>
      <c r="B394">
        <v>131120</v>
      </c>
      <c r="C394" s="1">
        <v>37316</v>
      </c>
      <c r="D394">
        <v>47.91</v>
      </c>
    </row>
    <row r="395" spans="1:4" x14ac:dyDescent="0.25">
      <c r="A395" t="s">
        <v>3</v>
      </c>
      <c r="B395">
        <v>130570</v>
      </c>
      <c r="C395" s="1">
        <v>37288</v>
      </c>
      <c r="D395">
        <v>36.14</v>
      </c>
    </row>
    <row r="396" spans="1:4" x14ac:dyDescent="0.25">
      <c r="A396" t="s">
        <v>3</v>
      </c>
      <c r="B396">
        <v>129967</v>
      </c>
      <c r="C396" s="1">
        <v>37257</v>
      </c>
      <c r="D396">
        <v>33.950000000000003</v>
      </c>
    </row>
    <row r="397" spans="1:4" x14ac:dyDescent="0.25">
      <c r="A397" t="s">
        <v>3</v>
      </c>
      <c r="B397">
        <v>129300</v>
      </c>
      <c r="C397" s="1">
        <v>37226</v>
      </c>
      <c r="D397">
        <v>68.75</v>
      </c>
    </row>
    <row r="398" spans="1:4" x14ac:dyDescent="0.25">
      <c r="A398" t="s">
        <v>3</v>
      </c>
      <c r="B398">
        <v>128146</v>
      </c>
      <c r="C398" s="1">
        <v>37196</v>
      </c>
      <c r="D398">
        <v>73</v>
      </c>
    </row>
    <row r="399" spans="1:4" x14ac:dyDescent="0.25">
      <c r="A399" t="s">
        <v>3</v>
      </c>
      <c r="B399">
        <v>127237</v>
      </c>
      <c r="C399" s="1">
        <v>37165</v>
      </c>
      <c r="D399">
        <v>57.61</v>
      </c>
    </row>
    <row r="400" spans="1:4" x14ac:dyDescent="0.25">
      <c r="A400" t="s">
        <v>3</v>
      </c>
      <c r="B400">
        <v>126372</v>
      </c>
      <c r="C400" s="1">
        <v>37135</v>
      </c>
      <c r="D400">
        <v>48.64</v>
      </c>
    </row>
    <row r="401" spans="1:4" x14ac:dyDescent="0.25">
      <c r="A401" t="s">
        <v>3</v>
      </c>
      <c r="B401">
        <v>125389</v>
      </c>
      <c r="C401" s="1">
        <v>37104</v>
      </c>
      <c r="D401">
        <v>35.22</v>
      </c>
    </row>
    <row r="402" spans="1:4" x14ac:dyDescent="0.25">
      <c r="A402" t="s">
        <v>3</v>
      </c>
      <c r="B402">
        <v>124394</v>
      </c>
      <c r="C402" s="1">
        <v>37073</v>
      </c>
      <c r="D402">
        <v>34.19</v>
      </c>
    </row>
    <row r="403" spans="1:4" x14ac:dyDescent="0.25">
      <c r="A403" t="s">
        <v>3</v>
      </c>
      <c r="B403">
        <v>123051</v>
      </c>
      <c r="C403" s="1">
        <v>37043</v>
      </c>
      <c r="D403">
        <v>35.31</v>
      </c>
    </row>
    <row r="404" spans="1:4" x14ac:dyDescent="0.25">
      <c r="A404" t="s">
        <v>3</v>
      </c>
      <c r="B404">
        <v>121798</v>
      </c>
      <c r="C404" s="1">
        <v>37012</v>
      </c>
      <c r="D404">
        <v>45.6</v>
      </c>
    </row>
    <row r="405" spans="1:4" x14ac:dyDescent="0.25">
      <c r="A405" t="s">
        <v>3</v>
      </c>
      <c r="B405">
        <v>120460</v>
      </c>
      <c r="C405" s="1">
        <v>36982</v>
      </c>
      <c r="D405">
        <v>57.31</v>
      </c>
    </row>
    <row r="406" spans="1:4" x14ac:dyDescent="0.25">
      <c r="A406" t="s">
        <v>3</v>
      </c>
      <c r="B406">
        <v>119239</v>
      </c>
      <c r="C406" s="1">
        <v>36951</v>
      </c>
      <c r="D406">
        <v>50.77</v>
      </c>
    </row>
    <row r="407" spans="1:4" x14ac:dyDescent="0.25">
      <c r="A407" t="s">
        <v>3</v>
      </c>
      <c r="B407">
        <v>118171</v>
      </c>
      <c r="C407" s="1">
        <v>36923</v>
      </c>
      <c r="D407">
        <v>53.57</v>
      </c>
    </row>
    <row r="408" spans="1:4" x14ac:dyDescent="0.25">
      <c r="A408" t="s">
        <v>3</v>
      </c>
      <c r="B408">
        <v>117372</v>
      </c>
      <c r="C408" s="1">
        <v>36892</v>
      </c>
      <c r="D408">
        <v>27.47</v>
      </c>
    </row>
    <row r="409" spans="1:4" x14ac:dyDescent="0.25">
      <c r="A409" t="s">
        <v>3</v>
      </c>
      <c r="B409">
        <v>116547</v>
      </c>
      <c r="C409" s="1">
        <v>36861</v>
      </c>
      <c r="D409">
        <v>-6.9</v>
      </c>
    </row>
    <row r="410" spans="1:4" x14ac:dyDescent="0.25">
      <c r="A410" t="s">
        <v>3</v>
      </c>
      <c r="B410">
        <v>115643</v>
      </c>
      <c r="C410" s="1">
        <v>36831</v>
      </c>
      <c r="D410">
        <v>-15.38</v>
      </c>
    </row>
    <row r="411" spans="1:4" x14ac:dyDescent="0.25">
      <c r="A411" t="s">
        <v>3</v>
      </c>
      <c r="B411">
        <v>114739</v>
      </c>
      <c r="C411" s="1">
        <v>36800</v>
      </c>
      <c r="D411">
        <v>-25.99</v>
      </c>
    </row>
    <row r="412" spans="1:4" x14ac:dyDescent="0.25">
      <c r="A412" t="s">
        <v>3</v>
      </c>
      <c r="B412">
        <v>113900</v>
      </c>
      <c r="C412" s="1">
        <v>36770</v>
      </c>
      <c r="D412">
        <v>-36.159999999999997</v>
      </c>
    </row>
    <row r="413" spans="1:4" x14ac:dyDescent="0.25">
      <c r="A413" t="s">
        <v>3</v>
      </c>
      <c r="B413">
        <v>112753</v>
      </c>
      <c r="C413" s="1">
        <v>36739</v>
      </c>
      <c r="D413">
        <v>-48.31</v>
      </c>
    </row>
    <row r="414" spans="1:4" x14ac:dyDescent="0.25">
      <c r="A414" t="s">
        <v>3</v>
      </c>
      <c r="B414">
        <v>111933</v>
      </c>
      <c r="C414" s="1">
        <v>36708</v>
      </c>
      <c r="D414">
        <v>-61.93</v>
      </c>
    </row>
    <row r="415" spans="1:4" x14ac:dyDescent="0.25">
      <c r="A415" t="s">
        <v>3</v>
      </c>
      <c r="B415">
        <v>111145</v>
      </c>
      <c r="C415" s="1">
        <v>36678</v>
      </c>
      <c r="D415">
        <v>-83.61</v>
      </c>
    </row>
    <row r="416" spans="1:4" x14ac:dyDescent="0.25">
      <c r="A416" t="s">
        <v>3</v>
      </c>
      <c r="B416">
        <v>110373</v>
      </c>
      <c r="C416" s="1">
        <v>36647</v>
      </c>
      <c r="D416">
        <v>-53.45</v>
      </c>
    </row>
    <row r="417" spans="1:4" x14ac:dyDescent="0.25">
      <c r="A417" t="s">
        <v>3</v>
      </c>
      <c r="B417">
        <v>109591</v>
      </c>
      <c r="C417" s="1">
        <v>36617</v>
      </c>
      <c r="D417">
        <v>-61.86</v>
      </c>
    </row>
    <row r="418" spans="1:4" x14ac:dyDescent="0.25">
      <c r="A418" t="s">
        <v>3</v>
      </c>
      <c r="B418">
        <v>109095</v>
      </c>
      <c r="C418" s="1">
        <v>36586</v>
      </c>
      <c r="D418">
        <v>-69.75</v>
      </c>
    </row>
    <row r="419" spans="1:4" x14ac:dyDescent="0.25">
      <c r="A419" t="s">
        <v>3</v>
      </c>
      <c r="B419">
        <v>108477</v>
      </c>
      <c r="C419" s="1">
        <v>36557</v>
      </c>
      <c r="D419">
        <v>-61.16</v>
      </c>
    </row>
    <row r="420" spans="1:4" x14ac:dyDescent="0.25">
      <c r="A420" t="s">
        <v>3</v>
      </c>
      <c r="B420">
        <v>107933</v>
      </c>
      <c r="C420" s="1">
        <v>36526</v>
      </c>
      <c r="D420">
        <v>-36.979999999999997</v>
      </c>
    </row>
    <row r="421" spans="1:4" x14ac:dyDescent="0.25">
      <c r="A421" t="s">
        <v>3</v>
      </c>
      <c r="B421">
        <v>107228</v>
      </c>
      <c r="C421" s="1">
        <v>36495</v>
      </c>
      <c r="D421">
        <v>-22.99</v>
      </c>
    </row>
    <row r="422" spans="1:4" x14ac:dyDescent="0.25">
      <c r="A422" t="s">
        <v>3</v>
      </c>
      <c r="B422">
        <v>106736</v>
      </c>
      <c r="C422" s="1">
        <v>36465</v>
      </c>
      <c r="D422">
        <v>-36.32</v>
      </c>
    </row>
    <row r="423" spans="1:4" x14ac:dyDescent="0.25">
      <c r="A423" t="s">
        <v>3</v>
      </c>
      <c r="B423">
        <v>106216</v>
      </c>
      <c r="C423" s="1">
        <v>36434</v>
      </c>
      <c r="D423">
        <v>-28.72</v>
      </c>
    </row>
    <row r="424" spans="1:4" x14ac:dyDescent="0.25">
      <c r="A424" t="s">
        <v>3</v>
      </c>
      <c r="B424">
        <v>105603</v>
      </c>
      <c r="C424" s="1">
        <v>36404</v>
      </c>
      <c r="D424">
        <v>-41.51</v>
      </c>
    </row>
    <row r="425" spans="1:4" x14ac:dyDescent="0.25">
      <c r="A425" t="s">
        <v>3</v>
      </c>
      <c r="B425">
        <v>104791</v>
      </c>
      <c r="C425" s="1">
        <v>36373</v>
      </c>
      <c r="D425">
        <v>-15.51</v>
      </c>
    </row>
    <row r="426" spans="1:4" x14ac:dyDescent="0.25">
      <c r="A426" t="s">
        <v>3</v>
      </c>
      <c r="B426">
        <v>104062</v>
      </c>
      <c r="C426" s="1">
        <v>36342</v>
      </c>
      <c r="D426">
        <v>-7.94</v>
      </c>
    </row>
    <row r="427" spans="1:4" x14ac:dyDescent="0.25">
      <c r="A427" t="s">
        <v>3</v>
      </c>
      <c r="B427">
        <v>103279</v>
      </c>
      <c r="C427" s="1">
        <v>36312</v>
      </c>
      <c r="D427">
        <v>26.77</v>
      </c>
    </row>
    <row r="428" spans="1:4" x14ac:dyDescent="0.25">
      <c r="A428" t="s">
        <v>3</v>
      </c>
      <c r="B428">
        <v>102434</v>
      </c>
      <c r="C428" s="1">
        <v>36281</v>
      </c>
      <c r="D428">
        <v>47.84</v>
      </c>
    </row>
    <row r="429" spans="1:4" x14ac:dyDescent="0.25">
      <c r="A429" t="s">
        <v>3</v>
      </c>
      <c r="B429">
        <v>101316</v>
      </c>
      <c r="C429" s="1">
        <v>36251</v>
      </c>
      <c r="D429">
        <v>41.14</v>
      </c>
    </row>
    <row r="430" spans="1:4" x14ac:dyDescent="0.25">
      <c r="A430" t="s">
        <v>3</v>
      </c>
      <c r="B430">
        <v>99969</v>
      </c>
      <c r="C430" s="1">
        <v>36220</v>
      </c>
      <c r="D430">
        <v>60.2</v>
      </c>
    </row>
    <row r="431" spans="1:4" x14ac:dyDescent="0.25">
      <c r="A431" t="s">
        <v>3</v>
      </c>
      <c r="B431">
        <v>98708</v>
      </c>
      <c r="C431" s="1">
        <v>36192</v>
      </c>
      <c r="D431">
        <v>65.78</v>
      </c>
    </row>
    <row r="432" spans="1:4" x14ac:dyDescent="0.25">
      <c r="A432" t="s">
        <v>3</v>
      </c>
      <c r="B432">
        <v>97659</v>
      </c>
      <c r="C432" s="1">
        <v>36161</v>
      </c>
      <c r="D432">
        <v>71.69</v>
      </c>
    </row>
    <row r="433" spans="1:4" x14ac:dyDescent="0.25">
      <c r="A433" t="s">
        <v>3</v>
      </c>
      <c r="B433">
        <v>96612</v>
      </c>
      <c r="C433" s="1">
        <v>36130</v>
      </c>
      <c r="D433">
        <v>65.150000000000006</v>
      </c>
    </row>
    <row r="434" spans="1:4" x14ac:dyDescent="0.25">
      <c r="A434" t="s">
        <v>3</v>
      </c>
      <c r="B434">
        <v>95354</v>
      </c>
      <c r="C434" s="1">
        <v>36100</v>
      </c>
      <c r="D434">
        <v>80.03</v>
      </c>
    </row>
    <row r="435" spans="1:4" x14ac:dyDescent="0.25">
      <c r="A435" t="s">
        <v>3</v>
      </c>
      <c r="B435">
        <v>94275</v>
      </c>
      <c r="C435" s="1">
        <v>36069</v>
      </c>
      <c r="D435">
        <v>80.94</v>
      </c>
    </row>
    <row r="436" spans="1:4" x14ac:dyDescent="0.25">
      <c r="A436" t="s">
        <v>3</v>
      </c>
      <c r="B436">
        <v>93181</v>
      </c>
      <c r="C436" s="1">
        <v>36039</v>
      </c>
      <c r="D436">
        <v>65.19</v>
      </c>
    </row>
    <row r="437" spans="1:4" x14ac:dyDescent="0.25">
      <c r="A437" t="s">
        <v>3</v>
      </c>
      <c r="B437">
        <v>92100</v>
      </c>
      <c r="C437" s="1">
        <v>36008</v>
      </c>
      <c r="D437">
        <v>65.69</v>
      </c>
    </row>
    <row r="438" spans="1:4" x14ac:dyDescent="0.25">
      <c r="A438" t="s">
        <v>3</v>
      </c>
      <c r="B438">
        <v>91102</v>
      </c>
      <c r="C438" s="1">
        <v>35977</v>
      </c>
      <c r="D438">
        <v>65.86</v>
      </c>
    </row>
    <row r="439" spans="1:4" x14ac:dyDescent="0.25">
      <c r="A439" t="s">
        <v>3</v>
      </c>
      <c r="B439">
        <v>89963</v>
      </c>
      <c r="C439" s="1">
        <v>35947</v>
      </c>
      <c r="D439">
        <v>57.86</v>
      </c>
    </row>
    <row r="440" spans="1:4" x14ac:dyDescent="0.25">
      <c r="A440" t="s">
        <v>3</v>
      </c>
      <c r="B440">
        <v>89060</v>
      </c>
      <c r="C440" s="1">
        <v>35916</v>
      </c>
      <c r="D440">
        <v>58.18</v>
      </c>
    </row>
    <row r="441" spans="1:4" x14ac:dyDescent="0.25">
      <c r="A441" t="s">
        <v>3</v>
      </c>
      <c r="B441">
        <v>88069</v>
      </c>
      <c r="C441" s="1">
        <v>35886</v>
      </c>
      <c r="D441">
        <v>60.99</v>
      </c>
    </row>
    <row r="442" spans="1:4" x14ac:dyDescent="0.25">
      <c r="A442" t="s">
        <v>3</v>
      </c>
      <c r="B442">
        <v>86902</v>
      </c>
      <c r="C442" s="1">
        <v>35855</v>
      </c>
      <c r="D442">
        <v>69.13</v>
      </c>
    </row>
    <row r="443" spans="1:4" x14ac:dyDescent="0.25">
      <c r="A443" t="s">
        <v>3</v>
      </c>
      <c r="B443">
        <v>85942</v>
      </c>
      <c r="C443" s="1">
        <v>35827</v>
      </c>
      <c r="D443">
        <v>71.56</v>
      </c>
    </row>
    <row r="444" spans="1:4" x14ac:dyDescent="0.25">
      <c r="A444" t="s">
        <v>3</v>
      </c>
      <c r="B444">
        <v>85121</v>
      </c>
      <c r="C444" s="1">
        <v>35796</v>
      </c>
      <c r="D444">
        <v>56.74</v>
      </c>
    </row>
    <row r="445" spans="1:4" x14ac:dyDescent="0.25">
      <c r="A445" t="s">
        <v>3</v>
      </c>
      <c r="B445">
        <v>84354</v>
      </c>
      <c r="C445" s="1">
        <v>35765</v>
      </c>
      <c r="D445">
        <v>50.38</v>
      </c>
    </row>
    <row r="446" spans="1:4" x14ac:dyDescent="0.25">
      <c r="A446" t="s">
        <v>3</v>
      </c>
      <c r="B446">
        <v>83615</v>
      </c>
      <c r="C446" s="1">
        <v>35735</v>
      </c>
      <c r="D446">
        <v>43.96</v>
      </c>
    </row>
    <row r="447" spans="1:4" x14ac:dyDescent="0.25">
      <c r="A447" t="s">
        <v>3</v>
      </c>
      <c r="B447">
        <v>82933</v>
      </c>
      <c r="C447" s="1">
        <v>35704</v>
      </c>
      <c r="D447">
        <v>34.29</v>
      </c>
    </row>
    <row r="448" spans="1:4" x14ac:dyDescent="0.25">
      <c r="A448" t="s">
        <v>3</v>
      </c>
      <c r="B448">
        <v>82255</v>
      </c>
      <c r="C448" s="1">
        <v>35674</v>
      </c>
      <c r="D448">
        <v>27.83</v>
      </c>
    </row>
    <row r="449" spans="1:4" x14ac:dyDescent="0.25">
      <c r="A449" t="s">
        <v>3</v>
      </c>
      <c r="B449">
        <v>81681</v>
      </c>
      <c r="C449" s="1">
        <v>35643</v>
      </c>
      <c r="D449">
        <v>30.2</v>
      </c>
    </row>
    <row r="450" spans="1:4" x14ac:dyDescent="0.25">
      <c r="A450" t="s">
        <v>3</v>
      </c>
      <c r="B450">
        <v>81105</v>
      </c>
      <c r="C450" s="1">
        <v>35612</v>
      </c>
      <c r="D450">
        <v>13.11</v>
      </c>
    </row>
    <row r="451" spans="1:4" x14ac:dyDescent="0.25">
      <c r="A451" t="s">
        <v>3</v>
      </c>
      <c r="B451">
        <v>80584</v>
      </c>
      <c r="C451" s="1">
        <v>35582</v>
      </c>
      <c r="D451">
        <v>-7.4</v>
      </c>
    </row>
    <row r="452" spans="1:4" x14ac:dyDescent="0.25">
      <c r="A452" t="s">
        <v>3</v>
      </c>
      <c r="B452">
        <v>80044</v>
      </c>
      <c r="C452" s="1">
        <v>35551</v>
      </c>
      <c r="D452">
        <v>-25.53</v>
      </c>
    </row>
    <row r="453" spans="1:4" x14ac:dyDescent="0.25">
      <c r="A453" t="s">
        <v>3</v>
      </c>
      <c r="B453">
        <v>79491</v>
      </c>
      <c r="C453" s="1">
        <v>35521</v>
      </c>
      <c r="D453">
        <v>-5.64</v>
      </c>
    </row>
    <row r="454" spans="1:4" x14ac:dyDescent="0.25">
      <c r="A454" t="s">
        <v>3</v>
      </c>
      <c r="B454">
        <v>79010</v>
      </c>
      <c r="C454" s="1">
        <v>35490</v>
      </c>
      <c r="D454">
        <v>16.399999999999999</v>
      </c>
    </row>
    <row r="455" spans="1:4" x14ac:dyDescent="0.25">
      <c r="A455" t="s">
        <v>3</v>
      </c>
      <c r="B455">
        <v>78419</v>
      </c>
      <c r="C455" s="1">
        <v>35462</v>
      </c>
      <c r="D455">
        <v>-6.99</v>
      </c>
    </row>
    <row r="456" spans="1:4" x14ac:dyDescent="0.25">
      <c r="A456" t="s">
        <v>3</v>
      </c>
      <c r="B456">
        <v>734</v>
      </c>
      <c r="C456" s="1">
        <v>35431</v>
      </c>
      <c r="D456" t="s">
        <v>13</v>
      </c>
    </row>
    <row r="457" spans="1:4" x14ac:dyDescent="0.25">
      <c r="A457" t="s">
        <v>3</v>
      </c>
      <c r="B457">
        <v>77004</v>
      </c>
      <c r="C457" s="1">
        <v>35400</v>
      </c>
      <c r="D457">
        <v>21.49</v>
      </c>
    </row>
    <row r="458" spans="1:4" x14ac:dyDescent="0.25">
      <c r="A458" t="s">
        <v>3</v>
      </c>
      <c r="B458">
        <v>76304</v>
      </c>
      <c r="C458" s="1">
        <v>35370</v>
      </c>
      <c r="D458">
        <v>-5.08</v>
      </c>
    </row>
    <row r="459" spans="1:4" x14ac:dyDescent="0.25">
      <c r="A459" t="s">
        <v>3</v>
      </c>
      <c r="B459">
        <v>75536</v>
      </c>
      <c r="C459" s="1">
        <v>35339</v>
      </c>
      <c r="D459">
        <v>-34.840000000000003</v>
      </c>
    </row>
    <row r="460" spans="1:4" x14ac:dyDescent="0.25">
      <c r="A460" t="s">
        <v>3</v>
      </c>
      <c r="B460">
        <v>74787</v>
      </c>
      <c r="C460" s="1">
        <v>35309</v>
      </c>
      <c r="D460">
        <v>-15.77</v>
      </c>
    </row>
    <row r="461" spans="1:4" x14ac:dyDescent="0.25">
      <c r="A461" t="s">
        <v>3</v>
      </c>
      <c r="B461">
        <v>74153</v>
      </c>
      <c r="C461" s="1">
        <v>35278</v>
      </c>
      <c r="D461">
        <v>-38.92</v>
      </c>
    </row>
    <row r="462" spans="1:4" x14ac:dyDescent="0.25">
      <c r="A462" t="s">
        <v>3</v>
      </c>
      <c r="B462">
        <v>73399</v>
      </c>
      <c r="C462" s="1">
        <v>35247</v>
      </c>
      <c r="D462">
        <v>-44.99</v>
      </c>
    </row>
    <row r="463" spans="1:4" x14ac:dyDescent="0.25">
      <c r="A463" t="s">
        <v>3</v>
      </c>
      <c r="B463">
        <v>72582</v>
      </c>
      <c r="C463" s="1">
        <v>35217</v>
      </c>
      <c r="D463">
        <v>-24.03</v>
      </c>
    </row>
    <row r="464" spans="1:4" x14ac:dyDescent="0.25">
      <c r="A464" t="s">
        <v>3</v>
      </c>
      <c r="B464">
        <v>71837</v>
      </c>
      <c r="C464" s="1">
        <v>35186</v>
      </c>
      <c r="D464">
        <v>-11.3</v>
      </c>
    </row>
    <row r="465" spans="1:4" x14ac:dyDescent="0.25">
      <c r="A465" t="s">
        <v>3</v>
      </c>
      <c r="B465">
        <v>70920</v>
      </c>
      <c r="C465" s="1">
        <v>35156</v>
      </c>
      <c r="D465">
        <v>13.16</v>
      </c>
    </row>
    <row r="466" spans="1:4" x14ac:dyDescent="0.25">
      <c r="A466" t="s">
        <v>3</v>
      </c>
      <c r="B466">
        <v>70019</v>
      </c>
      <c r="C466" s="1">
        <v>35125</v>
      </c>
      <c r="D466">
        <v>62.44</v>
      </c>
    </row>
    <row r="467" spans="1:4" x14ac:dyDescent="0.25">
      <c r="A467" t="s">
        <v>3</v>
      </c>
      <c r="B467">
        <v>69070</v>
      </c>
      <c r="C467" s="1">
        <v>35096</v>
      </c>
      <c r="D467">
        <v>73.2</v>
      </c>
    </row>
    <row r="468" spans="1:4" x14ac:dyDescent="0.25">
      <c r="A468" t="s">
        <v>3</v>
      </c>
      <c r="B468">
        <v>68124</v>
      </c>
      <c r="C468" s="1">
        <v>35065</v>
      </c>
      <c r="D468">
        <v>61.58</v>
      </c>
    </row>
    <row r="469" spans="1:4" x14ac:dyDescent="0.25">
      <c r="A469" t="s">
        <v>3</v>
      </c>
      <c r="B469">
        <v>67183</v>
      </c>
      <c r="C469" s="1">
        <v>35034</v>
      </c>
      <c r="D469">
        <v>43.7</v>
      </c>
    </row>
    <row r="470" spans="1:4" x14ac:dyDescent="0.25">
      <c r="A470" t="s">
        <v>3</v>
      </c>
      <c r="B470">
        <v>66276</v>
      </c>
      <c r="C470" s="1">
        <v>35004</v>
      </c>
      <c r="D470">
        <v>34.1</v>
      </c>
    </row>
    <row r="471" spans="1:4" x14ac:dyDescent="0.25">
      <c r="A471" t="s">
        <v>3</v>
      </c>
      <c r="B471">
        <v>65436</v>
      </c>
      <c r="C471" s="1">
        <v>34973</v>
      </c>
      <c r="D471">
        <v>24.45</v>
      </c>
    </row>
    <row r="472" spans="1:4" x14ac:dyDescent="0.25">
      <c r="A472" t="s">
        <v>3</v>
      </c>
      <c r="B472">
        <v>64569</v>
      </c>
      <c r="C472" s="1">
        <v>34943</v>
      </c>
      <c r="D472">
        <v>4.33</v>
      </c>
    </row>
    <row r="473" spans="1:4" x14ac:dyDescent="0.25">
      <c r="A473" t="s">
        <v>3</v>
      </c>
      <c r="B473">
        <v>63556</v>
      </c>
      <c r="C473" s="1">
        <v>34912</v>
      </c>
      <c r="D473">
        <v>26.02</v>
      </c>
    </row>
    <row r="474" spans="1:4" x14ac:dyDescent="0.25">
      <c r="A474" t="s">
        <v>3</v>
      </c>
      <c r="B474">
        <v>62641</v>
      </c>
      <c r="C474" s="1">
        <v>34881</v>
      </c>
      <c r="D474">
        <v>28.69</v>
      </c>
    </row>
    <row r="475" spans="1:4" x14ac:dyDescent="0.25">
      <c r="A475" t="s">
        <v>3</v>
      </c>
      <c r="B475">
        <v>61808</v>
      </c>
      <c r="C475" s="1">
        <v>34851</v>
      </c>
      <c r="D475">
        <v>-6.51</v>
      </c>
    </row>
    <row r="476" spans="1:4" x14ac:dyDescent="0.25">
      <c r="A476" t="s">
        <v>3</v>
      </c>
      <c r="B476">
        <v>61084</v>
      </c>
      <c r="C476" s="1">
        <v>34820</v>
      </c>
      <c r="D476">
        <v>-40.53</v>
      </c>
    </row>
    <row r="477" spans="1:4" x14ac:dyDescent="0.25">
      <c r="A477" t="s">
        <v>3</v>
      </c>
      <c r="B477">
        <v>60460</v>
      </c>
      <c r="C477" s="1">
        <v>34790</v>
      </c>
      <c r="D477">
        <v>-52.48</v>
      </c>
    </row>
    <row r="478" spans="1:4" x14ac:dyDescent="0.25">
      <c r="A478" t="s">
        <v>3</v>
      </c>
      <c r="B478">
        <v>59876</v>
      </c>
      <c r="C478" s="1">
        <v>34759</v>
      </c>
      <c r="D478">
        <v>-86.7</v>
      </c>
    </row>
    <row r="479" spans="1:4" x14ac:dyDescent="0.25">
      <c r="A479" t="s">
        <v>3</v>
      </c>
      <c r="B479">
        <v>59397</v>
      </c>
      <c r="C479" s="1">
        <v>34731</v>
      </c>
      <c r="D479">
        <v>-114.36</v>
      </c>
    </row>
    <row r="480" spans="1:4" x14ac:dyDescent="0.25">
      <c r="A480" t="s">
        <v>3</v>
      </c>
      <c r="B480">
        <v>58978</v>
      </c>
      <c r="C480" s="1">
        <v>34700</v>
      </c>
      <c r="D480">
        <v>-119.03</v>
      </c>
    </row>
    <row r="481" spans="1:4" x14ac:dyDescent="0.25">
      <c r="A481" t="s">
        <v>3</v>
      </c>
      <c r="B481">
        <v>58574</v>
      </c>
      <c r="C481" s="1">
        <v>34669</v>
      </c>
      <c r="D481">
        <v>-117.65</v>
      </c>
    </row>
    <row r="482" spans="1:4" x14ac:dyDescent="0.25">
      <c r="A482" t="s">
        <v>3</v>
      </c>
      <c r="B482">
        <v>58186</v>
      </c>
      <c r="C482" s="1">
        <v>34639</v>
      </c>
      <c r="D482">
        <v>-96.4</v>
      </c>
    </row>
    <row r="483" spans="1:4" x14ac:dyDescent="0.25">
      <c r="A483" t="s">
        <v>3</v>
      </c>
      <c r="B483">
        <v>57759</v>
      </c>
      <c r="C483" s="1">
        <v>34608</v>
      </c>
      <c r="D483">
        <v>-72.599999999999994</v>
      </c>
    </row>
    <row r="484" spans="1:4" x14ac:dyDescent="0.25">
      <c r="A484" t="s">
        <v>3</v>
      </c>
      <c r="B484">
        <v>57171</v>
      </c>
      <c r="C484" s="1">
        <v>34578</v>
      </c>
      <c r="D484">
        <v>-62.86</v>
      </c>
    </row>
    <row r="485" spans="1:4" x14ac:dyDescent="0.25">
      <c r="A485" t="s">
        <v>3</v>
      </c>
      <c r="B485">
        <v>56451</v>
      </c>
      <c r="C485" s="1">
        <v>34547</v>
      </c>
      <c r="D485">
        <v>-73.63</v>
      </c>
    </row>
    <row r="486" spans="1:4" x14ac:dyDescent="0.25">
      <c r="A486" t="s">
        <v>3</v>
      </c>
      <c r="B486">
        <v>55728</v>
      </c>
      <c r="C486" s="1">
        <v>34516</v>
      </c>
      <c r="D486">
        <v>-56.77</v>
      </c>
    </row>
    <row r="487" spans="1:4" x14ac:dyDescent="0.25">
      <c r="A487" t="s">
        <v>3</v>
      </c>
      <c r="B487">
        <v>54921</v>
      </c>
      <c r="C487" s="1">
        <v>34486</v>
      </c>
      <c r="D487">
        <v>-93.03</v>
      </c>
    </row>
    <row r="488" spans="1:4" x14ac:dyDescent="0.25">
      <c r="A488" t="s">
        <v>3</v>
      </c>
      <c r="B488">
        <v>1138</v>
      </c>
      <c r="C488" s="1">
        <v>34455</v>
      </c>
      <c r="D488" t="s">
        <v>13</v>
      </c>
    </row>
    <row r="489" spans="1:4" x14ac:dyDescent="0.25">
      <c r="A489" t="s">
        <v>3</v>
      </c>
      <c r="B489">
        <v>52936</v>
      </c>
      <c r="C489" s="1">
        <v>34425</v>
      </c>
      <c r="D489">
        <v>8.99</v>
      </c>
    </row>
    <row r="490" spans="1:4" x14ac:dyDescent="0.25">
      <c r="A490" t="s">
        <v>3</v>
      </c>
      <c r="B490">
        <v>51579</v>
      </c>
      <c r="C490" s="1">
        <v>34394</v>
      </c>
      <c r="D490">
        <v>61.79</v>
      </c>
    </row>
    <row r="491" spans="1:4" x14ac:dyDescent="0.25">
      <c r="A491" t="s">
        <v>3</v>
      </c>
      <c r="B491">
        <v>50301</v>
      </c>
      <c r="C491" s="1">
        <v>34366</v>
      </c>
      <c r="D491">
        <v>77.11</v>
      </c>
    </row>
    <row r="492" spans="1:4" x14ac:dyDescent="0.25">
      <c r="A492" t="s">
        <v>3</v>
      </c>
      <c r="B492">
        <v>49082</v>
      </c>
      <c r="C492" s="1">
        <v>34335</v>
      </c>
      <c r="D492">
        <v>-15.91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337"/>
  <sheetViews>
    <sheetView workbookViewId="0">
      <selection activeCell="I3" sqref="I3:M118"/>
    </sheetView>
  </sheetViews>
  <sheetFormatPr defaultRowHeight="15" x14ac:dyDescent="0.25"/>
  <cols>
    <col min="9" max="9" width="23.85546875" bestFit="1" customWidth="1"/>
    <col min="10" max="10" width="16.28515625" bestFit="1" customWidth="1"/>
    <col min="11" max="11" width="11" customWidth="1"/>
    <col min="12" max="13" width="12.7109375" customWidth="1"/>
    <col min="14" max="14" width="12.7109375" bestFit="1" customWidth="1"/>
  </cols>
  <sheetData>
    <row r="1" spans="1:14" x14ac:dyDescent="0.25">
      <c r="A1" t="s">
        <v>1</v>
      </c>
      <c r="B1" t="s">
        <v>0</v>
      </c>
      <c r="C1" t="s">
        <v>12</v>
      </c>
      <c r="D1" t="s">
        <v>2</v>
      </c>
      <c r="I1" s="4" t="s">
        <v>11</v>
      </c>
      <c r="J1" s="4" t="s">
        <v>10</v>
      </c>
    </row>
    <row r="2" spans="1:14" x14ac:dyDescent="0.25">
      <c r="A2" s="1">
        <v>42461</v>
      </c>
      <c r="B2" t="s">
        <v>3</v>
      </c>
      <c r="C2">
        <v>1503</v>
      </c>
      <c r="D2" t="s">
        <v>13</v>
      </c>
      <c r="I2" s="4" t="s">
        <v>7</v>
      </c>
      <c r="J2" t="s">
        <v>3</v>
      </c>
      <c r="K2" t="s">
        <v>4</v>
      </c>
      <c r="L2" t="s">
        <v>5</v>
      </c>
      <c r="M2" t="s">
        <v>6</v>
      </c>
      <c r="N2" t="s">
        <v>9</v>
      </c>
    </row>
    <row r="3" spans="1:14" x14ac:dyDescent="0.25">
      <c r="A3" s="1">
        <v>42461</v>
      </c>
      <c r="B3" t="s">
        <v>5</v>
      </c>
      <c r="C3">
        <v>13</v>
      </c>
      <c r="D3" t="s">
        <v>13</v>
      </c>
      <c r="I3" s="5">
        <v>38930</v>
      </c>
      <c r="J3" s="2" t="e">
        <v>#DIV/0!</v>
      </c>
      <c r="K3" s="2"/>
      <c r="L3" s="2"/>
      <c r="M3" s="2"/>
      <c r="N3" s="2" t="e">
        <v>#DIV/0!</v>
      </c>
    </row>
    <row r="4" spans="1:14" x14ac:dyDescent="0.25">
      <c r="A4" s="1">
        <v>42461</v>
      </c>
      <c r="B4" t="s">
        <v>6</v>
      </c>
      <c r="C4">
        <v>9</v>
      </c>
      <c r="D4" t="s">
        <v>13</v>
      </c>
      <c r="I4" s="5">
        <v>38961</v>
      </c>
      <c r="J4" s="2">
        <v>-9.49</v>
      </c>
      <c r="K4" s="2"/>
      <c r="L4" s="2"/>
      <c r="M4" s="2"/>
      <c r="N4" s="2">
        <v>-9.49</v>
      </c>
    </row>
    <row r="5" spans="1:14" x14ac:dyDescent="0.25">
      <c r="A5" s="1">
        <v>42430</v>
      </c>
      <c r="B5" t="s">
        <v>3</v>
      </c>
      <c r="C5">
        <v>5377701</v>
      </c>
      <c r="D5">
        <v>69.34</v>
      </c>
      <c r="I5" s="5">
        <v>38991</v>
      </c>
      <c r="J5" s="2">
        <v>5.19</v>
      </c>
      <c r="K5" s="2"/>
      <c r="L5" s="2"/>
      <c r="M5" s="2"/>
      <c r="N5" s="2">
        <v>5.19</v>
      </c>
    </row>
    <row r="6" spans="1:14" x14ac:dyDescent="0.25">
      <c r="A6" s="1">
        <v>42430</v>
      </c>
      <c r="B6" t="s">
        <v>4</v>
      </c>
      <c r="C6">
        <v>55099</v>
      </c>
      <c r="D6">
        <v>42.93</v>
      </c>
      <c r="I6" s="5">
        <v>39022</v>
      </c>
      <c r="J6" s="2">
        <v>14.45</v>
      </c>
      <c r="K6" s="2"/>
      <c r="L6" s="2"/>
      <c r="M6" s="2"/>
      <c r="N6" s="2">
        <v>14.45</v>
      </c>
    </row>
    <row r="7" spans="1:14" x14ac:dyDescent="0.25">
      <c r="A7" s="1">
        <v>42430</v>
      </c>
      <c r="B7" t="s">
        <v>5</v>
      </c>
      <c r="C7">
        <v>165081</v>
      </c>
      <c r="D7">
        <v>-23.27</v>
      </c>
      <c r="I7" s="5">
        <v>39052</v>
      </c>
      <c r="J7" s="2">
        <v>26.64</v>
      </c>
      <c r="K7" s="2"/>
      <c r="L7" s="2"/>
      <c r="M7" s="2"/>
      <c r="N7" s="2">
        <v>26.64</v>
      </c>
    </row>
    <row r="8" spans="1:14" x14ac:dyDescent="0.25">
      <c r="A8" s="1">
        <v>42430</v>
      </c>
      <c r="B8" t="s">
        <v>6</v>
      </c>
      <c r="C8">
        <v>124101</v>
      </c>
      <c r="D8">
        <v>-143.85</v>
      </c>
      <c r="I8" s="5">
        <v>39083</v>
      </c>
      <c r="J8" s="2">
        <v>39.08</v>
      </c>
      <c r="K8" s="2"/>
      <c r="L8" s="2"/>
      <c r="M8" s="2"/>
      <c r="N8" s="2">
        <v>39.08</v>
      </c>
    </row>
    <row r="9" spans="1:14" x14ac:dyDescent="0.25">
      <c r="A9" s="1">
        <v>42401</v>
      </c>
      <c r="B9" t="s">
        <v>3</v>
      </c>
      <c r="C9">
        <v>5338806</v>
      </c>
      <c r="D9">
        <v>47.33</v>
      </c>
      <c r="I9" s="5">
        <v>39114</v>
      </c>
      <c r="J9" s="2">
        <v>28.86</v>
      </c>
      <c r="K9" s="2"/>
      <c r="L9" s="2"/>
      <c r="M9" s="2"/>
      <c r="N9" s="2">
        <v>28.86</v>
      </c>
    </row>
    <row r="10" spans="1:14" x14ac:dyDescent="0.25">
      <c r="A10" s="1">
        <v>42401</v>
      </c>
      <c r="B10" t="s">
        <v>4</v>
      </c>
      <c r="C10">
        <v>55118</v>
      </c>
      <c r="D10">
        <v>19.14</v>
      </c>
      <c r="I10" s="5">
        <v>39142</v>
      </c>
      <c r="J10" s="2">
        <v>27.71</v>
      </c>
      <c r="K10" s="2"/>
      <c r="L10" s="2"/>
      <c r="M10" s="2"/>
      <c r="N10" s="2">
        <v>27.71</v>
      </c>
    </row>
    <row r="11" spans="1:14" x14ac:dyDescent="0.25">
      <c r="A11" s="1">
        <v>42401</v>
      </c>
      <c r="B11" t="s">
        <v>5</v>
      </c>
      <c r="C11">
        <v>165876</v>
      </c>
      <c r="D11">
        <v>-46.14</v>
      </c>
      <c r="I11" s="5">
        <v>39173</v>
      </c>
      <c r="J11" s="2">
        <v>35.049999999999997</v>
      </c>
      <c r="K11" s="2"/>
      <c r="L11" s="2"/>
      <c r="M11" s="2"/>
      <c r="N11" s="2">
        <v>35.049999999999997</v>
      </c>
    </row>
    <row r="12" spans="1:14" x14ac:dyDescent="0.25">
      <c r="A12" s="1">
        <v>42401</v>
      </c>
      <c r="B12" t="s">
        <v>6</v>
      </c>
      <c r="C12">
        <v>124548</v>
      </c>
      <c r="D12">
        <v>-166.93</v>
      </c>
      <c r="I12" s="5">
        <v>39203</v>
      </c>
      <c r="J12" s="2">
        <v>30.77</v>
      </c>
      <c r="K12" s="2"/>
      <c r="L12" s="2"/>
      <c r="M12" s="2"/>
      <c r="N12" s="2">
        <v>30.77</v>
      </c>
    </row>
    <row r="13" spans="1:14" x14ac:dyDescent="0.25">
      <c r="A13" s="1">
        <v>42370</v>
      </c>
      <c r="B13" t="s">
        <v>3</v>
      </c>
      <c r="C13">
        <v>5322035</v>
      </c>
      <c r="D13">
        <v>38.880000000000003</v>
      </c>
      <c r="I13" s="5">
        <v>39234</v>
      </c>
      <c r="J13" s="2">
        <v>22.26</v>
      </c>
      <c r="K13" s="2"/>
      <c r="L13" s="2"/>
      <c r="M13" s="2"/>
      <c r="N13" s="2">
        <v>22.26</v>
      </c>
    </row>
    <row r="14" spans="1:14" x14ac:dyDescent="0.25">
      <c r="A14" s="1">
        <v>42370</v>
      </c>
      <c r="B14" t="s">
        <v>4</v>
      </c>
      <c r="C14">
        <v>55163</v>
      </c>
      <c r="D14">
        <v>9.2100000000000009</v>
      </c>
      <c r="I14" s="5">
        <v>39264</v>
      </c>
      <c r="J14" s="2">
        <v>-17.61</v>
      </c>
      <c r="K14" s="2"/>
      <c r="L14" s="2"/>
      <c r="M14" s="2"/>
      <c r="N14" s="2">
        <v>-17.61</v>
      </c>
    </row>
    <row r="15" spans="1:14" x14ac:dyDescent="0.25">
      <c r="A15" s="1">
        <v>42370</v>
      </c>
      <c r="B15" t="s">
        <v>5</v>
      </c>
      <c r="C15">
        <v>167030</v>
      </c>
      <c r="D15">
        <v>-55.57</v>
      </c>
      <c r="I15" s="5">
        <v>39295</v>
      </c>
      <c r="J15" s="2">
        <v>-20.82</v>
      </c>
      <c r="K15" s="2"/>
      <c r="L15" s="2"/>
      <c r="M15" s="2"/>
      <c r="N15" s="2">
        <v>-20.82</v>
      </c>
    </row>
    <row r="16" spans="1:14" x14ac:dyDescent="0.25">
      <c r="A16" s="1">
        <v>42370</v>
      </c>
      <c r="B16" t="s">
        <v>6</v>
      </c>
      <c r="C16">
        <v>125072</v>
      </c>
      <c r="D16">
        <v>-176.58</v>
      </c>
      <c r="I16" s="5">
        <v>39326</v>
      </c>
      <c r="J16" s="2">
        <v>-8</v>
      </c>
      <c r="K16" s="2"/>
      <c r="L16" s="2"/>
      <c r="M16" s="2"/>
      <c r="N16" s="2">
        <v>-8</v>
      </c>
    </row>
    <row r="17" spans="1:14" x14ac:dyDescent="0.25">
      <c r="A17" s="1">
        <v>42339</v>
      </c>
      <c r="B17" t="s">
        <v>3</v>
      </c>
      <c r="C17">
        <v>5294544</v>
      </c>
      <c r="D17">
        <v>41.08</v>
      </c>
      <c r="I17" s="5">
        <v>39356</v>
      </c>
      <c r="J17" s="2">
        <v>10.54</v>
      </c>
      <c r="K17" s="2"/>
      <c r="L17" s="2"/>
      <c r="M17" s="2"/>
      <c r="N17" s="2">
        <v>10.54</v>
      </c>
    </row>
    <row r="18" spans="1:14" x14ac:dyDescent="0.25">
      <c r="A18" s="1">
        <v>42339</v>
      </c>
      <c r="B18" t="s">
        <v>4</v>
      </c>
      <c r="C18">
        <v>55095</v>
      </c>
      <c r="D18">
        <v>9.31</v>
      </c>
      <c r="I18" s="5">
        <v>39387</v>
      </c>
      <c r="J18" s="2">
        <v>16.66</v>
      </c>
      <c r="K18" s="2"/>
      <c r="L18" s="2"/>
      <c r="M18" s="2"/>
      <c r="N18" s="2">
        <v>16.66</v>
      </c>
    </row>
    <row r="19" spans="1:14" x14ac:dyDescent="0.25">
      <c r="A19" s="1">
        <v>42339</v>
      </c>
      <c r="B19" t="s">
        <v>5</v>
      </c>
      <c r="C19">
        <v>167963</v>
      </c>
      <c r="D19">
        <v>-54.47</v>
      </c>
      <c r="I19" s="5">
        <v>39417</v>
      </c>
      <c r="J19" s="2">
        <v>34.47</v>
      </c>
      <c r="K19" s="2"/>
      <c r="L19" s="2"/>
      <c r="M19" s="2"/>
      <c r="N19" s="2">
        <v>34.47</v>
      </c>
    </row>
    <row r="20" spans="1:14" x14ac:dyDescent="0.25">
      <c r="A20" s="1">
        <v>42339</v>
      </c>
      <c r="B20" t="s">
        <v>6</v>
      </c>
      <c r="C20">
        <v>125557</v>
      </c>
      <c r="D20">
        <v>-175.65</v>
      </c>
      <c r="I20" s="5">
        <v>39448</v>
      </c>
      <c r="J20" s="2">
        <v>45.69</v>
      </c>
      <c r="K20" s="2"/>
      <c r="L20" s="2"/>
      <c r="M20" s="2"/>
      <c r="N20" s="2">
        <v>45.69</v>
      </c>
    </row>
    <row r="21" spans="1:14" x14ac:dyDescent="0.25">
      <c r="A21" s="1">
        <v>42309</v>
      </c>
      <c r="B21" t="s">
        <v>3</v>
      </c>
      <c r="C21">
        <v>5274480</v>
      </c>
      <c r="D21">
        <v>58.68</v>
      </c>
      <c r="I21" s="5">
        <v>39479</v>
      </c>
      <c r="J21" s="2">
        <v>80.37</v>
      </c>
      <c r="K21" s="2"/>
      <c r="L21" s="2"/>
      <c r="M21" s="2"/>
      <c r="N21" s="2">
        <v>80.37</v>
      </c>
    </row>
    <row r="22" spans="1:14" x14ac:dyDescent="0.25">
      <c r="A22" s="1">
        <v>42309</v>
      </c>
      <c r="B22" t="s">
        <v>4</v>
      </c>
      <c r="C22">
        <v>55062</v>
      </c>
      <c r="D22">
        <v>24.83</v>
      </c>
      <c r="I22" s="5">
        <v>39508</v>
      </c>
      <c r="J22" s="2">
        <v>59.97</v>
      </c>
      <c r="K22" s="2"/>
      <c r="L22" s="2"/>
      <c r="M22" s="2"/>
      <c r="N22" s="2">
        <v>59.97</v>
      </c>
    </row>
    <row r="23" spans="1:14" x14ac:dyDescent="0.25">
      <c r="A23" s="1">
        <v>42309</v>
      </c>
      <c r="B23" t="s">
        <v>5</v>
      </c>
      <c r="C23">
        <v>169156</v>
      </c>
      <c r="D23">
        <v>-37.909999999999997</v>
      </c>
      <c r="I23" s="5">
        <v>39539</v>
      </c>
      <c r="J23" s="2">
        <v>53.25</v>
      </c>
      <c r="K23" s="2"/>
      <c r="L23" s="2"/>
      <c r="M23" s="2"/>
      <c r="N23" s="2">
        <v>53.25</v>
      </c>
    </row>
    <row r="24" spans="1:14" x14ac:dyDescent="0.25">
      <c r="A24" s="1">
        <v>42309</v>
      </c>
      <c r="B24" t="s">
        <v>6</v>
      </c>
      <c r="C24">
        <v>126133</v>
      </c>
      <c r="D24">
        <v>-160.38</v>
      </c>
      <c r="I24" s="5">
        <v>39569</v>
      </c>
      <c r="J24" s="2">
        <v>54.01</v>
      </c>
      <c r="K24" s="2"/>
      <c r="L24" s="2"/>
      <c r="M24" s="2"/>
      <c r="N24" s="2">
        <v>54.01</v>
      </c>
    </row>
    <row r="25" spans="1:14" x14ac:dyDescent="0.25">
      <c r="A25" s="1">
        <v>42278</v>
      </c>
      <c r="B25" t="s">
        <v>3</v>
      </c>
      <c r="C25">
        <v>5249530</v>
      </c>
      <c r="D25">
        <v>49.28</v>
      </c>
      <c r="I25" s="5">
        <v>39600</v>
      </c>
      <c r="J25" s="2">
        <v>41.78</v>
      </c>
      <c r="K25" s="2" t="e">
        <v>#DIV/0!</v>
      </c>
      <c r="L25" s="2"/>
      <c r="M25" s="2"/>
      <c r="N25" s="2">
        <v>41.78</v>
      </c>
    </row>
    <row r="26" spans="1:14" x14ac:dyDescent="0.25">
      <c r="A26" s="1">
        <v>42278</v>
      </c>
      <c r="B26" t="s">
        <v>4</v>
      </c>
      <c r="C26">
        <v>54985</v>
      </c>
      <c r="D26">
        <v>13.88</v>
      </c>
      <c r="I26" s="5">
        <v>39630</v>
      </c>
      <c r="J26" s="2">
        <v>7.08</v>
      </c>
      <c r="K26" s="2">
        <v>-47.07</v>
      </c>
      <c r="L26" s="2"/>
      <c r="M26" s="2"/>
      <c r="N26" s="2">
        <v>-19.995000000000001</v>
      </c>
    </row>
    <row r="27" spans="1:14" x14ac:dyDescent="0.25">
      <c r="A27" s="1">
        <v>42278</v>
      </c>
      <c r="B27" t="s">
        <v>5</v>
      </c>
      <c r="C27">
        <v>170368</v>
      </c>
      <c r="D27">
        <v>-48.43</v>
      </c>
      <c r="I27" s="5">
        <v>39661</v>
      </c>
      <c r="J27" s="2">
        <v>-4.4000000000000004</v>
      </c>
      <c r="K27" s="2">
        <v>-62.5</v>
      </c>
      <c r="L27" s="2"/>
      <c r="M27" s="2"/>
      <c r="N27" s="2">
        <v>-33.450000000000003</v>
      </c>
    </row>
    <row r="28" spans="1:14" x14ac:dyDescent="0.25">
      <c r="A28" s="1">
        <v>42278</v>
      </c>
      <c r="B28" t="s">
        <v>6</v>
      </c>
      <c r="C28">
        <v>126692</v>
      </c>
      <c r="D28">
        <v>-172.3</v>
      </c>
      <c r="I28" s="5">
        <v>39692</v>
      </c>
      <c r="J28" s="2">
        <v>-11.52</v>
      </c>
      <c r="K28" s="2">
        <v>-68.290000000000006</v>
      </c>
      <c r="L28" s="2"/>
      <c r="M28" s="2"/>
      <c r="N28" s="2">
        <v>-39.905000000000001</v>
      </c>
    </row>
    <row r="29" spans="1:14" x14ac:dyDescent="0.25">
      <c r="A29" s="1">
        <v>42248</v>
      </c>
      <c r="B29" t="s">
        <v>3</v>
      </c>
      <c r="C29">
        <v>5214348</v>
      </c>
      <c r="D29">
        <v>48.51</v>
      </c>
      <c r="I29" s="5">
        <v>39722</v>
      </c>
      <c r="J29" s="2">
        <v>32.380000000000003</v>
      </c>
      <c r="K29" s="2">
        <v>-10.47</v>
      </c>
      <c r="L29" s="2"/>
      <c r="M29" s="2"/>
      <c r="N29" s="2">
        <v>10.955000000000002</v>
      </c>
    </row>
    <row r="30" spans="1:14" x14ac:dyDescent="0.25">
      <c r="A30" s="1">
        <v>42248</v>
      </c>
      <c r="B30" t="s">
        <v>4</v>
      </c>
      <c r="C30">
        <v>54552</v>
      </c>
      <c r="D30">
        <v>12.37</v>
      </c>
      <c r="I30" s="5">
        <v>39753</v>
      </c>
      <c r="J30" s="2">
        <v>17.63</v>
      </c>
      <c r="K30" s="2">
        <v>-8.48</v>
      </c>
      <c r="L30" s="2"/>
      <c r="M30" s="2"/>
      <c r="N30" s="2">
        <v>4.5749999999999993</v>
      </c>
    </row>
    <row r="31" spans="1:14" x14ac:dyDescent="0.25">
      <c r="A31" s="1">
        <v>42248</v>
      </c>
      <c r="B31" t="s">
        <v>5</v>
      </c>
      <c r="C31">
        <v>171580</v>
      </c>
      <c r="D31">
        <v>-50.32</v>
      </c>
      <c r="I31" s="5">
        <v>39783</v>
      </c>
      <c r="J31" s="2">
        <v>26.48</v>
      </c>
      <c r="K31" s="2">
        <v>9.61</v>
      </c>
      <c r="L31" s="2"/>
      <c r="M31" s="2"/>
      <c r="N31" s="2">
        <v>18.045000000000002</v>
      </c>
    </row>
    <row r="32" spans="1:14" x14ac:dyDescent="0.25">
      <c r="A32" s="1">
        <v>42248</v>
      </c>
      <c r="B32" t="s">
        <v>6</v>
      </c>
      <c r="C32">
        <v>127258</v>
      </c>
      <c r="D32">
        <v>-175.5</v>
      </c>
      <c r="I32" s="5">
        <v>39814</v>
      </c>
      <c r="J32" s="2">
        <v>105.51</v>
      </c>
      <c r="K32" s="2">
        <v>93.48</v>
      </c>
      <c r="L32" s="2"/>
      <c r="M32" s="2"/>
      <c r="N32" s="2">
        <v>99.495000000000005</v>
      </c>
    </row>
    <row r="33" spans="1:14" x14ac:dyDescent="0.25">
      <c r="A33" s="1">
        <v>42217</v>
      </c>
      <c r="B33" t="s">
        <v>3</v>
      </c>
      <c r="C33">
        <v>5183758</v>
      </c>
      <c r="D33">
        <v>34.39</v>
      </c>
      <c r="I33" s="5">
        <v>39845</v>
      </c>
      <c r="J33" s="2">
        <v>130.11000000000001</v>
      </c>
      <c r="K33" s="2">
        <v>120.31</v>
      </c>
      <c r="L33" s="2"/>
      <c r="M33" s="2"/>
      <c r="N33" s="2">
        <v>125.21000000000001</v>
      </c>
    </row>
    <row r="34" spans="1:14" x14ac:dyDescent="0.25">
      <c r="A34" s="1">
        <v>42217</v>
      </c>
      <c r="B34" t="s">
        <v>4</v>
      </c>
      <c r="C34">
        <v>53957</v>
      </c>
      <c r="D34">
        <v>4.38</v>
      </c>
      <c r="I34" s="5">
        <v>39873</v>
      </c>
      <c r="J34" s="2">
        <v>119.34</v>
      </c>
      <c r="K34" s="2">
        <v>106.78</v>
      </c>
      <c r="L34" s="2"/>
      <c r="M34" s="2"/>
      <c r="N34" s="2">
        <v>113.06</v>
      </c>
    </row>
    <row r="35" spans="1:14" x14ac:dyDescent="0.25">
      <c r="A35" s="1">
        <v>42217</v>
      </c>
      <c r="B35" t="s">
        <v>5</v>
      </c>
      <c r="C35">
        <v>172878</v>
      </c>
      <c r="D35">
        <v>-72.72</v>
      </c>
      <c r="I35" s="5">
        <v>39904</v>
      </c>
      <c r="J35" s="2">
        <v>128.62</v>
      </c>
      <c r="K35" s="2">
        <v>115.6</v>
      </c>
      <c r="L35" s="2"/>
      <c r="M35" s="2"/>
      <c r="N35" s="2">
        <v>122.11</v>
      </c>
    </row>
    <row r="36" spans="1:14" x14ac:dyDescent="0.25">
      <c r="A36" s="1">
        <v>42217</v>
      </c>
      <c r="B36" t="s">
        <v>6</v>
      </c>
      <c r="C36">
        <v>127766</v>
      </c>
      <c r="D36">
        <v>-202.18</v>
      </c>
      <c r="I36" s="5">
        <v>39934</v>
      </c>
      <c r="J36" s="2">
        <v>139.12</v>
      </c>
      <c r="K36" s="2">
        <v>134.25</v>
      </c>
      <c r="L36" s="2"/>
      <c r="M36" s="2"/>
      <c r="N36" s="2">
        <v>136.685</v>
      </c>
    </row>
    <row r="37" spans="1:14" x14ac:dyDescent="0.25">
      <c r="A37" s="1">
        <v>42186</v>
      </c>
      <c r="B37" t="s">
        <v>3</v>
      </c>
      <c r="C37">
        <v>5166922</v>
      </c>
      <c r="D37">
        <v>40.590000000000003</v>
      </c>
      <c r="I37" s="5">
        <v>39965</v>
      </c>
      <c r="J37" s="2">
        <v>127.91</v>
      </c>
      <c r="K37" s="2">
        <v>127.89</v>
      </c>
      <c r="L37" s="2"/>
      <c r="M37" s="2"/>
      <c r="N37" s="2">
        <v>127.9</v>
      </c>
    </row>
    <row r="38" spans="1:14" x14ac:dyDescent="0.25">
      <c r="A38" s="1">
        <v>42186</v>
      </c>
      <c r="B38" t="s">
        <v>4</v>
      </c>
      <c r="C38">
        <v>53037</v>
      </c>
      <c r="D38">
        <v>10.41</v>
      </c>
      <c r="I38" s="5">
        <v>39995</v>
      </c>
      <c r="J38" s="2">
        <v>65.14</v>
      </c>
      <c r="K38" s="2">
        <v>66.45</v>
      </c>
      <c r="L38" s="2"/>
      <c r="M38" s="2"/>
      <c r="N38" s="2">
        <v>65.795000000000002</v>
      </c>
    </row>
    <row r="39" spans="1:14" x14ac:dyDescent="0.25">
      <c r="A39" s="1">
        <v>42186</v>
      </c>
      <c r="B39" t="s">
        <v>5</v>
      </c>
      <c r="C39">
        <v>174356</v>
      </c>
      <c r="D39">
        <v>-70.67</v>
      </c>
      <c r="I39" s="5">
        <v>40026</v>
      </c>
      <c r="J39" s="2">
        <v>76.569999999999993</v>
      </c>
      <c r="K39" s="2">
        <v>83.19</v>
      </c>
      <c r="L39" s="2"/>
      <c r="M39" s="2"/>
      <c r="N39" s="2">
        <v>79.88</v>
      </c>
    </row>
    <row r="40" spans="1:14" x14ac:dyDescent="0.25">
      <c r="A40" s="1">
        <v>42186</v>
      </c>
      <c r="B40" t="s">
        <v>6</v>
      </c>
      <c r="C40">
        <v>128291</v>
      </c>
      <c r="D40">
        <v>-199.94</v>
      </c>
      <c r="I40" s="5">
        <v>40057</v>
      </c>
      <c r="J40" s="2">
        <v>74.02</v>
      </c>
      <c r="K40" s="2">
        <v>88.46</v>
      </c>
      <c r="L40" s="2"/>
      <c r="M40" s="2"/>
      <c r="N40" s="2">
        <v>81.239999999999995</v>
      </c>
    </row>
    <row r="41" spans="1:14" x14ac:dyDescent="0.25">
      <c r="A41" s="1">
        <v>42156</v>
      </c>
      <c r="B41" t="s">
        <v>3</v>
      </c>
      <c r="C41">
        <v>5129452</v>
      </c>
      <c r="D41">
        <v>56.75</v>
      </c>
      <c r="I41" s="5">
        <v>40087</v>
      </c>
      <c r="J41" s="2">
        <v>84.36</v>
      </c>
      <c r="K41" s="2">
        <v>108.57</v>
      </c>
      <c r="L41" s="2"/>
      <c r="M41" s="2"/>
      <c r="N41" s="2">
        <v>96.465000000000003</v>
      </c>
    </row>
    <row r="42" spans="1:14" x14ac:dyDescent="0.25">
      <c r="A42" s="1">
        <v>42156</v>
      </c>
      <c r="B42" t="s">
        <v>4</v>
      </c>
      <c r="C42">
        <v>51548</v>
      </c>
      <c r="D42">
        <v>27.09</v>
      </c>
      <c r="I42" s="5">
        <v>40118</v>
      </c>
      <c r="J42" s="2">
        <v>88.52</v>
      </c>
      <c r="K42" s="2">
        <v>117.34</v>
      </c>
      <c r="L42" s="2" t="e">
        <v>#DIV/0!</v>
      </c>
      <c r="M42" s="2"/>
      <c r="N42" s="2">
        <v>102.93</v>
      </c>
    </row>
    <row r="43" spans="1:14" x14ac:dyDescent="0.25">
      <c r="A43" s="1">
        <v>42156</v>
      </c>
      <c r="B43" t="s">
        <v>5</v>
      </c>
      <c r="C43">
        <v>175442</v>
      </c>
      <c r="D43">
        <v>-58.89</v>
      </c>
      <c r="I43" s="5">
        <v>40148</v>
      </c>
      <c r="J43" s="2">
        <v>93.99</v>
      </c>
      <c r="K43" s="2">
        <v>126.25</v>
      </c>
      <c r="L43" s="2">
        <v>-70.14</v>
      </c>
      <c r="M43" s="2"/>
      <c r="N43" s="2">
        <v>50.033333333333339</v>
      </c>
    </row>
    <row r="44" spans="1:14" x14ac:dyDescent="0.25">
      <c r="A44" s="1">
        <v>42156</v>
      </c>
      <c r="B44" t="s">
        <v>6</v>
      </c>
      <c r="C44">
        <v>128784</v>
      </c>
      <c r="D44">
        <v>-187.86</v>
      </c>
      <c r="I44" s="5">
        <v>40179</v>
      </c>
      <c r="J44" s="2">
        <v>85.58</v>
      </c>
      <c r="K44" s="2">
        <v>124.93</v>
      </c>
      <c r="L44" s="2">
        <v>-104.85</v>
      </c>
      <c r="M44" s="2"/>
      <c r="N44" s="2">
        <v>35.22</v>
      </c>
    </row>
    <row r="45" spans="1:14" x14ac:dyDescent="0.25">
      <c r="A45" s="1">
        <v>42125</v>
      </c>
      <c r="B45" t="s">
        <v>3</v>
      </c>
      <c r="C45">
        <v>5089891</v>
      </c>
      <c r="D45">
        <v>74.22</v>
      </c>
      <c r="I45" s="5">
        <v>40210</v>
      </c>
      <c r="J45" s="2">
        <v>72.22</v>
      </c>
      <c r="K45" s="2">
        <v>118.1</v>
      </c>
      <c r="L45" s="2">
        <v>-100.79</v>
      </c>
      <c r="M45" s="2"/>
      <c r="N45" s="2">
        <v>29.84333333333333</v>
      </c>
    </row>
    <row r="46" spans="1:14" x14ac:dyDescent="0.25">
      <c r="A46" s="1">
        <v>42125</v>
      </c>
      <c r="B46" t="s">
        <v>4</v>
      </c>
      <c r="C46">
        <v>50221</v>
      </c>
      <c r="D46">
        <v>45.06</v>
      </c>
      <c r="I46" s="5">
        <v>40238</v>
      </c>
      <c r="J46" s="2">
        <v>72.400000000000006</v>
      </c>
      <c r="K46" s="2">
        <v>122.45</v>
      </c>
      <c r="L46" s="2">
        <v>-95.82</v>
      </c>
      <c r="M46" s="2"/>
      <c r="N46" s="2">
        <v>33.010000000000012</v>
      </c>
    </row>
    <row r="47" spans="1:14" x14ac:dyDescent="0.25">
      <c r="A47" s="1">
        <v>42125</v>
      </c>
      <c r="B47" t="s">
        <v>5</v>
      </c>
      <c r="C47">
        <v>176573</v>
      </c>
      <c r="D47">
        <v>-50.52</v>
      </c>
      <c r="I47" s="5">
        <v>40269</v>
      </c>
      <c r="J47" s="2">
        <v>66.739999999999995</v>
      </c>
      <c r="K47" s="2">
        <v>120.63</v>
      </c>
      <c r="L47" s="2">
        <v>-94.49</v>
      </c>
      <c r="M47" s="2"/>
      <c r="N47" s="2">
        <v>30.960000000000004</v>
      </c>
    </row>
    <row r="48" spans="1:14" x14ac:dyDescent="0.25">
      <c r="A48" s="1">
        <v>42125</v>
      </c>
      <c r="B48" t="s">
        <v>6</v>
      </c>
      <c r="C48">
        <v>129176</v>
      </c>
      <c r="D48">
        <v>-175.02</v>
      </c>
      <c r="I48" s="5">
        <v>40299</v>
      </c>
      <c r="J48" s="2">
        <v>53.19</v>
      </c>
      <c r="K48" s="2">
        <v>108.79</v>
      </c>
      <c r="L48" s="2">
        <v>-162.93</v>
      </c>
      <c r="M48" s="2"/>
      <c r="N48" s="2">
        <v>-0.31666666666666288</v>
      </c>
    </row>
    <row r="49" spans="1:14" x14ac:dyDescent="0.25">
      <c r="A49" s="1">
        <v>42095</v>
      </c>
      <c r="B49" t="s">
        <v>3</v>
      </c>
      <c r="C49">
        <v>5071425</v>
      </c>
      <c r="D49">
        <v>65.55</v>
      </c>
      <c r="I49" s="5">
        <v>40330</v>
      </c>
      <c r="J49" s="2">
        <v>71.86</v>
      </c>
      <c r="K49" s="2">
        <v>128.44</v>
      </c>
      <c r="L49" s="2">
        <v>-142.44</v>
      </c>
      <c r="M49" s="2"/>
      <c r="N49" s="2">
        <v>19.286666666666672</v>
      </c>
    </row>
    <row r="50" spans="1:14" x14ac:dyDescent="0.25">
      <c r="A50" s="1">
        <v>42095</v>
      </c>
      <c r="B50" t="s">
        <v>4</v>
      </c>
      <c r="C50">
        <v>49291</v>
      </c>
      <c r="D50">
        <v>36.86</v>
      </c>
      <c r="I50" s="5">
        <v>40360</v>
      </c>
      <c r="J50" s="2">
        <v>86.63</v>
      </c>
      <c r="K50" s="2">
        <v>146.66</v>
      </c>
      <c r="L50" s="2">
        <v>-126.27</v>
      </c>
      <c r="M50" s="2"/>
      <c r="N50" s="2">
        <v>35.673333333333332</v>
      </c>
    </row>
    <row r="51" spans="1:14" x14ac:dyDescent="0.25">
      <c r="A51" s="1">
        <v>42095</v>
      </c>
      <c r="B51" t="s">
        <v>5</v>
      </c>
      <c r="C51">
        <v>177552</v>
      </c>
      <c r="D51">
        <v>-68.709999999999994</v>
      </c>
      <c r="I51" s="5">
        <v>40391</v>
      </c>
      <c r="J51" s="2">
        <v>97.19</v>
      </c>
      <c r="K51" s="2">
        <v>162.15</v>
      </c>
      <c r="L51" s="2">
        <v>-112.25</v>
      </c>
      <c r="M51" s="2"/>
      <c r="N51" s="2">
        <v>49.030000000000008</v>
      </c>
    </row>
    <row r="52" spans="1:14" x14ac:dyDescent="0.25">
      <c r="A52" s="1">
        <v>42095</v>
      </c>
      <c r="B52" t="s">
        <v>6</v>
      </c>
      <c r="C52">
        <v>129552</v>
      </c>
      <c r="D52">
        <v>-187.73</v>
      </c>
      <c r="I52" s="5">
        <v>40422</v>
      </c>
      <c r="J52" s="2">
        <v>107.29</v>
      </c>
      <c r="K52" s="2">
        <v>176.77</v>
      </c>
      <c r="L52" s="2">
        <v>-101.15</v>
      </c>
      <c r="M52" s="2"/>
      <c r="N52" s="2">
        <v>60.97</v>
      </c>
    </row>
    <row r="53" spans="1:14" x14ac:dyDescent="0.25">
      <c r="A53" s="1">
        <v>42064</v>
      </c>
      <c r="B53" t="s">
        <v>3</v>
      </c>
      <c r="C53">
        <v>5035311</v>
      </c>
      <c r="D53">
        <v>70.33</v>
      </c>
      <c r="I53" s="5">
        <v>40452</v>
      </c>
      <c r="J53" s="2">
        <v>110.72</v>
      </c>
      <c r="K53" s="2">
        <v>184.64</v>
      </c>
      <c r="L53" s="2">
        <v>-100.04</v>
      </c>
      <c r="M53" s="2"/>
      <c r="N53" s="2">
        <v>65.106666666666669</v>
      </c>
    </row>
    <row r="54" spans="1:14" x14ac:dyDescent="0.25">
      <c r="A54" s="1">
        <v>42064</v>
      </c>
      <c r="B54" t="s">
        <v>4</v>
      </c>
      <c r="C54">
        <v>48793</v>
      </c>
      <c r="D54">
        <v>42.62</v>
      </c>
      <c r="I54" s="5">
        <v>40483</v>
      </c>
      <c r="J54" s="2">
        <v>116.6</v>
      </c>
      <c r="K54" s="2">
        <v>195.3</v>
      </c>
      <c r="L54" s="2">
        <v>-92.6</v>
      </c>
      <c r="M54" s="2"/>
      <c r="N54" s="2">
        <v>73.099999999999994</v>
      </c>
    </row>
    <row r="55" spans="1:14" x14ac:dyDescent="0.25">
      <c r="A55" s="1">
        <v>42064</v>
      </c>
      <c r="B55" t="s">
        <v>5</v>
      </c>
      <c r="C55">
        <v>178149</v>
      </c>
      <c r="D55">
        <v>-72.64</v>
      </c>
      <c r="I55" s="5">
        <v>40513</v>
      </c>
      <c r="J55" s="2">
        <v>103.83</v>
      </c>
      <c r="K55" s="2">
        <v>186.83</v>
      </c>
      <c r="L55" s="2">
        <v>-102.74</v>
      </c>
      <c r="M55" s="2"/>
      <c r="N55" s="2">
        <v>62.640000000000008</v>
      </c>
    </row>
    <row r="56" spans="1:14" x14ac:dyDescent="0.25">
      <c r="A56" s="1">
        <v>42064</v>
      </c>
      <c r="B56" t="s">
        <v>6</v>
      </c>
      <c r="C56">
        <v>129811</v>
      </c>
      <c r="D56">
        <v>-185.56</v>
      </c>
      <c r="I56" s="5">
        <v>40544</v>
      </c>
      <c r="J56" s="2">
        <v>58.93</v>
      </c>
      <c r="K56" s="2">
        <v>31.12</v>
      </c>
      <c r="L56" s="2">
        <v>-152.62</v>
      </c>
      <c r="M56" s="2"/>
      <c r="N56" s="2">
        <v>-20.856666666666669</v>
      </c>
    </row>
    <row r="57" spans="1:14" x14ac:dyDescent="0.25">
      <c r="A57" s="1">
        <v>42036</v>
      </c>
      <c r="B57" t="s">
        <v>3</v>
      </c>
      <c r="C57">
        <v>5005834</v>
      </c>
      <c r="D57">
        <v>75.28</v>
      </c>
      <c r="I57" s="5">
        <v>40575</v>
      </c>
      <c r="J57" s="2">
        <v>48.28</v>
      </c>
      <c r="K57" s="2">
        <v>0.62</v>
      </c>
      <c r="L57" s="2">
        <v>-163.32</v>
      </c>
      <c r="M57" s="2"/>
      <c r="N57" s="2">
        <v>-38.139999999999993</v>
      </c>
    </row>
    <row r="58" spans="1:14" x14ac:dyDescent="0.25">
      <c r="A58" s="1">
        <v>42036</v>
      </c>
      <c r="B58" t="s">
        <v>4</v>
      </c>
      <c r="C58">
        <v>47348</v>
      </c>
      <c r="D58">
        <v>47.34</v>
      </c>
      <c r="I58" s="5">
        <v>40603</v>
      </c>
      <c r="J58" s="2">
        <v>25.27</v>
      </c>
      <c r="K58" s="2">
        <v>-36.85</v>
      </c>
      <c r="L58" s="2">
        <v>-188.45</v>
      </c>
      <c r="M58" s="2"/>
      <c r="N58" s="2">
        <v>-66.676666666666662</v>
      </c>
    </row>
    <row r="59" spans="1:14" x14ac:dyDescent="0.25">
      <c r="A59" s="1">
        <v>42036</v>
      </c>
      <c r="B59" t="s">
        <v>5</v>
      </c>
      <c r="C59">
        <v>178502</v>
      </c>
      <c r="D59">
        <v>-70.87</v>
      </c>
      <c r="I59" s="5">
        <v>40634</v>
      </c>
      <c r="J59" s="2">
        <v>36.270000000000003</v>
      </c>
      <c r="K59" s="2">
        <v>-22.39</v>
      </c>
      <c r="L59" s="2">
        <v>-180.13</v>
      </c>
      <c r="M59" s="2"/>
      <c r="N59" s="2">
        <v>-55.416666666666664</v>
      </c>
    </row>
    <row r="60" spans="1:14" x14ac:dyDescent="0.25">
      <c r="A60" s="1">
        <v>42036</v>
      </c>
      <c r="B60" t="s">
        <v>6</v>
      </c>
      <c r="C60">
        <v>129957</v>
      </c>
      <c r="D60">
        <v>-183.21</v>
      </c>
      <c r="I60" s="5">
        <v>40664</v>
      </c>
      <c r="J60" s="2">
        <v>36.04</v>
      </c>
      <c r="K60" s="2">
        <v>-15.35</v>
      </c>
      <c r="L60" s="2">
        <v>-179.89</v>
      </c>
      <c r="M60" s="2"/>
      <c r="N60" s="2">
        <v>-53.066666666666663</v>
      </c>
    </row>
    <row r="61" spans="1:14" x14ac:dyDescent="0.25">
      <c r="A61" s="1">
        <v>42005</v>
      </c>
      <c r="B61" t="s">
        <v>3</v>
      </c>
      <c r="C61">
        <v>4960585</v>
      </c>
      <c r="D61">
        <v>58.26</v>
      </c>
      <c r="I61" s="5">
        <v>40695</v>
      </c>
      <c r="J61" s="2">
        <v>55.69</v>
      </c>
      <c r="K61" s="2">
        <v>10.83</v>
      </c>
      <c r="L61" s="2">
        <v>-159.84</v>
      </c>
      <c r="M61" s="2"/>
      <c r="N61" s="2">
        <v>-31.106666666666669</v>
      </c>
    </row>
    <row r="62" spans="1:14" x14ac:dyDescent="0.25">
      <c r="A62" s="1">
        <v>42005</v>
      </c>
      <c r="B62" t="s">
        <v>4</v>
      </c>
      <c r="C62">
        <v>46142</v>
      </c>
      <c r="D62">
        <v>29.39</v>
      </c>
      <c r="I62" s="5">
        <v>40725</v>
      </c>
      <c r="J62" s="2">
        <v>67.81</v>
      </c>
      <c r="K62" s="2">
        <v>28.54</v>
      </c>
      <c r="L62" s="2">
        <v>-146.94999999999999</v>
      </c>
      <c r="M62" s="2"/>
      <c r="N62" s="2">
        <v>-16.866666666666664</v>
      </c>
    </row>
    <row r="63" spans="1:14" x14ac:dyDescent="0.25">
      <c r="A63" s="1">
        <v>42005</v>
      </c>
      <c r="B63" t="s">
        <v>5</v>
      </c>
      <c r="C63">
        <v>179128</v>
      </c>
      <c r="D63">
        <v>-90.66</v>
      </c>
      <c r="I63" s="5">
        <v>40756</v>
      </c>
      <c r="J63" s="2">
        <v>64.17</v>
      </c>
      <c r="K63" s="2">
        <v>26.45</v>
      </c>
      <c r="L63" s="2">
        <v>-121.32</v>
      </c>
      <c r="M63" s="2"/>
      <c r="N63" s="2">
        <v>-10.233333333333329</v>
      </c>
    </row>
    <row r="64" spans="1:14" x14ac:dyDescent="0.25">
      <c r="A64" s="1">
        <v>42005</v>
      </c>
      <c r="B64" t="s">
        <v>6</v>
      </c>
      <c r="C64">
        <v>130182</v>
      </c>
      <c r="D64">
        <v>-202.58</v>
      </c>
      <c r="I64" s="5">
        <v>40787</v>
      </c>
      <c r="J64" s="2">
        <v>91.86</v>
      </c>
      <c r="K64" s="2">
        <v>54.74</v>
      </c>
      <c r="L64" s="2">
        <v>-93.78</v>
      </c>
      <c r="M64" s="2"/>
      <c r="N64" s="2">
        <v>17.606666666666666</v>
      </c>
    </row>
    <row r="65" spans="1:14" x14ac:dyDescent="0.25">
      <c r="A65" s="1">
        <v>41974</v>
      </c>
      <c r="B65" t="s">
        <v>3</v>
      </c>
      <c r="C65">
        <v>4935943</v>
      </c>
      <c r="D65">
        <v>43.49</v>
      </c>
      <c r="I65" s="5">
        <v>40817</v>
      </c>
      <c r="J65" s="2">
        <v>108.11</v>
      </c>
      <c r="K65" s="2">
        <v>67.22</v>
      </c>
      <c r="L65" s="2">
        <v>-76.19</v>
      </c>
      <c r="M65" s="2"/>
      <c r="N65" s="2">
        <v>33.04666666666666</v>
      </c>
    </row>
    <row r="66" spans="1:14" x14ac:dyDescent="0.25">
      <c r="A66" s="1">
        <v>41974</v>
      </c>
      <c r="B66" t="s">
        <v>4</v>
      </c>
      <c r="C66">
        <v>45528</v>
      </c>
      <c r="D66">
        <v>15.62</v>
      </c>
      <c r="I66" s="5">
        <v>40848</v>
      </c>
      <c r="J66" s="2">
        <v>103.99</v>
      </c>
      <c r="K66" s="2">
        <v>56.26</v>
      </c>
      <c r="L66" s="2">
        <v>-79.63</v>
      </c>
      <c r="M66" s="2"/>
      <c r="N66" s="2">
        <v>26.873333333333335</v>
      </c>
    </row>
    <row r="67" spans="1:14" x14ac:dyDescent="0.25">
      <c r="A67" s="1">
        <v>41974</v>
      </c>
      <c r="B67" t="s">
        <v>5</v>
      </c>
      <c r="C67">
        <v>179635</v>
      </c>
      <c r="D67">
        <v>-110.8</v>
      </c>
      <c r="I67" s="5">
        <v>40878</v>
      </c>
      <c r="J67" s="2">
        <v>111.19</v>
      </c>
      <c r="K67" s="2">
        <v>56.42</v>
      </c>
      <c r="L67" s="2">
        <v>-71.55</v>
      </c>
      <c r="M67" s="2"/>
      <c r="N67" s="2">
        <v>32.020000000000003</v>
      </c>
    </row>
    <row r="68" spans="1:14" x14ac:dyDescent="0.25">
      <c r="A68" s="1">
        <v>41974</v>
      </c>
      <c r="B68" t="s">
        <v>6</v>
      </c>
      <c r="C68">
        <v>130328</v>
      </c>
      <c r="D68">
        <v>-216.59</v>
      </c>
      <c r="I68" s="5">
        <v>40909</v>
      </c>
      <c r="J68" s="2">
        <v>113.67</v>
      </c>
      <c r="K68" s="2">
        <v>60.24</v>
      </c>
      <c r="L68" s="2">
        <v>-68.739999999999995</v>
      </c>
      <c r="M68" s="2"/>
      <c r="N68" s="2">
        <v>35.056666666666665</v>
      </c>
    </row>
    <row r="69" spans="1:14" x14ac:dyDescent="0.25">
      <c r="A69" s="1">
        <v>41944</v>
      </c>
      <c r="B69" t="s">
        <v>3</v>
      </c>
      <c r="C69">
        <v>4915296</v>
      </c>
      <c r="D69">
        <v>41.25</v>
      </c>
      <c r="I69" s="5">
        <v>40940</v>
      </c>
      <c r="J69" s="2">
        <v>113.67</v>
      </c>
      <c r="K69" s="2">
        <v>56.16</v>
      </c>
      <c r="L69" s="2">
        <v>-70.040000000000006</v>
      </c>
      <c r="M69" s="2"/>
      <c r="N69" s="2">
        <v>33.263333333333328</v>
      </c>
    </row>
    <row r="70" spans="1:14" x14ac:dyDescent="0.25">
      <c r="A70" s="1">
        <v>41944</v>
      </c>
      <c r="B70" t="s">
        <v>4</v>
      </c>
      <c r="C70">
        <v>44616</v>
      </c>
      <c r="D70">
        <v>12.4</v>
      </c>
      <c r="I70" s="5">
        <v>40969</v>
      </c>
      <c r="J70" s="2">
        <v>111.5</v>
      </c>
      <c r="K70" s="2">
        <v>52.45</v>
      </c>
      <c r="L70" s="2">
        <v>-97.74</v>
      </c>
      <c r="M70" s="2"/>
      <c r="N70" s="2">
        <v>22.069999999999997</v>
      </c>
    </row>
    <row r="71" spans="1:14" x14ac:dyDescent="0.25">
      <c r="A71" s="1">
        <v>41944</v>
      </c>
      <c r="B71" t="s">
        <v>5</v>
      </c>
      <c r="C71">
        <v>180235</v>
      </c>
      <c r="D71">
        <v>-114.86</v>
      </c>
      <c r="I71" s="5">
        <v>41000</v>
      </c>
      <c r="J71" s="2">
        <v>104.89</v>
      </c>
      <c r="K71" s="2">
        <v>42.05</v>
      </c>
      <c r="L71" s="2">
        <v>-114.6</v>
      </c>
      <c r="M71" s="2"/>
      <c r="N71" s="2">
        <v>10.780000000000001</v>
      </c>
    </row>
    <row r="72" spans="1:14" x14ac:dyDescent="0.25">
      <c r="A72" s="1">
        <v>41944</v>
      </c>
      <c r="B72" t="s">
        <v>6</v>
      </c>
      <c r="C72">
        <v>130555</v>
      </c>
      <c r="D72">
        <v>-220.66</v>
      </c>
      <c r="I72" s="5">
        <v>41030</v>
      </c>
      <c r="J72" s="2">
        <v>112.02</v>
      </c>
      <c r="K72" s="2">
        <v>46.93</v>
      </c>
      <c r="L72" s="2">
        <v>-113.14</v>
      </c>
      <c r="M72" s="2"/>
      <c r="N72" s="2">
        <v>15.269999999999996</v>
      </c>
    </row>
    <row r="73" spans="1:14" x14ac:dyDescent="0.25">
      <c r="A73" s="1">
        <v>41913</v>
      </c>
      <c r="B73" t="s">
        <v>3</v>
      </c>
      <c r="C73">
        <v>4883714</v>
      </c>
      <c r="D73">
        <v>29.28</v>
      </c>
      <c r="I73" s="5">
        <v>41061</v>
      </c>
      <c r="J73" s="2">
        <v>122.47</v>
      </c>
      <c r="K73" s="2">
        <v>55.82</v>
      </c>
      <c r="L73" s="2">
        <v>-106.89</v>
      </c>
      <c r="M73" s="2" t="e">
        <v>#DIV/0!</v>
      </c>
      <c r="N73" s="2">
        <v>23.799999999999997</v>
      </c>
    </row>
    <row r="74" spans="1:14" x14ac:dyDescent="0.25">
      <c r="A74" s="1">
        <v>41913</v>
      </c>
      <c r="B74" t="s">
        <v>4</v>
      </c>
      <c r="C74">
        <v>43891</v>
      </c>
      <c r="D74">
        <v>-0.5</v>
      </c>
      <c r="I74" s="5">
        <v>41091</v>
      </c>
      <c r="J74" s="2">
        <v>133.13999999999999</v>
      </c>
      <c r="K74" s="2">
        <v>68.12</v>
      </c>
      <c r="L74" s="2">
        <v>-100.14</v>
      </c>
      <c r="M74" s="2">
        <v>-142.08000000000001</v>
      </c>
      <c r="N74" s="2">
        <v>-10.240000000000006</v>
      </c>
    </row>
    <row r="75" spans="1:14" x14ac:dyDescent="0.25">
      <c r="A75" s="1">
        <v>41913</v>
      </c>
      <c r="B75" t="s">
        <v>5</v>
      </c>
      <c r="C75">
        <v>180586</v>
      </c>
      <c r="D75">
        <v>-128.75</v>
      </c>
      <c r="I75" s="5">
        <v>41122</v>
      </c>
      <c r="J75" s="2">
        <v>142.72999999999999</v>
      </c>
      <c r="K75" s="2">
        <v>79.099999999999994</v>
      </c>
      <c r="L75" s="2">
        <v>-93.33</v>
      </c>
      <c r="M75" s="2">
        <v>-133.24</v>
      </c>
      <c r="N75" s="2">
        <v>-1.1850000000000023</v>
      </c>
    </row>
    <row r="76" spans="1:14" x14ac:dyDescent="0.25">
      <c r="A76" s="1">
        <v>41913</v>
      </c>
      <c r="B76" t="s">
        <v>6</v>
      </c>
      <c r="C76">
        <v>130643</v>
      </c>
      <c r="D76">
        <v>-234.51</v>
      </c>
      <c r="I76" s="5">
        <v>41153</v>
      </c>
      <c r="J76" s="2">
        <v>136.24</v>
      </c>
      <c r="K76" s="2">
        <v>74.17</v>
      </c>
      <c r="L76" s="2">
        <v>-100.5</v>
      </c>
      <c r="M76" s="2">
        <v>-139.16999999999999</v>
      </c>
      <c r="N76" s="2">
        <v>-7.3149999999999906</v>
      </c>
    </row>
    <row r="77" spans="1:14" x14ac:dyDescent="0.25">
      <c r="A77" s="1">
        <v>41883</v>
      </c>
      <c r="B77" t="s">
        <v>3</v>
      </c>
      <c r="C77">
        <v>4847581</v>
      </c>
      <c r="D77">
        <v>33.200000000000003</v>
      </c>
      <c r="I77" s="5">
        <v>41183</v>
      </c>
      <c r="J77" s="2">
        <v>143.47999999999999</v>
      </c>
      <c r="K77" s="2">
        <v>78.78</v>
      </c>
      <c r="L77" s="2">
        <v>-93.66</v>
      </c>
      <c r="M77" s="2">
        <v>-131.52000000000001</v>
      </c>
      <c r="N77" s="2">
        <v>-0.73000000000000398</v>
      </c>
    </row>
    <row r="78" spans="1:14" x14ac:dyDescent="0.25">
      <c r="A78" s="1">
        <v>41883</v>
      </c>
      <c r="B78" t="s">
        <v>4</v>
      </c>
      <c r="C78">
        <v>43233</v>
      </c>
      <c r="D78">
        <v>1.6</v>
      </c>
      <c r="I78" s="5">
        <v>41214</v>
      </c>
      <c r="J78" s="2">
        <v>148.57</v>
      </c>
      <c r="K78" s="2">
        <v>81.98</v>
      </c>
      <c r="L78" s="2">
        <v>-86.74</v>
      </c>
      <c r="M78" s="2">
        <v>-124.37</v>
      </c>
      <c r="N78" s="2">
        <v>4.8599999999999994</v>
      </c>
    </row>
    <row r="79" spans="1:14" x14ac:dyDescent="0.25">
      <c r="A79" s="1">
        <v>41883</v>
      </c>
      <c r="B79" t="s">
        <v>5</v>
      </c>
      <c r="C79">
        <v>181119</v>
      </c>
      <c r="D79">
        <v>-126.61</v>
      </c>
      <c r="I79" s="5">
        <v>41244</v>
      </c>
      <c r="J79" s="2">
        <v>145.58000000000001</v>
      </c>
      <c r="K79" s="2">
        <v>77.37</v>
      </c>
      <c r="L79" s="2">
        <v>-87.98</v>
      </c>
      <c r="M79" s="2">
        <v>-124.62</v>
      </c>
      <c r="N79" s="2">
        <v>2.5875000000000057</v>
      </c>
    </row>
    <row r="80" spans="1:14" x14ac:dyDescent="0.25">
      <c r="A80" s="1">
        <v>41883</v>
      </c>
      <c r="B80" t="s">
        <v>6</v>
      </c>
      <c r="C80">
        <v>130764</v>
      </c>
      <c r="D80">
        <v>-232.23</v>
      </c>
      <c r="I80" s="5">
        <v>41275</v>
      </c>
      <c r="J80" s="2">
        <v>143.32</v>
      </c>
      <c r="K80" s="2">
        <v>75.87</v>
      </c>
      <c r="L80" s="2">
        <v>-88.01</v>
      </c>
      <c r="M80" s="2">
        <v>-126.02</v>
      </c>
      <c r="N80" s="2">
        <v>1.2900000000000027</v>
      </c>
    </row>
    <row r="81" spans="1:14" x14ac:dyDescent="0.25">
      <c r="A81" s="1">
        <v>41852</v>
      </c>
      <c r="B81" t="s">
        <v>3</v>
      </c>
      <c r="C81">
        <v>4814140</v>
      </c>
      <c r="D81">
        <v>31.7</v>
      </c>
      <c r="I81" s="5">
        <v>41306</v>
      </c>
      <c r="J81" s="2">
        <v>132.08000000000001</v>
      </c>
      <c r="K81" s="2">
        <v>63.62</v>
      </c>
      <c r="L81" s="2">
        <v>-96.21</v>
      </c>
      <c r="M81" s="2">
        <v>-135.38</v>
      </c>
      <c r="N81" s="2">
        <v>-8.972499999999993</v>
      </c>
    </row>
    <row r="82" spans="1:14" x14ac:dyDescent="0.25">
      <c r="A82" s="1">
        <v>41852</v>
      </c>
      <c r="B82" t="s">
        <v>4</v>
      </c>
      <c r="C82">
        <v>42649</v>
      </c>
      <c r="D82">
        <v>-1.5</v>
      </c>
      <c r="I82" s="5">
        <v>41334</v>
      </c>
      <c r="J82" s="2">
        <v>113.38</v>
      </c>
      <c r="K82" s="2">
        <v>45.14</v>
      </c>
      <c r="L82" s="2">
        <v>-111.25</v>
      </c>
      <c r="M82" s="2">
        <v>-151.94</v>
      </c>
      <c r="N82" s="2">
        <v>-26.167500000000004</v>
      </c>
    </row>
    <row r="83" spans="1:14" x14ac:dyDescent="0.25">
      <c r="A83" s="1">
        <v>41852</v>
      </c>
      <c r="B83" t="s">
        <v>5</v>
      </c>
      <c r="C83">
        <v>181599</v>
      </c>
      <c r="D83">
        <v>-131.99</v>
      </c>
      <c r="I83" s="5">
        <v>41365</v>
      </c>
      <c r="J83" s="2">
        <v>107.54</v>
      </c>
      <c r="K83" s="2">
        <v>40.369999999999997</v>
      </c>
      <c r="L83" s="2">
        <v>-110.29</v>
      </c>
      <c r="M83" s="2">
        <v>-156.63999999999999</v>
      </c>
      <c r="N83" s="2">
        <v>-29.754999999999999</v>
      </c>
    </row>
    <row r="84" spans="1:14" x14ac:dyDescent="0.25">
      <c r="A84" s="1">
        <v>41852</v>
      </c>
      <c r="B84" t="s">
        <v>6</v>
      </c>
      <c r="C84">
        <v>130929</v>
      </c>
      <c r="D84">
        <v>-235.68</v>
      </c>
      <c r="I84" s="5">
        <v>41395</v>
      </c>
      <c r="J84" s="2">
        <v>116.22</v>
      </c>
      <c r="K84" s="2">
        <v>51.84</v>
      </c>
      <c r="L84" s="2">
        <v>-96.53</v>
      </c>
      <c r="M84" s="2">
        <v>-147.13999999999999</v>
      </c>
      <c r="N84" s="2">
        <v>-18.902499999999996</v>
      </c>
    </row>
    <row r="85" spans="1:14" x14ac:dyDescent="0.25">
      <c r="A85" s="1">
        <v>41821</v>
      </c>
      <c r="B85" t="s">
        <v>3</v>
      </c>
      <c r="C85">
        <v>4767120</v>
      </c>
      <c r="D85">
        <v>30.05</v>
      </c>
      <c r="I85" s="5">
        <v>41426</v>
      </c>
      <c r="J85" s="2">
        <v>106.16</v>
      </c>
      <c r="K85" s="2">
        <v>42.91</v>
      </c>
      <c r="L85" s="2">
        <v>-98.39</v>
      </c>
      <c r="M85" s="2">
        <v>-155.61000000000001</v>
      </c>
      <c r="N85" s="2">
        <v>-26.232500000000005</v>
      </c>
    </row>
    <row r="86" spans="1:14" x14ac:dyDescent="0.25">
      <c r="A86" s="1">
        <v>41821</v>
      </c>
      <c r="B86" t="s">
        <v>4</v>
      </c>
      <c r="C86">
        <v>42042</v>
      </c>
      <c r="D86">
        <v>-4.28</v>
      </c>
      <c r="I86" s="5">
        <v>41456</v>
      </c>
      <c r="J86" s="2">
        <v>47.88</v>
      </c>
      <c r="K86" s="2">
        <v>-13.33</v>
      </c>
      <c r="L86" s="2">
        <v>-149.46</v>
      </c>
      <c r="M86" s="2">
        <v>-210.33</v>
      </c>
      <c r="N86" s="2">
        <v>-81.31</v>
      </c>
    </row>
    <row r="87" spans="1:14" x14ac:dyDescent="0.25">
      <c r="A87" s="1">
        <v>41821</v>
      </c>
      <c r="B87" t="s">
        <v>5</v>
      </c>
      <c r="C87">
        <v>181939</v>
      </c>
      <c r="D87">
        <v>-137.29</v>
      </c>
      <c r="I87" s="5">
        <v>41487</v>
      </c>
      <c r="J87" s="2">
        <v>13.92</v>
      </c>
      <c r="K87" s="2">
        <v>-44.08</v>
      </c>
      <c r="L87" s="2">
        <v>-198.69</v>
      </c>
      <c r="M87" s="2">
        <v>-272.77</v>
      </c>
      <c r="N87" s="2">
        <v>-125.405</v>
      </c>
    </row>
    <row r="88" spans="1:14" x14ac:dyDescent="0.25">
      <c r="A88" s="1">
        <v>41821</v>
      </c>
      <c r="B88" t="s">
        <v>6</v>
      </c>
      <c r="C88">
        <v>130953</v>
      </c>
      <c r="D88">
        <v>-238.98</v>
      </c>
      <c r="I88" s="5">
        <v>41518</v>
      </c>
      <c r="J88" s="2">
        <v>1.77</v>
      </c>
      <c r="K88" s="2">
        <v>-53.29</v>
      </c>
      <c r="L88" s="2">
        <v>-203.16</v>
      </c>
      <c r="M88" s="2">
        <v>-282.10000000000002</v>
      </c>
      <c r="N88" s="2">
        <v>-134.19499999999999</v>
      </c>
    </row>
    <row r="89" spans="1:14" x14ac:dyDescent="0.25">
      <c r="A89" s="1">
        <v>41791</v>
      </c>
      <c r="B89" t="s">
        <v>3</v>
      </c>
      <c r="C89">
        <v>4742247</v>
      </c>
      <c r="D89">
        <v>28.48</v>
      </c>
      <c r="I89" s="5">
        <v>41548</v>
      </c>
      <c r="J89" s="2">
        <v>-2.34</v>
      </c>
      <c r="K89" s="2">
        <v>-53.92</v>
      </c>
      <c r="L89" s="2">
        <v>-204.88</v>
      </c>
      <c r="M89" s="2">
        <v>-283.23</v>
      </c>
      <c r="N89" s="2">
        <v>-136.0925</v>
      </c>
    </row>
    <row r="90" spans="1:14" x14ac:dyDescent="0.25">
      <c r="A90" s="1">
        <v>41791</v>
      </c>
      <c r="B90" t="s">
        <v>4</v>
      </c>
      <c r="C90">
        <v>41340</v>
      </c>
      <c r="D90">
        <v>-6.97</v>
      </c>
      <c r="I90" s="5">
        <v>41579</v>
      </c>
      <c r="J90" s="2">
        <v>25.9</v>
      </c>
      <c r="K90" s="2">
        <v>-22.64</v>
      </c>
      <c r="L90" s="2">
        <v>-174.14</v>
      </c>
      <c r="M90" s="2">
        <v>-252.48</v>
      </c>
      <c r="N90" s="2">
        <v>-105.84</v>
      </c>
    </row>
    <row r="91" spans="1:14" x14ac:dyDescent="0.25">
      <c r="A91" s="1">
        <v>41791</v>
      </c>
      <c r="B91" t="s">
        <v>5</v>
      </c>
      <c r="C91">
        <v>182261</v>
      </c>
      <c r="D91">
        <v>-142.38</v>
      </c>
      <c r="I91" s="5">
        <v>41609</v>
      </c>
      <c r="J91" s="2">
        <v>15.29</v>
      </c>
      <c r="K91" s="2">
        <v>-29.69</v>
      </c>
      <c r="L91" s="2">
        <v>-181.32</v>
      </c>
      <c r="M91" s="2">
        <v>-258.12</v>
      </c>
      <c r="N91" s="2">
        <v>-113.46000000000001</v>
      </c>
    </row>
    <row r="92" spans="1:14" x14ac:dyDescent="0.25">
      <c r="A92" s="1">
        <v>41791</v>
      </c>
      <c r="B92" t="s">
        <v>6</v>
      </c>
      <c r="C92">
        <v>130963</v>
      </c>
      <c r="D92">
        <v>-241.94</v>
      </c>
      <c r="I92" s="5">
        <v>41640</v>
      </c>
      <c r="J92" s="2">
        <v>-3.95</v>
      </c>
      <c r="K92" s="2">
        <v>-46.05</v>
      </c>
      <c r="L92" s="2">
        <v>-197.34</v>
      </c>
      <c r="M92" s="2">
        <v>-275.74</v>
      </c>
      <c r="N92" s="2">
        <v>-130.77000000000001</v>
      </c>
    </row>
    <row r="93" spans="1:14" x14ac:dyDescent="0.25">
      <c r="A93" s="1">
        <v>41760</v>
      </c>
      <c r="B93" t="s">
        <v>3</v>
      </c>
      <c r="C93">
        <v>4715936</v>
      </c>
      <c r="D93">
        <v>9.5299999999999994</v>
      </c>
      <c r="I93" s="5">
        <v>41671</v>
      </c>
      <c r="J93" s="2">
        <v>-4.1100000000000003</v>
      </c>
      <c r="K93" s="2">
        <v>-44.17</v>
      </c>
      <c r="L93" s="2">
        <v>-194.34</v>
      </c>
      <c r="M93" s="2">
        <v>-274.16000000000003</v>
      </c>
      <c r="N93" s="2">
        <v>-129.19499999999999</v>
      </c>
    </row>
    <row r="94" spans="1:14" x14ac:dyDescent="0.25">
      <c r="A94" s="1">
        <v>41760</v>
      </c>
      <c r="B94" t="s">
        <v>4</v>
      </c>
      <c r="C94">
        <v>40855</v>
      </c>
      <c r="D94">
        <v>-27.26</v>
      </c>
      <c r="I94" s="5">
        <v>41699</v>
      </c>
      <c r="J94" s="2">
        <v>8.67</v>
      </c>
      <c r="K94" s="2">
        <v>-30.05</v>
      </c>
      <c r="L94" s="2">
        <v>-178.49</v>
      </c>
      <c r="M94" s="2">
        <v>-259.87</v>
      </c>
      <c r="N94" s="2">
        <v>-114.935</v>
      </c>
    </row>
    <row r="95" spans="1:14" x14ac:dyDescent="0.25">
      <c r="A95" s="1">
        <v>41760</v>
      </c>
      <c r="B95" t="s">
        <v>5</v>
      </c>
      <c r="C95">
        <v>182320</v>
      </c>
      <c r="D95">
        <v>-168.61</v>
      </c>
      <c r="I95" s="5">
        <v>41730</v>
      </c>
      <c r="J95" s="2">
        <v>7.98</v>
      </c>
      <c r="K95" s="2">
        <v>-29.2</v>
      </c>
      <c r="L95" s="2">
        <v>-175.94</v>
      </c>
      <c r="M95" s="2">
        <v>-260.83999999999997</v>
      </c>
      <c r="N95" s="2">
        <v>-114.5</v>
      </c>
    </row>
    <row r="96" spans="1:14" x14ac:dyDescent="0.25">
      <c r="A96" s="1">
        <v>41760</v>
      </c>
      <c r="B96" t="s">
        <v>6</v>
      </c>
      <c r="C96">
        <v>130890</v>
      </c>
      <c r="D96">
        <v>-261.38</v>
      </c>
      <c r="I96" s="5">
        <v>41760</v>
      </c>
      <c r="J96" s="2">
        <v>9.5299999999999994</v>
      </c>
      <c r="K96" s="2">
        <v>-27.26</v>
      </c>
      <c r="L96" s="2">
        <v>-168.61</v>
      </c>
      <c r="M96" s="2">
        <v>-261.38</v>
      </c>
      <c r="N96" s="2">
        <v>-111.93</v>
      </c>
    </row>
    <row r="97" spans="1:14" x14ac:dyDescent="0.25">
      <c r="A97" s="1">
        <v>41730</v>
      </c>
      <c r="B97" t="s">
        <v>3</v>
      </c>
      <c r="C97">
        <v>4697057</v>
      </c>
      <c r="D97">
        <v>7.98</v>
      </c>
      <c r="I97" s="5">
        <v>41791</v>
      </c>
      <c r="J97" s="2">
        <v>28.48</v>
      </c>
      <c r="K97" s="2">
        <v>-6.97</v>
      </c>
      <c r="L97" s="2">
        <v>-142.38</v>
      </c>
      <c r="M97" s="2">
        <v>-241.94</v>
      </c>
      <c r="N97" s="2">
        <v>-90.702500000000001</v>
      </c>
    </row>
    <row r="98" spans="1:14" x14ac:dyDescent="0.25">
      <c r="A98" s="1">
        <v>41730</v>
      </c>
      <c r="B98" t="s">
        <v>4</v>
      </c>
      <c r="C98">
        <v>40347</v>
      </c>
      <c r="D98">
        <v>-29.2</v>
      </c>
      <c r="I98" s="5">
        <v>41821</v>
      </c>
      <c r="J98" s="2">
        <v>30.05</v>
      </c>
      <c r="K98" s="2">
        <v>-4.28</v>
      </c>
      <c r="L98" s="2">
        <v>-137.29</v>
      </c>
      <c r="M98" s="2">
        <v>-238.98</v>
      </c>
      <c r="N98" s="2">
        <v>-87.625</v>
      </c>
    </row>
    <row r="99" spans="1:14" x14ac:dyDescent="0.25">
      <c r="A99" s="1">
        <v>41730</v>
      </c>
      <c r="B99" t="s">
        <v>5</v>
      </c>
      <c r="C99">
        <v>182243</v>
      </c>
      <c r="D99">
        <v>-175.94</v>
      </c>
      <c r="I99" s="5">
        <v>41852</v>
      </c>
      <c r="J99" s="2">
        <v>31.7</v>
      </c>
      <c r="K99" s="2">
        <v>-1.5</v>
      </c>
      <c r="L99" s="2">
        <v>-131.99</v>
      </c>
      <c r="M99" s="2">
        <v>-235.68</v>
      </c>
      <c r="N99" s="2">
        <v>-84.367500000000007</v>
      </c>
    </row>
    <row r="100" spans="1:14" x14ac:dyDescent="0.25">
      <c r="A100" s="1">
        <v>41730</v>
      </c>
      <c r="B100" t="s">
        <v>6</v>
      </c>
      <c r="C100">
        <v>130682</v>
      </c>
      <c r="D100">
        <v>-260.83999999999997</v>
      </c>
      <c r="I100" s="5">
        <v>41883</v>
      </c>
      <c r="J100" s="2">
        <v>33.200000000000003</v>
      </c>
      <c r="K100" s="2">
        <v>1.6</v>
      </c>
      <c r="L100" s="2">
        <v>-126.61</v>
      </c>
      <c r="M100" s="2">
        <v>-232.23</v>
      </c>
      <c r="N100" s="2">
        <v>-81.009999999999991</v>
      </c>
    </row>
    <row r="101" spans="1:14" x14ac:dyDescent="0.25">
      <c r="A101" s="1">
        <v>41699</v>
      </c>
      <c r="B101" t="s">
        <v>3</v>
      </c>
      <c r="C101">
        <v>4673855</v>
      </c>
      <c r="D101">
        <v>8.67</v>
      </c>
      <c r="I101" s="5">
        <v>41913</v>
      </c>
      <c r="J101" s="2">
        <v>29.28</v>
      </c>
      <c r="K101" s="2">
        <v>-0.5</v>
      </c>
      <c r="L101" s="2">
        <v>-128.75</v>
      </c>
      <c r="M101" s="2">
        <v>-234.51</v>
      </c>
      <c r="N101" s="2">
        <v>-83.62</v>
      </c>
    </row>
    <row r="102" spans="1:14" x14ac:dyDescent="0.25">
      <c r="A102" s="1">
        <v>41699</v>
      </c>
      <c r="B102" t="s">
        <v>4</v>
      </c>
      <c r="C102">
        <v>39786</v>
      </c>
      <c r="D102">
        <v>-30.05</v>
      </c>
      <c r="I102" s="5">
        <v>41944</v>
      </c>
      <c r="J102" s="2">
        <v>41.25</v>
      </c>
      <c r="K102" s="2">
        <v>12.4</v>
      </c>
      <c r="L102" s="2">
        <v>-114.86</v>
      </c>
      <c r="M102" s="2">
        <v>-220.66</v>
      </c>
      <c r="N102" s="2">
        <v>-70.467500000000001</v>
      </c>
    </row>
    <row r="103" spans="1:14" x14ac:dyDescent="0.25">
      <c r="A103" s="1">
        <v>41699</v>
      </c>
      <c r="B103" t="s">
        <v>5</v>
      </c>
      <c r="C103">
        <v>181852</v>
      </c>
      <c r="D103">
        <v>-178.49</v>
      </c>
      <c r="I103" s="5">
        <v>41974</v>
      </c>
      <c r="J103" s="2">
        <v>43.49</v>
      </c>
      <c r="K103" s="2">
        <v>15.62</v>
      </c>
      <c r="L103" s="2">
        <v>-110.8</v>
      </c>
      <c r="M103" s="2">
        <v>-216.59</v>
      </c>
      <c r="N103" s="2">
        <v>-67.069999999999993</v>
      </c>
    </row>
    <row r="104" spans="1:14" x14ac:dyDescent="0.25">
      <c r="A104" s="1">
        <v>41699</v>
      </c>
      <c r="B104" t="s">
        <v>6</v>
      </c>
      <c r="C104">
        <v>130429</v>
      </c>
      <c r="D104">
        <v>-259.87</v>
      </c>
      <c r="I104" s="5">
        <v>42005</v>
      </c>
      <c r="J104" s="2">
        <v>58.26</v>
      </c>
      <c r="K104" s="2">
        <v>29.39</v>
      </c>
      <c r="L104" s="2">
        <v>-90.66</v>
      </c>
      <c r="M104" s="2">
        <v>-202.58</v>
      </c>
      <c r="N104" s="2">
        <v>-51.397500000000001</v>
      </c>
    </row>
    <row r="105" spans="1:14" x14ac:dyDescent="0.25">
      <c r="A105" s="1">
        <v>41671</v>
      </c>
      <c r="B105" t="s">
        <v>3</v>
      </c>
      <c r="C105">
        <v>4664871</v>
      </c>
      <c r="D105">
        <v>-4.1100000000000003</v>
      </c>
      <c r="I105" s="5">
        <v>42036</v>
      </c>
      <c r="J105" s="2">
        <v>75.28</v>
      </c>
      <c r="K105" s="2">
        <v>47.34</v>
      </c>
      <c r="L105" s="2">
        <v>-70.87</v>
      </c>
      <c r="M105" s="2">
        <v>-183.21</v>
      </c>
      <c r="N105" s="2">
        <v>-32.865000000000002</v>
      </c>
    </row>
    <row r="106" spans="1:14" x14ac:dyDescent="0.25">
      <c r="A106" s="1">
        <v>41671</v>
      </c>
      <c r="B106" t="s">
        <v>4</v>
      </c>
      <c r="C106">
        <v>39356</v>
      </c>
      <c r="D106">
        <v>-44.17</v>
      </c>
      <c r="I106" s="5">
        <v>42064</v>
      </c>
      <c r="J106" s="2">
        <v>70.33</v>
      </c>
      <c r="K106" s="2">
        <v>42.62</v>
      </c>
      <c r="L106" s="2">
        <v>-72.64</v>
      </c>
      <c r="M106" s="2">
        <v>-185.56</v>
      </c>
      <c r="N106" s="2">
        <v>-36.3125</v>
      </c>
    </row>
    <row r="107" spans="1:14" x14ac:dyDescent="0.25">
      <c r="A107" s="1">
        <v>41671</v>
      </c>
      <c r="B107" t="s">
        <v>5</v>
      </c>
      <c r="C107">
        <v>181219</v>
      </c>
      <c r="D107">
        <v>-194.34</v>
      </c>
      <c r="I107" s="5">
        <v>42095</v>
      </c>
      <c r="J107" s="2">
        <v>65.55</v>
      </c>
      <c r="K107" s="2">
        <v>36.86</v>
      </c>
      <c r="L107" s="2">
        <v>-68.709999999999994</v>
      </c>
      <c r="M107" s="2">
        <v>-187.73</v>
      </c>
      <c r="N107" s="2">
        <v>-38.507499999999993</v>
      </c>
    </row>
    <row r="108" spans="1:14" x14ac:dyDescent="0.25">
      <c r="A108" s="1">
        <v>41671</v>
      </c>
      <c r="B108" t="s">
        <v>6</v>
      </c>
      <c r="C108">
        <v>129983</v>
      </c>
      <c r="D108">
        <v>-274.16000000000003</v>
      </c>
      <c r="I108" s="5">
        <v>42125</v>
      </c>
      <c r="J108" s="2">
        <v>74.22</v>
      </c>
      <c r="K108" s="2">
        <v>45.06</v>
      </c>
      <c r="L108" s="2">
        <v>-50.52</v>
      </c>
      <c r="M108" s="2">
        <v>-175.02</v>
      </c>
      <c r="N108" s="2">
        <v>-26.565000000000005</v>
      </c>
    </row>
    <row r="109" spans="1:14" x14ac:dyDescent="0.25">
      <c r="A109" s="1">
        <v>41640</v>
      </c>
      <c r="B109" t="s">
        <v>3</v>
      </c>
      <c r="C109">
        <v>4650886</v>
      </c>
      <c r="D109">
        <v>-3.95</v>
      </c>
      <c r="I109" s="5">
        <v>42156</v>
      </c>
      <c r="J109" s="2">
        <v>56.75</v>
      </c>
      <c r="K109" s="2">
        <v>27.09</v>
      </c>
      <c r="L109" s="2">
        <v>-58.89</v>
      </c>
      <c r="M109" s="2">
        <v>-187.86</v>
      </c>
      <c r="N109" s="2">
        <v>-40.727500000000006</v>
      </c>
    </row>
    <row r="110" spans="1:14" x14ac:dyDescent="0.25">
      <c r="A110" s="1">
        <v>41640</v>
      </c>
      <c r="B110" t="s">
        <v>4</v>
      </c>
      <c r="C110">
        <v>39152</v>
      </c>
      <c r="D110">
        <v>-46.05</v>
      </c>
      <c r="I110" s="5">
        <v>42186</v>
      </c>
      <c r="J110" s="2">
        <v>40.590000000000003</v>
      </c>
      <c r="K110" s="2">
        <v>10.41</v>
      </c>
      <c r="L110" s="2">
        <v>-70.67</v>
      </c>
      <c r="M110" s="2">
        <v>-199.94</v>
      </c>
      <c r="N110" s="2">
        <v>-54.902500000000003</v>
      </c>
    </row>
    <row r="111" spans="1:14" x14ac:dyDescent="0.25">
      <c r="A111" s="1">
        <v>41640</v>
      </c>
      <c r="B111" t="s">
        <v>5</v>
      </c>
      <c r="C111">
        <v>180381</v>
      </c>
      <c r="D111">
        <v>-197.34</v>
      </c>
      <c r="I111" s="5">
        <v>42217</v>
      </c>
      <c r="J111" s="2">
        <v>34.39</v>
      </c>
      <c r="K111" s="2">
        <v>4.38</v>
      </c>
      <c r="L111" s="2">
        <v>-72.72</v>
      </c>
      <c r="M111" s="2">
        <v>-202.18</v>
      </c>
      <c r="N111" s="2">
        <v>-59.032499999999999</v>
      </c>
    </row>
    <row r="112" spans="1:14" x14ac:dyDescent="0.25">
      <c r="A112" s="1">
        <v>41640</v>
      </c>
      <c r="B112" t="s">
        <v>6</v>
      </c>
      <c r="C112">
        <v>129295</v>
      </c>
      <c r="D112">
        <v>-275.74</v>
      </c>
      <c r="I112" s="5">
        <v>42248</v>
      </c>
      <c r="J112" s="2">
        <v>48.51</v>
      </c>
      <c r="K112" s="2">
        <v>12.37</v>
      </c>
      <c r="L112" s="2">
        <v>-50.32</v>
      </c>
      <c r="M112" s="2">
        <v>-175.5</v>
      </c>
      <c r="N112" s="2">
        <v>-41.234999999999999</v>
      </c>
    </row>
    <row r="113" spans="1:14" x14ac:dyDescent="0.25">
      <c r="A113" s="1">
        <v>41609</v>
      </c>
      <c r="B113" t="s">
        <v>3</v>
      </c>
      <c r="C113">
        <v>4633969</v>
      </c>
      <c r="D113">
        <v>15.29</v>
      </c>
      <c r="I113" s="5">
        <v>42278</v>
      </c>
      <c r="J113" s="2">
        <v>49.28</v>
      </c>
      <c r="K113" s="2">
        <v>13.88</v>
      </c>
      <c r="L113" s="2">
        <v>-48.43</v>
      </c>
      <c r="M113" s="2">
        <v>-172.3</v>
      </c>
      <c r="N113" s="2">
        <v>-39.392499999999998</v>
      </c>
    </row>
    <row r="114" spans="1:14" x14ac:dyDescent="0.25">
      <c r="A114" s="1">
        <v>41609</v>
      </c>
      <c r="B114" t="s">
        <v>4</v>
      </c>
      <c r="C114">
        <v>38708</v>
      </c>
      <c r="D114">
        <v>-29.69</v>
      </c>
      <c r="I114" s="5">
        <v>42309</v>
      </c>
      <c r="J114" s="2">
        <v>58.68</v>
      </c>
      <c r="K114" s="2">
        <v>24.83</v>
      </c>
      <c r="L114" s="2">
        <v>-37.909999999999997</v>
      </c>
      <c r="M114" s="2">
        <v>-160.38</v>
      </c>
      <c r="N114" s="2">
        <v>-28.695</v>
      </c>
    </row>
    <row r="115" spans="1:14" x14ac:dyDescent="0.25">
      <c r="A115" s="1">
        <v>41609</v>
      </c>
      <c r="B115" t="s">
        <v>5</v>
      </c>
      <c r="C115">
        <v>179297</v>
      </c>
      <c r="D115">
        <v>-181.32</v>
      </c>
      <c r="I115" s="5">
        <v>42339</v>
      </c>
      <c r="J115" s="2">
        <v>41.08</v>
      </c>
      <c r="K115" s="2">
        <v>9.31</v>
      </c>
      <c r="L115" s="2">
        <v>-54.47</v>
      </c>
      <c r="M115" s="2">
        <v>-175.65</v>
      </c>
      <c r="N115" s="2">
        <v>-44.932500000000005</v>
      </c>
    </row>
    <row r="116" spans="1:14" x14ac:dyDescent="0.25">
      <c r="A116" s="1">
        <v>41609</v>
      </c>
      <c r="B116" t="s">
        <v>6</v>
      </c>
      <c r="C116">
        <v>128441</v>
      </c>
      <c r="D116">
        <v>-258.12</v>
      </c>
      <c r="I116" s="5">
        <v>42370</v>
      </c>
      <c r="J116" s="2">
        <v>38.880000000000003</v>
      </c>
      <c r="K116" s="2">
        <v>9.2100000000000009</v>
      </c>
      <c r="L116" s="2">
        <v>-55.57</v>
      </c>
      <c r="M116" s="2">
        <v>-176.58</v>
      </c>
      <c r="N116" s="2">
        <v>-46.015000000000001</v>
      </c>
    </row>
    <row r="117" spans="1:14" x14ac:dyDescent="0.25">
      <c r="A117" s="1">
        <v>41579</v>
      </c>
      <c r="B117" t="s">
        <v>3</v>
      </c>
      <c r="C117">
        <v>4613766</v>
      </c>
      <c r="D117">
        <v>25.9</v>
      </c>
      <c r="I117" s="5">
        <v>42401</v>
      </c>
      <c r="J117" s="2">
        <v>47.33</v>
      </c>
      <c r="K117" s="2">
        <v>19.14</v>
      </c>
      <c r="L117" s="2">
        <v>-46.14</v>
      </c>
      <c r="M117" s="2">
        <v>-166.93</v>
      </c>
      <c r="N117" s="2">
        <v>-36.650000000000006</v>
      </c>
    </row>
    <row r="118" spans="1:14" x14ac:dyDescent="0.25">
      <c r="A118" s="1">
        <v>41579</v>
      </c>
      <c r="B118" t="s">
        <v>4</v>
      </c>
      <c r="C118">
        <v>37922</v>
      </c>
      <c r="D118">
        <v>-22.64</v>
      </c>
      <c r="I118" s="5">
        <v>42430</v>
      </c>
      <c r="J118" s="2">
        <v>69.34</v>
      </c>
      <c r="K118" s="2">
        <v>42.93</v>
      </c>
      <c r="L118" s="2">
        <v>-23.27</v>
      </c>
      <c r="M118" s="2">
        <v>-143.85</v>
      </c>
      <c r="N118" s="2">
        <v>-13.712499999999995</v>
      </c>
    </row>
    <row r="119" spans="1:14" x14ac:dyDescent="0.25">
      <c r="A119" s="1">
        <v>41579</v>
      </c>
      <c r="B119" t="s">
        <v>5</v>
      </c>
      <c r="C119">
        <v>178549</v>
      </c>
      <c r="D119">
        <v>-174.14</v>
      </c>
      <c r="I119" s="5">
        <v>42461</v>
      </c>
      <c r="J119" s="2" t="e">
        <v>#DIV/0!</v>
      </c>
      <c r="K119" s="2"/>
      <c r="L119" s="2" t="e">
        <v>#DIV/0!</v>
      </c>
      <c r="M119" s="2" t="e">
        <v>#DIV/0!</v>
      </c>
      <c r="N119" s="2" t="e">
        <v>#DIV/0!</v>
      </c>
    </row>
    <row r="120" spans="1:14" x14ac:dyDescent="0.25">
      <c r="A120" s="1">
        <v>41579</v>
      </c>
      <c r="B120" t="s">
        <v>6</v>
      </c>
      <c r="C120">
        <v>127620</v>
      </c>
      <c r="D120">
        <v>-252.48</v>
      </c>
      <c r="I120" s="5" t="s">
        <v>9</v>
      </c>
      <c r="J120" s="2">
        <v>62.231913043478265</v>
      </c>
      <c r="K120" s="2">
        <v>45.43118279569893</v>
      </c>
      <c r="L120" s="2">
        <v>-112.43684210526312</v>
      </c>
      <c r="M120" s="2">
        <v>-197.21355555555553</v>
      </c>
      <c r="N120" s="2">
        <v>-18.352705167173252</v>
      </c>
    </row>
    <row r="121" spans="1:14" x14ac:dyDescent="0.25">
      <c r="A121" s="1">
        <v>41548</v>
      </c>
      <c r="B121" t="s">
        <v>3</v>
      </c>
      <c r="C121">
        <v>4595294</v>
      </c>
      <c r="D121">
        <v>-2.34</v>
      </c>
    </row>
    <row r="122" spans="1:14" x14ac:dyDescent="0.25">
      <c r="A122" s="1">
        <v>41548</v>
      </c>
      <c r="B122" t="s">
        <v>4</v>
      </c>
      <c r="C122">
        <v>37422</v>
      </c>
      <c r="D122">
        <v>-53.92</v>
      </c>
    </row>
    <row r="123" spans="1:14" x14ac:dyDescent="0.25">
      <c r="A123" s="1">
        <v>41548</v>
      </c>
      <c r="B123" t="s">
        <v>5</v>
      </c>
      <c r="C123">
        <v>176434</v>
      </c>
      <c r="D123">
        <v>-204.88</v>
      </c>
    </row>
    <row r="124" spans="1:14" x14ac:dyDescent="0.25">
      <c r="A124" s="1">
        <v>41548</v>
      </c>
      <c r="B124" t="s">
        <v>6</v>
      </c>
      <c r="C124">
        <v>126418</v>
      </c>
      <c r="D124">
        <v>-283.23</v>
      </c>
    </row>
    <row r="125" spans="1:14" x14ac:dyDescent="0.25">
      <c r="A125" s="1">
        <v>41518</v>
      </c>
      <c r="B125" t="s">
        <v>3</v>
      </c>
      <c r="C125">
        <v>4602556</v>
      </c>
      <c r="D125">
        <v>1.77</v>
      </c>
    </row>
    <row r="126" spans="1:14" x14ac:dyDescent="0.25">
      <c r="A126" s="1">
        <v>41518</v>
      </c>
      <c r="B126" t="s">
        <v>4</v>
      </c>
      <c r="C126">
        <v>36914</v>
      </c>
      <c r="D126">
        <v>-53.29</v>
      </c>
    </row>
    <row r="127" spans="1:14" x14ac:dyDescent="0.25">
      <c r="A127" s="1">
        <v>41518</v>
      </c>
      <c r="B127" t="s">
        <v>5</v>
      </c>
      <c r="C127">
        <v>174502</v>
      </c>
      <c r="D127">
        <v>-203.16</v>
      </c>
    </row>
    <row r="128" spans="1:14" x14ac:dyDescent="0.25">
      <c r="A128" s="1">
        <v>41518</v>
      </c>
      <c r="B128" t="s">
        <v>6</v>
      </c>
      <c r="C128">
        <v>124807</v>
      </c>
      <c r="D128">
        <v>-282.10000000000002</v>
      </c>
    </row>
    <row r="129" spans="1:4" x14ac:dyDescent="0.25">
      <c r="A129" s="1">
        <v>41487</v>
      </c>
      <c r="B129" t="s">
        <v>3</v>
      </c>
      <c r="C129">
        <v>4618490</v>
      </c>
      <c r="D129">
        <v>13.92</v>
      </c>
    </row>
    <row r="130" spans="1:4" x14ac:dyDescent="0.25">
      <c r="A130" s="1">
        <v>41487</v>
      </c>
      <c r="B130" t="s">
        <v>4</v>
      </c>
      <c r="C130">
        <v>36548</v>
      </c>
      <c r="D130">
        <v>-44.08</v>
      </c>
    </row>
    <row r="131" spans="1:4" x14ac:dyDescent="0.25">
      <c r="A131" s="1">
        <v>41487</v>
      </c>
      <c r="B131" t="s">
        <v>5</v>
      </c>
      <c r="C131">
        <v>172069</v>
      </c>
      <c r="D131">
        <v>-198.69</v>
      </c>
    </row>
    <row r="132" spans="1:4" x14ac:dyDescent="0.25">
      <c r="A132" s="1">
        <v>41487</v>
      </c>
      <c r="B132" t="s">
        <v>6</v>
      </c>
      <c r="C132">
        <v>122306</v>
      </c>
      <c r="D132">
        <v>-272.77</v>
      </c>
    </row>
    <row r="133" spans="1:4" x14ac:dyDescent="0.25">
      <c r="A133" s="1">
        <v>41456</v>
      </c>
      <c r="B133" t="s">
        <v>3</v>
      </c>
      <c r="C133">
        <v>4611214</v>
      </c>
      <c r="D133">
        <v>47.88</v>
      </c>
    </row>
    <row r="134" spans="1:4" x14ac:dyDescent="0.25">
      <c r="A134" s="1">
        <v>41456</v>
      </c>
      <c r="B134" t="s">
        <v>4</v>
      </c>
      <c r="C134">
        <v>36090</v>
      </c>
      <c r="D134">
        <v>-13.33</v>
      </c>
    </row>
    <row r="135" spans="1:4" x14ac:dyDescent="0.25">
      <c r="A135" s="1">
        <v>41456</v>
      </c>
      <c r="B135" t="s">
        <v>5</v>
      </c>
      <c r="C135">
        <v>169149</v>
      </c>
      <c r="D135">
        <v>-149.46</v>
      </c>
    </row>
    <row r="136" spans="1:4" x14ac:dyDescent="0.25">
      <c r="A136" s="1">
        <v>41456</v>
      </c>
      <c r="B136" t="s">
        <v>6</v>
      </c>
      <c r="C136">
        <v>119754</v>
      </c>
      <c r="D136">
        <v>-210.33</v>
      </c>
    </row>
    <row r="137" spans="1:4" x14ac:dyDescent="0.25">
      <c r="A137" s="1">
        <v>41426</v>
      </c>
      <c r="B137" t="s">
        <v>3</v>
      </c>
      <c r="C137">
        <v>4615454</v>
      </c>
      <c r="D137">
        <v>106.16</v>
      </c>
    </row>
    <row r="138" spans="1:4" x14ac:dyDescent="0.25">
      <c r="A138" s="1">
        <v>41426</v>
      </c>
      <c r="B138" t="s">
        <v>4</v>
      </c>
      <c r="C138">
        <v>35716</v>
      </c>
      <c r="D138">
        <v>42.91</v>
      </c>
    </row>
    <row r="139" spans="1:4" x14ac:dyDescent="0.25">
      <c r="A139" s="1">
        <v>41426</v>
      </c>
      <c r="B139" t="s">
        <v>5</v>
      </c>
      <c r="C139">
        <v>165165</v>
      </c>
      <c r="D139">
        <v>-98.39</v>
      </c>
    </row>
    <row r="140" spans="1:4" x14ac:dyDescent="0.25">
      <c r="A140" s="1">
        <v>41426</v>
      </c>
      <c r="B140" t="s">
        <v>6</v>
      </c>
      <c r="C140">
        <v>116170</v>
      </c>
      <c r="D140">
        <v>-155.61000000000001</v>
      </c>
    </row>
    <row r="141" spans="1:4" x14ac:dyDescent="0.25">
      <c r="A141" s="1">
        <v>41395</v>
      </c>
      <c r="B141" t="s">
        <v>3</v>
      </c>
      <c r="C141">
        <v>4594775</v>
      </c>
      <c r="D141">
        <v>116.22</v>
      </c>
    </row>
    <row r="142" spans="1:4" x14ac:dyDescent="0.25">
      <c r="A142" s="1">
        <v>41395</v>
      </c>
      <c r="B142" t="s">
        <v>4</v>
      </c>
      <c r="C142">
        <v>35059</v>
      </c>
      <c r="D142">
        <v>51.84</v>
      </c>
    </row>
    <row r="143" spans="1:4" x14ac:dyDescent="0.25">
      <c r="A143" s="1">
        <v>41395</v>
      </c>
      <c r="B143" t="s">
        <v>5</v>
      </c>
      <c r="C143">
        <v>159792</v>
      </c>
      <c r="D143">
        <v>-96.53</v>
      </c>
    </row>
    <row r="144" spans="1:4" x14ac:dyDescent="0.25">
      <c r="A144" s="1">
        <v>41395</v>
      </c>
      <c r="B144" t="s">
        <v>6</v>
      </c>
      <c r="C144">
        <v>111896</v>
      </c>
      <c r="D144">
        <v>-147.13999999999999</v>
      </c>
    </row>
    <row r="145" spans="1:4" x14ac:dyDescent="0.25">
      <c r="A145" s="1">
        <v>41365</v>
      </c>
      <c r="B145" t="s">
        <v>3</v>
      </c>
      <c r="C145">
        <v>4596004</v>
      </c>
      <c r="D145">
        <v>107.54</v>
      </c>
    </row>
    <row r="146" spans="1:4" x14ac:dyDescent="0.25">
      <c r="A146" s="1">
        <v>41365</v>
      </c>
      <c r="B146" t="s">
        <v>4</v>
      </c>
      <c r="C146">
        <v>34467</v>
      </c>
      <c r="D146">
        <v>40.369999999999997</v>
      </c>
    </row>
    <row r="147" spans="1:4" x14ac:dyDescent="0.25">
      <c r="A147" s="1">
        <v>41365</v>
      </c>
      <c r="B147" t="s">
        <v>5</v>
      </c>
      <c r="C147">
        <v>153811</v>
      </c>
      <c r="D147">
        <v>-110.29</v>
      </c>
    </row>
    <row r="148" spans="1:4" x14ac:dyDescent="0.25">
      <c r="A148" s="1">
        <v>41365</v>
      </c>
      <c r="B148" t="s">
        <v>6</v>
      </c>
      <c r="C148">
        <v>106826</v>
      </c>
      <c r="D148">
        <v>-156.63999999999999</v>
      </c>
    </row>
    <row r="149" spans="1:4" x14ac:dyDescent="0.25">
      <c r="A149" s="1">
        <v>41334</v>
      </c>
      <c r="B149" t="s">
        <v>3</v>
      </c>
      <c r="C149">
        <v>4573294</v>
      </c>
      <c r="D149">
        <v>113.38</v>
      </c>
    </row>
    <row r="150" spans="1:4" x14ac:dyDescent="0.25">
      <c r="A150" s="1">
        <v>41334</v>
      </c>
      <c r="B150" t="s">
        <v>4</v>
      </c>
      <c r="C150">
        <v>34246</v>
      </c>
      <c r="D150">
        <v>45.14</v>
      </c>
    </row>
    <row r="151" spans="1:4" x14ac:dyDescent="0.25">
      <c r="A151" s="1">
        <v>41334</v>
      </c>
      <c r="B151" t="s">
        <v>5</v>
      </c>
      <c r="C151">
        <v>146201</v>
      </c>
      <c r="D151">
        <v>-111.25</v>
      </c>
    </row>
    <row r="152" spans="1:4" x14ac:dyDescent="0.25">
      <c r="A152" s="1">
        <v>41334</v>
      </c>
      <c r="B152" t="s">
        <v>6</v>
      </c>
      <c r="C152">
        <v>100048</v>
      </c>
      <c r="D152">
        <v>-151.94</v>
      </c>
    </row>
    <row r="153" spans="1:4" x14ac:dyDescent="0.25">
      <c r="A153" s="1">
        <v>41306</v>
      </c>
      <c r="B153" t="s">
        <v>3</v>
      </c>
      <c r="C153">
        <v>4556963</v>
      </c>
      <c r="D153">
        <v>132.08000000000001</v>
      </c>
    </row>
    <row r="154" spans="1:4" x14ac:dyDescent="0.25">
      <c r="A154" s="1">
        <v>41306</v>
      </c>
      <c r="B154" t="s">
        <v>4</v>
      </c>
      <c r="C154">
        <v>32887</v>
      </c>
      <c r="D154">
        <v>63.62</v>
      </c>
    </row>
    <row r="155" spans="1:4" x14ac:dyDescent="0.25">
      <c r="A155" s="1">
        <v>41306</v>
      </c>
      <c r="B155" t="s">
        <v>5</v>
      </c>
      <c r="C155">
        <v>138426</v>
      </c>
      <c r="D155">
        <v>-96.21</v>
      </c>
    </row>
    <row r="156" spans="1:4" x14ac:dyDescent="0.25">
      <c r="A156" s="1">
        <v>41306</v>
      </c>
      <c r="B156" t="s">
        <v>6</v>
      </c>
      <c r="C156">
        <v>92889</v>
      </c>
      <c r="D156">
        <v>-135.38</v>
      </c>
    </row>
    <row r="157" spans="1:4" x14ac:dyDescent="0.25">
      <c r="A157" s="1">
        <v>41275</v>
      </c>
      <c r="B157" t="s">
        <v>3</v>
      </c>
      <c r="C157">
        <v>4563919</v>
      </c>
      <c r="D157">
        <v>143.32</v>
      </c>
    </row>
    <row r="158" spans="1:4" x14ac:dyDescent="0.25">
      <c r="A158" s="1">
        <v>41275</v>
      </c>
      <c r="B158" t="s">
        <v>4</v>
      </c>
      <c r="C158">
        <v>32090</v>
      </c>
      <c r="D158">
        <v>75.87</v>
      </c>
    </row>
    <row r="159" spans="1:4" x14ac:dyDescent="0.25">
      <c r="A159" s="1">
        <v>41275</v>
      </c>
      <c r="B159" t="s">
        <v>5</v>
      </c>
      <c r="C159">
        <v>132100</v>
      </c>
      <c r="D159">
        <v>-88.01</v>
      </c>
    </row>
    <row r="160" spans="1:4" x14ac:dyDescent="0.25">
      <c r="A160" s="1">
        <v>41275</v>
      </c>
      <c r="B160" t="s">
        <v>6</v>
      </c>
      <c r="C160">
        <v>86487</v>
      </c>
      <c r="D160">
        <v>-126.02</v>
      </c>
    </row>
    <row r="161" spans="1:4" x14ac:dyDescent="0.25">
      <c r="A161" s="1">
        <v>41244</v>
      </c>
      <c r="B161" t="s">
        <v>3</v>
      </c>
      <c r="C161">
        <v>4560341</v>
      </c>
      <c r="D161">
        <v>145.58000000000001</v>
      </c>
    </row>
    <row r="162" spans="1:4" x14ac:dyDescent="0.25">
      <c r="A162" s="1">
        <v>41244</v>
      </c>
      <c r="B162" t="s">
        <v>4</v>
      </c>
      <c r="C162">
        <v>30792</v>
      </c>
      <c r="D162">
        <v>77.37</v>
      </c>
    </row>
    <row r="163" spans="1:4" x14ac:dyDescent="0.25">
      <c r="A163" s="1">
        <v>41244</v>
      </c>
      <c r="B163" t="s">
        <v>5</v>
      </c>
      <c r="C163">
        <v>125989</v>
      </c>
      <c r="D163">
        <v>-87.98</v>
      </c>
    </row>
    <row r="164" spans="1:4" x14ac:dyDescent="0.25">
      <c r="A164" s="1">
        <v>41244</v>
      </c>
      <c r="B164" t="s">
        <v>6</v>
      </c>
      <c r="C164">
        <v>80480</v>
      </c>
      <c r="D164">
        <v>-124.62</v>
      </c>
    </row>
    <row r="165" spans="1:4" x14ac:dyDescent="0.25">
      <c r="A165" s="1">
        <v>41214</v>
      </c>
      <c r="B165" t="s">
        <v>3</v>
      </c>
      <c r="C165">
        <v>4611777</v>
      </c>
      <c r="D165">
        <v>148.57</v>
      </c>
    </row>
    <row r="166" spans="1:4" x14ac:dyDescent="0.25">
      <c r="A166" s="1">
        <v>41214</v>
      </c>
      <c r="B166" t="s">
        <v>4</v>
      </c>
      <c r="C166">
        <v>30969</v>
      </c>
      <c r="D166">
        <v>81.98</v>
      </c>
    </row>
    <row r="167" spans="1:4" x14ac:dyDescent="0.25">
      <c r="A167" s="1">
        <v>41214</v>
      </c>
      <c r="B167" t="s">
        <v>5</v>
      </c>
      <c r="C167">
        <v>122017</v>
      </c>
      <c r="D167">
        <v>-86.74</v>
      </c>
    </row>
    <row r="168" spans="1:4" x14ac:dyDescent="0.25">
      <c r="A168" s="1">
        <v>41214</v>
      </c>
      <c r="B168" t="s">
        <v>6</v>
      </c>
      <c r="C168">
        <v>75671</v>
      </c>
      <c r="D168">
        <v>-124.37</v>
      </c>
    </row>
    <row r="169" spans="1:4" x14ac:dyDescent="0.25">
      <c r="A169" s="1">
        <v>41183</v>
      </c>
      <c r="B169" t="s">
        <v>3</v>
      </c>
      <c r="C169">
        <v>4562906</v>
      </c>
      <c r="D169">
        <v>143.47999999999999</v>
      </c>
    </row>
    <row r="170" spans="1:4" x14ac:dyDescent="0.25">
      <c r="A170" s="1">
        <v>41183</v>
      </c>
      <c r="B170" t="s">
        <v>4</v>
      </c>
      <c r="C170">
        <v>28616</v>
      </c>
      <c r="D170">
        <v>78.78</v>
      </c>
    </row>
    <row r="171" spans="1:4" x14ac:dyDescent="0.25">
      <c r="A171" s="1">
        <v>41183</v>
      </c>
      <c r="B171" t="s">
        <v>5</v>
      </c>
      <c r="C171">
        <v>113044</v>
      </c>
      <c r="D171">
        <v>-93.66</v>
      </c>
    </row>
    <row r="172" spans="1:4" x14ac:dyDescent="0.25">
      <c r="A172" s="1">
        <v>41183</v>
      </c>
      <c r="B172" t="s">
        <v>6</v>
      </c>
      <c r="C172">
        <v>66191</v>
      </c>
      <c r="D172">
        <v>-131.52000000000001</v>
      </c>
    </row>
    <row r="173" spans="1:4" x14ac:dyDescent="0.25">
      <c r="A173" s="1">
        <v>41153</v>
      </c>
      <c r="B173" t="s">
        <v>3</v>
      </c>
      <c r="C173">
        <v>4572486</v>
      </c>
      <c r="D173">
        <v>136.24</v>
      </c>
    </row>
    <row r="174" spans="1:4" x14ac:dyDescent="0.25">
      <c r="A174" s="1">
        <v>41153</v>
      </c>
      <c r="B174" t="s">
        <v>4</v>
      </c>
      <c r="C174">
        <v>26432</v>
      </c>
      <c r="D174">
        <v>74.17</v>
      </c>
    </row>
    <row r="175" spans="1:4" x14ac:dyDescent="0.25">
      <c r="A175" s="1">
        <v>41153</v>
      </c>
      <c r="B175" t="s">
        <v>5</v>
      </c>
      <c r="C175">
        <v>106940</v>
      </c>
      <c r="D175">
        <v>-100.5</v>
      </c>
    </row>
    <row r="176" spans="1:4" x14ac:dyDescent="0.25">
      <c r="A176" s="1">
        <v>41153</v>
      </c>
      <c r="B176" t="s">
        <v>6</v>
      </c>
      <c r="C176">
        <v>59080</v>
      </c>
      <c r="D176">
        <v>-139.16999999999999</v>
      </c>
    </row>
    <row r="177" spans="1:4" x14ac:dyDescent="0.25">
      <c r="A177" s="1">
        <v>41122</v>
      </c>
      <c r="B177" t="s">
        <v>3</v>
      </c>
      <c r="C177">
        <v>4600699</v>
      </c>
      <c r="D177">
        <v>142.72999999999999</v>
      </c>
    </row>
    <row r="178" spans="1:4" x14ac:dyDescent="0.25">
      <c r="A178" s="1">
        <v>41122</v>
      </c>
      <c r="B178" t="s">
        <v>4</v>
      </c>
      <c r="C178">
        <v>24727</v>
      </c>
      <c r="D178">
        <v>79.099999999999994</v>
      </c>
    </row>
    <row r="179" spans="1:4" x14ac:dyDescent="0.25">
      <c r="A179" s="1">
        <v>41122</v>
      </c>
      <c r="B179" t="s">
        <v>5</v>
      </c>
      <c r="C179">
        <v>99923</v>
      </c>
      <c r="D179">
        <v>-93.33</v>
      </c>
    </row>
    <row r="180" spans="1:4" x14ac:dyDescent="0.25">
      <c r="A180" s="1">
        <v>41122</v>
      </c>
      <c r="B180" t="s">
        <v>6</v>
      </c>
      <c r="C180">
        <v>50703</v>
      </c>
      <c r="D180">
        <v>-133.24</v>
      </c>
    </row>
    <row r="181" spans="1:4" x14ac:dyDescent="0.25">
      <c r="A181" s="1">
        <v>41091</v>
      </c>
      <c r="B181" t="s">
        <v>3</v>
      </c>
      <c r="C181">
        <v>4597371</v>
      </c>
      <c r="D181">
        <v>133.13999999999999</v>
      </c>
    </row>
    <row r="182" spans="1:4" x14ac:dyDescent="0.25">
      <c r="A182" s="1">
        <v>41091</v>
      </c>
      <c r="B182" t="s">
        <v>4</v>
      </c>
      <c r="C182">
        <v>23899</v>
      </c>
      <c r="D182">
        <v>68.12</v>
      </c>
    </row>
    <row r="183" spans="1:4" x14ac:dyDescent="0.25">
      <c r="A183" s="1">
        <v>41091</v>
      </c>
      <c r="B183" t="s">
        <v>5</v>
      </c>
      <c r="C183">
        <v>92492</v>
      </c>
      <c r="D183">
        <v>-100.14</v>
      </c>
    </row>
    <row r="184" spans="1:4" x14ac:dyDescent="0.25">
      <c r="A184" s="1">
        <v>41091</v>
      </c>
      <c r="B184" t="s">
        <v>6</v>
      </c>
      <c r="C184">
        <v>41218</v>
      </c>
      <c r="D184">
        <v>-142.08000000000001</v>
      </c>
    </row>
    <row r="185" spans="1:4" x14ac:dyDescent="0.25">
      <c r="A185" s="1">
        <v>41061</v>
      </c>
      <c r="B185" t="s">
        <v>3</v>
      </c>
      <c r="C185">
        <v>4619218</v>
      </c>
      <c r="D185">
        <v>122.47</v>
      </c>
    </row>
    <row r="186" spans="1:4" x14ac:dyDescent="0.25">
      <c r="A186" s="1">
        <v>41061</v>
      </c>
      <c r="B186" t="s">
        <v>4</v>
      </c>
      <c r="C186">
        <v>23108</v>
      </c>
      <c r="D186">
        <v>55.82</v>
      </c>
    </row>
    <row r="187" spans="1:4" x14ac:dyDescent="0.25">
      <c r="A187" s="1">
        <v>41061</v>
      </c>
      <c r="B187" t="s">
        <v>5</v>
      </c>
      <c r="C187">
        <v>84417</v>
      </c>
      <c r="D187">
        <v>-106.89</v>
      </c>
    </row>
    <row r="188" spans="1:4" x14ac:dyDescent="0.25">
      <c r="A188" s="1">
        <v>41061</v>
      </c>
      <c r="B188" t="s">
        <v>6</v>
      </c>
      <c r="C188">
        <v>31494</v>
      </c>
      <c r="D188" t="s">
        <v>13</v>
      </c>
    </row>
    <row r="189" spans="1:4" x14ac:dyDescent="0.25">
      <c r="A189" s="1">
        <v>41030</v>
      </c>
      <c r="B189" t="s">
        <v>3</v>
      </c>
      <c r="C189">
        <v>4616424</v>
      </c>
      <c r="D189">
        <v>112.02</v>
      </c>
    </row>
    <row r="190" spans="1:4" x14ac:dyDescent="0.25">
      <c r="A190" s="1">
        <v>41030</v>
      </c>
      <c r="B190" t="s">
        <v>4</v>
      </c>
      <c r="C190">
        <v>21637</v>
      </c>
      <c r="D190">
        <v>46.93</v>
      </c>
    </row>
    <row r="191" spans="1:4" x14ac:dyDescent="0.25">
      <c r="A191" s="1">
        <v>41030</v>
      </c>
      <c r="B191" t="s">
        <v>5</v>
      </c>
      <c r="C191">
        <v>75056</v>
      </c>
      <c r="D191">
        <v>-113.14</v>
      </c>
    </row>
    <row r="192" spans="1:4" x14ac:dyDescent="0.25">
      <c r="A192" s="1">
        <v>41000</v>
      </c>
      <c r="B192" t="s">
        <v>3</v>
      </c>
      <c r="C192">
        <v>4655645</v>
      </c>
      <c r="D192">
        <v>104.89</v>
      </c>
    </row>
    <row r="193" spans="1:4" x14ac:dyDescent="0.25">
      <c r="A193" s="1">
        <v>41000</v>
      </c>
      <c r="B193" t="s">
        <v>4</v>
      </c>
      <c r="C193">
        <v>20811</v>
      </c>
      <c r="D193">
        <v>42.05</v>
      </c>
    </row>
    <row r="194" spans="1:4" x14ac:dyDescent="0.25">
      <c r="A194" s="1">
        <v>41000</v>
      </c>
      <c r="B194" t="s">
        <v>5</v>
      </c>
      <c r="C194">
        <v>68501</v>
      </c>
      <c r="D194">
        <v>-114.6</v>
      </c>
    </row>
    <row r="195" spans="1:4" x14ac:dyDescent="0.25">
      <c r="A195" s="1">
        <v>40969</v>
      </c>
      <c r="B195" t="s">
        <v>3</v>
      </c>
      <c r="C195">
        <v>4666700</v>
      </c>
      <c r="D195">
        <v>111.5</v>
      </c>
    </row>
    <row r="196" spans="1:4" x14ac:dyDescent="0.25">
      <c r="A196" s="1">
        <v>40969</v>
      </c>
      <c r="B196" t="s">
        <v>4</v>
      </c>
      <c r="C196">
        <v>20526</v>
      </c>
      <c r="D196">
        <v>52.45</v>
      </c>
    </row>
    <row r="197" spans="1:4" x14ac:dyDescent="0.25">
      <c r="A197" s="1">
        <v>40969</v>
      </c>
      <c r="B197" t="s">
        <v>5</v>
      </c>
      <c r="C197">
        <v>63657</v>
      </c>
      <c r="D197">
        <v>-97.74</v>
      </c>
    </row>
    <row r="198" spans="1:4" x14ac:dyDescent="0.25">
      <c r="A198" s="1">
        <v>40940</v>
      </c>
      <c r="B198" t="s">
        <v>3</v>
      </c>
      <c r="C198">
        <v>4666198</v>
      </c>
      <c r="D198">
        <v>113.67</v>
      </c>
    </row>
    <row r="199" spans="1:4" x14ac:dyDescent="0.25">
      <c r="A199" s="1">
        <v>40940</v>
      </c>
      <c r="B199" t="s">
        <v>4</v>
      </c>
      <c r="C199">
        <v>18433</v>
      </c>
      <c r="D199">
        <v>56.16</v>
      </c>
    </row>
    <row r="200" spans="1:4" x14ac:dyDescent="0.25">
      <c r="A200" s="1">
        <v>40940</v>
      </c>
      <c r="B200" t="s">
        <v>5</v>
      </c>
      <c r="C200">
        <v>55091</v>
      </c>
      <c r="D200">
        <v>-70.040000000000006</v>
      </c>
    </row>
    <row r="201" spans="1:4" x14ac:dyDescent="0.25">
      <c r="A201" s="1">
        <v>40909</v>
      </c>
      <c r="B201" t="s">
        <v>3</v>
      </c>
      <c r="C201">
        <v>4666371</v>
      </c>
      <c r="D201">
        <v>113.67</v>
      </c>
    </row>
    <row r="202" spans="1:4" x14ac:dyDescent="0.25">
      <c r="A202" s="1">
        <v>40909</v>
      </c>
      <c r="B202" t="s">
        <v>4</v>
      </c>
      <c r="C202">
        <v>17015</v>
      </c>
      <c r="D202">
        <v>60.24</v>
      </c>
    </row>
    <row r="203" spans="1:4" x14ac:dyDescent="0.25">
      <c r="A203" s="1">
        <v>40909</v>
      </c>
      <c r="B203" t="s">
        <v>5</v>
      </c>
      <c r="C203">
        <v>51707</v>
      </c>
      <c r="D203">
        <v>-68.739999999999995</v>
      </c>
    </row>
    <row r="204" spans="1:4" x14ac:dyDescent="0.25">
      <c r="A204" s="1">
        <v>40878</v>
      </c>
      <c r="B204" t="s">
        <v>3</v>
      </c>
      <c r="C204">
        <v>4693791</v>
      </c>
      <c r="D204">
        <v>111.19</v>
      </c>
    </row>
    <row r="205" spans="1:4" x14ac:dyDescent="0.25">
      <c r="A205" s="1">
        <v>40878</v>
      </c>
      <c r="B205" t="s">
        <v>4</v>
      </c>
      <c r="C205">
        <v>15133</v>
      </c>
      <c r="D205">
        <v>56.42</v>
      </c>
    </row>
    <row r="206" spans="1:4" x14ac:dyDescent="0.25">
      <c r="A206" s="1">
        <v>40878</v>
      </c>
      <c r="B206" t="s">
        <v>5</v>
      </c>
      <c r="C206">
        <v>47275</v>
      </c>
      <c r="D206">
        <v>-71.55</v>
      </c>
    </row>
    <row r="207" spans="1:4" x14ac:dyDescent="0.25">
      <c r="A207" s="1">
        <v>40848</v>
      </c>
      <c r="B207" t="s">
        <v>3</v>
      </c>
      <c r="C207">
        <v>4745996</v>
      </c>
      <c r="D207">
        <v>103.99</v>
      </c>
    </row>
    <row r="208" spans="1:4" x14ac:dyDescent="0.25">
      <c r="A208" s="1">
        <v>40848</v>
      </c>
      <c r="B208" t="s">
        <v>4</v>
      </c>
      <c r="C208">
        <v>14585</v>
      </c>
      <c r="D208">
        <v>56.26</v>
      </c>
    </row>
    <row r="209" spans="1:4" x14ac:dyDescent="0.25">
      <c r="A209" s="1">
        <v>40848</v>
      </c>
      <c r="B209" t="s">
        <v>5</v>
      </c>
      <c r="C209">
        <v>46332</v>
      </c>
      <c r="D209">
        <v>-79.63</v>
      </c>
    </row>
    <row r="210" spans="1:4" x14ac:dyDescent="0.25">
      <c r="A210" s="1">
        <v>40817</v>
      </c>
      <c r="B210" t="s">
        <v>3</v>
      </c>
      <c r="C210">
        <v>4770757</v>
      </c>
      <c r="D210">
        <v>108.11</v>
      </c>
    </row>
    <row r="211" spans="1:4" x14ac:dyDescent="0.25">
      <c r="A211" s="1">
        <v>40817</v>
      </c>
      <c r="B211" t="s">
        <v>4</v>
      </c>
      <c r="C211">
        <v>13520</v>
      </c>
      <c r="D211">
        <v>67.22</v>
      </c>
    </row>
    <row r="212" spans="1:4" x14ac:dyDescent="0.25">
      <c r="A212" s="1">
        <v>40817</v>
      </c>
      <c r="B212" t="s">
        <v>5</v>
      </c>
      <c r="C212">
        <v>44192</v>
      </c>
      <c r="D212">
        <v>-76.19</v>
      </c>
    </row>
    <row r="213" spans="1:4" x14ac:dyDescent="0.25">
      <c r="A213" s="1">
        <v>40787</v>
      </c>
      <c r="B213" t="s">
        <v>3</v>
      </c>
      <c r="C213">
        <v>4769923</v>
      </c>
      <c r="D213">
        <v>91.86</v>
      </c>
    </row>
    <row r="214" spans="1:4" x14ac:dyDescent="0.25">
      <c r="A214" s="1">
        <v>40787</v>
      </c>
      <c r="B214" t="s">
        <v>4</v>
      </c>
      <c r="C214">
        <v>11935</v>
      </c>
      <c r="D214">
        <v>54.74</v>
      </c>
    </row>
    <row r="215" spans="1:4" x14ac:dyDescent="0.25">
      <c r="A215" s="1">
        <v>40787</v>
      </c>
      <c r="B215" t="s">
        <v>5</v>
      </c>
      <c r="C215">
        <v>41843</v>
      </c>
      <c r="D215">
        <v>-93.78</v>
      </c>
    </row>
    <row r="216" spans="1:4" x14ac:dyDescent="0.25">
      <c r="A216" s="1">
        <v>40756</v>
      </c>
      <c r="B216" t="s">
        <v>3</v>
      </c>
      <c r="C216">
        <v>4761620</v>
      </c>
      <c r="D216">
        <v>64.17</v>
      </c>
    </row>
    <row r="217" spans="1:4" x14ac:dyDescent="0.25">
      <c r="A217" s="1">
        <v>40756</v>
      </c>
      <c r="B217" t="s">
        <v>4</v>
      </c>
      <c r="C217">
        <v>10752</v>
      </c>
      <c r="D217">
        <v>26.45</v>
      </c>
    </row>
    <row r="218" spans="1:4" x14ac:dyDescent="0.25">
      <c r="A218" s="1">
        <v>40756</v>
      </c>
      <c r="B218" t="s">
        <v>5</v>
      </c>
      <c r="C218">
        <v>39262</v>
      </c>
      <c r="D218">
        <v>-121.32</v>
      </c>
    </row>
    <row r="219" spans="1:4" x14ac:dyDescent="0.25">
      <c r="A219" s="1">
        <v>40725</v>
      </c>
      <c r="B219" t="s">
        <v>3</v>
      </c>
      <c r="C219">
        <v>4756787</v>
      </c>
      <c r="D219">
        <v>67.81</v>
      </c>
    </row>
    <row r="220" spans="1:4" x14ac:dyDescent="0.25">
      <c r="A220" s="1">
        <v>40725</v>
      </c>
      <c r="B220" t="s">
        <v>4</v>
      </c>
      <c r="C220">
        <v>9930</v>
      </c>
      <c r="D220">
        <v>28.54</v>
      </c>
    </row>
    <row r="221" spans="1:4" x14ac:dyDescent="0.25">
      <c r="A221" s="1">
        <v>40725</v>
      </c>
      <c r="B221" t="s">
        <v>5</v>
      </c>
      <c r="C221">
        <v>36797</v>
      </c>
      <c r="D221">
        <v>-146.94999999999999</v>
      </c>
    </row>
    <row r="222" spans="1:4" x14ac:dyDescent="0.25">
      <c r="A222" s="1">
        <v>40695</v>
      </c>
      <c r="B222" t="s">
        <v>3</v>
      </c>
      <c r="C222">
        <v>4758780</v>
      </c>
      <c r="D222">
        <v>55.69</v>
      </c>
    </row>
    <row r="223" spans="1:4" x14ac:dyDescent="0.25">
      <c r="A223" s="1">
        <v>40695</v>
      </c>
      <c r="B223" t="s">
        <v>4</v>
      </c>
      <c r="C223">
        <v>9007</v>
      </c>
      <c r="D223">
        <v>10.83</v>
      </c>
    </row>
    <row r="224" spans="1:4" x14ac:dyDescent="0.25">
      <c r="A224" s="1">
        <v>40695</v>
      </c>
      <c r="B224" t="s">
        <v>5</v>
      </c>
      <c r="C224">
        <v>34498</v>
      </c>
      <c r="D224">
        <v>-159.84</v>
      </c>
    </row>
    <row r="225" spans="1:4" x14ac:dyDescent="0.25">
      <c r="A225" s="1">
        <v>40664</v>
      </c>
      <c r="B225" t="s">
        <v>3</v>
      </c>
      <c r="C225">
        <v>4752869</v>
      </c>
      <c r="D225">
        <v>36.04</v>
      </c>
    </row>
    <row r="226" spans="1:4" x14ac:dyDescent="0.25">
      <c r="A226" s="1">
        <v>40664</v>
      </c>
      <c r="B226" t="s">
        <v>4</v>
      </c>
      <c r="C226">
        <v>7570</v>
      </c>
      <c r="D226">
        <v>-15.35</v>
      </c>
    </row>
    <row r="227" spans="1:4" x14ac:dyDescent="0.25">
      <c r="A227" s="1">
        <v>40664</v>
      </c>
      <c r="B227" t="s">
        <v>5</v>
      </c>
      <c r="C227">
        <v>31632</v>
      </c>
      <c r="D227">
        <v>-179.89</v>
      </c>
    </row>
    <row r="228" spans="1:4" x14ac:dyDescent="0.25">
      <c r="A228" s="1">
        <v>40634</v>
      </c>
      <c r="B228" t="s">
        <v>3</v>
      </c>
      <c r="C228">
        <v>4757973</v>
      </c>
      <c r="D228">
        <v>36.270000000000003</v>
      </c>
    </row>
    <row r="229" spans="1:4" x14ac:dyDescent="0.25">
      <c r="A229" s="1">
        <v>40634</v>
      </c>
      <c r="B229" t="s">
        <v>4</v>
      </c>
      <c r="C229">
        <v>6373</v>
      </c>
      <c r="D229">
        <v>-22.39</v>
      </c>
    </row>
    <row r="230" spans="1:4" x14ac:dyDescent="0.25">
      <c r="A230" s="1">
        <v>40634</v>
      </c>
      <c r="B230" t="s">
        <v>5</v>
      </c>
      <c r="C230">
        <v>29493</v>
      </c>
      <c r="D230">
        <v>-180.13</v>
      </c>
    </row>
    <row r="231" spans="1:4" x14ac:dyDescent="0.25">
      <c r="A231" s="1">
        <v>40603</v>
      </c>
      <c r="B231" t="s">
        <v>3</v>
      </c>
      <c r="C231">
        <v>4768611</v>
      </c>
      <c r="D231">
        <v>25.27</v>
      </c>
    </row>
    <row r="232" spans="1:4" x14ac:dyDescent="0.25">
      <c r="A232" s="1">
        <v>40603</v>
      </c>
      <c r="B232" t="s">
        <v>4</v>
      </c>
      <c r="C232">
        <v>5376</v>
      </c>
      <c r="D232">
        <v>-36.85</v>
      </c>
    </row>
    <row r="233" spans="1:4" x14ac:dyDescent="0.25">
      <c r="A233" s="1">
        <v>40603</v>
      </c>
      <c r="B233" t="s">
        <v>5</v>
      </c>
      <c r="C233">
        <v>27067</v>
      </c>
      <c r="D233">
        <v>-188.45</v>
      </c>
    </row>
    <row r="234" spans="1:4" x14ac:dyDescent="0.25">
      <c r="A234" s="1">
        <v>40575</v>
      </c>
      <c r="B234" t="s">
        <v>3</v>
      </c>
      <c r="C234">
        <v>4778955</v>
      </c>
      <c r="D234">
        <v>48.28</v>
      </c>
    </row>
    <row r="235" spans="1:4" x14ac:dyDescent="0.25">
      <c r="A235" s="1">
        <v>40575</v>
      </c>
      <c r="B235" t="s">
        <v>4</v>
      </c>
      <c r="C235">
        <v>4762</v>
      </c>
      <c r="D235">
        <v>0.62</v>
      </c>
    </row>
    <row r="236" spans="1:4" x14ac:dyDescent="0.25">
      <c r="A236" s="1">
        <v>40575</v>
      </c>
      <c r="B236" t="s">
        <v>5</v>
      </c>
      <c r="C236">
        <v>22703</v>
      </c>
      <c r="D236">
        <v>-163.32</v>
      </c>
    </row>
    <row r="237" spans="1:4" x14ac:dyDescent="0.25">
      <c r="A237" s="1">
        <v>40544</v>
      </c>
      <c r="B237" t="s">
        <v>3</v>
      </c>
      <c r="C237">
        <v>4785106</v>
      </c>
      <c r="D237">
        <v>58.93</v>
      </c>
    </row>
    <row r="238" spans="1:4" x14ac:dyDescent="0.25">
      <c r="A238" s="1">
        <v>40544</v>
      </c>
      <c r="B238" t="s">
        <v>4</v>
      </c>
      <c r="C238">
        <v>2440</v>
      </c>
      <c r="D238">
        <v>31.12</v>
      </c>
    </row>
    <row r="239" spans="1:4" x14ac:dyDescent="0.25">
      <c r="A239" s="1">
        <v>40544</v>
      </c>
      <c r="B239" t="s">
        <v>5</v>
      </c>
      <c r="C239">
        <v>19070</v>
      </c>
      <c r="D239">
        <v>-152.62</v>
      </c>
    </row>
    <row r="240" spans="1:4" x14ac:dyDescent="0.25">
      <c r="A240" s="1">
        <v>40513</v>
      </c>
      <c r="B240" t="s">
        <v>3</v>
      </c>
      <c r="C240">
        <v>4794362</v>
      </c>
      <c r="D240">
        <v>103.83</v>
      </c>
    </row>
    <row r="241" spans="1:4" x14ac:dyDescent="0.25">
      <c r="A241" s="1">
        <v>40513</v>
      </c>
      <c r="B241" t="s">
        <v>4</v>
      </c>
      <c r="C241">
        <v>1694</v>
      </c>
      <c r="D241">
        <v>186.83</v>
      </c>
    </row>
    <row r="242" spans="1:4" x14ac:dyDescent="0.25">
      <c r="A242" s="1">
        <v>40513</v>
      </c>
      <c r="B242" t="s">
        <v>5</v>
      </c>
      <c r="C242">
        <v>16996</v>
      </c>
      <c r="D242">
        <v>-102.74</v>
      </c>
    </row>
    <row r="243" spans="1:4" x14ac:dyDescent="0.25">
      <c r="A243" s="1">
        <v>40483</v>
      </c>
      <c r="B243" t="s">
        <v>3</v>
      </c>
      <c r="C243">
        <v>4793645</v>
      </c>
      <c r="D243">
        <v>116.6</v>
      </c>
    </row>
    <row r="244" spans="1:4" x14ac:dyDescent="0.25">
      <c r="A244" s="1">
        <v>40483</v>
      </c>
      <c r="B244" t="s">
        <v>4</v>
      </c>
      <c r="C244">
        <v>654</v>
      </c>
      <c r="D244">
        <v>195.3</v>
      </c>
    </row>
    <row r="245" spans="1:4" x14ac:dyDescent="0.25">
      <c r="A245" s="1">
        <v>40483</v>
      </c>
      <c r="B245" t="s">
        <v>5</v>
      </c>
      <c r="C245">
        <v>13825</v>
      </c>
      <c r="D245">
        <v>-92.6</v>
      </c>
    </row>
    <row r="246" spans="1:4" x14ac:dyDescent="0.25">
      <c r="A246" s="1">
        <v>40452</v>
      </c>
      <c r="B246" t="s">
        <v>3</v>
      </c>
      <c r="C246">
        <v>4796743</v>
      </c>
      <c r="D246">
        <v>110.72</v>
      </c>
    </row>
    <row r="247" spans="1:4" x14ac:dyDescent="0.25">
      <c r="A247" s="1">
        <v>40452</v>
      </c>
      <c r="B247" t="s">
        <v>4</v>
      </c>
      <c r="C247">
        <v>705</v>
      </c>
      <c r="D247">
        <v>184.64</v>
      </c>
    </row>
    <row r="248" spans="1:4" x14ac:dyDescent="0.25">
      <c r="A248" s="1">
        <v>40452</v>
      </c>
      <c r="B248" t="s">
        <v>5</v>
      </c>
      <c r="C248">
        <v>10464</v>
      </c>
      <c r="D248">
        <v>-100.04</v>
      </c>
    </row>
    <row r="249" spans="1:4" x14ac:dyDescent="0.25">
      <c r="A249" s="1">
        <v>40422</v>
      </c>
      <c r="B249" t="s">
        <v>3</v>
      </c>
      <c r="C249">
        <v>4789399</v>
      </c>
      <c r="D249">
        <v>107.29</v>
      </c>
    </row>
    <row r="250" spans="1:4" x14ac:dyDescent="0.25">
      <c r="A250" s="1">
        <v>40422</v>
      </c>
      <c r="B250" t="s">
        <v>4</v>
      </c>
      <c r="C250">
        <v>756</v>
      </c>
      <c r="D250">
        <v>176.77</v>
      </c>
    </row>
    <row r="251" spans="1:4" x14ac:dyDescent="0.25">
      <c r="A251" s="1">
        <v>40422</v>
      </c>
      <c r="B251" t="s">
        <v>5</v>
      </c>
      <c r="C251">
        <v>9409</v>
      </c>
      <c r="D251">
        <v>-101.15</v>
      </c>
    </row>
    <row r="252" spans="1:4" x14ac:dyDescent="0.25">
      <c r="A252" s="1">
        <v>40391</v>
      </c>
      <c r="B252" t="s">
        <v>3</v>
      </c>
      <c r="C252">
        <v>4757504</v>
      </c>
      <c r="D252">
        <v>97.19</v>
      </c>
    </row>
    <row r="253" spans="1:4" x14ac:dyDescent="0.25">
      <c r="A253" s="1">
        <v>40391</v>
      </c>
      <c r="B253" t="s">
        <v>4</v>
      </c>
      <c r="C253">
        <v>824</v>
      </c>
      <c r="D253">
        <v>162.15</v>
      </c>
    </row>
    <row r="254" spans="1:4" x14ac:dyDescent="0.25">
      <c r="A254" s="1">
        <v>40391</v>
      </c>
      <c r="B254" t="s">
        <v>5</v>
      </c>
      <c r="C254">
        <v>7413</v>
      </c>
      <c r="D254">
        <v>-112.25</v>
      </c>
    </row>
    <row r="255" spans="1:4" x14ac:dyDescent="0.25">
      <c r="A255" s="1">
        <v>40360</v>
      </c>
      <c r="B255" t="s">
        <v>3</v>
      </c>
      <c r="C255">
        <v>4735788</v>
      </c>
      <c r="D255">
        <v>86.63</v>
      </c>
    </row>
    <row r="256" spans="1:4" x14ac:dyDescent="0.25">
      <c r="A256" s="1">
        <v>40360</v>
      </c>
      <c r="B256" t="s">
        <v>4</v>
      </c>
      <c r="C256">
        <v>865</v>
      </c>
      <c r="D256">
        <v>146.66</v>
      </c>
    </row>
    <row r="257" spans="1:4" x14ac:dyDescent="0.25">
      <c r="A257" s="1">
        <v>40360</v>
      </c>
      <c r="B257" t="s">
        <v>5</v>
      </c>
      <c r="C257">
        <v>6394</v>
      </c>
      <c r="D257">
        <v>-126.27</v>
      </c>
    </row>
    <row r="258" spans="1:4" x14ac:dyDescent="0.25">
      <c r="A258" s="1">
        <v>40330</v>
      </c>
      <c r="B258" t="s">
        <v>3</v>
      </c>
      <c r="C258">
        <v>4633346</v>
      </c>
      <c r="D258">
        <v>71.86</v>
      </c>
    </row>
    <row r="259" spans="1:4" x14ac:dyDescent="0.25">
      <c r="A259" s="1">
        <v>40330</v>
      </c>
      <c r="B259" t="s">
        <v>4</v>
      </c>
      <c r="C259">
        <v>915</v>
      </c>
      <c r="D259">
        <v>128.44</v>
      </c>
    </row>
    <row r="260" spans="1:4" x14ac:dyDescent="0.25">
      <c r="A260" s="1">
        <v>40330</v>
      </c>
      <c r="B260" t="s">
        <v>5</v>
      </c>
      <c r="C260">
        <v>4764</v>
      </c>
      <c r="D260">
        <v>-142.44</v>
      </c>
    </row>
    <row r="261" spans="1:4" x14ac:dyDescent="0.25">
      <c r="A261" s="1">
        <v>40299</v>
      </c>
      <c r="B261" t="s">
        <v>3</v>
      </c>
      <c r="C261">
        <v>4598015</v>
      </c>
      <c r="D261">
        <v>53.19</v>
      </c>
    </row>
    <row r="262" spans="1:4" x14ac:dyDescent="0.25">
      <c r="A262" s="1">
        <v>40299</v>
      </c>
      <c r="B262" t="s">
        <v>4</v>
      </c>
      <c r="C262">
        <v>965</v>
      </c>
      <c r="D262">
        <v>108.79</v>
      </c>
    </row>
    <row r="263" spans="1:4" x14ac:dyDescent="0.25">
      <c r="A263" s="1">
        <v>40299</v>
      </c>
      <c r="B263" t="s">
        <v>5</v>
      </c>
      <c r="C263">
        <v>3566</v>
      </c>
      <c r="D263">
        <v>-162.93</v>
      </c>
    </row>
    <row r="264" spans="1:4" x14ac:dyDescent="0.25">
      <c r="A264" s="1">
        <v>40269</v>
      </c>
      <c r="B264" t="s">
        <v>3</v>
      </c>
      <c r="C264">
        <v>4595576</v>
      </c>
      <c r="D264">
        <v>66.739999999999995</v>
      </c>
    </row>
    <row r="265" spans="1:4" x14ac:dyDescent="0.25">
      <c r="A265" s="1">
        <v>40269</v>
      </c>
      <c r="B265" t="s">
        <v>4</v>
      </c>
      <c r="C265">
        <v>1021</v>
      </c>
      <c r="D265">
        <v>120.63</v>
      </c>
    </row>
    <row r="266" spans="1:4" x14ac:dyDescent="0.25">
      <c r="A266" s="1">
        <v>40269</v>
      </c>
      <c r="B266" t="s">
        <v>5</v>
      </c>
      <c r="C266">
        <v>2618</v>
      </c>
      <c r="D266">
        <v>-94.49</v>
      </c>
    </row>
    <row r="267" spans="1:4" x14ac:dyDescent="0.25">
      <c r="A267" s="1">
        <v>40238</v>
      </c>
      <c r="B267" t="s">
        <v>3</v>
      </c>
      <c r="C267">
        <v>4703361</v>
      </c>
      <c r="D267">
        <v>72.400000000000006</v>
      </c>
    </row>
    <row r="268" spans="1:4" x14ac:dyDescent="0.25">
      <c r="A268" s="1">
        <v>40238</v>
      </c>
      <c r="B268" t="s">
        <v>4</v>
      </c>
      <c r="C268">
        <v>1088</v>
      </c>
      <c r="D268">
        <v>122.45</v>
      </c>
    </row>
    <row r="269" spans="1:4" x14ac:dyDescent="0.25">
      <c r="A269" s="1">
        <v>40238</v>
      </c>
      <c r="B269" t="s">
        <v>5</v>
      </c>
      <c r="C269">
        <v>1860</v>
      </c>
      <c r="D269">
        <v>-95.82</v>
      </c>
    </row>
    <row r="270" spans="1:4" x14ac:dyDescent="0.25">
      <c r="A270" s="1">
        <v>40210</v>
      </c>
      <c r="B270" t="s">
        <v>3</v>
      </c>
      <c r="C270">
        <v>4648911</v>
      </c>
      <c r="D270">
        <v>72.22</v>
      </c>
    </row>
    <row r="271" spans="1:4" x14ac:dyDescent="0.25">
      <c r="A271" s="1">
        <v>40210</v>
      </c>
      <c r="B271" t="s">
        <v>4</v>
      </c>
      <c r="C271">
        <v>1146</v>
      </c>
      <c r="D271">
        <v>118.1</v>
      </c>
    </row>
    <row r="272" spans="1:4" x14ac:dyDescent="0.25">
      <c r="A272" s="1">
        <v>40210</v>
      </c>
      <c r="B272" t="s">
        <v>5</v>
      </c>
      <c r="C272">
        <v>1151</v>
      </c>
      <c r="D272">
        <v>-100.79</v>
      </c>
    </row>
    <row r="273" spans="1:4" x14ac:dyDescent="0.25">
      <c r="A273" s="1">
        <v>40179</v>
      </c>
      <c r="B273" t="s">
        <v>3</v>
      </c>
      <c r="C273">
        <v>4614279</v>
      </c>
      <c r="D273">
        <v>85.58</v>
      </c>
    </row>
    <row r="274" spans="1:4" x14ac:dyDescent="0.25">
      <c r="A274" s="1">
        <v>40179</v>
      </c>
      <c r="B274" t="s">
        <v>4</v>
      </c>
      <c r="C274">
        <v>1245</v>
      </c>
      <c r="D274">
        <v>124.93</v>
      </c>
    </row>
    <row r="275" spans="1:4" x14ac:dyDescent="0.25">
      <c r="A275" s="1">
        <v>40179</v>
      </c>
      <c r="B275" t="s">
        <v>5</v>
      </c>
      <c r="C275">
        <v>583</v>
      </c>
      <c r="D275">
        <v>-104.85</v>
      </c>
    </row>
    <row r="276" spans="1:4" x14ac:dyDescent="0.25">
      <c r="A276" s="1">
        <v>40148</v>
      </c>
      <c r="B276" t="s">
        <v>3</v>
      </c>
      <c r="C276">
        <v>4543855</v>
      </c>
      <c r="D276">
        <v>93.99</v>
      </c>
    </row>
    <row r="277" spans="1:4" x14ac:dyDescent="0.25">
      <c r="A277" s="1">
        <v>40148</v>
      </c>
      <c r="B277" t="s">
        <v>4</v>
      </c>
      <c r="C277">
        <v>1324</v>
      </c>
      <c r="D277">
        <v>126.25</v>
      </c>
    </row>
    <row r="278" spans="1:4" x14ac:dyDescent="0.25">
      <c r="A278" s="1">
        <v>40148</v>
      </c>
      <c r="B278" t="s">
        <v>5</v>
      </c>
      <c r="C278">
        <v>189</v>
      </c>
      <c r="D278">
        <v>-70.14</v>
      </c>
    </row>
    <row r="279" spans="1:4" x14ac:dyDescent="0.25">
      <c r="A279" s="1">
        <v>40118</v>
      </c>
      <c r="B279" t="s">
        <v>3</v>
      </c>
      <c r="C279">
        <v>4501196</v>
      </c>
      <c r="D279">
        <v>88.52</v>
      </c>
    </row>
    <row r="280" spans="1:4" x14ac:dyDescent="0.25">
      <c r="A280" s="1">
        <v>40118</v>
      </c>
      <c r="B280" t="s">
        <v>4</v>
      </c>
      <c r="C280">
        <v>1392</v>
      </c>
      <c r="D280">
        <v>117.34</v>
      </c>
    </row>
    <row r="281" spans="1:4" x14ac:dyDescent="0.25">
      <c r="A281" s="1">
        <v>40118</v>
      </c>
      <c r="B281" t="s">
        <v>5</v>
      </c>
      <c r="C281">
        <v>24</v>
      </c>
      <c r="D281" t="s">
        <v>13</v>
      </c>
    </row>
    <row r="282" spans="1:4" x14ac:dyDescent="0.25">
      <c r="A282" s="1">
        <v>40087</v>
      </c>
      <c r="B282" t="s">
        <v>3</v>
      </c>
      <c r="C282">
        <v>4447897</v>
      </c>
      <c r="D282">
        <v>84.36</v>
      </c>
    </row>
    <row r="283" spans="1:4" x14ac:dyDescent="0.25">
      <c r="A283" s="1">
        <v>40087</v>
      </c>
      <c r="B283" t="s">
        <v>4</v>
      </c>
      <c r="C283">
        <v>1446</v>
      </c>
      <c r="D283">
        <v>108.57</v>
      </c>
    </row>
    <row r="284" spans="1:4" x14ac:dyDescent="0.25">
      <c r="A284" s="1">
        <v>40057</v>
      </c>
      <c r="B284" t="s">
        <v>3</v>
      </c>
      <c r="C284">
        <v>4378350</v>
      </c>
      <c r="D284">
        <v>74.02</v>
      </c>
    </row>
    <row r="285" spans="1:4" x14ac:dyDescent="0.25">
      <c r="A285" s="1">
        <v>40057</v>
      </c>
      <c r="B285" t="s">
        <v>4</v>
      </c>
      <c r="C285">
        <v>1499</v>
      </c>
      <c r="D285">
        <v>88.46</v>
      </c>
    </row>
    <row r="286" spans="1:4" x14ac:dyDescent="0.25">
      <c r="A286" s="1">
        <v>40026</v>
      </c>
      <c r="B286" t="s">
        <v>3</v>
      </c>
      <c r="C286">
        <v>4284466</v>
      </c>
      <c r="D286">
        <v>76.569999999999993</v>
      </c>
    </row>
    <row r="287" spans="1:4" x14ac:dyDescent="0.25">
      <c r="A287" s="1">
        <v>40026</v>
      </c>
      <c r="B287" t="s">
        <v>4</v>
      </c>
      <c r="C287">
        <v>1596</v>
      </c>
      <c r="D287">
        <v>83.19</v>
      </c>
    </row>
    <row r="288" spans="1:4" x14ac:dyDescent="0.25">
      <c r="A288" s="1">
        <v>39995</v>
      </c>
      <c r="B288" t="s">
        <v>3</v>
      </c>
      <c r="C288">
        <v>4220738</v>
      </c>
      <c r="D288">
        <v>65.14</v>
      </c>
    </row>
    <row r="289" spans="1:4" x14ac:dyDescent="0.25">
      <c r="A289" s="1">
        <v>39995</v>
      </c>
      <c r="B289" t="s">
        <v>4</v>
      </c>
      <c r="C289">
        <v>1675</v>
      </c>
      <c r="D289">
        <v>66.45</v>
      </c>
    </row>
    <row r="290" spans="1:4" x14ac:dyDescent="0.25">
      <c r="A290" s="1">
        <v>39965</v>
      </c>
      <c r="B290" t="s">
        <v>3</v>
      </c>
      <c r="C290">
        <v>4077127</v>
      </c>
      <c r="D290">
        <v>127.91</v>
      </c>
    </row>
    <row r="291" spans="1:4" x14ac:dyDescent="0.25">
      <c r="A291" s="1">
        <v>39965</v>
      </c>
      <c r="B291" t="s">
        <v>4</v>
      </c>
      <c r="C291">
        <v>1742</v>
      </c>
      <c r="D291">
        <v>127.89</v>
      </c>
    </row>
    <row r="292" spans="1:4" x14ac:dyDescent="0.25">
      <c r="A292" s="1">
        <v>39934</v>
      </c>
      <c r="B292" t="s">
        <v>3</v>
      </c>
      <c r="C292">
        <v>4012613</v>
      </c>
      <c r="D292">
        <v>139.12</v>
      </c>
    </row>
    <row r="293" spans="1:4" x14ac:dyDescent="0.25">
      <c r="A293" s="1">
        <v>39934</v>
      </c>
      <c r="B293" t="s">
        <v>4</v>
      </c>
      <c r="C293">
        <v>1821</v>
      </c>
      <c r="D293">
        <v>134.25</v>
      </c>
    </row>
    <row r="294" spans="1:4" x14ac:dyDescent="0.25">
      <c r="A294" s="1">
        <v>39904</v>
      </c>
      <c r="B294" t="s">
        <v>3</v>
      </c>
      <c r="C294">
        <v>3934545</v>
      </c>
      <c r="D294">
        <v>128.62</v>
      </c>
    </row>
    <row r="295" spans="1:4" x14ac:dyDescent="0.25">
      <c r="A295" s="1">
        <v>39904</v>
      </c>
      <c r="B295" t="s">
        <v>4</v>
      </c>
      <c r="C295">
        <v>1893</v>
      </c>
      <c r="D295">
        <v>115.6</v>
      </c>
    </row>
    <row r="296" spans="1:4" x14ac:dyDescent="0.25">
      <c r="A296" s="1">
        <v>39873</v>
      </c>
      <c r="B296" t="s">
        <v>3</v>
      </c>
      <c r="C296">
        <v>3810089</v>
      </c>
      <c r="D296">
        <v>119.34</v>
      </c>
    </row>
    <row r="297" spans="1:4" x14ac:dyDescent="0.25">
      <c r="A297" s="1">
        <v>39873</v>
      </c>
      <c r="B297" t="s">
        <v>4</v>
      </c>
      <c r="C297">
        <v>1935</v>
      </c>
      <c r="D297">
        <v>106.78</v>
      </c>
    </row>
    <row r="298" spans="1:4" x14ac:dyDescent="0.25">
      <c r="A298" s="1">
        <v>39845</v>
      </c>
      <c r="B298" t="s">
        <v>3</v>
      </c>
      <c r="C298">
        <v>3761554</v>
      </c>
      <c r="D298">
        <v>130.11000000000001</v>
      </c>
    </row>
    <row r="299" spans="1:4" x14ac:dyDescent="0.25">
      <c r="A299" s="1">
        <v>39845</v>
      </c>
      <c r="B299" t="s">
        <v>4</v>
      </c>
      <c r="C299">
        <v>1939</v>
      </c>
      <c r="D299">
        <v>120.31</v>
      </c>
    </row>
    <row r="300" spans="1:4" x14ac:dyDescent="0.25">
      <c r="A300" s="1">
        <v>39814</v>
      </c>
      <c r="B300" t="s">
        <v>3</v>
      </c>
      <c r="C300">
        <v>3726161</v>
      </c>
      <c r="D300">
        <v>105.51</v>
      </c>
    </row>
    <row r="301" spans="1:4" x14ac:dyDescent="0.25">
      <c r="A301" s="1">
        <v>39814</v>
      </c>
      <c r="B301" t="s">
        <v>4</v>
      </c>
      <c r="C301">
        <v>1883</v>
      </c>
      <c r="D301">
        <v>93.48</v>
      </c>
    </row>
    <row r="302" spans="1:4" x14ac:dyDescent="0.25">
      <c r="A302" s="1">
        <v>39783</v>
      </c>
      <c r="B302" t="s">
        <v>3</v>
      </c>
      <c r="C302">
        <v>3682476</v>
      </c>
      <c r="D302">
        <v>26.48</v>
      </c>
    </row>
    <row r="303" spans="1:4" x14ac:dyDescent="0.25">
      <c r="A303" s="1">
        <v>39783</v>
      </c>
      <c r="B303" t="s">
        <v>4</v>
      </c>
      <c r="C303">
        <v>1725</v>
      </c>
      <c r="D303">
        <v>9.61</v>
      </c>
    </row>
    <row r="304" spans="1:4" x14ac:dyDescent="0.25">
      <c r="A304" s="1">
        <v>39753</v>
      </c>
      <c r="B304" t="s">
        <v>3</v>
      </c>
      <c r="C304">
        <v>3651969</v>
      </c>
      <c r="D304">
        <v>17.63</v>
      </c>
    </row>
    <row r="305" spans="1:4" x14ac:dyDescent="0.25">
      <c r="A305" s="1">
        <v>39753</v>
      </c>
      <c r="B305" t="s">
        <v>4</v>
      </c>
      <c r="C305">
        <v>1627</v>
      </c>
      <c r="D305">
        <v>-8.48</v>
      </c>
    </row>
    <row r="306" spans="1:4" x14ac:dyDescent="0.25">
      <c r="A306" s="1">
        <v>39722</v>
      </c>
      <c r="B306" t="s">
        <v>3</v>
      </c>
      <c r="C306">
        <v>3616629</v>
      </c>
      <c r="D306">
        <v>32.380000000000003</v>
      </c>
    </row>
    <row r="307" spans="1:4" x14ac:dyDescent="0.25">
      <c r="A307" s="1">
        <v>39722</v>
      </c>
      <c r="B307" t="s">
        <v>4</v>
      </c>
      <c r="C307">
        <v>1377</v>
      </c>
      <c r="D307">
        <v>-10.47</v>
      </c>
    </row>
    <row r="308" spans="1:4" x14ac:dyDescent="0.25">
      <c r="A308" s="1">
        <v>39692</v>
      </c>
      <c r="B308" t="s">
        <v>3</v>
      </c>
      <c r="C308">
        <v>3557388</v>
      </c>
      <c r="D308">
        <v>-11.52</v>
      </c>
    </row>
    <row r="309" spans="1:4" x14ac:dyDescent="0.25">
      <c r="A309" s="1">
        <v>39692</v>
      </c>
      <c r="B309" t="s">
        <v>4</v>
      </c>
      <c r="C309">
        <v>1280</v>
      </c>
      <c r="D309">
        <v>-68.290000000000006</v>
      </c>
    </row>
    <row r="310" spans="1:4" x14ac:dyDescent="0.25">
      <c r="A310" s="1">
        <v>39661</v>
      </c>
      <c r="B310" t="s">
        <v>3</v>
      </c>
      <c r="C310">
        <v>3498053</v>
      </c>
      <c r="D310">
        <v>-4.4000000000000004</v>
      </c>
    </row>
    <row r="311" spans="1:4" x14ac:dyDescent="0.25">
      <c r="A311" s="1">
        <v>39661</v>
      </c>
      <c r="B311" t="s">
        <v>4</v>
      </c>
      <c r="C311">
        <v>1035</v>
      </c>
      <c r="D311">
        <v>-62.5</v>
      </c>
    </row>
    <row r="312" spans="1:4" x14ac:dyDescent="0.25">
      <c r="A312" s="1">
        <v>39630</v>
      </c>
      <c r="B312" t="s">
        <v>3</v>
      </c>
      <c r="C312">
        <v>3444874</v>
      </c>
      <c r="D312">
        <v>7.08</v>
      </c>
    </row>
    <row r="313" spans="1:4" x14ac:dyDescent="0.25">
      <c r="A313" s="1">
        <v>39630</v>
      </c>
      <c r="B313" t="s">
        <v>4</v>
      </c>
      <c r="C313">
        <v>617</v>
      </c>
      <c r="D313">
        <v>-47.07</v>
      </c>
    </row>
    <row r="314" spans="1:4" x14ac:dyDescent="0.25">
      <c r="A314" s="1">
        <v>39600</v>
      </c>
      <c r="B314" t="s">
        <v>3</v>
      </c>
      <c r="C314">
        <v>3335946</v>
      </c>
      <c r="D314">
        <v>41.78</v>
      </c>
    </row>
    <row r="315" spans="1:4" x14ac:dyDescent="0.25">
      <c r="A315" s="1">
        <v>39600</v>
      </c>
      <c r="B315" t="s">
        <v>4</v>
      </c>
      <c r="C315">
        <v>260</v>
      </c>
      <c r="D315" t="s">
        <v>13</v>
      </c>
    </row>
    <row r="316" spans="1:4" x14ac:dyDescent="0.25">
      <c r="A316" s="1">
        <v>39569</v>
      </c>
      <c r="B316" t="s">
        <v>3</v>
      </c>
      <c r="C316">
        <v>3222135</v>
      </c>
      <c r="D316">
        <v>54.01</v>
      </c>
    </row>
    <row r="317" spans="1:4" x14ac:dyDescent="0.25">
      <c r="A317" s="1">
        <v>39539</v>
      </c>
      <c r="B317" t="s">
        <v>3</v>
      </c>
      <c r="C317">
        <v>3121466</v>
      </c>
      <c r="D317">
        <v>53.25</v>
      </c>
    </row>
    <row r="318" spans="1:4" x14ac:dyDescent="0.25">
      <c r="A318" s="1">
        <v>39508</v>
      </c>
      <c r="B318" t="s">
        <v>3</v>
      </c>
      <c r="C318">
        <v>3029911</v>
      </c>
      <c r="D318">
        <v>59.97</v>
      </c>
    </row>
    <row r="319" spans="1:4" x14ac:dyDescent="0.25">
      <c r="A319" s="1">
        <v>39479</v>
      </c>
      <c r="B319" t="s">
        <v>3</v>
      </c>
      <c r="C319">
        <v>2888602</v>
      </c>
      <c r="D319">
        <v>80.37</v>
      </c>
    </row>
    <row r="320" spans="1:4" x14ac:dyDescent="0.25">
      <c r="A320" s="1">
        <v>39448</v>
      </c>
      <c r="B320" t="s">
        <v>3</v>
      </c>
      <c r="C320">
        <v>2791918</v>
      </c>
      <c r="D320">
        <v>45.69</v>
      </c>
    </row>
    <row r="321" spans="1:4" x14ac:dyDescent="0.25">
      <c r="A321" s="1">
        <v>39417</v>
      </c>
      <c r="B321" t="s">
        <v>3</v>
      </c>
      <c r="C321">
        <v>2676417</v>
      </c>
      <c r="D321">
        <v>34.47</v>
      </c>
    </row>
    <row r="322" spans="1:4" x14ac:dyDescent="0.25">
      <c r="A322" s="1">
        <v>39387</v>
      </c>
      <c r="B322" t="s">
        <v>3</v>
      </c>
      <c r="C322">
        <v>2552192</v>
      </c>
      <c r="D322">
        <v>16.66</v>
      </c>
    </row>
    <row r="323" spans="1:4" x14ac:dyDescent="0.25">
      <c r="A323" s="1">
        <v>39356</v>
      </c>
      <c r="B323" t="s">
        <v>3</v>
      </c>
      <c r="C323">
        <v>2438068</v>
      </c>
      <c r="D323">
        <v>10.54</v>
      </c>
    </row>
    <row r="324" spans="1:4" x14ac:dyDescent="0.25">
      <c r="A324" s="1">
        <v>39326</v>
      </c>
      <c r="B324" t="s">
        <v>3</v>
      </c>
      <c r="C324">
        <v>2297962</v>
      </c>
      <c r="D324">
        <v>-8</v>
      </c>
    </row>
    <row r="325" spans="1:4" x14ac:dyDescent="0.25">
      <c r="A325" s="1">
        <v>39295</v>
      </c>
      <c r="B325" t="s">
        <v>3</v>
      </c>
      <c r="C325">
        <v>2177680</v>
      </c>
      <c r="D325">
        <v>-20.82</v>
      </c>
    </row>
    <row r="326" spans="1:4" x14ac:dyDescent="0.25">
      <c r="A326" s="1">
        <v>39264</v>
      </c>
      <c r="B326" t="s">
        <v>3</v>
      </c>
      <c r="C326">
        <v>2074572</v>
      </c>
      <c r="D326">
        <v>-17.61</v>
      </c>
    </row>
    <row r="327" spans="1:4" x14ac:dyDescent="0.25">
      <c r="A327" s="1">
        <v>39234</v>
      </c>
      <c r="B327" t="s">
        <v>3</v>
      </c>
      <c r="C327">
        <v>1958177</v>
      </c>
      <c r="D327">
        <v>22.26</v>
      </c>
    </row>
    <row r="328" spans="1:4" x14ac:dyDescent="0.25">
      <c r="A328" s="1">
        <v>39203</v>
      </c>
      <c r="B328" t="s">
        <v>3</v>
      </c>
      <c r="C328">
        <v>1838672</v>
      </c>
      <c r="D328">
        <v>30.77</v>
      </c>
    </row>
    <row r="329" spans="1:4" x14ac:dyDescent="0.25">
      <c r="A329" s="1">
        <v>39173</v>
      </c>
      <c r="B329" t="s">
        <v>3</v>
      </c>
      <c r="C329">
        <v>1730929</v>
      </c>
      <c r="D329">
        <v>35.049999999999997</v>
      </c>
    </row>
    <row r="330" spans="1:4" x14ac:dyDescent="0.25">
      <c r="A330" s="1">
        <v>39142</v>
      </c>
      <c r="B330" t="s">
        <v>3</v>
      </c>
      <c r="C330">
        <v>1612578</v>
      </c>
      <c r="D330">
        <v>27.71</v>
      </c>
    </row>
    <row r="331" spans="1:4" x14ac:dyDescent="0.25">
      <c r="A331" s="1">
        <v>39114</v>
      </c>
      <c r="B331" t="s">
        <v>3</v>
      </c>
      <c r="C331">
        <v>1495980</v>
      </c>
      <c r="D331">
        <v>28.86</v>
      </c>
    </row>
    <row r="332" spans="1:4" x14ac:dyDescent="0.25">
      <c r="A332" s="1">
        <v>39083</v>
      </c>
      <c r="B332" t="s">
        <v>3</v>
      </c>
      <c r="C332">
        <v>1401531</v>
      </c>
      <c r="D332">
        <v>39.08</v>
      </c>
    </row>
    <row r="333" spans="1:4" x14ac:dyDescent="0.25">
      <c r="A333" s="1">
        <v>39052</v>
      </c>
      <c r="B333" t="s">
        <v>3</v>
      </c>
      <c r="C333">
        <v>1282168</v>
      </c>
      <c r="D333">
        <v>26.64</v>
      </c>
    </row>
    <row r="334" spans="1:4" x14ac:dyDescent="0.25">
      <c r="A334" s="1">
        <v>39022</v>
      </c>
      <c r="B334" t="s">
        <v>3</v>
      </c>
      <c r="C334">
        <v>1193664</v>
      </c>
      <c r="D334">
        <v>14.45</v>
      </c>
    </row>
    <row r="335" spans="1:4" x14ac:dyDescent="0.25">
      <c r="A335" s="1">
        <v>38991</v>
      </c>
      <c r="B335" t="s">
        <v>3</v>
      </c>
      <c r="C335">
        <v>1095360</v>
      </c>
      <c r="D335">
        <v>5.19</v>
      </c>
    </row>
    <row r="336" spans="1:4" x14ac:dyDescent="0.25">
      <c r="A336" s="1">
        <v>38961</v>
      </c>
      <c r="B336" t="s">
        <v>3</v>
      </c>
      <c r="C336">
        <v>981502</v>
      </c>
      <c r="D336">
        <v>-9.49</v>
      </c>
    </row>
    <row r="337" spans="1:4" x14ac:dyDescent="0.25">
      <c r="A337" s="1">
        <v>38930</v>
      </c>
      <c r="B337" t="s">
        <v>3</v>
      </c>
      <c r="C337">
        <v>863427</v>
      </c>
      <c r="D337" t="s">
        <v>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09"/>
  <sheetViews>
    <sheetView workbookViewId="0">
      <selection activeCell="O20" sqref="O20"/>
    </sheetView>
  </sheetViews>
  <sheetFormatPr defaultRowHeight="15" x14ac:dyDescent="0.25"/>
  <cols>
    <col min="7" max="7" width="20.28515625" customWidth="1"/>
    <col min="8" max="8" width="16.28515625" customWidth="1"/>
    <col min="9" max="12" width="12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G1" s="4" t="s">
        <v>18</v>
      </c>
      <c r="H1" s="4" t="s">
        <v>10</v>
      </c>
    </row>
    <row r="2" spans="1:12" x14ac:dyDescent="0.25">
      <c r="A2" t="s">
        <v>14</v>
      </c>
      <c r="B2" s="1">
        <v>41640</v>
      </c>
      <c r="C2">
        <v>-51.455376155776698</v>
      </c>
      <c r="G2" s="4" t="s">
        <v>7</v>
      </c>
      <c r="H2" t="s">
        <v>14</v>
      </c>
      <c r="I2" t="s">
        <v>15</v>
      </c>
      <c r="J2" t="s">
        <v>16</v>
      </c>
      <c r="K2" t="s">
        <v>17</v>
      </c>
      <c r="L2" t="s">
        <v>9</v>
      </c>
    </row>
    <row r="3" spans="1:12" x14ac:dyDescent="0.25">
      <c r="A3" t="s">
        <v>14</v>
      </c>
      <c r="B3" s="1">
        <v>41671</v>
      </c>
      <c r="C3">
        <v>-49.126490582758997</v>
      </c>
      <c r="G3" s="5">
        <v>41640</v>
      </c>
      <c r="H3" s="2">
        <v>-51.455376155776698</v>
      </c>
      <c r="I3" s="2">
        <v>-54.483150819422903</v>
      </c>
      <c r="J3" s="2">
        <v>-184.00080582106301</v>
      </c>
      <c r="K3" s="2">
        <v>-278.37102925818698</v>
      </c>
      <c r="L3" s="2">
        <v>-568.31036205444957</v>
      </c>
    </row>
    <row r="4" spans="1:12" x14ac:dyDescent="0.25">
      <c r="A4" t="s">
        <v>14</v>
      </c>
      <c r="B4" s="1">
        <v>41699</v>
      </c>
      <c r="C4">
        <v>-34.2658817452185</v>
      </c>
      <c r="G4" s="5">
        <v>41671</v>
      </c>
      <c r="H4" s="2">
        <v>-49.126490582758997</v>
      </c>
      <c r="I4" s="2">
        <v>-51.549358284780801</v>
      </c>
      <c r="J4" s="2">
        <v>-181.93813707907401</v>
      </c>
      <c r="K4" s="2">
        <v>-276.30216879439399</v>
      </c>
      <c r="L4" s="2">
        <v>-558.91615474100786</v>
      </c>
    </row>
    <row r="5" spans="1:12" x14ac:dyDescent="0.25">
      <c r="A5" t="s">
        <v>14</v>
      </c>
      <c r="B5" s="1">
        <v>41730</v>
      </c>
      <c r="C5">
        <v>-34.481732955406201</v>
      </c>
      <c r="G5" s="5">
        <v>41699</v>
      </c>
      <c r="H5" s="2">
        <v>-34.2658817452185</v>
      </c>
      <c r="I5" s="2">
        <v>-35.735115405702302</v>
      </c>
      <c r="J5" s="2">
        <v>-166.87166268807999</v>
      </c>
      <c r="K5" s="2">
        <v>-261.23092725159302</v>
      </c>
      <c r="L5" s="2">
        <v>-498.10358709059381</v>
      </c>
    </row>
    <row r="6" spans="1:12" x14ac:dyDescent="0.25">
      <c r="A6" t="s">
        <v>14</v>
      </c>
      <c r="B6" s="1">
        <v>41760</v>
      </c>
      <c r="C6">
        <v>-33.005223950118001</v>
      </c>
      <c r="G6" s="5">
        <v>41730</v>
      </c>
      <c r="H6" s="2">
        <v>-34.481732955406201</v>
      </c>
      <c r="I6" s="2">
        <v>-35.985706600464397</v>
      </c>
      <c r="J6" s="2">
        <v>-169.93757634883201</v>
      </c>
      <c r="K6" s="2">
        <v>-262.01517752451798</v>
      </c>
      <c r="L6" s="2">
        <v>-502.4201934292206</v>
      </c>
    </row>
    <row r="7" spans="1:12" x14ac:dyDescent="0.25">
      <c r="A7" t="s">
        <v>14</v>
      </c>
      <c r="B7" s="1">
        <v>41791</v>
      </c>
      <c r="C7">
        <v>-13.0645507921671</v>
      </c>
      <c r="G7" s="5">
        <v>41760</v>
      </c>
      <c r="H7" s="2">
        <v>-33.005223950118001</v>
      </c>
      <c r="I7" s="2">
        <v>-33.520668374976403</v>
      </c>
      <c r="J7" s="2">
        <v>-172.23092380611101</v>
      </c>
      <c r="K7" s="2">
        <v>-266.14449986252799</v>
      </c>
      <c r="L7" s="2">
        <v>-504.90131599373342</v>
      </c>
    </row>
    <row r="8" spans="1:12" x14ac:dyDescent="0.25">
      <c r="A8" t="s">
        <v>14</v>
      </c>
      <c r="B8" s="1">
        <v>41821</v>
      </c>
      <c r="C8">
        <v>-10.2700977106495</v>
      </c>
      <c r="G8" s="5">
        <v>41791</v>
      </c>
      <c r="H8" s="2">
        <v>-13.0645507921671</v>
      </c>
      <c r="I8" s="2">
        <v>-13.712362380730999</v>
      </c>
      <c r="J8" s="2">
        <v>-153.068722755018</v>
      </c>
      <c r="K8" s="2">
        <v>-247.242252997614</v>
      </c>
      <c r="L8" s="2">
        <v>-427.08788892553014</v>
      </c>
    </row>
    <row r="9" spans="1:12" x14ac:dyDescent="0.25">
      <c r="A9" t="s">
        <v>14</v>
      </c>
      <c r="B9" s="1">
        <v>41852</v>
      </c>
      <c r="C9">
        <v>-7.2367131393748796</v>
      </c>
      <c r="G9" s="5">
        <v>41821</v>
      </c>
      <c r="H9" s="2">
        <v>-10.2700977106495</v>
      </c>
      <c r="I9" s="2">
        <v>-10.3068453089857</v>
      </c>
      <c r="J9" s="2">
        <v>-150.05715922870399</v>
      </c>
      <c r="K9" s="2">
        <v>-244.57149713786799</v>
      </c>
      <c r="L9" s="2">
        <v>-415.20559938620715</v>
      </c>
    </row>
    <row r="10" spans="1:12" x14ac:dyDescent="0.25">
      <c r="A10" t="s">
        <v>14</v>
      </c>
      <c r="B10" s="1">
        <v>41883</v>
      </c>
      <c r="C10">
        <v>-4.0239419513455799</v>
      </c>
      <c r="G10" s="5">
        <v>41852</v>
      </c>
      <c r="H10" s="2">
        <v>-7.2367131393748796</v>
      </c>
      <c r="I10" s="2">
        <v>-7.0074018572992598</v>
      </c>
      <c r="J10" s="2">
        <v>-146.86159995582901</v>
      </c>
      <c r="K10" s="2">
        <v>-241.68620956910499</v>
      </c>
      <c r="L10" s="2">
        <v>-402.79192452160817</v>
      </c>
    </row>
    <row r="11" spans="1:12" x14ac:dyDescent="0.25">
      <c r="A11" t="s">
        <v>14</v>
      </c>
      <c r="B11" s="1">
        <v>41913</v>
      </c>
      <c r="C11">
        <v>-5.5238193522771804</v>
      </c>
      <c r="G11" s="5">
        <v>41883</v>
      </c>
      <c r="H11" s="2">
        <v>-4.0239419513455799</v>
      </c>
      <c r="I11" s="2">
        <v>-3.9082170375127401</v>
      </c>
      <c r="J11" s="2">
        <v>-143.759622473436</v>
      </c>
      <c r="K11" s="2">
        <v>-238.70884667719901</v>
      </c>
      <c r="L11" s="2">
        <v>-390.40062813949334</v>
      </c>
    </row>
    <row r="12" spans="1:12" x14ac:dyDescent="0.25">
      <c r="A12" t="s">
        <v>14</v>
      </c>
      <c r="B12" s="1">
        <v>41944</v>
      </c>
      <c r="C12">
        <v>7.43145132554017</v>
      </c>
      <c r="G12" s="5">
        <v>41913</v>
      </c>
      <c r="H12" s="2">
        <v>-5.5238193522771804</v>
      </c>
      <c r="I12" s="2">
        <v>-5.73545124087833</v>
      </c>
      <c r="J12" s="2">
        <v>-145.72441665794199</v>
      </c>
      <c r="K12" s="2">
        <v>-240.83001301912299</v>
      </c>
      <c r="L12" s="2">
        <v>-397.81370027022047</v>
      </c>
    </row>
    <row r="13" spans="1:12" x14ac:dyDescent="0.25">
      <c r="A13" t="s">
        <v>14</v>
      </c>
      <c r="B13" s="1">
        <v>41974</v>
      </c>
      <c r="C13">
        <v>10.828040041677699</v>
      </c>
      <c r="G13" s="5">
        <v>41944</v>
      </c>
      <c r="H13" s="2">
        <v>7.43145132554017</v>
      </c>
      <c r="I13" s="2">
        <v>8.3214443462077803</v>
      </c>
      <c r="J13" s="2">
        <v>-131.697713921721</v>
      </c>
      <c r="K13" s="2">
        <v>-226.958560708139</v>
      </c>
      <c r="L13" s="2">
        <v>-342.90337895811206</v>
      </c>
    </row>
    <row r="14" spans="1:12" x14ac:dyDescent="0.25">
      <c r="A14" t="s">
        <v>14</v>
      </c>
      <c r="B14" s="1">
        <v>42005</v>
      </c>
      <c r="C14">
        <v>24.190399816172299</v>
      </c>
      <c r="G14" s="5">
        <v>41974</v>
      </c>
      <c r="H14" s="2">
        <v>10.828040041677699</v>
      </c>
      <c r="I14" s="2">
        <v>12.502308963256899</v>
      </c>
      <c r="J14" s="2">
        <v>-127.330971601421</v>
      </c>
      <c r="K14" s="2">
        <v>-222.85761521353601</v>
      </c>
      <c r="L14" s="2">
        <v>-326.85823781002239</v>
      </c>
    </row>
    <row r="15" spans="1:12" x14ac:dyDescent="0.25">
      <c r="A15" t="s">
        <v>14</v>
      </c>
      <c r="B15" s="1">
        <v>42036</v>
      </c>
      <c r="C15">
        <v>41.9411300184873</v>
      </c>
      <c r="G15" s="5">
        <v>42005</v>
      </c>
      <c r="H15" s="2">
        <v>24.190399816172299</v>
      </c>
      <c r="I15" s="2">
        <v>28.928569004389299</v>
      </c>
      <c r="J15" s="2">
        <v>-108.033329779751</v>
      </c>
      <c r="K15" s="2">
        <v>-209.77933947497999</v>
      </c>
      <c r="L15" s="2">
        <v>-264.69370043416939</v>
      </c>
    </row>
    <row r="16" spans="1:12" x14ac:dyDescent="0.25">
      <c r="A16" t="s">
        <v>14</v>
      </c>
      <c r="B16" s="1">
        <v>42064</v>
      </c>
      <c r="C16">
        <v>37.663682942686698</v>
      </c>
      <c r="G16" s="5">
        <v>42036</v>
      </c>
      <c r="H16" s="2">
        <v>41.9411300184873</v>
      </c>
      <c r="I16" s="2">
        <v>46.825024841884598</v>
      </c>
      <c r="J16" s="2">
        <v>-89.283898773175096</v>
      </c>
      <c r="K16" s="2">
        <v>-191.40979081060499</v>
      </c>
      <c r="L16" s="2">
        <v>-191.9275347234082</v>
      </c>
    </row>
    <row r="17" spans="1:12" x14ac:dyDescent="0.25">
      <c r="A17" t="s">
        <v>14</v>
      </c>
      <c r="B17" s="1">
        <v>42095</v>
      </c>
      <c r="C17">
        <v>30.946084121633099</v>
      </c>
      <c r="G17" s="5">
        <v>42064</v>
      </c>
      <c r="H17" s="2">
        <v>37.663682942686698</v>
      </c>
      <c r="I17" s="2">
        <v>42.549667292354997</v>
      </c>
      <c r="J17" s="2">
        <v>-92.468077211590497</v>
      </c>
      <c r="K17" s="2">
        <v>-194.824766094502</v>
      </c>
      <c r="L17" s="2">
        <v>-207.07949307105079</v>
      </c>
    </row>
    <row r="18" spans="1:12" x14ac:dyDescent="0.25">
      <c r="A18" t="s">
        <v>14</v>
      </c>
      <c r="B18" s="1">
        <v>42125</v>
      </c>
      <c r="C18">
        <v>38.387170034990604</v>
      </c>
      <c r="G18" s="5">
        <v>42095</v>
      </c>
      <c r="H18" s="2">
        <v>30.946084121633099</v>
      </c>
      <c r="I18" s="2">
        <v>36.057479256224703</v>
      </c>
      <c r="J18" s="2">
        <v>-96.972265775466397</v>
      </c>
      <c r="K18" s="2">
        <v>-199.691330437217</v>
      </c>
      <c r="L18" s="2">
        <v>-229.66003283482559</v>
      </c>
    </row>
    <row r="19" spans="1:12" x14ac:dyDescent="0.25">
      <c r="A19" t="s">
        <v>14</v>
      </c>
      <c r="B19" s="1">
        <v>42156</v>
      </c>
      <c r="C19">
        <v>20.167759794127299</v>
      </c>
      <c r="G19" s="5">
        <v>42125</v>
      </c>
      <c r="H19" s="2">
        <v>38.387170034990604</v>
      </c>
      <c r="I19" s="2">
        <v>44.036859864426802</v>
      </c>
      <c r="J19" s="2">
        <v>-87.0687028134559</v>
      </c>
      <c r="K19" s="2">
        <v>-189.80298466732401</v>
      </c>
      <c r="L19" s="2">
        <v>-194.44765758136251</v>
      </c>
    </row>
    <row r="20" spans="1:12" x14ac:dyDescent="0.25">
      <c r="A20" t="s">
        <v>14</v>
      </c>
      <c r="B20" s="1">
        <v>42186</v>
      </c>
      <c r="C20">
        <v>3.14118343704786</v>
      </c>
      <c r="G20" s="5">
        <v>42156</v>
      </c>
      <c r="H20" s="2">
        <v>20.167759794127299</v>
      </c>
      <c r="I20" s="2">
        <v>26.183816590879299</v>
      </c>
      <c r="J20" s="2">
        <v>-103.238807399728</v>
      </c>
      <c r="K20" s="2">
        <v>-206.13719864443999</v>
      </c>
      <c r="L20" s="2">
        <v>-263.0244296591614</v>
      </c>
    </row>
    <row r="21" spans="1:12" x14ac:dyDescent="0.25">
      <c r="A21" t="s">
        <v>14</v>
      </c>
      <c r="B21" s="1">
        <v>42217</v>
      </c>
      <c r="C21">
        <v>-3.3305347114329602</v>
      </c>
      <c r="G21" s="5">
        <v>42186</v>
      </c>
      <c r="H21" s="2">
        <v>3.14118343704786</v>
      </c>
      <c r="I21" s="2">
        <v>10.2849010054485</v>
      </c>
      <c r="J21" s="2">
        <v>-117.60652342275399</v>
      </c>
      <c r="K21" s="2">
        <v>-220.482955314657</v>
      </c>
      <c r="L21" s="2">
        <v>-324.66339429491461</v>
      </c>
    </row>
    <row r="22" spans="1:12" x14ac:dyDescent="0.25">
      <c r="A22" t="s">
        <v>14</v>
      </c>
      <c r="B22" s="1">
        <v>42248</v>
      </c>
      <c r="C22">
        <v>4.3364281364367701</v>
      </c>
      <c r="G22" s="5">
        <v>42217</v>
      </c>
      <c r="H22" s="2">
        <v>-3.3305347114329602</v>
      </c>
      <c r="I22" s="2">
        <v>4.4043540163717703</v>
      </c>
      <c r="J22" s="2">
        <v>-122.067229149036</v>
      </c>
      <c r="K22" s="2">
        <v>-225.10478689812399</v>
      </c>
      <c r="L22" s="2">
        <v>-346.09819674222115</v>
      </c>
    </row>
    <row r="23" spans="1:12" x14ac:dyDescent="0.25">
      <c r="A23" t="s">
        <v>14</v>
      </c>
      <c r="B23" s="1">
        <v>42278</v>
      </c>
      <c r="C23">
        <v>5.7315242052968003</v>
      </c>
      <c r="G23" s="5">
        <v>42248</v>
      </c>
      <c r="H23" s="2">
        <v>4.3364281364367701</v>
      </c>
      <c r="I23" s="2">
        <v>19.1500333643346</v>
      </c>
      <c r="J23" s="2">
        <v>-100.53652409678099</v>
      </c>
      <c r="K23" s="2">
        <v>-200.74634896646299</v>
      </c>
      <c r="L23" s="2">
        <v>-277.7964115624726</v>
      </c>
    </row>
    <row r="24" spans="1:12" x14ac:dyDescent="0.25">
      <c r="A24" t="s">
        <v>14</v>
      </c>
      <c r="B24" s="1">
        <v>42309</v>
      </c>
      <c r="C24">
        <v>16.687536765016901</v>
      </c>
      <c r="G24" s="5">
        <v>42278</v>
      </c>
      <c r="H24" s="2">
        <v>5.7315242052968003</v>
      </c>
      <c r="I24" s="2">
        <v>20.7243370053483</v>
      </c>
      <c r="J24" s="2">
        <v>-97.898638411900706</v>
      </c>
      <c r="K24" s="2">
        <v>-198.37525496117499</v>
      </c>
      <c r="L24" s="2">
        <v>-269.8180321624306</v>
      </c>
    </row>
    <row r="25" spans="1:12" x14ac:dyDescent="0.25">
      <c r="A25" t="s">
        <v>14</v>
      </c>
      <c r="B25" s="1">
        <v>42339</v>
      </c>
      <c r="C25">
        <v>1.0743635884904901</v>
      </c>
      <c r="G25" s="5">
        <v>42309</v>
      </c>
      <c r="H25" s="2">
        <v>16.687536765016901</v>
      </c>
      <c r="I25" s="2">
        <v>30.976274805129702</v>
      </c>
      <c r="J25" s="2">
        <v>-86.637286073934106</v>
      </c>
      <c r="K25" s="2">
        <v>-187.23217418347599</v>
      </c>
      <c r="L25" s="2">
        <v>-226.20564868726348</v>
      </c>
    </row>
    <row r="26" spans="1:12" x14ac:dyDescent="0.25">
      <c r="A26" t="s">
        <v>14</v>
      </c>
      <c r="B26" s="1">
        <v>42370</v>
      </c>
      <c r="C26">
        <v>0.893086635311095</v>
      </c>
      <c r="G26" s="5">
        <v>42339</v>
      </c>
      <c r="H26" s="2">
        <v>1.0743635884904901</v>
      </c>
      <c r="I26" s="2">
        <v>14.284136117935301</v>
      </c>
      <c r="J26" s="2">
        <v>-102.44878733467201</v>
      </c>
      <c r="K26" s="2">
        <v>-203.37033008072601</v>
      </c>
      <c r="L26" s="2">
        <v>-290.46061770897222</v>
      </c>
    </row>
    <row r="27" spans="1:12" x14ac:dyDescent="0.25">
      <c r="A27" t="s">
        <v>14</v>
      </c>
      <c r="B27" s="1">
        <v>42401</v>
      </c>
      <c r="C27">
        <v>10.775048817838501</v>
      </c>
      <c r="G27" s="5">
        <v>42370</v>
      </c>
      <c r="H27" s="2">
        <v>0.893086635311095</v>
      </c>
      <c r="I27" s="2">
        <v>12.603153014043601</v>
      </c>
      <c r="J27" s="2">
        <v>-103.138488502369</v>
      </c>
      <c r="K27" s="2">
        <v>-204.36457921040099</v>
      </c>
      <c r="L27" s="2">
        <v>-294.0068280634153</v>
      </c>
    </row>
    <row r="28" spans="1:12" x14ac:dyDescent="0.25">
      <c r="A28" t="s">
        <v>14</v>
      </c>
      <c r="B28" s="1">
        <v>42430</v>
      </c>
      <c r="C28">
        <v>34.579078960709303</v>
      </c>
      <c r="G28" s="5">
        <v>42401</v>
      </c>
      <c r="H28" s="2">
        <v>10.775048817838501</v>
      </c>
      <c r="I28" s="2">
        <v>21.6408405300519</v>
      </c>
      <c r="J28" s="2">
        <v>-93.135873343724299</v>
      </c>
      <c r="K28" s="2">
        <v>-194.66656903522099</v>
      </c>
      <c r="L28" s="2">
        <v>-255.38655303105489</v>
      </c>
    </row>
    <row r="29" spans="1:12" x14ac:dyDescent="0.25">
      <c r="A29" t="s">
        <v>15</v>
      </c>
      <c r="B29" s="1">
        <v>41640</v>
      </c>
      <c r="C29">
        <v>-54.483150819422903</v>
      </c>
      <c r="G29" s="5">
        <v>42430</v>
      </c>
      <c r="H29" s="2">
        <v>34.579078960709303</v>
      </c>
      <c r="I29" s="2">
        <v>44.2372153565113</v>
      </c>
      <c r="J29" s="2">
        <v>-69.700077183699193</v>
      </c>
      <c r="K29" s="2">
        <v>-171.63564951231999</v>
      </c>
      <c r="L29" s="2">
        <v>-162.51943237879857</v>
      </c>
    </row>
    <row r="30" spans="1:12" x14ac:dyDescent="0.25">
      <c r="A30" t="s">
        <v>15</v>
      </c>
      <c r="B30" s="1">
        <v>41671</v>
      </c>
      <c r="C30">
        <v>-51.549358284780801</v>
      </c>
      <c r="G30" s="5" t="s">
        <v>9</v>
      </c>
      <c r="H30" s="2">
        <v>42.989605594937288</v>
      </c>
      <c r="I30" s="2">
        <v>171.76613806404549</v>
      </c>
      <c r="J30" s="2">
        <v>-3343.7138216092676</v>
      </c>
      <c r="K30" s="2">
        <v>-6004.5428563054347</v>
      </c>
      <c r="L30" s="2">
        <v>-9133.5009342557187</v>
      </c>
    </row>
    <row r="31" spans="1:12" x14ac:dyDescent="0.25">
      <c r="A31" t="s">
        <v>15</v>
      </c>
      <c r="B31" s="1">
        <v>41699</v>
      </c>
      <c r="C31">
        <v>-35.735115405702302</v>
      </c>
    </row>
    <row r="32" spans="1:12" x14ac:dyDescent="0.25">
      <c r="A32" t="s">
        <v>15</v>
      </c>
      <c r="B32" s="1">
        <v>41730</v>
      </c>
      <c r="C32">
        <v>-35.985706600464397</v>
      </c>
    </row>
    <row r="33" spans="1:3" x14ac:dyDescent="0.25">
      <c r="A33" t="s">
        <v>15</v>
      </c>
      <c r="B33" s="1">
        <v>41760</v>
      </c>
      <c r="C33">
        <v>-33.520668374976403</v>
      </c>
    </row>
    <row r="34" spans="1:3" x14ac:dyDescent="0.25">
      <c r="A34" t="s">
        <v>15</v>
      </c>
      <c r="B34" s="1">
        <v>41791</v>
      </c>
      <c r="C34">
        <v>-13.712362380730999</v>
      </c>
    </row>
    <row r="35" spans="1:3" x14ac:dyDescent="0.25">
      <c r="A35" t="s">
        <v>15</v>
      </c>
      <c r="B35" s="1">
        <v>41821</v>
      </c>
      <c r="C35">
        <v>-10.3068453089857</v>
      </c>
    </row>
    <row r="36" spans="1:3" x14ac:dyDescent="0.25">
      <c r="A36" t="s">
        <v>15</v>
      </c>
      <c r="B36" s="1">
        <v>41852</v>
      </c>
      <c r="C36">
        <v>-7.0074018572992598</v>
      </c>
    </row>
    <row r="37" spans="1:3" x14ac:dyDescent="0.25">
      <c r="A37" t="s">
        <v>15</v>
      </c>
      <c r="B37" s="1">
        <v>41883</v>
      </c>
      <c r="C37">
        <v>-3.9082170375127401</v>
      </c>
    </row>
    <row r="38" spans="1:3" x14ac:dyDescent="0.25">
      <c r="A38" t="s">
        <v>15</v>
      </c>
      <c r="B38" s="1">
        <v>41913</v>
      </c>
      <c r="C38">
        <v>-5.73545124087833</v>
      </c>
    </row>
    <row r="39" spans="1:3" x14ac:dyDescent="0.25">
      <c r="A39" t="s">
        <v>15</v>
      </c>
      <c r="B39" s="1">
        <v>41944</v>
      </c>
      <c r="C39">
        <v>8.3214443462077803</v>
      </c>
    </row>
    <row r="40" spans="1:3" x14ac:dyDescent="0.25">
      <c r="A40" t="s">
        <v>15</v>
      </c>
      <c r="B40" s="1">
        <v>41974</v>
      </c>
      <c r="C40">
        <v>12.502308963256899</v>
      </c>
    </row>
    <row r="41" spans="1:3" x14ac:dyDescent="0.25">
      <c r="A41" t="s">
        <v>15</v>
      </c>
      <c r="B41" s="1">
        <v>42005</v>
      </c>
      <c r="C41">
        <v>28.928569004389299</v>
      </c>
    </row>
    <row r="42" spans="1:3" x14ac:dyDescent="0.25">
      <c r="A42" t="s">
        <v>15</v>
      </c>
      <c r="B42" s="1">
        <v>42036</v>
      </c>
      <c r="C42">
        <v>46.825024841884598</v>
      </c>
    </row>
    <row r="43" spans="1:3" x14ac:dyDescent="0.25">
      <c r="A43" t="s">
        <v>15</v>
      </c>
      <c r="B43" s="1">
        <v>42064</v>
      </c>
      <c r="C43">
        <v>42.549667292354997</v>
      </c>
    </row>
    <row r="44" spans="1:3" x14ac:dyDescent="0.25">
      <c r="A44" t="s">
        <v>15</v>
      </c>
      <c r="B44" s="1">
        <v>42095</v>
      </c>
      <c r="C44">
        <v>36.057479256224703</v>
      </c>
    </row>
    <row r="45" spans="1:3" x14ac:dyDescent="0.25">
      <c r="A45" t="s">
        <v>15</v>
      </c>
      <c r="B45" s="1">
        <v>42125</v>
      </c>
      <c r="C45">
        <v>44.036859864426802</v>
      </c>
    </row>
    <row r="46" spans="1:3" x14ac:dyDescent="0.25">
      <c r="A46" t="s">
        <v>15</v>
      </c>
      <c r="B46" s="1">
        <v>42156</v>
      </c>
      <c r="C46">
        <v>26.183816590879299</v>
      </c>
    </row>
    <row r="47" spans="1:3" x14ac:dyDescent="0.25">
      <c r="A47" t="s">
        <v>15</v>
      </c>
      <c r="B47" s="1">
        <v>42186</v>
      </c>
      <c r="C47">
        <v>10.2849010054485</v>
      </c>
    </row>
    <row r="48" spans="1:3" x14ac:dyDescent="0.25">
      <c r="A48" t="s">
        <v>15</v>
      </c>
      <c r="B48" s="1">
        <v>42217</v>
      </c>
      <c r="C48">
        <v>4.4043540163717703</v>
      </c>
    </row>
    <row r="49" spans="1:3" x14ac:dyDescent="0.25">
      <c r="A49" t="s">
        <v>15</v>
      </c>
      <c r="B49" s="1">
        <v>42248</v>
      </c>
      <c r="C49">
        <v>19.1500333643346</v>
      </c>
    </row>
    <row r="50" spans="1:3" x14ac:dyDescent="0.25">
      <c r="A50" t="s">
        <v>15</v>
      </c>
      <c r="B50" s="1">
        <v>42278</v>
      </c>
      <c r="C50">
        <v>20.7243370053483</v>
      </c>
    </row>
    <row r="51" spans="1:3" x14ac:dyDescent="0.25">
      <c r="A51" t="s">
        <v>15</v>
      </c>
      <c r="B51" s="1">
        <v>42309</v>
      </c>
      <c r="C51">
        <v>30.976274805129702</v>
      </c>
    </row>
    <row r="52" spans="1:3" x14ac:dyDescent="0.25">
      <c r="A52" t="s">
        <v>15</v>
      </c>
      <c r="B52" s="1">
        <v>42339</v>
      </c>
      <c r="C52">
        <v>14.284136117935301</v>
      </c>
    </row>
    <row r="53" spans="1:3" x14ac:dyDescent="0.25">
      <c r="A53" t="s">
        <v>15</v>
      </c>
      <c r="B53" s="1">
        <v>42370</v>
      </c>
      <c r="C53">
        <v>12.603153014043601</v>
      </c>
    </row>
    <row r="54" spans="1:3" x14ac:dyDescent="0.25">
      <c r="A54" t="s">
        <v>15</v>
      </c>
      <c r="B54" s="1">
        <v>42401</v>
      </c>
      <c r="C54">
        <v>21.6408405300519</v>
      </c>
    </row>
    <row r="55" spans="1:3" x14ac:dyDescent="0.25">
      <c r="A55" t="s">
        <v>15</v>
      </c>
      <c r="B55" s="1">
        <v>42430</v>
      </c>
      <c r="C55">
        <v>44.2372153565113</v>
      </c>
    </row>
    <row r="56" spans="1:3" x14ac:dyDescent="0.25">
      <c r="A56" t="s">
        <v>16</v>
      </c>
      <c r="B56" s="1">
        <v>41640</v>
      </c>
      <c r="C56">
        <v>-184.00080582106301</v>
      </c>
    </row>
    <row r="57" spans="1:3" x14ac:dyDescent="0.25">
      <c r="A57" t="s">
        <v>16</v>
      </c>
      <c r="B57" s="1">
        <v>41671</v>
      </c>
      <c r="C57">
        <v>-181.93813707907401</v>
      </c>
    </row>
    <row r="58" spans="1:3" x14ac:dyDescent="0.25">
      <c r="A58" t="s">
        <v>16</v>
      </c>
      <c r="B58" s="1">
        <v>41699</v>
      </c>
      <c r="C58">
        <v>-166.87166268807999</v>
      </c>
    </row>
    <row r="59" spans="1:3" x14ac:dyDescent="0.25">
      <c r="A59" t="s">
        <v>16</v>
      </c>
      <c r="B59" s="1">
        <v>41730</v>
      </c>
      <c r="C59">
        <v>-169.93757634883201</v>
      </c>
    </row>
    <row r="60" spans="1:3" x14ac:dyDescent="0.25">
      <c r="A60" t="s">
        <v>16</v>
      </c>
      <c r="B60" s="1">
        <v>41760</v>
      </c>
      <c r="C60">
        <v>-172.23092380611101</v>
      </c>
    </row>
    <row r="61" spans="1:3" x14ac:dyDescent="0.25">
      <c r="A61" t="s">
        <v>16</v>
      </c>
      <c r="B61" s="1">
        <v>41791</v>
      </c>
      <c r="C61">
        <v>-153.068722755018</v>
      </c>
    </row>
    <row r="62" spans="1:3" x14ac:dyDescent="0.25">
      <c r="A62" t="s">
        <v>16</v>
      </c>
      <c r="B62" s="1">
        <v>41821</v>
      </c>
      <c r="C62">
        <v>-150.05715922870399</v>
      </c>
    </row>
    <row r="63" spans="1:3" x14ac:dyDescent="0.25">
      <c r="A63" t="s">
        <v>16</v>
      </c>
      <c r="B63" s="1">
        <v>41852</v>
      </c>
      <c r="C63">
        <v>-146.86159995582901</v>
      </c>
    </row>
    <row r="64" spans="1:3" x14ac:dyDescent="0.25">
      <c r="A64" t="s">
        <v>16</v>
      </c>
      <c r="B64" s="1">
        <v>41883</v>
      </c>
      <c r="C64">
        <v>-143.759622473436</v>
      </c>
    </row>
    <row r="65" spans="1:3" x14ac:dyDescent="0.25">
      <c r="A65" t="s">
        <v>16</v>
      </c>
      <c r="B65" s="1">
        <v>41913</v>
      </c>
      <c r="C65">
        <v>-145.72441665794199</v>
      </c>
    </row>
    <row r="66" spans="1:3" x14ac:dyDescent="0.25">
      <c r="A66" t="s">
        <v>16</v>
      </c>
      <c r="B66" s="1">
        <v>41944</v>
      </c>
      <c r="C66">
        <v>-131.697713921721</v>
      </c>
    </row>
    <row r="67" spans="1:3" x14ac:dyDescent="0.25">
      <c r="A67" t="s">
        <v>16</v>
      </c>
      <c r="B67" s="1">
        <v>41974</v>
      </c>
      <c r="C67">
        <v>-127.330971601421</v>
      </c>
    </row>
    <row r="68" spans="1:3" x14ac:dyDescent="0.25">
      <c r="A68" t="s">
        <v>16</v>
      </c>
      <c r="B68" s="1">
        <v>42005</v>
      </c>
      <c r="C68">
        <v>-108.033329779751</v>
      </c>
    </row>
    <row r="69" spans="1:3" x14ac:dyDescent="0.25">
      <c r="A69" t="s">
        <v>16</v>
      </c>
      <c r="B69" s="1">
        <v>42036</v>
      </c>
      <c r="C69">
        <v>-89.283898773175096</v>
      </c>
    </row>
    <row r="70" spans="1:3" x14ac:dyDescent="0.25">
      <c r="A70" t="s">
        <v>16</v>
      </c>
      <c r="B70" s="1">
        <v>42064</v>
      </c>
      <c r="C70">
        <v>-92.468077211590497</v>
      </c>
    </row>
    <row r="71" spans="1:3" x14ac:dyDescent="0.25">
      <c r="A71" t="s">
        <v>16</v>
      </c>
      <c r="B71" s="1">
        <v>42095</v>
      </c>
      <c r="C71">
        <v>-96.972265775466397</v>
      </c>
    </row>
    <row r="72" spans="1:3" x14ac:dyDescent="0.25">
      <c r="A72" t="s">
        <v>16</v>
      </c>
      <c r="B72" s="1">
        <v>42125</v>
      </c>
      <c r="C72">
        <v>-87.0687028134559</v>
      </c>
    </row>
    <row r="73" spans="1:3" x14ac:dyDescent="0.25">
      <c r="A73" t="s">
        <v>16</v>
      </c>
      <c r="B73" s="1">
        <v>42156</v>
      </c>
      <c r="C73">
        <v>-103.238807399728</v>
      </c>
    </row>
    <row r="74" spans="1:3" x14ac:dyDescent="0.25">
      <c r="A74" t="s">
        <v>16</v>
      </c>
      <c r="B74" s="1">
        <v>42186</v>
      </c>
      <c r="C74">
        <v>-117.60652342275399</v>
      </c>
    </row>
    <row r="75" spans="1:3" x14ac:dyDescent="0.25">
      <c r="A75" t="s">
        <v>16</v>
      </c>
      <c r="B75" s="1">
        <v>42217</v>
      </c>
      <c r="C75">
        <v>-122.067229149036</v>
      </c>
    </row>
    <row r="76" spans="1:3" x14ac:dyDescent="0.25">
      <c r="A76" t="s">
        <v>16</v>
      </c>
      <c r="B76" s="1">
        <v>42248</v>
      </c>
      <c r="C76">
        <v>-100.53652409678099</v>
      </c>
    </row>
    <row r="77" spans="1:3" x14ac:dyDescent="0.25">
      <c r="A77" t="s">
        <v>16</v>
      </c>
      <c r="B77" s="1">
        <v>42278</v>
      </c>
      <c r="C77">
        <v>-97.898638411900706</v>
      </c>
    </row>
    <row r="78" spans="1:3" x14ac:dyDescent="0.25">
      <c r="A78" t="s">
        <v>16</v>
      </c>
      <c r="B78" s="1">
        <v>42309</v>
      </c>
      <c r="C78">
        <v>-86.637286073934106</v>
      </c>
    </row>
    <row r="79" spans="1:3" x14ac:dyDescent="0.25">
      <c r="A79" t="s">
        <v>16</v>
      </c>
      <c r="B79" s="1">
        <v>42339</v>
      </c>
      <c r="C79">
        <v>-102.44878733467201</v>
      </c>
    </row>
    <row r="80" spans="1:3" x14ac:dyDescent="0.25">
      <c r="A80" t="s">
        <v>16</v>
      </c>
      <c r="B80" s="1">
        <v>42370</v>
      </c>
      <c r="C80">
        <v>-103.138488502369</v>
      </c>
    </row>
    <row r="81" spans="1:3" x14ac:dyDescent="0.25">
      <c r="A81" t="s">
        <v>16</v>
      </c>
      <c r="B81" s="1">
        <v>42401</v>
      </c>
      <c r="C81">
        <v>-93.135873343724299</v>
      </c>
    </row>
    <row r="82" spans="1:3" x14ac:dyDescent="0.25">
      <c r="A82" t="s">
        <v>16</v>
      </c>
      <c r="B82" s="1">
        <v>42430</v>
      </c>
      <c r="C82">
        <v>-69.700077183699193</v>
      </c>
    </row>
    <row r="83" spans="1:3" x14ac:dyDescent="0.25">
      <c r="A83" t="s">
        <v>17</v>
      </c>
      <c r="B83" s="1">
        <v>41640</v>
      </c>
      <c r="C83">
        <v>-278.37102925818698</v>
      </c>
    </row>
    <row r="84" spans="1:3" x14ac:dyDescent="0.25">
      <c r="A84" t="s">
        <v>17</v>
      </c>
      <c r="B84" s="1">
        <v>41671</v>
      </c>
      <c r="C84">
        <v>-276.30216879439399</v>
      </c>
    </row>
    <row r="85" spans="1:3" x14ac:dyDescent="0.25">
      <c r="A85" t="s">
        <v>17</v>
      </c>
      <c r="B85" s="1">
        <v>41699</v>
      </c>
      <c r="C85">
        <v>-261.23092725159302</v>
      </c>
    </row>
    <row r="86" spans="1:3" x14ac:dyDescent="0.25">
      <c r="A86" t="s">
        <v>17</v>
      </c>
      <c r="B86" s="1">
        <v>41730</v>
      </c>
      <c r="C86">
        <v>-262.01517752451798</v>
      </c>
    </row>
    <row r="87" spans="1:3" x14ac:dyDescent="0.25">
      <c r="A87" t="s">
        <v>17</v>
      </c>
      <c r="B87" s="1">
        <v>41760</v>
      </c>
      <c r="C87">
        <v>-266.14449986252799</v>
      </c>
    </row>
    <row r="88" spans="1:3" x14ac:dyDescent="0.25">
      <c r="A88" t="s">
        <v>17</v>
      </c>
      <c r="B88" s="1">
        <v>41791</v>
      </c>
      <c r="C88">
        <v>-247.242252997614</v>
      </c>
    </row>
    <row r="89" spans="1:3" x14ac:dyDescent="0.25">
      <c r="A89" t="s">
        <v>17</v>
      </c>
      <c r="B89" s="1">
        <v>41821</v>
      </c>
      <c r="C89">
        <v>-244.57149713786799</v>
      </c>
    </row>
    <row r="90" spans="1:3" x14ac:dyDescent="0.25">
      <c r="A90" t="s">
        <v>17</v>
      </c>
      <c r="B90" s="1">
        <v>41852</v>
      </c>
      <c r="C90">
        <v>-241.68620956910499</v>
      </c>
    </row>
    <row r="91" spans="1:3" x14ac:dyDescent="0.25">
      <c r="A91" t="s">
        <v>17</v>
      </c>
      <c r="B91" s="1">
        <v>41883</v>
      </c>
      <c r="C91">
        <v>-238.70884667719901</v>
      </c>
    </row>
    <row r="92" spans="1:3" x14ac:dyDescent="0.25">
      <c r="A92" t="s">
        <v>17</v>
      </c>
      <c r="B92" s="1">
        <v>41913</v>
      </c>
      <c r="C92">
        <v>-240.83001301912299</v>
      </c>
    </row>
    <row r="93" spans="1:3" x14ac:dyDescent="0.25">
      <c r="A93" t="s">
        <v>17</v>
      </c>
      <c r="B93" s="1">
        <v>41944</v>
      </c>
      <c r="C93">
        <v>-226.958560708139</v>
      </c>
    </row>
    <row r="94" spans="1:3" x14ac:dyDescent="0.25">
      <c r="A94" t="s">
        <v>17</v>
      </c>
      <c r="B94" s="1">
        <v>41974</v>
      </c>
      <c r="C94">
        <v>-222.85761521353601</v>
      </c>
    </row>
    <row r="95" spans="1:3" x14ac:dyDescent="0.25">
      <c r="A95" t="s">
        <v>17</v>
      </c>
      <c r="B95" s="1">
        <v>42005</v>
      </c>
      <c r="C95">
        <v>-209.77933947497999</v>
      </c>
    </row>
    <row r="96" spans="1:3" x14ac:dyDescent="0.25">
      <c r="A96" t="s">
        <v>17</v>
      </c>
      <c r="B96" s="1">
        <v>42036</v>
      </c>
      <c r="C96">
        <v>-191.40979081060499</v>
      </c>
    </row>
    <row r="97" spans="1:3" x14ac:dyDescent="0.25">
      <c r="A97" t="s">
        <v>17</v>
      </c>
      <c r="B97" s="1">
        <v>42064</v>
      </c>
      <c r="C97">
        <v>-194.824766094502</v>
      </c>
    </row>
    <row r="98" spans="1:3" x14ac:dyDescent="0.25">
      <c r="A98" t="s">
        <v>17</v>
      </c>
      <c r="B98" s="1">
        <v>42095</v>
      </c>
      <c r="C98">
        <v>-199.691330437217</v>
      </c>
    </row>
    <row r="99" spans="1:3" x14ac:dyDescent="0.25">
      <c r="A99" t="s">
        <v>17</v>
      </c>
      <c r="B99" s="1">
        <v>42125</v>
      </c>
      <c r="C99">
        <v>-189.80298466732401</v>
      </c>
    </row>
    <row r="100" spans="1:3" x14ac:dyDescent="0.25">
      <c r="A100" t="s">
        <v>17</v>
      </c>
      <c r="B100" s="1">
        <v>42156</v>
      </c>
      <c r="C100">
        <v>-206.13719864443999</v>
      </c>
    </row>
    <row r="101" spans="1:3" x14ac:dyDescent="0.25">
      <c r="A101" t="s">
        <v>17</v>
      </c>
      <c r="B101" s="1">
        <v>42186</v>
      </c>
      <c r="C101">
        <v>-220.482955314657</v>
      </c>
    </row>
    <row r="102" spans="1:3" x14ac:dyDescent="0.25">
      <c r="A102" t="s">
        <v>17</v>
      </c>
      <c r="B102" s="1">
        <v>42217</v>
      </c>
      <c r="C102">
        <v>-225.10478689812399</v>
      </c>
    </row>
    <row r="103" spans="1:3" x14ac:dyDescent="0.25">
      <c r="A103" t="s">
        <v>17</v>
      </c>
      <c r="B103" s="1">
        <v>42248</v>
      </c>
      <c r="C103">
        <v>-200.74634896646299</v>
      </c>
    </row>
    <row r="104" spans="1:3" x14ac:dyDescent="0.25">
      <c r="A104" t="s">
        <v>17</v>
      </c>
      <c r="B104" s="1">
        <v>42278</v>
      </c>
      <c r="C104">
        <v>-198.37525496117499</v>
      </c>
    </row>
    <row r="105" spans="1:3" x14ac:dyDescent="0.25">
      <c r="A105" t="s">
        <v>17</v>
      </c>
      <c r="B105" s="1">
        <v>42309</v>
      </c>
      <c r="C105">
        <v>-187.23217418347599</v>
      </c>
    </row>
    <row r="106" spans="1:3" x14ac:dyDescent="0.25">
      <c r="A106" t="s">
        <v>17</v>
      </c>
      <c r="B106" s="1">
        <v>42339</v>
      </c>
      <c r="C106">
        <v>-203.37033008072601</v>
      </c>
    </row>
    <row r="107" spans="1:3" x14ac:dyDescent="0.25">
      <c r="A107" t="s">
        <v>17</v>
      </c>
      <c r="B107" s="1">
        <v>42370</v>
      </c>
      <c r="C107">
        <v>-204.36457921040099</v>
      </c>
    </row>
    <row r="108" spans="1:3" x14ac:dyDescent="0.25">
      <c r="A108" t="s">
        <v>17</v>
      </c>
      <c r="B108" s="1">
        <v>42401</v>
      </c>
      <c r="C108">
        <v>-194.66656903522099</v>
      </c>
    </row>
    <row r="109" spans="1:3" x14ac:dyDescent="0.25">
      <c r="A109" t="s">
        <v>17</v>
      </c>
      <c r="B109" s="1">
        <v>42430</v>
      </c>
      <c r="C109">
        <v>-171.63564951231999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G476"/>
  <sheetViews>
    <sheetView tabSelected="1" topLeftCell="AK1" workbookViewId="0">
      <selection activeCell="BG59" sqref="BG59"/>
    </sheetView>
  </sheetViews>
  <sheetFormatPr defaultRowHeight="15" x14ac:dyDescent="0.25"/>
  <cols>
    <col min="11" max="11" width="13.140625" customWidth="1"/>
    <col min="12" max="12" width="16.28515625" customWidth="1"/>
    <col min="13" max="13" width="15.85546875" customWidth="1"/>
    <col min="14" max="14" width="20.7109375" customWidth="1"/>
    <col min="15" max="15" width="20.85546875" customWidth="1"/>
    <col min="16" max="16" width="15.7109375" customWidth="1"/>
    <col min="17" max="17" width="15.85546875" customWidth="1"/>
    <col min="18" max="18" width="15.7109375" customWidth="1"/>
    <col min="19" max="19" width="15.85546875" customWidth="1"/>
    <col min="20" max="20" width="20.7109375" customWidth="1"/>
    <col min="21" max="21" width="20.85546875" customWidth="1"/>
    <col min="24" max="24" width="18.42578125" customWidth="1"/>
  </cols>
  <sheetData>
    <row r="1" spans="1:43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L1" s="4" t="s">
        <v>10</v>
      </c>
    </row>
    <row r="2" spans="1:43" x14ac:dyDescent="0.25">
      <c r="A2" s="1">
        <v>34366</v>
      </c>
      <c r="B2" t="s">
        <v>3</v>
      </c>
      <c r="C2">
        <v>47486</v>
      </c>
      <c r="D2">
        <v>0</v>
      </c>
      <c r="E2">
        <v>87.428239000221097</v>
      </c>
      <c r="F2">
        <v>0</v>
      </c>
      <c r="L2" t="s">
        <v>6</v>
      </c>
      <c r="N2" t="s">
        <v>27</v>
      </c>
      <c r="O2" t="s">
        <v>28</v>
      </c>
    </row>
    <row r="3" spans="1:43" x14ac:dyDescent="0.25">
      <c r="A3" s="1">
        <v>42339</v>
      </c>
      <c r="B3" t="s">
        <v>3</v>
      </c>
      <c r="C3">
        <v>167289</v>
      </c>
      <c r="D3">
        <v>6376</v>
      </c>
      <c r="E3">
        <v>60.3509768169098</v>
      </c>
      <c r="F3">
        <v>38.463485951756098</v>
      </c>
      <c r="K3" s="4" t="s">
        <v>7</v>
      </c>
      <c r="L3" t="s">
        <v>25</v>
      </c>
      <c r="M3" t="s">
        <v>26</v>
      </c>
      <c r="W3" t="s">
        <v>32</v>
      </c>
      <c r="X3" s="3" t="s">
        <v>7</v>
      </c>
      <c r="Y3" s="3" t="s">
        <v>31</v>
      </c>
      <c r="Z3" s="3" t="s">
        <v>30</v>
      </c>
      <c r="AA3" s="9" t="s">
        <v>29</v>
      </c>
      <c r="AD3" s="3" t="s">
        <v>7</v>
      </c>
      <c r="AE3" s="3" t="s">
        <v>31</v>
      </c>
      <c r="AF3" s="3" t="s">
        <v>30</v>
      </c>
      <c r="AJ3" s="3" t="s">
        <v>7</v>
      </c>
      <c r="AK3" s="3" t="s">
        <v>31</v>
      </c>
      <c r="AL3" s="3" t="s">
        <v>30</v>
      </c>
      <c r="AO3" s="3" t="s">
        <v>7</v>
      </c>
      <c r="AP3" s="3" t="s">
        <v>31</v>
      </c>
      <c r="AQ3" s="3" t="s">
        <v>30</v>
      </c>
    </row>
    <row r="4" spans="1:43" x14ac:dyDescent="0.25">
      <c r="A4" s="1">
        <v>42339</v>
      </c>
      <c r="B4" t="s">
        <v>4</v>
      </c>
      <c r="C4">
        <v>1368</v>
      </c>
      <c r="D4">
        <v>136</v>
      </c>
      <c r="E4">
        <v>10.1161196089051</v>
      </c>
      <c r="F4">
        <v>9.0975953785772798</v>
      </c>
      <c r="K4" s="5">
        <v>41091</v>
      </c>
      <c r="L4" s="2">
        <v>-6.3748528455134599</v>
      </c>
      <c r="M4" s="2">
        <v>-141.45203636955901</v>
      </c>
      <c r="N4" s="2">
        <v>-6.3748528455134599</v>
      </c>
      <c r="O4" s="2">
        <v>-141.45203636955901</v>
      </c>
      <c r="X4" s="5">
        <v>34335</v>
      </c>
      <c r="Y4" s="2">
        <v>-16.4077033335541</v>
      </c>
      <c r="Z4" s="2">
        <v>0</v>
      </c>
      <c r="AA4">
        <f>Y4</f>
        <v>-16.4077033335541</v>
      </c>
      <c r="AD4" s="5">
        <v>39600</v>
      </c>
      <c r="AE4" s="2">
        <v>-11.743841661125</v>
      </c>
      <c r="AF4" s="2">
        <v>0</v>
      </c>
      <c r="AJ4" s="5">
        <v>40118</v>
      </c>
      <c r="AK4" s="2">
        <v>-33.707845904198599</v>
      </c>
      <c r="AL4" s="2">
        <v>0</v>
      </c>
      <c r="AO4" s="5">
        <v>41091</v>
      </c>
      <c r="AP4" s="2">
        <v>-6.3748528455134599</v>
      </c>
      <c r="AQ4" s="2">
        <v>-141.45203636955901</v>
      </c>
    </row>
    <row r="5" spans="1:43" x14ac:dyDescent="0.25">
      <c r="A5" s="1">
        <v>42339</v>
      </c>
      <c r="B5" t="s">
        <v>5</v>
      </c>
      <c r="C5">
        <v>3826</v>
      </c>
      <c r="D5">
        <v>1</v>
      </c>
      <c r="E5">
        <v>104.440294867369</v>
      </c>
      <c r="F5">
        <v>-54.746653830162501</v>
      </c>
      <c r="K5" s="5">
        <v>41122</v>
      </c>
      <c r="L5" s="2">
        <v>1.50128645780526</v>
      </c>
      <c r="M5" s="2">
        <v>-133.22702976605501</v>
      </c>
      <c r="N5" s="2">
        <v>1.50128645780526</v>
      </c>
      <c r="O5" s="2">
        <v>-133.22702976605501</v>
      </c>
      <c r="X5" s="5">
        <v>34366</v>
      </c>
      <c r="Y5" s="2">
        <v>87.428239000221097</v>
      </c>
      <c r="Z5" s="2">
        <v>0</v>
      </c>
      <c r="AA5">
        <f t="shared" ref="AA5:AA68" si="0">Y5</f>
        <v>87.428239000221097</v>
      </c>
      <c r="AD5" s="5">
        <v>39630</v>
      </c>
      <c r="AE5" s="2">
        <v>-53.925963358305196</v>
      </c>
      <c r="AF5" s="2">
        <v>-20.018739541405701</v>
      </c>
      <c r="AJ5" s="5">
        <v>40148</v>
      </c>
      <c r="AK5" s="2">
        <v>-26.659638940675901</v>
      </c>
      <c r="AL5" s="2">
        <v>-6.3087048991916399</v>
      </c>
      <c r="AO5" s="5">
        <v>41122</v>
      </c>
      <c r="AP5" s="2">
        <v>1.50128645780526</v>
      </c>
      <c r="AQ5" s="2">
        <v>-133.22702976605501</v>
      </c>
    </row>
    <row r="6" spans="1:43" x14ac:dyDescent="0.25">
      <c r="A6" s="1">
        <v>42339</v>
      </c>
      <c r="B6" t="s">
        <v>6</v>
      </c>
      <c r="C6">
        <v>2346</v>
      </c>
      <c r="D6">
        <v>0</v>
      </c>
      <c r="E6">
        <v>-75.695955895129401</v>
      </c>
      <c r="F6">
        <v>-175.69627640928999</v>
      </c>
      <c r="K6" s="5">
        <v>41153</v>
      </c>
      <c r="L6" s="2">
        <v>-5.0938941405060598</v>
      </c>
      <c r="M6" s="2">
        <v>-139.155161444225</v>
      </c>
      <c r="N6" s="2">
        <v>-5.0938941405060598</v>
      </c>
      <c r="O6" s="2">
        <v>-139.155161444225</v>
      </c>
      <c r="X6" s="5">
        <v>34394</v>
      </c>
      <c r="Y6" s="2">
        <v>71.277345340520398</v>
      </c>
      <c r="Z6" s="2">
        <v>0</v>
      </c>
      <c r="AA6">
        <f t="shared" si="0"/>
        <v>71.277345340520398</v>
      </c>
      <c r="AD6" s="5">
        <v>39661</v>
      </c>
      <c r="AE6" s="2">
        <v>-70.552746471045296</v>
      </c>
      <c r="AF6" s="2">
        <v>-37.716827365880903</v>
      </c>
      <c r="AJ6" s="5">
        <v>40179</v>
      </c>
      <c r="AK6" s="2">
        <v>-22.899343913045101</v>
      </c>
      <c r="AL6" s="2">
        <v>-33.6363500750955</v>
      </c>
      <c r="AO6" s="5">
        <v>41153</v>
      </c>
      <c r="AP6" s="2">
        <v>-5.0938941405060598</v>
      </c>
      <c r="AQ6" s="2">
        <v>-139.155161444225</v>
      </c>
    </row>
    <row r="7" spans="1:43" x14ac:dyDescent="0.25">
      <c r="A7" s="1">
        <v>34394</v>
      </c>
      <c r="B7" t="s">
        <v>3</v>
      </c>
      <c r="C7">
        <v>48719</v>
      </c>
      <c r="D7">
        <v>3</v>
      </c>
      <c r="E7">
        <v>71.277345340520398</v>
      </c>
      <c r="F7">
        <v>0</v>
      </c>
      <c r="K7" s="5">
        <v>41183</v>
      </c>
      <c r="L7" s="2">
        <v>2.33156757307929</v>
      </c>
      <c r="M7" s="2">
        <v>-131.285396374953</v>
      </c>
      <c r="N7" s="2">
        <v>2.33156757307929</v>
      </c>
      <c r="O7" s="2">
        <v>-131.285396374953</v>
      </c>
      <c r="X7" s="5">
        <v>34486</v>
      </c>
      <c r="Y7" s="2">
        <v>-103.462737757575</v>
      </c>
      <c r="Z7" s="2">
        <v>0</v>
      </c>
      <c r="AA7">
        <f t="shared" si="0"/>
        <v>-103.462737757575</v>
      </c>
      <c r="AD7" s="5">
        <v>39692</v>
      </c>
      <c r="AE7" s="2">
        <v>-67.628576753302596</v>
      </c>
      <c r="AF7" s="2">
        <v>-55.0605319057805</v>
      </c>
      <c r="AJ7" s="5">
        <v>40210</v>
      </c>
      <c r="AK7" s="2">
        <v>-30.561541260637899</v>
      </c>
      <c r="AL7" s="2">
        <v>-50.244673205674601</v>
      </c>
      <c r="AO7" s="5">
        <v>41183</v>
      </c>
      <c r="AP7" s="2">
        <v>2.33156757307929</v>
      </c>
      <c r="AQ7" s="2">
        <v>-131.285396374953</v>
      </c>
    </row>
    <row r="8" spans="1:43" x14ac:dyDescent="0.25">
      <c r="A8" s="1">
        <v>42370</v>
      </c>
      <c r="B8" t="s">
        <v>3</v>
      </c>
      <c r="C8">
        <v>167226</v>
      </c>
      <c r="D8">
        <v>6387</v>
      </c>
      <c r="E8">
        <v>57.741546861546801</v>
      </c>
      <c r="F8">
        <v>36.400927054306599</v>
      </c>
      <c r="K8" s="5">
        <v>41214</v>
      </c>
      <c r="L8" s="2">
        <v>9.3116405119745096</v>
      </c>
      <c r="M8" s="2">
        <v>-124.225032587191</v>
      </c>
      <c r="N8" s="2">
        <v>9.3116405119745096</v>
      </c>
      <c r="O8" s="2">
        <v>-124.225032587191</v>
      </c>
      <c r="X8" s="5">
        <v>34516</v>
      </c>
      <c r="Y8" s="2">
        <v>-66.475650664200003</v>
      </c>
      <c r="Z8" s="2">
        <v>0</v>
      </c>
      <c r="AA8">
        <f t="shared" si="0"/>
        <v>-66.475650664200003</v>
      </c>
      <c r="AD8" s="5">
        <v>39722</v>
      </c>
      <c r="AE8" s="2">
        <v>-11.2183136087788</v>
      </c>
      <c r="AF8" s="2">
        <v>-9.8247995042097607</v>
      </c>
      <c r="AJ8" s="5">
        <v>40238</v>
      </c>
      <c r="AK8" s="2">
        <v>-26.0699366865488</v>
      </c>
      <c r="AL8" s="2">
        <v>-59.574146123483096</v>
      </c>
      <c r="AO8" s="5">
        <v>41214</v>
      </c>
      <c r="AP8" s="2">
        <v>9.3116405119745096</v>
      </c>
      <c r="AQ8" s="2">
        <v>-124.225032587191</v>
      </c>
    </row>
    <row r="9" spans="1:43" x14ac:dyDescent="0.25">
      <c r="A9" s="1">
        <v>42370</v>
      </c>
      <c r="B9" t="s">
        <v>4</v>
      </c>
      <c r="C9">
        <v>1379</v>
      </c>
      <c r="D9">
        <v>137</v>
      </c>
      <c r="E9">
        <v>9.8801430387645794</v>
      </c>
      <c r="F9">
        <v>8.9542606452284605</v>
      </c>
      <c r="K9" s="5">
        <v>41244</v>
      </c>
      <c r="L9" s="2">
        <v>8.6876944387811808</v>
      </c>
      <c r="M9" s="2">
        <v>-124.525915978177</v>
      </c>
      <c r="N9" s="2">
        <v>8.6876944387811808</v>
      </c>
      <c r="O9" s="2">
        <v>-124.525915978177</v>
      </c>
      <c r="X9" s="5">
        <v>34547</v>
      </c>
      <c r="Y9" s="2">
        <v>-86.049271941226394</v>
      </c>
      <c r="Z9" s="2">
        <v>0</v>
      </c>
      <c r="AA9">
        <f t="shared" si="0"/>
        <v>-86.049271941226394</v>
      </c>
      <c r="AD9" s="5">
        <v>39753</v>
      </c>
      <c r="AE9" s="2">
        <v>-7.1385280776422597</v>
      </c>
      <c r="AF9" s="2">
        <v>-7.5060935250484198</v>
      </c>
      <c r="AJ9" s="5">
        <v>40269</v>
      </c>
      <c r="AK9" s="2">
        <v>-25.056185112943801</v>
      </c>
      <c r="AL9" s="2">
        <v>-67.051744656376798</v>
      </c>
      <c r="AO9" s="5">
        <v>41244</v>
      </c>
      <c r="AP9" s="2">
        <v>8.6876944387811808</v>
      </c>
      <c r="AQ9" s="2">
        <v>-124.525915978177</v>
      </c>
    </row>
    <row r="10" spans="1:43" x14ac:dyDescent="0.25">
      <c r="A10" s="1">
        <v>42370</v>
      </c>
      <c r="B10" t="s">
        <v>5</v>
      </c>
      <c r="C10">
        <v>3844</v>
      </c>
      <c r="D10">
        <v>1</v>
      </c>
      <c r="E10">
        <v>103.4513879596</v>
      </c>
      <c r="F10">
        <v>-55.918448112126796</v>
      </c>
      <c r="K10" s="5">
        <v>41275</v>
      </c>
      <c r="L10" s="2">
        <v>7.0974506203798899</v>
      </c>
      <c r="M10" s="2">
        <v>-125.913735308661</v>
      </c>
      <c r="N10" s="2">
        <v>7.0974506203798899</v>
      </c>
      <c r="O10" s="2">
        <v>-125.913735308661</v>
      </c>
      <c r="X10" s="5">
        <v>34578</v>
      </c>
      <c r="Y10" s="2">
        <v>-73.2116847077735</v>
      </c>
      <c r="Z10" s="2">
        <v>0</v>
      </c>
      <c r="AA10">
        <f t="shared" si="0"/>
        <v>-73.2116847077735</v>
      </c>
      <c r="AD10" s="5">
        <v>39783</v>
      </c>
      <c r="AE10" s="2">
        <v>5.1691776003341001</v>
      </c>
      <c r="AF10" s="2">
        <v>8.7486402681943005</v>
      </c>
      <c r="AJ10" s="5">
        <v>40299</v>
      </c>
      <c r="AK10" s="2">
        <v>-91.905688118768197</v>
      </c>
      <c r="AL10" s="2">
        <v>-120.361679664664</v>
      </c>
      <c r="AO10" s="5">
        <v>41275</v>
      </c>
      <c r="AP10" s="2">
        <v>7.0974506203798899</v>
      </c>
      <c r="AQ10" s="2">
        <v>-125.913735308661</v>
      </c>
    </row>
    <row r="11" spans="1:43" x14ac:dyDescent="0.25">
      <c r="A11" s="1">
        <v>42370</v>
      </c>
      <c r="B11" t="s">
        <v>6</v>
      </c>
      <c r="C11">
        <v>2356</v>
      </c>
      <c r="D11">
        <v>0</v>
      </c>
      <c r="E11">
        <v>-77.199289441955401</v>
      </c>
      <c r="F11">
        <v>-176.64769989280899</v>
      </c>
      <c r="K11" s="5">
        <v>41306</v>
      </c>
      <c r="L11" s="2">
        <v>-2.3799042375530699</v>
      </c>
      <c r="M11" s="2">
        <v>-135.19515253414099</v>
      </c>
      <c r="N11" s="2">
        <v>-2.3799042375530699</v>
      </c>
      <c r="O11" s="2">
        <v>-135.19515253414099</v>
      </c>
      <c r="X11" s="5">
        <v>34608</v>
      </c>
      <c r="Y11" s="2">
        <v>-84.823510757846904</v>
      </c>
      <c r="Z11" s="2">
        <v>0</v>
      </c>
      <c r="AA11">
        <f t="shared" si="0"/>
        <v>-84.823510757846904</v>
      </c>
      <c r="AD11" s="5">
        <v>39814</v>
      </c>
      <c r="AE11" s="2">
        <v>89.287058725830704</v>
      </c>
      <c r="AF11" s="2">
        <v>84.437865054881698</v>
      </c>
      <c r="AJ11" s="5">
        <v>40330</v>
      </c>
      <c r="AK11" s="2">
        <v>-59.935428006769499</v>
      </c>
      <c r="AL11" s="2">
        <v>-114.088879934209</v>
      </c>
      <c r="AO11" s="5">
        <v>41306</v>
      </c>
      <c r="AP11" s="2">
        <v>-2.3799042375530699</v>
      </c>
      <c r="AQ11" s="2">
        <v>-135.19515253414099</v>
      </c>
    </row>
    <row r="12" spans="1:43" x14ac:dyDescent="0.25">
      <c r="A12" s="1">
        <v>34516</v>
      </c>
      <c r="B12" t="s">
        <v>3</v>
      </c>
      <c r="C12">
        <v>53276</v>
      </c>
      <c r="D12">
        <v>1</v>
      </c>
      <c r="E12">
        <v>-66.475650664200003</v>
      </c>
      <c r="F12">
        <v>0</v>
      </c>
      <c r="K12" s="5">
        <v>41334</v>
      </c>
      <c r="L12" s="2">
        <v>-19.1214881076415</v>
      </c>
      <c r="M12" s="2">
        <v>-151.785333703058</v>
      </c>
      <c r="N12" s="2">
        <v>-19.1214881076415</v>
      </c>
      <c r="O12" s="2">
        <v>-151.785333703058</v>
      </c>
      <c r="X12" s="5">
        <v>34639</v>
      </c>
      <c r="Y12" s="2">
        <v>-112.361274536153</v>
      </c>
      <c r="Z12" s="2">
        <v>0</v>
      </c>
      <c r="AA12">
        <f t="shared" si="0"/>
        <v>-112.361274536153</v>
      </c>
      <c r="AD12" s="5">
        <v>39845</v>
      </c>
      <c r="AE12" s="2">
        <v>116.911549111358</v>
      </c>
      <c r="AF12" s="2">
        <v>114.937513206912</v>
      </c>
      <c r="AJ12" s="5">
        <v>40360</v>
      </c>
      <c r="AK12" s="2">
        <v>-33.701063119249703</v>
      </c>
      <c r="AL12" s="2">
        <v>-111.992609041015</v>
      </c>
      <c r="AO12" s="5">
        <v>41334</v>
      </c>
      <c r="AP12" s="2">
        <v>-19.1214881076415</v>
      </c>
      <c r="AQ12" s="2">
        <v>-151.785333703058</v>
      </c>
    </row>
    <row r="13" spans="1:43" x14ac:dyDescent="0.25">
      <c r="A13" s="1">
        <v>42401</v>
      </c>
      <c r="B13" t="s">
        <v>3</v>
      </c>
      <c r="C13">
        <v>167129</v>
      </c>
      <c r="D13">
        <v>6470</v>
      </c>
      <c r="E13">
        <v>65.884430492594205</v>
      </c>
      <c r="F13">
        <v>44.4784749204413</v>
      </c>
      <c r="K13" s="5">
        <v>41365</v>
      </c>
      <c r="L13" s="2">
        <v>-24.3027429095667</v>
      </c>
      <c r="M13" s="2">
        <v>-156.58789498276599</v>
      </c>
      <c r="N13" s="2">
        <v>-24.3027429095667</v>
      </c>
      <c r="O13" s="2">
        <v>-156.58789498276599</v>
      </c>
      <c r="X13" s="5">
        <v>34669</v>
      </c>
      <c r="Y13" s="2">
        <v>-136.85141670150799</v>
      </c>
      <c r="Z13" s="2">
        <v>0</v>
      </c>
      <c r="AA13">
        <f t="shared" si="0"/>
        <v>-136.85141670150799</v>
      </c>
      <c r="AD13" s="5">
        <v>39873</v>
      </c>
      <c r="AE13" s="2">
        <v>103.14007302663801</v>
      </c>
      <c r="AF13" s="2">
        <v>104.046212729795</v>
      </c>
      <c r="AJ13" s="5">
        <v>40391</v>
      </c>
      <c r="AK13" s="2">
        <v>-13.8008892363383</v>
      </c>
      <c r="AL13" s="2">
        <v>-112.262078365894</v>
      </c>
      <c r="AO13" s="5">
        <v>41365</v>
      </c>
      <c r="AP13" s="2">
        <v>-24.3027429095667</v>
      </c>
      <c r="AQ13" s="2">
        <v>-156.58789498276599</v>
      </c>
    </row>
    <row r="14" spans="1:43" x14ac:dyDescent="0.25">
      <c r="A14" s="1">
        <v>42401</v>
      </c>
      <c r="B14" t="s">
        <v>4</v>
      </c>
      <c r="C14">
        <v>1386</v>
      </c>
      <c r="D14">
        <v>140</v>
      </c>
      <c r="E14">
        <v>19.916250870970099</v>
      </c>
      <c r="F14">
        <v>18.947480679832299</v>
      </c>
      <c r="K14" s="5">
        <v>41395</v>
      </c>
      <c r="L14" s="2">
        <v>-15.111411007820699</v>
      </c>
      <c r="M14" s="2">
        <v>-147.11097713275501</v>
      </c>
      <c r="N14" s="2">
        <v>-15.111411007820699</v>
      </c>
      <c r="O14" s="2">
        <v>-147.11097713275501</v>
      </c>
      <c r="X14" s="5">
        <v>34700</v>
      </c>
      <c r="Y14" s="2">
        <v>-138.30075947822999</v>
      </c>
      <c r="Z14" s="2">
        <v>0</v>
      </c>
      <c r="AA14">
        <f t="shared" si="0"/>
        <v>-138.30075947822999</v>
      </c>
      <c r="AD14" s="5">
        <v>39904</v>
      </c>
      <c r="AE14" s="2">
        <v>111.81664784501601</v>
      </c>
      <c r="AF14" s="2">
        <v>114.608209417891</v>
      </c>
      <c r="AJ14" s="5">
        <v>40422</v>
      </c>
      <c r="AK14" s="2">
        <v>1.7802663290442799</v>
      </c>
      <c r="AL14" s="2">
        <v>-101.14105637666</v>
      </c>
      <c r="AO14" s="5">
        <v>41395</v>
      </c>
      <c r="AP14" s="2">
        <v>-15.111411007820699</v>
      </c>
      <c r="AQ14" s="2">
        <v>-147.11097713275501</v>
      </c>
    </row>
    <row r="15" spans="1:43" x14ac:dyDescent="0.25">
      <c r="A15" s="1">
        <v>42401</v>
      </c>
      <c r="B15" t="s">
        <v>5</v>
      </c>
      <c r="C15">
        <v>3860</v>
      </c>
      <c r="D15">
        <v>1</v>
      </c>
      <c r="E15">
        <v>113.165454434517</v>
      </c>
      <c r="F15">
        <v>-46.414185876603099</v>
      </c>
      <c r="K15" s="5">
        <v>41426</v>
      </c>
      <c r="L15" s="2">
        <v>-23.812014872407801</v>
      </c>
      <c r="M15" s="2">
        <v>-155.61523254051201</v>
      </c>
      <c r="N15" s="2">
        <v>-23.812014872407801</v>
      </c>
      <c r="O15" s="2">
        <v>-155.61523254051201</v>
      </c>
      <c r="X15" s="5">
        <v>34731</v>
      </c>
      <c r="Y15" s="2">
        <v>-132.65991709818101</v>
      </c>
      <c r="Z15" s="2">
        <v>0</v>
      </c>
      <c r="AA15">
        <f t="shared" si="0"/>
        <v>-132.65991709818101</v>
      </c>
      <c r="AD15" s="5">
        <v>39934</v>
      </c>
      <c r="AE15" s="2">
        <v>130.68366920113201</v>
      </c>
      <c r="AF15" s="2">
        <v>133.97335040404599</v>
      </c>
      <c r="AJ15" s="5">
        <v>40452</v>
      </c>
      <c r="AK15" s="2">
        <v>10.3922324490888</v>
      </c>
      <c r="AL15" s="2">
        <v>-99.632301848952295</v>
      </c>
      <c r="AO15" s="5">
        <v>41426</v>
      </c>
      <c r="AP15" s="2">
        <v>-23.812014872407801</v>
      </c>
      <c r="AQ15" s="2">
        <v>-155.61523254051201</v>
      </c>
    </row>
    <row r="16" spans="1:43" x14ac:dyDescent="0.25">
      <c r="A16" s="1">
        <v>42401</v>
      </c>
      <c r="B16" t="s">
        <v>6</v>
      </c>
      <c r="C16">
        <v>2368</v>
      </c>
      <c r="D16">
        <v>0</v>
      </c>
      <c r="E16">
        <v>-67.822934053922907</v>
      </c>
      <c r="F16">
        <v>-166.966800238931</v>
      </c>
      <c r="K16" s="5">
        <v>41456</v>
      </c>
      <c r="L16" s="2">
        <v>-78.757828940362103</v>
      </c>
      <c r="M16" s="2">
        <v>-210.367209313123</v>
      </c>
      <c r="N16" s="2">
        <v>-78.757828940362103</v>
      </c>
      <c r="O16" s="2">
        <v>-210.367209313123</v>
      </c>
      <c r="X16" s="5">
        <v>34759</v>
      </c>
      <c r="Y16" s="2">
        <v>-100.635081868333</v>
      </c>
      <c r="Z16" s="2">
        <v>0</v>
      </c>
      <c r="AA16">
        <f t="shared" si="0"/>
        <v>-100.635081868333</v>
      </c>
      <c r="AD16" s="5">
        <v>39965</v>
      </c>
      <c r="AE16" s="2">
        <v>124.728173793217</v>
      </c>
      <c r="AF16" s="2">
        <v>128.051192357632</v>
      </c>
      <c r="AJ16" s="5">
        <v>40483</v>
      </c>
      <c r="AK16" s="2">
        <v>19.327120962401899</v>
      </c>
      <c r="AL16" s="2">
        <v>-92.618563296656106</v>
      </c>
      <c r="AO16" s="5">
        <v>41456</v>
      </c>
      <c r="AP16" s="2">
        <v>-78.757828940362103</v>
      </c>
      <c r="AQ16" s="2">
        <v>-210.367209313123</v>
      </c>
    </row>
    <row r="17" spans="1:43" x14ac:dyDescent="0.25">
      <c r="A17" s="1">
        <v>34547</v>
      </c>
      <c r="B17" t="s">
        <v>3</v>
      </c>
      <c r="C17">
        <v>54078</v>
      </c>
      <c r="D17">
        <v>0</v>
      </c>
      <c r="E17">
        <v>-86.049271941226394</v>
      </c>
      <c r="F17">
        <v>0</v>
      </c>
      <c r="K17" s="5">
        <v>41487</v>
      </c>
      <c r="L17" s="2">
        <v>-141.50167744705701</v>
      </c>
      <c r="M17" s="2">
        <v>-272.79964015704002</v>
      </c>
      <c r="N17" s="2">
        <v>-141.50167744705701</v>
      </c>
      <c r="O17" s="2">
        <v>-272.79964015704002</v>
      </c>
      <c r="X17" s="5">
        <v>34790</v>
      </c>
      <c r="Y17" s="2">
        <v>-61.113693093077401</v>
      </c>
      <c r="Z17" s="2">
        <v>0</v>
      </c>
      <c r="AA17">
        <f t="shared" si="0"/>
        <v>-61.113693093077401</v>
      </c>
      <c r="AD17" s="5">
        <v>39995</v>
      </c>
      <c r="AE17" s="2">
        <v>63.295016940594003</v>
      </c>
      <c r="AF17" s="2">
        <v>66.7286009605331</v>
      </c>
      <c r="AJ17" s="5">
        <v>40513</v>
      </c>
      <c r="AK17" s="2">
        <v>10.219790849787699</v>
      </c>
      <c r="AL17" s="2">
        <v>-102.71728572287699</v>
      </c>
      <c r="AO17" s="5">
        <v>41487</v>
      </c>
      <c r="AP17" s="2">
        <v>-141.50167744705701</v>
      </c>
      <c r="AQ17" s="2">
        <v>-272.79964015704002</v>
      </c>
    </row>
    <row r="18" spans="1:43" x14ac:dyDescent="0.25">
      <c r="A18" s="1">
        <v>34335</v>
      </c>
      <c r="B18" t="s">
        <v>3</v>
      </c>
      <c r="C18">
        <v>2131</v>
      </c>
      <c r="D18">
        <v>1</v>
      </c>
      <c r="E18">
        <v>-16.4077033335541</v>
      </c>
      <c r="F18">
        <v>0</v>
      </c>
      <c r="K18" s="5">
        <v>41518</v>
      </c>
      <c r="L18" s="2">
        <v>-150.447525505389</v>
      </c>
      <c r="M18" s="2">
        <v>-282.12238110005399</v>
      </c>
      <c r="N18" s="2">
        <v>-150.447525505389</v>
      </c>
      <c r="O18" s="2">
        <v>-282.12238110005399</v>
      </c>
      <c r="X18" s="5">
        <v>34820</v>
      </c>
      <c r="Y18" s="2">
        <v>-47.333085285577198</v>
      </c>
      <c r="Z18" s="2">
        <v>0</v>
      </c>
      <c r="AA18">
        <f t="shared" si="0"/>
        <v>-47.333085285577198</v>
      </c>
      <c r="AD18" s="5">
        <v>40026</v>
      </c>
      <c r="AE18" s="2">
        <v>79.609947281185697</v>
      </c>
      <c r="AF18" s="2">
        <v>82.866338494422294</v>
      </c>
      <c r="AJ18" s="5">
        <v>40544</v>
      </c>
      <c r="AK18" s="2">
        <v>-34.948626922046898</v>
      </c>
      <c r="AL18" s="2">
        <v>-152.66161565728001</v>
      </c>
      <c r="AO18" s="5">
        <v>41518</v>
      </c>
      <c r="AP18" s="2">
        <v>-150.447525505389</v>
      </c>
      <c r="AQ18" s="2">
        <v>-282.12238110005399</v>
      </c>
    </row>
    <row r="19" spans="1:43" x14ac:dyDescent="0.25">
      <c r="A19" s="1">
        <v>34578</v>
      </c>
      <c r="B19" t="s">
        <v>3</v>
      </c>
      <c r="C19">
        <v>54805</v>
      </c>
      <c r="D19">
        <v>21</v>
      </c>
      <c r="E19">
        <v>-73.2116847077735</v>
      </c>
      <c r="F19">
        <v>0</v>
      </c>
      <c r="K19" s="5">
        <v>41548</v>
      </c>
      <c r="L19" s="2">
        <v>-151.11778026074199</v>
      </c>
      <c r="M19" s="2">
        <v>-283.25441440360203</v>
      </c>
      <c r="N19" s="2">
        <v>-151.11778026074199</v>
      </c>
      <c r="O19" s="2">
        <v>-283.25441440360203</v>
      </c>
      <c r="X19" s="5">
        <v>34851</v>
      </c>
      <c r="Y19" s="2">
        <v>-7.7088885297184699</v>
      </c>
      <c r="Z19" s="2">
        <v>0</v>
      </c>
      <c r="AA19">
        <f t="shared" si="0"/>
        <v>-7.7088885297184699</v>
      </c>
      <c r="AD19" s="5">
        <v>40057</v>
      </c>
      <c r="AE19" s="2">
        <v>84.692738336899893</v>
      </c>
      <c r="AF19" s="2">
        <v>88.268101983143197</v>
      </c>
      <c r="AJ19" s="5">
        <v>40575</v>
      </c>
      <c r="AK19" s="2">
        <v>-43.850216971003299</v>
      </c>
      <c r="AL19" s="2">
        <v>-163.30937108582401</v>
      </c>
      <c r="AO19" s="5">
        <v>41548</v>
      </c>
      <c r="AP19" s="2">
        <v>-151.11778026074199</v>
      </c>
      <c r="AQ19" s="2">
        <v>-283.25441440360203</v>
      </c>
    </row>
    <row r="20" spans="1:43" x14ac:dyDescent="0.25">
      <c r="A20" s="1">
        <v>34486</v>
      </c>
      <c r="B20" t="s">
        <v>3</v>
      </c>
      <c r="C20">
        <v>1105</v>
      </c>
      <c r="D20">
        <v>0</v>
      </c>
      <c r="E20">
        <v>-103.462737757575</v>
      </c>
      <c r="F20">
        <v>0</v>
      </c>
      <c r="K20" s="5">
        <v>41579</v>
      </c>
      <c r="L20" s="2">
        <v>-120.141020120245</v>
      </c>
      <c r="M20" s="2">
        <v>-252.50118157701399</v>
      </c>
      <c r="N20" s="2">
        <v>-120.141020120245</v>
      </c>
      <c r="O20" s="2">
        <v>-252.50118157701399</v>
      </c>
      <c r="X20" s="5">
        <v>34881</v>
      </c>
      <c r="Y20" s="2">
        <v>33.319484450286602</v>
      </c>
      <c r="Z20" s="2">
        <v>0</v>
      </c>
      <c r="AA20">
        <f t="shared" si="0"/>
        <v>33.319484450286602</v>
      </c>
      <c r="AD20" s="5">
        <v>40087</v>
      </c>
      <c r="AE20" s="2">
        <v>104.87563390392</v>
      </c>
      <c r="AF20" s="2">
        <v>108.113998074297</v>
      </c>
      <c r="AJ20" s="5">
        <v>40603</v>
      </c>
      <c r="AK20" s="2">
        <v>-65.615428491254207</v>
      </c>
      <c r="AL20" s="2">
        <v>-188.54078812749901</v>
      </c>
      <c r="AO20" s="5">
        <v>41579</v>
      </c>
      <c r="AP20" s="2">
        <v>-120.141020120245</v>
      </c>
      <c r="AQ20" s="2">
        <v>-252.50118157701399</v>
      </c>
    </row>
    <row r="21" spans="1:43" x14ac:dyDescent="0.25">
      <c r="A21" s="1">
        <v>34608</v>
      </c>
      <c r="B21" t="s">
        <v>3</v>
      </c>
      <c r="C21">
        <v>55503</v>
      </c>
      <c r="D21">
        <v>0</v>
      </c>
      <c r="E21">
        <v>-84.823510757846904</v>
      </c>
      <c r="F21">
        <v>0</v>
      </c>
      <c r="K21" s="5">
        <v>41609</v>
      </c>
      <c r="L21" s="2">
        <v>-125.680513851565</v>
      </c>
      <c r="M21" s="2">
        <v>-258.13333958754799</v>
      </c>
      <c r="N21" s="2">
        <v>-125.680513851565</v>
      </c>
      <c r="O21" s="2">
        <v>-258.13333958754799</v>
      </c>
      <c r="X21" s="5">
        <v>34912</v>
      </c>
      <c r="Y21" s="2">
        <v>30.002933229197399</v>
      </c>
      <c r="Z21" s="2">
        <v>0</v>
      </c>
      <c r="AA21">
        <f t="shared" si="0"/>
        <v>30.002933229197399</v>
      </c>
      <c r="AD21" s="5">
        <v>40118</v>
      </c>
      <c r="AE21" s="2">
        <v>113.948998733702</v>
      </c>
      <c r="AF21" s="2">
        <v>116.96670340922699</v>
      </c>
      <c r="AJ21" s="5">
        <v>40634</v>
      </c>
      <c r="AK21" s="2">
        <v>-54.774402827021198</v>
      </c>
      <c r="AL21" s="2">
        <v>-180.149122494323</v>
      </c>
      <c r="AO21" s="5">
        <v>41609</v>
      </c>
      <c r="AP21" s="2">
        <v>-125.680513851565</v>
      </c>
      <c r="AQ21" s="2">
        <v>-258.13333958754799</v>
      </c>
    </row>
    <row r="22" spans="1:43" x14ac:dyDescent="0.25">
      <c r="A22" s="1">
        <v>35462</v>
      </c>
      <c r="B22" t="s">
        <v>3</v>
      </c>
      <c r="C22">
        <v>678</v>
      </c>
      <c r="D22">
        <v>0</v>
      </c>
      <c r="E22">
        <v>-10.515572837206999</v>
      </c>
      <c r="F22">
        <v>0</v>
      </c>
      <c r="K22" s="5">
        <v>41640</v>
      </c>
      <c r="L22" s="2">
        <v>-143.40291243075399</v>
      </c>
      <c r="M22" s="2">
        <v>-275.777066197625</v>
      </c>
      <c r="N22" s="2">
        <v>-143.40291243075399</v>
      </c>
      <c r="O22" s="2">
        <v>-275.777066197625</v>
      </c>
      <c r="X22" s="5">
        <v>34943</v>
      </c>
      <c r="Y22" s="2">
        <v>4.5834677338715304</v>
      </c>
      <c r="Z22" s="2">
        <v>0</v>
      </c>
      <c r="AA22">
        <f t="shared" si="0"/>
        <v>4.5834677338715304</v>
      </c>
      <c r="AD22" s="5">
        <v>40148</v>
      </c>
      <c r="AE22" s="2">
        <v>123.16688471778301</v>
      </c>
      <c r="AF22" s="2">
        <v>126.18047176506001</v>
      </c>
      <c r="AJ22" s="5">
        <v>40664</v>
      </c>
      <c r="AK22" s="2">
        <v>-53.463766619070398</v>
      </c>
      <c r="AL22" s="2">
        <v>-179.948699346876</v>
      </c>
      <c r="AO22" s="5">
        <v>41640</v>
      </c>
      <c r="AP22" s="2">
        <v>-143.40291243075399</v>
      </c>
      <c r="AQ22" s="2">
        <v>-275.777066197625</v>
      </c>
    </row>
    <row r="23" spans="1:43" x14ac:dyDescent="0.25">
      <c r="A23" s="1">
        <v>34639</v>
      </c>
      <c r="B23" t="s">
        <v>3</v>
      </c>
      <c r="C23">
        <v>56089</v>
      </c>
      <c r="D23">
        <v>2</v>
      </c>
      <c r="E23">
        <v>-112.361274536153</v>
      </c>
      <c r="F23">
        <v>0</v>
      </c>
      <c r="K23" s="5">
        <v>41671</v>
      </c>
      <c r="L23" s="2">
        <v>-141.955758097776</v>
      </c>
      <c r="M23" s="2">
        <v>-274.17066890724499</v>
      </c>
      <c r="N23" s="2">
        <v>-141.955758097776</v>
      </c>
      <c r="O23" s="2">
        <v>-274.17066890724499</v>
      </c>
      <c r="X23" s="5">
        <v>34973</v>
      </c>
      <c r="Y23" s="2">
        <v>28.105361177696501</v>
      </c>
      <c r="Z23" s="2">
        <v>0</v>
      </c>
      <c r="AA23">
        <f t="shared" si="0"/>
        <v>28.105361177696501</v>
      </c>
      <c r="AD23" s="5">
        <v>40179</v>
      </c>
      <c r="AE23" s="2">
        <v>121.53168280009599</v>
      </c>
      <c r="AF23" s="2">
        <v>124.91124701571999</v>
      </c>
      <c r="AJ23" s="5">
        <v>40695</v>
      </c>
      <c r="AK23" s="2">
        <v>-32.601144736483803</v>
      </c>
      <c r="AL23" s="2">
        <v>-159.897263468902</v>
      </c>
      <c r="AO23" s="5">
        <v>41671</v>
      </c>
      <c r="AP23" s="2">
        <v>-141.955758097776</v>
      </c>
      <c r="AQ23" s="2">
        <v>-274.17066890724499</v>
      </c>
    </row>
    <row r="24" spans="1:43" x14ac:dyDescent="0.25">
      <c r="A24" s="1">
        <v>34669</v>
      </c>
      <c r="B24" t="s">
        <v>3</v>
      </c>
      <c r="C24">
        <v>56504</v>
      </c>
      <c r="D24">
        <v>0</v>
      </c>
      <c r="E24">
        <v>-136.85141670150799</v>
      </c>
      <c r="F24">
        <v>0</v>
      </c>
      <c r="K24" s="5">
        <v>41699</v>
      </c>
      <c r="L24" s="2">
        <v>-127.928462206833</v>
      </c>
      <c r="M24" s="2">
        <v>-259.87876577275898</v>
      </c>
      <c r="N24" s="2">
        <v>-127.928462206833</v>
      </c>
      <c r="O24" s="2">
        <v>-259.87876577275898</v>
      </c>
      <c r="X24" s="5">
        <v>35004</v>
      </c>
      <c r="Y24" s="2">
        <v>39.234684892137402</v>
      </c>
      <c r="Z24" s="2">
        <v>0</v>
      </c>
      <c r="AA24">
        <f t="shared" si="0"/>
        <v>39.234684892137402</v>
      </c>
      <c r="AD24" s="5">
        <v>40210</v>
      </c>
      <c r="AE24" s="2">
        <v>114.39866075955101</v>
      </c>
      <c r="AF24" s="2">
        <v>117.899369021409</v>
      </c>
      <c r="AJ24" s="5">
        <v>40725</v>
      </c>
      <c r="AK24" s="2">
        <v>-18.804666259870601</v>
      </c>
      <c r="AL24" s="2">
        <v>-146.973281850022</v>
      </c>
      <c r="AO24" s="5">
        <v>41699</v>
      </c>
      <c r="AP24" s="2">
        <v>-127.928462206833</v>
      </c>
      <c r="AQ24" s="2">
        <v>-259.87876577275898</v>
      </c>
    </row>
    <row r="25" spans="1:43" x14ac:dyDescent="0.25">
      <c r="A25" s="1">
        <v>34700</v>
      </c>
      <c r="B25" t="s">
        <v>3</v>
      </c>
      <c r="C25">
        <v>56876</v>
      </c>
      <c r="D25">
        <v>1</v>
      </c>
      <c r="E25">
        <v>-138.30075947822999</v>
      </c>
      <c r="F25">
        <v>0</v>
      </c>
      <c r="K25" s="5">
        <v>41730</v>
      </c>
      <c r="L25" s="2">
        <v>-129.611413998877</v>
      </c>
      <c r="M25" s="2">
        <v>-260.84928127779898</v>
      </c>
      <c r="N25" s="2">
        <v>-129.611413998877</v>
      </c>
      <c r="O25" s="2">
        <v>-260.84928127779898</v>
      </c>
      <c r="X25" s="5">
        <v>35034</v>
      </c>
      <c r="Y25" s="2">
        <v>50.194496495304499</v>
      </c>
      <c r="Z25" s="2">
        <v>0</v>
      </c>
      <c r="AA25">
        <f t="shared" si="0"/>
        <v>50.194496495304499</v>
      </c>
      <c r="AD25" s="5">
        <v>40238</v>
      </c>
      <c r="AE25" s="2">
        <v>117.425630758523</v>
      </c>
      <c r="AF25" s="2">
        <v>121.048555961538</v>
      </c>
      <c r="AJ25" s="5">
        <v>40756</v>
      </c>
      <c r="AK25" s="2">
        <v>7.30229180139031</v>
      </c>
      <c r="AL25" s="2">
        <v>-121.33428889821199</v>
      </c>
      <c r="AO25" s="5">
        <v>41730</v>
      </c>
      <c r="AP25" s="2">
        <v>-129.611413998877</v>
      </c>
      <c r="AQ25" s="2">
        <v>-260.84928127779898</v>
      </c>
    </row>
    <row r="26" spans="1:43" x14ac:dyDescent="0.25">
      <c r="A26" s="1">
        <v>34731</v>
      </c>
      <c r="B26" t="s">
        <v>3</v>
      </c>
      <c r="C26">
        <v>57284</v>
      </c>
      <c r="D26">
        <v>0</v>
      </c>
      <c r="E26">
        <v>-132.65991709818101</v>
      </c>
      <c r="F26">
        <v>0</v>
      </c>
      <c r="K26" s="5">
        <v>41760</v>
      </c>
      <c r="L26" s="2">
        <v>-130.8062981118</v>
      </c>
      <c r="M26" s="2">
        <v>-261.395198317611</v>
      </c>
      <c r="N26" s="2">
        <v>-130.8062981118</v>
      </c>
      <c r="O26" s="2">
        <v>-261.395198317611</v>
      </c>
      <c r="X26" s="5">
        <v>35065</v>
      </c>
      <c r="Y26" s="2">
        <v>70.641061628701095</v>
      </c>
      <c r="Z26" s="2">
        <v>0</v>
      </c>
      <c r="AA26">
        <f t="shared" si="0"/>
        <v>70.641061628701095</v>
      </c>
      <c r="AD26" s="5">
        <v>40269</v>
      </c>
      <c r="AE26" s="2">
        <v>116.636813382261</v>
      </c>
      <c r="AF26" s="2">
        <v>120.620661710604</v>
      </c>
      <c r="AJ26" s="5">
        <v>40787</v>
      </c>
      <c r="AK26" s="2">
        <v>33.357188461453397</v>
      </c>
      <c r="AL26" s="2">
        <v>-93.822098826832601</v>
      </c>
      <c r="AO26" s="5">
        <v>41760</v>
      </c>
      <c r="AP26" s="2">
        <v>-130.8062981118</v>
      </c>
      <c r="AQ26" s="2">
        <v>-261.395198317611</v>
      </c>
    </row>
    <row r="27" spans="1:43" x14ac:dyDescent="0.25">
      <c r="A27" s="1">
        <v>34759</v>
      </c>
      <c r="B27" t="s">
        <v>3</v>
      </c>
      <c r="C27">
        <v>57692</v>
      </c>
      <c r="D27">
        <v>0</v>
      </c>
      <c r="E27">
        <v>-100.635081868333</v>
      </c>
      <c r="F27">
        <v>0</v>
      </c>
      <c r="K27" s="5">
        <v>41791</v>
      </c>
      <c r="L27" s="2">
        <v>-112.43641742838</v>
      </c>
      <c r="M27" s="2">
        <v>-241.95086514979201</v>
      </c>
      <c r="N27" s="2">
        <v>-112.43641742838</v>
      </c>
      <c r="O27" s="2">
        <v>-241.95086514979201</v>
      </c>
      <c r="X27" s="5">
        <v>35096</v>
      </c>
      <c r="Y27" s="2">
        <v>83.722270084232093</v>
      </c>
      <c r="Z27" s="2">
        <v>0</v>
      </c>
      <c r="AA27">
        <f t="shared" si="0"/>
        <v>83.722270084232093</v>
      </c>
      <c r="AD27" s="5">
        <v>40299</v>
      </c>
      <c r="AE27" s="2">
        <v>104.715913664521</v>
      </c>
      <c r="AF27" s="2">
        <v>108.456805061222</v>
      </c>
      <c r="AJ27" s="5">
        <v>40817</v>
      </c>
      <c r="AK27" s="2">
        <v>49.662503529667703</v>
      </c>
      <c r="AL27" s="2">
        <v>-76.133590055043697</v>
      </c>
      <c r="AO27" s="5">
        <v>41791</v>
      </c>
      <c r="AP27" s="2">
        <v>-112.43641742838</v>
      </c>
      <c r="AQ27" s="2">
        <v>-241.95086514979201</v>
      </c>
    </row>
    <row r="28" spans="1:43" x14ac:dyDescent="0.25">
      <c r="A28" s="1">
        <v>34790</v>
      </c>
      <c r="B28" t="s">
        <v>3</v>
      </c>
      <c r="C28">
        <v>58134</v>
      </c>
      <c r="D28">
        <v>3</v>
      </c>
      <c r="E28">
        <v>-61.113693093077401</v>
      </c>
      <c r="F28">
        <v>0</v>
      </c>
      <c r="K28" s="5">
        <v>41821</v>
      </c>
      <c r="L28" s="2">
        <v>-110.437720270089</v>
      </c>
      <c r="M28" s="2">
        <v>-239.001475392185</v>
      </c>
      <c r="N28" s="2">
        <v>-110.437720270089</v>
      </c>
      <c r="O28" s="2">
        <v>-239.001475392185</v>
      </c>
      <c r="X28" s="5">
        <v>35125</v>
      </c>
      <c r="Y28" s="2">
        <v>70.985568297597496</v>
      </c>
      <c r="Z28" s="2">
        <v>0</v>
      </c>
      <c r="AA28">
        <f t="shared" si="0"/>
        <v>70.985568297597496</v>
      </c>
      <c r="AD28" s="5">
        <v>40330</v>
      </c>
      <c r="AE28" s="2">
        <v>124.74774744088801</v>
      </c>
      <c r="AF28" s="2">
        <v>128.16486765262701</v>
      </c>
      <c r="AJ28" s="5">
        <v>40848</v>
      </c>
      <c r="AK28" s="2">
        <v>45.4991671497285</v>
      </c>
      <c r="AL28" s="2">
        <v>-79.404008630436905</v>
      </c>
      <c r="AO28" s="5">
        <v>41821</v>
      </c>
      <c r="AP28" s="2">
        <v>-110.437720270089</v>
      </c>
      <c r="AQ28" s="2">
        <v>-239.001475392185</v>
      </c>
    </row>
    <row r="29" spans="1:43" x14ac:dyDescent="0.25">
      <c r="A29" s="1">
        <v>34820</v>
      </c>
      <c r="B29" t="s">
        <v>3</v>
      </c>
      <c r="C29">
        <v>58691</v>
      </c>
      <c r="D29">
        <v>3</v>
      </c>
      <c r="E29">
        <v>-47.333085285577198</v>
      </c>
      <c r="F29">
        <v>0</v>
      </c>
      <c r="K29" s="5">
        <v>41852</v>
      </c>
      <c r="L29" s="2">
        <v>-108.238171204925</v>
      </c>
      <c r="M29" s="2">
        <v>-235.69719095689899</v>
      </c>
      <c r="N29" s="2">
        <v>-108.238171204925</v>
      </c>
      <c r="O29" s="2">
        <v>-235.69719095689899</v>
      </c>
      <c r="X29" s="5">
        <v>35156</v>
      </c>
      <c r="Y29" s="2">
        <v>14.30987428369</v>
      </c>
      <c r="Z29" s="2">
        <v>0</v>
      </c>
      <c r="AA29">
        <f t="shared" si="0"/>
        <v>14.30987428369</v>
      </c>
      <c r="AD29" s="5">
        <v>40360</v>
      </c>
      <c r="AE29" s="2">
        <v>143.00784122020599</v>
      </c>
      <c r="AF29" s="2">
        <v>146.31019178071</v>
      </c>
      <c r="AJ29" s="5">
        <v>40878</v>
      </c>
      <c r="AK29" s="2">
        <v>52.158800228407699</v>
      </c>
      <c r="AL29" s="2">
        <v>-71.601355401170693</v>
      </c>
      <c r="AO29" s="5">
        <v>41852</v>
      </c>
      <c r="AP29" s="2">
        <v>-108.238171204925</v>
      </c>
      <c r="AQ29" s="2">
        <v>-235.69719095689899</v>
      </c>
    </row>
    <row r="30" spans="1:43" x14ac:dyDescent="0.25">
      <c r="A30" s="1">
        <v>34851</v>
      </c>
      <c r="B30" t="s">
        <v>3</v>
      </c>
      <c r="C30">
        <v>59283</v>
      </c>
      <c r="D30">
        <v>0</v>
      </c>
      <c r="E30">
        <v>-7.7088885297184699</v>
      </c>
      <c r="F30">
        <v>0</v>
      </c>
      <c r="K30" s="5">
        <v>41883</v>
      </c>
      <c r="L30" s="2">
        <v>-105.918169104353</v>
      </c>
      <c r="M30" s="2">
        <v>-232.26704950384701</v>
      </c>
      <c r="N30" s="2">
        <v>-105.918169104353</v>
      </c>
      <c r="O30" s="2">
        <v>-232.26704950384701</v>
      </c>
      <c r="X30" s="5">
        <v>35186</v>
      </c>
      <c r="Y30" s="2">
        <v>-13.5112224795777</v>
      </c>
      <c r="Z30" s="2">
        <v>0</v>
      </c>
      <c r="AA30">
        <f t="shared" si="0"/>
        <v>-13.5112224795777</v>
      </c>
      <c r="AD30" s="5">
        <v>40391</v>
      </c>
      <c r="AE30" s="2">
        <v>158.76857935121501</v>
      </c>
      <c r="AF30" s="2">
        <v>162.097357085944</v>
      </c>
      <c r="AJ30" s="5">
        <v>40909</v>
      </c>
      <c r="AK30" s="2">
        <v>54.743011778794603</v>
      </c>
      <c r="AL30" s="2">
        <v>-68.736338286989806</v>
      </c>
      <c r="AO30" s="5">
        <v>41883</v>
      </c>
      <c r="AP30" s="2">
        <v>-105.918169104353</v>
      </c>
      <c r="AQ30" s="2">
        <v>-232.26704950384701</v>
      </c>
    </row>
    <row r="31" spans="1:43" x14ac:dyDescent="0.25">
      <c r="A31" s="1">
        <v>34881</v>
      </c>
      <c r="B31" t="s">
        <v>3</v>
      </c>
      <c r="C31">
        <v>59964</v>
      </c>
      <c r="D31">
        <v>1</v>
      </c>
      <c r="E31">
        <v>33.319484450286602</v>
      </c>
      <c r="F31">
        <v>0</v>
      </c>
      <c r="K31" s="5">
        <v>41913</v>
      </c>
      <c r="L31" s="2">
        <v>-108.673678535791</v>
      </c>
      <c r="M31" s="2">
        <v>-234.53955507786901</v>
      </c>
      <c r="N31" s="2">
        <v>-108.673678535791</v>
      </c>
      <c r="O31" s="2">
        <v>-234.53955507786901</v>
      </c>
      <c r="X31" s="5">
        <v>35217</v>
      </c>
      <c r="Y31" s="2">
        <v>-27.8294620854759</v>
      </c>
      <c r="Z31" s="2">
        <v>0</v>
      </c>
      <c r="AA31">
        <f t="shared" si="0"/>
        <v>-27.8294620854759</v>
      </c>
      <c r="AD31" s="5">
        <v>40422</v>
      </c>
      <c r="AE31" s="2">
        <v>174.162150311929</v>
      </c>
      <c r="AF31" s="2">
        <v>177.181983160231</v>
      </c>
      <c r="AJ31" s="5">
        <v>40940</v>
      </c>
      <c r="AK31" s="2">
        <v>51.745992574838603</v>
      </c>
      <c r="AL31" s="2">
        <v>-70.049803945244307</v>
      </c>
      <c r="AO31" s="5">
        <v>41913</v>
      </c>
      <c r="AP31" s="2">
        <v>-108.673678535791</v>
      </c>
      <c r="AQ31" s="2">
        <v>-234.53955507786901</v>
      </c>
    </row>
    <row r="32" spans="1:43" x14ac:dyDescent="0.25">
      <c r="A32" s="1">
        <v>34912</v>
      </c>
      <c r="B32" t="s">
        <v>3</v>
      </c>
      <c r="C32">
        <v>60778</v>
      </c>
      <c r="D32">
        <v>1</v>
      </c>
      <c r="E32">
        <v>30.002933229197399</v>
      </c>
      <c r="F32">
        <v>0</v>
      </c>
      <c r="K32" s="5">
        <v>41944</v>
      </c>
      <c r="L32" s="2">
        <v>-95.364690107339896</v>
      </c>
      <c r="M32" s="2">
        <v>-220.67006670081</v>
      </c>
      <c r="N32" s="2">
        <v>-95.364690107339896</v>
      </c>
      <c r="O32" s="2">
        <v>-220.67006670081</v>
      </c>
      <c r="X32" s="5">
        <v>35247</v>
      </c>
      <c r="Y32" s="2">
        <v>-51.6390714075959</v>
      </c>
      <c r="Z32" s="2">
        <v>0</v>
      </c>
      <c r="AA32">
        <f t="shared" si="0"/>
        <v>-51.6390714075959</v>
      </c>
      <c r="AD32" s="5">
        <v>40452</v>
      </c>
      <c r="AE32" s="2">
        <v>182.25964870231701</v>
      </c>
      <c r="AF32" s="2">
        <v>185.58690104919799</v>
      </c>
      <c r="AJ32" s="5">
        <v>40969</v>
      </c>
      <c r="AK32" s="2">
        <v>22.849314706923</v>
      </c>
      <c r="AL32" s="2">
        <v>-97.688548839569194</v>
      </c>
      <c r="AO32" s="5">
        <v>41944</v>
      </c>
      <c r="AP32" s="2">
        <v>-95.364690107339896</v>
      </c>
      <c r="AQ32" s="2">
        <v>-220.67006670081</v>
      </c>
    </row>
    <row r="33" spans="1:43" x14ac:dyDescent="0.25">
      <c r="A33" s="1">
        <v>34943</v>
      </c>
      <c r="B33" t="s">
        <v>3</v>
      </c>
      <c r="C33">
        <v>61672</v>
      </c>
      <c r="D33">
        <v>3</v>
      </c>
      <c r="E33">
        <v>4.5834677338715304</v>
      </c>
      <c r="F33">
        <v>0</v>
      </c>
      <c r="K33" s="5">
        <v>41974</v>
      </c>
      <c r="L33" s="2">
        <v>-91.880450741840306</v>
      </c>
      <c r="M33" s="2">
        <v>-216.609244468127</v>
      </c>
      <c r="N33" s="2">
        <v>-91.880450741840306</v>
      </c>
      <c r="O33" s="2">
        <v>-216.609244468127</v>
      </c>
      <c r="X33" s="5">
        <v>35278</v>
      </c>
      <c r="Y33" s="2">
        <v>-44.819420675604903</v>
      </c>
      <c r="Z33" s="2">
        <v>0</v>
      </c>
      <c r="AA33">
        <f t="shared" si="0"/>
        <v>-44.819420675604903</v>
      </c>
      <c r="AD33" s="5">
        <v>40483</v>
      </c>
      <c r="AE33" s="2">
        <v>191.822269066161</v>
      </c>
      <c r="AF33" s="2">
        <v>195.417225265154</v>
      </c>
      <c r="AJ33" s="5">
        <v>41000</v>
      </c>
      <c r="AK33" s="2">
        <v>8.2801945268904191</v>
      </c>
      <c r="AL33" s="2">
        <v>-113.38533658092</v>
      </c>
      <c r="AO33" s="5">
        <v>41974</v>
      </c>
      <c r="AP33" s="2">
        <v>-91.880450741840306</v>
      </c>
      <c r="AQ33" s="2">
        <v>-216.609244468127</v>
      </c>
    </row>
    <row r="34" spans="1:43" x14ac:dyDescent="0.25">
      <c r="A34" s="1">
        <v>34973</v>
      </c>
      <c r="B34" t="s">
        <v>3</v>
      </c>
      <c r="C34">
        <v>62636</v>
      </c>
      <c r="D34">
        <v>2</v>
      </c>
      <c r="E34">
        <v>28.105361177696501</v>
      </c>
      <c r="F34">
        <v>0</v>
      </c>
      <c r="K34" s="5">
        <v>42005</v>
      </c>
      <c r="L34" s="2">
        <v>-79.884741046041199</v>
      </c>
      <c r="M34" s="2">
        <v>-202.59513944393601</v>
      </c>
      <c r="N34" s="2">
        <v>-79.884741046041199</v>
      </c>
      <c r="O34" s="2">
        <v>-202.59513944393601</v>
      </c>
      <c r="X34" s="5">
        <v>35309</v>
      </c>
      <c r="Y34" s="2">
        <v>-18.209855026976701</v>
      </c>
      <c r="Z34" s="2">
        <v>0</v>
      </c>
      <c r="AA34">
        <f t="shared" si="0"/>
        <v>-18.209855026976701</v>
      </c>
      <c r="AD34" s="5">
        <v>40513</v>
      </c>
      <c r="AE34" s="2">
        <v>184.04777470949</v>
      </c>
      <c r="AF34" s="2">
        <v>187.39206261369</v>
      </c>
      <c r="AJ34" s="5">
        <v>41030</v>
      </c>
      <c r="AK34" s="2">
        <v>9.4576738037235408</v>
      </c>
      <c r="AL34" s="2">
        <v>-112.920205086482</v>
      </c>
      <c r="AO34" s="5">
        <v>42005</v>
      </c>
      <c r="AP34" s="2">
        <v>-79.884741046041199</v>
      </c>
      <c r="AQ34" s="2">
        <v>-202.59513944393601</v>
      </c>
    </row>
    <row r="35" spans="1:43" x14ac:dyDescent="0.25">
      <c r="A35" s="1">
        <v>35004</v>
      </c>
      <c r="B35" t="s">
        <v>3</v>
      </c>
      <c r="C35">
        <v>63493</v>
      </c>
      <c r="D35">
        <v>316</v>
      </c>
      <c r="E35">
        <v>39.234684892137402</v>
      </c>
      <c r="F35">
        <v>0</v>
      </c>
      <c r="K35" s="5">
        <v>42036</v>
      </c>
      <c r="L35" s="2">
        <v>-62.052178106835697</v>
      </c>
      <c r="M35" s="2">
        <v>-183.233996455214</v>
      </c>
      <c r="N35" s="2">
        <v>-62.052178106835697</v>
      </c>
      <c r="O35" s="2">
        <v>-183.233996455214</v>
      </c>
      <c r="X35" s="5">
        <v>35339</v>
      </c>
      <c r="Y35" s="2">
        <v>-40.162320121385001</v>
      </c>
      <c r="Z35" s="2">
        <v>0</v>
      </c>
      <c r="AA35">
        <f t="shared" si="0"/>
        <v>-40.162320121385001</v>
      </c>
      <c r="AD35" s="5">
        <v>40544</v>
      </c>
      <c r="AE35" s="2">
        <v>41.5174262089038</v>
      </c>
      <c r="AF35" s="2">
        <v>28.617351444073201</v>
      </c>
      <c r="AJ35" s="5">
        <v>41061</v>
      </c>
      <c r="AK35" s="2">
        <v>15.675313940605101</v>
      </c>
      <c r="AL35" s="2">
        <v>-106.919959150892</v>
      </c>
      <c r="AO35" s="5">
        <v>42036</v>
      </c>
      <c r="AP35" s="2">
        <v>-62.052178106835697</v>
      </c>
      <c r="AQ35" s="2">
        <v>-183.233996455214</v>
      </c>
    </row>
    <row r="36" spans="1:43" x14ac:dyDescent="0.25">
      <c r="A36" s="1">
        <v>35034</v>
      </c>
      <c r="B36" t="s">
        <v>3</v>
      </c>
      <c r="C36">
        <v>64324</v>
      </c>
      <c r="D36">
        <v>3</v>
      </c>
      <c r="E36">
        <v>50.194496495304499</v>
      </c>
      <c r="F36">
        <v>0</v>
      </c>
      <c r="K36" s="5">
        <v>42064</v>
      </c>
      <c r="L36" s="2">
        <v>-65.986478929954302</v>
      </c>
      <c r="M36" s="2">
        <v>-185.59372003533201</v>
      </c>
      <c r="N36" s="2">
        <v>-65.986478929954302</v>
      </c>
      <c r="O36" s="2">
        <v>-185.59372003533201</v>
      </c>
      <c r="X36" s="5">
        <v>35370</v>
      </c>
      <c r="Y36" s="2">
        <v>-6.00594662376814</v>
      </c>
      <c r="Z36" s="2">
        <v>0</v>
      </c>
      <c r="AA36">
        <f t="shared" si="0"/>
        <v>-6.00594662376814</v>
      </c>
      <c r="AD36" s="5">
        <v>40575</v>
      </c>
      <c r="AE36" s="2">
        <v>14.6938948916542</v>
      </c>
      <c r="AF36" s="2">
        <v>-1.34846536078344</v>
      </c>
      <c r="AJ36" s="5">
        <v>41091</v>
      </c>
      <c r="AK36" s="2">
        <v>23.131136692733399</v>
      </c>
      <c r="AL36" s="2">
        <v>-100.05762229856001</v>
      </c>
      <c r="AO36" s="5">
        <v>42064</v>
      </c>
      <c r="AP36" s="2">
        <v>-65.986478929954302</v>
      </c>
      <c r="AQ36" s="2">
        <v>-185.59372003533201</v>
      </c>
    </row>
    <row r="37" spans="1:43" x14ac:dyDescent="0.25">
      <c r="A37" s="1">
        <v>35065</v>
      </c>
      <c r="B37" t="s">
        <v>3</v>
      </c>
      <c r="C37">
        <v>65201</v>
      </c>
      <c r="D37">
        <v>0</v>
      </c>
      <c r="E37">
        <v>70.641061628701095</v>
      </c>
      <c r="F37">
        <v>0</v>
      </c>
      <c r="K37" s="5">
        <v>42095</v>
      </c>
      <c r="L37" s="2">
        <v>-71.315696676280396</v>
      </c>
      <c r="M37" s="2">
        <v>-187.77970583405201</v>
      </c>
      <c r="N37" s="2">
        <v>-71.315696676280396</v>
      </c>
      <c r="O37" s="2">
        <v>-187.77970583405201</v>
      </c>
      <c r="X37" s="5">
        <v>35462</v>
      </c>
      <c r="Y37" s="2">
        <v>-10.515572837206999</v>
      </c>
      <c r="Z37" s="2">
        <v>0</v>
      </c>
      <c r="AA37">
        <f t="shared" si="0"/>
        <v>-10.515572837206999</v>
      </c>
      <c r="AD37" s="5">
        <v>40603</v>
      </c>
      <c r="AE37" s="2">
        <v>-19.076637522325299</v>
      </c>
      <c r="AF37" s="2">
        <v>-37.9787062378267</v>
      </c>
      <c r="AJ37" s="5">
        <v>41122</v>
      </c>
      <c r="AK37" s="2">
        <v>29.883138475453801</v>
      </c>
      <c r="AL37" s="2">
        <v>-93.365630977383702</v>
      </c>
      <c r="AO37" s="5">
        <v>42095</v>
      </c>
      <c r="AP37" s="2">
        <v>-71.315696676280396</v>
      </c>
      <c r="AQ37" s="2">
        <v>-187.77970583405201</v>
      </c>
    </row>
    <row r="38" spans="1:43" x14ac:dyDescent="0.25">
      <c r="A38" s="1">
        <v>35096</v>
      </c>
      <c r="B38" t="s">
        <v>3</v>
      </c>
      <c r="C38">
        <v>66122</v>
      </c>
      <c r="D38">
        <v>3</v>
      </c>
      <c r="E38">
        <v>83.722270084232093</v>
      </c>
      <c r="F38">
        <v>0</v>
      </c>
      <c r="K38" s="5">
        <v>42125</v>
      </c>
      <c r="L38" s="2">
        <v>-61.754441350297803</v>
      </c>
      <c r="M38" s="2">
        <v>-175.07144694275399</v>
      </c>
      <c r="N38" s="2">
        <v>-61.754441350297803</v>
      </c>
      <c r="O38" s="2">
        <v>-175.07144694275399</v>
      </c>
      <c r="X38" s="5">
        <v>35490</v>
      </c>
      <c r="Y38" s="2">
        <v>19.204501399972401</v>
      </c>
      <c r="Z38" s="2">
        <v>0</v>
      </c>
      <c r="AA38">
        <f t="shared" si="0"/>
        <v>19.204501399972401</v>
      </c>
      <c r="AD38" s="5">
        <v>40634</v>
      </c>
      <c r="AE38" s="2">
        <v>-6.6500026464916102</v>
      </c>
      <c r="AF38" s="2">
        <v>-23.265302735211201</v>
      </c>
      <c r="AJ38" s="5">
        <v>41153</v>
      </c>
      <c r="AK38" s="2">
        <v>22.336880252734701</v>
      </c>
      <c r="AL38" s="2">
        <v>-100.437851528876</v>
      </c>
      <c r="AO38" s="5">
        <v>42125</v>
      </c>
      <c r="AP38" s="2">
        <v>-61.754441350297803</v>
      </c>
      <c r="AQ38" s="2">
        <v>-175.07144694275399</v>
      </c>
    </row>
    <row r="39" spans="1:43" x14ac:dyDescent="0.25">
      <c r="A39" s="1">
        <v>35125</v>
      </c>
      <c r="B39" t="s">
        <v>3</v>
      </c>
      <c r="C39">
        <v>67042</v>
      </c>
      <c r="D39">
        <v>3</v>
      </c>
      <c r="E39">
        <v>70.985568297597496</v>
      </c>
      <c r="F39">
        <v>0</v>
      </c>
      <c r="K39" s="5">
        <v>42156</v>
      </c>
      <c r="L39" s="2">
        <v>-78.381599788219305</v>
      </c>
      <c r="M39" s="2">
        <v>-187.908638094336</v>
      </c>
      <c r="N39" s="2">
        <v>-78.381599788219305</v>
      </c>
      <c r="O39" s="2">
        <v>-187.908638094336</v>
      </c>
      <c r="X39" s="5">
        <v>35521</v>
      </c>
      <c r="Y39" s="2">
        <v>-6.8514061903483201</v>
      </c>
      <c r="Z39" s="2">
        <v>0</v>
      </c>
      <c r="AA39">
        <f t="shared" si="0"/>
        <v>-6.8514061903483201</v>
      </c>
      <c r="AD39" s="5">
        <v>40664</v>
      </c>
      <c r="AE39" s="2">
        <v>-1.7276751987002801</v>
      </c>
      <c r="AF39" s="2">
        <v>-15.707909210405999</v>
      </c>
      <c r="AJ39" s="5">
        <v>41183</v>
      </c>
      <c r="AK39" s="2">
        <v>28.810250783163301</v>
      </c>
      <c r="AL39" s="2">
        <v>-93.543752768798598</v>
      </c>
      <c r="AO39" s="5">
        <v>42156</v>
      </c>
      <c r="AP39" s="2">
        <v>-78.381599788219305</v>
      </c>
      <c r="AQ39" s="2">
        <v>-187.908638094336</v>
      </c>
    </row>
    <row r="40" spans="1:43" x14ac:dyDescent="0.25">
      <c r="A40" s="1">
        <v>35156</v>
      </c>
      <c r="B40" t="s">
        <v>3</v>
      </c>
      <c r="C40">
        <v>67972</v>
      </c>
      <c r="D40">
        <v>10</v>
      </c>
      <c r="E40">
        <v>14.30987428369</v>
      </c>
      <c r="F40">
        <v>0</v>
      </c>
      <c r="K40" s="5">
        <v>42186</v>
      </c>
      <c r="L40" s="2">
        <v>-93.1507253086465</v>
      </c>
      <c r="M40" s="2">
        <v>-200.04129618904</v>
      </c>
      <c r="N40" s="2">
        <v>-93.1507253086465</v>
      </c>
      <c r="O40" s="2">
        <v>-200.04129618904</v>
      </c>
      <c r="X40" s="5">
        <v>35551</v>
      </c>
      <c r="Y40" s="2">
        <v>-30.692901067573601</v>
      </c>
      <c r="Z40" s="2">
        <v>0</v>
      </c>
      <c r="AA40">
        <f t="shared" si="0"/>
        <v>-30.692901067573601</v>
      </c>
      <c r="AD40" s="5">
        <v>40695</v>
      </c>
      <c r="AE40" s="2">
        <v>22.5654996617736</v>
      </c>
      <c r="AF40" s="2">
        <v>10.1937523989757</v>
      </c>
      <c r="AJ40" s="5">
        <v>41214</v>
      </c>
      <c r="AK40" s="2">
        <v>35.062731610017302</v>
      </c>
      <c r="AL40" s="2">
        <v>-86.667490867902899</v>
      </c>
      <c r="AO40" s="5">
        <v>42186</v>
      </c>
      <c r="AP40" s="2">
        <v>-93.1507253086465</v>
      </c>
      <c r="AQ40" s="2">
        <v>-200.04129618904</v>
      </c>
    </row>
    <row r="41" spans="1:43" x14ac:dyDescent="0.25">
      <c r="A41" s="1">
        <v>35186</v>
      </c>
      <c r="B41" t="s">
        <v>3</v>
      </c>
      <c r="C41">
        <v>68847</v>
      </c>
      <c r="D41">
        <v>0</v>
      </c>
      <c r="E41">
        <v>-13.5112224795777</v>
      </c>
      <c r="F41">
        <v>0</v>
      </c>
      <c r="K41" s="5">
        <v>42217</v>
      </c>
      <c r="L41" s="2">
        <v>-97.627362168318996</v>
      </c>
      <c r="M41" s="2">
        <v>-202.25295108000299</v>
      </c>
      <c r="N41" s="2">
        <v>-97.627362168318996</v>
      </c>
      <c r="O41" s="2">
        <v>-202.25295108000299</v>
      </c>
      <c r="X41" s="5">
        <v>35582</v>
      </c>
      <c r="Y41" s="2">
        <v>-9.0652760272758393</v>
      </c>
      <c r="Z41" s="2">
        <v>0</v>
      </c>
      <c r="AA41">
        <f t="shared" si="0"/>
        <v>-9.0652760272758393</v>
      </c>
      <c r="AD41" s="5">
        <v>40725</v>
      </c>
      <c r="AE41" s="2">
        <v>39.812345773032398</v>
      </c>
      <c r="AF41" s="2">
        <v>28.1257737407084</v>
      </c>
      <c r="AJ41" s="5">
        <v>41244</v>
      </c>
      <c r="AK41" s="2">
        <v>33.242843836006102</v>
      </c>
      <c r="AL41" s="2">
        <v>-87.879210028289606</v>
      </c>
      <c r="AO41" s="5">
        <v>42217</v>
      </c>
      <c r="AP41" s="2">
        <v>-97.627362168318996</v>
      </c>
      <c r="AQ41" s="2">
        <v>-202.25295108000299</v>
      </c>
    </row>
    <row r="42" spans="1:43" x14ac:dyDescent="0.25">
      <c r="A42" s="1">
        <v>35217</v>
      </c>
      <c r="B42" t="s">
        <v>3</v>
      </c>
      <c r="C42">
        <v>69738</v>
      </c>
      <c r="D42">
        <v>5</v>
      </c>
      <c r="E42">
        <v>-27.8294620854759</v>
      </c>
      <c r="F42">
        <v>0</v>
      </c>
      <c r="K42" s="5">
        <v>42248</v>
      </c>
      <c r="L42" s="2">
        <v>-72.084920311210794</v>
      </c>
      <c r="M42" s="2">
        <v>-175.546005688712</v>
      </c>
      <c r="N42" s="2">
        <v>-72.084920311210794</v>
      </c>
      <c r="O42" s="2">
        <v>-175.546005688712</v>
      </c>
      <c r="X42" s="5">
        <v>35612</v>
      </c>
      <c r="Y42" s="2">
        <v>15.7599992334902</v>
      </c>
      <c r="Z42" s="2">
        <v>0</v>
      </c>
      <c r="AA42">
        <f t="shared" si="0"/>
        <v>15.7599992334902</v>
      </c>
      <c r="AD42" s="5">
        <v>40756</v>
      </c>
      <c r="AE42" s="2">
        <v>36.765674605552697</v>
      </c>
      <c r="AF42" s="2">
        <v>26.0317315500644</v>
      </c>
      <c r="AJ42" s="5">
        <v>41275</v>
      </c>
      <c r="AK42" s="2">
        <v>31.088002652242398</v>
      </c>
      <c r="AL42" s="2">
        <v>-88.067790035688901</v>
      </c>
      <c r="AO42" s="5">
        <v>42248</v>
      </c>
      <c r="AP42" s="2">
        <v>-72.084920311210794</v>
      </c>
      <c r="AQ42" s="2">
        <v>-175.546005688712</v>
      </c>
    </row>
    <row r="43" spans="1:43" x14ac:dyDescent="0.25">
      <c r="A43" s="1">
        <v>35247</v>
      </c>
      <c r="B43" t="s">
        <v>3</v>
      </c>
      <c r="C43">
        <v>70478</v>
      </c>
      <c r="D43">
        <v>2</v>
      </c>
      <c r="E43">
        <v>-51.6390714075959</v>
      </c>
      <c r="F43">
        <v>0</v>
      </c>
      <c r="K43" s="5">
        <v>42278</v>
      </c>
      <c r="L43" s="2">
        <v>-69.994954909522207</v>
      </c>
      <c r="M43" s="2">
        <v>-172.368580786091</v>
      </c>
      <c r="N43" s="2">
        <v>-69.994954909522207</v>
      </c>
      <c r="O43" s="2">
        <v>-172.368580786091</v>
      </c>
      <c r="X43" s="5">
        <v>35643</v>
      </c>
      <c r="Y43" s="2">
        <v>36.506498025022999</v>
      </c>
      <c r="Z43" s="2">
        <v>0</v>
      </c>
      <c r="AA43">
        <f t="shared" si="0"/>
        <v>36.506498025022999</v>
      </c>
      <c r="AD43" s="5">
        <v>40787</v>
      </c>
      <c r="AE43" s="2">
        <v>64.395948753649705</v>
      </c>
      <c r="AF43" s="2">
        <v>54.111300417106399</v>
      </c>
      <c r="AJ43" s="5">
        <v>41306</v>
      </c>
      <c r="AK43" s="2">
        <v>20.821094686420899</v>
      </c>
      <c r="AL43" s="2">
        <v>-96.2854641378282</v>
      </c>
      <c r="AO43" s="5">
        <v>42278</v>
      </c>
      <c r="AP43" s="2">
        <v>-69.994954909522207</v>
      </c>
      <c r="AQ43" s="2">
        <v>-172.368580786091</v>
      </c>
    </row>
    <row r="44" spans="1:43" x14ac:dyDescent="0.25">
      <c r="A44" s="1">
        <v>35278</v>
      </c>
      <c r="B44" t="s">
        <v>3</v>
      </c>
      <c r="C44">
        <v>71280</v>
      </c>
      <c r="D44">
        <v>11</v>
      </c>
      <c r="E44">
        <v>-44.819420675604903</v>
      </c>
      <c r="F44">
        <v>0</v>
      </c>
      <c r="K44" s="5">
        <v>42309</v>
      </c>
      <c r="L44" s="2">
        <v>-59.209865805475403</v>
      </c>
      <c r="M44" s="2">
        <v>-160.464894757493</v>
      </c>
      <c r="N44" s="2">
        <v>-59.209865805475403</v>
      </c>
      <c r="O44" s="2">
        <v>-160.464894757493</v>
      </c>
      <c r="X44" s="5">
        <v>35674</v>
      </c>
      <c r="Y44" s="2">
        <v>33.555500237645397</v>
      </c>
      <c r="Z44" s="2">
        <v>0</v>
      </c>
      <c r="AA44">
        <f t="shared" si="0"/>
        <v>33.555500237645397</v>
      </c>
      <c r="AD44" s="5">
        <v>40817</v>
      </c>
      <c r="AE44" s="2">
        <v>80.477521478838895</v>
      </c>
      <c r="AF44" s="2">
        <v>66.776718747426202</v>
      </c>
      <c r="AJ44" s="5">
        <v>41334</v>
      </c>
      <c r="AK44" s="2">
        <v>3.3548472879931199</v>
      </c>
      <c r="AL44" s="2">
        <v>-111.21402828330601</v>
      </c>
      <c r="AO44" s="5">
        <v>42309</v>
      </c>
      <c r="AP44" s="2">
        <v>-59.209865805475403</v>
      </c>
      <c r="AQ44" s="2">
        <v>-160.464894757493</v>
      </c>
    </row>
    <row r="45" spans="1:43" x14ac:dyDescent="0.25">
      <c r="A45" s="1">
        <v>35309</v>
      </c>
      <c r="B45" t="s">
        <v>3</v>
      </c>
      <c r="C45">
        <v>72037</v>
      </c>
      <c r="D45">
        <v>4</v>
      </c>
      <c r="E45">
        <v>-18.209855026976701</v>
      </c>
      <c r="F45">
        <v>0</v>
      </c>
      <c r="K45" s="5">
        <v>42339</v>
      </c>
      <c r="L45" s="2">
        <v>-75.695955895129401</v>
      </c>
      <c r="M45" s="2">
        <v>-175.69627640928999</v>
      </c>
      <c r="N45" s="2">
        <v>-75.695955895129401</v>
      </c>
      <c r="O45" s="2">
        <v>-175.69627640928999</v>
      </c>
      <c r="X45" s="5">
        <v>35704</v>
      </c>
      <c r="Y45" s="2">
        <v>41.657292602479203</v>
      </c>
      <c r="Z45" s="2">
        <v>0</v>
      </c>
      <c r="AA45">
        <f t="shared" si="0"/>
        <v>41.657292602479203</v>
      </c>
      <c r="AD45" s="5">
        <v>40848</v>
      </c>
      <c r="AE45" s="2">
        <v>71.538393399383096</v>
      </c>
      <c r="AF45" s="2">
        <v>55.816505373894202</v>
      </c>
      <c r="AJ45" s="5">
        <v>41365</v>
      </c>
      <c r="AK45" s="2">
        <v>-1.85232775912442</v>
      </c>
      <c r="AL45" s="2">
        <v>-110.32455857925601</v>
      </c>
      <c r="AO45" s="5">
        <v>42339</v>
      </c>
      <c r="AP45" s="2">
        <v>-75.695955895129401</v>
      </c>
      <c r="AQ45" s="2">
        <v>-175.69627640928999</v>
      </c>
    </row>
    <row r="46" spans="1:43" x14ac:dyDescent="0.25">
      <c r="A46" s="1">
        <v>35339</v>
      </c>
      <c r="B46" t="s">
        <v>3</v>
      </c>
      <c r="C46">
        <v>72639</v>
      </c>
      <c r="D46">
        <v>12</v>
      </c>
      <c r="E46">
        <v>-40.162320121385001</v>
      </c>
      <c r="F46">
        <v>0</v>
      </c>
      <c r="K46" s="5">
        <v>42370</v>
      </c>
      <c r="L46" s="2">
        <v>-77.199289441955401</v>
      </c>
      <c r="M46" s="2">
        <v>-176.64769989280899</v>
      </c>
      <c r="N46" s="2">
        <v>-77.199289441955401</v>
      </c>
      <c r="O46" s="2">
        <v>-176.64769989280899</v>
      </c>
      <c r="X46" s="5">
        <v>35735</v>
      </c>
      <c r="Y46" s="2">
        <v>53.966108030047799</v>
      </c>
      <c r="Z46" s="2">
        <v>0</v>
      </c>
      <c r="AA46">
        <f t="shared" si="0"/>
        <v>53.966108030047799</v>
      </c>
      <c r="AD46" s="5">
        <v>40878</v>
      </c>
      <c r="AE46" s="2">
        <v>74.674431509196495</v>
      </c>
      <c r="AF46" s="2">
        <v>56.202313916723</v>
      </c>
      <c r="AJ46" s="5">
        <v>41395</v>
      </c>
      <c r="AK46" s="2">
        <v>8.3770957185732602</v>
      </c>
      <c r="AL46" s="2">
        <v>-96.308334985345198</v>
      </c>
      <c r="AO46" s="5">
        <v>42370</v>
      </c>
      <c r="AP46" s="2">
        <v>-77.199289441955401</v>
      </c>
      <c r="AQ46" s="2">
        <v>-176.64769989280899</v>
      </c>
    </row>
    <row r="47" spans="1:43" x14ac:dyDescent="0.25">
      <c r="A47" s="1">
        <v>35370</v>
      </c>
      <c r="B47" t="s">
        <v>3</v>
      </c>
      <c r="C47">
        <v>73370</v>
      </c>
      <c r="D47">
        <v>7</v>
      </c>
      <c r="E47">
        <v>-6.00594662376814</v>
      </c>
      <c r="F47">
        <v>0</v>
      </c>
      <c r="K47" s="5">
        <v>42401</v>
      </c>
      <c r="L47" s="2">
        <v>-67.822934053922907</v>
      </c>
      <c r="M47" s="2">
        <v>-166.966800238931</v>
      </c>
      <c r="N47" s="2">
        <v>-67.822934053922907</v>
      </c>
      <c r="O47" s="2">
        <v>-166.966800238931</v>
      </c>
      <c r="X47" s="5">
        <v>35765</v>
      </c>
      <c r="Y47" s="2">
        <v>61.737136670805697</v>
      </c>
      <c r="Z47" s="2">
        <v>0</v>
      </c>
      <c r="AA47">
        <f t="shared" si="0"/>
        <v>61.737136670805697</v>
      </c>
      <c r="AD47" s="5">
        <v>40909</v>
      </c>
      <c r="AE47" s="2">
        <v>73.0046120542913</v>
      </c>
      <c r="AF47" s="2">
        <v>59.803865391923502</v>
      </c>
      <c r="AJ47" s="5">
        <v>41426</v>
      </c>
      <c r="AK47" s="2">
        <v>8.6800435056834697</v>
      </c>
      <c r="AL47" s="2">
        <v>-98.493452433755294</v>
      </c>
      <c r="AO47" s="5">
        <v>42401</v>
      </c>
      <c r="AP47" s="2">
        <v>-67.822934053922907</v>
      </c>
      <c r="AQ47" s="2">
        <v>-166.966800238931</v>
      </c>
    </row>
    <row r="48" spans="1:43" x14ac:dyDescent="0.25">
      <c r="A48" s="1">
        <v>35490</v>
      </c>
      <c r="B48" t="s">
        <v>3</v>
      </c>
      <c r="C48">
        <v>76112</v>
      </c>
      <c r="D48">
        <v>6</v>
      </c>
      <c r="E48">
        <v>19.204501399972401</v>
      </c>
      <c r="F48">
        <v>0</v>
      </c>
      <c r="K48" s="5" t="s">
        <v>9</v>
      </c>
      <c r="L48" s="2">
        <v>-3273.728300674918</v>
      </c>
      <c r="M48" s="2">
        <v>-8730.2306444309961</v>
      </c>
      <c r="N48" s="2">
        <v>-3273.728300674918</v>
      </c>
      <c r="O48" s="2">
        <v>-8730.2306444309961</v>
      </c>
      <c r="X48" s="5">
        <v>35796</v>
      </c>
      <c r="Y48" s="2">
        <v>69.5271048427458</v>
      </c>
      <c r="Z48" s="2">
        <v>0</v>
      </c>
      <c r="AA48">
        <f t="shared" si="0"/>
        <v>69.5271048427458</v>
      </c>
      <c r="AD48" s="5">
        <v>40940</v>
      </c>
      <c r="AE48" s="2">
        <v>68.050726640530698</v>
      </c>
      <c r="AF48" s="2">
        <v>56.294026761058497</v>
      </c>
      <c r="AJ48" s="5">
        <v>41456</v>
      </c>
      <c r="AK48" s="2">
        <v>-39.158668513172998</v>
      </c>
      <c r="AL48" s="2">
        <v>-149.703489008584</v>
      </c>
    </row>
    <row r="49" spans="1:59" x14ac:dyDescent="0.25">
      <c r="A49" s="1">
        <v>35521</v>
      </c>
      <c r="B49" t="s">
        <v>3</v>
      </c>
      <c r="C49">
        <v>76700</v>
      </c>
      <c r="D49">
        <v>8</v>
      </c>
      <c r="E49">
        <v>-6.8514061903483201</v>
      </c>
      <c r="F49">
        <v>0</v>
      </c>
      <c r="X49" s="5">
        <v>35827</v>
      </c>
      <c r="Y49" s="2">
        <v>89.299880703299095</v>
      </c>
      <c r="Z49" s="2">
        <v>0</v>
      </c>
      <c r="AA49">
        <f t="shared" si="0"/>
        <v>89.299880703299095</v>
      </c>
      <c r="AD49" s="5">
        <v>40969</v>
      </c>
      <c r="AE49" s="2">
        <v>62.754074874386198</v>
      </c>
      <c r="AF49" s="2">
        <v>52.8003595146291</v>
      </c>
      <c r="AJ49" s="5">
        <v>41487</v>
      </c>
      <c r="AK49" s="2">
        <v>-83.395086711062405</v>
      </c>
      <c r="AL49" s="2">
        <v>-198.97646308505699</v>
      </c>
    </row>
    <row r="50" spans="1:59" x14ac:dyDescent="0.25">
      <c r="A50" s="1">
        <v>35551</v>
      </c>
      <c r="B50" t="s">
        <v>3</v>
      </c>
      <c r="C50">
        <v>77160</v>
      </c>
      <c r="D50">
        <v>0</v>
      </c>
      <c r="E50">
        <v>-30.692901067573601</v>
      </c>
      <c r="F50">
        <v>0</v>
      </c>
      <c r="X50" s="5">
        <v>35855</v>
      </c>
      <c r="Y50" s="2">
        <v>86.282475516937197</v>
      </c>
      <c r="Z50" s="2">
        <v>0</v>
      </c>
      <c r="AA50">
        <f t="shared" si="0"/>
        <v>86.282475516937197</v>
      </c>
      <c r="AD50" s="5">
        <v>41000</v>
      </c>
      <c r="AE50" s="2">
        <v>48.871099005353102</v>
      </c>
      <c r="AF50" s="2">
        <v>42.580978036161298</v>
      </c>
      <c r="AJ50" s="5">
        <v>41518</v>
      </c>
      <c r="AK50" s="2">
        <v>-82.841910557307699</v>
      </c>
      <c r="AL50" s="2">
        <v>-203.468370016758</v>
      </c>
    </row>
    <row r="51" spans="1:59" x14ac:dyDescent="0.25">
      <c r="A51" s="1">
        <v>35582</v>
      </c>
      <c r="B51" t="s">
        <v>3</v>
      </c>
      <c r="C51">
        <v>77666</v>
      </c>
      <c r="D51">
        <v>6</v>
      </c>
      <c r="E51">
        <v>-9.0652760272758393</v>
      </c>
      <c r="F51">
        <v>0</v>
      </c>
      <c r="X51" s="5">
        <v>35886</v>
      </c>
      <c r="Y51" s="2">
        <v>75.681397509607606</v>
      </c>
      <c r="Z51" s="2">
        <v>0</v>
      </c>
      <c r="AA51">
        <f t="shared" si="0"/>
        <v>75.681397509607606</v>
      </c>
      <c r="AD51" s="5">
        <v>41030</v>
      </c>
      <c r="AE51" s="2">
        <v>51.082671657465198</v>
      </c>
      <c r="AF51" s="2">
        <v>46.6704905463179</v>
      </c>
      <c r="AJ51" s="5">
        <v>41548</v>
      </c>
      <c r="AK51" s="2">
        <v>-84.622762446136505</v>
      </c>
      <c r="AL51" s="2">
        <v>-205.092654548025</v>
      </c>
    </row>
    <row r="52" spans="1:59" x14ac:dyDescent="0.25">
      <c r="A52" s="1">
        <v>35612</v>
      </c>
      <c r="B52" t="s">
        <v>3</v>
      </c>
      <c r="C52">
        <v>78199</v>
      </c>
      <c r="D52">
        <v>5</v>
      </c>
      <c r="E52">
        <v>15.7599992334902</v>
      </c>
      <c r="F52">
        <v>0</v>
      </c>
      <c r="X52" s="5">
        <v>35916</v>
      </c>
      <c r="Y52" s="2">
        <v>71.671792390953399</v>
      </c>
      <c r="Z52" s="2">
        <v>0</v>
      </c>
      <c r="AA52">
        <f t="shared" si="0"/>
        <v>71.671792390953399</v>
      </c>
      <c r="AD52" s="5">
        <v>41061</v>
      </c>
      <c r="AE52" s="2">
        <v>58.5296097318788</v>
      </c>
      <c r="AF52" s="2">
        <v>55.341816130608898</v>
      </c>
      <c r="AJ52" s="5">
        <v>41579</v>
      </c>
      <c r="AK52" s="2">
        <v>-53.279030363604498</v>
      </c>
      <c r="AL52" s="2">
        <v>-174.369966342304</v>
      </c>
    </row>
    <row r="53" spans="1:59" x14ac:dyDescent="0.25">
      <c r="A53" s="1">
        <v>35643</v>
      </c>
      <c r="B53" t="s">
        <v>3</v>
      </c>
      <c r="C53">
        <v>78682</v>
      </c>
      <c r="D53">
        <v>3</v>
      </c>
      <c r="E53">
        <v>36.506498025022999</v>
      </c>
      <c r="F53">
        <v>0</v>
      </c>
      <c r="X53" s="5">
        <v>35947</v>
      </c>
      <c r="Y53" s="2">
        <v>71.202140692255298</v>
      </c>
      <c r="Z53" s="2">
        <v>0</v>
      </c>
      <c r="AA53">
        <f t="shared" si="0"/>
        <v>71.202140692255298</v>
      </c>
      <c r="AD53" s="5">
        <v>41091</v>
      </c>
      <c r="AE53" s="2">
        <v>70.470473808095704</v>
      </c>
      <c r="AF53" s="2">
        <v>67.733515369910194</v>
      </c>
      <c r="AJ53" s="5">
        <v>41609</v>
      </c>
      <c r="AK53" s="2">
        <v>-60.9549187189455</v>
      </c>
      <c r="AL53" s="2">
        <v>-181.57913934590999</v>
      </c>
    </row>
    <row r="54" spans="1:59" x14ac:dyDescent="0.25">
      <c r="A54" s="1">
        <v>35674</v>
      </c>
      <c r="B54" t="s">
        <v>3</v>
      </c>
      <c r="C54">
        <v>79222</v>
      </c>
      <c r="D54">
        <v>0</v>
      </c>
      <c r="E54">
        <v>33.555500237645397</v>
      </c>
      <c r="F54">
        <v>0</v>
      </c>
      <c r="X54" s="5">
        <v>35977</v>
      </c>
      <c r="Y54" s="2">
        <v>82.043912700650594</v>
      </c>
      <c r="Z54" s="2">
        <v>0</v>
      </c>
      <c r="AA54">
        <f t="shared" si="0"/>
        <v>82.043912700650594</v>
      </c>
      <c r="AD54" s="5">
        <v>41122</v>
      </c>
      <c r="AE54" s="2">
        <v>81.723140650706895</v>
      </c>
      <c r="AF54" s="2">
        <v>78.903307172390797</v>
      </c>
      <c r="AJ54" s="5">
        <v>41640</v>
      </c>
      <c r="AK54" s="2">
        <v>-76.977364592085394</v>
      </c>
      <c r="AL54" s="2">
        <v>-197.59219651711601</v>
      </c>
    </row>
    <row r="55" spans="1:59" x14ac:dyDescent="0.25">
      <c r="A55" s="1">
        <v>35704</v>
      </c>
      <c r="B55" t="s">
        <v>3</v>
      </c>
      <c r="C55">
        <v>79761</v>
      </c>
      <c r="D55">
        <v>4</v>
      </c>
      <c r="E55">
        <v>41.657292602479203</v>
      </c>
      <c r="F55">
        <v>0</v>
      </c>
      <c r="X55" s="5">
        <v>36008</v>
      </c>
      <c r="Y55" s="2">
        <v>81.725536602393504</v>
      </c>
      <c r="Z55" s="2">
        <v>0</v>
      </c>
      <c r="AA55">
        <f t="shared" si="0"/>
        <v>81.725536602393504</v>
      </c>
      <c r="AD55" s="5">
        <v>41153</v>
      </c>
      <c r="AE55" s="2">
        <v>76.585060872799403</v>
      </c>
      <c r="AF55" s="2">
        <v>73.871083119669507</v>
      </c>
      <c r="AJ55" s="5">
        <v>41671</v>
      </c>
      <c r="AK55" s="2">
        <v>-73.866395374766498</v>
      </c>
      <c r="AL55" s="2">
        <v>-194.533449395692</v>
      </c>
      <c r="BG55">
        <v>10139</v>
      </c>
    </row>
    <row r="56" spans="1:59" x14ac:dyDescent="0.25">
      <c r="A56" s="1">
        <v>35735</v>
      </c>
      <c r="B56" t="s">
        <v>3</v>
      </c>
      <c r="C56">
        <v>80392</v>
      </c>
      <c r="D56">
        <v>2</v>
      </c>
      <c r="E56">
        <v>53.966108030047799</v>
      </c>
      <c r="F56">
        <v>0</v>
      </c>
      <c r="X56" s="5">
        <v>36039</v>
      </c>
      <c r="Y56" s="2">
        <v>81.798434324058405</v>
      </c>
      <c r="Z56" s="2">
        <v>0</v>
      </c>
      <c r="AA56">
        <f t="shared" si="0"/>
        <v>81.798434324058405</v>
      </c>
      <c r="AD56" s="5">
        <v>41183</v>
      </c>
      <c r="AE56" s="2">
        <v>81.477800753819196</v>
      </c>
      <c r="AF56" s="2">
        <v>78.450880246725802</v>
      </c>
      <c r="AJ56" s="5">
        <v>41699</v>
      </c>
      <c r="AK56" s="2">
        <v>-57.606057626353099</v>
      </c>
      <c r="AL56" s="2">
        <v>-178.700127790941</v>
      </c>
      <c r="BG56">
        <v>4622</v>
      </c>
    </row>
    <row r="57" spans="1:59" x14ac:dyDescent="0.25">
      <c r="A57" s="1">
        <v>35765</v>
      </c>
      <c r="B57" t="s">
        <v>3</v>
      </c>
      <c r="C57">
        <v>81036</v>
      </c>
      <c r="D57">
        <v>0</v>
      </c>
      <c r="E57">
        <v>61.737136670805697</v>
      </c>
      <c r="F57">
        <v>0</v>
      </c>
      <c r="X57" s="5">
        <v>36069</v>
      </c>
      <c r="Y57" s="2">
        <v>102.500335389035</v>
      </c>
      <c r="Z57" s="2">
        <v>0</v>
      </c>
      <c r="AA57">
        <f t="shared" si="0"/>
        <v>102.500335389035</v>
      </c>
      <c r="AD57" s="5">
        <v>41214</v>
      </c>
      <c r="AE57" s="2">
        <v>84.7792603078572</v>
      </c>
      <c r="AF57" s="2">
        <v>81.612755620046002</v>
      </c>
      <c r="AJ57" s="5">
        <v>41730</v>
      </c>
      <c r="AK57" s="2">
        <v>-50.839662430403799</v>
      </c>
      <c r="AL57" s="2">
        <v>-176.16880810336599</v>
      </c>
      <c r="BG57">
        <v>2848</v>
      </c>
    </row>
    <row r="58" spans="1:59" x14ac:dyDescent="0.25">
      <c r="A58" s="1">
        <v>35796</v>
      </c>
      <c r="B58" t="s">
        <v>3</v>
      </c>
      <c r="C58">
        <v>81772</v>
      </c>
      <c r="D58">
        <v>3</v>
      </c>
      <c r="E58">
        <v>69.5271048427458</v>
      </c>
      <c r="F58">
        <v>0</v>
      </c>
      <c r="X58" s="5">
        <v>36100</v>
      </c>
      <c r="Y58" s="2">
        <v>101.198588612072</v>
      </c>
      <c r="Z58" s="2">
        <v>0</v>
      </c>
      <c r="AA58">
        <f t="shared" si="0"/>
        <v>101.198588612072</v>
      </c>
      <c r="AD58" s="5">
        <v>41244</v>
      </c>
      <c r="AE58" s="2">
        <v>79.829364398701301</v>
      </c>
      <c r="AF58" s="2">
        <v>76.624876996938298</v>
      </c>
      <c r="AJ58" s="5">
        <v>41760</v>
      </c>
      <c r="AK58" s="2">
        <v>-35.945747966305902</v>
      </c>
      <c r="AL58" s="2">
        <v>-168.84305255432801</v>
      </c>
      <c r="BG58">
        <f>SUM(BG56:BG57)</f>
        <v>7470</v>
      </c>
    </row>
    <row r="59" spans="1:59" x14ac:dyDescent="0.25">
      <c r="A59" s="1">
        <v>35827</v>
      </c>
      <c r="B59" t="s">
        <v>3</v>
      </c>
      <c r="C59">
        <v>82513</v>
      </c>
      <c r="D59">
        <v>2</v>
      </c>
      <c r="E59">
        <v>89.299880703299095</v>
      </c>
      <c r="F59">
        <v>0</v>
      </c>
      <c r="X59" s="5">
        <v>36130</v>
      </c>
      <c r="Y59" s="2">
        <v>81.498388431008294</v>
      </c>
      <c r="Z59" s="2">
        <v>0</v>
      </c>
      <c r="AA59">
        <f t="shared" si="0"/>
        <v>81.498388431008294</v>
      </c>
      <c r="AD59" s="5">
        <v>41275</v>
      </c>
      <c r="AE59" s="2">
        <v>78.329855795120196</v>
      </c>
      <c r="AF59" s="2">
        <v>75.399143700450594</v>
      </c>
      <c r="AJ59" s="5">
        <v>41791</v>
      </c>
      <c r="AK59" s="2">
        <v>-2.8745022189706702</v>
      </c>
      <c r="AL59" s="2">
        <v>-142.60501923273699</v>
      </c>
    </row>
    <row r="60" spans="1:59" x14ac:dyDescent="0.25">
      <c r="A60" s="1">
        <v>35855</v>
      </c>
      <c r="B60" t="s">
        <v>3</v>
      </c>
      <c r="C60">
        <v>83282</v>
      </c>
      <c r="D60">
        <v>0</v>
      </c>
      <c r="E60">
        <v>86.282475516937197</v>
      </c>
      <c r="F60">
        <v>0</v>
      </c>
      <c r="X60" s="5">
        <v>36161</v>
      </c>
      <c r="Y60" s="2">
        <v>88.632320752646194</v>
      </c>
      <c r="Z60" s="2">
        <v>0</v>
      </c>
      <c r="AA60">
        <f t="shared" si="0"/>
        <v>88.632320752646194</v>
      </c>
      <c r="AD60" s="5">
        <v>41306</v>
      </c>
      <c r="AE60" s="2">
        <v>66.194573975700905</v>
      </c>
      <c r="AF60" s="2">
        <v>63.028128554221396</v>
      </c>
      <c r="AJ60" s="5">
        <v>41821</v>
      </c>
      <c r="AK60" s="2">
        <v>6.0882668506466704</v>
      </c>
      <c r="AL60" s="2">
        <v>-137.59043357532099</v>
      </c>
    </row>
    <row r="61" spans="1:59" x14ac:dyDescent="0.25">
      <c r="A61" s="1">
        <v>35886</v>
      </c>
      <c r="B61" t="s">
        <v>3</v>
      </c>
      <c r="C61">
        <v>84141</v>
      </c>
      <c r="D61">
        <v>4</v>
      </c>
      <c r="E61">
        <v>75.681397509607606</v>
      </c>
      <c r="F61">
        <v>0</v>
      </c>
      <c r="X61" s="5">
        <v>36192</v>
      </c>
      <c r="Y61" s="2">
        <v>80.980930754633604</v>
      </c>
      <c r="Z61" s="2">
        <v>0</v>
      </c>
      <c r="AA61">
        <f t="shared" si="0"/>
        <v>80.980930754633604</v>
      </c>
      <c r="AD61" s="5">
        <v>41334</v>
      </c>
      <c r="AE61" s="2">
        <v>47.646774390551997</v>
      </c>
      <c r="AF61" s="2">
        <v>44.450274395003902</v>
      </c>
      <c r="AJ61" s="5">
        <v>41852</v>
      </c>
      <c r="AK61" s="2">
        <v>11.402883350234699</v>
      </c>
      <c r="AL61" s="2">
        <v>-132.31080305220999</v>
      </c>
    </row>
    <row r="62" spans="1:59" x14ac:dyDescent="0.25">
      <c r="A62" s="1">
        <v>35916</v>
      </c>
      <c r="B62" t="s">
        <v>3</v>
      </c>
      <c r="C62">
        <v>85193</v>
      </c>
      <c r="D62">
        <v>3</v>
      </c>
      <c r="E62">
        <v>71.671792390953399</v>
      </c>
      <c r="F62">
        <v>0</v>
      </c>
      <c r="X62" s="5">
        <v>36220</v>
      </c>
      <c r="Y62" s="2">
        <v>73.553652634209499</v>
      </c>
      <c r="Z62" s="2">
        <v>0</v>
      </c>
      <c r="AA62">
        <f t="shared" si="0"/>
        <v>73.553652634209499</v>
      </c>
      <c r="AD62" s="5">
        <v>41365</v>
      </c>
      <c r="AE62" s="2">
        <v>41.562122371241699</v>
      </c>
      <c r="AF62" s="2">
        <v>39.428012088324003</v>
      </c>
      <c r="AJ62" s="5">
        <v>41883</v>
      </c>
      <c r="AK62" s="2">
        <v>19.570927441637402</v>
      </c>
      <c r="AL62" s="2">
        <v>-126.893707241679</v>
      </c>
    </row>
    <row r="63" spans="1:59" x14ac:dyDescent="0.25">
      <c r="A63" s="1">
        <v>35947</v>
      </c>
      <c r="B63" t="s">
        <v>3</v>
      </c>
      <c r="C63">
        <v>86181</v>
      </c>
      <c r="D63">
        <v>26</v>
      </c>
      <c r="E63">
        <v>71.202140692255298</v>
      </c>
      <c r="F63">
        <v>0</v>
      </c>
      <c r="X63" s="5">
        <v>36251</v>
      </c>
      <c r="Y63" s="2">
        <v>49.6684553935089</v>
      </c>
      <c r="Z63" s="2">
        <v>0</v>
      </c>
      <c r="AA63">
        <f t="shared" si="0"/>
        <v>49.6684553935089</v>
      </c>
      <c r="AD63" s="5">
        <v>41395</v>
      </c>
      <c r="AE63" s="2">
        <v>52.886492981869402</v>
      </c>
      <c r="AF63" s="2">
        <v>50.9380813113644</v>
      </c>
      <c r="AJ63" s="5">
        <v>41913</v>
      </c>
      <c r="AK63" s="2">
        <v>17.490081383411301</v>
      </c>
      <c r="AL63" s="2">
        <v>-129.080379748014</v>
      </c>
    </row>
    <row r="64" spans="1:59" x14ac:dyDescent="0.25">
      <c r="A64" s="1">
        <v>35977</v>
      </c>
      <c r="B64" t="s">
        <v>3</v>
      </c>
      <c r="C64">
        <v>87067</v>
      </c>
      <c r="D64">
        <v>18</v>
      </c>
      <c r="E64">
        <v>82.043912700650594</v>
      </c>
      <c r="F64">
        <v>0</v>
      </c>
      <c r="X64" s="5">
        <v>36281</v>
      </c>
      <c r="Y64" s="2">
        <v>57.408066013001097</v>
      </c>
      <c r="Z64" s="2">
        <v>0</v>
      </c>
      <c r="AA64">
        <f t="shared" si="0"/>
        <v>57.408066013001097</v>
      </c>
      <c r="AD64" s="5">
        <v>41426</v>
      </c>
      <c r="AE64" s="2">
        <v>44.155390613701897</v>
      </c>
      <c r="AF64" s="2">
        <v>42.154604199411402</v>
      </c>
      <c r="AJ64" s="5">
        <v>41944</v>
      </c>
      <c r="AK64" s="2">
        <v>31.212936565941298</v>
      </c>
      <c r="AL64" s="2">
        <v>-115.16467029237801</v>
      </c>
    </row>
    <row r="65" spans="1:38" x14ac:dyDescent="0.25">
      <c r="A65" s="1">
        <v>36008</v>
      </c>
      <c r="B65" t="s">
        <v>3</v>
      </c>
      <c r="C65">
        <v>88223</v>
      </c>
      <c r="D65">
        <v>2</v>
      </c>
      <c r="E65">
        <v>81.725536602393504</v>
      </c>
      <c r="F65">
        <v>0</v>
      </c>
      <c r="X65" s="5">
        <v>36312</v>
      </c>
      <c r="Y65" s="2">
        <v>31.8642327381901</v>
      </c>
      <c r="Z65" s="2">
        <v>0</v>
      </c>
      <c r="AA65">
        <f t="shared" si="0"/>
        <v>31.8642327381901</v>
      </c>
      <c r="AD65" s="5">
        <v>41456</v>
      </c>
      <c r="AE65" s="2">
        <v>-11.822492713775301</v>
      </c>
      <c r="AF65" s="2">
        <v>-14.047429884422099</v>
      </c>
      <c r="AJ65" s="5">
        <v>41974</v>
      </c>
      <c r="AK65" s="2">
        <v>35.137646861187697</v>
      </c>
      <c r="AL65" s="2">
        <v>-111.080262547205</v>
      </c>
    </row>
    <row r="66" spans="1:38" x14ac:dyDescent="0.25">
      <c r="A66" s="1">
        <v>36039</v>
      </c>
      <c r="B66" t="s">
        <v>3</v>
      </c>
      <c r="C66">
        <v>89211</v>
      </c>
      <c r="D66">
        <v>8</v>
      </c>
      <c r="E66">
        <v>81.798434324058405</v>
      </c>
      <c r="F66">
        <v>0</v>
      </c>
      <c r="X66" s="5">
        <v>36342</v>
      </c>
      <c r="Y66" s="2">
        <v>-10.2380505653603</v>
      </c>
      <c r="Z66" s="2">
        <v>0</v>
      </c>
      <c r="AA66">
        <f t="shared" si="0"/>
        <v>-10.2380505653603</v>
      </c>
      <c r="AD66" s="5">
        <v>41487</v>
      </c>
      <c r="AE66" s="2">
        <v>-42.008374196683597</v>
      </c>
      <c r="AF66" s="2">
        <v>-44.716249794354297</v>
      </c>
      <c r="AJ66" s="5">
        <v>42005</v>
      </c>
      <c r="AK66" s="2">
        <v>66.925922507685598</v>
      </c>
      <c r="AL66" s="2">
        <v>-91.027437984627895</v>
      </c>
    </row>
    <row r="67" spans="1:38" x14ac:dyDescent="0.25">
      <c r="A67" s="1">
        <v>36069</v>
      </c>
      <c r="B67" t="s">
        <v>3</v>
      </c>
      <c r="C67">
        <v>90237</v>
      </c>
      <c r="D67">
        <v>0</v>
      </c>
      <c r="E67">
        <v>102.500335389035</v>
      </c>
      <c r="F67">
        <v>0</v>
      </c>
      <c r="X67" s="5">
        <v>36373</v>
      </c>
      <c r="Y67" s="2">
        <v>-19.191478069947699</v>
      </c>
      <c r="Z67" s="2">
        <v>0</v>
      </c>
      <c r="AA67">
        <f t="shared" si="0"/>
        <v>-19.191478069947699</v>
      </c>
      <c r="AD67" s="5">
        <v>41518</v>
      </c>
      <c r="AE67" s="2">
        <v>-50.960358304586499</v>
      </c>
      <c r="AF67" s="2">
        <v>-53.759928800163003</v>
      </c>
      <c r="AJ67" s="5">
        <v>42036</v>
      </c>
      <c r="AK67" s="2">
        <v>86.985164806318394</v>
      </c>
      <c r="AL67" s="2">
        <v>-71.116488216445205</v>
      </c>
    </row>
    <row r="68" spans="1:38" x14ac:dyDescent="0.25">
      <c r="A68" s="1">
        <v>36100</v>
      </c>
      <c r="B68" t="s">
        <v>3</v>
      </c>
      <c r="C68">
        <v>91202</v>
      </c>
      <c r="D68">
        <v>4</v>
      </c>
      <c r="E68">
        <v>101.198588612072</v>
      </c>
      <c r="F68">
        <v>0</v>
      </c>
      <c r="X68" s="5">
        <v>36404</v>
      </c>
      <c r="Y68" s="2">
        <v>-50.191017084799597</v>
      </c>
      <c r="Z68" s="2">
        <v>0</v>
      </c>
      <c r="AA68">
        <f t="shared" si="0"/>
        <v>-50.191017084799597</v>
      </c>
      <c r="AD68" s="5">
        <v>41548</v>
      </c>
      <c r="AE68" s="2">
        <v>-51.108446729962097</v>
      </c>
      <c r="AF68" s="2">
        <v>-54.1771877783845</v>
      </c>
      <c r="AJ68" s="5">
        <v>42064</v>
      </c>
      <c r="AK68" s="2">
        <v>85.4012428221167</v>
      </c>
      <c r="AL68" s="2">
        <v>-72.977161005247595</v>
      </c>
    </row>
    <row r="69" spans="1:38" x14ac:dyDescent="0.25">
      <c r="A69" s="1">
        <v>36130</v>
      </c>
      <c r="B69" t="s">
        <v>3</v>
      </c>
      <c r="C69">
        <v>92205</v>
      </c>
      <c r="D69">
        <v>0</v>
      </c>
      <c r="E69">
        <v>81.498388431008294</v>
      </c>
      <c r="F69">
        <v>0</v>
      </c>
      <c r="X69" s="5">
        <v>36434</v>
      </c>
      <c r="Y69" s="2">
        <v>-34.701283893554702</v>
      </c>
      <c r="Z69" s="2">
        <v>0</v>
      </c>
      <c r="AA69">
        <f t="shared" ref="AA69:AA132" si="1">Y69</f>
        <v>-34.701283893554702</v>
      </c>
      <c r="AD69" s="5">
        <v>41579</v>
      </c>
      <c r="AE69" s="2">
        <v>-19.738677048454701</v>
      </c>
      <c r="AF69" s="2">
        <v>-22.934202003044199</v>
      </c>
      <c r="AJ69" s="5">
        <v>42095</v>
      </c>
      <c r="AK69" s="2">
        <v>88.376827239594903</v>
      </c>
      <c r="AL69" s="2">
        <v>-69.181840092116005</v>
      </c>
    </row>
    <row r="70" spans="1:38" x14ac:dyDescent="0.25">
      <c r="A70" s="1">
        <v>36161</v>
      </c>
      <c r="B70" t="s">
        <v>3</v>
      </c>
      <c r="C70">
        <v>93321</v>
      </c>
      <c r="D70">
        <v>1</v>
      </c>
      <c r="E70">
        <v>88.632320752646194</v>
      </c>
      <c r="F70">
        <v>0</v>
      </c>
      <c r="X70" s="5">
        <v>36465</v>
      </c>
      <c r="Y70" s="2">
        <v>-43.644437799152698</v>
      </c>
      <c r="Z70" s="2">
        <v>0</v>
      </c>
      <c r="AA70">
        <f t="shared" si="1"/>
        <v>-43.644437799152698</v>
      </c>
      <c r="AD70" s="5">
        <v>41609</v>
      </c>
      <c r="AE70" s="2">
        <v>-25.3055685832385</v>
      </c>
      <c r="AF70" s="2">
        <v>-29.873170704715001</v>
      </c>
      <c r="AJ70" s="5">
        <v>42125</v>
      </c>
      <c r="AK70" s="2">
        <v>106.66696194582801</v>
      </c>
      <c r="AL70" s="2">
        <v>-50.973031259655897</v>
      </c>
    </row>
    <row r="71" spans="1:38" x14ac:dyDescent="0.25">
      <c r="A71" s="1">
        <v>36192</v>
      </c>
      <c r="B71" t="s">
        <v>3</v>
      </c>
      <c r="C71">
        <v>94383</v>
      </c>
      <c r="D71">
        <v>0</v>
      </c>
      <c r="E71">
        <v>80.980930754633604</v>
      </c>
      <c r="F71">
        <v>0</v>
      </c>
      <c r="X71" s="5">
        <v>36495</v>
      </c>
      <c r="Y71" s="2">
        <v>-27.6138362516248</v>
      </c>
      <c r="Z71" s="2">
        <v>0</v>
      </c>
      <c r="AA71">
        <f t="shared" si="1"/>
        <v>-27.6138362516248</v>
      </c>
      <c r="AD71" s="5">
        <v>41640</v>
      </c>
      <c r="AE71" s="2">
        <v>-41.714102339941903</v>
      </c>
      <c r="AF71" s="2">
        <v>-46.247072551568699</v>
      </c>
      <c r="AJ71" s="5">
        <v>42156</v>
      </c>
      <c r="AK71" s="2">
        <v>97.219386063048006</v>
      </c>
      <c r="AL71" s="2">
        <v>-59.306945605365101</v>
      </c>
    </row>
    <row r="72" spans="1:38" x14ac:dyDescent="0.25">
      <c r="A72" s="1">
        <v>36220</v>
      </c>
      <c r="B72" t="s">
        <v>3</v>
      </c>
      <c r="C72">
        <v>95452</v>
      </c>
      <c r="D72">
        <v>8</v>
      </c>
      <c r="E72">
        <v>73.553652634209499</v>
      </c>
      <c r="F72">
        <v>0</v>
      </c>
      <c r="X72" s="5">
        <v>36526</v>
      </c>
      <c r="Y72" s="2">
        <v>-44.340417407094499</v>
      </c>
      <c r="Z72" s="2">
        <v>0</v>
      </c>
      <c r="AA72">
        <f t="shared" si="1"/>
        <v>-44.340417407094499</v>
      </c>
      <c r="AD72" s="5">
        <v>41671</v>
      </c>
      <c r="AE72" s="2">
        <v>-39.754964619093798</v>
      </c>
      <c r="AF72" s="2">
        <v>-44.323121622727598</v>
      </c>
      <c r="AJ72" s="5">
        <v>42186</v>
      </c>
      <c r="AK72" s="2">
        <v>85.727178638781893</v>
      </c>
      <c r="AL72" s="2">
        <v>-71.106173279869196</v>
      </c>
    </row>
    <row r="73" spans="1:38" x14ac:dyDescent="0.25">
      <c r="A73" s="1">
        <v>36251</v>
      </c>
      <c r="B73" t="s">
        <v>3</v>
      </c>
      <c r="C73">
        <v>96755</v>
      </c>
      <c r="D73">
        <v>10</v>
      </c>
      <c r="E73">
        <v>49.6684553935089</v>
      </c>
      <c r="F73">
        <v>0</v>
      </c>
      <c r="X73" s="5">
        <v>36557</v>
      </c>
      <c r="Y73" s="2">
        <v>-72.957060367255295</v>
      </c>
      <c r="Z73" s="2">
        <v>0</v>
      </c>
      <c r="AA73">
        <f t="shared" si="1"/>
        <v>-72.957060367255295</v>
      </c>
      <c r="AD73" s="5">
        <v>41699</v>
      </c>
      <c r="AE73" s="2">
        <v>-25.6199014016441</v>
      </c>
      <c r="AF73" s="2">
        <v>-30.1737039142734</v>
      </c>
      <c r="AJ73" s="5">
        <v>42217</v>
      </c>
      <c r="AK73" s="2">
        <v>83.940724928061002</v>
      </c>
      <c r="AL73" s="2">
        <v>-73.120839915715905</v>
      </c>
    </row>
    <row r="74" spans="1:38" x14ac:dyDescent="0.25">
      <c r="A74" s="1">
        <v>36281</v>
      </c>
      <c r="B74" t="s">
        <v>3</v>
      </c>
      <c r="C74">
        <v>98051</v>
      </c>
      <c r="D74">
        <v>3</v>
      </c>
      <c r="E74">
        <v>57.408066013001097</v>
      </c>
      <c r="F74">
        <v>0</v>
      </c>
      <c r="X74" s="5">
        <v>36586</v>
      </c>
      <c r="Y74" s="2">
        <v>-83.008339471642003</v>
      </c>
      <c r="Z74" s="2">
        <v>0</v>
      </c>
      <c r="AA74">
        <f t="shared" si="1"/>
        <v>-83.008339471642003</v>
      </c>
      <c r="AD74" s="5">
        <v>41730</v>
      </c>
      <c r="AE74" s="2">
        <v>-25.983380862116999</v>
      </c>
      <c r="AF74" s="2">
        <v>-29.374384892809701</v>
      </c>
      <c r="AJ74" s="5">
        <v>42248</v>
      </c>
      <c r="AK74" s="2">
        <v>107.12612453749701</v>
      </c>
      <c r="AL74" s="2">
        <v>-50.686469617149399</v>
      </c>
    </row>
    <row r="75" spans="1:38" x14ac:dyDescent="0.25">
      <c r="A75" s="1">
        <v>36312</v>
      </c>
      <c r="B75" t="s">
        <v>3</v>
      </c>
      <c r="C75">
        <v>99142</v>
      </c>
      <c r="D75">
        <v>21</v>
      </c>
      <c r="E75">
        <v>31.8642327381901</v>
      </c>
      <c r="F75">
        <v>0</v>
      </c>
      <c r="X75" s="5">
        <v>36617</v>
      </c>
      <c r="Y75" s="2">
        <v>-73.533882732341894</v>
      </c>
      <c r="Z75" s="2">
        <v>0</v>
      </c>
      <c r="AA75">
        <f t="shared" si="1"/>
        <v>-73.533882732341894</v>
      </c>
      <c r="AD75" s="5">
        <v>41760</v>
      </c>
      <c r="AE75" s="2">
        <v>-24.084778393886101</v>
      </c>
      <c r="AF75" s="2">
        <v>-27.478833606270101</v>
      </c>
      <c r="AJ75" s="5">
        <v>42278</v>
      </c>
      <c r="AK75" s="2">
        <v>109.60214873777799</v>
      </c>
      <c r="AL75" s="2">
        <v>-48.780316962717301</v>
      </c>
    </row>
    <row r="76" spans="1:38" x14ac:dyDescent="0.25">
      <c r="A76" s="1">
        <v>36342</v>
      </c>
      <c r="B76" t="s">
        <v>3</v>
      </c>
      <c r="C76">
        <v>100055</v>
      </c>
      <c r="D76">
        <v>8</v>
      </c>
      <c r="E76">
        <v>-10.2380505653603</v>
      </c>
      <c r="F76">
        <v>0</v>
      </c>
      <c r="X76" s="5">
        <v>36647</v>
      </c>
      <c r="Y76" s="2">
        <v>-63.575865418382698</v>
      </c>
      <c r="Z76" s="2">
        <v>0</v>
      </c>
      <c r="AA76">
        <f t="shared" si="1"/>
        <v>-63.575865418382698</v>
      </c>
      <c r="AD76" s="5">
        <v>41791</v>
      </c>
      <c r="AE76" s="2">
        <v>-4.0395411608184597</v>
      </c>
      <c r="AF76" s="2">
        <v>-7.17846372223641</v>
      </c>
      <c r="AJ76" s="5">
        <v>42309</v>
      </c>
      <c r="AK76" s="2">
        <v>120.293148259929</v>
      </c>
      <c r="AL76" s="2">
        <v>-38.211946497586197</v>
      </c>
    </row>
    <row r="77" spans="1:38" x14ac:dyDescent="0.25">
      <c r="A77" s="1">
        <v>36373</v>
      </c>
      <c r="B77" t="s">
        <v>3</v>
      </c>
      <c r="C77">
        <v>100837</v>
      </c>
      <c r="D77">
        <v>7</v>
      </c>
      <c r="E77">
        <v>-19.191478069947699</v>
      </c>
      <c r="F77">
        <v>0</v>
      </c>
      <c r="X77" s="5">
        <v>36678</v>
      </c>
      <c r="Y77" s="2">
        <v>-99.091235676799599</v>
      </c>
      <c r="Z77" s="2">
        <v>0</v>
      </c>
      <c r="AA77">
        <f t="shared" si="1"/>
        <v>-99.091235676799599</v>
      </c>
      <c r="AD77" s="5">
        <v>41821</v>
      </c>
      <c r="AE77" s="2">
        <v>-1.4607704492751901</v>
      </c>
      <c r="AF77" s="2">
        <v>-4.5743515505459396</v>
      </c>
      <c r="AJ77" s="5">
        <v>42339</v>
      </c>
      <c r="AK77" s="2">
        <v>104.440294867369</v>
      </c>
      <c r="AL77" s="2">
        <v>-54.746653830162501</v>
      </c>
    </row>
    <row r="78" spans="1:38" x14ac:dyDescent="0.25">
      <c r="A78" s="1">
        <v>36404</v>
      </c>
      <c r="B78" t="s">
        <v>3</v>
      </c>
      <c r="C78">
        <v>101619</v>
      </c>
      <c r="D78">
        <v>29</v>
      </c>
      <c r="E78">
        <v>-50.191017084799597</v>
      </c>
      <c r="F78">
        <v>0</v>
      </c>
      <c r="X78" s="5">
        <v>36708</v>
      </c>
      <c r="Y78" s="2">
        <v>-73.200816190475706</v>
      </c>
      <c r="Z78" s="2">
        <v>0</v>
      </c>
      <c r="AA78">
        <f t="shared" si="1"/>
        <v>-73.200816190475706</v>
      </c>
      <c r="AD78" s="5">
        <v>41852</v>
      </c>
      <c r="AE78" s="2">
        <v>1.3110681354815401</v>
      </c>
      <c r="AF78" s="2">
        <v>-1.84747245573354</v>
      </c>
      <c r="AJ78" s="5">
        <v>42370</v>
      </c>
      <c r="AK78" s="2">
        <v>103.4513879596</v>
      </c>
      <c r="AL78" s="2">
        <v>-55.918448112126796</v>
      </c>
    </row>
    <row r="79" spans="1:38" x14ac:dyDescent="0.25">
      <c r="A79" s="1">
        <v>36434</v>
      </c>
      <c r="B79" t="s">
        <v>3</v>
      </c>
      <c r="C79">
        <v>102503</v>
      </c>
      <c r="D79">
        <v>5</v>
      </c>
      <c r="E79">
        <v>-34.701283893554702</v>
      </c>
      <c r="F79">
        <v>0</v>
      </c>
      <c r="X79" s="5">
        <v>36739</v>
      </c>
      <c r="Y79" s="2">
        <v>-57.038128708563399</v>
      </c>
      <c r="Z79" s="2">
        <v>0</v>
      </c>
      <c r="AA79">
        <f t="shared" si="1"/>
        <v>-57.038128708563399</v>
      </c>
      <c r="AD79" s="5">
        <v>41883</v>
      </c>
      <c r="AE79" s="2">
        <v>4.6085011323931804</v>
      </c>
      <c r="AF79" s="2">
        <v>1.27967182270399</v>
      </c>
      <c r="AJ79" s="5">
        <v>42401</v>
      </c>
      <c r="AK79" s="2">
        <v>113.165454434517</v>
      </c>
      <c r="AL79" s="2">
        <v>-46.414185876603099</v>
      </c>
    </row>
    <row r="80" spans="1:38" x14ac:dyDescent="0.25">
      <c r="A80" s="1">
        <v>36465</v>
      </c>
      <c r="B80" t="s">
        <v>3</v>
      </c>
      <c r="C80">
        <v>103128</v>
      </c>
      <c r="D80">
        <v>8</v>
      </c>
      <c r="E80">
        <v>-43.644437799152698</v>
      </c>
      <c r="F80">
        <v>0</v>
      </c>
      <c r="X80" s="5">
        <v>36770</v>
      </c>
      <c r="Y80" s="2">
        <v>-42.736309970196402</v>
      </c>
      <c r="Z80" s="2">
        <v>0</v>
      </c>
      <c r="AA80">
        <f t="shared" si="1"/>
        <v>-42.736309970196402</v>
      </c>
      <c r="AD80" s="5">
        <v>41913</v>
      </c>
      <c r="AE80" s="2">
        <v>2.4867484620164699</v>
      </c>
      <c r="AF80" s="2">
        <v>-0.79648389763494398</v>
      </c>
    </row>
    <row r="81" spans="1:32" x14ac:dyDescent="0.25">
      <c r="A81" s="1">
        <v>36495</v>
      </c>
      <c r="B81" t="s">
        <v>3</v>
      </c>
      <c r="C81">
        <v>103674</v>
      </c>
      <c r="D81">
        <v>14</v>
      </c>
      <c r="E81">
        <v>-27.6138362516248</v>
      </c>
      <c r="F81">
        <v>0</v>
      </c>
      <c r="X81" s="5">
        <v>36800</v>
      </c>
      <c r="Y81" s="2">
        <v>-30.6781275776627</v>
      </c>
      <c r="Z81" s="2">
        <v>0</v>
      </c>
      <c r="AA81">
        <f t="shared" si="1"/>
        <v>-30.6781275776627</v>
      </c>
      <c r="AD81" s="5">
        <v>41944</v>
      </c>
      <c r="AE81" s="2">
        <v>15.579454156860001</v>
      </c>
      <c r="AF81" s="2">
        <v>12.1022798569718</v>
      </c>
    </row>
    <row r="82" spans="1:32" x14ac:dyDescent="0.25">
      <c r="A82" s="1">
        <v>36526</v>
      </c>
      <c r="B82" t="s">
        <v>3</v>
      </c>
      <c r="C82">
        <v>104162</v>
      </c>
      <c r="D82">
        <v>13</v>
      </c>
      <c r="E82">
        <v>-44.340417407094499</v>
      </c>
      <c r="F82">
        <v>0</v>
      </c>
      <c r="X82" s="5">
        <v>36831</v>
      </c>
      <c r="Y82" s="2">
        <v>-18.152124875879299</v>
      </c>
      <c r="Z82" s="2">
        <v>0</v>
      </c>
      <c r="AA82">
        <f t="shared" si="1"/>
        <v>-18.152124875879299</v>
      </c>
      <c r="AD82" s="5">
        <v>41974</v>
      </c>
      <c r="AE82" s="2">
        <v>18.818227428113602</v>
      </c>
      <c r="AF82" s="2">
        <v>15.165134266170799</v>
      </c>
    </row>
    <row r="83" spans="1:32" x14ac:dyDescent="0.25">
      <c r="A83" s="1">
        <v>36557</v>
      </c>
      <c r="B83" t="s">
        <v>3</v>
      </c>
      <c r="C83">
        <v>104941</v>
      </c>
      <c r="D83">
        <v>13</v>
      </c>
      <c r="E83">
        <v>-72.957060367255295</v>
      </c>
      <c r="F83">
        <v>0</v>
      </c>
      <c r="X83" s="5">
        <v>36861</v>
      </c>
      <c r="Y83" s="2">
        <v>-8.2315621683626201</v>
      </c>
      <c r="Z83" s="2">
        <v>0</v>
      </c>
      <c r="AA83">
        <f t="shared" si="1"/>
        <v>-8.2315621683626201</v>
      </c>
      <c r="AD83" s="5">
        <v>42005</v>
      </c>
      <c r="AE83" s="2">
        <v>31.6460884002528</v>
      </c>
      <c r="AF83" s="2">
        <v>28.815338272533399</v>
      </c>
    </row>
    <row r="84" spans="1:32" x14ac:dyDescent="0.25">
      <c r="A84" s="1">
        <v>36586</v>
      </c>
      <c r="B84" t="s">
        <v>3</v>
      </c>
      <c r="C84">
        <v>105494</v>
      </c>
      <c r="D84">
        <v>0</v>
      </c>
      <c r="E84">
        <v>-83.008339471642003</v>
      </c>
      <c r="F84">
        <v>0</v>
      </c>
      <c r="X84" s="5">
        <v>36892</v>
      </c>
      <c r="Y84" s="2">
        <v>32.027417005507601</v>
      </c>
      <c r="Z84" s="2">
        <v>0</v>
      </c>
      <c r="AA84">
        <f t="shared" si="1"/>
        <v>32.027417005507601</v>
      </c>
      <c r="AD84" s="5">
        <v>42036</v>
      </c>
      <c r="AE84" s="2">
        <v>49.614371696866399</v>
      </c>
      <c r="AF84" s="2">
        <v>46.906721686172197</v>
      </c>
    </row>
    <row r="85" spans="1:32" x14ac:dyDescent="0.25">
      <c r="A85" s="1">
        <v>36617</v>
      </c>
      <c r="B85" t="s">
        <v>3</v>
      </c>
      <c r="C85">
        <v>106101</v>
      </c>
      <c r="D85">
        <v>5</v>
      </c>
      <c r="E85">
        <v>-73.533882732341894</v>
      </c>
      <c r="F85">
        <v>0</v>
      </c>
      <c r="X85" s="5">
        <v>36923</v>
      </c>
      <c r="Y85" s="2">
        <v>62.909162979580799</v>
      </c>
      <c r="Z85" s="2">
        <v>0</v>
      </c>
      <c r="AA85">
        <f t="shared" si="1"/>
        <v>62.909162979580799</v>
      </c>
      <c r="AD85" s="5">
        <v>42064</v>
      </c>
      <c r="AE85" s="2">
        <v>44.6370191997269</v>
      </c>
      <c r="AF85" s="2">
        <v>42.001335975471697</v>
      </c>
    </row>
    <row r="86" spans="1:32" x14ac:dyDescent="0.25">
      <c r="A86" s="1">
        <v>36647</v>
      </c>
      <c r="B86" t="s">
        <v>3</v>
      </c>
      <c r="C86">
        <v>106571</v>
      </c>
      <c r="D86">
        <v>0</v>
      </c>
      <c r="E86">
        <v>-63.575865418382698</v>
      </c>
      <c r="F86">
        <v>0</v>
      </c>
      <c r="X86" s="5">
        <v>36951</v>
      </c>
      <c r="Y86" s="2">
        <v>59.511688953841798</v>
      </c>
      <c r="Z86" s="2">
        <v>0</v>
      </c>
      <c r="AA86">
        <f t="shared" si="1"/>
        <v>59.511688953841798</v>
      </c>
      <c r="AD86" s="5">
        <v>42095</v>
      </c>
      <c r="AE86" s="2">
        <v>38.2589853830751</v>
      </c>
      <c r="AF86" s="2">
        <v>36.091890757362101</v>
      </c>
    </row>
    <row r="87" spans="1:32" x14ac:dyDescent="0.25">
      <c r="A87" s="1">
        <v>36678</v>
      </c>
      <c r="B87" t="s">
        <v>3</v>
      </c>
      <c r="C87">
        <v>107316</v>
      </c>
      <c r="D87">
        <v>12</v>
      </c>
      <c r="E87">
        <v>-99.091235676799599</v>
      </c>
      <c r="F87">
        <v>0</v>
      </c>
      <c r="X87" s="5">
        <v>36982</v>
      </c>
      <c r="Y87" s="2">
        <v>68.440215839555407</v>
      </c>
      <c r="Z87" s="2">
        <v>0</v>
      </c>
      <c r="AA87">
        <f t="shared" si="1"/>
        <v>68.440215839555407</v>
      </c>
      <c r="AD87" s="5">
        <v>42125</v>
      </c>
      <c r="AE87" s="2">
        <v>46.513019673726397</v>
      </c>
      <c r="AF87" s="2">
        <v>44.537295515288697</v>
      </c>
    </row>
    <row r="88" spans="1:32" x14ac:dyDescent="0.25">
      <c r="A88" s="1">
        <v>36708</v>
      </c>
      <c r="B88" t="s">
        <v>3</v>
      </c>
      <c r="C88">
        <v>108083</v>
      </c>
      <c r="D88">
        <v>8</v>
      </c>
      <c r="E88">
        <v>-73.200816190475706</v>
      </c>
      <c r="F88">
        <v>0</v>
      </c>
      <c r="X88" s="5">
        <v>37012</v>
      </c>
      <c r="Y88" s="2">
        <v>54.2156438154271</v>
      </c>
      <c r="Z88" s="2">
        <v>0</v>
      </c>
      <c r="AA88">
        <f t="shared" si="1"/>
        <v>54.2156438154271</v>
      </c>
      <c r="AD88" s="5">
        <v>42156</v>
      </c>
      <c r="AE88" s="2">
        <v>28.438240654949499</v>
      </c>
      <c r="AF88" s="2">
        <v>26.6376864912942</v>
      </c>
    </row>
    <row r="89" spans="1:32" x14ac:dyDescent="0.25">
      <c r="A89" s="1">
        <v>36739</v>
      </c>
      <c r="B89" t="s">
        <v>3</v>
      </c>
      <c r="C89">
        <v>108869</v>
      </c>
      <c r="D89">
        <v>0</v>
      </c>
      <c r="E89">
        <v>-57.038128708563399</v>
      </c>
      <c r="F89">
        <v>0</v>
      </c>
      <c r="X89" s="5">
        <v>37043</v>
      </c>
      <c r="Y89" s="2">
        <v>41.9853035121319</v>
      </c>
      <c r="Z89" s="2">
        <v>0</v>
      </c>
      <c r="AA89">
        <f t="shared" si="1"/>
        <v>41.9853035121319</v>
      </c>
      <c r="AD89" s="5">
        <v>42186</v>
      </c>
      <c r="AE89" s="2">
        <v>11.771430594665601</v>
      </c>
      <c r="AF89" s="2">
        <v>10.032120528756501</v>
      </c>
    </row>
    <row r="90" spans="1:32" x14ac:dyDescent="0.25">
      <c r="A90" s="1">
        <v>36770</v>
      </c>
      <c r="B90" t="s">
        <v>3</v>
      </c>
      <c r="C90">
        <v>109714</v>
      </c>
      <c r="D90">
        <v>9</v>
      </c>
      <c r="E90">
        <v>-42.736309970196402</v>
      </c>
      <c r="F90">
        <v>0</v>
      </c>
      <c r="X90" s="5">
        <v>37073</v>
      </c>
      <c r="Y90" s="2">
        <v>40.841504606211601</v>
      </c>
      <c r="Z90" s="2">
        <v>0</v>
      </c>
      <c r="AA90">
        <f t="shared" si="1"/>
        <v>40.841504606211601</v>
      </c>
      <c r="AD90" s="5">
        <v>42217</v>
      </c>
      <c r="AE90" s="2">
        <v>5.9344104574471501</v>
      </c>
      <c r="AF90" s="2">
        <v>4.1202362481734101</v>
      </c>
    </row>
    <row r="91" spans="1:32" x14ac:dyDescent="0.25">
      <c r="A91" s="1">
        <v>36800</v>
      </c>
      <c r="B91" t="s">
        <v>3</v>
      </c>
      <c r="C91">
        <v>110745</v>
      </c>
      <c r="D91">
        <v>10</v>
      </c>
      <c r="E91">
        <v>-30.6781275776627</v>
      </c>
      <c r="F91">
        <v>0</v>
      </c>
      <c r="X91" s="5">
        <v>37104</v>
      </c>
      <c r="Y91" s="2">
        <v>42.3322094241176</v>
      </c>
      <c r="Z91" s="2">
        <v>0</v>
      </c>
      <c r="AA91">
        <f t="shared" si="1"/>
        <v>42.3322094241176</v>
      </c>
      <c r="AD91" s="5">
        <v>42248</v>
      </c>
      <c r="AE91" s="2">
        <v>12.887784810335001</v>
      </c>
      <c r="AF91" s="2">
        <v>12.1702289586513</v>
      </c>
    </row>
    <row r="92" spans="1:32" x14ac:dyDescent="0.25">
      <c r="A92" s="1">
        <v>36831</v>
      </c>
      <c r="B92" t="s">
        <v>3</v>
      </c>
      <c r="C92">
        <v>111672</v>
      </c>
      <c r="D92">
        <v>0</v>
      </c>
      <c r="E92">
        <v>-18.152124875879299</v>
      </c>
      <c r="F92">
        <v>0</v>
      </c>
      <c r="X92" s="5">
        <v>37135</v>
      </c>
      <c r="Y92" s="2">
        <v>58.691597550613501</v>
      </c>
      <c r="Z92" s="2">
        <v>0</v>
      </c>
      <c r="AA92">
        <f t="shared" si="1"/>
        <v>58.691597550613501</v>
      </c>
      <c r="AD92" s="5">
        <v>42278</v>
      </c>
      <c r="AE92" s="2">
        <v>14.5477656617019</v>
      </c>
      <c r="AF92" s="2">
        <v>13.7012861837048</v>
      </c>
    </row>
    <row r="93" spans="1:32" x14ac:dyDescent="0.25">
      <c r="A93" s="1">
        <v>36861</v>
      </c>
      <c r="B93" t="s">
        <v>3</v>
      </c>
      <c r="C93">
        <v>112526</v>
      </c>
      <c r="D93">
        <v>10</v>
      </c>
      <c r="E93">
        <v>-8.2315621683626201</v>
      </c>
      <c r="F93">
        <v>0</v>
      </c>
      <c r="X93" s="5">
        <v>37165</v>
      </c>
      <c r="Y93" s="2">
        <v>70.493892222259305</v>
      </c>
      <c r="Z93" s="2">
        <v>0</v>
      </c>
      <c r="AA93">
        <f t="shared" si="1"/>
        <v>70.493892222259305</v>
      </c>
      <c r="AD93" s="5">
        <v>42309</v>
      </c>
      <c r="AE93" s="2">
        <v>25.5595300904778</v>
      </c>
      <c r="AF93" s="2">
        <v>24.559253414058698</v>
      </c>
    </row>
    <row r="94" spans="1:32" x14ac:dyDescent="0.25">
      <c r="A94" s="1">
        <v>36892</v>
      </c>
      <c r="B94" t="s">
        <v>3</v>
      </c>
      <c r="C94">
        <v>113471</v>
      </c>
      <c r="D94">
        <v>0</v>
      </c>
      <c r="E94">
        <v>32.027417005507601</v>
      </c>
      <c r="F94">
        <v>0</v>
      </c>
      <c r="X94" s="5">
        <v>37196</v>
      </c>
      <c r="Y94" s="2">
        <v>89.787320849394305</v>
      </c>
      <c r="Z94" s="2">
        <v>0</v>
      </c>
      <c r="AA94">
        <f t="shared" si="1"/>
        <v>89.787320849394305</v>
      </c>
      <c r="AD94" s="5">
        <v>42339</v>
      </c>
      <c r="AE94" s="2">
        <v>10.1161196089051</v>
      </c>
      <c r="AF94" s="2">
        <v>9.0975953785772798</v>
      </c>
    </row>
    <row r="95" spans="1:32" x14ac:dyDescent="0.25">
      <c r="A95" s="1">
        <v>36923</v>
      </c>
      <c r="B95" t="s">
        <v>3</v>
      </c>
      <c r="C95">
        <v>114318</v>
      </c>
      <c r="D95">
        <v>69</v>
      </c>
      <c r="E95">
        <v>62.909162979580799</v>
      </c>
      <c r="F95">
        <v>0</v>
      </c>
      <c r="X95" s="5">
        <v>37226</v>
      </c>
      <c r="Y95" s="2">
        <v>83.915086209276396</v>
      </c>
      <c r="Z95" s="2">
        <v>0</v>
      </c>
      <c r="AA95">
        <f t="shared" si="1"/>
        <v>83.915086209276396</v>
      </c>
      <c r="AD95" s="5">
        <v>42370</v>
      </c>
      <c r="AE95" s="2">
        <v>9.8801430387645794</v>
      </c>
      <c r="AF95" s="2">
        <v>8.9542606452284605</v>
      </c>
    </row>
    <row r="96" spans="1:32" x14ac:dyDescent="0.25">
      <c r="A96" s="1">
        <v>36951</v>
      </c>
      <c r="B96" t="s">
        <v>3</v>
      </c>
      <c r="C96">
        <v>115038</v>
      </c>
      <c r="D96">
        <v>32</v>
      </c>
      <c r="E96">
        <v>59.511688953841798</v>
      </c>
      <c r="F96">
        <v>0</v>
      </c>
      <c r="X96" s="5">
        <v>37257</v>
      </c>
      <c r="Y96" s="2">
        <v>40.403540956262198</v>
      </c>
      <c r="Z96" s="2">
        <v>0</v>
      </c>
      <c r="AA96">
        <f t="shared" si="1"/>
        <v>40.403540956262198</v>
      </c>
      <c r="AD96" s="5">
        <v>42401</v>
      </c>
      <c r="AE96" s="2">
        <v>19.916250870970099</v>
      </c>
      <c r="AF96" s="2">
        <v>18.947480679832299</v>
      </c>
    </row>
    <row r="97" spans="1:27" x14ac:dyDescent="0.25">
      <c r="A97" s="1">
        <v>36982</v>
      </c>
      <c r="B97" t="s">
        <v>3</v>
      </c>
      <c r="C97">
        <v>115944</v>
      </c>
      <c r="D97">
        <v>5</v>
      </c>
      <c r="E97">
        <v>68.440215839555407</v>
      </c>
      <c r="F97">
        <v>0</v>
      </c>
      <c r="X97" s="5">
        <v>37288</v>
      </c>
      <c r="Y97" s="2">
        <v>43.182643993367599</v>
      </c>
      <c r="Z97" s="2">
        <v>0</v>
      </c>
      <c r="AA97">
        <f t="shared" si="1"/>
        <v>43.182643993367599</v>
      </c>
    </row>
    <row r="98" spans="1:27" x14ac:dyDescent="0.25">
      <c r="A98" s="1">
        <v>37012</v>
      </c>
      <c r="B98" t="s">
        <v>3</v>
      </c>
      <c r="C98">
        <v>117065</v>
      </c>
      <c r="D98">
        <v>52</v>
      </c>
      <c r="E98">
        <v>54.2156438154271</v>
      </c>
      <c r="F98">
        <v>0</v>
      </c>
      <c r="X98" s="5">
        <v>37316</v>
      </c>
      <c r="Y98" s="2">
        <v>57.851966716358397</v>
      </c>
      <c r="Z98" s="2">
        <v>0</v>
      </c>
      <c r="AA98">
        <f t="shared" si="1"/>
        <v>57.851966716358397</v>
      </c>
    </row>
    <row r="99" spans="1:27" x14ac:dyDescent="0.25">
      <c r="A99" s="1">
        <v>37043</v>
      </c>
      <c r="B99" t="s">
        <v>3</v>
      </c>
      <c r="C99">
        <v>118257</v>
      </c>
      <c r="D99">
        <v>8</v>
      </c>
      <c r="E99">
        <v>41.9853035121319</v>
      </c>
      <c r="F99">
        <v>0</v>
      </c>
      <c r="X99" s="5">
        <v>37347</v>
      </c>
      <c r="Y99" s="2">
        <v>32.6467285958255</v>
      </c>
      <c r="Z99" s="2">
        <v>0</v>
      </c>
      <c r="AA99">
        <f t="shared" si="1"/>
        <v>32.6467285958255</v>
      </c>
    </row>
    <row r="100" spans="1:27" x14ac:dyDescent="0.25">
      <c r="A100" s="1">
        <v>37073</v>
      </c>
      <c r="B100" t="s">
        <v>3</v>
      </c>
      <c r="C100">
        <v>119588</v>
      </c>
      <c r="D100">
        <v>0</v>
      </c>
      <c r="E100">
        <v>40.841504606211601</v>
      </c>
      <c r="F100">
        <v>0</v>
      </c>
      <c r="X100" s="5">
        <v>37377</v>
      </c>
      <c r="Y100" s="2">
        <v>38.2728977036179</v>
      </c>
      <c r="Z100" s="2">
        <v>0</v>
      </c>
      <c r="AA100">
        <f t="shared" si="1"/>
        <v>38.2728977036179</v>
      </c>
    </row>
    <row r="101" spans="1:27" x14ac:dyDescent="0.25">
      <c r="A101" s="1">
        <v>37104</v>
      </c>
      <c r="B101" t="s">
        <v>3</v>
      </c>
      <c r="C101">
        <v>120908</v>
      </c>
      <c r="D101">
        <v>43</v>
      </c>
      <c r="E101">
        <v>42.3322094241176</v>
      </c>
      <c r="F101">
        <v>0</v>
      </c>
      <c r="X101" s="5">
        <v>37408</v>
      </c>
      <c r="Y101" s="2">
        <v>55.030307979908201</v>
      </c>
      <c r="Z101" s="2">
        <v>0</v>
      </c>
      <c r="AA101">
        <f t="shared" si="1"/>
        <v>55.030307979908201</v>
      </c>
    </row>
    <row r="102" spans="1:27" x14ac:dyDescent="0.25">
      <c r="A102" s="1">
        <v>37135</v>
      </c>
      <c r="B102" t="s">
        <v>3</v>
      </c>
      <c r="C102">
        <v>121911</v>
      </c>
      <c r="D102">
        <v>0</v>
      </c>
      <c r="E102">
        <v>58.691597550613501</v>
      </c>
      <c r="F102">
        <v>0</v>
      </c>
      <c r="X102" s="5">
        <v>37438</v>
      </c>
      <c r="Y102" s="2">
        <v>72.505637049256904</v>
      </c>
      <c r="Z102" s="2">
        <v>0</v>
      </c>
      <c r="AA102">
        <f t="shared" si="1"/>
        <v>72.505637049256904</v>
      </c>
    </row>
    <row r="103" spans="1:27" x14ac:dyDescent="0.25">
      <c r="A103" s="1">
        <v>37165</v>
      </c>
      <c r="B103" t="s">
        <v>3</v>
      </c>
      <c r="C103">
        <v>122885</v>
      </c>
      <c r="D103">
        <v>17</v>
      </c>
      <c r="E103">
        <v>70.493892222259305</v>
      </c>
      <c r="F103">
        <v>0</v>
      </c>
      <c r="X103" s="5">
        <v>37469</v>
      </c>
      <c r="Y103" s="2">
        <v>88.905020322615698</v>
      </c>
      <c r="Z103" s="2">
        <v>0</v>
      </c>
      <c r="AA103">
        <f t="shared" si="1"/>
        <v>88.905020322615698</v>
      </c>
    </row>
    <row r="104" spans="1:27" x14ac:dyDescent="0.25">
      <c r="A104" s="1">
        <v>37196</v>
      </c>
      <c r="B104" t="s">
        <v>3</v>
      </c>
      <c r="C104">
        <v>123749</v>
      </c>
      <c r="D104">
        <v>1</v>
      </c>
      <c r="E104">
        <v>89.787320849394305</v>
      </c>
      <c r="F104">
        <v>0</v>
      </c>
      <c r="X104" s="5">
        <v>37500</v>
      </c>
      <c r="Y104" s="2">
        <v>104.20961712146</v>
      </c>
      <c r="Z104" s="2">
        <v>0</v>
      </c>
      <c r="AA104">
        <f t="shared" si="1"/>
        <v>104.20961712146</v>
      </c>
    </row>
    <row r="105" spans="1:27" x14ac:dyDescent="0.25">
      <c r="A105" s="1">
        <v>37226</v>
      </c>
      <c r="B105" t="s">
        <v>3</v>
      </c>
      <c r="C105">
        <v>124570</v>
      </c>
      <c r="D105">
        <v>1</v>
      </c>
      <c r="E105">
        <v>83.915086209276396</v>
      </c>
      <c r="F105">
        <v>0</v>
      </c>
      <c r="X105" s="5">
        <v>37530</v>
      </c>
      <c r="Y105" s="2">
        <v>121.564436858909</v>
      </c>
      <c r="Z105" s="2">
        <v>0</v>
      </c>
      <c r="AA105">
        <f t="shared" si="1"/>
        <v>121.564436858909</v>
      </c>
    </row>
    <row r="106" spans="1:27" x14ac:dyDescent="0.25">
      <c r="A106" s="1">
        <v>37257</v>
      </c>
      <c r="B106" t="s">
        <v>3</v>
      </c>
      <c r="C106">
        <v>125549</v>
      </c>
      <c r="D106">
        <v>33</v>
      </c>
      <c r="E106">
        <v>40.403540956262198</v>
      </c>
      <c r="F106">
        <v>0</v>
      </c>
      <c r="X106" s="5">
        <v>37561</v>
      </c>
      <c r="Y106" s="2">
        <v>116.79196803926099</v>
      </c>
      <c r="Z106" s="2">
        <v>0</v>
      </c>
      <c r="AA106">
        <f t="shared" si="1"/>
        <v>116.79196803926099</v>
      </c>
    </row>
    <row r="107" spans="1:27" x14ac:dyDescent="0.25">
      <c r="A107" s="1">
        <v>37288</v>
      </c>
      <c r="B107" t="s">
        <v>3</v>
      </c>
      <c r="C107">
        <v>126071</v>
      </c>
      <c r="D107">
        <v>3</v>
      </c>
      <c r="E107">
        <v>43.182643993367599</v>
      </c>
      <c r="F107">
        <v>0</v>
      </c>
      <c r="X107" s="5">
        <v>37591</v>
      </c>
      <c r="Y107" s="2">
        <v>117.334958094513</v>
      </c>
      <c r="Z107" s="2">
        <v>0</v>
      </c>
      <c r="AA107">
        <f t="shared" si="1"/>
        <v>117.334958094513</v>
      </c>
    </row>
    <row r="108" spans="1:27" x14ac:dyDescent="0.25">
      <c r="A108" s="1">
        <v>37316</v>
      </c>
      <c r="B108" t="s">
        <v>3</v>
      </c>
      <c r="C108">
        <v>126639</v>
      </c>
      <c r="D108">
        <v>16</v>
      </c>
      <c r="E108">
        <v>57.851966716358397</v>
      </c>
      <c r="F108">
        <v>0</v>
      </c>
      <c r="X108" s="5">
        <v>37622</v>
      </c>
      <c r="Y108" s="2">
        <v>113.533712318623</v>
      </c>
      <c r="Z108" s="2">
        <v>0</v>
      </c>
      <c r="AA108">
        <f t="shared" si="1"/>
        <v>113.533712318623</v>
      </c>
    </row>
    <row r="109" spans="1:27" x14ac:dyDescent="0.25">
      <c r="A109" s="1">
        <v>37347</v>
      </c>
      <c r="B109" t="s">
        <v>3</v>
      </c>
      <c r="C109">
        <v>127220</v>
      </c>
      <c r="D109">
        <v>31</v>
      </c>
      <c r="E109">
        <v>32.6467285958255</v>
      </c>
      <c r="F109">
        <v>0</v>
      </c>
      <c r="X109" s="5">
        <v>37653</v>
      </c>
      <c r="Y109" s="2">
        <v>121.989569293345</v>
      </c>
      <c r="Z109" s="2">
        <v>0</v>
      </c>
      <c r="AA109">
        <f t="shared" si="1"/>
        <v>121.989569293345</v>
      </c>
    </row>
    <row r="110" spans="1:27" x14ac:dyDescent="0.25">
      <c r="A110" s="1">
        <v>37377</v>
      </c>
      <c r="B110" t="s">
        <v>3</v>
      </c>
      <c r="C110">
        <v>127960</v>
      </c>
      <c r="D110">
        <v>0</v>
      </c>
      <c r="E110">
        <v>38.2728977036179</v>
      </c>
      <c r="F110">
        <v>0</v>
      </c>
      <c r="X110" s="5">
        <v>37681</v>
      </c>
      <c r="Y110" s="2">
        <v>124.647730881247</v>
      </c>
      <c r="Z110" s="2">
        <v>0</v>
      </c>
      <c r="AA110">
        <f t="shared" si="1"/>
        <v>124.647730881247</v>
      </c>
    </row>
    <row r="111" spans="1:27" x14ac:dyDescent="0.25">
      <c r="A111" s="1">
        <v>37408</v>
      </c>
      <c r="B111" t="s">
        <v>3</v>
      </c>
      <c r="C111">
        <v>128469</v>
      </c>
      <c r="D111">
        <v>2</v>
      </c>
      <c r="E111">
        <v>55.030307979908201</v>
      </c>
      <c r="F111">
        <v>0</v>
      </c>
      <c r="X111" s="5">
        <v>37712</v>
      </c>
      <c r="Y111" s="2">
        <v>129.57205022735101</v>
      </c>
      <c r="Z111" s="2">
        <v>0</v>
      </c>
      <c r="AA111">
        <f t="shared" si="1"/>
        <v>129.57205022735101</v>
      </c>
    </row>
    <row r="112" spans="1:27" x14ac:dyDescent="0.25">
      <c r="A112" s="1">
        <v>37438</v>
      </c>
      <c r="B112" t="s">
        <v>3</v>
      </c>
      <c r="C112">
        <v>129060</v>
      </c>
      <c r="D112">
        <v>2</v>
      </c>
      <c r="E112">
        <v>72.505637049256904</v>
      </c>
      <c r="F112">
        <v>0</v>
      </c>
      <c r="X112" s="5">
        <v>37742</v>
      </c>
      <c r="Y112" s="2">
        <v>117.997795646399</v>
      </c>
      <c r="Z112" s="2">
        <v>0</v>
      </c>
      <c r="AA112">
        <f t="shared" si="1"/>
        <v>117.997795646399</v>
      </c>
    </row>
    <row r="113" spans="1:27" x14ac:dyDescent="0.25">
      <c r="A113" s="1">
        <v>37469</v>
      </c>
      <c r="B113" t="s">
        <v>3</v>
      </c>
      <c r="C113">
        <v>129668</v>
      </c>
      <c r="D113">
        <v>2</v>
      </c>
      <c r="E113">
        <v>88.905020322615698</v>
      </c>
      <c r="F113">
        <v>0</v>
      </c>
      <c r="X113" s="5">
        <v>37773</v>
      </c>
      <c r="Y113" s="2">
        <v>133.452895317794</v>
      </c>
      <c r="Z113" s="2">
        <v>0</v>
      </c>
      <c r="AA113">
        <f t="shared" si="1"/>
        <v>133.452895317794</v>
      </c>
    </row>
    <row r="114" spans="1:27" x14ac:dyDescent="0.25">
      <c r="A114" s="1">
        <v>37500</v>
      </c>
      <c r="B114" t="s">
        <v>3</v>
      </c>
      <c r="C114">
        <v>130231</v>
      </c>
      <c r="D114">
        <v>0</v>
      </c>
      <c r="E114">
        <v>104.20961712146</v>
      </c>
      <c r="F114">
        <v>0</v>
      </c>
      <c r="X114" s="5">
        <v>37803</v>
      </c>
      <c r="Y114" s="2">
        <v>155.803499514029</v>
      </c>
      <c r="Z114" s="2">
        <v>0</v>
      </c>
      <c r="AA114">
        <f t="shared" si="1"/>
        <v>155.803499514029</v>
      </c>
    </row>
    <row r="115" spans="1:27" x14ac:dyDescent="0.25">
      <c r="A115" s="1">
        <v>37530</v>
      </c>
      <c r="B115" t="s">
        <v>3</v>
      </c>
      <c r="C115">
        <v>130841</v>
      </c>
      <c r="D115">
        <v>0</v>
      </c>
      <c r="E115">
        <v>121.564436858909</v>
      </c>
      <c r="F115">
        <v>0</v>
      </c>
      <c r="X115" s="5">
        <v>37834</v>
      </c>
      <c r="Y115" s="2">
        <v>99.370428321488703</v>
      </c>
      <c r="Z115" s="2">
        <v>0</v>
      </c>
      <c r="AA115">
        <f t="shared" si="1"/>
        <v>99.370428321488703</v>
      </c>
    </row>
    <row r="116" spans="1:27" x14ac:dyDescent="0.25">
      <c r="A116" s="1">
        <v>37561</v>
      </c>
      <c r="B116" t="s">
        <v>3</v>
      </c>
      <c r="C116">
        <v>131341</v>
      </c>
      <c r="D116">
        <v>0</v>
      </c>
      <c r="E116">
        <v>116.79196803926099</v>
      </c>
      <c r="F116">
        <v>0</v>
      </c>
      <c r="X116" s="5">
        <v>37865</v>
      </c>
      <c r="Y116" s="2">
        <v>25.8816942729093</v>
      </c>
      <c r="Z116" s="2">
        <v>0</v>
      </c>
      <c r="AA116">
        <f t="shared" si="1"/>
        <v>25.8816942729093</v>
      </c>
    </row>
    <row r="117" spans="1:27" x14ac:dyDescent="0.25">
      <c r="A117" s="1">
        <v>37591</v>
      </c>
      <c r="B117" t="s">
        <v>3</v>
      </c>
      <c r="C117">
        <v>131796</v>
      </c>
      <c r="D117">
        <v>0</v>
      </c>
      <c r="E117">
        <v>117.334958094513</v>
      </c>
      <c r="F117">
        <v>0</v>
      </c>
      <c r="X117" s="5">
        <v>37895</v>
      </c>
      <c r="Y117" s="2">
        <v>36.051575711412298</v>
      </c>
      <c r="Z117" s="2">
        <v>0</v>
      </c>
      <c r="AA117">
        <f t="shared" si="1"/>
        <v>36.051575711412298</v>
      </c>
    </row>
    <row r="118" spans="1:27" x14ac:dyDescent="0.25">
      <c r="A118" s="1">
        <v>37622</v>
      </c>
      <c r="B118" t="s">
        <v>3</v>
      </c>
      <c r="C118">
        <v>132488</v>
      </c>
      <c r="D118">
        <v>0</v>
      </c>
      <c r="E118">
        <v>113.533712318623</v>
      </c>
      <c r="F118">
        <v>0</v>
      </c>
      <c r="X118" s="5">
        <v>37926</v>
      </c>
      <c r="Y118" s="2">
        <v>48.893189528514498</v>
      </c>
      <c r="Z118" s="2">
        <v>0</v>
      </c>
      <c r="AA118">
        <f t="shared" si="1"/>
        <v>48.893189528514498</v>
      </c>
    </row>
    <row r="119" spans="1:27" x14ac:dyDescent="0.25">
      <c r="A119" s="1">
        <v>37653</v>
      </c>
      <c r="B119" t="s">
        <v>3</v>
      </c>
      <c r="C119">
        <v>132628</v>
      </c>
      <c r="D119">
        <v>0</v>
      </c>
      <c r="E119">
        <v>121.989569293345</v>
      </c>
      <c r="F119">
        <v>0</v>
      </c>
      <c r="X119" s="5">
        <v>37956</v>
      </c>
      <c r="Y119" s="2">
        <v>47.558282686150697</v>
      </c>
      <c r="Z119" s="2">
        <v>0</v>
      </c>
      <c r="AA119">
        <f t="shared" si="1"/>
        <v>47.558282686150697</v>
      </c>
    </row>
    <row r="120" spans="1:27" x14ac:dyDescent="0.25">
      <c r="A120" s="1">
        <v>37681</v>
      </c>
      <c r="B120" t="s">
        <v>3</v>
      </c>
      <c r="C120">
        <v>132710</v>
      </c>
      <c r="D120">
        <v>0</v>
      </c>
      <c r="E120">
        <v>124.647730881247</v>
      </c>
      <c r="F120">
        <v>0</v>
      </c>
      <c r="X120" s="5">
        <v>37987</v>
      </c>
      <c r="Y120" s="2">
        <v>49.266356280284903</v>
      </c>
      <c r="Z120" s="2">
        <v>0</v>
      </c>
      <c r="AA120">
        <f t="shared" si="1"/>
        <v>49.266356280284903</v>
      </c>
    </row>
    <row r="121" spans="1:27" x14ac:dyDescent="0.25">
      <c r="A121" s="1">
        <v>37712</v>
      </c>
      <c r="B121" t="s">
        <v>3</v>
      </c>
      <c r="C121">
        <v>132780</v>
      </c>
      <c r="D121">
        <v>0</v>
      </c>
      <c r="E121">
        <v>129.57205022735101</v>
      </c>
      <c r="F121">
        <v>0</v>
      </c>
      <c r="X121" s="5">
        <v>38018</v>
      </c>
      <c r="Y121" s="2">
        <v>64.485664050076593</v>
      </c>
      <c r="Z121" s="2">
        <v>0</v>
      </c>
      <c r="AA121">
        <f t="shared" si="1"/>
        <v>64.485664050076593</v>
      </c>
    </row>
    <row r="122" spans="1:27" x14ac:dyDescent="0.25">
      <c r="A122" s="1">
        <v>37742</v>
      </c>
      <c r="B122" t="s">
        <v>3</v>
      </c>
      <c r="C122">
        <v>132581</v>
      </c>
      <c r="D122">
        <v>0</v>
      </c>
      <c r="E122">
        <v>117.997795646399</v>
      </c>
      <c r="F122">
        <v>0</v>
      </c>
      <c r="X122" s="5">
        <v>38047</v>
      </c>
      <c r="Y122" s="2">
        <v>70.328111996417903</v>
      </c>
      <c r="Z122" s="2">
        <v>0</v>
      </c>
      <c r="AA122">
        <f t="shared" si="1"/>
        <v>70.328111996417903</v>
      </c>
    </row>
    <row r="123" spans="1:27" x14ac:dyDescent="0.25">
      <c r="A123" s="1">
        <v>37773</v>
      </c>
      <c r="B123" t="s">
        <v>3</v>
      </c>
      <c r="C123">
        <v>132375</v>
      </c>
      <c r="D123">
        <v>0</v>
      </c>
      <c r="E123">
        <v>133.452895317794</v>
      </c>
      <c r="F123">
        <v>0</v>
      </c>
      <c r="X123" s="5">
        <v>38078</v>
      </c>
      <c r="Y123" s="2">
        <v>85.322218342166806</v>
      </c>
      <c r="Z123" s="2">
        <v>0</v>
      </c>
      <c r="AA123">
        <f t="shared" si="1"/>
        <v>85.322218342166806</v>
      </c>
    </row>
    <row r="124" spans="1:27" x14ac:dyDescent="0.25">
      <c r="A124" s="1">
        <v>37803</v>
      </c>
      <c r="B124" t="s">
        <v>3</v>
      </c>
      <c r="C124">
        <v>132223</v>
      </c>
      <c r="D124">
        <v>0</v>
      </c>
      <c r="E124">
        <v>155.803499514029</v>
      </c>
      <c r="F124">
        <v>0</v>
      </c>
      <c r="X124" s="5">
        <v>38108</v>
      </c>
      <c r="Y124" s="2">
        <v>37.434115326906699</v>
      </c>
      <c r="Z124" s="2">
        <v>0</v>
      </c>
      <c r="AA124">
        <f t="shared" si="1"/>
        <v>37.434115326906699</v>
      </c>
    </row>
    <row r="125" spans="1:27" x14ac:dyDescent="0.25">
      <c r="A125" s="1">
        <v>37834</v>
      </c>
      <c r="B125" t="s">
        <v>3</v>
      </c>
      <c r="C125">
        <v>131975</v>
      </c>
      <c r="D125">
        <v>1</v>
      </c>
      <c r="E125">
        <v>99.370428321488703</v>
      </c>
      <c r="F125">
        <v>0</v>
      </c>
      <c r="X125" s="5">
        <v>38139</v>
      </c>
      <c r="Y125" s="2">
        <v>-1.95875488872107</v>
      </c>
      <c r="Z125" s="2">
        <v>0</v>
      </c>
      <c r="AA125">
        <f t="shared" si="1"/>
        <v>-1.95875488872107</v>
      </c>
    </row>
    <row r="126" spans="1:27" x14ac:dyDescent="0.25">
      <c r="A126" s="1">
        <v>37865</v>
      </c>
      <c r="B126" t="s">
        <v>3</v>
      </c>
      <c r="C126">
        <v>131484</v>
      </c>
      <c r="D126">
        <v>1</v>
      </c>
      <c r="E126">
        <v>25.8816942729093</v>
      </c>
      <c r="F126">
        <v>0</v>
      </c>
      <c r="X126" s="5">
        <v>38169</v>
      </c>
      <c r="Y126" s="2">
        <v>-3.1357661450124699</v>
      </c>
      <c r="Z126" s="2">
        <v>0</v>
      </c>
      <c r="AA126">
        <f t="shared" si="1"/>
        <v>-3.1357661450124699</v>
      </c>
    </row>
    <row r="127" spans="1:27" x14ac:dyDescent="0.25">
      <c r="A127" s="1">
        <v>37895</v>
      </c>
      <c r="B127" t="s">
        <v>3</v>
      </c>
      <c r="C127">
        <v>131018</v>
      </c>
      <c r="D127">
        <v>0</v>
      </c>
      <c r="E127">
        <v>36.051575711412298</v>
      </c>
      <c r="F127">
        <v>0</v>
      </c>
      <c r="X127" s="5">
        <v>38200</v>
      </c>
      <c r="Y127" s="2">
        <v>21.959764118961999</v>
      </c>
      <c r="Z127" s="2">
        <v>0</v>
      </c>
      <c r="AA127">
        <f t="shared" si="1"/>
        <v>21.959764118961999</v>
      </c>
    </row>
    <row r="128" spans="1:27" x14ac:dyDescent="0.25">
      <c r="A128" s="1">
        <v>37926</v>
      </c>
      <c r="B128" t="s">
        <v>3</v>
      </c>
      <c r="C128">
        <v>130769</v>
      </c>
      <c r="D128">
        <v>4</v>
      </c>
      <c r="E128">
        <v>48.893189528514498</v>
      </c>
      <c r="F128">
        <v>0</v>
      </c>
      <c r="X128" s="5">
        <v>38231</v>
      </c>
      <c r="Y128" s="2">
        <v>34.608798679175997</v>
      </c>
      <c r="Z128" s="2">
        <v>0</v>
      </c>
      <c r="AA128">
        <f t="shared" si="1"/>
        <v>34.608798679175997</v>
      </c>
    </row>
    <row r="129" spans="1:27" x14ac:dyDescent="0.25">
      <c r="A129" s="1">
        <v>37956</v>
      </c>
      <c r="B129" t="s">
        <v>3</v>
      </c>
      <c r="C129">
        <v>130748</v>
      </c>
      <c r="D129">
        <v>2</v>
      </c>
      <c r="E129">
        <v>47.558282686150697</v>
      </c>
      <c r="F129">
        <v>0</v>
      </c>
      <c r="X129" s="5">
        <v>38261</v>
      </c>
      <c r="Y129" s="2">
        <v>43.852104860781502</v>
      </c>
      <c r="Z129" s="2">
        <v>0</v>
      </c>
      <c r="AA129">
        <f t="shared" si="1"/>
        <v>43.852104860781502</v>
      </c>
    </row>
    <row r="130" spans="1:27" x14ac:dyDescent="0.25">
      <c r="A130" s="1">
        <v>37987</v>
      </c>
      <c r="B130" t="s">
        <v>3</v>
      </c>
      <c r="C130">
        <v>130742</v>
      </c>
      <c r="D130">
        <v>3</v>
      </c>
      <c r="E130">
        <v>49.266356280284903</v>
      </c>
      <c r="F130">
        <v>0</v>
      </c>
      <c r="X130" s="5">
        <v>38292</v>
      </c>
      <c r="Y130" s="2">
        <v>48.408860624759797</v>
      </c>
      <c r="Z130" s="2">
        <v>0</v>
      </c>
      <c r="AA130">
        <f t="shared" si="1"/>
        <v>48.408860624759797</v>
      </c>
    </row>
    <row r="131" spans="1:27" x14ac:dyDescent="0.25">
      <c r="A131" s="1">
        <v>38018</v>
      </c>
      <c r="B131" t="s">
        <v>3</v>
      </c>
      <c r="C131">
        <v>130825</v>
      </c>
      <c r="D131">
        <v>87</v>
      </c>
      <c r="E131">
        <v>64.485664050076593</v>
      </c>
      <c r="F131">
        <v>0</v>
      </c>
      <c r="X131" s="5">
        <v>38322</v>
      </c>
      <c r="Y131" s="2">
        <v>47.211829120443603</v>
      </c>
      <c r="Z131" s="2">
        <v>0</v>
      </c>
      <c r="AA131">
        <f t="shared" si="1"/>
        <v>47.211829120443603</v>
      </c>
    </row>
    <row r="132" spans="1:27" x14ac:dyDescent="0.25">
      <c r="A132" s="1">
        <v>38047</v>
      </c>
      <c r="B132" t="s">
        <v>3</v>
      </c>
      <c r="C132">
        <v>130896</v>
      </c>
      <c r="D132">
        <v>3</v>
      </c>
      <c r="E132">
        <v>70.328111996417903</v>
      </c>
      <c r="F132">
        <v>0</v>
      </c>
      <c r="X132" s="5">
        <v>38353</v>
      </c>
      <c r="Y132" s="2">
        <v>43.781719162844396</v>
      </c>
      <c r="Z132" s="2">
        <v>0</v>
      </c>
      <c r="AA132">
        <f t="shared" si="1"/>
        <v>43.781719162844396</v>
      </c>
    </row>
    <row r="133" spans="1:27" x14ac:dyDescent="0.25">
      <c r="A133" s="1">
        <v>38078</v>
      </c>
      <c r="B133" t="s">
        <v>3</v>
      </c>
      <c r="C133">
        <v>130951</v>
      </c>
      <c r="D133">
        <v>103</v>
      </c>
      <c r="E133">
        <v>85.322218342166806</v>
      </c>
      <c r="F133">
        <v>0</v>
      </c>
      <c r="X133" s="5">
        <v>38384</v>
      </c>
      <c r="Y133" s="2">
        <v>46.160062944955797</v>
      </c>
      <c r="Z133" s="2">
        <v>0</v>
      </c>
      <c r="AA133">
        <f t="shared" ref="AA133:AA196" si="2">Y133</f>
        <v>46.160062944955797</v>
      </c>
    </row>
    <row r="134" spans="1:27" x14ac:dyDescent="0.25">
      <c r="A134" s="1">
        <v>38108</v>
      </c>
      <c r="B134" t="s">
        <v>3</v>
      </c>
      <c r="C134">
        <v>131022</v>
      </c>
      <c r="D134">
        <v>0</v>
      </c>
      <c r="E134">
        <v>37.434115326906699</v>
      </c>
      <c r="F134">
        <v>0</v>
      </c>
      <c r="X134" s="5">
        <v>38412</v>
      </c>
      <c r="Y134" s="2">
        <v>51.881992528927803</v>
      </c>
      <c r="Z134" s="2">
        <v>0</v>
      </c>
      <c r="AA134">
        <f t="shared" si="2"/>
        <v>51.881992528927803</v>
      </c>
    </row>
    <row r="135" spans="1:27" x14ac:dyDescent="0.25">
      <c r="A135" s="1">
        <v>38139</v>
      </c>
      <c r="B135" t="s">
        <v>3</v>
      </c>
      <c r="C135">
        <v>131041</v>
      </c>
      <c r="D135">
        <v>0</v>
      </c>
      <c r="E135">
        <v>-1.95875488872107</v>
      </c>
      <c r="F135">
        <v>0</v>
      </c>
      <c r="X135" s="5">
        <v>38443</v>
      </c>
      <c r="Y135" s="2">
        <v>22.2613567922599</v>
      </c>
      <c r="Z135" s="2">
        <v>0</v>
      </c>
      <c r="AA135">
        <f t="shared" si="2"/>
        <v>22.2613567922599</v>
      </c>
    </row>
    <row r="136" spans="1:27" x14ac:dyDescent="0.25">
      <c r="A136" s="1">
        <v>38169</v>
      </c>
      <c r="B136" t="s">
        <v>3</v>
      </c>
      <c r="C136">
        <v>130966</v>
      </c>
      <c r="D136">
        <v>4</v>
      </c>
      <c r="E136">
        <v>-3.1357661450124699</v>
      </c>
      <c r="F136">
        <v>0</v>
      </c>
      <c r="X136" s="5">
        <v>38473</v>
      </c>
      <c r="Y136" s="2">
        <v>29.7118722265439</v>
      </c>
      <c r="Z136" s="2">
        <v>0</v>
      </c>
      <c r="AA136">
        <f t="shared" si="2"/>
        <v>29.7118722265439</v>
      </c>
    </row>
    <row r="137" spans="1:27" x14ac:dyDescent="0.25">
      <c r="A137" s="1">
        <v>38200</v>
      </c>
      <c r="B137" t="s">
        <v>3</v>
      </c>
      <c r="C137">
        <v>131079</v>
      </c>
      <c r="D137">
        <v>5</v>
      </c>
      <c r="E137">
        <v>21.959764118961999</v>
      </c>
      <c r="F137">
        <v>0</v>
      </c>
      <c r="X137" s="5">
        <v>38504</v>
      </c>
      <c r="Y137" s="2">
        <v>43.076631509568998</v>
      </c>
      <c r="Z137" s="2">
        <v>0</v>
      </c>
      <c r="AA137">
        <f t="shared" si="2"/>
        <v>43.076631509568998</v>
      </c>
    </row>
    <row r="138" spans="1:27" x14ac:dyDescent="0.25">
      <c r="A138" s="1">
        <v>38231</v>
      </c>
      <c r="B138" t="s">
        <v>3</v>
      </c>
      <c r="C138">
        <v>131287</v>
      </c>
      <c r="D138">
        <v>1</v>
      </c>
      <c r="E138">
        <v>34.608798679175997</v>
      </c>
      <c r="F138">
        <v>0</v>
      </c>
      <c r="X138" s="5">
        <v>38534</v>
      </c>
      <c r="Y138" s="2">
        <v>56.644277147880203</v>
      </c>
      <c r="Z138" s="2">
        <v>0</v>
      </c>
      <c r="AA138">
        <f t="shared" si="2"/>
        <v>56.644277147880203</v>
      </c>
    </row>
    <row r="139" spans="1:27" x14ac:dyDescent="0.25">
      <c r="A139" s="1">
        <v>38261</v>
      </c>
      <c r="B139" t="s">
        <v>3</v>
      </c>
      <c r="C139">
        <v>131434</v>
      </c>
      <c r="D139">
        <v>2</v>
      </c>
      <c r="E139">
        <v>43.852104860781502</v>
      </c>
      <c r="F139">
        <v>0</v>
      </c>
      <c r="X139" s="5">
        <v>38565</v>
      </c>
      <c r="Y139" s="2">
        <v>45.655295602089097</v>
      </c>
      <c r="Z139" s="2">
        <v>0</v>
      </c>
      <c r="AA139">
        <f t="shared" si="2"/>
        <v>45.655295602089097</v>
      </c>
    </row>
    <row r="140" spans="1:27" x14ac:dyDescent="0.25">
      <c r="A140" s="1">
        <v>38292</v>
      </c>
      <c r="B140" t="s">
        <v>3</v>
      </c>
      <c r="C140">
        <v>131688</v>
      </c>
      <c r="D140">
        <v>0</v>
      </c>
      <c r="E140">
        <v>48.408860624759797</v>
      </c>
      <c r="F140">
        <v>0</v>
      </c>
      <c r="X140" s="5">
        <v>38596</v>
      </c>
      <c r="Y140" s="2">
        <v>33.238301562251102</v>
      </c>
      <c r="Z140" s="2">
        <v>0</v>
      </c>
      <c r="AA140">
        <f t="shared" si="2"/>
        <v>33.238301562251102</v>
      </c>
    </row>
    <row r="141" spans="1:27" x14ac:dyDescent="0.25">
      <c r="A141" s="1">
        <v>38322</v>
      </c>
      <c r="B141" t="s">
        <v>3</v>
      </c>
      <c r="C141">
        <v>131933</v>
      </c>
      <c r="D141">
        <v>0</v>
      </c>
      <c r="E141">
        <v>47.211829120443603</v>
      </c>
      <c r="F141">
        <v>0</v>
      </c>
      <c r="X141" s="5">
        <v>38626</v>
      </c>
      <c r="Y141" s="2">
        <v>31.355046295817399</v>
      </c>
      <c r="Z141" s="2">
        <v>0</v>
      </c>
      <c r="AA141">
        <f t="shared" si="2"/>
        <v>31.355046295817399</v>
      </c>
    </row>
    <row r="142" spans="1:27" x14ac:dyDescent="0.25">
      <c r="A142" s="1">
        <v>38353</v>
      </c>
      <c r="B142" t="s">
        <v>3</v>
      </c>
      <c r="C142">
        <v>132362</v>
      </c>
      <c r="D142">
        <v>1</v>
      </c>
      <c r="E142">
        <v>43.781719162844396</v>
      </c>
      <c r="F142">
        <v>0</v>
      </c>
      <c r="X142" s="5">
        <v>38657</v>
      </c>
      <c r="Y142" s="2">
        <v>3.9801042435941998</v>
      </c>
      <c r="Z142" s="2">
        <v>0</v>
      </c>
      <c r="AA142">
        <f t="shared" si="2"/>
        <v>3.9801042435941998</v>
      </c>
    </row>
    <row r="143" spans="1:27" x14ac:dyDescent="0.25">
      <c r="A143" s="1">
        <v>38384</v>
      </c>
      <c r="B143" t="s">
        <v>3</v>
      </c>
      <c r="C143">
        <v>132661</v>
      </c>
      <c r="D143">
        <v>9</v>
      </c>
      <c r="E143">
        <v>46.160062944955797</v>
      </c>
      <c r="F143">
        <v>0</v>
      </c>
      <c r="X143" s="5">
        <v>38687</v>
      </c>
      <c r="Y143" s="2">
        <v>-22.360165361049301</v>
      </c>
      <c r="Z143" s="2">
        <v>0</v>
      </c>
      <c r="AA143">
        <f t="shared" si="2"/>
        <v>-22.360165361049301</v>
      </c>
    </row>
    <row r="144" spans="1:27" x14ac:dyDescent="0.25">
      <c r="A144" s="1">
        <v>38412</v>
      </c>
      <c r="B144" t="s">
        <v>3</v>
      </c>
      <c r="C144">
        <v>132971</v>
      </c>
      <c r="D144">
        <v>3</v>
      </c>
      <c r="E144">
        <v>51.881992528927803</v>
      </c>
      <c r="F144">
        <v>0</v>
      </c>
      <c r="X144" s="5">
        <v>38718</v>
      </c>
      <c r="Y144" s="2">
        <v>-18.7220013701711</v>
      </c>
      <c r="Z144" s="2">
        <v>0</v>
      </c>
      <c r="AA144">
        <f t="shared" si="2"/>
        <v>-18.7220013701711</v>
      </c>
    </row>
    <row r="145" spans="1:27" x14ac:dyDescent="0.25">
      <c r="A145" s="1">
        <v>38443</v>
      </c>
      <c r="B145" t="s">
        <v>3</v>
      </c>
      <c r="C145">
        <v>133205</v>
      </c>
      <c r="D145">
        <v>8</v>
      </c>
      <c r="E145">
        <v>22.2613567922599</v>
      </c>
      <c r="F145">
        <v>0</v>
      </c>
      <c r="X145" s="5">
        <v>38749</v>
      </c>
      <c r="Y145" s="2">
        <v>-4.8089666139557004</v>
      </c>
      <c r="Z145" s="2">
        <v>0</v>
      </c>
      <c r="AA145">
        <f t="shared" si="2"/>
        <v>-4.8089666139557004</v>
      </c>
    </row>
    <row r="146" spans="1:27" x14ac:dyDescent="0.25">
      <c r="A146" s="1">
        <v>38473</v>
      </c>
      <c r="B146" t="s">
        <v>3</v>
      </c>
      <c r="C146">
        <v>133657</v>
      </c>
      <c r="D146">
        <v>1</v>
      </c>
      <c r="E146">
        <v>29.7118722265439</v>
      </c>
      <c r="F146">
        <v>0</v>
      </c>
      <c r="X146" s="5">
        <v>38777</v>
      </c>
      <c r="Y146" s="2">
        <v>-15.762663294019401</v>
      </c>
      <c r="Z146" s="2">
        <v>0</v>
      </c>
      <c r="AA146">
        <f t="shared" si="2"/>
        <v>-15.762663294019401</v>
      </c>
    </row>
    <row r="147" spans="1:27" x14ac:dyDescent="0.25">
      <c r="A147" s="1">
        <v>38504</v>
      </c>
      <c r="B147" t="s">
        <v>3</v>
      </c>
      <c r="C147">
        <v>134041</v>
      </c>
      <c r="D147">
        <v>11</v>
      </c>
      <c r="E147">
        <v>43.076631509568998</v>
      </c>
      <c r="F147">
        <v>0</v>
      </c>
      <c r="X147" s="5">
        <v>38808</v>
      </c>
      <c r="Y147" s="2">
        <v>-23.828077702867699</v>
      </c>
      <c r="Z147" s="2">
        <v>0</v>
      </c>
      <c r="AA147">
        <f t="shared" si="2"/>
        <v>-23.828077702867699</v>
      </c>
    </row>
    <row r="148" spans="1:27" x14ac:dyDescent="0.25">
      <c r="A148" s="1">
        <v>38534</v>
      </c>
      <c r="B148" t="s">
        <v>3</v>
      </c>
      <c r="C148">
        <v>134429</v>
      </c>
      <c r="D148">
        <v>4</v>
      </c>
      <c r="E148">
        <v>56.644277147880203</v>
      </c>
      <c r="F148">
        <v>0</v>
      </c>
      <c r="X148" s="5">
        <v>38838</v>
      </c>
      <c r="Y148" s="2">
        <v>-40.955372448905898</v>
      </c>
      <c r="Z148" s="2">
        <v>0</v>
      </c>
      <c r="AA148">
        <f t="shared" si="2"/>
        <v>-40.955372448905898</v>
      </c>
    </row>
    <row r="149" spans="1:27" x14ac:dyDescent="0.25">
      <c r="A149" s="1">
        <v>38565</v>
      </c>
      <c r="B149" t="s">
        <v>3</v>
      </c>
      <c r="C149">
        <v>134737</v>
      </c>
      <c r="D149">
        <v>1</v>
      </c>
      <c r="E149">
        <v>45.655295602089097</v>
      </c>
      <c r="F149">
        <v>0</v>
      </c>
      <c r="X149" s="5">
        <v>38869</v>
      </c>
      <c r="Y149" s="2">
        <v>-48.360283383088699</v>
      </c>
      <c r="Z149" s="2">
        <v>0</v>
      </c>
      <c r="AA149">
        <f t="shared" si="2"/>
        <v>-48.360283383088699</v>
      </c>
    </row>
    <row r="150" spans="1:27" x14ac:dyDescent="0.25">
      <c r="A150" s="1">
        <v>38596</v>
      </c>
      <c r="B150" t="s">
        <v>3</v>
      </c>
      <c r="C150">
        <v>135164</v>
      </c>
      <c r="D150">
        <v>3</v>
      </c>
      <c r="E150">
        <v>33.238301562251102</v>
      </c>
      <c r="F150">
        <v>0</v>
      </c>
      <c r="X150" s="5">
        <v>38899</v>
      </c>
      <c r="Y150" s="2">
        <v>-55.236479386350901</v>
      </c>
      <c r="Z150" s="2">
        <v>0</v>
      </c>
      <c r="AA150">
        <f t="shared" si="2"/>
        <v>-55.236479386350901</v>
      </c>
    </row>
    <row r="151" spans="1:27" x14ac:dyDescent="0.25">
      <c r="A151" s="1">
        <v>38626</v>
      </c>
      <c r="B151" t="s">
        <v>3</v>
      </c>
      <c r="C151">
        <v>135581</v>
      </c>
      <c r="D151">
        <v>2</v>
      </c>
      <c r="E151">
        <v>31.355046295817399</v>
      </c>
      <c r="F151">
        <v>0</v>
      </c>
      <c r="X151" s="5">
        <v>38930</v>
      </c>
      <c r="Y151" s="2">
        <v>-61.166366262258897</v>
      </c>
      <c r="Z151" s="2">
        <v>0</v>
      </c>
      <c r="AA151">
        <f t="shared" si="2"/>
        <v>-61.166366262258897</v>
      </c>
    </row>
    <row r="152" spans="1:27" x14ac:dyDescent="0.25">
      <c r="A152" s="1">
        <v>38657</v>
      </c>
      <c r="B152" t="s">
        <v>3</v>
      </c>
      <c r="C152">
        <v>136088</v>
      </c>
      <c r="D152">
        <v>5</v>
      </c>
      <c r="E152">
        <v>3.9801042435941998</v>
      </c>
      <c r="F152">
        <v>0</v>
      </c>
      <c r="X152" s="5">
        <v>38961</v>
      </c>
      <c r="Y152" s="2">
        <v>-32.970487190367102</v>
      </c>
      <c r="Z152" s="2">
        <v>-1.8044656560339201</v>
      </c>
      <c r="AA152">
        <f>Z152</f>
        <v>-1.8044656560339201</v>
      </c>
    </row>
    <row r="153" spans="1:27" x14ac:dyDescent="0.25">
      <c r="A153" s="1">
        <v>38687</v>
      </c>
      <c r="B153" t="s">
        <v>3</v>
      </c>
      <c r="C153">
        <v>136664</v>
      </c>
      <c r="D153">
        <v>4</v>
      </c>
      <c r="E153">
        <v>-22.360165361049301</v>
      </c>
      <c r="F153">
        <v>0</v>
      </c>
      <c r="X153" s="5">
        <v>38991</v>
      </c>
      <c r="Y153" s="2">
        <v>-21.6735573117606</v>
      </c>
      <c r="Z153" s="2">
        <v>1.06599024950133</v>
      </c>
      <c r="AA153">
        <f t="shared" ref="AA153:AA216" si="3">Z153</f>
        <v>1.06599024950133</v>
      </c>
    </row>
    <row r="154" spans="1:27" x14ac:dyDescent="0.25">
      <c r="A154" s="1">
        <v>38718</v>
      </c>
      <c r="B154" t="s">
        <v>3</v>
      </c>
      <c r="C154">
        <v>137333</v>
      </c>
      <c r="D154">
        <v>18</v>
      </c>
      <c r="E154">
        <v>-18.7220013701711</v>
      </c>
      <c r="F154">
        <v>0</v>
      </c>
      <c r="X154" s="5">
        <v>39022</v>
      </c>
      <c r="Y154" s="2">
        <v>-15.6726972615552</v>
      </c>
      <c r="Z154" s="2">
        <v>3.2817073924173199</v>
      </c>
      <c r="AA154">
        <f t="shared" si="3"/>
        <v>3.2817073924173199</v>
      </c>
    </row>
    <row r="155" spans="1:27" x14ac:dyDescent="0.25">
      <c r="A155" s="1">
        <v>38749</v>
      </c>
      <c r="B155" t="s">
        <v>3</v>
      </c>
      <c r="C155">
        <v>138055</v>
      </c>
      <c r="D155">
        <v>1</v>
      </c>
      <c r="E155">
        <v>-4.8089666139557004</v>
      </c>
      <c r="F155">
        <v>0</v>
      </c>
      <c r="X155" s="5">
        <v>39052</v>
      </c>
      <c r="Y155" s="2">
        <v>-4.7787117808233797</v>
      </c>
      <c r="Z155" s="2">
        <v>6.52682923438703</v>
      </c>
      <c r="AA155">
        <f t="shared" si="3"/>
        <v>6.52682923438703</v>
      </c>
    </row>
    <row r="156" spans="1:27" x14ac:dyDescent="0.25">
      <c r="A156" s="1">
        <v>38777</v>
      </c>
      <c r="B156" t="s">
        <v>3</v>
      </c>
      <c r="C156">
        <v>138700</v>
      </c>
      <c r="D156">
        <v>4</v>
      </c>
      <c r="E156">
        <v>-15.762663294019401</v>
      </c>
      <c r="F156">
        <v>0</v>
      </c>
      <c r="X156" s="5">
        <v>39083</v>
      </c>
      <c r="Y156" s="2">
        <v>7.6926003519994897</v>
      </c>
      <c r="Z156" s="2">
        <v>10.0889333038091</v>
      </c>
      <c r="AA156">
        <f t="shared" si="3"/>
        <v>10.0889333038091</v>
      </c>
    </row>
    <row r="157" spans="1:27" x14ac:dyDescent="0.25">
      <c r="A157" s="1">
        <v>38808</v>
      </c>
      <c r="B157" t="s">
        <v>3</v>
      </c>
      <c r="C157">
        <v>139160</v>
      </c>
      <c r="D157">
        <v>6</v>
      </c>
      <c r="E157">
        <v>-23.828077702867699</v>
      </c>
      <c r="F157">
        <v>0</v>
      </c>
      <c r="X157" s="5">
        <v>39114</v>
      </c>
      <c r="Y157" s="2">
        <v>-2.13841230906062</v>
      </c>
      <c r="Z157" s="2">
        <v>8.0027057963012993</v>
      </c>
      <c r="AA157">
        <f t="shared" si="3"/>
        <v>8.0027057963012993</v>
      </c>
    </row>
    <row r="158" spans="1:27" x14ac:dyDescent="0.25">
      <c r="A158" s="1">
        <v>38838</v>
      </c>
      <c r="B158" t="s">
        <v>3</v>
      </c>
      <c r="C158">
        <v>139612</v>
      </c>
      <c r="D158">
        <v>2</v>
      </c>
      <c r="E158">
        <v>-40.955372448905898</v>
      </c>
      <c r="F158">
        <v>0</v>
      </c>
      <c r="X158" s="5">
        <v>39142</v>
      </c>
      <c r="Y158" s="2">
        <v>-2.25831026140155</v>
      </c>
      <c r="Z158" s="2">
        <v>8.1035079058615604</v>
      </c>
      <c r="AA158">
        <f t="shared" si="3"/>
        <v>8.1035079058615604</v>
      </c>
    </row>
    <row r="159" spans="1:27" x14ac:dyDescent="0.25">
      <c r="A159" s="1">
        <v>38869</v>
      </c>
      <c r="B159" t="s">
        <v>3</v>
      </c>
      <c r="C159">
        <v>139922</v>
      </c>
      <c r="D159">
        <v>2</v>
      </c>
      <c r="E159">
        <v>-48.360283383088699</v>
      </c>
      <c r="F159">
        <v>0</v>
      </c>
      <c r="X159" s="5">
        <v>39173</v>
      </c>
      <c r="Y159" s="2">
        <v>6.9606414732905302</v>
      </c>
      <c r="Z159" s="2">
        <v>10.9615964886766</v>
      </c>
      <c r="AA159">
        <f t="shared" si="3"/>
        <v>10.9615964886766</v>
      </c>
    </row>
    <row r="160" spans="1:27" x14ac:dyDescent="0.25">
      <c r="A160" s="1">
        <v>38899</v>
      </c>
      <c r="B160" t="s">
        <v>3</v>
      </c>
      <c r="C160">
        <v>140370</v>
      </c>
      <c r="D160">
        <v>6</v>
      </c>
      <c r="E160">
        <v>-55.236479386350901</v>
      </c>
      <c r="F160">
        <v>0</v>
      </c>
      <c r="X160" s="5">
        <v>39203</v>
      </c>
      <c r="Y160" s="2">
        <v>3.6070488924826898</v>
      </c>
      <c r="Z160" s="2">
        <v>10.1680191802411</v>
      </c>
      <c r="AA160">
        <f t="shared" si="3"/>
        <v>10.1680191802411</v>
      </c>
    </row>
    <row r="161" spans="1:27" x14ac:dyDescent="0.25">
      <c r="A161" s="1">
        <v>38930</v>
      </c>
      <c r="B161" t="s">
        <v>3</v>
      </c>
      <c r="C161">
        <v>140805</v>
      </c>
      <c r="D161">
        <v>1</v>
      </c>
      <c r="E161">
        <v>-61.166366262258897</v>
      </c>
      <c r="F161">
        <v>0</v>
      </c>
      <c r="X161" s="5">
        <v>39234</v>
      </c>
      <c r="Y161" s="2">
        <v>-3.9600264673618701</v>
      </c>
      <c r="Z161" s="2">
        <v>7.6811192366785601</v>
      </c>
      <c r="AA161">
        <f t="shared" si="3"/>
        <v>7.6811192366785601</v>
      </c>
    </row>
    <row r="162" spans="1:27" x14ac:dyDescent="0.25">
      <c r="A162" s="1">
        <v>38961</v>
      </c>
      <c r="B162" t="s">
        <v>3</v>
      </c>
      <c r="C162">
        <v>141270</v>
      </c>
      <c r="D162">
        <v>7</v>
      </c>
      <c r="E162">
        <v>-32.970487190367102</v>
      </c>
      <c r="F162">
        <v>-1.8044656560339201</v>
      </c>
      <c r="X162" s="5">
        <v>39264</v>
      </c>
      <c r="Y162" s="2">
        <v>-42.589137425097597</v>
      </c>
      <c r="Z162" s="2">
        <v>-6.4780578123856802</v>
      </c>
      <c r="AA162">
        <f t="shared" si="3"/>
        <v>-6.4780578123856802</v>
      </c>
    </row>
    <row r="163" spans="1:27" x14ac:dyDescent="0.25">
      <c r="A163" s="1">
        <v>38991</v>
      </c>
      <c r="B163" t="s">
        <v>3</v>
      </c>
      <c r="C163">
        <v>141799</v>
      </c>
      <c r="D163">
        <v>11</v>
      </c>
      <c r="E163">
        <v>-21.6735573117606</v>
      </c>
      <c r="F163">
        <v>1.06599024950133</v>
      </c>
      <c r="X163" s="5">
        <v>39295</v>
      </c>
      <c r="Y163" s="2">
        <v>-45.677195093323199</v>
      </c>
      <c r="Z163" s="2">
        <v>-7.99593307782773</v>
      </c>
      <c r="AA163">
        <f t="shared" si="3"/>
        <v>-7.99593307782773</v>
      </c>
    </row>
    <row r="164" spans="1:27" x14ac:dyDescent="0.25">
      <c r="A164" s="1">
        <v>39022</v>
      </c>
      <c r="B164" t="s">
        <v>3</v>
      </c>
      <c r="C164">
        <v>142264</v>
      </c>
      <c r="D164">
        <v>17</v>
      </c>
      <c r="E164">
        <v>-15.6726972615552</v>
      </c>
      <c r="F164">
        <v>3.2817073924173199</v>
      </c>
      <c r="X164" s="5">
        <v>39326</v>
      </c>
      <c r="Y164" s="2">
        <v>-32.140555988920802</v>
      </c>
      <c r="Z164" s="2">
        <v>-3.2034502916793102</v>
      </c>
      <c r="AA164">
        <f t="shared" si="3"/>
        <v>-3.2034502916793102</v>
      </c>
    </row>
    <row r="165" spans="1:27" x14ac:dyDescent="0.25">
      <c r="A165" s="1">
        <v>39052</v>
      </c>
      <c r="B165" t="s">
        <v>3</v>
      </c>
      <c r="C165">
        <v>142693</v>
      </c>
      <c r="D165">
        <v>23</v>
      </c>
      <c r="E165">
        <v>-4.7787117808233797</v>
      </c>
      <c r="F165">
        <v>6.52682923438703</v>
      </c>
      <c r="X165" s="5">
        <v>39356</v>
      </c>
      <c r="Y165" s="2">
        <v>-14.442540748305801</v>
      </c>
      <c r="Z165" s="2">
        <v>4.2668853100737296</v>
      </c>
      <c r="AA165">
        <f t="shared" si="3"/>
        <v>4.2668853100737296</v>
      </c>
    </row>
    <row r="166" spans="1:27" x14ac:dyDescent="0.25">
      <c r="A166" s="1">
        <v>39083</v>
      </c>
      <c r="B166" t="s">
        <v>3</v>
      </c>
      <c r="C166">
        <v>143356</v>
      </c>
      <c r="D166">
        <v>26</v>
      </c>
      <c r="E166">
        <v>7.6926003519994897</v>
      </c>
      <c r="F166">
        <v>10.0889333038091</v>
      </c>
      <c r="X166" s="5">
        <v>39387</v>
      </c>
      <c r="Y166" s="2">
        <v>-9.66173864014646</v>
      </c>
      <c r="Z166" s="2">
        <v>7.0538415752221999</v>
      </c>
      <c r="AA166">
        <f t="shared" si="3"/>
        <v>7.0538415752221999</v>
      </c>
    </row>
    <row r="167" spans="1:27" x14ac:dyDescent="0.25">
      <c r="A167" s="1">
        <v>39114</v>
      </c>
      <c r="B167" t="s">
        <v>3</v>
      </c>
      <c r="C167">
        <v>143881</v>
      </c>
      <c r="D167">
        <v>32</v>
      </c>
      <c r="E167">
        <v>-2.13841230906062</v>
      </c>
      <c r="F167">
        <v>8.0027057963012993</v>
      </c>
      <c r="X167" s="5">
        <v>39417</v>
      </c>
      <c r="Y167" s="2">
        <v>7.0024135577248803</v>
      </c>
      <c r="Z167" s="2">
        <v>15.0095904575023</v>
      </c>
      <c r="AA167">
        <f t="shared" si="3"/>
        <v>15.0095904575023</v>
      </c>
    </row>
    <row r="168" spans="1:27" x14ac:dyDescent="0.25">
      <c r="A168" s="1">
        <v>39142</v>
      </c>
      <c r="B168" t="s">
        <v>3</v>
      </c>
      <c r="C168">
        <v>144508</v>
      </c>
      <c r="D168">
        <v>37</v>
      </c>
      <c r="E168">
        <v>-2.25831026140155</v>
      </c>
      <c r="F168">
        <v>8.1035079058615604</v>
      </c>
      <c r="X168" s="5">
        <v>39448</v>
      </c>
      <c r="Y168" s="2">
        <v>17.529088055110801</v>
      </c>
      <c r="Z168" s="2">
        <v>20.563863681852698</v>
      </c>
      <c r="AA168">
        <f t="shared" si="3"/>
        <v>20.563863681852698</v>
      </c>
    </row>
    <row r="169" spans="1:27" x14ac:dyDescent="0.25">
      <c r="A169" s="1">
        <v>39173</v>
      </c>
      <c r="B169" t="s">
        <v>3</v>
      </c>
      <c r="C169">
        <v>145300</v>
      </c>
      <c r="D169">
        <v>41</v>
      </c>
      <c r="E169">
        <v>6.9606414732905302</v>
      </c>
      <c r="F169">
        <v>10.9615964886766</v>
      </c>
      <c r="X169" s="5">
        <v>39479</v>
      </c>
      <c r="Y169" s="2">
        <v>51.296566684557099</v>
      </c>
      <c r="Z169" s="2">
        <v>37.114037435320299</v>
      </c>
      <c r="AA169">
        <f t="shared" si="3"/>
        <v>37.114037435320299</v>
      </c>
    </row>
    <row r="170" spans="1:27" x14ac:dyDescent="0.25">
      <c r="A170" s="1">
        <v>39203</v>
      </c>
      <c r="B170" t="s">
        <v>3</v>
      </c>
      <c r="C170">
        <v>146014</v>
      </c>
      <c r="D170">
        <v>76</v>
      </c>
      <c r="E170">
        <v>3.6070488924826898</v>
      </c>
      <c r="F170">
        <v>10.1680191802411</v>
      </c>
      <c r="X170" s="5">
        <v>39508</v>
      </c>
      <c r="Y170" s="2">
        <v>29.2785470858942</v>
      </c>
      <c r="Z170" s="2">
        <v>27.971827188693499</v>
      </c>
      <c r="AA170">
        <f t="shared" si="3"/>
        <v>27.971827188693499</v>
      </c>
    </row>
    <row r="171" spans="1:27" x14ac:dyDescent="0.25">
      <c r="A171" s="1">
        <v>39234</v>
      </c>
      <c r="B171" t="s">
        <v>3</v>
      </c>
      <c r="C171">
        <v>146821</v>
      </c>
      <c r="D171">
        <v>81</v>
      </c>
      <c r="E171">
        <v>-3.9600264673618701</v>
      </c>
      <c r="F171">
        <v>7.6811192366785601</v>
      </c>
      <c r="X171" s="5">
        <v>39539</v>
      </c>
      <c r="Y171" s="2">
        <v>22.715108134434299</v>
      </c>
      <c r="Z171" s="2">
        <v>25.645043781272499</v>
      </c>
      <c r="AA171">
        <f t="shared" si="3"/>
        <v>25.645043781272499</v>
      </c>
    </row>
    <row r="172" spans="1:27" x14ac:dyDescent="0.25">
      <c r="A172" s="1">
        <v>39264</v>
      </c>
      <c r="B172" t="s">
        <v>3</v>
      </c>
      <c r="C172">
        <v>147523</v>
      </c>
      <c r="D172">
        <v>97</v>
      </c>
      <c r="E172">
        <v>-42.589137425097597</v>
      </c>
      <c r="F172">
        <v>-6.4780578123856802</v>
      </c>
      <c r="X172" s="5">
        <v>39569</v>
      </c>
      <c r="Y172" s="2">
        <v>25.776018550991399</v>
      </c>
      <c r="Z172" s="2">
        <v>26.767337017224399</v>
      </c>
      <c r="AA172">
        <f t="shared" si="3"/>
        <v>26.767337017224399</v>
      </c>
    </row>
    <row r="173" spans="1:27" x14ac:dyDescent="0.25">
      <c r="A173" s="1">
        <v>39295</v>
      </c>
      <c r="B173" t="s">
        <v>3</v>
      </c>
      <c r="C173">
        <v>148261</v>
      </c>
      <c r="D173">
        <v>131</v>
      </c>
      <c r="E173">
        <v>-45.677195093323199</v>
      </c>
      <c r="F173">
        <v>-7.99593307782773</v>
      </c>
      <c r="X173" s="5">
        <v>39600</v>
      </c>
      <c r="Y173" s="2">
        <v>14.6250812184879</v>
      </c>
      <c r="Z173" s="2">
        <v>21.190920503840999</v>
      </c>
      <c r="AA173">
        <f t="shared" si="3"/>
        <v>21.190920503840999</v>
      </c>
    </row>
    <row r="174" spans="1:27" x14ac:dyDescent="0.25">
      <c r="A174" s="1">
        <v>39326</v>
      </c>
      <c r="B174" t="s">
        <v>3</v>
      </c>
      <c r="C174">
        <v>149241</v>
      </c>
      <c r="D174">
        <v>160</v>
      </c>
      <c r="E174">
        <v>-32.140555988920802</v>
      </c>
      <c r="F174">
        <v>-3.2034502916793102</v>
      </c>
      <c r="X174" s="5">
        <v>39630</v>
      </c>
      <c r="Y174" s="2">
        <v>-18.724956615873399</v>
      </c>
      <c r="Z174" s="2">
        <v>3.6420228326978799</v>
      </c>
      <c r="AA174">
        <f t="shared" si="3"/>
        <v>3.6420228326978799</v>
      </c>
    </row>
    <row r="175" spans="1:27" x14ac:dyDescent="0.25">
      <c r="A175" s="1">
        <v>39356</v>
      </c>
      <c r="B175" t="s">
        <v>3</v>
      </c>
      <c r="C175">
        <v>150355</v>
      </c>
      <c r="D175">
        <v>241</v>
      </c>
      <c r="E175">
        <v>-14.442540748305801</v>
      </c>
      <c r="F175">
        <v>4.2668853100737296</v>
      </c>
      <c r="X175" s="5">
        <v>39661</v>
      </c>
      <c r="Y175" s="2">
        <v>-28.884888345353001</v>
      </c>
      <c r="Z175" s="2">
        <v>-2.4562066108885601</v>
      </c>
      <c r="AA175">
        <f t="shared" si="3"/>
        <v>-2.4562066108885601</v>
      </c>
    </row>
    <row r="176" spans="1:27" x14ac:dyDescent="0.25">
      <c r="A176" s="1">
        <v>39387</v>
      </c>
      <c r="B176" t="s">
        <v>3</v>
      </c>
      <c r="C176">
        <v>151280</v>
      </c>
      <c r="D176">
        <v>241</v>
      </c>
      <c r="E176">
        <v>-9.66173864014646</v>
      </c>
      <c r="F176">
        <v>7.0538415752221999</v>
      </c>
      <c r="X176" s="5">
        <v>39692</v>
      </c>
      <c r="Y176" s="2">
        <v>-35.371236499818302</v>
      </c>
      <c r="Z176" s="2">
        <v>-6.3746271699104398</v>
      </c>
      <c r="AA176">
        <f t="shared" si="3"/>
        <v>-6.3746271699104398</v>
      </c>
    </row>
    <row r="177" spans="1:27" x14ac:dyDescent="0.25">
      <c r="A177" s="1">
        <v>39417</v>
      </c>
      <c r="B177" t="s">
        <v>3</v>
      </c>
      <c r="C177">
        <v>152377</v>
      </c>
      <c r="D177">
        <v>302</v>
      </c>
      <c r="E177">
        <v>7.0024135577248803</v>
      </c>
      <c r="F177">
        <v>15.0095904575023</v>
      </c>
      <c r="X177" s="5">
        <v>39722</v>
      </c>
      <c r="Y177" s="2">
        <v>8.67675578880581</v>
      </c>
      <c r="Z177" s="2">
        <v>17.8888224477408</v>
      </c>
      <c r="AA177">
        <f t="shared" si="3"/>
        <v>17.8888224477408</v>
      </c>
    </row>
    <row r="178" spans="1:27" x14ac:dyDescent="0.25">
      <c r="A178" s="1">
        <v>39448</v>
      </c>
      <c r="B178" t="s">
        <v>3</v>
      </c>
      <c r="C178">
        <v>153581</v>
      </c>
      <c r="D178">
        <v>360</v>
      </c>
      <c r="E178">
        <v>17.529088055110801</v>
      </c>
      <c r="F178">
        <v>20.563863681852698</v>
      </c>
      <c r="X178" s="5">
        <v>39753</v>
      </c>
      <c r="Y178" s="2">
        <v>-6.5053988504723401</v>
      </c>
      <c r="Z178" s="2">
        <v>9.8364917509520708</v>
      </c>
      <c r="AA178">
        <f t="shared" si="3"/>
        <v>9.8364917509520708</v>
      </c>
    </row>
    <row r="179" spans="1:27" x14ac:dyDescent="0.25">
      <c r="A179" s="1">
        <v>39479</v>
      </c>
      <c r="B179" t="s">
        <v>3</v>
      </c>
      <c r="C179">
        <v>154746</v>
      </c>
      <c r="D179">
        <v>423</v>
      </c>
      <c r="E179">
        <v>51.296566684557099</v>
      </c>
      <c r="F179">
        <v>37.114037435320299</v>
      </c>
      <c r="X179" s="5">
        <v>39783</v>
      </c>
      <c r="Y179" s="2">
        <v>2.2014533370415399</v>
      </c>
      <c r="Z179" s="2">
        <v>14.907150686677999</v>
      </c>
      <c r="AA179">
        <f t="shared" si="3"/>
        <v>14.907150686677999</v>
      </c>
    </row>
    <row r="180" spans="1:27" x14ac:dyDescent="0.25">
      <c r="A180" s="1">
        <v>39508</v>
      </c>
      <c r="B180" t="s">
        <v>3</v>
      </c>
      <c r="C180">
        <v>156266</v>
      </c>
      <c r="D180">
        <v>516</v>
      </c>
      <c r="E180">
        <v>29.2785470858942</v>
      </c>
      <c r="F180">
        <v>27.971827188693499</v>
      </c>
      <c r="X180" s="5">
        <v>39814</v>
      </c>
      <c r="Y180" s="2">
        <v>81.742998868807604</v>
      </c>
      <c r="Z180" s="2">
        <v>60.017785832711901</v>
      </c>
      <c r="AA180">
        <f t="shared" si="3"/>
        <v>60.017785832711901</v>
      </c>
    </row>
    <row r="181" spans="1:27" x14ac:dyDescent="0.25">
      <c r="A181" s="1">
        <v>39539</v>
      </c>
      <c r="B181" t="s">
        <v>3</v>
      </c>
      <c r="C181">
        <v>157247</v>
      </c>
      <c r="D181">
        <v>622</v>
      </c>
      <c r="E181">
        <v>22.715108134434299</v>
      </c>
      <c r="F181">
        <v>25.645043781272499</v>
      </c>
      <c r="X181" s="5">
        <v>39845</v>
      </c>
      <c r="Y181" s="2">
        <v>106.099103768715</v>
      </c>
      <c r="Z181" s="2">
        <v>74.425848102437101</v>
      </c>
      <c r="AA181">
        <f t="shared" si="3"/>
        <v>74.425848102437101</v>
      </c>
    </row>
    <row r="182" spans="1:27" x14ac:dyDescent="0.25">
      <c r="A182" s="1">
        <v>39569</v>
      </c>
      <c r="B182" t="s">
        <v>3</v>
      </c>
      <c r="C182">
        <v>158078</v>
      </c>
      <c r="D182">
        <v>731</v>
      </c>
      <c r="E182">
        <v>25.776018550991399</v>
      </c>
      <c r="F182">
        <v>26.767337017224399</v>
      </c>
      <c r="X182" s="5">
        <v>39873</v>
      </c>
      <c r="Y182" s="2">
        <v>94.344048597244594</v>
      </c>
      <c r="Z182" s="2">
        <v>67.808227608802596</v>
      </c>
      <c r="AA182">
        <f t="shared" si="3"/>
        <v>67.808227608802596</v>
      </c>
    </row>
    <row r="183" spans="1:27" x14ac:dyDescent="0.25">
      <c r="A183" s="1">
        <v>39600</v>
      </c>
      <c r="B183" t="s">
        <v>3</v>
      </c>
      <c r="C183">
        <v>159118</v>
      </c>
      <c r="D183">
        <v>796</v>
      </c>
      <c r="E183">
        <v>14.6250812184879</v>
      </c>
      <c r="F183">
        <v>21.190920503840999</v>
      </c>
      <c r="X183" s="5">
        <v>39904</v>
      </c>
      <c r="Y183" s="2">
        <v>103.043518346041</v>
      </c>
      <c r="Z183" s="2">
        <v>72.691404241849895</v>
      </c>
      <c r="AA183">
        <f t="shared" si="3"/>
        <v>72.691404241849895</v>
      </c>
    </row>
    <row r="184" spans="1:27" x14ac:dyDescent="0.25">
      <c r="A184" s="1">
        <v>39600</v>
      </c>
      <c r="B184" t="s">
        <v>4</v>
      </c>
      <c r="C184">
        <v>19</v>
      </c>
      <c r="D184">
        <v>0</v>
      </c>
      <c r="E184">
        <v>-11.743841661125</v>
      </c>
      <c r="F184">
        <v>0</v>
      </c>
      <c r="X184" s="5">
        <v>39934</v>
      </c>
      <c r="Y184" s="2">
        <v>118.811783289959</v>
      </c>
      <c r="Z184" s="2">
        <v>81.436788025164304</v>
      </c>
      <c r="AA184">
        <f t="shared" si="3"/>
        <v>81.436788025164304</v>
      </c>
    </row>
    <row r="185" spans="1:27" x14ac:dyDescent="0.25">
      <c r="A185" s="1">
        <v>39630</v>
      </c>
      <c r="B185" t="s">
        <v>3</v>
      </c>
      <c r="C185">
        <v>160036</v>
      </c>
      <c r="D185">
        <v>900</v>
      </c>
      <c r="E185">
        <v>-18.724956615873399</v>
      </c>
      <c r="F185">
        <v>3.6420228326978799</v>
      </c>
      <c r="X185" s="5">
        <v>39965</v>
      </c>
      <c r="Y185" s="2">
        <v>110.759447752581</v>
      </c>
      <c r="Z185" s="2">
        <v>76.525373345415005</v>
      </c>
      <c r="AA185">
        <f t="shared" si="3"/>
        <v>76.525373345415005</v>
      </c>
    </row>
    <row r="186" spans="1:27" x14ac:dyDescent="0.25">
      <c r="A186" s="1">
        <v>39630</v>
      </c>
      <c r="B186" t="s">
        <v>4</v>
      </c>
      <c r="C186">
        <v>45</v>
      </c>
      <c r="D186">
        <v>3</v>
      </c>
      <c r="E186">
        <v>-53.925963358305196</v>
      </c>
      <c r="F186">
        <v>-20.018739541405701</v>
      </c>
      <c r="X186" s="5">
        <v>39995</v>
      </c>
      <c r="Y186" s="2">
        <v>49.318461669328698</v>
      </c>
      <c r="Z186" s="2">
        <v>39.058421129046401</v>
      </c>
      <c r="AA186">
        <f t="shared" si="3"/>
        <v>39.058421129046401</v>
      </c>
    </row>
    <row r="187" spans="1:27" x14ac:dyDescent="0.25">
      <c r="A187" s="1">
        <v>39661</v>
      </c>
      <c r="B187" t="s">
        <v>3</v>
      </c>
      <c r="C187">
        <v>160574</v>
      </c>
      <c r="D187">
        <v>946</v>
      </c>
      <c r="E187">
        <v>-28.884888345353001</v>
      </c>
      <c r="F187">
        <v>-2.4562066108885601</v>
      </c>
      <c r="X187" s="5">
        <v>40026</v>
      </c>
      <c r="Y187" s="2">
        <v>65.761988060439904</v>
      </c>
      <c r="Z187" s="2">
        <v>47.658515904163202</v>
      </c>
      <c r="AA187">
        <f t="shared" si="3"/>
        <v>47.658515904163202</v>
      </c>
    </row>
    <row r="188" spans="1:27" x14ac:dyDescent="0.25">
      <c r="A188" s="1">
        <v>39661</v>
      </c>
      <c r="B188" t="s">
        <v>4</v>
      </c>
      <c r="C188">
        <v>64</v>
      </c>
      <c r="D188">
        <v>3</v>
      </c>
      <c r="E188">
        <v>-70.552746471045296</v>
      </c>
      <c r="F188">
        <v>-37.716827365880903</v>
      </c>
      <c r="X188" s="5">
        <v>40057</v>
      </c>
      <c r="Y188" s="2">
        <v>66.554905846379896</v>
      </c>
      <c r="Z188" s="2">
        <v>46.8461679020091</v>
      </c>
      <c r="AA188">
        <f t="shared" si="3"/>
        <v>46.8461679020091</v>
      </c>
    </row>
    <row r="189" spans="1:27" x14ac:dyDescent="0.25">
      <c r="A189" s="1">
        <v>39692</v>
      </c>
      <c r="B189" t="s">
        <v>3</v>
      </c>
      <c r="C189">
        <v>161112</v>
      </c>
      <c r="D189">
        <v>1005</v>
      </c>
      <c r="E189">
        <v>-35.371236499818302</v>
      </c>
      <c r="F189">
        <v>-6.3746271699104398</v>
      </c>
      <c r="X189" s="5">
        <v>40087</v>
      </c>
      <c r="Y189" s="2">
        <v>80.544974518845706</v>
      </c>
      <c r="Z189" s="2">
        <v>54.813596589849801</v>
      </c>
      <c r="AA189">
        <f t="shared" si="3"/>
        <v>54.813596589849801</v>
      </c>
    </row>
    <row r="190" spans="1:27" x14ac:dyDescent="0.25">
      <c r="A190" s="1">
        <v>39692</v>
      </c>
      <c r="B190" t="s">
        <v>4</v>
      </c>
      <c r="C190">
        <v>67</v>
      </c>
      <c r="D190">
        <v>3</v>
      </c>
      <c r="E190">
        <v>-67.628576753302596</v>
      </c>
      <c r="F190">
        <v>-55.0605319057805</v>
      </c>
      <c r="X190" s="5">
        <v>40118</v>
      </c>
      <c r="Y190" s="2">
        <v>86.680970863359704</v>
      </c>
      <c r="Z190" s="2">
        <v>58.322392222019602</v>
      </c>
      <c r="AA190">
        <f t="shared" si="3"/>
        <v>58.322392222019602</v>
      </c>
    </row>
    <row r="191" spans="1:27" x14ac:dyDescent="0.25">
      <c r="A191" s="1">
        <v>39722</v>
      </c>
      <c r="B191" t="s">
        <v>3</v>
      </c>
      <c r="C191">
        <v>161661</v>
      </c>
      <c r="D191">
        <v>1065</v>
      </c>
      <c r="E191">
        <v>8.67675578880581</v>
      </c>
      <c r="F191">
        <v>17.8888224477408</v>
      </c>
      <c r="X191" s="5">
        <v>40148</v>
      </c>
      <c r="Y191" s="2">
        <v>93.195206003955093</v>
      </c>
      <c r="Z191" s="2">
        <v>62.429964226295702</v>
      </c>
      <c r="AA191">
        <f t="shared" si="3"/>
        <v>62.429964226295702</v>
      </c>
    </row>
    <row r="192" spans="1:27" x14ac:dyDescent="0.25">
      <c r="A192" s="1">
        <v>39722</v>
      </c>
      <c r="B192" t="s">
        <v>4</v>
      </c>
      <c r="C192">
        <v>70</v>
      </c>
      <c r="D192">
        <v>4</v>
      </c>
      <c r="E192">
        <v>-11.2183136087788</v>
      </c>
      <c r="F192">
        <v>-9.8247995042097607</v>
      </c>
      <c r="X192" s="5">
        <v>40179</v>
      </c>
      <c r="Y192" s="2">
        <v>85.645880029264404</v>
      </c>
      <c r="Z192" s="2">
        <v>56.857624536713402</v>
      </c>
      <c r="AA192">
        <f t="shared" si="3"/>
        <v>56.857624536713402</v>
      </c>
    </row>
    <row r="193" spans="1:27" x14ac:dyDescent="0.25">
      <c r="A193" s="1">
        <v>39753</v>
      </c>
      <c r="B193" t="s">
        <v>3</v>
      </c>
      <c r="C193">
        <v>161931</v>
      </c>
      <c r="D193">
        <v>1124</v>
      </c>
      <c r="E193">
        <v>-6.5053988504723401</v>
      </c>
      <c r="F193">
        <v>9.8364917509520708</v>
      </c>
      <c r="X193" s="5">
        <v>40210</v>
      </c>
      <c r="Y193" s="2">
        <v>74.520515839913401</v>
      </c>
      <c r="Z193" s="2">
        <v>48.724965046952804</v>
      </c>
      <c r="AA193">
        <f t="shared" si="3"/>
        <v>48.724965046952804</v>
      </c>
    </row>
    <row r="194" spans="1:27" x14ac:dyDescent="0.25">
      <c r="A194" s="1">
        <v>39753</v>
      </c>
      <c r="B194" t="s">
        <v>4</v>
      </c>
      <c r="C194">
        <v>77</v>
      </c>
      <c r="D194">
        <v>4</v>
      </c>
      <c r="E194">
        <v>-7.1385280776422597</v>
      </c>
      <c r="F194">
        <v>-7.5060935250484198</v>
      </c>
      <c r="X194" s="5">
        <v>40238</v>
      </c>
      <c r="Y194" s="2">
        <v>73.602806550716906</v>
      </c>
      <c r="Z194" s="2">
        <v>46.383078037541402</v>
      </c>
      <c r="AA194">
        <f t="shared" si="3"/>
        <v>46.383078037541402</v>
      </c>
    </row>
    <row r="195" spans="1:27" x14ac:dyDescent="0.25">
      <c r="A195" s="1">
        <v>39783</v>
      </c>
      <c r="B195" t="s">
        <v>3</v>
      </c>
      <c r="C195">
        <v>162202</v>
      </c>
      <c r="D195">
        <v>1186</v>
      </c>
      <c r="E195">
        <v>2.2014533370415399</v>
      </c>
      <c r="F195">
        <v>14.907150686677999</v>
      </c>
      <c r="X195" s="5">
        <v>40269</v>
      </c>
      <c r="Y195" s="2">
        <v>72.460383501074602</v>
      </c>
      <c r="Z195" s="2">
        <v>45.2228809040298</v>
      </c>
      <c r="AA195">
        <f t="shared" si="3"/>
        <v>45.2228809040298</v>
      </c>
    </row>
    <row r="196" spans="1:27" x14ac:dyDescent="0.25">
      <c r="A196" s="1">
        <v>39783</v>
      </c>
      <c r="B196" t="s">
        <v>4</v>
      </c>
      <c r="C196">
        <v>81</v>
      </c>
      <c r="D196">
        <v>4</v>
      </c>
      <c r="E196">
        <v>5.1691776003341001</v>
      </c>
      <c r="F196">
        <v>8.7486402681943005</v>
      </c>
      <c r="X196" s="5">
        <v>40299</v>
      </c>
      <c r="Y196" s="2">
        <v>60.7368996799173</v>
      </c>
      <c r="Z196" s="2">
        <v>36.498620748056901</v>
      </c>
      <c r="AA196">
        <f t="shared" si="3"/>
        <v>36.498620748056901</v>
      </c>
    </row>
    <row r="197" spans="1:27" x14ac:dyDescent="0.25">
      <c r="A197" s="1">
        <v>39814</v>
      </c>
      <c r="B197" t="s">
        <v>3</v>
      </c>
      <c r="C197">
        <v>162506</v>
      </c>
      <c r="D197">
        <v>1210</v>
      </c>
      <c r="E197">
        <v>81.742998868807604</v>
      </c>
      <c r="F197">
        <v>60.017785832711901</v>
      </c>
      <c r="X197" s="5">
        <v>40330</v>
      </c>
      <c r="Y197" s="2">
        <v>79.839703983789093</v>
      </c>
      <c r="Z197" s="2">
        <v>49.862938294074603</v>
      </c>
      <c r="AA197">
        <f t="shared" si="3"/>
        <v>49.862938294074603</v>
      </c>
    </row>
    <row r="198" spans="1:27" x14ac:dyDescent="0.25">
      <c r="A198" s="1">
        <v>39814</v>
      </c>
      <c r="B198" t="s">
        <v>4</v>
      </c>
      <c r="C198">
        <v>85</v>
      </c>
      <c r="D198">
        <v>4</v>
      </c>
      <c r="E198">
        <v>89.287058725830704</v>
      </c>
      <c r="F198">
        <v>84.437865054881698</v>
      </c>
      <c r="X198" s="5">
        <v>40360</v>
      </c>
      <c r="Y198" s="2">
        <v>96.116082867699404</v>
      </c>
      <c r="Z198" s="2">
        <v>60.718355833713098</v>
      </c>
      <c r="AA198">
        <f t="shared" si="3"/>
        <v>60.718355833713098</v>
      </c>
    </row>
    <row r="199" spans="1:27" x14ac:dyDescent="0.25">
      <c r="A199" s="1">
        <v>39845</v>
      </c>
      <c r="B199" t="s">
        <v>3</v>
      </c>
      <c r="C199">
        <v>162671</v>
      </c>
      <c r="D199">
        <v>1240</v>
      </c>
      <c r="E199">
        <v>106.099103768715</v>
      </c>
      <c r="F199">
        <v>74.425848102437101</v>
      </c>
      <c r="X199" s="5">
        <v>40391</v>
      </c>
      <c r="Y199" s="2">
        <v>109.741062578091</v>
      </c>
      <c r="Z199" s="2">
        <v>69.891252697495602</v>
      </c>
      <c r="AA199">
        <f t="shared" si="3"/>
        <v>69.891252697495602</v>
      </c>
    </row>
    <row r="200" spans="1:27" x14ac:dyDescent="0.25">
      <c r="A200" s="1">
        <v>39845</v>
      </c>
      <c r="B200" t="s">
        <v>4</v>
      </c>
      <c r="C200">
        <v>91</v>
      </c>
      <c r="D200">
        <v>4</v>
      </c>
      <c r="E200">
        <v>116.911549111358</v>
      </c>
      <c r="F200">
        <v>114.937513206912</v>
      </c>
      <c r="X200" s="5">
        <v>40422</v>
      </c>
      <c r="Y200" s="2">
        <v>121.428856159893</v>
      </c>
      <c r="Z200" s="2">
        <v>77.675542598583505</v>
      </c>
      <c r="AA200">
        <f t="shared" si="3"/>
        <v>77.675542598583505</v>
      </c>
    </row>
    <row r="201" spans="1:27" x14ac:dyDescent="0.25">
      <c r="A201" s="1">
        <v>39873</v>
      </c>
      <c r="B201" t="s">
        <v>3</v>
      </c>
      <c r="C201">
        <v>162734</v>
      </c>
      <c r="D201">
        <v>1262</v>
      </c>
      <c r="E201">
        <v>94.344048597244594</v>
      </c>
      <c r="F201">
        <v>67.808227608802596</v>
      </c>
      <c r="X201" s="5">
        <v>40452</v>
      </c>
      <c r="Y201" s="2">
        <v>126.86485198711701</v>
      </c>
      <c r="Z201" s="2">
        <v>80.870760470283201</v>
      </c>
      <c r="AA201">
        <f t="shared" si="3"/>
        <v>80.870760470283201</v>
      </c>
    </row>
    <row r="202" spans="1:27" x14ac:dyDescent="0.25">
      <c r="A202" s="1">
        <v>39873</v>
      </c>
      <c r="B202" t="s">
        <v>4</v>
      </c>
      <c r="C202">
        <v>96</v>
      </c>
      <c r="D202">
        <v>4</v>
      </c>
      <c r="E202">
        <v>103.14007302663801</v>
      </c>
      <c r="F202">
        <v>104.046212729795</v>
      </c>
      <c r="X202" s="5">
        <v>40483</v>
      </c>
      <c r="Y202" s="2">
        <v>134.64438157942399</v>
      </c>
      <c r="Z202" s="2">
        <v>85.858554503328506</v>
      </c>
      <c r="AA202">
        <f t="shared" si="3"/>
        <v>85.858554503328506</v>
      </c>
    </row>
    <row r="203" spans="1:27" x14ac:dyDescent="0.25">
      <c r="A203" s="1">
        <v>39904</v>
      </c>
      <c r="B203" t="s">
        <v>3</v>
      </c>
      <c r="C203">
        <v>162941</v>
      </c>
      <c r="D203">
        <v>1282</v>
      </c>
      <c r="E203">
        <v>103.043518346041</v>
      </c>
      <c r="F203">
        <v>72.691404241849895</v>
      </c>
      <c r="X203" s="5">
        <v>40513</v>
      </c>
      <c r="Y203" s="2">
        <v>123.811589035273</v>
      </c>
      <c r="Z203" s="2">
        <v>77.050993596298895</v>
      </c>
      <c r="AA203">
        <f t="shared" si="3"/>
        <v>77.050993596298895</v>
      </c>
    </row>
    <row r="204" spans="1:27" x14ac:dyDescent="0.25">
      <c r="A204" s="1">
        <v>39904</v>
      </c>
      <c r="B204" t="s">
        <v>4</v>
      </c>
      <c r="C204">
        <v>98</v>
      </c>
      <c r="D204">
        <v>4</v>
      </c>
      <c r="E204">
        <v>111.81664784501601</v>
      </c>
      <c r="F204">
        <v>114.608209417891</v>
      </c>
      <c r="X204" s="5">
        <v>40544</v>
      </c>
      <c r="Y204" s="2">
        <v>81.018294997043498</v>
      </c>
      <c r="Z204" s="2">
        <v>43.8690442954872</v>
      </c>
      <c r="AA204">
        <f t="shared" si="3"/>
        <v>43.8690442954872</v>
      </c>
    </row>
    <row r="205" spans="1:27" x14ac:dyDescent="0.25">
      <c r="A205" s="1">
        <v>39934</v>
      </c>
      <c r="B205" t="s">
        <v>3</v>
      </c>
      <c r="C205">
        <v>162980</v>
      </c>
      <c r="D205">
        <v>1289</v>
      </c>
      <c r="E205">
        <v>118.811783289959</v>
      </c>
      <c r="F205">
        <v>81.436788025164304</v>
      </c>
      <c r="X205" s="5">
        <v>40575</v>
      </c>
      <c r="Y205" s="2">
        <v>72.498845966585407</v>
      </c>
      <c r="Z205" s="2">
        <v>35.984678930714402</v>
      </c>
      <c r="AA205">
        <f t="shared" si="3"/>
        <v>35.984678930714402</v>
      </c>
    </row>
    <row r="206" spans="1:27" x14ac:dyDescent="0.25">
      <c r="A206" s="1">
        <v>39934</v>
      </c>
      <c r="B206" t="s">
        <v>4</v>
      </c>
      <c r="C206">
        <v>97</v>
      </c>
      <c r="D206">
        <v>3</v>
      </c>
      <c r="E206">
        <v>130.68366920113201</v>
      </c>
      <c r="F206">
        <v>133.97335040404599</v>
      </c>
      <c r="X206" s="5">
        <v>40603</v>
      </c>
      <c r="Y206" s="2">
        <v>51.5277629027863</v>
      </c>
      <c r="Z206" s="2">
        <v>18.5944225499933</v>
      </c>
      <c r="AA206">
        <f t="shared" si="3"/>
        <v>18.5944225499933</v>
      </c>
    </row>
    <row r="207" spans="1:27" x14ac:dyDescent="0.25">
      <c r="A207" s="1">
        <v>39965</v>
      </c>
      <c r="B207" t="s">
        <v>3</v>
      </c>
      <c r="C207">
        <v>163112</v>
      </c>
      <c r="D207">
        <v>1294</v>
      </c>
      <c r="E207">
        <v>110.759447752581</v>
      </c>
      <c r="F207">
        <v>76.525373345415005</v>
      </c>
      <c r="X207" s="5">
        <v>40634</v>
      </c>
      <c r="Y207" s="2">
        <v>62.366092186780897</v>
      </c>
      <c r="Z207" s="2">
        <v>27.236501972582101</v>
      </c>
      <c r="AA207">
        <f t="shared" si="3"/>
        <v>27.236501972582101</v>
      </c>
    </row>
    <row r="208" spans="1:27" x14ac:dyDescent="0.25">
      <c r="A208" s="1">
        <v>39965</v>
      </c>
      <c r="B208" t="s">
        <v>4</v>
      </c>
      <c r="C208">
        <v>97</v>
      </c>
      <c r="D208">
        <v>5</v>
      </c>
      <c r="E208">
        <v>124.728173793217</v>
      </c>
      <c r="F208">
        <v>128.051192357632</v>
      </c>
      <c r="X208" s="5">
        <v>40664</v>
      </c>
      <c r="Y208" s="2">
        <v>61.914272603283202</v>
      </c>
      <c r="Z208" s="2">
        <v>27.280083038975501</v>
      </c>
      <c r="AA208">
        <f t="shared" si="3"/>
        <v>27.280083038975501</v>
      </c>
    </row>
    <row r="209" spans="1:27" x14ac:dyDescent="0.25">
      <c r="A209" s="1">
        <v>39995</v>
      </c>
      <c r="B209" t="s">
        <v>3</v>
      </c>
      <c r="C209">
        <v>163268</v>
      </c>
      <c r="D209">
        <v>1322</v>
      </c>
      <c r="E209">
        <v>49.318461669328698</v>
      </c>
      <c r="F209">
        <v>39.058421129046401</v>
      </c>
      <c r="X209" s="5">
        <v>40695</v>
      </c>
      <c r="Y209" s="2">
        <v>80.9460474476423</v>
      </c>
      <c r="Z209" s="2">
        <v>42.6518196761727</v>
      </c>
      <c r="AA209">
        <f t="shared" si="3"/>
        <v>42.6518196761727</v>
      </c>
    </row>
    <row r="210" spans="1:27" x14ac:dyDescent="0.25">
      <c r="A210" s="1">
        <v>39995</v>
      </c>
      <c r="B210" t="s">
        <v>4</v>
      </c>
      <c r="C210">
        <v>96</v>
      </c>
      <c r="D210">
        <v>7</v>
      </c>
      <c r="E210">
        <v>63.295016940594003</v>
      </c>
      <c r="F210">
        <v>66.7286009605331</v>
      </c>
      <c r="X210" s="5">
        <v>40725</v>
      </c>
      <c r="Y210" s="2">
        <v>93.0234851902147</v>
      </c>
      <c r="Z210" s="2">
        <v>52.287779062217801</v>
      </c>
      <c r="AA210">
        <f t="shared" si="3"/>
        <v>52.287779062217801</v>
      </c>
    </row>
    <row r="211" spans="1:27" x14ac:dyDescent="0.25">
      <c r="A211" s="1">
        <v>40026</v>
      </c>
      <c r="B211" t="s">
        <v>3</v>
      </c>
      <c r="C211">
        <v>163365</v>
      </c>
      <c r="D211">
        <v>1334</v>
      </c>
      <c r="E211">
        <v>65.761988060439904</v>
      </c>
      <c r="F211">
        <v>47.658515904163202</v>
      </c>
      <c r="X211" s="5">
        <v>40756</v>
      </c>
      <c r="Y211" s="2">
        <v>88.436742728258494</v>
      </c>
      <c r="Z211" s="2">
        <v>49.675259001344003</v>
      </c>
      <c r="AA211">
        <f t="shared" si="3"/>
        <v>49.675259001344003</v>
      </c>
    </row>
    <row r="212" spans="1:27" x14ac:dyDescent="0.25">
      <c r="A212" s="1">
        <v>40026</v>
      </c>
      <c r="B212" t="s">
        <v>4</v>
      </c>
      <c r="C212">
        <v>95</v>
      </c>
      <c r="D212">
        <v>6</v>
      </c>
      <c r="E212">
        <v>79.609947281185697</v>
      </c>
      <c r="F212">
        <v>82.866338494422294</v>
      </c>
      <c r="X212" s="5">
        <v>40787</v>
      </c>
      <c r="Y212" s="2">
        <v>116.058008309774</v>
      </c>
      <c r="Z212" s="2">
        <v>71.566140375626603</v>
      </c>
      <c r="AA212">
        <f t="shared" si="3"/>
        <v>71.566140375626603</v>
      </c>
    </row>
    <row r="213" spans="1:27" x14ac:dyDescent="0.25">
      <c r="A213" s="1">
        <v>40057</v>
      </c>
      <c r="B213" t="s">
        <v>3</v>
      </c>
      <c r="C213">
        <v>163553</v>
      </c>
      <c r="D213">
        <v>1354</v>
      </c>
      <c r="E213">
        <v>66.554905846379896</v>
      </c>
      <c r="F213">
        <v>46.8461679020091</v>
      </c>
      <c r="X213" s="5">
        <v>40817</v>
      </c>
      <c r="Y213" s="2">
        <v>133.505001279666</v>
      </c>
      <c r="Z213" s="2">
        <v>84.8563528631868</v>
      </c>
      <c r="AA213">
        <f t="shared" si="3"/>
        <v>84.8563528631868</v>
      </c>
    </row>
    <row r="214" spans="1:27" x14ac:dyDescent="0.25">
      <c r="A214" s="1">
        <v>40057</v>
      </c>
      <c r="B214" t="s">
        <v>4</v>
      </c>
      <c r="C214">
        <v>95</v>
      </c>
      <c r="D214">
        <v>7</v>
      </c>
      <c r="E214">
        <v>84.692738336899893</v>
      </c>
      <c r="F214">
        <v>88.268101983143197</v>
      </c>
      <c r="X214" s="5">
        <v>40848</v>
      </c>
      <c r="Y214" s="2">
        <v>130.42932608830799</v>
      </c>
      <c r="Z214" s="2">
        <v>81.945779169046006</v>
      </c>
      <c r="AA214">
        <f t="shared" si="3"/>
        <v>81.945779169046006</v>
      </c>
    </row>
    <row r="215" spans="1:27" x14ac:dyDescent="0.25">
      <c r="A215" s="1">
        <v>40087</v>
      </c>
      <c r="B215" t="s">
        <v>3</v>
      </c>
      <c r="C215">
        <v>163796</v>
      </c>
      <c r="D215">
        <v>1358</v>
      </c>
      <c r="E215">
        <v>80.544974518845706</v>
      </c>
      <c r="F215">
        <v>54.813596589849801</v>
      </c>
      <c r="X215" s="5">
        <v>40878</v>
      </c>
      <c r="Y215" s="2">
        <v>138.62682934630701</v>
      </c>
      <c r="Z215" s="2">
        <v>87.910295988852894</v>
      </c>
      <c r="AA215">
        <f t="shared" si="3"/>
        <v>87.910295988852894</v>
      </c>
    </row>
    <row r="216" spans="1:27" x14ac:dyDescent="0.25">
      <c r="A216" s="1">
        <v>40087</v>
      </c>
      <c r="B216" t="s">
        <v>4</v>
      </c>
      <c r="C216">
        <v>95</v>
      </c>
      <c r="D216">
        <v>8</v>
      </c>
      <c r="E216">
        <v>104.87563390392</v>
      </c>
      <c r="F216">
        <v>108.113998074297</v>
      </c>
      <c r="X216" s="5">
        <v>40909</v>
      </c>
      <c r="Y216" s="2">
        <v>141.38287328964901</v>
      </c>
      <c r="Z216" s="2">
        <v>90.083014332992406</v>
      </c>
      <c r="AA216">
        <f t="shared" si="3"/>
        <v>90.083014332992406</v>
      </c>
    </row>
    <row r="217" spans="1:27" x14ac:dyDescent="0.25">
      <c r="A217" s="1">
        <v>40118</v>
      </c>
      <c r="B217" t="s">
        <v>3</v>
      </c>
      <c r="C217">
        <v>163849</v>
      </c>
      <c r="D217">
        <v>1373</v>
      </c>
      <c r="E217">
        <v>86.680970863359704</v>
      </c>
      <c r="F217">
        <v>58.322392222019602</v>
      </c>
      <c r="X217" s="5">
        <v>40940</v>
      </c>
      <c r="Y217" s="2">
        <v>142.02047477852301</v>
      </c>
      <c r="Z217" s="2">
        <v>90.447325803894998</v>
      </c>
      <c r="AA217">
        <f t="shared" ref="AA217:AA265" si="4">Z217</f>
        <v>90.447325803894998</v>
      </c>
    </row>
    <row r="218" spans="1:27" x14ac:dyDescent="0.25">
      <c r="A218" s="1">
        <v>40118</v>
      </c>
      <c r="B218" t="s">
        <v>4</v>
      </c>
      <c r="C218">
        <v>94</v>
      </c>
      <c r="D218">
        <v>8</v>
      </c>
      <c r="E218">
        <v>113.948998733702</v>
      </c>
      <c r="F218">
        <v>116.96670340922699</v>
      </c>
      <c r="X218" s="5">
        <v>40969</v>
      </c>
      <c r="Y218" s="2">
        <v>140.14779394335801</v>
      </c>
      <c r="Z218" s="2">
        <v>89.211034117968893</v>
      </c>
      <c r="AA218">
        <f t="shared" si="4"/>
        <v>89.211034117968893</v>
      </c>
    </row>
    <row r="219" spans="1:27" x14ac:dyDescent="0.25">
      <c r="A219" s="1">
        <v>40118</v>
      </c>
      <c r="B219" t="s">
        <v>5</v>
      </c>
      <c r="C219">
        <v>2</v>
      </c>
      <c r="D219">
        <v>0</v>
      </c>
      <c r="E219">
        <v>-33.707845904198599</v>
      </c>
      <c r="F219">
        <v>0</v>
      </c>
      <c r="X219" s="5">
        <v>41000</v>
      </c>
      <c r="Y219" s="2">
        <v>132.303165977681</v>
      </c>
      <c r="Z219" s="2">
        <v>84.2688593770485</v>
      </c>
      <c r="AA219">
        <f t="shared" si="4"/>
        <v>84.2688593770485</v>
      </c>
    </row>
    <row r="220" spans="1:27" x14ac:dyDescent="0.25">
      <c r="A220" s="1">
        <v>40148</v>
      </c>
      <c r="B220" t="s">
        <v>3</v>
      </c>
      <c r="C220">
        <v>163915</v>
      </c>
      <c r="D220">
        <v>1392</v>
      </c>
      <c r="E220">
        <v>93.195206003955093</v>
      </c>
      <c r="F220">
        <v>62.429964226295702</v>
      </c>
      <c r="X220" s="5">
        <v>41030</v>
      </c>
      <c r="Y220" s="2">
        <v>138.17243434819</v>
      </c>
      <c r="Z220" s="2">
        <v>90.154664829660902</v>
      </c>
      <c r="AA220">
        <f t="shared" si="4"/>
        <v>90.154664829660902</v>
      </c>
    </row>
    <row r="221" spans="1:27" x14ac:dyDescent="0.25">
      <c r="A221" s="1">
        <v>40148</v>
      </c>
      <c r="B221" t="s">
        <v>4</v>
      </c>
      <c r="C221">
        <v>94</v>
      </c>
      <c r="D221">
        <v>9</v>
      </c>
      <c r="E221">
        <v>123.16688471778301</v>
      </c>
      <c r="F221">
        <v>126.18047176506001</v>
      </c>
      <c r="X221" s="5">
        <v>41061</v>
      </c>
      <c r="Y221" s="2">
        <v>147.43817150606199</v>
      </c>
      <c r="Z221" s="2">
        <v>98.858133422454699</v>
      </c>
      <c r="AA221">
        <f t="shared" si="4"/>
        <v>98.858133422454699</v>
      </c>
    </row>
    <row r="222" spans="1:27" x14ac:dyDescent="0.25">
      <c r="A222" s="1">
        <v>40148</v>
      </c>
      <c r="B222" t="s">
        <v>5</v>
      </c>
      <c r="C222">
        <v>10</v>
      </c>
      <c r="D222">
        <v>0</v>
      </c>
      <c r="E222">
        <v>-26.659638940675901</v>
      </c>
      <c r="F222">
        <v>-6.3087048991916399</v>
      </c>
      <c r="X222" s="5">
        <v>41091</v>
      </c>
      <c r="Y222" s="2">
        <v>158.467952595936</v>
      </c>
      <c r="Z222" s="2">
        <v>108.258258165683</v>
      </c>
      <c r="AA222">
        <f t="shared" si="4"/>
        <v>108.258258165683</v>
      </c>
    </row>
    <row r="223" spans="1:27" x14ac:dyDescent="0.25">
      <c r="A223" s="1">
        <v>40179</v>
      </c>
      <c r="B223" t="s">
        <v>3</v>
      </c>
      <c r="C223">
        <v>164016</v>
      </c>
      <c r="D223">
        <v>1411</v>
      </c>
      <c r="E223">
        <v>85.645880029264404</v>
      </c>
      <c r="F223">
        <v>56.857624536713402</v>
      </c>
      <c r="X223" s="5">
        <v>41122</v>
      </c>
      <c r="Y223" s="2">
        <v>168.576457416902</v>
      </c>
      <c r="Z223" s="2">
        <v>116.669911188578</v>
      </c>
      <c r="AA223">
        <f t="shared" si="4"/>
        <v>116.669911188578</v>
      </c>
    </row>
    <row r="224" spans="1:27" x14ac:dyDescent="0.25">
      <c r="A224" s="1">
        <v>40179</v>
      </c>
      <c r="B224" t="s">
        <v>4</v>
      </c>
      <c r="C224">
        <v>93</v>
      </c>
      <c r="D224">
        <v>9</v>
      </c>
      <c r="E224">
        <v>121.53168280009599</v>
      </c>
      <c r="F224">
        <v>124.91124701571999</v>
      </c>
      <c r="X224" s="5">
        <v>41153</v>
      </c>
      <c r="Y224" s="2">
        <v>162.77954020476699</v>
      </c>
      <c r="Z224" s="2">
        <v>111.989853374072</v>
      </c>
      <c r="AA224">
        <f t="shared" si="4"/>
        <v>111.989853374072</v>
      </c>
    </row>
    <row r="225" spans="1:27" x14ac:dyDescent="0.25">
      <c r="A225" s="1">
        <v>40179</v>
      </c>
      <c r="B225" t="s">
        <v>5</v>
      </c>
      <c r="C225">
        <v>26</v>
      </c>
      <c r="D225">
        <v>0</v>
      </c>
      <c r="E225">
        <v>-22.899343913045101</v>
      </c>
      <c r="F225">
        <v>-33.6363500750955</v>
      </c>
      <c r="X225" s="5">
        <v>41183</v>
      </c>
      <c r="Y225" s="2">
        <v>170.72171678166399</v>
      </c>
      <c r="Z225" s="2">
        <v>118.484472806531</v>
      </c>
      <c r="AA225">
        <f t="shared" si="4"/>
        <v>118.484472806531</v>
      </c>
    </row>
    <row r="226" spans="1:27" x14ac:dyDescent="0.25">
      <c r="A226" s="1">
        <v>40210</v>
      </c>
      <c r="B226" t="s">
        <v>3</v>
      </c>
      <c r="C226">
        <v>164091</v>
      </c>
      <c r="D226">
        <v>1433</v>
      </c>
      <c r="E226">
        <v>74.520515839913401</v>
      </c>
      <c r="F226">
        <v>48.724965046952804</v>
      </c>
      <c r="X226" s="5">
        <v>41214</v>
      </c>
      <c r="Y226" s="2">
        <v>176.50896154978099</v>
      </c>
      <c r="Z226" s="2">
        <v>123.328401755134</v>
      </c>
      <c r="AA226">
        <f t="shared" si="4"/>
        <v>123.328401755134</v>
      </c>
    </row>
    <row r="227" spans="1:27" x14ac:dyDescent="0.25">
      <c r="A227" s="1">
        <v>40210</v>
      </c>
      <c r="B227" t="s">
        <v>4</v>
      </c>
      <c r="C227">
        <v>91</v>
      </c>
      <c r="D227">
        <v>11</v>
      </c>
      <c r="E227">
        <v>114.39866075955101</v>
      </c>
      <c r="F227">
        <v>117.899369021409</v>
      </c>
      <c r="X227" s="5">
        <v>41244</v>
      </c>
      <c r="Y227" s="2">
        <v>174.540307179102</v>
      </c>
      <c r="Z227" s="2">
        <v>121.72432184082599</v>
      </c>
      <c r="AA227">
        <f t="shared" si="4"/>
        <v>121.72432184082599</v>
      </c>
    </row>
    <row r="228" spans="1:27" x14ac:dyDescent="0.25">
      <c r="A228" s="1">
        <v>40210</v>
      </c>
      <c r="B228" t="s">
        <v>5</v>
      </c>
      <c r="C228">
        <v>44</v>
      </c>
      <c r="D228">
        <v>0</v>
      </c>
      <c r="E228">
        <v>-30.561541260637899</v>
      </c>
      <c r="F228">
        <v>-50.244673205674601</v>
      </c>
      <c r="X228" s="5">
        <v>41275</v>
      </c>
      <c r="Y228" s="2">
        <v>172.55886595285401</v>
      </c>
      <c r="Z228" s="2">
        <v>120.237144797537</v>
      </c>
      <c r="AA228">
        <f t="shared" si="4"/>
        <v>120.237144797537</v>
      </c>
    </row>
    <row r="229" spans="1:27" x14ac:dyDescent="0.25">
      <c r="A229" s="1">
        <v>40238</v>
      </c>
      <c r="B229" t="s">
        <v>3</v>
      </c>
      <c r="C229">
        <v>163536</v>
      </c>
      <c r="D229">
        <v>1409</v>
      </c>
      <c r="E229">
        <v>73.602806550716906</v>
      </c>
      <c r="F229">
        <v>46.383078037541402</v>
      </c>
      <c r="X229" s="5">
        <v>41306</v>
      </c>
      <c r="Y229" s="2">
        <v>161.73704000984301</v>
      </c>
      <c r="Z229" s="2">
        <v>111.30774689163501</v>
      </c>
      <c r="AA229">
        <f t="shared" si="4"/>
        <v>111.30774689163501</v>
      </c>
    </row>
    <row r="230" spans="1:27" x14ac:dyDescent="0.25">
      <c r="A230" s="1">
        <v>40238</v>
      </c>
      <c r="B230" t="s">
        <v>4</v>
      </c>
      <c r="C230">
        <v>91</v>
      </c>
      <c r="D230">
        <v>11</v>
      </c>
      <c r="E230">
        <v>117.425630758523</v>
      </c>
      <c r="F230">
        <v>121.048555961538</v>
      </c>
      <c r="X230" s="5">
        <v>41334</v>
      </c>
      <c r="Y230" s="2">
        <v>143.279626186955</v>
      </c>
      <c r="Z230" s="2">
        <v>95.743989998170505</v>
      </c>
      <c r="AA230">
        <f t="shared" si="4"/>
        <v>95.743989998170505</v>
      </c>
    </row>
    <row r="231" spans="1:27" x14ac:dyDescent="0.25">
      <c r="A231" s="1">
        <v>40238</v>
      </c>
      <c r="B231" t="s">
        <v>5</v>
      </c>
      <c r="C231">
        <v>70</v>
      </c>
      <c r="D231">
        <v>0</v>
      </c>
      <c r="E231">
        <v>-26.0699366865488</v>
      </c>
      <c r="F231">
        <v>-59.574146123483096</v>
      </c>
      <c r="X231" s="5">
        <v>41365</v>
      </c>
      <c r="Y231" s="2">
        <v>136.45841635877699</v>
      </c>
      <c r="Z231" s="2">
        <v>91.236051298397896</v>
      </c>
      <c r="AA231">
        <f t="shared" si="4"/>
        <v>91.236051298397896</v>
      </c>
    </row>
    <row r="232" spans="1:27" x14ac:dyDescent="0.25">
      <c r="A232" s="1">
        <v>40269</v>
      </c>
      <c r="B232" t="s">
        <v>3</v>
      </c>
      <c r="C232">
        <v>163506</v>
      </c>
      <c r="D232">
        <v>1669</v>
      </c>
      <c r="E232">
        <v>72.460383501074602</v>
      </c>
      <c r="F232">
        <v>45.2228809040298</v>
      </c>
      <c r="X232" s="5">
        <v>41395</v>
      </c>
      <c r="Y232" s="2">
        <v>144.548471335192</v>
      </c>
      <c r="Z232" s="2">
        <v>99.297885843514095</v>
      </c>
      <c r="AA232">
        <f t="shared" si="4"/>
        <v>99.297885843514095</v>
      </c>
    </row>
    <row r="233" spans="1:27" x14ac:dyDescent="0.25">
      <c r="A233" s="1">
        <v>40269</v>
      </c>
      <c r="B233" t="s">
        <v>4</v>
      </c>
      <c r="C233">
        <v>89</v>
      </c>
      <c r="D233">
        <v>12</v>
      </c>
      <c r="E233">
        <v>116.636813382261</v>
      </c>
      <c r="F233">
        <v>120.620661710604</v>
      </c>
      <c r="X233" s="5">
        <v>41426</v>
      </c>
      <c r="Y233" s="2">
        <v>134.13611028948901</v>
      </c>
      <c r="Z233" s="2">
        <v>91.165050557773796</v>
      </c>
      <c r="AA233">
        <f t="shared" si="4"/>
        <v>91.165050557773796</v>
      </c>
    </row>
    <row r="234" spans="1:27" x14ac:dyDescent="0.25">
      <c r="A234" s="1">
        <v>40269</v>
      </c>
      <c r="B234" t="s">
        <v>5</v>
      </c>
      <c r="C234">
        <v>91</v>
      </c>
      <c r="D234">
        <v>0</v>
      </c>
      <c r="E234">
        <v>-25.056185112943801</v>
      </c>
      <c r="F234">
        <v>-67.051744656376798</v>
      </c>
      <c r="X234" s="5">
        <v>41456</v>
      </c>
      <c r="Y234" s="2">
        <v>75.892824502367901</v>
      </c>
      <c r="Z234" s="2">
        <v>40.728865012110099</v>
      </c>
      <c r="AA234">
        <f t="shared" si="4"/>
        <v>40.728865012110099</v>
      </c>
    </row>
    <row r="235" spans="1:27" x14ac:dyDescent="0.25">
      <c r="A235" s="1">
        <v>40299</v>
      </c>
      <c r="B235" t="s">
        <v>3</v>
      </c>
      <c r="C235">
        <v>163425</v>
      </c>
      <c r="D235">
        <v>1688</v>
      </c>
      <c r="E235">
        <v>60.7368996799173</v>
      </c>
      <c r="F235">
        <v>36.498620748056901</v>
      </c>
      <c r="X235" s="5">
        <v>41487</v>
      </c>
      <c r="Y235" s="2">
        <v>42.077713759528699</v>
      </c>
      <c r="Z235" s="2">
        <v>10.932081748781499</v>
      </c>
      <c r="AA235">
        <f t="shared" si="4"/>
        <v>10.932081748781499</v>
      </c>
    </row>
    <row r="236" spans="1:27" x14ac:dyDescent="0.25">
      <c r="A236" s="1">
        <v>40299</v>
      </c>
      <c r="B236" t="s">
        <v>4</v>
      </c>
      <c r="C236">
        <v>88</v>
      </c>
      <c r="D236">
        <v>11</v>
      </c>
      <c r="E236">
        <v>104.715913664521</v>
      </c>
      <c r="F236">
        <v>108.456805061222</v>
      </c>
      <c r="X236" s="5">
        <v>41518</v>
      </c>
      <c r="Y236" s="2">
        <v>29.670641917016699</v>
      </c>
      <c r="Z236" s="2">
        <v>0.40304044420725099</v>
      </c>
      <c r="AA236">
        <f t="shared" si="4"/>
        <v>0.40304044420725099</v>
      </c>
    </row>
    <row r="237" spans="1:27" x14ac:dyDescent="0.25">
      <c r="A237" s="1">
        <v>40299</v>
      </c>
      <c r="B237" t="s">
        <v>5</v>
      </c>
      <c r="C237">
        <v>116</v>
      </c>
      <c r="D237">
        <v>0</v>
      </c>
      <c r="E237">
        <v>-91.905688118768197</v>
      </c>
      <c r="F237">
        <v>-120.361679664664</v>
      </c>
      <c r="X237" s="5">
        <v>41548</v>
      </c>
      <c r="Y237" s="2">
        <v>25.985154993762801</v>
      </c>
      <c r="Z237" s="2">
        <v>-2.9925252808259102</v>
      </c>
      <c r="AA237">
        <f t="shared" si="4"/>
        <v>-2.9925252808259102</v>
      </c>
    </row>
    <row r="238" spans="1:27" x14ac:dyDescent="0.25">
      <c r="A238" s="1">
        <v>40330</v>
      </c>
      <c r="B238" t="s">
        <v>3</v>
      </c>
      <c r="C238">
        <v>163371</v>
      </c>
      <c r="D238">
        <v>1725</v>
      </c>
      <c r="E238">
        <v>79.839703983789093</v>
      </c>
      <c r="F238">
        <v>49.862938294074603</v>
      </c>
      <c r="X238" s="5">
        <v>41579</v>
      </c>
      <c r="Y238" s="2">
        <v>54.577944742444899</v>
      </c>
      <c r="Z238" s="2">
        <v>22.270124279054698</v>
      </c>
      <c r="AA238">
        <f t="shared" si="4"/>
        <v>22.270124279054698</v>
      </c>
    </row>
    <row r="239" spans="1:27" x14ac:dyDescent="0.25">
      <c r="A239" s="1">
        <v>40330</v>
      </c>
      <c r="B239" t="s">
        <v>4</v>
      </c>
      <c r="C239">
        <v>88</v>
      </c>
      <c r="D239">
        <v>12</v>
      </c>
      <c r="E239">
        <v>124.74774744088801</v>
      </c>
      <c r="F239">
        <v>128.16486765262701</v>
      </c>
      <c r="X239" s="5">
        <v>41609</v>
      </c>
      <c r="Y239" s="2">
        <v>44.721464821635799</v>
      </c>
      <c r="Z239" s="2">
        <v>12.9716932092054</v>
      </c>
      <c r="AA239">
        <f t="shared" si="4"/>
        <v>12.9716932092054</v>
      </c>
    </row>
    <row r="240" spans="1:27" x14ac:dyDescent="0.25">
      <c r="A240" s="1">
        <v>40330</v>
      </c>
      <c r="B240" t="s">
        <v>5</v>
      </c>
      <c r="C240">
        <v>138</v>
      </c>
      <c r="D240">
        <v>0</v>
      </c>
      <c r="E240">
        <v>-59.935428006769499</v>
      </c>
      <c r="F240">
        <v>-114.088879934209</v>
      </c>
      <c r="X240" s="5">
        <v>41640</v>
      </c>
      <c r="Y240" s="2">
        <v>25.2259215480641</v>
      </c>
      <c r="Z240" s="2">
        <v>-4.2543712093641002</v>
      </c>
      <c r="AA240">
        <f t="shared" si="4"/>
        <v>-4.2543712093641002</v>
      </c>
    </row>
    <row r="241" spans="1:27" x14ac:dyDescent="0.25">
      <c r="A241" s="1">
        <v>40360</v>
      </c>
      <c r="B241" t="s">
        <v>3</v>
      </c>
      <c r="C241">
        <v>163347</v>
      </c>
      <c r="D241">
        <v>1747</v>
      </c>
      <c r="E241">
        <v>96.116082867699404</v>
      </c>
      <c r="F241">
        <v>60.718355833713098</v>
      </c>
      <c r="X241" s="5">
        <v>41671</v>
      </c>
      <c r="Y241" s="2">
        <v>25.128449219056101</v>
      </c>
      <c r="Z241" s="2">
        <v>-4.2720706355693601</v>
      </c>
      <c r="AA241">
        <f t="shared" si="4"/>
        <v>-4.2720706355693601</v>
      </c>
    </row>
    <row r="242" spans="1:27" x14ac:dyDescent="0.25">
      <c r="A242" s="1">
        <v>40360</v>
      </c>
      <c r="B242" t="s">
        <v>4</v>
      </c>
      <c r="C242">
        <v>87</v>
      </c>
      <c r="D242">
        <v>11</v>
      </c>
      <c r="E242">
        <v>143.00784122020599</v>
      </c>
      <c r="F242">
        <v>146.31019178071</v>
      </c>
      <c r="X242" s="5">
        <v>41699</v>
      </c>
      <c r="Y242" s="2">
        <v>37.867007300124698</v>
      </c>
      <c r="Z242" s="2">
        <v>7.3300827408239702</v>
      </c>
      <c r="AA242">
        <f t="shared" si="4"/>
        <v>7.3300827408239702</v>
      </c>
    </row>
    <row r="243" spans="1:27" x14ac:dyDescent="0.25">
      <c r="A243" s="1">
        <v>40360</v>
      </c>
      <c r="B243" t="s">
        <v>5</v>
      </c>
      <c r="C243">
        <v>164</v>
      </c>
      <c r="D243">
        <v>0</v>
      </c>
      <c r="E243">
        <v>-33.701063119249703</v>
      </c>
      <c r="F243">
        <v>-111.992609041015</v>
      </c>
      <c r="X243" s="5">
        <v>41730</v>
      </c>
      <c r="Y243" s="2">
        <v>36.154222453592503</v>
      </c>
      <c r="Z243" s="2">
        <v>6.6957277858175699</v>
      </c>
      <c r="AA243">
        <f t="shared" si="4"/>
        <v>6.6957277858175699</v>
      </c>
    </row>
    <row r="244" spans="1:27" x14ac:dyDescent="0.25">
      <c r="A244" s="1">
        <v>40391</v>
      </c>
      <c r="B244" t="s">
        <v>3</v>
      </c>
      <c r="C244">
        <v>163343</v>
      </c>
      <c r="D244">
        <v>1805</v>
      </c>
      <c r="E244">
        <v>109.741062578091</v>
      </c>
      <c r="F244">
        <v>69.891252697495602</v>
      </c>
      <c r="X244" s="5">
        <v>41760</v>
      </c>
      <c r="Y244" s="2">
        <v>36.818243646413997</v>
      </c>
      <c r="Z244" s="2">
        <v>8.1517231075014909</v>
      </c>
      <c r="AA244">
        <f t="shared" si="4"/>
        <v>8.1517231075014909</v>
      </c>
    </row>
    <row r="245" spans="1:27" x14ac:dyDescent="0.25">
      <c r="A245" s="1">
        <v>40391</v>
      </c>
      <c r="B245" t="s">
        <v>4</v>
      </c>
      <c r="C245">
        <v>86</v>
      </c>
      <c r="D245">
        <v>10</v>
      </c>
      <c r="E245">
        <v>158.76857935121501</v>
      </c>
      <c r="F245">
        <v>162.097357085944</v>
      </c>
      <c r="X245" s="5">
        <v>41791</v>
      </c>
      <c r="Y245" s="2">
        <v>55.155180787509302</v>
      </c>
      <c r="Z245" s="2">
        <v>25.400213702387902</v>
      </c>
      <c r="AA245">
        <f t="shared" si="4"/>
        <v>25.400213702387902</v>
      </c>
    </row>
    <row r="246" spans="1:27" x14ac:dyDescent="0.25">
      <c r="A246" s="1">
        <v>40391</v>
      </c>
      <c r="B246" t="s">
        <v>5</v>
      </c>
      <c r="C246">
        <v>188</v>
      </c>
      <c r="D246">
        <v>0</v>
      </c>
      <c r="E246">
        <v>-13.8008892363383</v>
      </c>
      <c r="F246">
        <v>-112.262078365894</v>
      </c>
      <c r="X246" s="5">
        <v>41821</v>
      </c>
      <c r="Y246" s="2">
        <v>56.4134660892352</v>
      </c>
      <c r="Z246" s="2">
        <v>26.911536116643799</v>
      </c>
      <c r="AA246">
        <f t="shared" si="4"/>
        <v>26.911536116643799</v>
      </c>
    </row>
    <row r="247" spans="1:27" x14ac:dyDescent="0.25">
      <c r="A247" s="1">
        <v>40422</v>
      </c>
      <c r="B247" t="s">
        <v>3</v>
      </c>
      <c r="C247">
        <v>163306</v>
      </c>
      <c r="D247">
        <v>1848</v>
      </c>
      <c r="E247">
        <v>121.428856159893</v>
      </c>
      <c r="F247">
        <v>77.675542598583505</v>
      </c>
      <c r="X247" s="5">
        <v>41852</v>
      </c>
      <c r="Y247" s="2">
        <v>57.542700875233898</v>
      </c>
      <c r="Z247" s="2">
        <v>28.489467011108101</v>
      </c>
      <c r="AA247">
        <f t="shared" si="4"/>
        <v>28.489467011108101</v>
      </c>
    </row>
    <row r="248" spans="1:27" x14ac:dyDescent="0.25">
      <c r="A248" s="1">
        <v>40422</v>
      </c>
      <c r="B248" t="s">
        <v>4</v>
      </c>
      <c r="C248">
        <v>86</v>
      </c>
      <c r="D248">
        <v>14</v>
      </c>
      <c r="E248">
        <v>174.162150311929</v>
      </c>
      <c r="F248">
        <v>177.181983160231</v>
      </c>
      <c r="X248" s="5">
        <v>41883</v>
      </c>
      <c r="Y248" s="2">
        <v>58.698074776554101</v>
      </c>
      <c r="Z248" s="2">
        <v>29.9400298368388</v>
      </c>
      <c r="AA248">
        <f t="shared" si="4"/>
        <v>29.9400298368388</v>
      </c>
    </row>
    <row r="249" spans="1:27" x14ac:dyDescent="0.25">
      <c r="A249" s="1">
        <v>40422</v>
      </c>
      <c r="B249" t="s">
        <v>5</v>
      </c>
      <c r="C249">
        <v>209</v>
      </c>
      <c r="D249">
        <v>0</v>
      </c>
      <c r="E249">
        <v>1.7802663290442799</v>
      </c>
      <c r="F249">
        <v>-101.14105637666</v>
      </c>
      <c r="X249" s="5">
        <v>41913</v>
      </c>
      <c r="Y249" s="2">
        <v>54.621022052478999</v>
      </c>
      <c r="Z249" s="2">
        <v>26.416466301472401</v>
      </c>
      <c r="AA249">
        <f t="shared" si="4"/>
        <v>26.416466301472401</v>
      </c>
    </row>
    <row r="250" spans="1:27" x14ac:dyDescent="0.25">
      <c r="A250" s="1">
        <v>40452</v>
      </c>
      <c r="B250" t="s">
        <v>3</v>
      </c>
      <c r="C250">
        <v>163332</v>
      </c>
      <c r="D250">
        <v>1902</v>
      </c>
      <c r="E250">
        <v>126.86485198711701</v>
      </c>
      <c r="F250">
        <v>80.870760470283201</v>
      </c>
      <c r="X250" s="5">
        <v>41944</v>
      </c>
      <c r="Y250" s="2">
        <v>66.526670395745398</v>
      </c>
      <c r="Z250" s="2">
        <v>37.484152900481902</v>
      </c>
      <c r="AA250">
        <f t="shared" si="4"/>
        <v>37.484152900481902</v>
      </c>
    </row>
    <row r="251" spans="1:27" x14ac:dyDescent="0.25">
      <c r="A251" s="1">
        <v>40452</v>
      </c>
      <c r="B251" t="s">
        <v>4</v>
      </c>
      <c r="C251">
        <v>84</v>
      </c>
      <c r="D251">
        <v>13</v>
      </c>
      <c r="E251">
        <v>182.25964870231701</v>
      </c>
      <c r="F251">
        <v>185.58690104919799</v>
      </c>
      <c r="X251" s="5">
        <v>41974</v>
      </c>
      <c r="Y251" s="2">
        <v>68.796895259797097</v>
      </c>
      <c r="Z251" s="2">
        <v>39.687991571246002</v>
      </c>
      <c r="AA251">
        <f t="shared" si="4"/>
        <v>39.687991571246002</v>
      </c>
    </row>
    <row r="252" spans="1:27" x14ac:dyDescent="0.25">
      <c r="A252" s="1">
        <v>40452</v>
      </c>
      <c r="B252" t="s">
        <v>5</v>
      </c>
      <c r="C252">
        <v>241</v>
      </c>
      <c r="D252">
        <v>0</v>
      </c>
      <c r="E252">
        <v>10.3922324490888</v>
      </c>
      <c r="F252">
        <v>-99.632301848952295</v>
      </c>
      <c r="X252" s="5">
        <v>42005</v>
      </c>
      <c r="Y252" s="2">
        <v>82.231961739500804</v>
      </c>
      <c r="Z252" s="2">
        <v>53.344923237343899</v>
      </c>
      <c r="AA252">
        <f t="shared" si="4"/>
        <v>53.344923237343899</v>
      </c>
    </row>
    <row r="253" spans="1:27" x14ac:dyDescent="0.25">
      <c r="A253" s="1">
        <v>40483</v>
      </c>
      <c r="B253" t="s">
        <v>3</v>
      </c>
      <c r="C253">
        <v>163383</v>
      </c>
      <c r="D253">
        <v>1951</v>
      </c>
      <c r="E253">
        <v>134.64438157942399</v>
      </c>
      <c r="F253">
        <v>85.858554503328506</v>
      </c>
      <c r="X253" s="5">
        <v>42036</v>
      </c>
      <c r="Y253" s="2">
        <v>99.262311456176604</v>
      </c>
      <c r="Z253" s="2">
        <v>69.253944964388694</v>
      </c>
      <c r="AA253">
        <f t="shared" si="4"/>
        <v>69.253944964388694</v>
      </c>
    </row>
    <row r="254" spans="1:27" x14ac:dyDescent="0.25">
      <c r="A254" s="1">
        <v>40483</v>
      </c>
      <c r="B254" t="s">
        <v>4</v>
      </c>
      <c r="C254">
        <v>83</v>
      </c>
      <c r="D254">
        <v>18</v>
      </c>
      <c r="E254">
        <v>191.822269066161</v>
      </c>
      <c r="F254">
        <v>195.417225265154</v>
      </c>
      <c r="X254" s="5">
        <v>42064</v>
      </c>
      <c r="Y254" s="2">
        <v>94.454453716012296</v>
      </c>
      <c r="Z254" s="2">
        <v>64.824648557436902</v>
      </c>
      <c r="AA254">
        <f t="shared" si="4"/>
        <v>64.824648557436902</v>
      </c>
    </row>
    <row r="255" spans="1:27" x14ac:dyDescent="0.25">
      <c r="A255" s="1">
        <v>40483</v>
      </c>
      <c r="B255" t="s">
        <v>5</v>
      </c>
      <c r="C255">
        <v>276</v>
      </c>
      <c r="D255">
        <v>0</v>
      </c>
      <c r="E255">
        <v>19.327120962401899</v>
      </c>
      <c r="F255">
        <v>-92.618563296656106</v>
      </c>
      <c r="X255" s="5">
        <v>42095</v>
      </c>
      <c r="Y255" s="2">
        <v>88.503940412031099</v>
      </c>
      <c r="Z255" s="2">
        <v>60.380392606927998</v>
      </c>
      <c r="AA255">
        <f t="shared" si="4"/>
        <v>60.380392606927998</v>
      </c>
    </row>
    <row r="256" spans="1:27" x14ac:dyDescent="0.25">
      <c r="A256" s="1">
        <v>40513</v>
      </c>
      <c r="B256" t="s">
        <v>3</v>
      </c>
      <c r="C256">
        <v>163552</v>
      </c>
      <c r="D256">
        <v>2033</v>
      </c>
      <c r="E256">
        <v>123.811589035273</v>
      </c>
      <c r="F256">
        <v>77.050993596298895</v>
      </c>
      <c r="X256" s="5">
        <v>42125</v>
      </c>
      <c r="Y256" s="2">
        <v>96.504671211668693</v>
      </c>
      <c r="Z256" s="2">
        <v>68.592980146579904</v>
      </c>
      <c r="AA256">
        <f t="shared" si="4"/>
        <v>68.592980146579904</v>
      </c>
    </row>
    <row r="257" spans="1:27" x14ac:dyDescent="0.25">
      <c r="A257" s="1">
        <v>40513</v>
      </c>
      <c r="B257" t="s">
        <v>4</v>
      </c>
      <c r="C257">
        <v>83</v>
      </c>
      <c r="D257">
        <v>22</v>
      </c>
      <c r="E257">
        <v>184.04777470949</v>
      </c>
      <c r="F257">
        <v>187.39206261369</v>
      </c>
      <c r="X257" s="5">
        <v>42156</v>
      </c>
      <c r="Y257" s="2">
        <v>78.359502437596703</v>
      </c>
      <c r="Z257" s="2">
        <v>52.496308545458902</v>
      </c>
      <c r="AA257">
        <f t="shared" si="4"/>
        <v>52.496308545458902</v>
      </c>
    </row>
    <row r="258" spans="1:27" x14ac:dyDescent="0.25">
      <c r="A258" s="1">
        <v>40513</v>
      </c>
      <c r="B258" t="s">
        <v>5</v>
      </c>
      <c r="C258">
        <v>306</v>
      </c>
      <c r="D258">
        <v>0</v>
      </c>
      <c r="E258">
        <v>10.219790849787699</v>
      </c>
      <c r="F258">
        <v>-102.71728572287699</v>
      </c>
      <c r="X258" s="5">
        <v>42186</v>
      </c>
      <c r="Y258" s="2">
        <v>61.744500026495402</v>
      </c>
      <c r="Z258" s="2">
        <v>37.504595638160197</v>
      </c>
      <c r="AA258">
        <f t="shared" si="4"/>
        <v>37.504595638160197</v>
      </c>
    </row>
    <row r="259" spans="1:27" x14ac:dyDescent="0.25">
      <c r="A259" s="1">
        <v>40544</v>
      </c>
      <c r="B259" t="s">
        <v>3</v>
      </c>
      <c r="C259">
        <v>163709</v>
      </c>
      <c r="D259">
        <v>2117</v>
      </c>
      <c r="E259">
        <v>81.018294997043498</v>
      </c>
      <c r="F259">
        <v>43.8690442954872</v>
      </c>
      <c r="X259" s="5">
        <v>42217</v>
      </c>
      <c r="Y259" s="2">
        <v>55.191516687308599</v>
      </c>
      <c r="Z259" s="2">
        <v>31.809146655373102</v>
      </c>
      <c r="AA259">
        <f t="shared" si="4"/>
        <v>31.809146655373102</v>
      </c>
    </row>
    <row r="260" spans="1:27" x14ac:dyDescent="0.25">
      <c r="A260" s="1">
        <v>40544</v>
      </c>
      <c r="B260" t="s">
        <v>4</v>
      </c>
      <c r="C260">
        <v>100</v>
      </c>
      <c r="D260">
        <v>23</v>
      </c>
      <c r="E260">
        <v>41.5174262089038</v>
      </c>
      <c r="F260">
        <v>28.617351444073201</v>
      </c>
      <c r="X260" s="5">
        <v>42248</v>
      </c>
      <c r="Y260" s="2">
        <v>67.9523283289505</v>
      </c>
      <c r="Z260" s="2">
        <v>45.133391683717903</v>
      </c>
      <c r="AA260">
        <f t="shared" si="4"/>
        <v>45.133391683717903</v>
      </c>
    </row>
    <row r="261" spans="1:27" x14ac:dyDescent="0.25">
      <c r="A261" s="1">
        <v>40544</v>
      </c>
      <c r="B261" t="s">
        <v>5</v>
      </c>
      <c r="C261">
        <v>342</v>
      </c>
      <c r="D261">
        <v>0</v>
      </c>
      <c r="E261">
        <v>-34.948626922046898</v>
      </c>
      <c r="F261">
        <v>-152.66161565728001</v>
      </c>
      <c r="X261" s="5">
        <v>42278</v>
      </c>
      <c r="Y261" s="2">
        <v>68.536648331195707</v>
      </c>
      <c r="Z261" s="2">
        <v>45.9639274834826</v>
      </c>
      <c r="AA261">
        <f t="shared" si="4"/>
        <v>45.9639274834826</v>
      </c>
    </row>
    <row r="262" spans="1:27" x14ac:dyDescent="0.25">
      <c r="A262" s="1">
        <v>40575</v>
      </c>
      <c r="B262" t="s">
        <v>3</v>
      </c>
      <c r="C262">
        <v>163803</v>
      </c>
      <c r="D262">
        <v>2198</v>
      </c>
      <c r="E262">
        <v>72.498845966585407</v>
      </c>
      <c r="F262">
        <v>35.984678930714402</v>
      </c>
      <c r="X262" s="5">
        <v>42309</v>
      </c>
      <c r="Y262" s="2">
        <v>77.910490892157299</v>
      </c>
      <c r="Z262" s="2">
        <v>54.898514830083897</v>
      </c>
      <c r="AA262">
        <f t="shared" si="4"/>
        <v>54.898514830083897</v>
      </c>
    </row>
    <row r="263" spans="1:27" x14ac:dyDescent="0.25">
      <c r="A263" s="1">
        <v>40575</v>
      </c>
      <c r="B263" t="s">
        <v>4</v>
      </c>
      <c r="C263">
        <v>118</v>
      </c>
      <c r="D263">
        <v>24</v>
      </c>
      <c r="E263">
        <v>14.6938948916542</v>
      </c>
      <c r="F263">
        <v>-1.34846536078344</v>
      </c>
      <c r="X263" s="5">
        <v>42339</v>
      </c>
      <c r="Y263" s="2">
        <v>60.3509768169098</v>
      </c>
      <c r="Z263" s="2">
        <v>38.463485951756098</v>
      </c>
      <c r="AA263">
        <f t="shared" si="4"/>
        <v>38.463485951756098</v>
      </c>
    </row>
    <row r="264" spans="1:27" x14ac:dyDescent="0.25">
      <c r="A264" s="1">
        <v>40575</v>
      </c>
      <c r="B264" t="s">
        <v>5</v>
      </c>
      <c r="C264">
        <v>383</v>
      </c>
      <c r="D264">
        <v>0</v>
      </c>
      <c r="E264">
        <v>-43.850216971003299</v>
      </c>
      <c r="F264">
        <v>-163.30937108582401</v>
      </c>
      <c r="X264" s="5">
        <v>42370</v>
      </c>
      <c r="Y264" s="2">
        <v>57.741546861546801</v>
      </c>
      <c r="Z264" s="2">
        <v>36.400927054306599</v>
      </c>
      <c r="AA264">
        <f t="shared" si="4"/>
        <v>36.400927054306599</v>
      </c>
    </row>
    <row r="265" spans="1:27" x14ac:dyDescent="0.25">
      <c r="A265" s="1">
        <v>40603</v>
      </c>
      <c r="B265" t="s">
        <v>3</v>
      </c>
      <c r="C265">
        <v>164008</v>
      </c>
      <c r="D265">
        <v>2254</v>
      </c>
      <c r="E265">
        <v>51.5277629027863</v>
      </c>
      <c r="F265">
        <v>18.5944225499933</v>
      </c>
      <c r="X265" s="5">
        <v>42401</v>
      </c>
      <c r="Y265" s="2">
        <v>65.884430492594205</v>
      </c>
      <c r="Z265" s="2">
        <v>44.4784749204413</v>
      </c>
      <c r="AA265">
        <f t="shared" si="4"/>
        <v>44.4784749204413</v>
      </c>
    </row>
    <row r="266" spans="1:27" x14ac:dyDescent="0.25">
      <c r="A266" s="1">
        <v>40603</v>
      </c>
      <c r="B266" t="s">
        <v>4</v>
      </c>
      <c r="C266">
        <v>149</v>
      </c>
      <c r="D266">
        <v>23</v>
      </c>
      <c r="E266">
        <v>-19.076637522325299</v>
      </c>
      <c r="F266">
        <v>-37.9787062378267</v>
      </c>
    </row>
    <row r="267" spans="1:27" x14ac:dyDescent="0.25">
      <c r="A267" s="1">
        <v>40603</v>
      </c>
      <c r="B267" t="s">
        <v>5</v>
      </c>
      <c r="C267">
        <v>430</v>
      </c>
      <c r="D267">
        <v>0</v>
      </c>
      <c r="E267">
        <v>-65.615428491254207</v>
      </c>
      <c r="F267">
        <v>-188.54078812749901</v>
      </c>
    </row>
    <row r="268" spans="1:27" x14ac:dyDescent="0.25">
      <c r="A268" s="1">
        <v>40634</v>
      </c>
      <c r="B268" t="s">
        <v>3</v>
      </c>
      <c r="C268">
        <v>164116</v>
      </c>
      <c r="D268">
        <v>2274</v>
      </c>
      <c r="E268">
        <v>62.366092186780897</v>
      </c>
      <c r="F268">
        <v>27.236501972582101</v>
      </c>
    </row>
    <row r="269" spans="1:27" x14ac:dyDescent="0.25">
      <c r="A269" s="1">
        <v>40634</v>
      </c>
      <c r="B269" t="s">
        <v>4</v>
      </c>
      <c r="C269">
        <v>171</v>
      </c>
      <c r="D269">
        <v>23</v>
      </c>
      <c r="E269">
        <v>-6.6500026464916102</v>
      </c>
      <c r="F269">
        <v>-23.265302735211201</v>
      </c>
    </row>
    <row r="270" spans="1:27" x14ac:dyDescent="0.25">
      <c r="A270" s="1">
        <v>40634</v>
      </c>
      <c r="B270" t="s">
        <v>5</v>
      </c>
      <c r="C270">
        <v>478</v>
      </c>
      <c r="D270">
        <v>0</v>
      </c>
      <c r="E270">
        <v>-54.774402827021198</v>
      </c>
      <c r="F270">
        <v>-180.149122494323</v>
      </c>
    </row>
    <row r="271" spans="1:27" x14ac:dyDescent="0.25">
      <c r="A271" s="1">
        <v>40664</v>
      </c>
      <c r="B271" t="s">
        <v>3</v>
      </c>
      <c r="C271">
        <v>164235</v>
      </c>
      <c r="D271">
        <v>2323</v>
      </c>
      <c r="E271">
        <v>61.914272603283202</v>
      </c>
      <c r="F271">
        <v>27.280083038975501</v>
      </c>
    </row>
    <row r="272" spans="1:27" x14ac:dyDescent="0.25">
      <c r="A272" s="1">
        <v>40664</v>
      </c>
      <c r="B272" t="s">
        <v>4</v>
      </c>
      <c r="C272">
        <v>201</v>
      </c>
      <c r="D272">
        <v>25</v>
      </c>
      <c r="E272">
        <v>-1.7276751987002801</v>
      </c>
      <c r="F272">
        <v>-15.707909210405999</v>
      </c>
    </row>
    <row r="273" spans="1:6" x14ac:dyDescent="0.25">
      <c r="A273" s="1">
        <v>40664</v>
      </c>
      <c r="B273" t="s">
        <v>5</v>
      </c>
      <c r="C273">
        <v>523</v>
      </c>
      <c r="D273">
        <v>0</v>
      </c>
      <c r="E273">
        <v>-53.463766619070398</v>
      </c>
      <c r="F273">
        <v>-179.948699346876</v>
      </c>
    </row>
    <row r="274" spans="1:6" x14ac:dyDescent="0.25">
      <c r="A274" s="1">
        <v>40695</v>
      </c>
      <c r="B274" t="s">
        <v>3</v>
      </c>
      <c r="C274">
        <v>164363</v>
      </c>
      <c r="D274">
        <v>2346</v>
      </c>
      <c r="E274">
        <v>80.9460474476423</v>
      </c>
      <c r="F274">
        <v>42.6518196761727</v>
      </c>
    </row>
    <row r="275" spans="1:6" x14ac:dyDescent="0.25">
      <c r="A275" s="1">
        <v>40695</v>
      </c>
      <c r="B275" t="s">
        <v>4</v>
      </c>
      <c r="C275">
        <v>228</v>
      </c>
      <c r="D275">
        <v>24</v>
      </c>
      <c r="E275">
        <v>22.5654996617736</v>
      </c>
      <c r="F275">
        <v>10.1937523989757</v>
      </c>
    </row>
    <row r="276" spans="1:6" x14ac:dyDescent="0.25">
      <c r="A276" s="1">
        <v>40695</v>
      </c>
      <c r="B276" t="s">
        <v>5</v>
      </c>
      <c r="C276">
        <v>560</v>
      </c>
      <c r="D276">
        <v>0</v>
      </c>
      <c r="E276">
        <v>-32.601144736483803</v>
      </c>
      <c r="F276">
        <v>-159.897263468902</v>
      </c>
    </row>
    <row r="277" spans="1:6" x14ac:dyDescent="0.25">
      <c r="A277" s="1">
        <v>40725</v>
      </c>
      <c r="B277" t="s">
        <v>3</v>
      </c>
      <c r="C277">
        <v>164527</v>
      </c>
      <c r="D277">
        <v>2373</v>
      </c>
      <c r="E277">
        <v>93.0234851902147</v>
      </c>
      <c r="F277">
        <v>52.287779062217801</v>
      </c>
    </row>
    <row r="278" spans="1:6" x14ac:dyDescent="0.25">
      <c r="A278" s="1">
        <v>40725</v>
      </c>
      <c r="B278" t="s">
        <v>4</v>
      </c>
      <c r="C278">
        <v>269</v>
      </c>
      <c r="D278">
        <v>25</v>
      </c>
      <c r="E278">
        <v>39.812345773032398</v>
      </c>
      <c r="F278">
        <v>28.1257737407084</v>
      </c>
    </row>
    <row r="279" spans="1:6" x14ac:dyDescent="0.25">
      <c r="A279" s="1">
        <v>40725</v>
      </c>
      <c r="B279" t="s">
        <v>5</v>
      </c>
      <c r="C279">
        <v>593</v>
      </c>
      <c r="D279">
        <v>0</v>
      </c>
      <c r="E279">
        <v>-18.804666259870601</v>
      </c>
      <c r="F279">
        <v>-146.973281850022</v>
      </c>
    </row>
    <row r="280" spans="1:6" x14ac:dyDescent="0.25">
      <c r="A280" s="1">
        <v>40756</v>
      </c>
      <c r="B280" t="s">
        <v>3</v>
      </c>
      <c r="C280">
        <v>164725</v>
      </c>
      <c r="D280">
        <v>2402</v>
      </c>
      <c r="E280">
        <v>88.436742728258494</v>
      </c>
      <c r="F280">
        <v>49.675259001344003</v>
      </c>
    </row>
    <row r="281" spans="1:6" x14ac:dyDescent="0.25">
      <c r="A281" s="1">
        <v>40756</v>
      </c>
      <c r="B281" t="s">
        <v>4</v>
      </c>
      <c r="C281">
        <v>306</v>
      </c>
      <c r="D281">
        <v>27</v>
      </c>
      <c r="E281">
        <v>36.765674605552697</v>
      </c>
      <c r="F281">
        <v>26.0317315500644</v>
      </c>
    </row>
    <row r="282" spans="1:6" x14ac:dyDescent="0.25">
      <c r="A282" s="1">
        <v>40756</v>
      </c>
      <c r="B282" t="s">
        <v>5</v>
      </c>
      <c r="C282">
        <v>626</v>
      </c>
      <c r="D282">
        <v>0</v>
      </c>
      <c r="E282">
        <v>7.30229180139031</v>
      </c>
      <c r="F282">
        <v>-121.33428889821199</v>
      </c>
    </row>
    <row r="283" spans="1:6" x14ac:dyDescent="0.25">
      <c r="A283" s="1">
        <v>40787</v>
      </c>
      <c r="B283" t="s">
        <v>3</v>
      </c>
      <c r="C283">
        <v>164903</v>
      </c>
      <c r="D283">
        <v>2432</v>
      </c>
      <c r="E283">
        <v>116.058008309774</v>
      </c>
      <c r="F283">
        <v>71.566140375626603</v>
      </c>
    </row>
    <row r="284" spans="1:6" x14ac:dyDescent="0.25">
      <c r="A284" s="1">
        <v>40787</v>
      </c>
      <c r="B284" t="s">
        <v>4</v>
      </c>
      <c r="C284">
        <v>345</v>
      </c>
      <c r="D284">
        <v>27</v>
      </c>
      <c r="E284">
        <v>64.395948753649705</v>
      </c>
      <c r="F284">
        <v>54.111300417106399</v>
      </c>
    </row>
    <row r="285" spans="1:6" x14ac:dyDescent="0.25">
      <c r="A285" s="1">
        <v>40787</v>
      </c>
      <c r="B285" t="s">
        <v>5</v>
      </c>
      <c r="C285">
        <v>659</v>
      </c>
      <c r="D285">
        <v>0</v>
      </c>
      <c r="E285">
        <v>33.357188461453397</v>
      </c>
      <c r="F285">
        <v>-93.822098826832601</v>
      </c>
    </row>
    <row r="286" spans="1:6" x14ac:dyDescent="0.25">
      <c r="A286" s="1">
        <v>40817</v>
      </c>
      <c r="B286" t="s">
        <v>3</v>
      </c>
      <c r="C286">
        <v>165089</v>
      </c>
      <c r="D286">
        <v>2492</v>
      </c>
      <c r="E286">
        <v>133.505001279666</v>
      </c>
      <c r="F286">
        <v>84.8563528631868</v>
      </c>
    </row>
    <row r="287" spans="1:6" x14ac:dyDescent="0.25">
      <c r="A287" s="1">
        <v>40817</v>
      </c>
      <c r="B287" t="s">
        <v>4</v>
      </c>
      <c r="C287">
        <v>373</v>
      </c>
      <c r="D287">
        <v>28</v>
      </c>
      <c r="E287">
        <v>80.477521478838895</v>
      </c>
      <c r="F287">
        <v>66.776718747426202</v>
      </c>
    </row>
    <row r="288" spans="1:6" x14ac:dyDescent="0.25">
      <c r="A288" s="1">
        <v>40817</v>
      </c>
      <c r="B288" t="s">
        <v>5</v>
      </c>
      <c r="C288">
        <v>691</v>
      </c>
      <c r="D288">
        <v>0</v>
      </c>
      <c r="E288">
        <v>49.662503529667703</v>
      </c>
      <c r="F288">
        <v>-76.133590055043697</v>
      </c>
    </row>
    <row r="289" spans="1:6" x14ac:dyDescent="0.25">
      <c r="A289" s="1">
        <v>40848</v>
      </c>
      <c r="B289" t="s">
        <v>3</v>
      </c>
      <c r="C289">
        <v>165211</v>
      </c>
      <c r="D289">
        <v>2540</v>
      </c>
      <c r="E289">
        <v>130.42932608830799</v>
      </c>
      <c r="F289">
        <v>81.945779169046006</v>
      </c>
    </row>
    <row r="290" spans="1:6" x14ac:dyDescent="0.25">
      <c r="A290" s="1">
        <v>40848</v>
      </c>
      <c r="B290" t="s">
        <v>4</v>
      </c>
      <c r="C290">
        <v>417</v>
      </c>
      <c r="D290">
        <v>28</v>
      </c>
      <c r="E290">
        <v>71.538393399383096</v>
      </c>
      <c r="F290">
        <v>55.816505373894202</v>
      </c>
    </row>
    <row r="291" spans="1:6" x14ac:dyDescent="0.25">
      <c r="A291" s="1">
        <v>40848</v>
      </c>
      <c r="B291" t="s">
        <v>5</v>
      </c>
      <c r="C291">
        <v>724</v>
      </c>
      <c r="D291">
        <v>0</v>
      </c>
      <c r="E291">
        <v>45.4991671497285</v>
      </c>
      <c r="F291">
        <v>-79.404008630436905</v>
      </c>
    </row>
    <row r="292" spans="1:6" x14ac:dyDescent="0.25">
      <c r="A292" s="1">
        <v>40878</v>
      </c>
      <c r="B292" t="s">
        <v>3</v>
      </c>
      <c r="C292">
        <v>165281</v>
      </c>
      <c r="D292">
        <v>2606</v>
      </c>
      <c r="E292">
        <v>138.62682934630701</v>
      </c>
      <c r="F292">
        <v>87.910295988852894</v>
      </c>
    </row>
    <row r="293" spans="1:6" x14ac:dyDescent="0.25">
      <c r="A293" s="1">
        <v>40878</v>
      </c>
      <c r="B293" t="s">
        <v>4</v>
      </c>
      <c r="C293">
        <v>453</v>
      </c>
      <c r="D293">
        <v>28</v>
      </c>
      <c r="E293">
        <v>74.674431509196495</v>
      </c>
      <c r="F293">
        <v>56.202313916723</v>
      </c>
    </row>
    <row r="294" spans="1:6" x14ac:dyDescent="0.25">
      <c r="A294" s="1">
        <v>40878</v>
      </c>
      <c r="B294" t="s">
        <v>5</v>
      </c>
      <c r="C294">
        <v>767</v>
      </c>
      <c r="D294">
        <v>0</v>
      </c>
      <c r="E294">
        <v>52.158800228407699</v>
      </c>
      <c r="F294">
        <v>-71.601355401170693</v>
      </c>
    </row>
    <row r="295" spans="1:6" x14ac:dyDescent="0.25">
      <c r="A295" s="1">
        <v>40909</v>
      </c>
      <c r="B295" t="s">
        <v>3</v>
      </c>
      <c r="C295">
        <v>165285</v>
      </c>
      <c r="D295">
        <v>2645</v>
      </c>
      <c r="E295">
        <v>141.38287328964901</v>
      </c>
      <c r="F295">
        <v>90.083014332992406</v>
      </c>
    </row>
    <row r="296" spans="1:6" x14ac:dyDescent="0.25">
      <c r="A296" s="1">
        <v>40909</v>
      </c>
      <c r="B296" t="s">
        <v>4</v>
      </c>
      <c r="C296">
        <v>475</v>
      </c>
      <c r="D296">
        <v>28</v>
      </c>
      <c r="E296">
        <v>73.0046120542913</v>
      </c>
      <c r="F296">
        <v>59.803865391923502</v>
      </c>
    </row>
    <row r="297" spans="1:6" x14ac:dyDescent="0.25">
      <c r="A297" s="1">
        <v>40909</v>
      </c>
      <c r="B297" t="s">
        <v>5</v>
      </c>
      <c r="C297">
        <v>787</v>
      </c>
      <c r="D297">
        <v>0</v>
      </c>
      <c r="E297">
        <v>54.743011778794603</v>
      </c>
      <c r="F297">
        <v>-68.736338286989806</v>
      </c>
    </row>
    <row r="298" spans="1:6" x14ac:dyDescent="0.25">
      <c r="A298" s="1">
        <v>40940</v>
      </c>
      <c r="B298" t="s">
        <v>3</v>
      </c>
      <c r="C298">
        <v>165280</v>
      </c>
      <c r="D298">
        <v>2710</v>
      </c>
      <c r="E298">
        <v>142.02047477852301</v>
      </c>
      <c r="F298">
        <v>90.447325803894998</v>
      </c>
    </row>
    <row r="299" spans="1:6" x14ac:dyDescent="0.25">
      <c r="A299" s="1">
        <v>40940</v>
      </c>
      <c r="B299" t="s">
        <v>4</v>
      </c>
      <c r="C299">
        <v>505</v>
      </c>
      <c r="D299">
        <v>32</v>
      </c>
      <c r="E299">
        <v>68.050726640530698</v>
      </c>
      <c r="F299">
        <v>56.294026761058497</v>
      </c>
    </row>
    <row r="300" spans="1:6" x14ac:dyDescent="0.25">
      <c r="A300" s="1">
        <v>40940</v>
      </c>
      <c r="B300" t="s">
        <v>5</v>
      </c>
      <c r="C300">
        <v>834</v>
      </c>
      <c r="D300">
        <v>0</v>
      </c>
      <c r="E300">
        <v>51.745992574838603</v>
      </c>
      <c r="F300">
        <v>-70.049803945244307</v>
      </c>
    </row>
    <row r="301" spans="1:6" x14ac:dyDescent="0.25">
      <c r="A301" s="1">
        <v>40969</v>
      </c>
      <c r="B301" t="s">
        <v>3</v>
      </c>
      <c r="C301">
        <v>165378</v>
      </c>
      <c r="D301">
        <v>2770</v>
      </c>
      <c r="E301">
        <v>140.14779394335801</v>
      </c>
      <c r="F301">
        <v>89.211034117968893</v>
      </c>
    </row>
    <row r="302" spans="1:6" x14ac:dyDescent="0.25">
      <c r="A302" s="1">
        <v>40969</v>
      </c>
      <c r="B302" t="s">
        <v>4</v>
      </c>
      <c r="C302">
        <v>537</v>
      </c>
      <c r="D302">
        <v>32</v>
      </c>
      <c r="E302">
        <v>62.754074874386198</v>
      </c>
      <c r="F302">
        <v>52.8003595146291</v>
      </c>
    </row>
    <row r="303" spans="1:6" x14ac:dyDescent="0.25">
      <c r="A303" s="1">
        <v>40969</v>
      </c>
      <c r="B303" t="s">
        <v>5</v>
      </c>
      <c r="C303">
        <v>875</v>
      </c>
      <c r="D303">
        <v>0</v>
      </c>
      <c r="E303">
        <v>22.849314706923</v>
      </c>
      <c r="F303">
        <v>-97.688548839569194</v>
      </c>
    </row>
    <row r="304" spans="1:6" x14ac:dyDescent="0.25">
      <c r="A304" s="1">
        <v>41000</v>
      </c>
      <c r="B304" t="s">
        <v>3</v>
      </c>
      <c r="C304">
        <v>165670</v>
      </c>
      <c r="D304">
        <v>2843</v>
      </c>
      <c r="E304">
        <v>132.303165977681</v>
      </c>
      <c r="F304">
        <v>84.2688593770485</v>
      </c>
    </row>
    <row r="305" spans="1:6" x14ac:dyDescent="0.25">
      <c r="A305" s="1">
        <v>41000</v>
      </c>
      <c r="B305" t="s">
        <v>4</v>
      </c>
      <c r="C305">
        <v>586</v>
      </c>
      <c r="D305">
        <v>34</v>
      </c>
      <c r="E305">
        <v>48.871099005353102</v>
      </c>
      <c r="F305">
        <v>42.580978036161298</v>
      </c>
    </row>
    <row r="306" spans="1:6" x14ac:dyDescent="0.25">
      <c r="A306" s="1">
        <v>41000</v>
      </c>
      <c r="B306" t="s">
        <v>5</v>
      </c>
      <c r="C306">
        <v>946</v>
      </c>
      <c r="D306">
        <v>0</v>
      </c>
      <c r="E306">
        <v>8.2801945268904191</v>
      </c>
      <c r="F306">
        <v>-113.38533658092</v>
      </c>
    </row>
    <row r="307" spans="1:6" x14ac:dyDescent="0.25">
      <c r="A307" s="1">
        <v>41030</v>
      </c>
      <c r="B307" t="s">
        <v>3</v>
      </c>
      <c r="C307">
        <v>165833</v>
      </c>
      <c r="D307">
        <v>2899</v>
      </c>
      <c r="E307">
        <v>138.17243434819</v>
      </c>
      <c r="F307">
        <v>90.154664829660902</v>
      </c>
    </row>
    <row r="308" spans="1:6" x14ac:dyDescent="0.25">
      <c r="A308" s="1">
        <v>41030</v>
      </c>
      <c r="B308" t="s">
        <v>4</v>
      </c>
      <c r="C308">
        <v>621</v>
      </c>
      <c r="D308">
        <v>37</v>
      </c>
      <c r="E308">
        <v>51.082671657465198</v>
      </c>
      <c r="F308">
        <v>46.6704905463179</v>
      </c>
    </row>
    <row r="309" spans="1:6" x14ac:dyDescent="0.25">
      <c r="A309" s="1">
        <v>41030</v>
      </c>
      <c r="B309" t="s">
        <v>5</v>
      </c>
      <c r="C309">
        <v>1017</v>
      </c>
      <c r="D309">
        <v>0</v>
      </c>
      <c r="E309">
        <v>9.4576738037235408</v>
      </c>
      <c r="F309">
        <v>-112.920205086482</v>
      </c>
    </row>
    <row r="310" spans="1:6" x14ac:dyDescent="0.25">
      <c r="A310" s="1">
        <v>41061</v>
      </c>
      <c r="B310" t="s">
        <v>3</v>
      </c>
      <c r="C310">
        <v>165908</v>
      </c>
      <c r="D310">
        <v>2917</v>
      </c>
      <c r="E310">
        <v>147.43817150606199</v>
      </c>
      <c r="F310">
        <v>98.858133422454699</v>
      </c>
    </row>
    <row r="311" spans="1:6" x14ac:dyDescent="0.25">
      <c r="A311" s="1">
        <v>41061</v>
      </c>
      <c r="B311" t="s">
        <v>4</v>
      </c>
      <c r="C311">
        <v>655</v>
      </c>
      <c r="D311">
        <v>38</v>
      </c>
      <c r="E311">
        <v>58.5296097318788</v>
      </c>
      <c r="F311">
        <v>55.341816130608898</v>
      </c>
    </row>
    <row r="312" spans="1:6" x14ac:dyDescent="0.25">
      <c r="A312" s="1">
        <v>41061</v>
      </c>
      <c r="B312" t="s">
        <v>5</v>
      </c>
      <c r="C312">
        <v>1083</v>
      </c>
      <c r="D312">
        <v>0</v>
      </c>
      <c r="E312">
        <v>15.675313940605101</v>
      </c>
      <c r="F312">
        <v>-106.919959150892</v>
      </c>
    </row>
    <row r="313" spans="1:6" x14ac:dyDescent="0.25">
      <c r="A313" s="1">
        <v>41091</v>
      </c>
      <c r="B313" t="s">
        <v>3</v>
      </c>
      <c r="C313">
        <v>166007</v>
      </c>
      <c r="D313">
        <v>2984</v>
      </c>
      <c r="E313">
        <v>158.467952595936</v>
      </c>
      <c r="F313">
        <v>108.258258165683</v>
      </c>
    </row>
    <row r="314" spans="1:6" x14ac:dyDescent="0.25">
      <c r="A314" s="1">
        <v>41091</v>
      </c>
      <c r="B314" t="s">
        <v>4</v>
      </c>
      <c r="C314">
        <v>690</v>
      </c>
      <c r="D314">
        <v>42</v>
      </c>
      <c r="E314">
        <v>70.470473808095704</v>
      </c>
      <c r="F314">
        <v>67.733515369910194</v>
      </c>
    </row>
    <row r="315" spans="1:6" x14ac:dyDescent="0.25">
      <c r="A315" s="1">
        <v>41091</v>
      </c>
      <c r="B315" t="s">
        <v>5</v>
      </c>
      <c r="C315">
        <v>1172</v>
      </c>
      <c r="D315">
        <v>0</v>
      </c>
      <c r="E315">
        <v>23.131136692733399</v>
      </c>
      <c r="F315">
        <v>-100.05762229856001</v>
      </c>
    </row>
    <row r="316" spans="1:6" x14ac:dyDescent="0.25">
      <c r="A316" s="1">
        <v>41091</v>
      </c>
      <c r="B316" t="s">
        <v>6</v>
      </c>
      <c r="C316">
        <v>127</v>
      </c>
      <c r="D316">
        <v>0</v>
      </c>
      <c r="E316">
        <v>-6.3748528455134599</v>
      </c>
      <c r="F316">
        <v>-141.45203636955901</v>
      </c>
    </row>
    <row r="317" spans="1:6" x14ac:dyDescent="0.25">
      <c r="A317" s="1">
        <v>41122</v>
      </c>
      <c r="B317" t="s">
        <v>3</v>
      </c>
      <c r="C317">
        <v>166194</v>
      </c>
      <c r="D317">
        <v>3095</v>
      </c>
      <c r="E317">
        <v>168.576457416902</v>
      </c>
      <c r="F317">
        <v>116.669911188578</v>
      </c>
    </row>
    <row r="318" spans="1:6" x14ac:dyDescent="0.25">
      <c r="A318" s="1">
        <v>41122</v>
      </c>
      <c r="B318" t="s">
        <v>4</v>
      </c>
      <c r="C318">
        <v>711</v>
      </c>
      <c r="D318">
        <v>43</v>
      </c>
      <c r="E318">
        <v>81.723140650706895</v>
      </c>
      <c r="F318">
        <v>78.903307172390797</v>
      </c>
    </row>
    <row r="319" spans="1:6" x14ac:dyDescent="0.25">
      <c r="A319" s="1">
        <v>41122</v>
      </c>
      <c r="B319" t="s">
        <v>5</v>
      </c>
      <c r="C319">
        <v>1275</v>
      </c>
      <c r="D319">
        <v>0</v>
      </c>
      <c r="E319">
        <v>29.883138475453801</v>
      </c>
      <c r="F319">
        <v>-93.365630977383702</v>
      </c>
    </row>
    <row r="320" spans="1:6" x14ac:dyDescent="0.25">
      <c r="A320" s="1">
        <v>41122</v>
      </c>
      <c r="B320" t="s">
        <v>6</v>
      </c>
      <c r="C320">
        <v>218</v>
      </c>
      <c r="D320">
        <v>0</v>
      </c>
      <c r="E320">
        <v>1.50128645780526</v>
      </c>
      <c r="F320">
        <v>-133.22702976605501</v>
      </c>
    </row>
    <row r="321" spans="1:6" x14ac:dyDescent="0.25">
      <c r="A321" s="1">
        <v>41153</v>
      </c>
      <c r="B321" t="s">
        <v>3</v>
      </c>
      <c r="C321">
        <v>166333</v>
      </c>
      <c r="D321">
        <v>3181</v>
      </c>
      <c r="E321">
        <v>162.77954020476699</v>
      </c>
      <c r="F321">
        <v>111.989853374072</v>
      </c>
    </row>
    <row r="322" spans="1:6" x14ac:dyDescent="0.25">
      <c r="A322" s="1">
        <v>41153</v>
      </c>
      <c r="B322" t="s">
        <v>4</v>
      </c>
      <c r="C322">
        <v>738</v>
      </c>
      <c r="D322">
        <v>50</v>
      </c>
      <c r="E322">
        <v>76.585060872799403</v>
      </c>
      <c r="F322">
        <v>73.871083119669507</v>
      </c>
    </row>
    <row r="323" spans="1:6" x14ac:dyDescent="0.25">
      <c r="A323" s="1">
        <v>41153</v>
      </c>
      <c r="B323" t="s">
        <v>5</v>
      </c>
      <c r="C323">
        <v>1363</v>
      </c>
      <c r="D323">
        <v>0</v>
      </c>
      <c r="E323">
        <v>22.336880252734701</v>
      </c>
      <c r="F323">
        <v>-100.437851528876</v>
      </c>
    </row>
    <row r="324" spans="1:6" x14ac:dyDescent="0.25">
      <c r="A324" s="1">
        <v>41153</v>
      </c>
      <c r="B324" t="s">
        <v>6</v>
      </c>
      <c r="C324">
        <v>315</v>
      </c>
      <c r="D324">
        <v>0</v>
      </c>
      <c r="E324">
        <v>-5.0938941405060598</v>
      </c>
      <c r="F324">
        <v>-139.155161444225</v>
      </c>
    </row>
    <row r="325" spans="1:6" x14ac:dyDescent="0.25">
      <c r="A325" s="1">
        <v>41183</v>
      </c>
      <c r="B325" t="s">
        <v>3</v>
      </c>
      <c r="C325">
        <v>166609</v>
      </c>
      <c r="D325">
        <v>3279</v>
      </c>
      <c r="E325">
        <v>170.72171678166399</v>
      </c>
      <c r="F325">
        <v>118.484472806531</v>
      </c>
    </row>
    <row r="326" spans="1:6" x14ac:dyDescent="0.25">
      <c r="A326" s="1">
        <v>41183</v>
      </c>
      <c r="B326" t="s">
        <v>4</v>
      </c>
      <c r="C326">
        <v>772</v>
      </c>
      <c r="D326">
        <v>51</v>
      </c>
      <c r="E326">
        <v>81.477800753819196</v>
      </c>
      <c r="F326">
        <v>78.450880246725802</v>
      </c>
    </row>
    <row r="327" spans="1:6" x14ac:dyDescent="0.25">
      <c r="A327" s="1">
        <v>41183</v>
      </c>
      <c r="B327" t="s">
        <v>5</v>
      </c>
      <c r="C327">
        <v>1462</v>
      </c>
      <c r="D327">
        <v>0</v>
      </c>
      <c r="E327">
        <v>28.810250783163301</v>
      </c>
      <c r="F327">
        <v>-93.543752768798598</v>
      </c>
    </row>
    <row r="328" spans="1:6" x14ac:dyDescent="0.25">
      <c r="A328" s="1">
        <v>41183</v>
      </c>
      <c r="B328" t="s">
        <v>6</v>
      </c>
      <c r="C328">
        <v>415</v>
      </c>
      <c r="D328">
        <v>0</v>
      </c>
      <c r="E328">
        <v>2.33156757307929</v>
      </c>
      <c r="F328">
        <v>-131.285396374953</v>
      </c>
    </row>
    <row r="329" spans="1:6" x14ac:dyDescent="0.25">
      <c r="A329" s="1">
        <v>41214</v>
      </c>
      <c r="B329" t="s">
        <v>3</v>
      </c>
      <c r="C329">
        <v>166896</v>
      </c>
      <c r="D329">
        <v>3368</v>
      </c>
      <c r="E329">
        <v>176.50896154978099</v>
      </c>
      <c r="F329">
        <v>123.328401755134</v>
      </c>
    </row>
    <row r="330" spans="1:6" x14ac:dyDescent="0.25">
      <c r="A330" s="1">
        <v>41214</v>
      </c>
      <c r="B330" t="s">
        <v>4</v>
      </c>
      <c r="C330">
        <v>803</v>
      </c>
      <c r="D330">
        <v>51</v>
      </c>
      <c r="E330">
        <v>84.7792603078572</v>
      </c>
      <c r="F330">
        <v>81.612755620046002</v>
      </c>
    </row>
    <row r="331" spans="1:6" x14ac:dyDescent="0.25">
      <c r="A331" s="1">
        <v>41214</v>
      </c>
      <c r="B331" t="s">
        <v>5</v>
      </c>
      <c r="C331">
        <v>1557</v>
      </c>
      <c r="D331">
        <v>0</v>
      </c>
      <c r="E331">
        <v>35.062731610017302</v>
      </c>
      <c r="F331">
        <v>-86.667490867902899</v>
      </c>
    </row>
    <row r="332" spans="1:6" x14ac:dyDescent="0.25">
      <c r="A332" s="1">
        <v>41214</v>
      </c>
      <c r="B332" t="s">
        <v>6</v>
      </c>
      <c r="C332">
        <v>509</v>
      </c>
      <c r="D332">
        <v>0</v>
      </c>
      <c r="E332">
        <v>9.3116405119745096</v>
      </c>
      <c r="F332">
        <v>-124.225032587191</v>
      </c>
    </row>
    <row r="333" spans="1:6" x14ac:dyDescent="0.25">
      <c r="A333" s="1">
        <v>41244</v>
      </c>
      <c r="B333" t="s">
        <v>3</v>
      </c>
      <c r="C333">
        <v>167410</v>
      </c>
      <c r="D333">
        <v>3473</v>
      </c>
      <c r="E333">
        <v>174.540307179102</v>
      </c>
      <c r="F333">
        <v>121.72432184082599</v>
      </c>
    </row>
    <row r="334" spans="1:6" x14ac:dyDescent="0.25">
      <c r="A334" s="1">
        <v>41244</v>
      </c>
      <c r="B334" t="s">
        <v>4</v>
      </c>
      <c r="C334">
        <v>840</v>
      </c>
      <c r="D334">
        <v>53</v>
      </c>
      <c r="E334">
        <v>79.829364398701301</v>
      </c>
      <c r="F334">
        <v>76.624876996938298</v>
      </c>
    </row>
    <row r="335" spans="1:6" x14ac:dyDescent="0.25">
      <c r="A335" s="1">
        <v>41244</v>
      </c>
      <c r="B335" t="s">
        <v>5</v>
      </c>
      <c r="C335">
        <v>1683</v>
      </c>
      <c r="D335">
        <v>0</v>
      </c>
      <c r="E335">
        <v>33.242843836006102</v>
      </c>
      <c r="F335">
        <v>-87.879210028289606</v>
      </c>
    </row>
    <row r="336" spans="1:6" x14ac:dyDescent="0.25">
      <c r="A336" s="1">
        <v>41244</v>
      </c>
      <c r="B336" t="s">
        <v>6</v>
      </c>
      <c r="C336">
        <v>623</v>
      </c>
      <c r="D336">
        <v>0</v>
      </c>
      <c r="E336">
        <v>8.6876944387811808</v>
      </c>
      <c r="F336">
        <v>-124.525915978177</v>
      </c>
    </row>
    <row r="337" spans="1:6" x14ac:dyDescent="0.25">
      <c r="A337" s="1">
        <v>41275</v>
      </c>
      <c r="B337" t="s">
        <v>3</v>
      </c>
      <c r="C337">
        <v>167369</v>
      </c>
      <c r="D337">
        <v>3563</v>
      </c>
      <c r="E337">
        <v>172.55886595285401</v>
      </c>
      <c r="F337">
        <v>120.237144797537</v>
      </c>
    </row>
    <row r="338" spans="1:6" x14ac:dyDescent="0.25">
      <c r="A338" s="1">
        <v>41275</v>
      </c>
      <c r="B338" t="s">
        <v>4</v>
      </c>
      <c r="C338">
        <v>862</v>
      </c>
      <c r="D338">
        <v>58</v>
      </c>
      <c r="E338">
        <v>78.329855795120196</v>
      </c>
      <c r="F338">
        <v>75.399143700450594</v>
      </c>
    </row>
    <row r="339" spans="1:6" x14ac:dyDescent="0.25">
      <c r="A339" s="1">
        <v>41275</v>
      </c>
      <c r="B339" t="s">
        <v>5</v>
      </c>
      <c r="C339">
        <v>1772</v>
      </c>
      <c r="D339">
        <v>0</v>
      </c>
      <c r="E339">
        <v>31.088002652242398</v>
      </c>
      <c r="F339">
        <v>-88.067790035688901</v>
      </c>
    </row>
    <row r="340" spans="1:6" x14ac:dyDescent="0.25">
      <c r="A340" s="1">
        <v>41275</v>
      </c>
      <c r="B340" t="s">
        <v>6</v>
      </c>
      <c r="C340">
        <v>707</v>
      </c>
      <c r="D340">
        <v>0</v>
      </c>
      <c r="E340">
        <v>7.0974506203798899</v>
      </c>
      <c r="F340">
        <v>-125.913735308661</v>
      </c>
    </row>
    <row r="341" spans="1:6" x14ac:dyDescent="0.25">
      <c r="A341" s="1">
        <v>41306</v>
      </c>
      <c r="B341" t="s">
        <v>3</v>
      </c>
      <c r="C341">
        <v>167588</v>
      </c>
      <c r="D341">
        <v>3658</v>
      </c>
      <c r="E341">
        <v>161.73704000984301</v>
      </c>
      <c r="F341">
        <v>111.30774689163501</v>
      </c>
    </row>
    <row r="342" spans="1:6" x14ac:dyDescent="0.25">
      <c r="A342" s="1">
        <v>41306</v>
      </c>
      <c r="B342" t="s">
        <v>4</v>
      </c>
      <c r="C342">
        <v>883</v>
      </c>
      <c r="D342">
        <v>57</v>
      </c>
      <c r="E342">
        <v>66.194573975700905</v>
      </c>
      <c r="F342">
        <v>63.028128554221396</v>
      </c>
    </row>
    <row r="343" spans="1:6" x14ac:dyDescent="0.25">
      <c r="A343" s="1">
        <v>41306</v>
      </c>
      <c r="B343" t="s">
        <v>5</v>
      </c>
      <c r="C343">
        <v>1884</v>
      </c>
      <c r="D343">
        <v>0</v>
      </c>
      <c r="E343">
        <v>20.821094686420899</v>
      </c>
      <c r="F343">
        <v>-96.2854641378282</v>
      </c>
    </row>
    <row r="344" spans="1:6" x14ac:dyDescent="0.25">
      <c r="A344" s="1">
        <v>41306</v>
      </c>
      <c r="B344" t="s">
        <v>6</v>
      </c>
      <c r="C344">
        <v>803</v>
      </c>
      <c r="D344">
        <v>0</v>
      </c>
      <c r="E344">
        <v>-2.3799042375530699</v>
      </c>
      <c r="F344">
        <v>-135.19515253414099</v>
      </c>
    </row>
    <row r="345" spans="1:6" x14ac:dyDescent="0.25">
      <c r="A345" s="1">
        <v>41334</v>
      </c>
      <c r="B345" t="s">
        <v>3</v>
      </c>
      <c r="C345">
        <v>167731</v>
      </c>
      <c r="D345">
        <v>3750</v>
      </c>
      <c r="E345">
        <v>143.279626186955</v>
      </c>
      <c r="F345">
        <v>95.743989998170505</v>
      </c>
    </row>
    <row r="346" spans="1:6" x14ac:dyDescent="0.25">
      <c r="A346" s="1">
        <v>41334</v>
      </c>
      <c r="B346" t="s">
        <v>4</v>
      </c>
      <c r="C346">
        <v>909</v>
      </c>
      <c r="D346">
        <v>60</v>
      </c>
      <c r="E346">
        <v>47.646774390551997</v>
      </c>
      <c r="F346">
        <v>44.450274395003902</v>
      </c>
    </row>
    <row r="347" spans="1:6" x14ac:dyDescent="0.25">
      <c r="A347" s="1">
        <v>41334</v>
      </c>
      <c r="B347" t="s">
        <v>5</v>
      </c>
      <c r="C347">
        <v>2008</v>
      </c>
      <c r="D347">
        <v>0</v>
      </c>
      <c r="E347">
        <v>3.3548472879931199</v>
      </c>
      <c r="F347">
        <v>-111.21402828330601</v>
      </c>
    </row>
    <row r="348" spans="1:6" x14ac:dyDescent="0.25">
      <c r="A348" s="1">
        <v>41334</v>
      </c>
      <c r="B348" t="s">
        <v>6</v>
      </c>
      <c r="C348">
        <v>924</v>
      </c>
      <c r="D348">
        <v>0</v>
      </c>
      <c r="E348">
        <v>-19.1214881076415</v>
      </c>
      <c r="F348">
        <v>-151.785333703058</v>
      </c>
    </row>
    <row r="349" spans="1:6" x14ac:dyDescent="0.25">
      <c r="A349" s="1">
        <v>41365</v>
      </c>
      <c r="B349" t="s">
        <v>3</v>
      </c>
      <c r="C349">
        <v>167704</v>
      </c>
      <c r="D349">
        <v>3826</v>
      </c>
      <c r="E349">
        <v>136.45841635877699</v>
      </c>
      <c r="F349">
        <v>91.236051298397896</v>
      </c>
    </row>
    <row r="350" spans="1:6" x14ac:dyDescent="0.25">
      <c r="A350" s="1">
        <v>41365</v>
      </c>
      <c r="B350" t="s">
        <v>4</v>
      </c>
      <c r="C350">
        <v>932</v>
      </c>
      <c r="D350">
        <v>59</v>
      </c>
      <c r="E350">
        <v>41.562122371241699</v>
      </c>
      <c r="F350">
        <v>39.428012088324003</v>
      </c>
    </row>
    <row r="351" spans="1:6" x14ac:dyDescent="0.25">
      <c r="A351" s="1">
        <v>41365</v>
      </c>
      <c r="B351" t="s">
        <v>5</v>
      </c>
      <c r="C351">
        <v>2143</v>
      </c>
      <c r="D351">
        <v>0</v>
      </c>
      <c r="E351">
        <v>-1.85232775912442</v>
      </c>
      <c r="F351">
        <v>-110.32455857925601</v>
      </c>
    </row>
    <row r="352" spans="1:6" x14ac:dyDescent="0.25">
      <c r="A352" s="1">
        <v>41365</v>
      </c>
      <c r="B352" t="s">
        <v>6</v>
      </c>
      <c r="C352">
        <v>1042</v>
      </c>
      <c r="D352">
        <v>0</v>
      </c>
      <c r="E352">
        <v>-24.3027429095667</v>
      </c>
      <c r="F352">
        <v>-156.58789498276599</v>
      </c>
    </row>
    <row r="353" spans="1:6" x14ac:dyDescent="0.25">
      <c r="A353" s="1">
        <v>41395</v>
      </c>
      <c r="B353" t="s">
        <v>3</v>
      </c>
      <c r="C353">
        <v>167738</v>
      </c>
      <c r="D353">
        <v>3939</v>
      </c>
      <c r="E353">
        <v>144.548471335192</v>
      </c>
      <c r="F353">
        <v>99.297885843514095</v>
      </c>
    </row>
    <row r="354" spans="1:6" x14ac:dyDescent="0.25">
      <c r="A354" s="1">
        <v>41395</v>
      </c>
      <c r="B354" t="s">
        <v>4</v>
      </c>
      <c r="C354">
        <v>949</v>
      </c>
      <c r="D354">
        <v>63</v>
      </c>
      <c r="E354">
        <v>52.886492981869402</v>
      </c>
      <c r="F354">
        <v>50.9380813113644</v>
      </c>
    </row>
    <row r="355" spans="1:6" x14ac:dyDescent="0.25">
      <c r="A355" s="1">
        <v>41395</v>
      </c>
      <c r="B355" t="s">
        <v>5</v>
      </c>
      <c r="C355">
        <v>2261</v>
      </c>
      <c r="D355">
        <v>0</v>
      </c>
      <c r="E355">
        <v>8.3770957185732602</v>
      </c>
      <c r="F355">
        <v>-96.308334985345198</v>
      </c>
    </row>
    <row r="356" spans="1:6" x14ac:dyDescent="0.25">
      <c r="A356" s="1">
        <v>41395</v>
      </c>
      <c r="B356" t="s">
        <v>6</v>
      </c>
      <c r="C356">
        <v>1149</v>
      </c>
      <c r="D356">
        <v>0</v>
      </c>
      <c r="E356">
        <v>-15.111411007820699</v>
      </c>
      <c r="F356">
        <v>-147.11097713275501</v>
      </c>
    </row>
    <row r="357" spans="1:6" x14ac:dyDescent="0.25">
      <c r="A357" s="1">
        <v>41426</v>
      </c>
      <c r="B357" t="s">
        <v>3</v>
      </c>
      <c r="C357">
        <v>167856</v>
      </c>
      <c r="D357">
        <v>4077</v>
      </c>
      <c r="E357">
        <v>134.13611028948901</v>
      </c>
      <c r="F357">
        <v>91.165050557773796</v>
      </c>
    </row>
    <row r="358" spans="1:6" x14ac:dyDescent="0.25">
      <c r="A358" s="1">
        <v>41426</v>
      </c>
      <c r="B358" t="s">
        <v>4</v>
      </c>
      <c r="C358">
        <v>972</v>
      </c>
      <c r="D358">
        <v>65</v>
      </c>
      <c r="E358">
        <v>44.155390613701897</v>
      </c>
      <c r="F358">
        <v>42.154604199411402</v>
      </c>
    </row>
    <row r="359" spans="1:6" x14ac:dyDescent="0.25">
      <c r="A359" s="1">
        <v>41426</v>
      </c>
      <c r="B359" t="s">
        <v>5</v>
      </c>
      <c r="C359">
        <v>2381</v>
      </c>
      <c r="D359">
        <v>0</v>
      </c>
      <c r="E359">
        <v>8.6800435056834697</v>
      </c>
      <c r="F359">
        <v>-98.493452433755294</v>
      </c>
    </row>
    <row r="360" spans="1:6" x14ac:dyDescent="0.25">
      <c r="A360" s="1">
        <v>41426</v>
      </c>
      <c r="B360" t="s">
        <v>6</v>
      </c>
      <c r="C360">
        <v>1253</v>
      </c>
      <c r="D360">
        <v>0</v>
      </c>
      <c r="E360">
        <v>-23.812014872407801</v>
      </c>
      <c r="F360">
        <v>-155.61523254051201</v>
      </c>
    </row>
    <row r="361" spans="1:6" x14ac:dyDescent="0.25">
      <c r="A361" s="1">
        <v>41456</v>
      </c>
      <c r="B361" t="s">
        <v>3</v>
      </c>
      <c r="C361">
        <v>168020</v>
      </c>
      <c r="D361">
        <v>4180</v>
      </c>
      <c r="E361">
        <v>75.892824502367901</v>
      </c>
      <c r="F361">
        <v>40.728865012110099</v>
      </c>
    </row>
    <row r="362" spans="1:6" x14ac:dyDescent="0.25">
      <c r="A362" s="1">
        <v>41456</v>
      </c>
      <c r="B362" t="s">
        <v>4</v>
      </c>
      <c r="C362">
        <v>995</v>
      </c>
      <c r="D362">
        <v>66</v>
      </c>
      <c r="E362">
        <v>-11.822492713775301</v>
      </c>
      <c r="F362">
        <v>-14.047429884422099</v>
      </c>
    </row>
    <row r="363" spans="1:6" x14ac:dyDescent="0.25">
      <c r="A363" s="1">
        <v>41456</v>
      </c>
      <c r="B363" t="s">
        <v>5</v>
      </c>
      <c r="C363">
        <v>2498</v>
      </c>
      <c r="D363">
        <v>0</v>
      </c>
      <c r="E363">
        <v>-39.158668513172998</v>
      </c>
      <c r="F363">
        <v>-149.703489008584</v>
      </c>
    </row>
    <row r="364" spans="1:6" x14ac:dyDescent="0.25">
      <c r="A364" s="1">
        <v>41456</v>
      </c>
      <c r="B364" t="s">
        <v>6</v>
      </c>
      <c r="C364">
        <v>1350</v>
      </c>
      <c r="D364">
        <v>0</v>
      </c>
      <c r="E364">
        <v>-78.757828940362103</v>
      </c>
      <c r="F364">
        <v>-210.367209313123</v>
      </c>
    </row>
    <row r="365" spans="1:6" x14ac:dyDescent="0.25">
      <c r="A365" s="1">
        <v>41487</v>
      </c>
      <c r="B365" t="s">
        <v>3</v>
      </c>
      <c r="C365">
        <v>167898</v>
      </c>
      <c r="D365">
        <v>4316</v>
      </c>
      <c r="E365">
        <v>42.077713759528699</v>
      </c>
      <c r="F365">
        <v>10.932081748781499</v>
      </c>
    </row>
    <row r="366" spans="1:6" x14ac:dyDescent="0.25">
      <c r="A366" s="1">
        <v>41487</v>
      </c>
      <c r="B366" t="s">
        <v>4</v>
      </c>
      <c r="C366">
        <v>1019</v>
      </c>
      <c r="D366">
        <v>71</v>
      </c>
      <c r="E366">
        <v>-42.008374196683597</v>
      </c>
      <c r="F366">
        <v>-44.716249794354297</v>
      </c>
    </row>
    <row r="367" spans="1:6" x14ac:dyDescent="0.25">
      <c r="A367" s="1">
        <v>41487</v>
      </c>
      <c r="B367" t="s">
        <v>5</v>
      </c>
      <c r="C367">
        <v>2594</v>
      </c>
      <c r="D367">
        <v>0</v>
      </c>
      <c r="E367">
        <v>-83.395086711062405</v>
      </c>
      <c r="F367">
        <v>-198.97646308505699</v>
      </c>
    </row>
    <row r="368" spans="1:6" x14ac:dyDescent="0.25">
      <c r="A368" s="1">
        <v>41487</v>
      </c>
      <c r="B368" t="s">
        <v>6</v>
      </c>
      <c r="C368">
        <v>1432</v>
      </c>
      <c r="D368">
        <v>0</v>
      </c>
      <c r="E368">
        <v>-141.50167744705701</v>
      </c>
      <c r="F368">
        <v>-272.79964015704002</v>
      </c>
    </row>
    <row r="369" spans="1:6" x14ac:dyDescent="0.25">
      <c r="A369" s="1">
        <v>41518</v>
      </c>
      <c r="B369" t="s">
        <v>3</v>
      </c>
      <c r="C369">
        <v>167858</v>
      </c>
      <c r="D369">
        <v>4399</v>
      </c>
      <c r="E369">
        <v>29.670641917016699</v>
      </c>
      <c r="F369">
        <v>0.40304044420725099</v>
      </c>
    </row>
    <row r="370" spans="1:6" x14ac:dyDescent="0.25">
      <c r="A370" s="1">
        <v>41518</v>
      </c>
      <c r="B370" t="s">
        <v>4</v>
      </c>
      <c r="C370">
        <v>1042</v>
      </c>
      <c r="D370">
        <v>80</v>
      </c>
      <c r="E370">
        <v>-50.960358304586499</v>
      </c>
      <c r="F370">
        <v>-53.759928800163003</v>
      </c>
    </row>
    <row r="371" spans="1:6" x14ac:dyDescent="0.25">
      <c r="A371" s="1">
        <v>41518</v>
      </c>
      <c r="B371" t="s">
        <v>5</v>
      </c>
      <c r="C371">
        <v>2695</v>
      </c>
      <c r="D371">
        <v>0</v>
      </c>
      <c r="E371">
        <v>-82.841910557307699</v>
      </c>
      <c r="F371">
        <v>-203.468370016758</v>
      </c>
    </row>
    <row r="372" spans="1:6" x14ac:dyDescent="0.25">
      <c r="A372" s="1">
        <v>41518</v>
      </c>
      <c r="B372" t="s">
        <v>6</v>
      </c>
      <c r="C372">
        <v>1517</v>
      </c>
      <c r="D372">
        <v>0</v>
      </c>
      <c r="E372">
        <v>-150.447525505389</v>
      </c>
      <c r="F372">
        <v>-282.12238110005399</v>
      </c>
    </row>
    <row r="373" spans="1:6" x14ac:dyDescent="0.25">
      <c r="A373" s="1">
        <v>41548</v>
      </c>
      <c r="B373" t="s">
        <v>3</v>
      </c>
      <c r="C373">
        <v>167862</v>
      </c>
      <c r="D373">
        <v>4558</v>
      </c>
      <c r="E373">
        <v>25.985154993762801</v>
      </c>
      <c r="F373">
        <v>-2.9925252808259102</v>
      </c>
    </row>
    <row r="374" spans="1:6" x14ac:dyDescent="0.25">
      <c r="A374" s="1">
        <v>41548</v>
      </c>
      <c r="B374" t="s">
        <v>4</v>
      </c>
      <c r="C374">
        <v>1068</v>
      </c>
      <c r="D374">
        <v>80</v>
      </c>
      <c r="E374">
        <v>-51.108446729962097</v>
      </c>
      <c r="F374">
        <v>-54.1771877783845</v>
      </c>
    </row>
    <row r="375" spans="1:6" x14ac:dyDescent="0.25">
      <c r="A375" s="1">
        <v>41548</v>
      </c>
      <c r="B375" t="s">
        <v>5</v>
      </c>
      <c r="C375">
        <v>2780</v>
      </c>
      <c r="D375">
        <v>0</v>
      </c>
      <c r="E375">
        <v>-84.622762446136505</v>
      </c>
      <c r="F375">
        <v>-205.092654548025</v>
      </c>
    </row>
    <row r="376" spans="1:6" x14ac:dyDescent="0.25">
      <c r="A376" s="1">
        <v>41548</v>
      </c>
      <c r="B376" t="s">
        <v>6</v>
      </c>
      <c r="C376">
        <v>1605</v>
      </c>
      <c r="D376">
        <v>0</v>
      </c>
      <c r="E376">
        <v>-151.11778026074199</v>
      </c>
      <c r="F376">
        <v>-283.25441440360203</v>
      </c>
    </row>
    <row r="377" spans="1:6" x14ac:dyDescent="0.25">
      <c r="A377" s="1">
        <v>41579</v>
      </c>
      <c r="B377" t="s">
        <v>3</v>
      </c>
      <c r="C377">
        <v>167757</v>
      </c>
      <c r="D377">
        <v>4703</v>
      </c>
      <c r="E377">
        <v>54.577944742444899</v>
      </c>
      <c r="F377">
        <v>22.270124279054698</v>
      </c>
    </row>
    <row r="378" spans="1:6" x14ac:dyDescent="0.25">
      <c r="A378" s="1">
        <v>41579</v>
      </c>
      <c r="B378" t="s">
        <v>4</v>
      </c>
      <c r="C378">
        <v>1086</v>
      </c>
      <c r="D378">
        <v>83</v>
      </c>
      <c r="E378">
        <v>-19.738677048454701</v>
      </c>
      <c r="F378">
        <v>-22.934202003044199</v>
      </c>
    </row>
    <row r="379" spans="1:6" x14ac:dyDescent="0.25">
      <c r="A379" s="1">
        <v>41579</v>
      </c>
      <c r="B379" t="s">
        <v>5</v>
      </c>
      <c r="C379">
        <v>2875</v>
      </c>
      <c r="D379">
        <v>0</v>
      </c>
      <c r="E379">
        <v>-53.279030363604498</v>
      </c>
      <c r="F379">
        <v>-174.369966342304</v>
      </c>
    </row>
    <row r="380" spans="1:6" x14ac:dyDescent="0.25">
      <c r="A380" s="1">
        <v>41579</v>
      </c>
      <c r="B380" t="s">
        <v>6</v>
      </c>
      <c r="C380">
        <v>1688</v>
      </c>
      <c r="D380">
        <v>0</v>
      </c>
      <c r="E380">
        <v>-120.141020120245</v>
      </c>
      <c r="F380">
        <v>-252.50118157701399</v>
      </c>
    </row>
    <row r="381" spans="1:6" x14ac:dyDescent="0.25">
      <c r="A381" s="1">
        <v>41609</v>
      </c>
      <c r="B381" t="s">
        <v>3</v>
      </c>
      <c r="C381">
        <v>167893</v>
      </c>
      <c r="D381">
        <v>4985</v>
      </c>
      <c r="E381">
        <v>44.721464821635799</v>
      </c>
      <c r="F381">
        <v>12.9716932092054</v>
      </c>
    </row>
    <row r="382" spans="1:6" x14ac:dyDescent="0.25">
      <c r="A382" s="1">
        <v>41609</v>
      </c>
      <c r="B382" t="s">
        <v>4</v>
      </c>
      <c r="C382">
        <v>1107</v>
      </c>
      <c r="D382">
        <v>78</v>
      </c>
      <c r="E382">
        <v>-25.3055685832385</v>
      </c>
      <c r="F382">
        <v>-29.873170704715001</v>
      </c>
    </row>
    <row r="383" spans="1:6" x14ac:dyDescent="0.25">
      <c r="A383" s="1">
        <v>41609</v>
      </c>
      <c r="B383" t="s">
        <v>5</v>
      </c>
      <c r="C383">
        <v>2973</v>
      </c>
      <c r="D383">
        <v>0</v>
      </c>
      <c r="E383">
        <v>-60.9549187189455</v>
      </c>
      <c r="F383">
        <v>-181.57913934590999</v>
      </c>
    </row>
    <row r="384" spans="1:6" x14ac:dyDescent="0.25">
      <c r="A384" s="1">
        <v>41609</v>
      </c>
      <c r="B384" t="s">
        <v>6</v>
      </c>
      <c r="C384">
        <v>1747</v>
      </c>
      <c r="D384">
        <v>0</v>
      </c>
      <c r="E384">
        <v>-125.680513851565</v>
      </c>
      <c r="F384">
        <v>-258.13333958754799</v>
      </c>
    </row>
    <row r="385" spans="1:6" x14ac:dyDescent="0.25">
      <c r="A385" s="1">
        <v>41640</v>
      </c>
      <c r="B385" t="s">
        <v>3</v>
      </c>
      <c r="C385">
        <v>167880</v>
      </c>
      <c r="D385">
        <v>5058</v>
      </c>
      <c r="E385">
        <v>25.2259215480641</v>
      </c>
      <c r="F385">
        <v>-4.2543712093641002</v>
      </c>
    </row>
    <row r="386" spans="1:6" x14ac:dyDescent="0.25">
      <c r="A386" s="1">
        <v>41640</v>
      </c>
      <c r="B386" t="s">
        <v>4</v>
      </c>
      <c r="C386">
        <v>1120</v>
      </c>
      <c r="D386">
        <v>80</v>
      </c>
      <c r="E386">
        <v>-41.714102339941903</v>
      </c>
      <c r="F386">
        <v>-46.247072551568699</v>
      </c>
    </row>
    <row r="387" spans="1:6" x14ac:dyDescent="0.25">
      <c r="A387" s="1">
        <v>41640</v>
      </c>
      <c r="B387" t="s">
        <v>5</v>
      </c>
      <c r="C387">
        <v>3038</v>
      </c>
      <c r="D387">
        <v>0</v>
      </c>
      <c r="E387">
        <v>-76.977364592085394</v>
      </c>
      <c r="F387">
        <v>-197.59219651711601</v>
      </c>
    </row>
    <row r="388" spans="1:6" x14ac:dyDescent="0.25">
      <c r="A388" s="1">
        <v>41640</v>
      </c>
      <c r="B388" t="s">
        <v>6</v>
      </c>
      <c r="C388">
        <v>1805</v>
      </c>
      <c r="D388">
        <v>0</v>
      </c>
      <c r="E388">
        <v>-143.40291243075399</v>
      </c>
      <c r="F388">
        <v>-275.777066197625</v>
      </c>
    </row>
    <row r="389" spans="1:6" x14ac:dyDescent="0.25">
      <c r="A389" s="1">
        <v>41671</v>
      </c>
      <c r="B389" t="s">
        <v>3</v>
      </c>
      <c r="C389">
        <v>167816</v>
      </c>
      <c r="D389">
        <v>5172</v>
      </c>
      <c r="E389">
        <v>25.128449219056101</v>
      </c>
      <c r="F389">
        <v>-4.2720706355693601</v>
      </c>
    </row>
    <row r="390" spans="1:6" x14ac:dyDescent="0.25">
      <c r="A390" s="1">
        <v>41671</v>
      </c>
      <c r="B390" t="s">
        <v>4</v>
      </c>
      <c r="C390">
        <v>1129</v>
      </c>
      <c r="D390">
        <v>81</v>
      </c>
      <c r="E390">
        <v>-39.754964619093798</v>
      </c>
      <c r="F390">
        <v>-44.323121622727598</v>
      </c>
    </row>
    <row r="391" spans="1:6" x14ac:dyDescent="0.25">
      <c r="A391" s="1">
        <v>41671</v>
      </c>
      <c r="B391" t="s">
        <v>5</v>
      </c>
      <c r="C391">
        <v>3094</v>
      </c>
      <c r="D391">
        <v>0</v>
      </c>
      <c r="E391">
        <v>-73.866395374766498</v>
      </c>
      <c r="F391">
        <v>-194.533449395692</v>
      </c>
    </row>
    <row r="392" spans="1:6" x14ac:dyDescent="0.25">
      <c r="A392" s="1">
        <v>41671</v>
      </c>
      <c r="B392" t="s">
        <v>6</v>
      </c>
      <c r="C392">
        <v>1854</v>
      </c>
      <c r="D392">
        <v>0</v>
      </c>
      <c r="E392">
        <v>-141.955758097776</v>
      </c>
      <c r="F392">
        <v>-274.17066890724499</v>
      </c>
    </row>
    <row r="393" spans="1:6" x14ac:dyDescent="0.25">
      <c r="A393" s="1">
        <v>41699</v>
      </c>
      <c r="B393" t="s">
        <v>3</v>
      </c>
      <c r="C393">
        <v>167711</v>
      </c>
      <c r="D393">
        <v>5262</v>
      </c>
      <c r="E393">
        <v>37.867007300124698</v>
      </c>
      <c r="F393">
        <v>7.3300827408239702</v>
      </c>
    </row>
    <row r="394" spans="1:6" x14ac:dyDescent="0.25">
      <c r="A394" s="1">
        <v>41699</v>
      </c>
      <c r="B394" t="s">
        <v>4</v>
      </c>
      <c r="C394">
        <v>1143</v>
      </c>
      <c r="D394">
        <v>80</v>
      </c>
      <c r="E394">
        <v>-25.6199014016441</v>
      </c>
      <c r="F394">
        <v>-30.1737039142734</v>
      </c>
    </row>
    <row r="395" spans="1:6" x14ac:dyDescent="0.25">
      <c r="A395" s="1">
        <v>41699</v>
      </c>
      <c r="B395" t="s">
        <v>5</v>
      </c>
      <c r="C395">
        <v>3164</v>
      </c>
      <c r="D395">
        <v>0</v>
      </c>
      <c r="E395">
        <v>-57.606057626353099</v>
      </c>
      <c r="F395">
        <v>-178.700127790941</v>
      </c>
    </row>
    <row r="396" spans="1:6" x14ac:dyDescent="0.25">
      <c r="A396" s="1">
        <v>41699</v>
      </c>
      <c r="B396" t="s">
        <v>6</v>
      </c>
      <c r="C396">
        <v>1900</v>
      </c>
      <c r="D396">
        <v>0</v>
      </c>
      <c r="E396">
        <v>-127.928462206833</v>
      </c>
      <c r="F396">
        <v>-259.87876577275898</v>
      </c>
    </row>
    <row r="397" spans="1:6" x14ac:dyDescent="0.25">
      <c r="A397" s="1">
        <v>41730</v>
      </c>
      <c r="B397" t="s">
        <v>3</v>
      </c>
      <c r="C397">
        <v>167609</v>
      </c>
      <c r="D397">
        <v>5458</v>
      </c>
      <c r="E397">
        <v>36.154222453592503</v>
      </c>
      <c r="F397">
        <v>6.6957277858175699</v>
      </c>
    </row>
    <row r="398" spans="1:6" x14ac:dyDescent="0.25">
      <c r="A398" s="1">
        <v>41730</v>
      </c>
      <c r="B398" t="s">
        <v>4</v>
      </c>
      <c r="C398">
        <v>1153</v>
      </c>
      <c r="D398">
        <v>84</v>
      </c>
      <c r="E398">
        <v>-25.983380862116999</v>
      </c>
      <c r="F398">
        <v>-29.374384892809701</v>
      </c>
    </row>
    <row r="399" spans="1:6" x14ac:dyDescent="0.25">
      <c r="A399" s="1">
        <v>41730</v>
      </c>
      <c r="B399" t="s">
        <v>5</v>
      </c>
      <c r="C399">
        <v>3214</v>
      </c>
      <c r="D399">
        <v>0</v>
      </c>
      <c r="E399">
        <v>-50.839662430403799</v>
      </c>
      <c r="F399">
        <v>-176.16880810336599</v>
      </c>
    </row>
    <row r="400" spans="1:6" x14ac:dyDescent="0.25">
      <c r="A400" s="1">
        <v>41730</v>
      </c>
      <c r="B400" t="s">
        <v>6</v>
      </c>
      <c r="C400">
        <v>1945</v>
      </c>
      <c r="D400">
        <v>0</v>
      </c>
      <c r="E400">
        <v>-129.611413998877</v>
      </c>
      <c r="F400">
        <v>-260.84928127779898</v>
      </c>
    </row>
    <row r="401" spans="1:6" x14ac:dyDescent="0.25">
      <c r="A401" s="1">
        <v>41760</v>
      </c>
      <c r="B401" t="s">
        <v>3</v>
      </c>
      <c r="C401">
        <v>167527</v>
      </c>
      <c r="D401">
        <v>5493</v>
      </c>
      <c r="E401">
        <v>36.818243646413997</v>
      </c>
      <c r="F401">
        <v>8.1517231075014909</v>
      </c>
    </row>
    <row r="402" spans="1:6" x14ac:dyDescent="0.25">
      <c r="A402" s="1">
        <v>41760</v>
      </c>
      <c r="B402" t="s">
        <v>4</v>
      </c>
      <c r="C402">
        <v>1159</v>
      </c>
      <c r="D402">
        <v>84</v>
      </c>
      <c r="E402">
        <v>-24.084778393886101</v>
      </c>
      <c r="F402">
        <v>-27.478833606270101</v>
      </c>
    </row>
    <row r="403" spans="1:6" x14ac:dyDescent="0.25">
      <c r="A403" s="1">
        <v>41760</v>
      </c>
      <c r="B403" t="s">
        <v>5</v>
      </c>
      <c r="C403">
        <v>3259</v>
      </c>
      <c r="D403">
        <v>0</v>
      </c>
      <c r="E403">
        <v>-35.945747966305902</v>
      </c>
      <c r="F403">
        <v>-168.84305255432801</v>
      </c>
    </row>
    <row r="404" spans="1:6" x14ac:dyDescent="0.25">
      <c r="A404" s="1">
        <v>41760</v>
      </c>
      <c r="B404" t="s">
        <v>6</v>
      </c>
      <c r="C404">
        <v>1977</v>
      </c>
      <c r="D404">
        <v>0</v>
      </c>
      <c r="E404">
        <v>-130.8062981118</v>
      </c>
      <c r="F404">
        <v>-261.395198317611</v>
      </c>
    </row>
    <row r="405" spans="1:6" x14ac:dyDescent="0.25">
      <c r="A405" s="1">
        <v>41791</v>
      </c>
      <c r="B405" t="s">
        <v>3</v>
      </c>
      <c r="C405">
        <v>167424</v>
      </c>
      <c r="D405">
        <v>5544</v>
      </c>
      <c r="E405">
        <v>55.155180787509302</v>
      </c>
      <c r="F405">
        <v>25.400213702387902</v>
      </c>
    </row>
    <row r="406" spans="1:6" x14ac:dyDescent="0.25">
      <c r="A406" s="1">
        <v>41791</v>
      </c>
      <c r="B406" t="s">
        <v>4</v>
      </c>
      <c r="C406">
        <v>1164</v>
      </c>
      <c r="D406">
        <v>87</v>
      </c>
      <c r="E406">
        <v>-4.0395411608184597</v>
      </c>
      <c r="F406">
        <v>-7.17846372223641</v>
      </c>
    </row>
    <row r="407" spans="1:6" x14ac:dyDescent="0.25">
      <c r="A407" s="1">
        <v>41791</v>
      </c>
      <c r="B407" t="s">
        <v>5</v>
      </c>
      <c r="C407">
        <v>3302</v>
      </c>
      <c r="D407">
        <v>0</v>
      </c>
      <c r="E407">
        <v>-2.8745022189706702</v>
      </c>
      <c r="F407">
        <v>-142.60501923273699</v>
      </c>
    </row>
    <row r="408" spans="1:6" x14ac:dyDescent="0.25">
      <c r="A408" s="1">
        <v>41791</v>
      </c>
      <c r="B408" t="s">
        <v>6</v>
      </c>
      <c r="C408">
        <v>2006</v>
      </c>
      <c r="D408">
        <v>0</v>
      </c>
      <c r="E408">
        <v>-112.43641742838</v>
      </c>
      <c r="F408">
        <v>-241.95086514979201</v>
      </c>
    </row>
    <row r="409" spans="1:6" x14ac:dyDescent="0.25">
      <c r="A409" s="1">
        <v>41821</v>
      </c>
      <c r="B409" t="s">
        <v>3</v>
      </c>
      <c r="C409">
        <v>167365</v>
      </c>
      <c r="D409">
        <v>5610</v>
      </c>
      <c r="E409">
        <v>56.4134660892352</v>
      </c>
      <c r="F409">
        <v>26.911536116643799</v>
      </c>
    </row>
    <row r="410" spans="1:6" x14ac:dyDescent="0.25">
      <c r="A410" s="1">
        <v>41821</v>
      </c>
      <c r="B410" t="s">
        <v>4</v>
      </c>
      <c r="C410">
        <v>1167</v>
      </c>
      <c r="D410">
        <v>89</v>
      </c>
      <c r="E410">
        <v>-1.4607704492751901</v>
      </c>
      <c r="F410">
        <v>-4.5743515505459396</v>
      </c>
    </row>
    <row r="411" spans="1:6" x14ac:dyDescent="0.25">
      <c r="A411" s="1">
        <v>41821</v>
      </c>
      <c r="B411" t="s">
        <v>5</v>
      </c>
      <c r="C411">
        <v>3342</v>
      </c>
      <c r="D411">
        <v>0</v>
      </c>
      <c r="E411">
        <v>6.0882668506466704</v>
      </c>
      <c r="F411">
        <v>-137.59043357532099</v>
      </c>
    </row>
    <row r="412" spans="1:6" x14ac:dyDescent="0.25">
      <c r="A412" s="1">
        <v>41821</v>
      </c>
      <c r="B412" t="s">
        <v>6</v>
      </c>
      <c r="C412">
        <v>2033</v>
      </c>
      <c r="D412">
        <v>0</v>
      </c>
      <c r="E412">
        <v>-110.437720270089</v>
      </c>
      <c r="F412">
        <v>-239.001475392185</v>
      </c>
    </row>
    <row r="413" spans="1:6" x14ac:dyDescent="0.25">
      <c r="A413" s="1">
        <v>41852</v>
      </c>
      <c r="B413" t="s">
        <v>3</v>
      </c>
      <c r="C413">
        <v>167305</v>
      </c>
      <c r="D413">
        <v>5490</v>
      </c>
      <c r="E413">
        <v>57.542700875233898</v>
      </c>
      <c r="F413">
        <v>28.489467011108101</v>
      </c>
    </row>
    <row r="414" spans="1:6" x14ac:dyDescent="0.25">
      <c r="A414" s="1">
        <v>41852</v>
      </c>
      <c r="B414" t="s">
        <v>4</v>
      </c>
      <c r="C414">
        <v>1172</v>
      </c>
      <c r="D414">
        <v>86</v>
      </c>
      <c r="E414">
        <v>1.3110681354815401</v>
      </c>
      <c r="F414">
        <v>-1.84747245573354</v>
      </c>
    </row>
    <row r="415" spans="1:6" x14ac:dyDescent="0.25">
      <c r="A415" s="1">
        <v>41852</v>
      </c>
      <c r="B415" t="s">
        <v>5</v>
      </c>
      <c r="C415">
        <v>3381</v>
      </c>
      <c r="D415">
        <v>0</v>
      </c>
      <c r="E415">
        <v>11.402883350234699</v>
      </c>
      <c r="F415">
        <v>-132.31080305220999</v>
      </c>
    </row>
    <row r="416" spans="1:6" x14ac:dyDescent="0.25">
      <c r="A416" s="1">
        <v>41852</v>
      </c>
      <c r="B416" t="s">
        <v>6</v>
      </c>
      <c r="C416">
        <v>2058</v>
      </c>
      <c r="D416">
        <v>0</v>
      </c>
      <c r="E416">
        <v>-108.238171204925</v>
      </c>
      <c r="F416">
        <v>-235.69719095689899</v>
      </c>
    </row>
    <row r="417" spans="1:6" x14ac:dyDescent="0.25">
      <c r="A417" s="1">
        <v>41883</v>
      </c>
      <c r="B417" t="s">
        <v>3</v>
      </c>
      <c r="C417">
        <v>167266</v>
      </c>
      <c r="D417">
        <v>5738</v>
      </c>
      <c r="E417">
        <v>58.698074776554101</v>
      </c>
      <c r="F417">
        <v>29.9400298368388</v>
      </c>
    </row>
    <row r="418" spans="1:6" x14ac:dyDescent="0.25">
      <c r="A418" s="1">
        <v>41883</v>
      </c>
      <c r="B418" t="s">
        <v>4</v>
      </c>
      <c r="C418">
        <v>1181</v>
      </c>
      <c r="D418">
        <v>94</v>
      </c>
      <c r="E418">
        <v>4.6085011323931804</v>
      </c>
      <c r="F418">
        <v>1.27967182270399</v>
      </c>
    </row>
    <row r="419" spans="1:6" x14ac:dyDescent="0.25">
      <c r="A419" s="1">
        <v>41883</v>
      </c>
      <c r="B419" t="s">
        <v>5</v>
      </c>
      <c r="C419">
        <v>3414</v>
      </c>
      <c r="D419">
        <v>0</v>
      </c>
      <c r="E419">
        <v>19.570927441637402</v>
      </c>
      <c r="F419">
        <v>-126.893707241679</v>
      </c>
    </row>
    <row r="420" spans="1:6" x14ac:dyDescent="0.25">
      <c r="A420" s="1">
        <v>41883</v>
      </c>
      <c r="B420" t="s">
        <v>6</v>
      </c>
      <c r="C420">
        <v>2081</v>
      </c>
      <c r="D420">
        <v>0</v>
      </c>
      <c r="E420">
        <v>-105.918169104353</v>
      </c>
      <c r="F420">
        <v>-232.26704950384701</v>
      </c>
    </row>
    <row r="421" spans="1:6" x14ac:dyDescent="0.25">
      <c r="A421" s="1">
        <v>41913</v>
      </c>
      <c r="B421" t="s">
        <v>3</v>
      </c>
      <c r="C421">
        <v>167207</v>
      </c>
      <c r="D421">
        <v>5791</v>
      </c>
      <c r="E421">
        <v>54.621022052478999</v>
      </c>
      <c r="F421">
        <v>26.416466301472401</v>
      </c>
    </row>
    <row r="422" spans="1:6" x14ac:dyDescent="0.25">
      <c r="A422" s="1">
        <v>41913</v>
      </c>
      <c r="B422" t="s">
        <v>4</v>
      </c>
      <c r="C422">
        <v>1192</v>
      </c>
      <c r="D422">
        <v>95</v>
      </c>
      <c r="E422">
        <v>2.4867484620164699</v>
      </c>
      <c r="F422">
        <v>-0.79648389763494398</v>
      </c>
    </row>
    <row r="423" spans="1:6" x14ac:dyDescent="0.25">
      <c r="A423" s="1">
        <v>41913</v>
      </c>
      <c r="B423" t="s">
        <v>5</v>
      </c>
      <c r="C423">
        <v>3450</v>
      </c>
      <c r="D423">
        <v>0</v>
      </c>
      <c r="E423">
        <v>17.490081383411301</v>
      </c>
      <c r="F423">
        <v>-129.080379748014</v>
      </c>
    </row>
    <row r="424" spans="1:6" x14ac:dyDescent="0.25">
      <c r="A424" s="1">
        <v>41913</v>
      </c>
      <c r="B424" t="s">
        <v>6</v>
      </c>
      <c r="C424">
        <v>2099</v>
      </c>
      <c r="D424">
        <v>0</v>
      </c>
      <c r="E424">
        <v>-108.673678535791</v>
      </c>
      <c r="F424">
        <v>-234.53955507786901</v>
      </c>
    </row>
    <row r="425" spans="1:6" x14ac:dyDescent="0.25">
      <c r="A425" s="1">
        <v>41944</v>
      </c>
      <c r="B425" t="s">
        <v>3</v>
      </c>
      <c r="C425">
        <v>167179</v>
      </c>
      <c r="D425">
        <v>5869</v>
      </c>
      <c r="E425">
        <v>66.526670395745398</v>
      </c>
      <c r="F425">
        <v>37.484152900481902</v>
      </c>
    </row>
    <row r="426" spans="1:6" x14ac:dyDescent="0.25">
      <c r="A426" s="1">
        <v>41944</v>
      </c>
      <c r="B426" t="s">
        <v>4</v>
      </c>
      <c r="C426">
        <v>1202</v>
      </c>
      <c r="D426">
        <v>95</v>
      </c>
      <c r="E426">
        <v>15.579454156860001</v>
      </c>
      <c r="F426">
        <v>12.1022798569718</v>
      </c>
    </row>
    <row r="427" spans="1:6" x14ac:dyDescent="0.25">
      <c r="A427" s="1">
        <v>41944</v>
      </c>
      <c r="B427" t="s">
        <v>5</v>
      </c>
      <c r="C427">
        <v>3481</v>
      </c>
      <c r="D427">
        <v>0</v>
      </c>
      <c r="E427">
        <v>31.212936565941298</v>
      </c>
      <c r="F427">
        <v>-115.16467029237801</v>
      </c>
    </row>
    <row r="428" spans="1:6" x14ac:dyDescent="0.25">
      <c r="A428" s="1">
        <v>41944</v>
      </c>
      <c r="B428" t="s">
        <v>6</v>
      </c>
      <c r="C428">
        <v>2118</v>
      </c>
      <c r="D428">
        <v>0</v>
      </c>
      <c r="E428">
        <v>-95.364690107339896</v>
      </c>
      <c r="F428">
        <v>-220.67006670081</v>
      </c>
    </row>
    <row r="429" spans="1:6" x14ac:dyDescent="0.25">
      <c r="A429" s="1">
        <v>41974</v>
      </c>
      <c r="B429" t="s">
        <v>3</v>
      </c>
      <c r="C429">
        <v>167243</v>
      </c>
      <c r="D429">
        <v>5970</v>
      </c>
      <c r="E429">
        <v>68.796895259797097</v>
      </c>
      <c r="F429">
        <v>39.687991571246002</v>
      </c>
    </row>
    <row r="430" spans="1:6" x14ac:dyDescent="0.25">
      <c r="A430" s="1">
        <v>41974</v>
      </c>
      <c r="B430" t="s">
        <v>4</v>
      </c>
      <c r="C430">
        <v>1214</v>
      </c>
      <c r="D430">
        <v>100</v>
      </c>
      <c r="E430">
        <v>18.818227428113602</v>
      </c>
      <c r="F430">
        <v>15.165134266170799</v>
      </c>
    </row>
    <row r="431" spans="1:6" x14ac:dyDescent="0.25">
      <c r="A431" s="1">
        <v>41974</v>
      </c>
      <c r="B431" t="s">
        <v>5</v>
      </c>
      <c r="C431">
        <v>3515</v>
      </c>
      <c r="D431">
        <v>0</v>
      </c>
      <c r="E431">
        <v>35.137646861187697</v>
      </c>
      <c r="F431">
        <v>-111.080262547205</v>
      </c>
    </row>
    <row r="432" spans="1:6" x14ac:dyDescent="0.25">
      <c r="A432" s="1">
        <v>41974</v>
      </c>
      <c r="B432" t="s">
        <v>6</v>
      </c>
      <c r="C432">
        <v>2137</v>
      </c>
      <c r="D432">
        <v>0</v>
      </c>
      <c r="E432">
        <v>-91.880450741840306</v>
      </c>
      <c r="F432">
        <v>-216.609244468127</v>
      </c>
    </row>
    <row r="433" spans="1:6" x14ac:dyDescent="0.25">
      <c r="A433" s="1">
        <v>42005</v>
      </c>
      <c r="B433" t="s">
        <v>3</v>
      </c>
      <c r="C433">
        <v>167166</v>
      </c>
      <c r="D433">
        <v>5706</v>
      </c>
      <c r="E433">
        <v>82.231961739500804</v>
      </c>
      <c r="F433">
        <v>53.344923237343899</v>
      </c>
    </row>
    <row r="434" spans="1:6" x14ac:dyDescent="0.25">
      <c r="A434" s="1">
        <v>42005</v>
      </c>
      <c r="B434" t="s">
        <v>4</v>
      </c>
      <c r="C434">
        <v>1229</v>
      </c>
      <c r="D434">
        <v>104</v>
      </c>
      <c r="E434">
        <v>31.6460884002528</v>
      </c>
      <c r="F434">
        <v>28.815338272533399</v>
      </c>
    </row>
    <row r="435" spans="1:6" x14ac:dyDescent="0.25">
      <c r="A435" s="1">
        <v>42005</v>
      </c>
      <c r="B435" t="s">
        <v>5</v>
      </c>
      <c r="C435">
        <v>3548</v>
      </c>
      <c r="D435">
        <v>0</v>
      </c>
      <c r="E435">
        <v>66.925922507685598</v>
      </c>
      <c r="F435">
        <v>-91.027437984627895</v>
      </c>
    </row>
    <row r="436" spans="1:6" x14ac:dyDescent="0.25">
      <c r="A436" s="1">
        <v>42005</v>
      </c>
      <c r="B436" t="s">
        <v>6</v>
      </c>
      <c r="C436">
        <v>2158</v>
      </c>
      <c r="D436">
        <v>0</v>
      </c>
      <c r="E436">
        <v>-79.884741046041199</v>
      </c>
      <c r="F436">
        <v>-202.59513944393601</v>
      </c>
    </row>
    <row r="437" spans="1:6" x14ac:dyDescent="0.25">
      <c r="A437" s="1">
        <v>42036</v>
      </c>
      <c r="B437" t="s">
        <v>3</v>
      </c>
      <c r="C437">
        <v>167159</v>
      </c>
      <c r="D437">
        <v>5782</v>
      </c>
      <c r="E437">
        <v>99.262311456176604</v>
      </c>
      <c r="F437">
        <v>69.253944964388694</v>
      </c>
    </row>
    <row r="438" spans="1:6" x14ac:dyDescent="0.25">
      <c r="A438" s="1">
        <v>42036</v>
      </c>
      <c r="B438" t="s">
        <v>4</v>
      </c>
      <c r="C438">
        <v>1239</v>
      </c>
      <c r="D438">
        <v>116</v>
      </c>
      <c r="E438">
        <v>49.614371696866399</v>
      </c>
      <c r="F438">
        <v>46.906721686172197</v>
      </c>
    </row>
    <row r="439" spans="1:6" x14ac:dyDescent="0.25">
      <c r="A439" s="1">
        <v>42036</v>
      </c>
      <c r="B439" t="s">
        <v>5</v>
      </c>
      <c r="C439">
        <v>3575</v>
      </c>
      <c r="D439">
        <v>0</v>
      </c>
      <c r="E439">
        <v>86.985164806318394</v>
      </c>
      <c r="F439">
        <v>-71.116488216445205</v>
      </c>
    </row>
    <row r="440" spans="1:6" x14ac:dyDescent="0.25">
      <c r="A440" s="1">
        <v>42036</v>
      </c>
      <c r="B440" t="s">
        <v>6</v>
      </c>
      <c r="C440">
        <v>2177</v>
      </c>
      <c r="D440">
        <v>0</v>
      </c>
      <c r="E440">
        <v>-62.052178106835697</v>
      </c>
      <c r="F440">
        <v>-183.233996455214</v>
      </c>
    </row>
    <row r="441" spans="1:6" x14ac:dyDescent="0.25">
      <c r="A441" s="1">
        <v>42064</v>
      </c>
      <c r="B441" t="s">
        <v>3</v>
      </c>
      <c r="C441">
        <v>167225</v>
      </c>
      <c r="D441">
        <v>5805</v>
      </c>
      <c r="E441">
        <v>94.454453716012296</v>
      </c>
      <c r="F441">
        <v>64.824648557436902</v>
      </c>
    </row>
    <row r="442" spans="1:6" x14ac:dyDescent="0.25">
      <c r="A442" s="1">
        <v>42064</v>
      </c>
      <c r="B442" t="s">
        <v>4</v>
      </c>
      <c r="C442">
        <v>1248</v>
      </c>
      <c r="D442">
        <v>118</v>
      </c>
      <c r="E442">
        <v>44.6370191997269</v>
      </c>
      <c r="F442">
        <v>42.001335975471697</v>
      </c>
    </row>
    <row r="443" spans="1:6" x14ac:dyDescent="0.25">
      <c r="A443" s="1">
        <v>42064</v>
      </c>
      <c r="B443" t="s">
        <v>5</v>
      </c>
      <c r="C443">
        <v>3608</v>
      </c>
      <c r="D443">
        <v>0</v>
      </c>
      <c r="E443">
        <v>85.4012428221167</v>
      </c>
      <c r="F443">
        <v>-72.977161005247595</v>
      </c>
    </row>
    <row r="444" spans="1:6" x14ac:dyDescent="0.25">
      <c r="A444" s="1">
        <v>42064</v>
      </c>
      <c r="B444" t="s">
        <v>6</v>
      </c>
      <c r="C444">
        <v>2196</v>
      </c>
      <c r="D444">
        <v>0</v>
      </c>
      <c r="E444">
        <v>-65.986478929954302</v>
      </c>
      <c r="F444">
        <v>-185.59372003533201</v>
      </c>
    </row>
    <row r="445" spans="1:6" x14ac:dyDescent="0.25">
      <c r="A445" s="1">
        <v>42095</v>
      </c>
      <c r="B445" t="s">
        <v>3</v>
      </c>
      <c r="C445">
        <v>167181</v>
      </c>
      <c r="D445">
        <v>5847</v>
      </c>
      <c r="E445">
        <v>88.503940412031099</v>
      </c>
      <c r="F445">
        <v>60.380392606927998</v>
      </c>
    </row>
    <row r="446" spans="1:6" x14ac:dyDescent="0.25">
      <c r="A446" s="1">
        <v>42095</v>
      </c>
      <c r="B446" t="s">
        <v>4</v>
      </c>
      <c r="C446">
        <v>1264</v>
      </c>
      <c r="D446">
        <v>121</v>
      </c>
      <c r="E446">
        <v>38.2589853830751</v>
      </c>
      <c r="F446">
        <v>36.091890757362101</v>
      </c>
    </row>
    <row r="447" spans="1:6" x14ac:dyDescent="0.25">
      <c r="A447" s="1">
        <v>42095</v>
      </c>
      <c r="B447" t="s">
        <v>5</v>
      </c>
      <c r="C447">
        <v>3636</v>
      </c>
      <c r="D447">
        <v>0</v>
      </c>
      <c r="E447">
        <v>88.376827239594903</v>
      </c>
      <c r="F447">
        <v>-69.181840092116005</v>
      </c>
    </row>
    <row r="448" spans="1:6" x14ac:dyDescent="0.25">
      <c r="A448" s="1">
        <v>42095</v>
      </c>
      <c r="B448" t="s">
        <v>6</v>
      </c>
      <c r="C448">
        <v>2218</v>
      </c>
      <c r="D448">
        <v>0</v>
      </c>
      <c r="E448">
        <v>-71.315696676280396</v>
      </c>
      <c r="F448">
        <v>-187.77970583405201</v>
      </c>
    </row>
    <row r="449" spans="1:6" x14ac:dyDescent="0.25">
      <c r="A449" s="1">
        <v>42125</v>
      </c>
      <c r="B449" t="s">
        <v>3</v>
      </c>
      <c r="C449">
        <v>167160</v>
      </c>
      <c r="D449">
        <v>5940</v>
      </c>
      <c r="E449">
        <v>96.504671211668693</v>
      </c>
      <c r="F449">
        <v>68.592980146579904</v>
      </c>
    </row>
    <row r="450" spans="1:6" x14ac:dyDescent="0.25">
      <c r="A450" s="1">
        <v>42125</v>
      </c>
      <c r="B450" t="s">
        <v>4</v>
      </c>
      <c r="C450">
        <v>1273</v>
      </c>
      <c r="D450">
        <v>125</v>
      </c>
      <c r="E450">
        <v>46.513019673726397</v>
      </c>
      <c r="F450">
        <v>44.537295515288697</v>
      </c>
    </row>
    <row r="451" spans="1:6" x14ac:dyDescent="0.25">
      <c r="A451" s="1">
        <v>42125</v>
      </c>
      <c r="B451" t="s">
        <v>5</v>
      </c>
      <c r="C451">
        <v>3670</v>
      </c>
      <c r="D451">
        <v>0</v>
      </c>
      <c r="E451">
        <v>106.66696194582801</v>
      </c>
      <c r="F451">
        <v>-50.973031259655897</v>
      </c>
    </row>
    <row r="452" spans="1:6" x14ac:dyDescent="0.25">
      <c r="A452" s="1">
        <v>42125</v>
      </c>
      <c r="B452" t="s">
        <v>6</v>
      </c>
      <c r="C452">
        <v>2238</v>
      </c>
      <c r="D452">
        <v>0</v>
      </c>
      <c r="E452">
        <v>-61.754441350297803</v>
      </c>
      <c r="F452">
        <v>-175.07144694275399</v>
      </c>
    </row>
    <row r="453" spans="1:6" x14ac:dyDescent="0.25">
      <c r="A453" s="1">
        <v>42156</v>
      </c>
      <c r="B453" t="s">
        <v>3</v>
      </c>
      <c r="C453">
        <v>167178</v>
      </c>
      <c r="D453">
        <v>5996</v>
      </c>
      <c r="E453">
        <v>78.359502437596703</v>
      </c>
      <c r="F453">
        <v>52.496308545458902</v>
      </c>
    </row>
    <row r="454" spans="1:6" x14ac:dyDescent="0.25">
      <c r="A454" s="1">
        <v>42156</v>
      </c>
      <c r="B454" t="s">
        <v>4</v>
      </c>
      <c r="C454">
        <v>1292</v>
      </c>
      <c r="D454">
        <v>130</v>
      </c>
      <c r="E454">
        <v>28.438240654949499</v>
      </c>
      <c r="F454">
        <v>26.6376864912942</v>
      </c>
    </row>
    <row r="455" spans="1:6" x14ac:dyDescent="0.25">
      <c r="A455" s="1">
        <v>42156</v>
      </c>
      <c r="B455" t="s">
        <v>5</v>
      </c>
      <c r="C455">
        <v>3696</v>
      </c>
      <c r="D455">
        <v>0</v>
      </c>
      <c r="E455">
        <v>97.219386063048006</v>
      </c>
      <c r="F455">
        <v>-59.306945605365101</v>
      </c>
    </row>
    <row r="456" spans="1:6" x14ac:dyDescent="0.25">
      <c r="A456" s="1">
        <v>42156</v>
      </c>
      <c r="B456" t="s">
        <v>6</v>
      </c>
      <c r="C456">
        <v>2253</v>
      </c>
      <c r="D456">
        <v>0</v>
      </c>
      <c r="E456">
        <v>-78.381599788219305</v>
      </c>
      <c r="F456">
        <v>-187.908638094336</v>
      </c>
    </row>
    <row r="457" spans="1:6" x14ac:dyDescent="0.25">
      <c r="A457" s="1">
        <v>42186</v>
      </c>
      <c r="B457" t="s">
        <v>3</v>
      </c>
      <c r="C457">
        <v>167172</v>
      </c>
      <c r="D457">
        <v>6037</v>
      </c>
      <c r="E457">
        <v>61.744500026495402</v>
      </c>
      <c r="F457">
        <v>37.504595638160197</v>
      </c>
    </row>
    <row r="458" spans="1:6" x14ac:dyDescent="0.25">
      <c r="A458" s="1">
        <v>42186</v>
      </c>
      <c r="B458" t="s">
        <v>4</v>
      </c>
      <c r="C458">
        <v>1307</v>
      </c>
      <c r="D458">
        <v>134</v>
      </c>
      <c r="E458">
        <v>11.771430594665601</v>
      </c>
      <c r="F458">
        <v>10.032120528756501</v>
      </c>
    </row>
    <row r="459" spans="1:6" x14ac:dyDescent="0.25">
      <c r="A459" s="1">
        <v>42186</v>
      </c>
      <c r="B459" t="s">
        <v>5</v>
      </c>
      <c r="C459">
        <v>3719</v>
      </c>
      <c r="D459">
        <v>0</v>
      </c>
      <c r="E459">
        <v>85.727178638781893</v>
      </c>
      <c r="F459">
        <v>-71.106173279869196</v>
      </c>
    </row>
    <row r="460" spans="1:6" x14ac:dyDescent="0.25">
      <c r="A460" s="1">
        <v>42186</v>
      </c>
      <c r="B460" t="s">
        <v>6</v>
      </c>
      <c r="C460">
        <v>2270</v>
      </c>
      <c r="D460">
        <v>0</v>
      </c>
      <c r="E460">
        <v>-93.1507253086465</v>
      </c>
      <c r="F460">
        <v>-200.04129618904</v>
      </c>
    </row>
    <row r="461" spans="1:6" x14ac:dyDescent="0.25">
      <c r="A461" s="1">
        <v>42217</v>
      </c>
      <c r="B461" t="s">
        <v>3</v>
      </c>
      <c r="C461">
        <v>167107</v>
      </c>
      <c r="D461">
        <v>6125</v>
      </c>
      <c r="E461">
        <v>55.191516687308599</v>
      </c>
      <c r="F461">
        <v>31.809146655373102</v>
      </c>
    </row>
    <row r="462" spans="1:6" x14ac:dyDescent="0.25">
      <c r="A462" s="1">
        <v>42217</v>
      </c>
      <c r="B462" t="s">
        <v>4</v>
      </c>
      <c r="C462">
        <v>1319</v>
      </c>
      <c r="D462">
        <v>133</v>
      </c>
      <c r="E462">
        <v>5.9344104574471501</v>
      </c>
      <c r="F462">
        <v>4.1202362481734101</v>
      </c>
    </row>
    <row r="463" spans="1:6" x14ac:dyDescent="0.25">
      <c r="A463" s="1">
        <v>42217</v>
      </c>
      <c r="B463" t="s">
        <v>5</v>
      </c>
      <c r="C463">
        <v>3743</v>
      </c>
      <c r="D463">
        <v>0</v>
      </c>
      <c r="E463">
        <v>83.940724928061002</v>
      </c>
      <c r="F463">
        <v>-73.120839915715905</v>
      </c>
    </row>
    <row r="464" spans="1:6" x14ac:dyDescent="0.25">
      <c r="A464" s="1">
        <v>42217</v>
      </c>
      <c r="B464" t="s">
        <v>6</v>
      </c>
      <c r="C464">
        <v>2283</v>
      </c>
      <c r="D464">
        <v>0</v>
      </c>
      <c r="E464">
        <v>-97.627362168318996</v>
      </c>
      <c r="F464">
        <v>-202.25295108000299</v>
      </c>
    </row>
    <row r="465" spans="1:6" x14ac:dyDescent="0.25">
      <c r="A465" s="1">
        <v>42248</v>
      </c>
      <c r="B465" t="s">
        <v>3</v>
      </c>
      <c r="C465">
        <v>167211</v>
      </c>
      <c r="D465">
        <v>6115</v>
      </c>
      <c r="E465">
        <v>67.9523283289505</v>
      </c>
      <c r="F465">
        <v>45.133391683717903</v>
      </c>
    </row>
    <row r="466" spans="1:6" x14ac:dyDescent="0.25">
      <c r="A466" s="1">
        <v>42248</v>
      </c>
      <c r="B466" t="s">
        <v>4</v>
      </c>
      <c r="C466">
        <v>1339</v>
      </c>
      <c r="D466">
        <v>130</v>
      </c>
      <c r="E466">
        <v>12.887784810335001</v>
      </c>
      <c r="F466">
        <v>12.1702289586513</v>
      </c>
    </row>
    <row r="467" spans="1:6" x14ac:dyDescent="0.25">
      <c r="A467" s="1">
        <v>42248</v>
      </c>
      <c r="B467" t="s">
        <v>5</v>
      </c>
      <c r="C467">
        <v>3765</v>
      </c>
      <c r="D467">
        <v>0</v>
      </c>
      <c r="E467">
        <v>107.12612453749701</v>
      </c>
      <c r="F467">
        <v>-50.686469617149399</v>
      </c>
    </row>
    <row r="468" spans="1:6" x14ac:dyDescent="0.25">
      <c r="A468" s="1">
        <v>42248</v>
      </c>
      <c r="B468" t="s">
        <v>6</v>
      </c>
      <c r="C468">
        <v>2300</v>
      </c>
      <c r="D468">
        <v>0</v>
      </c>
      <c r="E468">
        <v>-72.084920311210794</v>
      </c>
      <c r="F468">
        <v>-175.546005688712</v>
      </c>
    </row>
    <row r="469" spans="1:6" x14ac:dyDescent="0.25">
      <c r="A469" s="1">
        <v>42278</v>
      </c>
      <c r="B469" t="s">
        <v>3</v>
      </c>
      <c r="C469">
        <v>167272</v>
      </c>
      <c r="D469">
        <v>6197</v>
      </c>
      <c r="E469">
        <v>68.536648331195707</v>
      </c>
      <c r="F469">
        <v>45.9639274834826</v>
      </c>
    </row>
    <row r="470" spans="1:6" x14ac:dyDescent="0.25">
      <c r="A470" s="1">
        <v>42278</v>
      </c>
      <c r="B470" t="s">
        <v>4</v>
      </c>
      <c r="C470">
        <v>1346</v>
      </c>
      <c r="D470">
        <v>130</v>
      </c>
      <c r="E470">
        <v>14.5477656617019</v>
      </c>
      <c r="F470">
        <v>13.7012861837048</v>
      </c>
    </row>
    <row r="471" spans="1:6" x14ac:dyDescent="0.25">
      <c r="A471" s="1">
        <v>42278</v>
      </c>
      <c r="B471" t="s">
        <v>5</v>
      </c>
      <c r="C471">
        <v>3784</v>
      </c>
      <c r="D471">
        <v>1</v>
      </c>
      <c r="E471">
        <v>109.60214873777799</v>
      </c>
      <c r="F471">
        <v>-48.780316962717301</v>
      </c>
    </row>
    <row r="472" spans="1:6" x14ac:dyDescent="0.25">
      <c r="A472" s="1">
        <v>42278</v>
      </c>
      <c r="B472" t="s">
        <v>6</v>
      </c>
      <c r="C472">
        <v>2317</v>
      </c>
      <c r="D472">
        <v>0</v>
      </c>
      <c r="E472">
        <v>-69.994954909522207</v>
      </c>
      <c r="F472">
        <v>-172.368580786091</v>
      </c>
    </row>
    <row r="473" spans="1:6" x14ac:dyDescent="0.25">
      <c r="A473" s="1">
        <v>42309</v>
      </c>
      <c r="B473" t="s">
        <v>3</v>
      </c>
      <c r="C473">
        <v>167258</v>
      </c>
      <c r="D473">
        <v>6278</v>
      </c>
      <c r="E473">
        <v>77.910490892157299</v>
      </c>
      <c r="F473">
        <v>54.898514830083897</v>
      </c>
    </row>
    <row r="474" spans="1:6" x14ac:dyDescent="0.25">
      <c r="A474" s="1">
        <v>42309</v>
      </c>
      <c r="B474" t="s">
        <v>4</v>
      </c>
      <c r="C474">
        <v>1358</v>
      </c>
      <c r="D474">
        <v>135</v>
      </c>
      <c r="E474">
        <v>25.5595300904778</v>
      </c>
      <c r="F474">
        <v>24.559253414058698</v>
      </c>
    </row>
    <row r="475" spans="1:6" x14ac:dyDescent="0.25">
      <c r="A475" s="1">
        <v>42309</v>
      </c>
      <c r="B475" t="s">
        <v>5</v>
      </c>
      <c r="C475">
        <v>3805</v>
      </c>
      <c r="D475">
        <v>1</v>
      </c>
      <c r="E475">
        <v>120.293148259929</v>
      </c>
      <c r="F475">
        <v>-38.211946497586197</v>
      </c>
    </row>
    <row r="476" spans="1:6" x14ac:dyDescent="0.25">
      <c r="A476" s="1">
        <v>42309</v>
      </c>
      <c r="B476" t="s">
        <v>6</v>
      </c>
      <c r="C476">
        <v>2330</v>
      </c>
      <c r="D476">
        <v>0</v>
      </c>
      <c r="E476">
        <v>-59.209865805475403</v>
      </c>
      <c r="F476">
        <v>-160.464894757493</v>
      </c>
    </row>
  </sheetData>
  <pageMargins left="0.7" right="0.7" top="0.75" bottom="0.75" header="0.3" footer="0.3"/>
  <pageSetup scale="1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New_LL</vt:lpstr>
      <vt:lpstr>Pool</vt:lpstr>
      <vt:lpstr>Loan</vt:lpstr>
      <vt:lpstr>FNM</vt:lpstr>
      <vt:lpstr>exam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2016-04-04T19:54:47Z</cp:lastPrinted>
  <dcterms:created xsi:type="dcterms:W3CDTF">2016-04-04T14:59:23Z</dcterms:created>
  <dcterms:modified xsi:type="dcterms:W3CDTF">2016-04-08T20:07:48Z</dcterms:modified>
</cp:coreProperties>
</file>