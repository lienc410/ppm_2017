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33555" windowHeight="16155" activeTab="1"/>
  </bookViews>
  <sheets>
    <sheet name="Fitting" sheetId="1" r:id="rId1"/>
    <sheet name="Tracking" sheetId="2" r:id="rId2"/>
    <sheet name="Sheet4" sheetId="4" state="hidden" r:id="rId3"/>
    <sheet name="Sheet5" sheetId="5" r:id="rId4"/>
  </sheets>
  <calcPr calcId="145621"/>
</workbook>
</file>

<file path=xl/calcChain.xml><?xml version="1.0" encoding="utf-8"?>
<calcChain xmlns="http://schemas.openxmlformats.org/spreadsheetml/2006/main">
  <c r="C9" i="5" l="1"/>
  <c r="B9" i="5"/>
  <c r="R72" i="1"/>
  <c r="G73" i="1"/>
  <c r="J2" i="2"/>
  <c r="I2" i="2"/>
  <c r="H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G2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2" i="2"/>
</calcChain>
</file>

<file path=xl/sharedStrings.xml><?xml version="1.0" encoding="utf-8"?>
<sst xmlns="http://schemas.openxmlformats.org/spreadsheetml/2006/main" count="144" uniqueCount="144">
  <si>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</si>
  <si>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</si>
  <si>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</si>
  <si>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</si>
  <si>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</si>
  <si>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</si>
  <si>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</si>
  <si>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</si>
  <si>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</si>
  <si>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</si>
  <si>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</si>
  <si>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</si>
  <si>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</si>
  <si>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</si>
  <si>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</si>
  <si>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</si>
  <si>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</si>
  <si>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</si>
  <si>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</si>
  <si>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</si>
  <si>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</si>
  <si>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</si>
  <si>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</si>
  <si>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</si>
  <si>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</si>
  <si>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</si>
  <si>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</si>
  <si>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</si>
  <si>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</si>
  <si>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</si>
  <si>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</si>
  <si>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</si>
  <si>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</si>
  <si>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</si>
  <si>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</si>
  <si>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</si>
  <si>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</si>
  <si>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</si>
  <si>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</si>
  <si>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</si>
  <si>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</si>
  <si>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</si>
  <si>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</si>
  <si>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</si>
  <si>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</si>
  <si>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</si>
  <si>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</si>
  <si>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</si>
  <si>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</si>
  <si>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</si>
  <si>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</si>
  <si>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</si>
  <si>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</si>
  <si>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</si>
  <si>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</si>
  <si>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</si>
  <si>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</si>
  <si>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</si>
  <si>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</si>
  <si>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</si>
  <si>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</si>
  <si>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</si>
  <si>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</si>
  <si>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</si>
  <si>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</si>
  <si>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</si>
  <si>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</si>
  <si>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</si>
  <si>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</si>
  <si>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</si>
  <si>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</si>
  <si>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</si>
  <si>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</si>
  <si>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</si>
  <si>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</si>
  <si>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</si>
  <si>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</si>
  <si>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</si>
  <si>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</si>
  <si>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</si>
  <si>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</si>
  <si>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</si>
  <si>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</si>
  <si>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</si>
  <si>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</si>
  <si>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</si>
  <si>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</si>
  <si>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</si>
  <si>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</si>
  <si>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</si>
  <si>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</si>
  <si>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</si>
  <si>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</si>
  <si>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</si>
  <si>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</si>
  <si>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</si>
  <si>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</si>
  <si>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</si>
  <si>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</si>
  <si>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</si>
  <si>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</si>
  <si>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</si>
  <si>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</si>
  <si>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</si>
  <si>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</si>
  <si>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</si>
  <si>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</si>
  <si>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</si>
  <si>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</si>
  <si>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</si>
  <si>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</si>
  <si>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</si>
  <si>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</si>
  <si>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</si>
  <si>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</si>
  <si>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</si>
  <si>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</si>
  <si>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</si>
  <si>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</si>
  <si>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</si>
  <si>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</si>
  <si>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</si>
  <si>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</si>
  <si>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</si>
  <si>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</si>
  <si>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</si>
  <si>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</si>
  <si>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</si>
  <si>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</si>
  <si>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actual</t>
  </si>
  <si>
    <t>Factor</t>
  </si>
  <si>
    <t>Count</t>
  </si>
  <si>
    <t>CPR</t>
  </si>
  <si>
    <t>model 2.0</t>
  </si>
  <si>
    <t>model 1.0</t>
  </si>
  <si>
    <t>Min</t>
  </si>
  <si>
    <t>baselineConstant</t>
  </si>
  <si>
    <t>Incentive</t>
  </si>
  <si>
    <t>wala</t>
  </si>
  <si>
    <t>cltv</t>
  </si>
  <si>
    <t>fico</t>
  </si>
  <si>
    <t>pct_fha</t>
  </si>
  <si>
    <t>Max</t>
  </si>
  <si>
    <t>Credit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</si>
</sst>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8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2E398A"/>
      </top>
      <bottom style="medium">
        <color rgb="FF2E398A"/>
      </bottom>
      <diagonal/>
    </border>
    <border>
      <left/>
      <right/>
      <top style="medium">
        <color rgb="FF2E398A"/>
      </top>
      <bottom/>
      <diagonal/>
    </border>
    <border>
      <left/>
      <right/>
      <top/>
      <bottom style="medium">
        <color rgb="FF2E398A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  <xf numFmtId="11" fontId="0" fillId="0" borderId="0" xfId="0" applyNumberFormat="1"/>
    <xf numFmtId="11" fontId="1" fillId="0" borderId="0" xfId="0" applyNumberFormat="1" applyFont="1" applyAlignment="1">
      <alignment vertical="center"/>
    </xf>
    <xf numFmtId="2" fontId="0" fillId="0" borderId="0" xfId="0" applyNumberFormat="1"/>
    <xf numFmtId="2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wrapText="1" readingOrder="1"/>
    </xf>
    <xf numFmtId="0" fontId="4" fillId="0" borderId="0" xfId="0" applyFont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Tracking!$B$2:$B$130</c:f>
              <c:numCache>
                <c:formatCode>m/d/yyyy</c:formatCode>
                <c:ptCount val="128"/>
                <c:pt idx="0">
                  <c:v>38657</c:v>
                </c:pt>
                <c:pt idx="1">
                  <c:v>38687</c:v>
                </c:pt>
                <c:pt idx="2">
                  <c:v>38718</c:v>
                </c:pt>
                <c:pt idx="3">
                  <c:v>38749</c:v>
                </c:pt>
                <c:pt idx="4">
                  <c:v>38777</c:v>
                </c:pt>
                <c:pt idx="5">
                  <c:v>38808</c:v>
                </c:pt>
                <c:pt idx="6">
                  <c:v>38838</c:v>
                </c:pt>
                <c:pt idx="7">
                  <c:v>38869</c:v>
                </c:pt>
                <c:pt idx="8">
                  <c:v>38899</c:v>
                </c:pt>
                <c:pt idx="9">
                  <c:v>38930</c:v>
                </c:pt>
                <c:pt idx="10">
                  <c:v>38961</c:v>
                </c:pt>
                <c:pt idx="11">
                  <c:v>38991</c:v>
                </c:pt>
                <c:pt idx="12">
                  <c:v>39022</c:v>
                </c:pt>
                <c:pt idx="13">
                  <c:v>39052</c:v>
                </c:pt>
                <c:pt idx="14">
                  <c:v>39083</c:v>
                </c:pt>
                <c:pt idx="15">
                  <c:v>39114</c:v>
                </c:pt>
                <c:pt idx="16">
                  <c:v>39142</c:v>
                </c:pt>
                <c:pt idx="17">
                  <c:v>39173</c:v>
                </c:pt>
                <c:pt idx="18">
                  <c:v>39203</c:v>
                </c:pt>
                <c:pt idx="19">
                  <c:v>39234</c:v>
                </c:pt>
                <c:pt idx="20">
                  <c:v>39264</c:v>
                </c:pt>
                <c:pt idx="21">
                  <c:v>39295</c:v>
                </c:pt>
                <c:pt idx="22">
                  <c:v>39326</c:v>
                </c:pt>
                <c:pt idx="23">
                  <c:v>39356</c:v>
                </c:pt>
                <c:pt idx="24">
                  <c:v>39387</c:v>
                </c:pt>
                <c:pt idx="25">
                  <c:v>39417</c:v>
                </c:pt>
                <c:pt idx="26">
                  <c:v>39448</c:v>
                </c:pt>
                <c:pt idx="27">
                  <c:v>39479</c:v>
                </c:pt>
                <c:pt idx="28">
                  <c:v>39508</c:v>
                </c:pt>
                <c:pt idx="29">
                  <c:v>39539</c:v>
                </c:pt>
                <c:pt idx="30">
                  <c:v>39569</c:v>
                </c:pt>
                <c:pt idx="31">
                  <c:v>39600</c:v>
                </c:pt>
                <c:pt idx="32">
                  <c:v>39630</c:v>
                </c:pt>
                <c:pt idx="33">
                  <c:v>39661</c:v>
                </c:pt>
                <c:pt idx="34">
                  <c:v>39692</c:v>
                </c:pt>
                <c:pt idx="35">
                  <c:v>39722</c:v>
                </c:pt>
                <c:pt idx="36">
                  <c:v>39753</c:v>
                </c:pt>
                <c:pt idx="37">
                  <c:v>39783</c:v>
                </c:pt>
                <c:pt idx="38">
                  <c:v>39814</c:v>
                </c:pt>
                <c:pt idx="39">
                  <c:v>39845</c:v>
                </c:pt>
                <c:pt idx="40">
                  <c:v>39873</c:v>
                </c:pt>
                <c:pt idx="41">
                  <c:v>39904</c:v>
                </c:pt>
                <c:pt idx="42">
                  <c:v>39934</c:v>
                </c:pt>
                <c:pt idx="43">
                  <c:v>39965</c:v>
                </c:pt>
                <c:pt idx="44">
                  <c:v>39995</c:v>
                </c:pt>
                <c:pt idx="45">
                  <c:v>40026</c:v>
                </c:pt>
                <c:pt idx="46">
                  <c:v>40057</c:v>
                </c:pt>
                <c:pt idx="47">
                  <c:v>40087</c:v>
                </c:pt>
                <c:pt idx="48">
                  <c:v>40118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  <c:pt idx="122">
                  <c:v>42401</c:v>
                </c:pt>
                <c:pt idx="123">
                  <c:v>42430</c:v>
                </c:pt>
                <c:pt idx="124">
                  <c:v>42461</c:v>
                </c:pt>
                <c:pt idx="125">
                  <c:v>42491</c:v>
                </c:pt>
                <c:pt idx="126">
                  <c:v>42522</c:v>
                </c:pt>
                <c:pt idx="127">
                  <c:v>42552</c:v>
                </c:pt>
              </c:numCache>
            </c:numRef>
          </c:cat>
          <c:val>
            <c:numRef>
              <c:f>Tracking!$C$2:$C$130</c:f>
              <c:numCache>
                <c:formatCode>General</c:formatCode>
                <c:ptCount val="128"/>
                <c:pt idx="0">
                  <c:v>3.4289129493455102</c:v>
                </c:pt>
                <c:pt idx="1">
                  <c:v>3.9127734015496101</c:v>
                </c:pt>
                <c:pt idx="2">
                  <c:v>3.6460789776340401</c:v>
                </c:pt>
                <c:pt idx="3">
                  <c:v>2.7818363221188598</c:v>
                </c:pt>
                <c:pt idx="4">
                  <c:v>2.4572992716566802</c:v>
                </c:pt>
                <c:pt idx="5">
                  <c:v>1.93438098082258</c:v>
                </c:pt>
                <c:pt idx="6">
                  <c:v>1.69214342272509</c:v>
                </c:pt>
                <c:pt idx="7">
                  <c:v>1.4238484171005401</c:v>
                </c:pt>
                <c:pt idx="8">
                  <c:v>1.6312896478784999</c:v>
                </c:pt>
                <c:pt idx="9">
                  <c:v>2.2058162952099898</c:v>
                </c:pt>
                <c:pt idx="10">
                  <c:v>2.1623327387673998</c:v>
                </c:pt>
                <c:pt idx="11">
                  <c:v>2.1165266008310599</c:v>
                </c:pt>
                <c:pt idx="12">
                  <c:v>3.2817168696298502</c:v>
                </c:pt>
                <c:pt idx="13">
                  <c:v>2.8072341754826402</c:v>
                </c:pt>
                <c:pt idx="14">
                  <c:v>2.4886386834535101</c:v>
                </c:pt>
                <c:pt idx="15">
                  <c:v>3.2553207686941001</c:v>
                </c:pt>
                <c:pt idx="16">
                  <c:v>2.4059077301925398</c:v>
                </c:pt>
                <c:pt idx="17">
                  <c:v>2.41029217207989</c:v>
                </c:pt>
                <c:pt idx="18">
                  <c:v>2.0738773871732499</c:v>
                </c:pt>
                <c:pt idx="19">
                  <c:v>2.57593614531344</c:v>
                </c:pt>
                <c:pt idx="20">
                  <c:v>2.6601566502018201</c:v>
                </c:pt>
                <c:pt idx="21">
                  <c:v>2.9397921953245998</c:v>
                </c:pt>
                <c:pt idx="22">
                  <c:v>4.4208838944186697</c:v>
                </c:pt>
                <c:pt idx="23">
                  <c:v>3.4502132572956299</c:v>
                </c:pt>
                <c:pt idx="24">
                  <c:v>3.6024280708447498</c:v>
                </c:pt>
                <c:pt idx="25">
                  <c:v>3.3081831987529</c:v>
                </c:pt>
                <c:pt idx="26">
                  <c:v>4.2298510762162298</c:v>
                </c:pt>
                <c:pt idx="27">
                  <c:v>3.4797117250876499</c:v>
                </c:pt>
                <c:pt idx="28">
                  <c:v>3.4644562710321098</c:v>
                </c:pt>
                <c:pt idx="29">
                  <c:v>2.8626322512323901</c:v>
                </c:pt>
                <c:pt idx="30">
                  <c:v>2.8458525680884001</c:v>
                </c:pt>
                <c:pt idx="31">
                  <c:v>2.01054305911887</c:v>
                </c:pt>
                <c:pt idx="32">
                  <c:v>2.0900282835013</c:v>
                </c:pt>
                <c:pt idx="33">
                  <c:v>1.9833633347275299</c:v>
                </c:pt>
                <c:pt idx="34">
                  <c:v>2.9391871986438098</c:v>
                </c:pt>
                <c:pt idx="35">
                  <c:v>2.56537877294127</c:v>
                </c:pt>
                <c:pt idx="36">
                  <c:v>2.4298588486024602</c:v>
                </c:pt>
                <c:pt idx="37">
                  <c:v>4.9254752743563204</c:v>
                </c:pt>
                <c:pt idx="38">
                  <c:v>4.5627035189456304</c:v>
                </c:pt>
                <c:pt idx="39">
                  <c:v>4.2022862277143904</c:v>
                </c:pt>
                <c:pt idx="40">
                  <c:v>4.7202050681660097</c:v>
                </c:pt>
                <c:pt idx="41">
                  <c:v>4.0791501739238596</c:v>
                </c:pt>
                <c:pt idx="42">
                  <c:v>6.0462564640546796</c:v>
                </c:pt>
                <c:pt idx="43">
                  <c:v>4.8156717431110403</c:v>
                </c:pt>
                <c:pt idx="44">
                  <c:v>2.4420710429181902</c:v>
                </c:pt>
                <c:pt idx="45">
                  <c:v>5.05317606918815</c:v>
                </c:pt>
                <c:pt idx="46">
                  <c:v>6.1763214054081601</c:v>
                </c:pt>
                <c:pt idx="47">
                  <c:v>5.7849426990558097</c:v>
                </c:pt>
                <c:pt idx="48">
                  <c:v>6.9076205675519304</c:v>
                </c:pt>
                <c:pt idx="49">
                  <c:v>5.9847781633846999</c:v>
                </c:pt>
                <c:pt idx="50">
                  <c:v>7.3154077484700304</c:v>
                </c:pt>
                <c:pt idx="51">
                  <c:v>6.5719590459395798</c:v>
                </c:pt>
                <c:pt idx="52">
                  <c:v>5.8013674024397401</c:v>
                </c:pt>
                <c:pt idx="53">
                  <c:v>7.2420547084279399</c:v>
                </c:pt>
                <c:pt idx="54">
                  <c:v>5.9808140566657704</c:v>
                </c:pt>
                <c:pt idx="55">
                  <c:v>4.3724988916016896</c:v>
                </c:pt>
                <c:pt idx="56">
                  <c:v>7.3741419395454502</c:v>
                </c:pt>
                <c:pt idx="57">
                  <c:v>5.2982375129620296</c:v>
                </c:pt>
                <c:pt idx="58">
                  <c:v>4.9605239170976896</c:v>
                </c:pt>
                <c:pt idx="59">
                  <c:v>5.4173977697527604</c:v>
                </c:pt>
                <c:pt idx="60">
                  <c:v>8.2772253461866701</c:v>
                </c:pt>
                <c:pt idx="61">
                  <c:v>4.0792492346849203</c:v>
                </c:pt>
                <c:pt idx="62">
                  <c:v>5.1147885372308499</c:v>
                </c:pt>
                <c:pt idx="63">
                  <c:v>3.4779192030929198</c:v>
                </c:pt>
                <c:pt idx="64">
                  <c:v>3.2595327692803902</c:v>
                </c:pt>
                <c:pt idx="65">
                  <c:v>2.5464616722631899</c:v>
                </c:pt>
                <c:pt idx="66">
                  <c:v>3.1923785969584602</c:v>
                </c:pt>
                <c:pt idx="67">
                  <c:v>2.7840753259058801</c:v>
                </c:pt>
                <c:pt idx="68">
                  <c:v>4.2902867395293498</c:v>
                </c:pt>
                <c:pt idx="69">
                  <c:v>6.0257766770427503</c:v>
                </c:pt>
                <c:pt idx="70">
                  <c:v>5.1904453412015297</c:v>
                </c:pt>
                <c:pt idx="71">
                  <c:v>4.5501382814104803</c:v>
                </c:pt>
                <c:pt idx="72">
                  <c:v>3.9643533072389001</c:v>
                </c:pt>
                <c:pt idx="73">
                  <c:v>4.0454208142870796</c:v>
                </c:pt>
                <c:pt idx="74">
                  <c:v>3.6550183541861898</c:v>
                </c:pt>
                <c:pt idx="75">
                  <c:v>3.5063704219542702</c:v>
                </c:pt>
                <c:pt idx="76">
                  <c:v>3.9454263497954201</c:v>
                </c:pt>
                <c:pt idx="77">
                  <c:v>3.3184917473696598</c:v>
                </c:pt>
                <c:pt idx="78">
                  <c:v>4.3788594768117397</c:v>
                </c:pt>
                <c:pt idx="79">
                  <c:v>3.7516007286045099</c:v>
                </c:pt>
                <c:pt idx="80">
                  <c:v>4.5742798843730803</c:v>
                </c:pt>
                <c:pt idx="81">
                  <c:v>5.0501800077206598</c:v>
                </c:pt>
                <c:pt idx="82">
                  <c:v>5.0762727175926798</c:v>
                </c:pt>
                <c:pt idx="83">
                  <c:v>5.1739161209361502</c:v>
                </c:pt>
                <c:pt idx="84">
                  <c:v>5.3802537500524803</c:v>
                </c:pt>
                <c:pt idx="85">
                  <c:v>5.5336870837328203</c:v>
                </c:pt>
                <c:pt idx="86">
                  <c:v>6.0239474943484996</c:v>
                </c:pt>
                <c:pt idx="87">
                  <c:v>3.9668977662629898</c:v>
                </c:pt>
                <c:pt idx="88">
                  <c:v>4.0671090624596298</c:v>
                </c:pt>
                <c:pt idx="89">
                  <c:v>4.50913331788718</c:v>
                </c:pt>
                <c:pt idx="90">
                  <c:v>4.6108568655687199</c:v>
                </c:pt>
                <c:pt idx="91">
                  <c:v>5.3536749961708603</c:v>
                </c:pt>
                <c:pt idx="92">
                  <c:v>4.9968321081673501</c:v>
                </c:pt>
                <c:pt idx="93">
                  <c:v>4.9162896396261297</c:v>
                </c:pt>
                <c:pt idx="94">
                  <c:v>5.0549239283879901</c:v>
                </c:pt>
                <c:pt idx="95">
                  <c:v>4.0640976058181204</c:v>
                </c:pt>
                <c:pt idx="96">
                  <c:v>4.0248765108435904</c:v>
                </c:pt>
                <c:pt idx="97">
                  <c:v>4.6353135403071004</c:v>
                </c:pt>
                <c:pt idx="98">
                  <c:v>4.4481321805711396</c:v>
                </c:pt>
                <c:pt idx="99">
                  <c:v>3.0454018843188302</c:v>
                </c:pt>
                <c:pt idx="100">
                  <c:v>5.0320245939024604</c:v>
                </c:pt>
                <c:pt idx="101">
                  <c:v>4.7359527415641596</c:v>
                </c:pt>
                <c:pt idx="102">
                  <c:v>3.88579689144475</c:v>
                </c:pt>
                <c:pt idx="103">
                  <c:v>4.33455282323514</c:v>
                </c:pt>
                <c:pt idx="104">
                  <c:v>3.8604971084732602</c:v>
                </c:pt>
                <c:pt idx="105">
                  <c:v>3.6945924606077498</c:v>
                </c:pt>
                <c:pt idx="106">
                  <c:v>3.9629759871878201</c:v>
                </c:pt>
                <c:pt idx="107">
                  <c:v>4.1619475588573502</c:v>
                </c:pt>
                <c:pt idx="108">
                  <c:v>3.67970421535522</c:v>
                </c:pt>
                <c:pt idx="109">
                  <c:v>3.8057647063404398</c:v>
                </c:pt>
                <c:pt idx="110">
                  <c:v>3.2453349621788901</c:v>
                </c:pt>
                <c:pt idx="111">
                  <c:v>3.0307358229670802</c:v>
                </c:pt>
                <c:pt idx="112">
                  <c:v>2.6732671835164799</c:v>
                </c:pt>
                <c:pt idx="113">
                  <c:v>2.6130068077846702</c:v>
                </c:pt>
                <c:pt idx="114">
                  <c:v>3.2650335116695701</c:v>
                </c:pt>
                <c:pt idx="115">
                  <c:v>2.8230606124631898</c:v>
                </c:pt>
                <c:pt idx="116">
                  <c:v>3.40107204018403</c:v>
                </c:pt>
                <c:pt idx="117">
                  <c:v>3.6073108652652901</c:v>
                </c:pt>
                <c:pt idx="118">
                  <c:v>2.8812428622286701</c:v>
                </c:pt>
                <c:pt idx="119">
                  <c:v>3.2957071813517298</c:v>
                </c:pt>
                <c:pt idx="120">
                  <c:v>2.74591159141097</c:v>
                </c:pt>
                <c:pt idx="121">
                  <c:v>3.6555303432098598</c:v>
                </c:pt>
                <c:pt idx="122">
                  <c:v>2.48010737178712</c:v>
                </c:pt>
                <c:pt idx="123">
                  <c:v>2.7023928449283101</c:v>
                </c:pt>
                <c:pt idx="124">
                  <c:v>2.4813786466070602</c:v>
                </c:pt>
                <c:pt idx="125">
                  <c:v>2.4698903843559701</c:v>
                </c:pt>
                <c:pt idx="126">
                  <c:v>2.5677348651250198</c:v>
                </c:pt>
                <c:pt idx="127">
                  <c:v>2.0155029833606601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Tracking!$D$1</c:f>
              <c:strCache>
                <c:ptCount val="1"/>
                <c:pt idx="0">
                  <c:v>model 1.0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Tracking!$B$2:$B$130</c:f>
              <c:numCache>
                <c:formatCode>m/d/yyyy</c:formatCode>
                <c:ptCount val="128"/>
                <c:pt idx="0">
                  <c:v>38657</c:v>
                </c:pt>
                <c:pt idx="1">
                  <c:v>38687</c:v>
                </c:pt>
                <c:pt idx="2">
                  <c:v>38718</c:v>
                </c:pt>
                <c:pt idx="3">
                  <c:v>38749</c:v>
                </c:pt>
                <c:pt idx="4">
                  <c:v>38777</c:v>
                </c:pt>
                <c:pt idx="5">
                  <c:v>38808</c:v>
                </c:pt>
                <c:pt idx="6">
                  <c:v>38838</c:v>
                </c:pt>
                <c:pt idx="7">
                  <c:v>38869</c:v>
                </c:pt>
                <c:pt idx="8">
                  <c:v>38899</c:v>
                </c:pt>
                <c:pt idx="9">
                  <c:v>38930</c:v>
                </c:pt>
                <c:pt idx="10">
                  <c:v>38961</c:v>
                </c:pt>
                <c:pt idx="11">
                  <c:v>38991</c:v>
                </c:pt>
                <c:pt idx="12">
                  <c:v>39022</c:v>
                </c:pt>
                <c:pt idx="13">
                  <c:v>39052</c:v>
                </c:pt>
                <c:pt idx="14">
                  <c:v>39083</c:v>
                </c:pt>
                <c:pt idx="15">
                  <c:v>39114</c:v>
                </c:pt>
                <c:pt idx="16">
                  <c:v>39142</c:v>
                </c:pt>
                <c:pt idx="17">
                  <c:v>39173</c:v>
                </c:pt>
                <c:pt idx="18">
                  <c:v>39203</c:v>
                </c:pt>
                <c:pt idx="19">
                  <c:v>39234</c:v>
                </c:pt>
                <c:pt idx="20">
                  <c:v>39264</c:v>
                </c:pt>
                <c:pt idx="21">
                  <c:v>39295</c:v>
                </c:pt>
                <c:pt idx="22">
                  <c:v>39326</c:v>
                </c:pt>
                <c:pt idx="23">
                  <c:v>39356</c:v>
                </c:pt>
                <c:pt idx="24">
                  <c:v>39387</c:v>
                </c:pt>
                <c:pt idx="25">
                  <c:v>39417</c:v>
                </c:pt>
                <c:pt idx="26">
                  <c:v>39448</c:v>
                </c:pt>
                <c:pt idx="27">
                  <c:v>39479</c:v>
                </c:pt>
                <c:pt idx="28">
                  <c:v>39508</c:v>
                </c:pt>
                <c:pt idx="29">
                  <c:v>39539</c:v>
                </c:pt>
                <c:pt idx="30">
                  <c:v>39569</c:v>
                </c:pt>
                <c:pt idx="31">
                  <c:v>39600</c:v>
                </c:pt>
                <c:pt idx="32">
                  <c:v>39630</c:v>
                </c:pt>
                <c:pt idx="33">
                  <c:v>39661</c:v>
                </c:pt>
                <c:pt idx="34">
                  <c:v>39692</c:v>
                </c:pt>
                <c:pt idx="35">
                  <c:v>39722</c:v>
                </c:pt>
                <c:pt idx="36">
                  <c:v>39753</c:v>
                </c:pt>
                <c:pt idx="37">
                  <c:v>39783</c:v>
                </c:pt>
                <c:pt idx="38">
                  <c:v>39814</c:v>
                </c:pt>
                <c:pt idx="39">
                  <c:v>39845</c:v>
                </c:pt>
                <c:pt idx="40">
                  <c:v>39873</c:v>
                </c:pt>
                <c:pt idx="41">
                  <c:v>39904</c:v>
                </c:pt>
                <c:pt idx="42">
                  <c:v>39934</c:v>
                </c:pt>
                <c:pt idx="43">
                  <c:v>39965</c:v>
                </c:pt>
                <c:pt idx="44">
                  <c:v>39995</c:v>
                </c:pt>
                <c:pt idx="45">
                  <c:v>40026</c:v>
                </c:pt>
                <c:pt idx="46">
                  <c:v>40057</c:v>
                </c:pt>
                <c:pt idx="47">
                  <c:v>40087</c:v>
                </c:pt>
                <c:pt idx="48">
                  <c:v>40118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  <c:pt idx="122">
                  <c:v>42401</c:v>
                </c:pt>
                <c:pt idx="123">
                  <c:v>42430</c:v>
                </c:pt>
                <c:pt idx="124">
                  <c:v>42461</c:v>
                </c:pt>
                <c:pt idx="125">
                  <c:v>42491</c:v>
                </c:pt>
                <c:pt idx="126">
                  <c:v>42522</c:v>
                </c:pt>
                <c:pt idx="127">
                  <c:v>42552</c:v>
                </c:pt>
              </c:numCache>
            </c:numRef>
          </c:cat>
          <c:val>
            <c:numRef>
              <c:f>Tracking!$D$2:$D$130</c:f>
              <c:numCache>
                <c:formatCode>General</c:formatCode>
                <c:ptCount val="128"/>
                <c:pt idx="0">
                  <c:v>3.1</c:v>
                </c:pt>
                <c:pt idx="1">
                  <c:v>2.7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2.6</c:v>
                </c:pt>
                <c:pt idx="5">
                  <c:v>2.4</c:v>
                </c:pt>
                <c:pt idx="6">
                  <c:v>2.2999999999999998</c:v>
                </c:pt>
                <c:pt idx="7">
                  <c:v>2.1</c:v>
                </c:pt>
                <c:pt idx="8">
                  <c:v>2</c:v>
                </c:pt>
                <c:pt idx="9">
                  <c:v>1.9</c:v>
                </c:pt>
                <c:pt idx="10">
                  <c:v>1.8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2.5</c:v>
                </c:pt>
                <c:pt idx="14">
                  <c:v>2.7</c:v>
                </c:pt>
                <c:pt idx="15">
                  <c:v>2.9</c:v>
                </c:pt>
                <c:pt idx="16">
                  <c:v>2.7</c:v>
                </c:pt>
                <c:pt idx="17">
                  <c:v>2.7</c:v>
                </c:pt>
                <c:pt idx="18">
                  <c:v>2.8</c:v>
                </c:pt>
                <c:pt idx="19">
                  <c:v>2.7</c:v>
                </c:pt>
                <c:pt idx="20">
                  <c:v>2.6</c:v>
                </c:pt>
                <c:pt idx="21">
                  <c:v>2</c:v>
                </c:pt>
                <c:pt idx="22">
                  <c:v>2</c:v>
                </c:pt>
                <c:pt idx="23">
                  <c:v>2.2999999999999998</c:v>
                </c:pt>
                <c:pt idx="24">
                  <c:v>2.6</c:v>
                </c:pt>
                <c:pt idx="25">
                  <c:v>2.8</c:v>
                </c:pt>
                <c:pt idx="26">
                  <c:v>3.2</c:v>
                </c:pt>
                <c:pt idx="27">
                  <c:v>3.6</c:v>
                </c:pt>
                <c:pt idx="28">
                  <c:v>4.5999999999999996</c:v>
                </c:pt>
                <c:pt idx="29">
                  <c:v>4</c:v>
                </c:pt>
                <c:pt idx="30">
                  <c:v>3.8</c:v>
                </c:pt>
                <c:pt idx="31">
                  <c:v>3.9</c:v>
                </c:pt>
                <c:pt idx="32">
                  <c:v>3.6</c:v>
                </c:pt>
                <c:pt idx="33">
                  <c:v>2.9</c:v>
                </c:pt>
                <c:pt idx="34">
                  <c:v>2.7</c:v>
                </c:pt>
                <c:pt idx="35">
                  <c:v>2.7</c:v>
                </c:pt>
                <c:pt idx="36">
                  <c:v>4.0999999999999996</c:v>
                </c:pt>
                <c:pt idx="37">
                  <c:v>3.7</c:v>
                </c:pt>
                <c:pt idx="38">
                  <c:v>4.4000000000000004</c:v>
                </c:pt>
                <c:pt idx="39">
                  <c:v>7.7</c:v>
                </c:pt>
                <c:pt idx="40">
                  <c:v>8.6</c:v>
                </c:pt>
                <c:pt idx="41">
                  <c:v>7.9</c:v>
                </c:pt>
                <c:pt idx="42">
                  <c:v>7.9</c:v>
                </c:pt>
                <c:pt idx="43">
                  <c:v>8.5</c:v>
                </c:pt>
                <c:pt idx="44">
                  <c:v>8.1999999999999993</c:v>
                </c:pt>
                <c:pt idx="45">
                  <c:v>6.1</c:v>
                </c:pt>
                <c:pt idx="46">
                  <c:v>6.7</c:v>
                </c:pt>
                <c:pt idx="47">
                  <c:v>7.1</c:v>
                </c:pt>
                <c:pt idx="48">
                  <c:v>7.4</c:v>
                </c:pt>
                <c:pt idx="49">
                  <c:v>7.8</c:v>
                </c:pt>
                <c:pt idx="50">
                  <c:v>6.9</c:v>
                </c:pt>
                <c:pt idx="51">
                  <c:v>6.6</c:v>
                </c:pt>
                <c:pt idx="52">
                  <c:v>6.5</c:v>
                </c:pt>
                <c:pt idx="53">
                  <c:v>6.3</c:v>
                </c:pt>
                <c:pt idx="54">
                  <c:v>5.7</c:v>
                </c:pt>
                <c:pt idx="55">
                  <c:v>6.2</c:v>
                </c:pt>
                <c:pt idx="56">
                  <c:v>6.8</c:v>
                </c:pt>
                <c:pt idx="57">
                  <c:v>6.8</c:v>
                </c:pt>
                <c:pt idx="58">
                  <c:v>7.3</c:v>
                </c:pt>
                <c:pt idx="59">
                  <c:v>7.5</c:v>
                </c:pt>
                <c:pt idx="60">
                  <c:v>7.3</c:v>
                </c:pt>
                <c:pt idx="61">
                  <c:v>7.1</c:v>
                </c:pt>
                <c:pt idx="62">
                  <c:v>5.9</c:v>
                </c:pt>
                <c:pt idx="63">
                  <c:v>5.8</c:v>
                </c:pt>
                <c:pt idx="64">
                  <c:v>5.2</c:v>
                </c:pt>
                <c:pt idx="65">
                  <c:v>5.3</c:v>
                </c:pt>
                <c:pt idx="66">
                  <c:v>4.5999999999999996</c:v>
                </c:pt>
                <c:pt idx="67">
                  <c:v>5.0999999999999996</c:v>
                </c:pt>
                <c:pt idx="68">
                  <c:v>5.5</c:v>
                </c:pt>
                <c:pt idx="69">
                  <c:v>5.3</c:v>
                </c:pt>
                <c:pt idx="70">
                  <c:v>6.2</c:v>
                </c:pt>
                <c:pt idx="71">
                  <c:v>6.7</c:v>
                </c:pt>
                <c:pt idx="72">
                  <c:v>6.7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6.6</c:v>
                </c:pt>
                <c:pt idx="77">
                  <c:v>5.9</c:v>
                </c:pt>
                <c:pt idx="78">
                  <c:v>5.4</c:v>
                </c:pt>
                <c:pt idx="79">
                  <c:v>5.5</c:v>
                </c:pt>
                <c:pt idx="80">
                  <c:v>5.9</c:v>
                </c:pt>
                <c:pt idx="81">
                  <c:v>6</c:v>
                </c:pt>
                <c:pt idx="82">
                  <c:v>5.8</c:v>
                </c:pt>
                <c:pt idx="83">
                  <c:v>5.9</c:v>
                </c:pt>
                <c:pt idx="84">
                  <c:v>6</c:v>
                </c:pt>
                <c:pt idx="85">
                  <c:v>5.8</c:v>
                </c:pt>
                <c:pt idx="86">
                  <c:v>5.8</c:v>
                </c:pt>
                <c:pt idx="87">
                  <c:v>5.5</c:v>
                </c:pt>
                <c:pt idx="88">
                  <c:v>5</c:v>
                </c:pt>
                <c:pt idx="89">
                  <c:v>4.8</c:v>
                </c:pt>
                <c:pt idx="90">
                  <c:v>4.8</c:v>
                </c:pt>
                <c:pt idx="91">
                  <c:v>4.5</c:v>
                </c:pt>
                <c:pt idx="92">
                  <c:v>3.5</c:v>
                </c:pt>
                <c:pt idx="93">
                  <c:v>2.9</c:v>
                </c:pt>
                <c:pt idx="94">
                  <c:v>2.8</c:v>
                </c:pt>
                <c:pt idx="95">
                  <c:v>2.7</c:v>
                </c:pt>
                <c:pt idx="96">
                  <c:v>3.1</c:v>
                </c:pt>
                <c:pt idx="97">
                  <c:v>3.1</c:v>
                </c:pt>
                <c:pt idx="98">
                  <c:v>2.8</c:v>
                </c:pt>
                <c:pt idx="99">
                  <c:v>2.9</c:v>
                </c:pt>
                <c:pt idx="100">
                  <c:v>3.1</c:v>
                </c:pt>
                <c:pt idx="101">
                  <c:v>3.1</c:v>
                </c:pt>
                <c:pt idx="102">
                  <c:v>3</c:v>
                </c:pt>
                <c:pt idx="103">
                  <c:v>3.2</c:v>
                </c:pt>
                <c:pt idx="104">
                  <c:v>3.3</c:v>
                </c:pt>
                <c:pt idx="105">
                  <c:v>3.3</c:v>
                </c:pt>
                <c:pt idx="106">
                  <c:v>3.3</c:v>
                </c:pt>
                <c:pt idx="107">
                  <c:v>3.2</c:v>
                </c:pt>
                <c:pt idx="108">
                  <c:v>3.4</c:v>
                </c:pt>
                <c:pt idx="109">
                  <c:v>3.6</c:v>
                </c:pt>
                <c:pt idx="110">
                  <c:v>3.7</c:v>
                </c:pt>
                <c:pt idx="111">
                  <c:v>4.7</c:v>
                </c:pt>
                <c:pt idx="112">
                  <c:v>4.5</c:v>
                </c:pt>
                <c:pt idx="113">
                  <c:v>4.2</c:v>
                </c:pt>
                <c:pt idx="114">
                  <c:v>4.3</c:v>
                </c:pt>
                <c:pt idx="115">
                  <c:v>3.8</c:v>
                </c:pt>
                <c:pt idx="116">
                  <c:v>3.5</c:v>
                </c:pt>
                <c:pt idx="117">
                  <c:v>3.3</c:v>
                </c:pt>
                <c:pt idx="118">
                  <c:v>3.5</c:v>
                </c:pt>
                <c:pt idx="119">
                  <c:v>3.6</c:v>
                </c:pt>
                <c:pt idx="120">
                  <c:v>3.7</c:v>
                </c:pt>
                <c:pt idx="121">
                  <c:v>3.5</c:v>
                </c:pt>
                <c:pt idx="122">
                  <c:v>3.4</c:v>
                </c:pt>
                <c:pt idx="123">
                  <c:v>3.6</c:v>
                </c:pt>
                <c:pt idx="124">
                  <c:v>3.9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Tracking!$E$1</c:f>
              <c:strCache>
                <c:ptCount val="1"/>
                <c:pt idx="0">
                  <c:v>model 2.0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Tracking!$B$2:$B$130</c:f>
              <c:numCache>
                <c:formatCode>m/d/yyyy</c:formatCode>
                <c:ptCount val="128"/>
                <c:pt idx="0">
                  <c:v>38657</c:v>
                </c:pt>
                <c:pt idx="1">
                  <c:v>38687</c:v>
                </c:pt>
                <c:pt idx="2">
                  <c:v>38718</c:v>
                </c:pt>
                <c:pt idx="3">
                  <c:v>38749</c:v>
                </c:pt>
                <c:pt idx="4">
                  <c:v>38777</c:v>
                </c:pt>
                <c:pt idx="5">
                  <c:v>38808</c:v>
                </c:pt>
                <c:pt idx="6">
                  <c:v>38838</c:v>
                </c:pt>
                <c:pt idx="7">
                  <c:v>38869</c:v>
                </c:pt>
                <c:pt idx="8">
                  <c:v>38899</c:v>
                </c:pt>
                <c:pt idx="9">
                  <c:v>38930</c:v>
                </c:pt>
                <c:pt idx="10">
                  <c:v>38961</c:v>
                </c:pt>
                <c:pt idx="11">
                  <c:v>38991</c:v>
                </c:pt>
                <c:pt idx="12">
                  <c:v>39022</c:v>
                </c:pt>
                <c:pt idx="13">
                  <c:v>39052</c:v>
                </c:pt>
                <c:pt idx="14">
                  <c:v>39083</c:v>
                </c:pt>
                <c:pt idx="15">
                  <c:v>39114</c:v>
                </c:pt>
                <c:pt idx="16">
                  <c:v>39142</c:v>
                </c:pt>
                <c:pt idx="17">
                  <c:v>39173</c:v>
                </c:pt>
                <c:pt idx="18">
                  <c:v>39203</c:v>
                </c:pt>
                <c:pt idx="19">
                  <c:v>39234</c:v>
                </c:pt>
                <c:pt idx="20">
                  <c:v>39264</c:v>
                </c:pt>
                <c:pt idx="21">
                  <c:v>39295</c:v>
                </c:pt>
                <c:pt idx="22">
                  <c:v>39326</c:v>
                </c:pt>
                <c:pt idx="23">
                  <c:v>39356</c:v>
                </c:pt>
                <c:pt idx="24">
                  <c:v>39387</c:v>
                </c:pt>
                <c:pt idx="25">
                  <c:v>39417</c:v>
                </c:pt>
                <c:pt idx="26">
                  <c:v>39448</c:v>
                </c:pt>
                <c:pt idx="27">
                  <c:v>39479</c:v>
                </c:pt>
                <c:pt idx="28">
                  <c:v>39508</c:v>
                </c:pt>
                <c:pt idx="29">
                  <c:v>39539</c:v>
                </c:pt>
                <c:pt idx="30">
                  <c:v>39569</c:v>
                </c:pt>
                <c:pt idx="31">
                  <c:v>39600</c:v>
                </c:pt>
                <c:pt idx="32">
                  <c:v>39630</c:v>
                </c:pt>
                <c:pt idx="33">
                  <c:v>39661</c:v>
                </c:pt>
                <c:pt idx="34">
                  <c:v>39692</c:v>
                </c:pt>
                <c:pt idx="35">
                  <c:v>39722</c:v>
                </c:pt>
                <c:pt idx="36">
                  <c:v>39753</c:v>
                </c:pt>
                <c:pt idx="37">
                  <c:v>39783</c:v>
                </c:pt>
                <c:pt idx="38">
                  <c:v>39814</c:v>
                </c:pt>
                <c:pt idx="39">
                  <c:v>39845</c:v>
                </c:pt>
                <c:pt idx="40">
                  <c:v>39873</c:v>
                </c:pt>
                <c:pt idx="41">
                  <c:v>39904</c:v>
                </c:pt>
                <c:pt idx="42">
                  <c:v>39934</c:v>
                </c:pt>
                <c:pt idx="43">
                  <c:v>39965</c:v>
                </c:pt>
                <c:pt idx="44">
                  <c:v>39995</c:v>
                </c:pt>
                <c:pt idx="45">
                  <c:v>40026</c:v>
                </c:pt>
                <c:pt idx="46">
                  <c:v>40057</c:v>
                </c:pt>
                <c:pt idx="47">
                  <c:v>40087</c:v>
                </c:pt>
                <c:pt idx="48">
                  <c:v>40118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  <c:pt idx="122">
                  <c:v>42401</c:v>
                </c:pt>
                <c:pt idx="123">
                  <c:v>42430</c:v>
                </c:pt>
                <c:pt idx="124">
                  <c:v>42461</c:v>
                </c:pt>
                <c:pt idx="125">
                  <c:v>42491</c:v>
                </c:pt>
                <c:pt idx="126">
                  <c:v>42522</c:v>
                </c:pt>
                <c:pt idx="127">
                  <c:v>42552</c:v>
                </c:pt>
              </c:numCache>
            </c:numRef>
          </c:cat>
          <c:val>
            <c:numRef>
              <c:f>Tracking!$E$2:$E$130</c:f>
              <c:numCache>
                <c:formatCode>General</c:formatCode>
                <c:ptCount val="128"/>
                <c:pt idx="0">
                  <c:v>2.3282368813923502</c:v>
                </c:pt>
                <c:pt idx="1">
                  <c:v>2.41296526414212</c:v>
                </c:pt>
                <c:pt idx="2">
                  <c:v>2.3685053282139901</c:v>
                </c:pt>
                <c:pt idx="3">
                  <c:v>2.2653256855236998</c:v>
                </c:pt>
                <c:pt idx="4">
                  <c:v>2.0719146567754798</c:v>
                </c:pt>
                <c:pt idx="5">
                  <c:v>1.7299468889565901</c:v>
                </c:pt>
                <c:pt idx="6">
                  <c:v>2.0329076165748399</c:v>
                </c:pt>
                <c:pt idx="7">
                  <c:v>2.1117071351688499</c:v>
                </c:pt>
                <c:pt idx="8">
                  <c:v>2.0841622358530598</c:v>
                </c:pt>
                <c:pt idx="9">
                  <c:v>2.2985177643271499</c:v>
                </c:pt>
                <c:pt idx="10">
                  <c:v>2.3346695445690999</c:v>
                </c:pt>
                <c:pt idx="11">
                  <c:v>2.4638027272785501</c:v>
                </c:pt>
                <c:pt idx="12">
                  <c:v>2.5193273237542901</c:v>
                </c:pt>
                <c:pt idx="13">
                  <c:v>2.57696104673163</c:v>
                </c:pt>
                <c:pt idx="14">
                  <c:v>2.7740275784120998</c:v>
                </c:pt>
                <c:pt idx="15">
                  <c:v>2.5068650072396799</c:v>
                </c:pt>
                <c:pt idx="16">
                  <c:v>2.32587717989716</c:v>
                </c:pt>
                <c:pt idx="17">
                  <c:v>2.07985347250633</c:v>
                </c:pt>
                <c:pt idx="18">
                  <c:v>2.2510241766712702</c:v>
                </c:pt>
                <c:pt idx="19">
                  <c:v>2.3721989946062201</c:v>
                </c:pt>
                <c:pt idx="20">
                  <c:v>2.5376328000224602</c:v>
                </c:pt>
                <c:pt idx="21">
                  <c:v>2.6539097481660501</c:v>
                </c:pt>
                <c:pt idx="22">
                  <c:v>2.5472923029949901</c:v>
                </c:pt>
                <c:pt idx="23">
                  <c:v>2.8542053765835198</c:v>
                </c:pt>
                <c:pt idx="24">
                  <c:v>2.90397963653094</c:v>
                </c:pt>
                <c:pt idx="25">
                  <c:v>2.7845763090378499</c:v>
                </c:pt>
                <c:pt idx="26">
                  <c:v>3.1345860207808198</c:v>
                </c:pt>
                <c:pt idx="27">
                  <c:v>3.0017813957467299</c:v>
                </c:pt>
                <c:pt idx="28">
                  <c:v>2.67397962886852</c:v>
                </c:pt>
                <c:pt idx="29">
                  <c:v>2.6209139283359302</c:v>
                </c:pt>
                <c:pt idx="30">
                  <c:v>2.7885931193015301</c:v>
                </c:pt>
                <c:pt idx="31">
                  <c:v>2.02838742156601</c:v>
                </c:pt>
                <c:pt idx="32">
                  <c:v>2.1903123493440999</c:v>
                </c:pt>
                <c:pt idx="33">
                  <c:v>2.4946271234204</c:v>
                </c:pt>
                <c:pt idx="34">
                  <c:v>2.7940897020394599</c:v>
                </c:pt>
                <c:pt idx="35">
                  <c:v>3.0936274696558699</c:v>
                </c:pt>
                <c:pt idx="36">
                  <c:v>3.2955001138559901</c:v>
                </c:pt>
                <c:pt idx="37">
                  <c:v>4.0061179209031996</c:v>
                </c:pt>
                <c:pt idx="38">
                  <c:v>4.1262280621272698</c:v>
                </c:pt>
                <c:pt idx="39">
                  <c:v>4.2852408090646499</c:v>
                </c:pt>
                <c:pt idx="40">
                  <c:v>3.99196890518453</c:v>
                </c:pt>
                <c:pt idx="41">
                  <c:v>4.2281749894066403</c:v>
                </c:pt>
                <c:pt idx="42">
                  <c:v>5.3286617031898196</c:v>
                </c:pt>
                <c:pt idx="43">
                  <c:v>5.2477109555404002</c:v>
                </c:pt>
                <c:pt idx="44">
                  <c:v>4.79159981512732</c:v>
                </c:pt>
                <c:pt idx="45">
                  <c:v>5.1944352038059698</c:v>
                </c:pt>
                <c:pt idx="46">
                  <c:v>6.1380451097678197</c:v>
                </c:pt>
                <c:pt idx="47">
                  <c:v>6.2087602882261601</c:v>
                </c:pt>
                <c:pt idx="48">
                  <c:v>6.1612895572271897</c:v>
                </c:pt>
                <c:pt idx="49">
                  <c:v>5.8457055697862899</c:v>
                </c:pt>
                <c:pt idx="50">
                  <c:v>6.1627291888096201</c:v>
                </c:pt>
                <c:pt idx="51">
                  <c:v>5.5960920012974498</c:v>
                </c:pt>
                <c:pt idx="52">
                  <c:v>5.0120375163626196</c:v>
                </c:pt>
                <c:pt idx="53">
                  <c:v>4.8831030442691103</c:v>
                </c:pt>
                <c:pt idx="54">
                  <c:v>5.2369550874011699</c:v>
                </c:pt>
                <c:pt idx="55">
                  <c:v>5.3794981684053802</c:v>
                </c:pt>
                <c:pt idx="56">
                  <c:v>5.0919746683164</c:v>
                </c:pt>
                <c:pt idx="57">
                  <c:v>5.2889237998348797</c:v>
                </c:pt>
                <c:pt idx="58">
                  <c:v>5.4252978820360998</c:v>
                </c:pt>
                <c:pt idx="59">
                  <c:v>5.7181048738298204</c:v>
                </c:pt>
                <c:pt idx="60">
                  <c:v>5.8845235460642797</c:v>
                </c:pt>
                <c:pt idx="61">
                  <c:v>4.5203024479666301</c:v>
                </c:pt>
                <c:pt idx="62">
                  <c:v>4.7227980509808596</c:v>
                </c:pt>
                <c:pt idx="63">
                  <c:v>4.54035178771095</c:v>
                </c:pt>
                <c:pt idx="64">
                  <c:v>3.8320475308430302</c:v>
                </c:pt>
                <c:pt idx="65">
                  <c:v>4.0017927959026398</c:v>
                </c:pt>
                <c:pt idx="66">
                  <c:v>4.2517250645072204</c:v>
                </c:pt>
                <c:pt idx="67">
                  <c:v>4.3474637092739803</c:v>
                </c:pt>
                <c:pt idx="68">
                  <c:v>4.8216508245531502</c:v>
                </c:pt>
                <c:pt idx="69">
                  <c:v>5.0711520337362304</c:v>
                </c:pt>
                <c:pt idx="70">
                  <c:v>4.9365371731192296</c:v>
                </c:pt>
                <c:pt idx="71">
                  <c:v>5.1079087983606497</c:v>
                </c:pt>
                <c:pt idx="72">
                  <c:v>4.9467554933479896</c:v>
                </c:pt>
                <c:pt idx="73">
                  <c:v>5.0974109785011299</c:v>
                </c:pt>
                <c:pt idx="74">
                  <c:v>5.13709172077085</c:v>
                </c:pt>
                <c:pt idx="75">
                  <c:v>4.6084077247213298</c:v>
                </c:pt>
                <c:pt idx="76">
                  <c:v>4.2649466799082099</c:v>
                </c:pt>
                <c:pt idx="77">
                  <c:v>4.5297524270066596</c:v>
                </c:pt>
                <c:pt idx="78">
                  <c:v>4.6741471887210002</c:v>
                </c:pt>
                <c:pt idx="79">
                  <c:v>4.4621178960091097</c:v>
                </c:pt>
                <c:pt idx="80">
                  <c:v>4.7926200371024601</c:v>
                </c:pt>
                <c:pt idx="81">
                  <c:v>4.7259699874994396</c:v>
                </c:pt>
                <c:pt idx="82">
                  <c:v>5.1025749742358899</c:v>
                </c:pt>
                <c:pt idx="83">
                  <c:v>5.1539274539311597</c:v>
                </c:pt>
                <c:pt idx="84">
                  <c:v>5.0905447665908801</c:v>
                </c:pt>
                <c:pt idx="85">
                  <c:v>5.4713351787919002</c:v>
                </c:pt>
                <c:pt idx="86">
                  <c:v>5.2920457523517204</c:v>
                </c:pt>
                <c:pt idx="87">
                  <c:v>4.8388407146419601</c:v>
                </c:pt>
                <c:pt idx="88">
                  <c:v>4.4636300929850696</c:v>
                </c:pt>
                <c:pt idx="89">
                  <c:v>4.4411076320338898</c:v>
                </c:pt>
                <c:pt idx="90">
                  <c:v>4.3504506873305298</c:v>
                </c:pt>
                <c:pt idx="91">
                  <c:v>4.9289320639847896</c:v>
                </c:pt>
                <c:pt idx="92">
                  <c:v>4.9090257908336898</c:v>
                </c:pt>
                <c:pt idx="93">
                  <c:v>4.8855469245118099</c:v>
                </c:pt>
                <c:pt idx="94">
                  <c:v>4.6929271108568296</c:v>
                </c:pt>
                <c:pt idx="95">
                  <c:v>4.5337858181422996</c:v>
                </c:pt>
                <c:pt idx="96">
                  <c:v>4.67935811772543</c:v>
                </c:pt>
                <c:pt idx="97">
                  <c:v>4.9487539143355903</c:v>
                </c:pt>
                <c:pt idx="98">
                  <c:v>4.5649935060573696</c:v>
                </c:pt>
                <c:pt idx="99">
                  <c:v>4.0283606146838302</c:v>
                </c:pt>
                <c:pt idx="100">
                  <c:v>3.7934153266830402</c:v>
                </c:pt>
                <c:pt idx="101">
                  <c:v>3.3655632599533698</c:v>
                </c:pt>
                <c:pt idx="102">
                  <c:v>3.3686180587901502</c:v>
                </c:pt>
                <c:pt idx="103">
                  <c:v>3.6177332104628399</c:v>
                </c:pt>
                <c:pt idx="104">
                  <c:v>3.5558922682526299</c:v>
                </c:pt>
                <c:pt idx="105">
                  <c:v>3.81253260962173</c:v>
                </c:pt>
                <c:pt idx="106">
                  <c:v>3.9001351319571098</c:v>
                </c:pt>
                <c:pt idx="107">
                  <c:v>3.6333902598724301</c:v>
                </c:pt>
                <c:pt idx="108">
                  <c:v>4.0656681975315099</c:v>
                </c:pt>
                <c:pt idx="109">
                  <c:v>3.8991453199362698</c:v>
                </c:pt>
                <c:pt idx="110">
                  <c:v>3.6779687741850702</c:v>
                </c:pt>
                <c:pt idx="111">
                  <c:v>3.3584388214617</c:v>
                </c:pt>
                <c:pt idx="112">
                  <c:v>3.0488649739835099</c:v>
                </c:pt>
                <c:pt idx="113">
                  <c:v>3.0423441240843401</c:v>
                </c:pt>
                <c:pt idx="114">
                  <c:v>3.2837881789345098</c:v>
                </c:pt>
                <c:pt idx="115">
                  <c:v>3.3544012058745101</c:v>
                </c:pt>
                <c:pt idx="116">
                  <c:v>3.2144317526946802</c:v>
                </c:pt>
                <c:pt idx="117">
                  <c:v>3.3855302481354501</c:v>
                </c:pt>
                <c:pt idx="118">
                  <c:v>3.4216354468347401</c:v>
                </c:pt>
                <c:pt idx="119">
                  <c:v>3.2833318149029802</c:v>
                </c:pt>
                <c:pt idx="120">
                  <c:v>3.50949438195497</c:v>
                </c:pt>
                <c:pt idx="121">
                  <c:v>3.36613518891492</c:v>
                </c:pt>
                <c:pt idx="122">
                  <c:v>3.4978995999697999</c:v>
                </c:pt>
                <c:pt idx="123">
                  <c:v>2.9988910362515302</c:v>
                </c:pt>
                <c:pt idx="124">
                  <c:v>2.6156113342489902</c:v>
                </c:pt>
                <c:pt idx="125">
                  <c:v>2.63896129551661</c:v>
                </c:pt>
                <c:pt idx="126">
                  <c:v>2.0124308913358</c:v>
                </c:pt>
                <c:pt idx="127">
                  <c:v>2.2362970148425001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625472"/>
        <c:axId val="320480000"/>
      </c:lineChart>
      <c:dateAx>
        <c:axId val="31962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0480000"/>
        <c:crosses val="autoZero"/>
        <c:auto val="1"/>
        <c:lblOffset val="100"/>
        <c:baseTimeUnit val="months"/>
      </c:dateAx>
      <c:valAx>
        <c:axId val="32048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625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12</xdr:col>
      <xdr:colOff>83199</xdr:colOff>
      <xdr:row>32</xdr:row>
      <xdr:rowOff>189810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12</xdr:col>
      <xdr:colOff>117836</xdr:colOff>
      <xdr:row>64</xdr:row>
      <xdr:rowOff>189810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3" y="6858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24</xdr:col>
      <xdr:colOff>291017</xdr:colOff>
      <xdr:row>32</xdr:row>
      <xdr:rowOff>189810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5909" y="762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24</xdr:col>
      <xdr:colOff>291017</xdr:colOff>
      <xdr:row>64</xdr:row>
      <xdr:rowOff>189810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85909" y="6858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37</xdr:col>
      <xdr:colOff>291018</xdr:colOff>
      <xdr:row>32</xdr:row>
      <xdr:rowOff>189810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65682" y="762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37</xdr:col>
      <xdr:colOff>291018</xdr:colOff>
      <xdr:row>64</xdr:row>
      <xdr:rowOff>189810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5682" y="6858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49</xdr:col>
      <xdr:colOff>291017</xdr:colOff>
      <xdr:row>33</xdr:row>
      <xdr:rowOff>189810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39318" y="952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39</xdr:col>
      <xdr:colOff>69273</xdr:colOff>
      <xdr:row>36</xdr:row>
      <xdr:rowOff>86591</xdr:rowOff>
    </xdr:from>
    <xdr:to>
      <xdr:col>49</xdr:col>
      <xdr:colOff>360290</xdr:colOff>
      <xdr:row>65</xdr:row>
      <xdr:rowOff>85901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708591" y="6944591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61</xdr:col>
      <xdr:colOff>291017</xdr:colOff>
      <xdr:row>33</xdr:row>
      <xdr:rowOff>189810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912955" y="952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61</xdr:col>
      <xdr:colOff>291017</xdr:colOff>
      <xdr:row>65</xdr:row>
      <xdr:rowOff>189810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12955" y="7048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73</xdr:col>
      <xdr:colOff>291018</xdr:colOff>
      <xdr:row>33</xdr:row>
      <xdr:rowOff>189810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86591" y="952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63</xdr:col>
      <xdr:colOff>34636</xdr:colOff>
      <xdr:row>37</xdr:row>
      <xdr:rowOff>17318</xdr:rowOff>
    </xdr:from>
    <xdr:to>
      <xdr:col>73</xdr:col>
      <xdr:colOff>325654</xdr:colOff>
      <xdr:row>66</xdr:row>
      <xdr:rowOff>16628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221227" y="7065818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71</xdr:row>
      <xdr:rowOff>0</xdr:rowOff>
    </xdr:from>
    <xdr:to>
      <xdr:col>37</xdr:col>
      <xdr:colOff>291018</xdr:colOff>
      <xdr:row>99</xdr:row>
      <xdr:rowOff>189810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65682" y="13525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39</xdr:col>
      <xdr:colOff>155863</xdr:colOff>
      <xdr:row>70</xdr:row>
      <xdr:rowOff>86591</xdr:rowOff>
    </xdr:from>
    <xdr:to>
      <xdr:col>49</xdr:col>
      <xdr:colOff>446880</xdr:colOff>
      <xdr:row>99</xdr:row>
      <xdr:rowOff>85901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795181" y="13421591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71</xdr:row>
      <xdr:rowOff>0</xdr:rowOff>
    </xdr:from>
    <xdr:to>
      <xdr:col>61</xdr:col>
      <xdr:colOff>291017</xdr:colOff>
      <xdr:row>99</xdr:row>
      <xdr:rowOff>189810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912955" y="13525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71</xdr:row>
      <xdr:rowOff>0</xdr:rowOff>
    </xdr:from>
    <xdr:to>
      <xdr:col>73</xdr:col>
      <xdr:colOff>291018</xdr:colOff>
      <xdr:row>99</xdr:row>
      <xdr:rowOff>189810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86591" y="13525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72</xdr:row>
      <xdr:rowOff>0</xdr:rowOff>
    </xdr:from>
    <xdr:to>
      <xdr:col>85</xdr:col>
      <xdr:colOff>291017</xdr:colOff>
      <xdr:row>100</xdr:row>
      <xdr:rowOff>189810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460227" y="13716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105</xdr:row>
      <xdr:rowOff>0</xdr:rowOff>
    </xdr:from>
    <xdr:to>
      <xdr:col>37</xdr:col>
      <xdr:colOff>291018</xdr:colOff>
      <xdr:row>133</xdr:row>
      <xdr:rowOff>189810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65682" y="200025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38</xdr:col>
      <xdr:colOff>588819</xdr:colOff>
      <xdr:row>104</xdr:row>
      <xdr:rowOff>103909</xdr:rowOff>
    </xdr:from>
    <xdr:to>
      <xdr:col>49</xdr:col>
      <xdr:colOff>273700</xdr:colOff>
      <xdr:row>133</xdr:row>
      <xdr:rowOff>103219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622001" y="19915909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104</xdr:row>
      <xdr:rowOff>0</xdr:rowOff>
    </xdr:from>
    <xdr:to>
      <xdr:col>61</xdr:col>
      <xdr:colOff>291017</xdr:colOff>
      <xdr:row>132</xdr:row>
      <xdr:rowOff>189810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912955" y="19812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63</xdr:col>
      <xdr:colOff>207818</xdr:colOff>
      <xdr:row>103</xdr:row>
      <xdr:rowOff>86591</xdr:rowOff>
    </xdr:from>
    <xdr:to>
      <xdr:col>73</xdr:col>
      <xdr:colOff>498836</xdr:colOff>
      <xdr:row>132</xdr:row>
      <xdr:rowOff>85901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394409" y="19708091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75</xdr:col>
      <xdr:colOff>51954</xdr:colOff>
      <xdr:row>103</xdr:row>
      <xdr:rowOff>86591</xdr:rowOff>
    </xdr:from>
    <xdr:to>
      <xdr:col>85</xdr:col>
      <xdr:colOff>342971</xdr:colOff>
      <xdr:row>132</xdr:row>
      <xdr:rowOff>85901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512181" y="19708091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87</xdr:col>
      <xdr:colOff>0</xdr:colOff>
      <xdr:row>104</xdr:row>
      <xdr:rowOff>0</xdr:rowOff>
    </xdr:from>
    <xdr:to>
      <xdr:col>97</xdr:col>
      <xdr:colOff>291017</xdr:colOff>
      <xdr:row>132</xdr:row>
      <xdr:rowOff>189810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33864" y="19812000"/>
          <a:ext cx="6352381" cy="5523810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40</xdr:row>
      <xdr:rowOff>0</xdr:rowOff>
    </xdr:from>
    <xdr:to>
      <xdr:col>96</xdr:col>
      <xdr:colOff>291017</xdr:colOff>
      <xdr:row>68</xdr:row>
      <xdr:rowOff>189810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127727" y="7620000"/>
          <a:ext cx="6352381" cy="552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152399</xdr:colOff>
      <xdr:row>8</xdr:row>
      <xdr:rowOff>104775</xdr:rowOff>
    </xdr:from>
    <xdr:to>
      <xdr:col>23</xdr:col>
      <xdr:colOff>142875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S73"/>
  <sheetViews>
    <sheetView topLeftCell="L1" zoomScale="40" zoomScaleNormal="40" workbookViewId="0">
      <selection activeCell="V73" sqref="V73"/>
    </sheetView>
  </sheetViews>
  <sheetFormatPr defaultRowHeight="15" x14ac:dyDescent="0.25"/>
  <cols>
    <col min="6" max="6" width="10.140625" bestFit="1" customWidth="1"/>
    <col min="7" max="7" width="10.5703125" bestFit="1" customWidth="1"/>
  </cols>
  <sheetData>
    <row r="10" spans="3:3" x14ac:dyDescent="0.25">
      <c r="C10" s="1"/>
    </row>
    <row r="71" spans="6:19" x14ac:dyDescent="0.25"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6:19" x14ac:dyDescent="0.25"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>
        <v>5.3727190000000001E-2</v>
      </c>
      <c r="R72" s="6">
        <f>100*(1-(1-Q72)^12)</f>
        <v>48.453837783671851</v>
      </c>
      <c r="S72" s="6"/>
    </row>
    <row r="73" spans="6:19" x14ac:dyDescent="0.25">
      <c r="F73" s="5">
        <v>4.6987999999999998E-5</v>
      </c>
      <c r="G73" s="4">
        <f>100*(1-(1-F73)^12)</f>
        <v>5.6371030326007876E-2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tabSelected="1" workbookViewId="0">
      <selection activeCell="J21" sqref="J21"/>
    </sheetView>
  </sheetViews>
  <sheetFormatPr defaultRowHeight="15" x14ac:dyDescent="0.25"/>
  <cols>
    <col min="2" max="2" width="9.7109375" bestFit="1" customWidth="1"/>
  </cols>
  <sheetData>
    <row r="1" spans="1:10" x14ac:dyDescent="0.25">
      <c r="A1" s="2"/>
      <c r="C1" t="s">
        <v>129</v>
      </c>
      <c r="D1" t="s">
        <v>134</v>
      </c>
      <c r="E1" t="s">
        <v>133</v>
      </c>
    </row>
    <row r="2" spans="1:10" x14ac:dyDescent="0.25">
      <c r="A2" s="3" t="s">
        <v>0</v>
      </c>
      <c r="B2" s="3">
        <v>38657</v>
      </c>
      <c r="C2">
        <v>3.4289129493455102</v>
      </c>
      <c r="D2">
        <f>VLOOKUP(B2,Sheet4!A:B,2,0)</f>
        <v>3.1</v>
      </c>
      <c r="E2">
        <v>2.3282368813923502</v>
      </c>
      <c r="F2">
        <f>(D2-C2)^2</f>
        <v>0.10818372824716208</v>
      </c>
      <c r="G2">
        <f>(E2-C2)^2</f>
        <v>1.2114878065648291</v>
      </c>
      <c r="H2">
        <f>(SUM(F2:F130)/COUNT(F2:F130))^0.5</f>
        <v>1.7229974091145976</v>
      </c>
      <c r="I2">
        <f>(SUM(G2:G130)/COUNT(G2:G130))^0.5</f>
        <v>1.1346717926937651</v>
      </c>
      <c r="J2">
        <f>(H2-I2)/H2</f>
        <v>0.34145473075502614</v>
      </c>
    </row>
    <row r="3" spans="1:10" x14ac:dyDescent="0.25">
      <c r="A3" s="3" t="s">
        <v>1</v>
      </c>
      <c r="B3" s="3">
        <v>38687</v>
      </c>
      <c r="C3">
        <v>3.9127734015496101</v>
      </c>
      <c r="D3">
        <f>VLOOKUP(B3,Sheet4!A:B,2,0)</f>
        <v>2.7</v>
      </c>
      <c r="E3">
        <v>2.41296526414212</v>
      </c>
      <c r="F3">
        <f t="shared" ref="F3:F66" si="0">(D3-C3)^2</f>
        <v>1.4708193235062113</v>
      </c>
      <c r="G3">
        <f t="shared" ref="G3:G66" si="1">(E3-C3)^2</f>
        <v>2.2494244490337247</v>
      </c>
    </row>
    <row r="4" spans="1:10" x14ac:dyDescent="0.25">
      <c r="A4" s="3" t="s">
        <v>2</v>
      </c>
      <c r="B4" s="3">
        <v>38718</v>
      </c>
      <c r="C4">
        <v>3.6460789776340401</v>
      </c>
      <c r="D4">
        <f>VLOOKUP(B4,Sheet4!A:B,2,0)</f>
        <v>2.2999999999999998</v>
      </c>
      <c r="E4">
        <v>2.3685053282139901</v>
      </c>
      <c r="F4">
        <f t="shared" si="0"/>
        <v>1.8119286140283031</v>
      </c>
      <c r="G4">
        <f t="shared" si="1"/>
        <v>1.6321944296924649</v>
      </c>
    </row>
    <row r="5" spans="1:10" x14ac:dyDescent="0.25">
      <c r="A5" s="3" t="s">
        <v>3</v>
      </c>
      <c r="B5" s="3">
        <v>38749</v>
      </c>
      <c r="C5">
        <v>2.7818363221188598</v>
      </c>
      <c r="D5">
        <f>VLOOKUP(B5,Sheet4!A:B,2,0)</f>
        <v>2.2999999999999998</v>
      </c>
      <c r="E5">
        <v>2.2653256855236998</v>
      </c>
      <c r="F5">
        <f t="shared" si="0"/>
        <v>0.23216624131302976</v>
      </c>
      <c r="G5">
        <f t="shared" si="1"/>
        <v>0.26678323771593737</v>
      </c>
    </row>
    <row r="6" spans="1:10" x14ac:dyDescent="0.25">
      <c r="A6" s="3" t="s">
        <v>4</v>
      </c>
      <c r="B6" s="3">
        <v>38777</v>
      </c>
      <c r="C6">
        <v>2.4572992716566802</v>
      </c>
      <c r="D6">
        <f>VLOOKUP(B6,Sheet4!A:B,2,0)</f>
        <v>2.6</v>
      </c>
      <c r="E6">
        <v>2.0719146567754798</v>
      </c>
      <c r="F6">
        <f t="shared" si="0"/>
        <v>2.036349786971399E-2</v>
      </c>
      <c r="G6">
        <f t="shared" si="1"/>
        <v>0.1485213013871311</v>
      </c>
    </row>
    <row r="7" spans="1:10" x14ac:dyDescent="0.25">
      <c r="A7" s="3" t="s">
        <v>5</v>
      </c>
      <c r="B7" s="3">
        <v>38808</v>
      </c>
      <c r="C7">
        <v>1.93438098082258</v>
      </c>
      <c r="D7">
        <f>VLOOKUP(B7,Sheet4!A:B,2,0)</f>
        <v>2.4</v>
      </c>
      <c r="E7">
        <v>1.7299468889565901</v>
      </c>
      <c r="F7">
        <f t="shared" si="0"/>
        <v>0.2168010710197425</v>
      </c>
      <c r="G7">
        <f t="shared" si="1"/>
        <v>4.1793297917072009E-2</v>
      </c>
    </row>
    <row r="8" spans="1:10" x14ac:dyDescent="0.25">
      <c r="A8" s="3" t="s">
        <v>6</v>
      </c>
      <c r="B8" s="3">
        <v>38838</v>
      </c>
      <c r="C8">
        <v>1.69214342272509</v>
      </c>
      <c r="D8">
        <f>VLOOKUP(B8,Sheet4!A:B,2,0)</f>
        <v>2.2999999999999998</v>
      </c>
      <c r="E8">
        <v>2.0329076165748399</v>
      </c>
      <c r="F8">
        <f t="shared" si="0"/>
        <v>0.36948961853636841</v>
      </c>
      <c r="G8">
        <f t="shared" si="1"/>
        <v>0.11612023581006992</v>
      </c>
    </row>
    <row r="9" spans="1:10" x14ac:dyDescent="0.25">
      <c r="A9" s="3" t="s">
        <v>7</v>
      </c>
      <c r="B9" s="3">
        <v>38869</v>
      </c>
      <c r="C9">
        <v>1.4238484171005401</v>
      </c>
      <c r="D9">
        <f>VLOOKUP(B9,Sheet4!A:B,2,0)</f>
        <v>2.1</v>
      </c>
      <c r="E9">
        <v>2.1117071351688499</v>
      </c>
      <c r="F9">
        <f t="shared" si="0"/>
        <v>0.45718096305744532</v>
      </c>
      <c r="G9">
        <f t="shared" si="1"/>
        <v>0.47314961602257849</v>
      </c>
    </row>
    <row r="10" spans="1:10" x14ac:dyDescent="0.25">
      <c r="A10" s="3" t="s">
        <v>8</v>
      </c>
      <c r="B10" s="3">
        <v>38899</v>
      </c>
      <c r="C10">
        <v>1.6312896478784999</v>
      </c>
      <c r="D10">
        <f>VLOOKUP(B10,Sheet4!A:B,2,0)</f>
        <v>2</v>
      </c>
      <c r="E10">
        <v>2.0841622358530598</v>
      </c>
      <c r="F10">
        <f t="shared" si="0"/>
        <v>0.13594732376156055</v>
      </c>
      <c r="G10">
        <f t="shared" si="1"/>
        <v>0.20509358093877547</v>
      </c>
    </row>
    <row r="11" spans="1:10" x14ac:dyDescent="0.25">
      <c r="A11" s="3" t="s">
        <v>9</v>
      </c>
      <c r="B11" s="3">
        <v>38930</v>
      </c>
      <c r="C11">
        <v>2.2058162952099898</v>
      </c>
      <c r="D11">
        <f>VLOOKUP(B11,Sheet4!A:B,2,0)</f>
        <v>1.9</v>
      </c>
      <c r="E11">
        <v>2.2985177643271499</v>
      </c>
      <c r="F11">
        <f t="shared" si="0"/>
        <v>9.3523606415963675E-2</v>
      </c>
      <c r="G11">
        <f t="shared" si="1"/>
        <v>8.5935623764797978E-3</v>
      </c>
    </row>
    <row r="12" spans="1:10" x14ac:dyDescent="0.25">
      <c r="A12" s="3" t="s">
        <v>10</v>
      </c>
      <c r="B12" s="3">
        <v>38961</v>
      </c>
      <c r="C12">
        <v>2.1623327387673998</v>
      </c>
      <c r="D12">
        <f>VLOOKUP(B12,Sheet4!A:B,2,0)</f>
        <v>1.8</v>
      </c>
      <c r="E12">
        <v>2.3346695445690999</v>
      </c>
      <c r="F12">
        <f t="shared" si="0"/>
        <v>0.1312850135826848</v>
      </c>
      <c r="G12">
        <f t="shared" si="1"/>
        <v>2.9699974633932886E-2</v>
      </c>
    </row>
    <row r="13" spans="1:10" x14ac:dyDescent="0.25">
      <c r="A13" s="3" t="s">
        <v>11</v>
      </c>
      <c r="B13" s="3">
        <v>38991</v>
      </c>
      <c r="C13">
        <v>2.1165266008310599</v>
      </c>
      <c r="D13">
        <f>VLOOKUP(B13,Sheet4!A:B,2,0)</f>
        <v>2.2000000000000002</v>
      </c>
      <c r="E13">
        <v>2.4638027272785501</v>
      </c>
      <c r="F13">
        <f t="shared" si="0"/>
        <v>6.9678083688172352E-3</v>
      </c>
      <c r="G13">
        <f t="shared" si="1"/>
        <v>0.12060070800037319</v>
      </c>
    </row>
    <row r="14" spans="1:10" x14ac:dyDescent="0.25">
      <c r="A14" s="3" t="s">
        <v>12</v>
      </c>
      <c r="B14" s="3">
        <v>39022</v>
      </c>
      <c r="C14">
        <v>3.2817168696298502</v>
      </c>
      <c r="D14">
        <f>VLOOKUP(B14,Sheet4!A:B,2,0)</f>
        <v>2.4</v>
      </c>
      <c r="E14">
        <v>2.5193273237542901</v>
      </c>
      <c r="F14">
        <f t="shared" si="0"/>
        <v>0.7774246381898624</v>
      </c>
      <c r="G14">
        <f t="shared" si="1"/>
        <v>0.58123781966034271</v>
      </c>
    </row>
    <row r="15" spans="1:10" x14ac:dyDescent="0.25">
      <c r="A15" s="3" t="s">
        <v>13</v>
      </c>
      <c r="B15" s="3">
        <v>39052</v>
      </c>
      <c r="C15">
        <v>2.8072341754826402</v>
      </c>
      <c r="D15">
        <f>VLOOKUP(B15,Sheet4!A:B,2,0)</f>
        <v>2.5</v>
      </c>
      <c r="E15">
        <v>2.57696104673163</v>
      </c>
      <c r="F15">
        <f t="shared" si="0"/>
        <v>9.4392838584497749E-2</v>
      </c>
      <c r="G15">
        <f t="shared" si="1"/>
        <v>5.3025713824779344E-2</v>
      </c>
    </row>
    <row r="16" spans="1:10" x14ac:dyDescent="0.25">
      <c r="A16" s="3" t="s">
        <v>14</v>
      </c>
      <c r="B16" s="3">
        <v>39083</v>
      </c>
      <c r="C16">
        <v>2.4886386834535101</v>
      </c>
      <c r="D16">
        <f>VLOOKUP(B16,Sheet4!A:B,2,0)</f>
        <v>2.7</v>
      </c>
      <c r="E16">
        <v>2.7740275784120998</v>
      </c>
      <c r="F16">
        <f t="shared" si="0"/>
        <v>4.4673606132265564E-2</v>
      </c>
      <c r="G16">
        <f t="shared" si="1"/>
        <v>8.1446821365684915E-2</v>
      </c>
    </row>
    <row r="17" spans="1:7" x14ac:dyDescent="0.25">
      <c r="A17" s="3" t="s">
        <v>15</v>
      </c>
      <c r="B17" s="3">
        <v>39114</v>
      </c>
      <c r="C17">
        <v>3.2553207686941001</v>
      </c>
      <c r="D17">
        <f>VLOOKUP(B17,Sheet4!A:B,2,0)</f>
        <v>2.9</v>
      </c>
      <c r="E17">
        <v>2.5068650072396799</v>
      </c>
      <c r="F17">
        <f t="shared" si="0"/>
        <v>0.12625284866536629</v>
      </c>
      <c r="G17">
        <f t="shared" si="1"/>
        <v>0.56018602685431607</v>
      </c>
    </row>
    <row r="18" spans="1:7" x14ac:dyDescent="0.25">
      <c r="A18" s="3" t="s">
        <v>16</v>
      </c>
      <c r="B18" s="3">
        <v>39142</v>
      </c>
      <c r="C18">
        <v>2.4059077301925398</v>
      </c>
      <c r="D18">
        <f>VLOOKUP(B18,Sheet4!A:B,2,0)</f>
        <v>2.7</v>
      </c>
      <c r="E18">
        <v>2.32587717989716</v>
      </c>
      <c r="F18">
        <f t="shared" si="0"/>
        <v>8.649026316050408E-2</v>
      </c>
      <c r="G18">
        <f t="shared" si="1"/>
        <v>6.4048889805813081E-3</v>
      </c>
    </row>
    <row r="19" spans="1:7" x14ac:dyDescent="0.25">
      <c r="A19" s="3" t="s">
        <v>17</v>
      </c>
      <c r="B19" s="3">
        <v>39173</v>
      </c>
      <c r="C19">
        <v>2.41029217207989</v>
      </c>
      <c r="D19">
        <f>VLOOKUP(B19,Sheet4!A:B,2,0)</f>
        <v>2.7</v>
      </c>
      <c r="E19">
        <v>2.07985347250633</v>
      </c>
      <c r="F19">
        <f t="shared" si="0"/>
        <v>8.3930625558188171E-2</v>
      </c>
      <c r="G19">
        <f t="shared" si="1"/>
        <v>0.10918973417586543</v>
      </c>
    </row>
    <row r="20" spans="1:7" x14ac:dyDescent="0.25">
      <c r="A20" s="3" t="s">
        <v>18</v>
      </c>
      <c r="B20" s="3">
        <v>39203</v>
      </c>
      <c r="C20">
        <v>2.0738773871732499</v>
      </c>
      <c r="D20">
        <f>VLOOKUP(B20,Sheet4!A:B,2,0)</f>
        <v>2.8</v>
      </c>
      <c r="E20">
        <v>2.2510241766712702</v>
      </c>
      <c r="F20">
        <f t="shared" si="0"/>
        <v>0.52725404885834626</v>
      </c>
      <c r="G20">
        <f t="shared" si="1"/>
        <v>3.1380985029455924E-2</v>
      </c>
    </row>
    <row r="21" spans="1:7" x14ac:dyDescent="0.25">
      <c r="A21" s="3" t="s">
        <v>19</v>
      </c>
      <c r="B21" s="3">
        <v>39234</v>
      </c>
      <c r="C21">
        <v>2.57593614531344</v>
      </c>
      <c r="D21">
        <f>VLOOKUP(B21,Sheet4!A:B,2,0)</f>
        <v>2.7</v>
      </c>
      <c r="E21">
        <v>2.3721989946062201</v>
      </c>
      <c r="F21">
        <f t="shared" si="0"/>
        <v>1.5391840039687932E-2</v>
      </c>
      <c r="G21">
        <f t="shared" si="1"/>
        <v>4.1508826578296423E-2</v>
      </c>
    </row>
    <row r="22" spans="1:7" x14ac:dyDescent="0.25">
      <c r="A22" s="3" t="s">
        <v>20</v>
      </c>
      <c r="B22" s="3">
        <v>39264</v>
      </c>
      <c r="C22">
        <v>2.6601566502018201</v>
      </c>
      <c r="D22">
        <f>VLOOKUP(B22,Sheet4!A:B,2,0)</f>
        <v>2.6</v>
      </c>
      <c r="E22">
        <v>2.5376328000224602</v>
      </c>
      <c r="F22">
        <f t="shared" si="0"/>
        <v>3.6188225635041351E-3</v>
      </c>
      <c r="G22">
        <f t="shared" si="1"/>
        <v>1.5012093862774247E-2</v>
      </c>
    </row>
    <row r="23" spans="1:7" x14ac:dyDescent="0.25">
      <c r="A23" s="3" t="s">
        <v>21</v>
      </c>
      <c r="B23" s="3">
        <v>39295</v>
      </c>
      <c r="C23">
        <v>2.9397921953245998</v>
      </c>
      <c r="D23">
        <f>VLOOKUP(B23,Sheet4!A:B,2,0)</f>
        <v>2</v>
      </c>
      <c r="E23">
        <v>2.6539097481660501</v>
      </c>
      <c r="F23">
        <f t="shared" si="0"/>
        <v>0.88320937039303071</v>
      </c>
      <c r="G23">
        <f t="shared" si="1"/>
        <v>8.1728773593360962E-2</v>
      </c>
    </row>
    <row r="24" spans="1:7" x14ac:dyDescent="0.25">
      <c r="A24" s="3" t="s">
        <v>22</v>
      </c>
      <c r="B24" s="3">
        <v>39326</v>
      </c>
      <c r="C24">
        <v>4.4208838944186697</v>
      </c>
      <c r="D24">
        <f>VLOOKUP(B24,Sheet4!A:B,2,0)</f>
        <v>2</v>
      </c>
      <c r="E24">
        <v>2.5472923029949901</v>
      </c>
      <c r="F24">
        <f t="shared" si="0"/>
        <v>5.8606788302557042</v>
      </c>
      <c r="G24">
        <f t="shared" si="1"/>
        <v>3.5103454514535164</v>
      </c>
    </row>
    <row r="25" spans="1:7" x14ac:dyDescent="0.25">
      <c r="A25" s="3" t="s">
        <v>23</v>
      </c>
      <c r="B25" s="3">
        <v>39356</v>
      </c>
      <c r="C25">
        <v>3.4502132572956299</v>
      </c>
      <c r="D25">
        <f>VLOOKUP(B25,Sheet4!A:B,2,0)</f>
        <v>2.2999999999999998</v>
      </c>
      <c r="E25">
        <v>2.8542053765835198</v>
      </c>
      <c r="F25">
        <f t="shared" si="0"/>
        <v>1.3229905372586233</v>
      </c>
      <c r="G25">
        <f t="shared" si="1"/>
        <v>0.35522539387094082</v>
      </c>
    </row>
    <row r="26" spans="1:7" x14ac:dyDescent="0.25">
      <c r="A26" s="3" t="s">
        <v>24</v>
      </c>
      <c r="B26" s="3">
        <v>39387</v>
      </c>
      <c r="C26">
        <v>3.6024280708447498</v>
      </c>
      <c r="D26">
        <f>VLOOKUP(B26,Sheet4!A:B,2,0)</f>
        <v>2.6</v>
      </c>
      <c r="E26">
        <v>2.90397963653094</v>
      </c>
      <c r="F26">
        <f t="shared" si="0"/>
        <v>1.0048620372175265</v>
      </c>
      <c r="G26">
        <f t="shared" si="1"/>
        <v>0.48783021539541221</v>
      </c>
    </row>
    <row r="27" spans="1:7" x14ac:dyDescent="0.25">
      <c r="A27" s="3" t="s">
        <v>25</v>
      </c>
      <c r="B27" s="3">
        <v>39417</v>
      </c>
      <c r="C27">
        <v>3.3081831987529</v>
      </c>
      <c r="D27">
        <f>VLOOKUP(B27,Sheet4!A:B,2,0)</f>
        <v>2.8</v>
      </c>
      <c r="E27">
        <v>2.7845763090378499</v>
      </c>
      <c r="F27">
        <f t="shared" si="0"/>
        <v>0.25825016349472968</v>
      </c>
      <c r="G27">
        <f t="shared" si="1"/>
        <v>0.27416417495706863</v>
      </c>
    </row>
    <row r="28" spans="1:7" x14ac:dyDescent="0.25">
      <c r="A28" s="3" t="s">
        <v>26</v>
      </c>
      <c r="B28" s="3">
        <v>39448</v>
      </c>
      <c r="C28">
        <v>4.2298510762162298</v>
      </c>
      <c r="D28">
        <f>VLOOKUP(B28,Sheet4!A:B,2,0)</f>
        <v>3.2</v>
      </c>
      <c r="E28">
        <v>3.1345860207808198</v>
      </c>
      <c r="F28">
        <f t="shared" si="0"/>
        <v>1.0605932391837265</v>
      </c>
      <c r="G28">
        <f t="shared" si="1"/>
        <v>1.1996055416579317</v>
      </c>
    </row>
    <row r="29" spans="1:7" x14ac:dyDescent="0.25">
      <c r="A29" s="3" t="s">
        <v>27</v>
      </c>
      <c r="B29" s="3">
        <v>39479</v>
      </c>
      <c r="C29">
        <v>3.4797117250876499</v>
      </c>
      <c r="D29">
        <f>VLOOKUP(B29,Sheet4!A:B,2,0)</f>
        <v>3.6</v>
      </c>
      <c r="E29">
        <v>3.0017813957467299</v>
      </c>
      <c r="F29">
        <f t="shared" si="0"/>
        <v>1.4469269081389131E-2</v>
      </c>
      <c r="G29">
        <f t="shared" si="1"/>
        <v>0.2284173997039203</v>
      </c>
    </row>
    <row r="30" spans="1:7" x14ac:dyDescent="0.25">
      <c r="A30" s="3" t="s">
        <v>28</v>
      </c>
      <c r="B30" s="3">
        <v>39508</v>
      </c>
      <c r="C30">
        <v>3.4644562710321098</v>
      </c>
      <c r="D30">
        <f>VLOOKUP(B30,Sheet4!A:B,2,0)</f>
        <v>4.5999999999999996</v>
      </c>
      <c r="E30">
        <v>2.67397962886852</v>
      </c>
      <c r="F30">
        <f t="shared" si="0"/>
        <v>1.2894595603983003</v>
      </c>
      <c r="G30">
        <f t="shared" si="1"/>
        <v>0.62485332180622399</v>
      </c>
    </row>
    <row r="31" spans="1:7" x14ac:dyDescent="0.25">
      <c r="A31" s="3" t="s">
        <v>29</v>
      </c>
      <c r="B31" s="3">
        <v>39539</v>
      </c>
      <c r="C31">
        <v>2.8626322512323901</v>
      </c>
      <c r="D31">
        <f>VLOOKUP(B31,Sheet4!A:B,2,0)</f>
        <v>4</v>
      </c>
      <c r="E31">
        <v>2.6209139283359302</v>
      </c>
      <c r="F31">
        <f t="shared" si="0"/>
        <v>1.2936053959367011</v>
      </c>
      <c r="G31">
        <f t="shared" si="1"/>
        <v>5.8427747623877244E-2</v>
      </c>
    </row>
    <row r="32" spans="1:7" x14ac:dyDescent="0.25">
      <c r="A32" s="3" t="s">
        <v>30</v>
      </c>
      <c r="B32" s="3">
        <v>39569</v>
      </c>
      <c r="C32">
        <v>2.8458525680884001</v>
      </c>
      <c r="D32">
        <f>VLOOKUP(B32,Sheet4!A:B,2,0)</f>
        <v>3.8</v>
      </c>
      <c r="E32">
        <v>2.7885931193015301</v>
      </c>
      <c r="F32">
        <f t="shared" si="0"/>
        <v>0.91039732182350075</v>
      </c>
      <c r="G32">
        <f t="shared" si="1"/>
        <v>3.2786444753761953E-3</v>
      </c>
    </row>
    <row r="33" spans="1:7" x14ac:dyDescent="0.25">
      <c r="A33" s="3" t="s">
        <v>31</v>
      </c>
      <c r="B33" s="3">
        <v>39600</v>
      </c>
      <c r="C33">
        <v>2.01054305911887</v>
      </c>
      <c r="D33">
        <f>VLOOKUP(B33,Sheet4!A:B,2,0)</f>
        <v>3.9</v>
      </c>
      <c r="E33">
        <v>2.02838742156601</v>
      </c>
      <c r="F33">
        <f t="shared" si="0"/>
        <v>3.5700475314438775</v>
      </c>
      <c r="G33">
        <f t="shared" si="1"/>
        <v>3.1842127114490204E-4</v>
      </c>
    </row>
    <row r="34" spans="1:7" x14ac:dyDescent="0.25">
      <c r="A34" s="3" t="s">
        <v>32</v>
      </c>
      <c r="B34" s="3">
        <v>39630</v>
      </c>
      <c r="C34">
        <v>2.0900282835013</v>
      </c>
      <c r="D34">
        <f>VLOOKUP(B34,Sheet4!A:B,2,0)</f>
        <v>3.6</v>
      </c>
      <c r="E34">
        <v>2.1903123493440999</v>
      </c>
      <c r="F34">
        <f t="shared" si="0"/>
        <v>2.2800145846260307</v>
      </c>
      <c r="G34">
        <f t="shared" si="1"/>
        <v>1.005689386196303E-2</v>
      </c>
    </row>
    <row r="35" spans="1:7" x14ac:dyDescent="0.25">
      <c r="A35" s="3" t="s">
        <v>33</v>
      </c>
      <c r="B35" s="3">
        <v>39661</v>
      </c>
      <c r="C35">
        <v>1.9833633347275299</v>
      </c>
      <c r="D35">
        <f>VLOOKUP(B35,Sheet4!A:B,2,0)</f>
        <v>2.9</v>
      </c>
      <c r="E35">
        <v>2.4946271234204</v>
      </c>
      <c r="F35">
        <f t="shared" si="0"/>
        <v>0.84022277612183427</v>
      </c>
      <c r="G35">
        <f t="shared" si="1"/>
        <v>0.26139066162858776</v>
      </c>
    </row>
    <row r="36" spans="1:7" x14ac:dyDescent="0.25">
      <c r="A36" s="3" t="s">
        <v>34</v>
      </c>
      <c r="B36" s="3">
        <v>39692</v>
      </c>
      <c r="C36">
        <v>2.9391871986438098</v>
      </c>
      <c r="D36">
        <f>VLOOKUP(B36,Sheet4!A:B,2,0)</f>
        <v>2.7</v>
      </c>
      <c r="E36">
        <v>2.7940897020394599</v>
      </c>
      <c r="F36">
        <f t="shared" si="0"/>
        <v>5.7210515995073263E-2</v>
      </c>
      <c r="G36">
        <f t="shared" si="1"/>
        <v>2.1053283520849328E-2</v>
      </c>
    </row>
    <row r="37" spans="1:7" x14ac:dyDescent="0.25">
      <c r="A37" s="3" t="s">
        <v>35</v>
      </c>
      <c r="B37" s="3">
        <v>39722</v>
      </c>
      <c r="C37">
        <v>2.56537877294127</v>
      </c>
      <c r="D37">
        <f>VLOOKUP(B37,Sheet4!A:B,2,0)</f>
        <v>2.7</v>
      </c>
      <c r="E37">
        <v>3.0936274696558699</v>
      </c>
      <c r="F37">
        <f t="shared" si="0"/>
        <v>1.8122874774798178E-2</v>
      </c>
      <c r="G37">
        <f t="shared" si="1"/>
        <v>0.2790466855806733</v>
      </c>
    </row>
    <row r="38" spans="1:7" x14ac:dyDescent="0.25">
      <c r="A38" s="3" t="s">
        <v>36</v>
      </c>
      <c r="B38" s="3">
        <v>39753</v>
      </c>
      <c r="C38">
        <v>2.4298588486024602</v>
      </c>
      <c r="D38">
        <f>VLOOKUP(B38,Sheet4!A:B,2,0)</f>
        <v>4.0999999999999996</v>
      </c>
      <c r="E38">
        <v>3.2955001138559901</v>
      </c>
      <c r="F38">
        <f t="shared" si="0"/>
        <v>2.7893714655914987</v>
      </c>
      <c r="G38">
        <f t="shared" si="1"/>
        <v>0.74933480010973208</v>
      </c>
    </row>
    <row r="39" spans="1:7" x14ac:dyDescent="0.25">
      <c r="A39" s="3" t="s">
        <v>37</v>
      </c>
      <c r="B39" s="3">
        <v>39783</v>
      </c>
      <c r="C39">
        <v>4.9254752743563204</v>
      </c>
      <c r="D39">
        <f>VLOOKUP(B39,Sheet4!A:B,2,0)</f>
        <v>3.7</v>
      </c>
      <c r="E39">
        <v>4.0061179209031996</v>
      </c>
      <c r="F39">
        <f t="shared" si="0"/>
        <v>1.5017896480586983</v>
      </c>
      <c r="G39">
        <f t="shared" si="1"/>
        <v>0.84521794334832645</v>
      </c>
    </row>
    <row r="40" spans="1:7" x14ac:dyDescent="0.25">
      <c r="A40" s="3" t="s">
        <v>38</v>
      </c>
      <c r="B40" s="3">
        <v>39814</v>
      </c>
      <c r="C40">
        <v>4.5627035189456304</v>
      </c>
      <c r="D40">
        <f>VLOOKUP(B40,Sheet4!A:B,2,0)</f>
        <v>4.4000000000000004</v>
      </c>
      <c r="E40">
        <v>4.1262280621272698</v>
      </c>
      <c r="F40">
        <f t="shared" si="0"/>
        <v>2.6472435077291002E-2</v>
      </c>
      <c r="G40">
        <f t="shared" si="1"/>
        <v>0.19051082440479661</v>
      </c>
    </row>
    <row r="41" spans="1:7" x14ac:dyDescent="0.25">
      <c r="A41" s="3" t="s">
        <v>39</v>
      </c>
      <c r="B41" s="3">
        <v>39845</v>
      </c>
      <c r="C41">
        <v>4.2022862277143904</v>
      </c>
      <c r="D41">
        <f>VLOOKUP(B41,Sheet4!A:B,2,0)</f>
        <v>7.7</v>
      </c>
      <c r="E41">
        <v>4.2852408090646499</v>
      </c>
      <c r="F41">
        <f t="shared" si="0"/>
        <v>12.23400163283643</v>
      </c>
      <c r="G41">
        <f t="shared" si="1"/>
        <v>6.8814625669968146E-3</v>
      </c>
    </row>
    <row r="42" spans="1:7" x14ac:dyDescent="0.25">
      <c r="A42" s="3" t="s">
        <v>40</v>
      </c>
      <c r="B42" s="3">
        <v>39873</v>
      </c>
      <c r="C42">
        <v>4.7202050681660097</v>
      </c>
      <c r="D42">
        <f>VLOOKUP(B42,Sheet4!A:B,2,0)</f>
        <v>8.6</v>
      </c>
      <c r="E42">
        <v>3.99196890518453</v>
      </c>
      <c r="F42">
        <f t="shared" si="0"/>
        <v>15.052808713084715</v>
      </c>
      <c r="G42">
        <f t="shared" si="1"/>
        <v>0.5303279090739883</v>
      </c>
    </row>
    <row r="43" spans="1:7" x14ac:dyDescent="0.25">
      <c r="A43" s="3" t="s">
        <v>41</v>
      </c>
      <c r="B43" s="3">
        <v>39904</v>
      </c>
      <c r="C43">
        <v>4.0791501739238596</v>
      </c>
      <c r="D43">
        <f>VLOOKUP(B43,Sheet4!A:B,2,0)</f>
        <v>7.9</v>
      </c>
      <c r="E43">
        <v>4.2281749894066403</v>
      </c>
      <c r="F43">
        <f t="shared" si="0"/>
        <v>14.598893393426074</v>
      </c>
      <c r="G43">
        <f t="shared" si="1"/>
        <v>2.220839562967683E-2</v>
      </c>
    </row>
    <row r="44" spans="1:7" x14ac:dyDescent="0.25">
      <c r="A44" s="3" t="s">
        <v>42</v>
      </c>
      <c r="B44" s="3">
        <v>39934</v>
      </c>
      <c r="C44">
        <v>6.0462564640546796</v>
      </c>
      <c r="D44">
        <f>VLOOKUP(B44,Sheet4!A:B,2,0)</f>
        <v>7.9</v>
      </c>
      <c r="E44">
        <v>5.3286617031898196</v>
      </c>
      <c r="F44">
        <f t="shared" si="0"/>
        <v>3.4363650970590607</v>
      </c>
      <c r="G44">
        <f t="shared" si="1"/>
        <v>0.51494224082069573</v>
      </c>
    </row>
    <row r="45" spans="1:7" x14ac:dyDescent="0.25">
      <c r="A45" s="3" t="s">
        <v>43</v>
      </c>
      <c r="B45" s="3">
        <v>39965</v>
      </c>
      <c r="C45">
        <v>4.8156717431110403</v>
      </c>
      <c r="D45">
        <f>VLOOKUP(B45,Sheet4!A:B,2,0)</f>
        <v>8.5</v>
      </c>
      <c r="E45">
        <v>5.2477109555404002</v>
      </c>
      <c r="F45">
        <f t="shared" si="0"/>
        <v>13.57427470451044</v>
      </c>
      <c r="G45">
        <f t="shared" si="1"/>
        <v>0.1866578810765816</v>
      </c>
    </row>
    <row r="46" spans="1:7" x14ac:dyDescent="0.25">
      <c r="A46" s="3" t="s">
        <v>44</v>
      </c>
      <c r="B46" s="3">
        <v>39995</v>
      </c>
      <c r="C46">
        <v>2.4420710429181902</v>
      </c>
      <c r="D46">
        <f>VLOOKUP(B46,Sheet4!A:B,2,0)</f>
        <v>8.1999999999999993</v>
      </c>
      <c r="E46">
        <v>4.79159981512732</v>
      </c>
      <c r="F46">
        <f t="shared" si="0"/>
        <v>33.15374587480121</v>
      </c>
      <c r="G46">
        <f t="shared" si="1"/>
        <v>5.5202854514385411</v>
      </c>
    </row>
    <row r="47" spans="1:7" x14ac:dyDescent="0.25">
      <c r="A47" s="3" t="s">
        <v>45</v>
      </c>
      <c r="B47" s="3">
        <v>40026</v>
      </c>
      <c r="C47">
        <v>5.05317606918815</v>
      </c>
      <c r="D47">
        <f>VLOOKUP(B47,Sheet4!A:B,2,0)</f>
        <v>6.1</v>
      </c>
      <c r="E47">
        <v>5.1944352038059698</v>
      </c>
      <c r="F47">
        <f t="shared" si="0"/>
        <v>1.0958403421203722</v>
      </c>
      <c r="G47">
        <f t="shared" si="1"/>
        <v>1.9954143112975338E-2</v>
      </c>
    </row>
    <row r="48" spans="1:7" x14ac:dyDescent="0.25">
      <c r="A48" s="3" t="s">
        <v>46</v>
      </c>
      <c r="B48" s="3">
        <v>40057</v>
      </c>
      <c r="C48">
        <v>6.1763214054081601</v>
      </c>
      <c r="D48">
        <f>VLOOKUP(B48,Sheet4!A:B,2,0)</f>
        <v>6.7</v>
      </c>
      <c r="E48">
        <v>6.1380451097678197</v>
      </c>
      <c r="F48">
        <f t="shared" si="0"/>
        <v>0.27423927043368479</v>
      </c>
      <c r="G48">
        <f t="shared" si="1"/>
        <v>1.4650748079467421E-3</v>
      </c>
    </row>
    <row r="49" spans="1:7" x14ac:dyDescent="0.25">
      <c r="A49" s="3" t="s">
        <v>47</v>
      </c>
      <c r="B49" s="3">
        <v>40087</v>
      </c>
      <c r="C49">
        <v>5.7849426990558097</v>
      </c>
      <c r="D49">
        <f>VLOOKUP(B49,Sheet4!A:B,2,0)</f>
        <v>7.1</v>
      </c>
      <c r="E49">
        <v>6.2087602882261601</v>
      </c>
      <c r="F49">
        <f t="shared" si="0"/>
        <v>1.7293757047666178</v>
      </c>
      <c r="G49">
        <f t="shared" si="1"/>
        <v>0.1796213488901679</v>
      </c>
    </row>
    <row r="50" spans="1:7" x14ac:dyDescent="0.25">
      <c r="A50" s="3" t="s">
        <v>48</v>
      </c>
      <c r="B50" s="3">
        <v>40118</v>
      </c>
      <c r="C50">
        <v>6.9076205675519304</v>
      </c>
      <c r="D50">
        <f>VLOOKUP(B50,Sheet4!A:B,2,0)</f>
        <v>7.4</v>
      </c>
      <c r="E50">
        <v>6.1612895572271897</v>
      </c>
      <c r="F50">
        <f t="shared" si="0"/>
        <v>0.24243750549788345</v>
      </c>
      <c r="G50">
        <f t="shared" si="1"/>
        <v>0.55700997697234822</v>
      </c>
    </row>
    <row r="51" spans="1:7" hidden="1" x14ac:dyDescent="0.25">
      <c r="A51" s="3" t="s">
        <v>49</v>
      </c>
      <c r="B51" s="3">
        <v>40148</v>
      </c>
      <c r="C51">
        <v>16.0959999099119</v>
      </c>
      <c r="D51">
        <f>VLOOKUP(B51,Sheet4!A:B,2,0)</f>
        <v>7.5</v>
      </c>
      <c r="E51">
        <v>6.5379955375169301</v>
      </c>
      <c r="F51">
        <f t="shared" si="0"/>
        <v>73.891214451205386</v>
      </c>
      <c r="G51">
        <f t="shared" si="1"/>
        <v>91.355447582721339</v>
      </c>
    </row>
    <row r="52" spans="1:7" x14ac:dyDescent="0.25">
      <c r="A52" s="3" t="s">
        <v>50</v>
      </c>
      <c r="B52" s="3">
        <v>40179</v>
      </c>
      <c r="C52">
        <v>5.9847781633846999</v>
      </c>
      <c r="D52">
        <f>VLOOKUP(B52,Sheet4!A:B,2,0)</f>
        <v>7.8</v>
      </c>
      <c r="E52">
        <v>5.8457055697862899</v>
      </c>
      <c r="F52">
        <f t="shared" si="0"/>
        <v>3.2950303161250227</v>
      </c>
      <c r="G52">
        <f t="shared" si="1"/>
        <v>1.9341186290188529E-2</v>
      </c>
    </row>
    <row r="53" spans="1:7" x14ac:dyDescent="0.25">
      <c r="A53" s="3" t="s">
        <v>51</v>
      </c>
      <c r="B53" s="3">
        <v>40210</v>
      </c>
      <c r="C53">
        <v>7.3154077484700304</v>
      </c>
      <c r="D53">
        <f>VLOOKUP(B53,Sheet4!A:B,2,0)</f>
        <v>6.9</v>
      </c>
      <c r="E53">
        <v>6.1627291888096201</v>
      </c>
      <c r="F53">
        <f t="shared" si="0"/>
        <v>0.17256359748893974</v>
      </c>
      <c r="G53">
        <f t="shared" si="1"/>
        <v>1.3286678619007981</v>
      </c>
    </row>
    <row r="54" spans="1:7" x14ac:dyDescent="0.25">
      <c r="A54" s="3" t="s">
        <v>52</v>
      </c>
      <c r="B54" s="3">
        <v>40238</v>
      </c>
      <c r="C54">
        <v>6.5719590459395798</v>
      </c>
      <c r="D54">
        <f>VLOOKUP(B54,Sheet4!A:B,2,0)</f>
        <v>6.6</v>
      </c>
      <c r="E54">
        <v>5.5960920012974498</v>
      </c>
      <c r="F54">
        <f t="shared" si="0"/>
        <v>7.8629510461857607E-4</v>
      </c>
      <c r="G54">
        <f t="shared" si="1"/>
        <v>0.95231648881856501</v>
      </c>
    </row>
    <row r="55" spans="1:7" x14ac:dyDescent="0.25">
      <c r="A55" s="3" t="s">
        <v>53</v>
      </c>
      <c r="B55" s="3">
        <v>40269</v>
      </c>
      <c r="C55">
        <v>5.8013674024397401</v>
      </c>
      <c r="D55">
        <f>VLOOKUP(B55,Sheet4!A:B,2,0)</f>
        <v>6.5</v>
      </c>
      <c r="E55">
        <v>5.0120375163626196</v>
      </c>
      <c r="F55">
        <f t="shared" si="0"/>
        <v>0.488087506373796</v>
      </c>
      <c r="G55">
        <f t="shared" si="1"/>
        <v>0.62304166905452008</v>
      </c>
    </row>
    <row r="56" spans="1:7" x14ac:dyDescent="0.25">
      <c r="A56" s="3" t="s">
        <v>54</v>
      </c>
      <c r="B56" s="3">
        <v>40299</v>
      </c>
      <c r="C56">
        <v>7.2420547084279399</v>
      </c>
      <c r="D56">
        <f>VLOOKUP(B56,Sheet4!A:B,2,0)</f>
        <v>6.3</v>
      </c>
      <c r="E56">
        <v>4.8831030442691103</v>
      </c>
      <c r="F56">
        <f t="shared" si="0"/>
        <v>0.88746707367125111</v>
      </c>
      <c r="G56">
        <f t="shared" si="1"/>
        <v>5.5646529538377107</v>
      </c>
    </row>
    <row r="57" spans="1:7" x14ac:dyDescent="0.25">
      <c r="A57" s="3" t="s">
        <v>55</v>
      </c>
      <c r="B57" s="3">
        <v>40330</v>
      </c>
      <c r="C57">
        <v>5.9808140566657704</v>
      </c>
      <c r="D57">
        <f>VLOOKUP(B57,Sheet4!A:B,2,0)</f>
        <v>5.7</v>
      </c>
      <c r="E57">
        <v>5.2369550874011699</v>
      </c>
      <c r="F57">
        <f t="shared" si="0"/>
        <v>7.8856534421086394E-2</v>
      </c>
      <c r="G57">
        <f t="shared" si="1"/>
        <v>0.55332616615539387</v>
      </c>
    </row>
    <row r="58" spans="1:7" x14ac:dyDescent="0.25">
      <c r="A58" s="3" t="s">
        <v>56</v>
      </c>
      <c r="B58" s="3">
        <v>40360</v>
      </c>
      <c r="C58">
        <v>4.3724988916016896</v>
      </c>
      <c r="D58">
        <f>VLOOKUP(B58,Sheet4!A:B,2,0)</f>
        <v>6.2</v>
      </c>
      <c r="E58">
        <v>5.3794981684053802</v>
      </c>
      <c r="F58">
        <f t="shared" si="0"/>
        <v>3.3397603011970536</v>
      </c>
      <c r="G58">
        <f t="shared" si="1"/>
        <v>1.014047543483156</v>
      </c>
    </row>
    <row r="59" spans="1:7" x14ac:dyDescent="0.25">
      <c r="A59" s="3" t="s">
        <v>57</v>
      </c>
      <c r="B59" s="3">
        <v>40391</v>
      </c>
      <c r="C59">
        <v>7.3741419395454502</v>
      </c>
      <c r="D59">
        <f>VLOOKUP(B59,Sheet4!A:B,2,0)</f>
        <v>6.8</v>
      </c>
      <c r="E59">
        <v>5.0919746683164</v>
      </c>
      <c r="F59">
        <f t="shared" si="0"/>
        <v>0.32963896674501153</v>
      </c>
      <c r="G59">
        <f t="shared" si="1"/>
        <v>5.2082874538690493</v>
      </c>
    </row>
    <row r="60" spans="1:7" x14ac:dyDescent="0.25">
      <c r="A60" s="3" t="s">
        <v>58</v>
      </c>
      <c r="B60" s="3">
        <v>40422</v>
      </c>
      <c r="C60">
        <v>5.2982375129620296</v>
      </c>
      <c r="D60">
        <f>VLOOKUP(B60,Sheet4!A:B,2,0)</f>
        <v>6.8</v>
      </c>
      <c r="E60">
        <v>5.2889237998348797</v>
      </c>
      <c r="F60">
        <f t="shared" si="0"/>
        <v>2.2552905674744697</v>
      </c>
      <c r="G60">
        <f t="shared" si="1"/>
        <v>8.6745252214844425E-5</v>
      </c>
    </row>
    <row r="61" spans="1:7" x14ac:dyDescent="0.25">
      <c r="A61" s="3" t="s">
        <v>59</v>
      </c>
      <c r="B61" s="3">
        <v>40452</v>
      </c>
      <c r="C61">
        <v>4.9605239170976896</v>
      </c>
      <c r="D61">
        <f>VLOOKUP(B61,Sheet4!A:B,2,0)</f>
        <v>7.3</v>
      </c>
      <c r="E61">
        <v>5.4252978820360998</v>
      </c>
      <c r="F61">
        <f t="shared" si="0"/>
        <v>5.4731483424719372</v>
      </c>
      <c r="G61">
        <f t="shared" si="1"/>
        <v>0.21601483848457051</v>
      </c>
    </row>
    <row r="62" spans="1:7" x14ac:dyDescent="0.25">
      <c r="A62" s="3" t="s">
        <v>60</v>
      </c>
      <c r="B62" s="3">
        <v>40483</v>
      </c>
      <c r="C62">
        <v>5.4173977697527604</v>
      </c>
      <c r="D62">
        <f>VLOOKUP(B62,Sheet4!A:B,2,0)</f>
        <v>7.5</v>
      </c>
      <c r="E62">
        <v>5.7181048738298204</v>
      </c>
      <c r="F62">
        <f t="shared" si="0"/>
        <v>4.3372320494307761</v>
      </c>
      <c r="G62">
        <f t="shared" si="1"/>
        <v>9.0424762442411738E-2</v>
      </c>
    </row>
    <row r="63" spans="1:7" x14ac:dyDescent="0.25">
      <c r="A63" s="3" t="s">
        <v>61</v>
      </c>
      <c r="B63" s="3">
        <v>40513</v>
      </c>
      <c r="C63">
        <v>8.2772253461866701</v>
      </c>
      <c r="D63">
        <f>VLOOKUP(B63,Sheet4!A:B,2,0)</f>
        <v>7.3</v>
      </c>
      <c r="E63">
        <v>5.8845235460642797</v>
      </c>
      <c r="F63">
        <f t="shared" si="0"/>
        <v>0.95496937722965747</v>
      </c>
      <c r="G63">
        <f t="shared" si="1"/>
        <v>5.7250219043089272</v>
      </c>
    </row>
    <row r="64" spans="1:7" x14ac:dyDescent="0.25">
      <c r="A64" s="3" t="s">
        <v>62</v>
      </c>
      <c r="B64" s="3">
        <v>40544</v>
      </c>
      <c r="C64">
        <v>4.0792492346849203</v>
      </c>
      <c r="D64">
        <f>VLOOKUP(B64,Sheet4!A:B,2,0)</f>
        <v>7.1</v>
      </c>
      <c r="E64">
        <v>4.5203024479666301</v>
      </c>
      <c r="F64">
        <f t="shared" si="0"/>
        <v>9.124935186151637</v>
      </c>
      <c r="G64">
        <f t="shared" si="1"/>
        <v>0.19452793694612136</v>
      </c>
    </row>
    <row r="65" spans="1:7" x14ac:dyDescent="0.25">
      <c r="A65" s="3" t="s">
        <v>63</v>
      </c>
      <c r="B65" s="3">
        <v>40575</v>
      </c>
      <c r="C65">
        <v>5.1147885372308499</v>
      </c>
      <c r="D65">
        <f>VLOOKUP(B65,Sheet4!A:B,2,0)</f>
        <v>5.9</v>
      </c>
      <c r="E65">
        <v>4.7227980509808596</v>
      </c>
      <c r="F65">
        <f t="shared" si="0"/>
        <v>0.61655704126406896</v>
      </c>
      <c r="G65">
        <f t="shared" si="1"/>
        <v>0.15365654131050385</v>
      </c>
    </row>
    <row r="66" spans="1:7" x14ac:dyDescent="0.25">
      <c r="A66" s="3" t="s">
        <v>64</v>
      </c>
      <c r="B66" s="3">
        <v>40603</v>
      </c>
      <c r="C66">
        <v>3.4779192030929198</v>
      </c>
      <c r="D66">
        <f>VLOOKUP(B66,Sheet4!A:B,2,0)</f>
        <v>5.8</v>
      </c>
      <c r="E66">
        <v>4.54035178771095</v>
      </c>
      <c r="F66">
        <f t="shared" si="0"/>
        <v>5.3920592273646202</v>
      </c>
      <c r="G66">
        <f t="shared" si="1"/>
        <v>1.1287629968581481</v>
      </c>
    </row>
    <row r="67" spans="1:7" x14ac:dyDescent="0.25">
      <c r="A67" s="3" t="s">
        <v>65</v>
      </c>
      <c r="B67" s="3">
        <v>40634</v>
      </c>
      <c r="C67">
        <v>3.2595327692803902</v>
      </c>
      <c r="D67">
        <f>VLOOKUP(B67,Sheet4!A:B,2,0)</f>
        <v>5.2</v>
      </c>
      <c r="E67">
        <v>3.8320475308430302</v>
      </c>
      <c r="F67">
        <f t="shared" ref="F67:F130" si="2">(D67-C67)^2</f>
        <v>3.7654130734966325</v>
      </c>
      <c r="G67">
        <f t="shared" ref="G67:G130" si="3">(E67-C67)^2</f>
        <v>0.32777315220712655</v>
      </c>
    </row>
    <row r="68" spans="1:7" x14ac:dyDescent="0.25">
      <c r="A68" s="3" t="s">
        <v>66</v>
      </c>
      <c r="B68" s="3">
        <v>40664</v>
      </c>
      <c r="C68">
        <v>2.5464616722631899</v>
      </c>
      <c r="D68">
        <f>VLOOKUP(B68,Sheet4!A:B,2,0)</f>
        <v>5.3</v>
      </c>
      <c r="E68">
        <v>4.0017927959026398</v>
      </c>
      <c r="F68">
        <f t="shared" si="2"/>
        <v>7.581973322315628</v>
      </c>
      <c r="G68">
        <f t="shared" si="3"/>
        <v>2.117988679433664</v>
      </c>
    </row>
    <row r="69" spans="1:7" x14ac:dyDescent="0.25">
      <c r="A69" s="3" t="s">
        <v>67</v>
      </c>
      <c r="B69" s="3">
        <v>40695</v>
      </c>
      <c r="C69">
        <v>3.1923785969584602</v>
      </c>
      <c r="D69">
        <f>VLOOKUP(B69,Sheet4!A:B,2,0)</f>
        <v>4.5999999999999996</v>
      </c>
      <c r="E69">
        <v>4.2517250645072204</v>
      </c>
      <c r="F69">
        <f t="shared" si="2"/>
        <v>1.9813980143006322</v>
      </c>
      <c r="G69">
        <f t="shared" si="3"/>
        <v>1.1222149383080366</v>
      </c>
    </row>
    <row r="70" spans="1:7" x14ac:dyDescent="0.25">
      <c r="A70" s="3" t="s">
        <v>68</v>
      </c>
      <c r="B70" s="3">
        <v>40725</v>
      </c>
      <c r="C70">
        <v>2.7840753259058801</v>
      </c>
      <c r="D70">
        <f>VLOOKUP(B70,Sheet4!A:B,2,0)</f>
        <v>5.0999999999999996</v>
      </c>
      <c r="E70">
        <v>4.3474637092739803</v>
      </c>
      <c r="F70">
        <f t="shared" si="2"/>
        <v>5.3635070960779538</v>
      </c>
      <c r="G70">
        <f t="shared" si="3"/>
        <v>2.4441832372503218</v>
      </c>
    </row>
    <row r="71" spans="1:7" x14ac:dyDescent="0.25">
      <c r="A71" s="3" t="s">
        <v>69</v>
      </c>
      <c r="B71" s="3">
        <v>40756</v>
      </c>
      <c r="C71">
        <v>4.2902867395293498</v>
      </c>
      <c r="D71">
        <f>VLOOKUP(B71,Sheet4!A:B,2,0)</f>
        <v>5.5</v>
      </c>
      <c r="E71">
        <v>4.8216508245531502</v>
      </c>
      <c r="F71">
        <f t="shared" si="2"/>
        <v>1.4634061725585312</v>
      </c>
      <c r="G71">
        <f t="shared" si="3"/>
        <v>0.28234779085318057</v>
      </c>
    </row>
    <row r="72" spans="1:7" x14ac:dyDescent="0.25">
      <c r="A72" s="3" t="s">
        <v>70</v>
      </c>
      <c r="B72" s="3">
        <v>40787</v>
      </c>
      <c r="C72">
        <v>6.0257766770427503</v>
      </c>
      <c r="D72">
        <f>VLOOKUP(B72,Sheet4!A:B,2,0)</f>
        <v>5.3</v>
      </c>
      <c r="E72">
        <v>5.0711520337362304</v>
      </c>
      <c r="F72">
        <f t="shared" si="2"/>
        <v>0.52675178493921693</v>
      </c>
      <c r="G72">
        <f t="shared" si="3"/>
        <v>0.91130820960810044</v>
      </c>
    </row>
    <row r="73" spans="1:7" x14ac:dyDescent="0.25">
      <c r="A73" s="3" t="s">
        <v>71</v>
      </c>
      <c r="B73" s="3">
        <v>40817</v>
      </c>
      <c r="C73">
        <v>5.1904453412015297</v>
      </c>
      <c r="D73">
        <f>VLOOKUP(B73,Sheet4!A:B,2,0)</f>
        <v>6.2</v>
      </c>
      <c r="E73">
        <v>4.9365371731192296</v>
      </c>
      <c r="F73">
        <f t="shared" si="2"/>
        <v>1.0192006091016963</v>
      </c>
      <c r="G73">
        <f t="shared" si="3"/>
        <v>6.4469357818909556E-2</v>
      </c>
    </row>
    <row r="74" spans="1:7" x14ac:dyDescent="0.25">
      <c r="A74" s="3" t="s">
        <v>72</v>
      </c>
      <c r="B74" s="3">
        <v>40848</v>
      </c>
      <c r="C74">
        <v>4.5501382814104803</v>
      </c>
      <c r="D74">
        <f>VLOOKUP(B74,Sheet4!A:B,2,0)</f>
        <v>6.7</v>
      </c>
      <c r="E74">
        <v>5.1079087983606497</v>
      </c>
      <c r="F74">
        <f t="shared" si="2"/>
        <v>4.6219054090566845</v>
      </c>
      <c r="G74">
        <f t="shared" si="3"/>
        <v>0.31110794957885923</v>
      </c>
    </row>
    <row r="75" spans="1:7" x14ac:dyDescent="0.25">
      <c r="A75" s="3" t="s">
        <v>73</v>
      </c>
      <c r="B75" s="3">
        <v>40878</v>
      </c>
      <c r="C75">
        <v>3.9643533072389001</v>
      </c>
      <c r="D75">
        <f>VLOOKUP(B75,Sheet4!A:B,2,0)</f>
        <v>6.7</v>
      </c>
      <c r="E75">
        <v>4.9467554933479896</v>
      </c>
      <c r="F75">
        <f t="shared" si="2"/>
        <v>7.4837628276147443</v>
      </c>
      <c r="G75">
        <f t="shared" si="3"/>
        <v>0.96511405527191807</v>
      </c>
    </row>
    <row r="76" spans="1:7" x14ac:dyDescent="0.25">
      <c r="A76" s="3" t="s">
        <v>74</v>
      </c>
      <c r="B76" s="3">
        <v>40909</v>
      </c>
      <c r="C76">
        <v>4.0454208142870796</v>
      </c>
      <c r="D76">
        <f>VLOOKUP(B76,Sheet4!A:B,2,0)</f>
        <v>6.9</v>
      </c>
      <c r="E76">
        <v>5.0974109785011299</v>
      </c>
      <c r="F76">
        <f t="shared" si="2"/>
        <v>8.1486223275054428</v>
      </c>
      <c r="G76">
        <f t="shared" si="3"/>
        <v>1.1066833056031047</v>
      </c>
    </row>
    <row r="77" spans="1:7" x14ac:dyDescent="0.25">
      <c r="A77" s="3" t="s">
        <v>75</v>
      </c>
      <c r="B77" s="3">
        <v>40940</v>
      </c>
      <c r="C77">
        <v>3.6550183541861898</v>
      </c>
      <c r="D77">
        <f>VLOOKUP(B77,Sheet4!A:B,2,0)</f>
        <v>6.9</v>
      </c>
      <c r="E77">
        <v>5.13709172077085</v>
      </c>
      <c r="F77">
        <f t="shared" si="2"/>
        <v>10.529905881668506</v>
      </c>
      <c r="G77">
        <f t="shared" si="3"/>
        <v>2.1965414639395884</v>
      </c>
    </row>
    <row r="78" spans="1:7" x14ac:dyDescent="0.25">
      <c r="A78" s="3" t="s">
        <v>76</v>
      </c>
      <c r="B78" s="3">
        <v>40969</v>
      </c>
      <c r="C78">
        <v>3.5063704219542702</v>
      </c>
      <c r="D78">
        <f>VLOOKUP(B78,Sheet4!A:B,2,0)</f>
        <v>6.9</v>
      </c>
      <c r="E78">
        <v>4.6084077247213298</v>
      </c>
      <c r="F78">
        <f t="shared" si="2"/>
        <v>11.51672171298684</v>
      </c>
      <c r="G78">
        <f t="shared" si="3"/>
        <v>1.2144862166900958</v>
      </c>
    </row>
    <row r="79" spans="1:7" x14ac:dyDescent="0.25">
      <c r="A79" s="3" t="s">
        <v>77</v>
      </c>
      <c r="B79" s="3">
        <v>41000</v>
      </c>
      <c r="C79">
        <v>3.9454263497954201</v>
      </c>
      <c r="D79">
        <f>VLOOKUP(B79,Sheet4!A:B,2,0)</f>
        <v>6.6</v>
      </c>
      <c r="E79">
        <v>4.2649466799082099</v>
      </c>
      <c r="F79">
        <f t="shared" si="2"/>
        <v>7.046761264360466</v>
      </c>
      <c r="G79">
        <f t="shared" si="3"/>
        <v>0.10209324135538617</v>
      </c>
    </row>
    <row r="80" spans="1:7" x14ac:dyDescent="0.25">
      <c r="A80" s="3" t="s">
        <v>78</v>
      </c>
      <c r="B80" s="3">
        <v>41030</v>
      </c>
      <c r="C80">
        <v>3.3184917473696598</v>
      </c>
      <c r="D80">
        <f>VLOOKUP(B80,Sheet4!A:B,2,0)</f>
        <v>5.9</v>
      </c>
      <c r="E80">
        <v>4.5297524270066596</v>
      </c>
      <c r="F80">
        <f t="shared" si="2"/>
        <v>6.6641848583985546</v>
      </c>
      <c r="G80">
        <f t="shared" si="3"/>
        <v>1.4671524340346866</v>
      </c>
    </row>
    <row r="81" spans="1:7" x14ac:dyDescent="0.25">
      <c r="A81" s="3" t="s">
        <v>79</v>
      </c>
      <c r="B81" s="3">
        <v>41061</v>
      </c>
      <c r="C81">
        <v>4.3788594768117397</v>
      </c>
      <c r="D81">
        <f>VLOOKUP(B81,Sheet4!A:B,2,0)</f>
        <v>5.4</v>
      </c>
      <c r="E81">
        <v>4.6741471887210002</v>
      </c>
      <c r="F81">
        <f t="shared" si="2"/>
        <v>1.0427279680971946</v>
      </c>
      <c r="G81">
        <f t="shared" si="3"/>
        <v>8.7194832804606437E-2</v>
      </c>
    </row>
    <row r="82" spans="1:7" x14ac:dyDescent="0.25">
      <c r="A82" s="3" t="s">
        <v>80</v>
      </c>
      <c r="B82" s="3">
        <v>41091</v>
      </c>
      <c r="C82">
        <v>3.7516007286045099</v>
      </c>
      <c r="D82">
        <f>VLOOKUP(B82,Sheet4!A:B,2,0)</f>
        <v>5.5</v>
      </c>
      <c r="E82">
        <v>4.4621178960091097</v>
      </c>
      <c r="F82">
        <f t="shared" si="2"/>
        <v>3.0569000122162806</v>
      </c>
      <c r="G82">
        <f t="shared" si="3"/>
        <v>0.5048346451766561</v>
      </c>
    </row>
    <row r="83" spans="1:7" x14ac:dyDescent="0.25">
      <c r="A83" s="3" t="s">
        <v>81</v>
      </c>
      <c r="B83" s="3">
        <v>41122</v>
      </c>
      <c r="C83">
        <v>4.5742798843730803</v>
      </c>
      <c r="D83">
        <f>VLOOKUP(B83,Sheet4!A:B,2,0)</f>
        <v>5.9</v>
      </c>
      <c r="E83">
        <v>4.7926200371024601</v>
      </c>
      <c r="F83">
        <f t="shared" si="2"/>
        <v>1.7575338249778543</v>
      </c>
      <c r="G83">
        <f t="shared" si="3"/>
        <v>4.7672422293888891E-2</v>
      </c>
    </row>
    <row r="84" spans="1:7" x14ac:dyDescent="0.25">
      <c r="A84" s="3" t="s">
        <v>82</v>
      </c>
      <c r="B84" s="3">
        <v>41153</v>
      </c>
      <c r="C84">
        <v>5.0501800077206598</v>
      </c>
      <c r="D84">
        <f>VLOOKUP(B84,Sheet4!A:B,2,0)</f>
        <v>6</v>
      </c>
      <c r="E84">
        <v>4.7259699874994396</v>
      </c>
      <c r="F84">
        <f t="shared" si="2"/>
        <v>0.90215801773352589</v>
      </c>
      <c r="G84">
        <f t="shared" si="3"/>
        <v>0.10511213721184397</v>
      </c>
    </row>
    <row r="85" spans="1:7" x14ac:dyDescent="0.25">
      <c r="A85" s="3" t="s">
        <v>83</v>
      </c>
      <c r="B85" s="3">
        <v>41183</v>
      </c>
      <c r="C85">
        <v>5.0762727175926798</v>
      </c>
      <c r="D85">
        <f>VLOOKUP(B85,Sheet4!A:B,2,0)</f>
        <v>5.8</v>
      </c>
      <c r="E85">
        <v>5.1025749742358899</v>
      </c>
      <c r="F85">
        <f t="shared" si="2"/>
        <v>0.52378117930068468</v>
      </c>
      <c r="G85">
        <f t="shared" si="3"/>
        <v>6.9180870452528796E-4</v>
      </c>
    </row>
    <row r="86" spans="1:7" x14ac:dyDescent="0.25">
      <c r="A86" s="3" t="s">
        <v>84</v>
      </c>
      <c r="B86" s="3">
        <v>41214</v>
      </c>
      <c r="C86">
        <v>5.1739161209361502</v>
      </c>
      <c r="D86">
        <f>VLOOKUP(B86,Sheet4!A:B,2,0)</f>
        <v>5.9</v>
      </c>
      <c r="E86">
        <v>5.1539274539311597</v>
      </c>
      <c r="F86">
        <f t="shared" si="2"/>
        <v>0.52719779943640788</v>
      </c>
      <c r="G86">
        <f t="shared" si="3"/>
        <v>3.9954680863639458E-4</v>
      </c>
    </row>
    <row r="87" spans="1:7" x14ac:dyDescent="0.25">
      <c r="A87" s="3" t="s">
        <v>85</v>
      </c>
      <c r="B87" s="3">
        <v>41244</v>
      </c>
      <c r="C87">
        <v>5.3802537500524803</v>
      </c>
      <c r="D87">
        <f>VLOOKUP(B87,Sheet4!A:B,2,0)</f>
        <v>6</v>
      </c>
      <c r="E87">
        <v>5.0905447665908801</v>
      </c>
      <c r="F87">
        <f t="shared" si="2"/>
        <v>0.38408541432401355</v>
      </c>
      <c r="G87">
        <f t="shared" si="3"/>
        <v>8.3931295098353759E-2</v>
      </c>
    </row>
    <row r="88" spans="1:7" x14ac:dyDescent="0.25">
      <c r="A88" s="3" t="s">
        <v>86</v>
      </c>
      <c r="B88" s="3">
        <v>41275</v>
      </c>
      <c r="C88">
        <v>5.5336870837328203</v>
      </c>
      <c r="D88">
        <f>VLOOKUP(B88,Sheet4!A:B,2,0)</f>
        <v>5.8</v>
      </c>
      <c r="E88">
        <v>5.4713351787919002</v>
      </c>
      <c r="F88">
        <f t="shared" si="2"/>
        <v>7.0922569370729799E-2</v>
      </c>
      <c r="G88">
        <f t="shared" si="3"/>
        <v>3.8877600497615266E-3</v>
      </c>
    </row>
    <row r="89" spans="1:7" x14ac:dyDescent="0.25">
      <c r="A89" s="3" t="s">
        <v>87</v>
      </c>
      <c r="B89" s="3">
        <v>41306</v>
      </c>
      <c r="C89">
        <v>6.0239474943484996</v>
      </c>
      <c r="D89">
        <f>VLOOKUP(B89,Sheet4!A:B,2,0)</f>
        <v>5.8</v>
      </c>
      <c r="E89">
        <v>5.2920457523517204</v>
      </c>
      <c r="F89">
        <f t="shared" si="2"/>
        <v>5.0152480224971353E-2</v>
      </c>
      <c r="G89">
        <f t="shared" si="3"/>
        <v>0.53568015993792006</v>
      </c>
    </row>
    <row r="90" spans="1:7" x14ac:dyDescent="0.25">
      <c r="A90" s="3" t="s">
        <v>88</v>
      </c>
      <c r="B90" s="3">
        <v>41334</v>
      </c>
      <c r="C90">
        <v>3.9668977662629898</v>
      </c>
      <c r="D90">
        <f>VLOOKUP(B90,Sheet4!A:B,2,0)</f>
        <v>5.5</v>
      </c>
      <c r="E90">
        <v>4.8388407146419601</v>
      </c>
      <c r="F90">
        <f t="shared" si="2"/>
        <v>2.3504024590894099</v>
      </c>
      <c r="G90">
        <f t="shared" si="3"/>
        <v>0.76028450522781155</v>
      </c>
    </row>
    <row r="91" spans="1:7" x14ac:dyDescent="0.25">
      <c r="A91" s="3" t="s">
        <v>89</v>
      </c>
      <c r="B91" s="3">
        <v>41365</v>
      </c>
      <c r="C91">
        <v>4.0671090624596298</v>
      </c>
      <c r="D91">
        <f>VLOOKUP(B91,Sheet4!A:B,2,0)</f>
        <v>5</v>
      </c>
      <c r="E91">
        <v>4.4636300929850696</v>
      </c>
      <c r="F91">
        <f t="shared" si="2"/>
        <v>0.87028550134495097</v>
      </c>
      <c r="G91">
        <f t="shared" si="3"/>
        <v>0.1572289276489568</v>
      </c>
    </row>
    <row r="92" spans="1:7" x14ac:dyDescent="0.25">
      <c r="A92" s="3" t="s">
        <v>90</v>
      </c>
      <c r="B92" s="3">
        <v>41395</v>
      </c>
      <c r="C92">
        <v>4.50913331788718</v>
      </c>
      <c r="D92">
        <f>VLOOKUP(B92,Sheet4!A:B,2,0)</f>
        <v>4.8</v>
      </c>
      <c r="E92">
        <v>4.4411076320338898</v>
      </c>
      <c r="F92">
        <f t="shared" si="2"/>
        <v>8.4603426763320194E-2</v>
      </c>
      <c r="G92">
        <f t="shared" si="3"/>
        <v>4.6274939358105218E-3</v>
      </c>
    </row>
    <row r="93" spans="1:7" x14ac:dyDescent="0.25">
      <c r="A93" s="3" t="s">
        <v>91</v>
      </c>
      <c r="B93" s="3">
        <v>41426</v>
      </c>
      <c r="C93">
        <v>4.6108568655687199</v>
      </c>
      <c r="D93">
        <f>VLOOKUP(B93,Sheet4!A:B,2,0)</f>
        <v>4.8</v>
      </c>
      <c r="E93">
        <v>4.3504506873305298</v>
      </c>
      <c r="F93">
        <f t="shared" si="2"/>
        <v>3.577512530248924E-2</v>
      </c>
      <c r="G93">
        <f t="shared" si="3"/>
        <v>6.7811377664620046E-2</v>
      </c>
    </row>
    <row r="94" spans="1:7" x14ac:dyDescent="0.25">
      <c r="A94" s="3" t="s">
        <v>92</v>
      </c>
      <c r="B94" s="3">
        <v>41456</v>
      </c>
      <c r="C94">
        <v>5.3536749961708603</v>
      </c>
      <c r="D94">
        <f>VLOOKUP(B94,Sheet4!A:B,2,0)</f>
        <v>4.5</v>
      </c>
      <c r="E94">
        <v>4.9289320639847896</v>
      </c>
      <c r="F94">
        <f t="shared" si="2"/>
        <v>0.72876099908731828</v>
      </c>
      <c r="G94">
        <f t="shared" si="3"/>
        <v>0.18040655844202108</v>
      </c>
    </row>
    <row r="95" spans="1:7" x14ac:dyDescent="0.25">
      <c r="A95" s="3" t="s">
        <v>93</v>
      </c>
      <c r="B95" s="3">
        <v>41487</v>
      </c>
      <c r="C95">
        <v>4.9968321081673501</v>
      </c>
      <c r="D95">
        <f>VLOOKUP(B95,Sheet4!A:B,2,0)</f>
        <v>3.5</v>
      </c>
      <c r="E95">
        <v>4.9090257908336898</v>
      </c>
      <c r="F95">
        <f t="shared" si="2"/>
        <v>2.2405063600407136</v>
      </c>
      <c r="G95">
        <f t="shared" si="3"/>
        <v>7.7099493636994514E-3</v>
      </c>
    </row>
    <row r="96" spans="1:7" x14ac:dyDescent="0.25">
      <c r="A96" s="3" t="s">
        <v>94</v>
      </c>
      <c r="B96" s="3">
        <v>41518</v>
      </c>
      <c r="C96">
        <v>4.9162896396261297</v>
      </c>
      <c r="D96">
        <f>VLOOKUP(B96,Sheet4!A:B,2,0)</f>
        <v>2.9</v>
      </c>
      <c r="E96">
        <v>4.8855469245118099</v>
      </c>
      <c r="F96">
        <f t="shared" si="2"/>
        <v>4.0654239108636689</v>
      </c>
      <c r="G96">
        <f t="shared" si="3"/>
        <v>9.4511453260022753E-4</v>
      </c>
    </row>
    <row r="97" spans="1:7" x14ac:dyDescent="0.25">
      <c r="A97" s="3" t="s">
        <v>95</v>
      </c>
      <c r="B97" s="3">
        <v>41548</v>
      </c>
      <c r="C97">
        <v>5.0549239283879901</v>
      </c>
      <c r="D97">
        <f>VLOOKUP(B97,Sheet4!A:B,2,0)</f>
        <v>2.8</v>
      </c>
      <c r="E97">
        <v>4.6929271108568296</v>
      </c>
      <c r="F97">
        <f t="shared" si="2"/>
        <v>5.0846819228167259</v>
      </c>
      <c r="G97">
        <f t="shared" si="3"/>
        <v>0.13104169590268833</v>
      </c>
    </row>
    <row r="98" spans="1:7" x14ac:dyDescent="0.25">
      <c r="A98" s="3" t="s">
        <v>96</v>
      </c>
      <c r="B98" s="3">
        <v>41579</v>
      </c>
      <c r="C98">
        <v>4.0640976058181204</v>
      </c>
      <c r="D98">
        <f>VLOOKUP(B98,Sheet4!A:B,2,0)</f>
        <v>2.7</v>
      </c>
      <c r="E98">
        <v>4.5337858181422996</v>
      </c>
      <c r="F98">
        <f t="shared" si="2"/>
        <v>1.8607622781987276</v>
      </c>
      <c r="G98">
        <f t="shared" si="3"/>
        <v>0.22060701679628328</v>
      </c>
    </row>
    <row r="99" spans="1:7" x14ac:dyDescent="0.25">
      <c r="A99" s="3" t="s">
        <v>97</v>
      </c>
      <c r="B99" s="3">
        <v>41609</v>
      </c>
      <c r="C99">
        <v>4.0248765108435904</v>
      </c>
      <c r="D99">
        <f>VLOOKUP(B99,Sheet4!A:B,2,0)</f>
        <v>3.1</v>
      </c>
      <c r="E99">
        <v>4.67935811772543</v>
      </c>
      <c r="F99">
        <f t="shared" si="2"/>
        <v>0.85539656031021394</v>
      </c>
      <c r="G99">
        <f t="shared" si="3"/>
        <v>0.42834617374663475</v>
      </c>
    </row>
    <row r="100" spans="1:7" x14ac:dyDescent="0.25">
      <c r="A100" s="3" t="s">
        <v>98</v>
      </c>
      <c r="B100" s="3">
        <v>41640</v>
      </c>
      <c r="C100">
        <v>4.6353135403071004</v>
      </c>
      <c r="D100">
        <f>VLOOKUP(B100,Sheet4!A:B,2,0)</f>
        <v>3.1</v>
      </c>
      <c r="E100">
        <v>4.9487539143355903</v>
      </c>
      <c r="F100">
        <f t="shared" si="2"/>
        <v>2.3571876670503222</v>
      </c>
      <c r="G100">
        <f t="shared" si="3"/>
        <v>9.8244868071119651E-2</v>
      </c>
    </row>
    <row r="101" spans="1:7" x14ac:dyDescent="0.25">
      <c r="A101" s="2" t="s">
        <v>99</v>
      </c>
      <c r="B101" s="3">
        <v>41671</v>
      </c>
      <c r="C101">
        <v>4.4481321805711396</v>
      </c>
      <c r="D101">
        <f>VLOOKUP(B101,Sheet4!A:B,2,0)</f>
        <v>2.8</v>
      </c>
      <c r="E101">
        <v>4.5649935060573696</v>
      </c>
      <c r="F101">
        <f t="shared" si="2"/>
        <v>2.7163396846341801</v>
      </c>
      <c r="G101">
        <f t="shared" si="3"/>
        <v>1.3656569394398606E-2</v>
      </c>
    </row>
    <row r="102" spans="1:7" x14ac:dyDescent="0.25">
      <c r="A102" s="2" t="s">
        <v>100</v>
      </c>
      <c r="B102" s="3">
        <v>41699</v>
      </c>
      <c r="C102">
        <v>3.0454018843188302</v>
      </c>
      <c r="D102">
        <f>VLOOKUP(B102,Sheet4!A:B,2,0)</f>
        <v>2.9</v>
      </c>
      <c r="E102">
        <v>4.0283606146838302</v>
      </c>
      <c r="F102">
        <f t="shared" si="2"/>
        <v>2.1141707963466504E-2</v>
      </c>
      <c r="G102">
        <f t="shared" si="3"/>
        <v>0.96620786560077287</v>
      </c>
    </row>
    <row r="103" spans="1:7" x14ac:dyDescent="0.25">
      <c r="A103" s="2" t="s">
        <v>101</v>
      </c>
      <c r="B103" s="3">
        <v>41730</v>
      </c>
      <c r="C103">
        <v>5.0320245939024604</v>
      </c>
      <c r="D103">
        <f>VLOOKUP(B103,Sheet4!A:B,2,0)</f>
        <v>3.1</v>
      </c>
      <c r="E103">
        <v>3.7934153266830402</v>
      </c>
      <c r="F103">
        <f t="shared" si="2"/>
        <v>3.7327190314439664</v>
      </c>
      <c r="G103">
        <f t="shared" si="3"/>
        <v>1.5341529168418291</v>
      </c>
    </row>
    <row r="104" spans="1:7" x14ac:dyDescent="0.25">
      <c r="A104" s="2" t="s">
        <v>102</v>
      </c>
      <c r="B104" s="3">
        <v>41760</v>
      </c>
      <c r="C104">
        <v>4.7359527415641596</v>
      </c>
      <c r="D104">
        <f>VLOOKUP(B104,Sheet4!A:B,2,0)</f>
        <v>3.1</v>
      </c>
      <c r="E104">
        <v>3.3655632599533698</v>
      </c>
      <c r="F104">
        <f t="shared" si="2"/>
        <v>2.6763413726312897</v>
      </c>
      <c r="G104">
        <f t="shared" si="3"/>
        <v>1.8779673313094891</v>
      </c>
    </row>
    <row r="105" spans="1:7" x14ac:dyDescent="0.25">
      <c r="A105" s="2" t="s">
        <v>103</v>
      </c>
      <c r="B105" s="3">
        <v>41791</v>
      </c>
      <c r="C105">
        <v>3.88579689144475</v>
      </c>
      <c r="D105">
        <f>VLOOKUP(B105,Sheet4!A:B,2,0)</f>
        <v>3</v>
      </c>
      <c r="E105">
        <v>3.3686180587901502</v>
      </c>
      <c r="F105">
        <f t="shared" si="2"/>
        <v>0.78463613289318235</v>
      </c>
      <c r="G105">
        <f t="shared" si="3"/>
        <v>0.2674739449459746</v>
      </c>
    </row>
    <row r="106" spans="1:7" x14ac:dyDescent="0.25">
      <c r="A106" s="2" t="s">
        <v>104</v>
      </c>
      <c r="B106" s="3">
        <v>41821</v>
      </c>
      <c r="C106">
        <v>4.33455282323514</v>
      </c>
      <c r="D106">
        <f>VLOOKUP(B106,Sheet4!A:B,2,0)</f>
        <v>3.2</v>
      </c>
      <c r="E106">
        <v>3.6177332104628399</v>
      </c>
      <c r="F106">
        <f t="shared" si="2"/>
        <v>1.2872101087108265</v>
      </c>
      <c r="G106">
        <f t="shared" si="3"/>
        <v>0.51383035725503023</v>
      </c>
    </row>
    <row r="107" spans="1:7" x14ac:dyDescent="0.25">
      <c r="A107" s="2" t="s">
        <v>105</v>
      </c>
      <c r="B107" s="3">
        <v>41852</v>
      </c>
      <c r="C107">
        <v>3.8604971084732602</v>
      </c>
      <c r="D107">
        <f>VLOOKUP(B107,Sheet4!A:B,2,0)</f>
        <v>3.3</v>
      </c>
      <c r="E107">
        <v>3.5558922682526299</v>
      </c>
      <c r="F107">
        <f t="shared" si="2"/>
        <v>0.31415700860688583</v>
      </c>
      <c r="G107">
        <f t="shared" si="3"/>
        <v>9.2784108685835698E-2</v>
      </c>
    </row>
    <row r="108" spans="1:7" x14ac:dyDescent="0.25">
      <c r="A108" s="2" t="s">
        <v>106</v>
      </c>
      <c r="B108" s="3">
        <v>41883</v>
      </c>
      <c r="C108">
        <v>3.6945924606077498</v>
      </c>
      <c r="D108">
        <f>VLOOKUP(B108,Sheet4!A:B,2,0)</f>
        <v>3.3</v>
      </c>
      <c r="E108">
        <v>3.81253260962173</v>
      </c>
      <c r="F108">
        <f t="shared" si="2"/>
        <v>0.15570320996847872</v>
      </c>
      <c r="G108">
        <f t="shared" si="3"/>
        <v>1.3909878749439854E-2</v>
      </c>
    </row>
    <row r="109" spans="1:7" x14ac:dyDescent="0.25">
      <c r="A109" s="2" t="s">
        <v>107</v>
      </c>
      <c r="B109" s="3">
        <v>41913</v>
      </c>
      <c r="C109">
        <v>3.9629759871878201</v>
      </c>
      <c r="D109">
        <f>VLOOKUP(B109,Sheet4!A:B,2,0)</f>
        <v>3.3</v>
      </c>
      <c r="E109">
        <v>3.9001351319571098</v>
      </c>
      <c r="F109">
        <f t="shared" si="2"/>
        <v>0.43953715958766482</v>
      </c>
      <c r="G109">
        <f t="shared" si="3"/>
        <v>3.9489730861270844E-3</v>
      </c>
    </row>
    <row r="110" spans="1:7" x14ac:dyDescent="0.25">
      <c r="A110" s="2" t="s">
        <v>108</v>
      </c>
      <c r="B110" s="3">
        <v>41944</v>
      </c>
      <c r="C110">
        <v>4.1619475588573502</v>
      </c>
      <c r="D110">
        <f>VLOOKUP(B110,Sheet4!A:B,2,0)</f>
        <v>3.2</v>
      </c>
      <c r="E110">
        <v>3.6333902598724301</v>
      </c>
      <c r="F110">
        <f t="shared" si="2"/>
        <v>0.92534310599161496</v>
      </c>
      <c r="G110">
        <f t="shared" si="3"/>
        <v>0.27937281831023419</v>
      </c>
    </row>
    <row r="111" spans="1:7" x14ac:dyDescent="0.25">
      <c r="A111" s="2" t="s">
        <v>109</v>
      </c>
      <c r="B111" s="3">
        <v>41974</v>
      </c>
      <c r="C111">
        <v>3.67970421535522</v>
      </c>
      <c r="D111">
        <f>VLOOKUP(B111,Sheet4!A:B,2,0)</f>
        <v>3.4</v>
      </c>
      <c r="E111">
        <v>4.0656681975315099</v>
      </c>
      <c r="F111">
        <f t="shared" si="2"/>
        <v>7.8234448087479314E-2</v>
      </c>
      <c r="G111">
        <f t="shared" si="3"/>
        <v>0.14896819553737944</v>
      </c>
    </row>
    <row r="112" spans="1:7" x14ac:dyDescent="0.25">
      <c r="A112" s="2" t="s">
        <v>110</v>
      </c>
      <c r="B112" s="3">
        <v>42005</v>
      </c>
      <c r="C112">
        <v>3.8057647063404398</v>
      </c>
      <c r="D112">
        <f>VLOOKUP(B112,Sheet4!A:B,2,0)</f>
        <v>3.6</v>
      </c>
      <c r="E112">
        <v>3.8991453199362698</v>
      </c>
      <c r="F112">
        <f t="shared" si="2"/>
        <v>4.2339114375367408E-2</v>
      </c>
      <c r="G112">
        <f t="shared" si="3"/>
        <v>8.7199389955337006E-3</v>
      </c>
    </row>
    <row r="113" spans="1:7" x14ac:dyDescent="0.25">
      <c r="A113" s="2" t="s">
        <v>111</v>
      </c>
      <c r="B113" s="3">
        <v>42036</v>
      </c>
      <c r="C113">
        <v>3.2453349621788901</v>
      </c>
      <c r="D113">
        <f>VLOOKUP(B113,Sheet4!A:B,2,0)</f>
        <v>3.7</v>
      </c>
      <c r="E113">
        <v>3.6779687741850702</v>
      </c>
      <c r="F113">
        <f t="shared" si="2"/>
        <v>0.2067202966168715</v>
      </c>
      <c r="G113">
        <f t="shared" si="3"/>
        <v>0.18717201529099881</v>
      </c>
    </row>
    <row r="114" spans="1:7" x14ac:dyDescent="0.25">
      <c r="A114" s="2" t="s">
        <v>112</v>
      </c>
      <c r="B114" s="3">
        <v>42064</v>
      </c>
      <c r="C114">
        <v>3.0307358229670802</v>
      </c>
      <c r="D114">
        <f>VLOOKUP(B114,Sheet4!A:B,2,0)</f>
        <v>4.7</v>
      </c>
      <c r="E114">
        <v>3.3584388214617</v>
      </c>
      <c r="F114">
        <f t="shared" si="2"/>
        <v>2.7864428927253915</v>
      </c>
      <c r="G114">
        <f t="shared" si="3"/>
        <v>0.1073892552223648</v>
      </c>
    </row>
    <row r="115" spans="1:7" x14ac:dyDescent="0.25">
      <c r="A115" s="2" t="s">
        <v>113</v>
      </c>
      <c r="B115" s="3">
        <v>42095</v>
      </c>
      <c r="C115">
        <v>2.6732671835164799</v>
      </c>
      <c r="D115">
        <f>VLOOKUP(B115,Sheet4!A:B,2,0)</f>
        <v>4.5</v>
      </c>
      <c r="E115">
        <v>3.0488649739835099</v>
      </c>
      <c r="F115">
        <f t="shared" si="2"/>
        <v>3.3369527828178143</v>
      </c>
      <c r="G115">
        <f t="shared" si="3"/>
        <v>0.14107370020371499</v>
      </c>
    </row>
    <row r="116" spans="1:7" x14ac:dyDescent="0.25">
      <c r="A116" s="2" t="s">
        <v>114</v>
      </c>
      <c r="B116" s="3">
        <v>42125</v>
      </c>
      <c r="C116">
        <v>2.6130068077846702</v>
      </c>
      <c r="D116">
        <f>VLOOKUP(B116,Sheet4!A:B,2,0)</f>
        <v>4.2</v>
      </c>
      <c r="E116">
        <v>3.0423441240843401</v>
      </c>
      <c r="F116">
        <f t="shared" si="2"/>
        <v>2.5185473921378034</v>
      </c>
      <c r="G116">
        <f t="shared" si="3"/>
        <v>0.18433053116740278</v>
      </c>
    </row>
    <row r="117" spans="1:7" x14ac:dyDescent="0.25">
      <c r="A117" s="2" t="s">
        <v>115</v>
      </c>
      <c r="B117" s="3">
        <v>42156</v>
      </c>
      <c r="C117">
        <v>3.2650335116695701</v>
      </c>
      <c r="D117">
        <f>VLOOKUP(B117,Sheet4!A:B,2,0)</f>
        <v>4.3</v>
      </c>
      <c r="E117">
        <v>3.2837881789345098</v>
      </c>
      <c r="F117">
        <f t="shared" si="2"/>
        <v>1.0711556319670215</v>
      </c>
      <c r="G117">
        <f t="shared" si="3"/>
        <v>3.5173754421860017E-4</v>
      </c>
    </row>
    <row r="118" spans="1:7" x14ac:dyDescent="0.25">
      <c r="A118" s="2" t="s">
        <v>116</v>
      </c>
      <c r="B118" s="3">
        <v>42186</v>
      </c>
      <c r="C118">
        <v>2.8230606124631898</v>
      </c>
      <c r="D118">
        <f>VLOOKUP(B118,Sheet4!A:B,2,0)</f>
        <v>3.8</v>
      </c>
      <c r="E118">
        <v>3.3544012058745101</v>
      </c>
      <c r="F118">
        <f t="shared" si="2"/>
        <v>0.9544105669207974</v>
      </c>
      <c r="G118">
        <f t="shared" si="3"/>
        <v>0.28232282620669391</v>
      </c>
    </row>
    <row r="119" spans="1:7" x14ac:dyDescent="0.25">
      <c r="A119" s="2" t="s">
        <v>117</v>
      </c>
      <c r="B119" s="3">
        <v>42217</v>
      </c>
      <c r="C119">
        <v>3.40107204018403</v>
      </c>
      <c r="D119">
        <f>VLOOKUP(B119,Sheet4!A:B,2,0)</f>
        <v>3.5</v>
      </c>
      <c r="E119">
        <v>3.2144317526946802</v>
      </c>
      <c r="F119">
        <f t="shared" si="2"/>
        <v>9.7867412333501793E-3</v>
      </c>
      <c r="G119">
        <f t="shared" si="3"/>
        <v>3.483459691410714E-2</v>
      </c>
    </row>
    <row r="120" spans="1:7" x14ac:dyDescent="0.25">
      <c r="A120" s="2" t="s">
        <v>118</v>
      </c>
      <c r="B120" s="3">
        <v>42248</v>
      </c>
      <c r="C120">
        <v>3.6073108652652901</v>
      </c>
      <c r="D120">
        <f>VLOOKUP(B120,Sheet4!A:B,2,0)</f>
        <v>3.3</v>
      </c>
      <c r="E120">
        <v>3.3855302481354501</v>
      </c>
      <c r="F120">
        <f t="shared" si="2"/>
        <v>9.4439967910101397E-2</v>
      </c>
      <c r="G120">
        <f t="shared" si="3"/>
        <v>4.9186642134492677E-2</v>
      </c>
    </row>
    <row r="121" spans="1:7" x14ac:dyDescent="0.25">
      <c r="A121" s="2" t="s">
        <v>119</v>
      </c>
      <c r="B121" s="3">
        <v>42278</v>
      </c>
      <c r="C121">
        <v>2.8812428622286701</v>
      </c>
      <c r="D121">
        <f>VLOOKUP(B121,Sheet4!A:B,2,0)</f>
        <v>3.5</v>
      </c>
      <c r="E121">
        <v>3.4216354468347401</v>
      </c>
      <c r="F121">
        <f t="shared" si="2"/>
        <v>0.38286039554296852</v>
      </c>
      <c r="G121">
        <f t="shared" si="3"/>
        <v>0.29202414549722849</v>
      </c>
    </row>
    <row r="122" spans="1:7" x14ac:dyDescent="0.25">
      <c r="A122" s="2" t="s">
        <v>120</v>
      </c>
      <c r="B122" s="3">
        <v>42309</v>
      </c>
      <c r="C122">
        <v>3.2957071813517298</v>
      </c>
      <c r="D122">
        <f>VLOOKUP(B122,Sheet4!A:B,2,0)</f>
        <v>3.6</v>
      </c>
      <c r="E122">
        <v>3.2833318149029802</v>
      </c>
      <c r="F122">
        <f t="shared" si="2"/>
        <v>9.2594119480909107E-2</v>
      </c>
      <c r="G122">
        <f t="shared" si="3"/>
        <v>1.5314969474083709E-4</v>
      </c>
    </row>
    <row r="123" spans="1:7" x14ac:dyDescent="0.25">
      <c r="A123" s="2" t="s">
        <v>121</v>
      </c>
      <c r="B123" s="3">
        <v>42339</v>
      </c>
      <c r="C123">
        <v>2.74591159141097</v>
      </c>
      <c r="D123">
        <f>VLOOKUP(B123,Sheet4!A:B,2,0)</f>
        <v>3.7</v>
      </c>
      <c r="E123">
        <v>3.50949438195497</v>
      </c>
      <c r="F123">
        <f t="shared" si="2"/>
        <v>0.9102846914039483</v>
      </c>
      <c r="G123">
        <f t="shared" si="3"/>
        <v>0.58305867801496225</v>
      </c>
    </row>
    <row r="124" spans="1:7" x14ac:dyDescent="0.25">
      <c r="A124" s="2" t="s">
        <v>122</v>
      </c>
      <c r="B124" s="3">
        <v>42370</v>
      </c>
      <c r="C124">
        <v>3.6555303432098598</v>
      </c>
      <c r="D124">
        <f>VLOOKUP(B124,Sheet4!A:B,2,0)</f>
        <v>3.5</v>
      </c>
      <c r="E124">
        <v>3.36613518891492</v>
      </c>
      <c r="F124">
        <f t="shared" si="2"/>
        <v>2.4189687658976788E-2</v>
      </c>
      <c r="G124">
        <f t="shared" si="3"/>
        <v>8.3749555329392003E-2</v>
      </c>
    </row>
    <row r="125" spans="1:7" x14ac:dyDescent="0.25">
      <c r="A125" s="2" t="s">
        <v>123</v>
      </c>
      <c r="B125" s="3">
        <v>42401</v>
      </c>
      <c r="C125">
        <v>2.48010737178712</v>
      </c>
      <c r="D125">
        <f>VLOOKUP(B125,Sheet4!A:B,2,0)</f>
        <v>3.4</v>
      </c>
      <c r="E125">
        <v>3.4978995999697999</v>
      </c>
      <c r="F125">
        <f t="shared" si="2"/>
        <v>0.84620244744039963</v>
      </c>
      <c r="G125">
        <f t="shared" si="3"/>
        <v>1.0359010197490643</v>
      </c>
    </row>
    <row r="126" spans="1:7" x14ac:dyDescent="0.25">
      <c r="A126" s="2" t="s">
        <v>124</v>
      </c>
      <c r="B126" s="3">
        <v>42430</v>
      </c>
      <c r="C126">
        <v>2.7023928449283101</v>
      </c>
      <c r="D126">
        <f>VLOOKUP(B126,Sheet4!A:B,2,0)</f>
        <v>3.6</v>
      </c>
      <c r="E126">
        <v>2.9988910362515302</v>
      </c>
      <c r="F126">
        <f t="shared" si="2"/>
        <v>0.80569860483589295</v>
      </c>
      <c r="G126">
        <f t="shared" si="3"/>
        <v>8.7911177457940817E-2</v>
      </c>
    </row>
    <row r="127" spans="1:7" x14ac:dyDescent="0.25">
      <c r="A127" s="2" t="s">
        <v>125</v>
      </c>
      <c r="B127" s="3">
        <v>42461</v>
      </c>
      <c r="C127">
        <v>2.4813786466070602</v>
      </c>
      <c r="D127">
        <f>VLOOKUP(B127,Sheet4!A:B,2,0)</f>
        <v>3.9</v>
      </c>
      <c r="E127">
        <v>2.6156113342489902</v>
      </c>
      <c r="F127">
        <f t="shared" si="2"/>
        <v>2.012486544302416</v>
      </c>
      <c r="G127">
        <f t="shared" si="3"/>
        <v>1.8018414431575938E-2</v>
      </c>
    </row>
    <row r="128" spans="1:7" x14ac:dyDescent="0.25">
      <c r="A128" s="2" t="s">
        <v>126</v>
      </c>
      <c r="B128" s="3">
        <v>42491</v>
      </c>
      <c r="C128">
        <v>2.4698903843559701</v>
      </c>
      <c r="D128">
        <f>VLOOKUP(B128,Sheet4!A:B,2,0)</f>
        <v>4.0999999999999996</v>
      </c>
      <c r="E128">
        <v>2.63896129551661</v>
      </c>
      <c r="F128">
        <f t="shared" si="2"/>
        <v>2.6572573590151256</v>
      </c>
      <c r="G128">
        <f t="shared" si="3"/>
        <v>2.8584973000688983E-2</v>
      </c>
    </row>
    <row r="129" spans="1:7" x14ac:dyDescent="0.25">
      <c r="A129" s="2" t="s">
        <v>127</v>
      </c>
      <c r="B129" s="3">
        <v>42522</v>
      </c>
      <c r="C129">
        <v>2.5677348651250198</v>
      </c>
      <c r="D129">
        <f>VLOOKUP(B129,Sheet4!A:B,2,0)</f>
        <v>4.0999999999999996</v>
      </c>
      <c r="E129">
        <v>2.0124308913358</v>
      </c>
      <c r="F129">
        <f t="shared" si="2"/>
        <v>2.3478364435534402</v>
      </c>
      <c r="G129">
        <f t="shared" si="3"/>
        <v>0.30836250330609855</v>
      </c>
    </row>
    <row r="130" spans="1:7" x14ac:dyDescent="0.25">
      <c r="A130" s="2" t="s">
        <v>128</v>
      </c>
      <c r="B130" s="3">
        <v>42552</v>
      </c>
      <c r="C130">
        <v>2.0155029833606601</v>
      </c>
      <c r="D130">
        <f>VLOOKUP(B130,Sheet4!A:B,2,0)</f>
        <v>4.0999999999999996</v>
      </c>
      <c r="E130">
        <v>2.2362970148425001</v>
      </c>
      <c r="F130">
        <f t="shared" si="2"/>
        <v>4.3451278123783066</v>
      </c>
      <c r="G130">
        <f t="shared" si="3"/>
        <v>4.8750004338003736E-2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3"/>
  <sheetViews>
    <sheetView topLeftCell="A37" workbookViewId="0">
      <selection activeCell="H13" sqref="H13"/>
    </sheetView>
  </sheetViews>
  <sheetFormatPr defaultRowHeight="15" x14ac:dyDescent="0.25"/>
  <sheetData>
    <row r="1" spans="1:3" x14ac:dyDescent="0.25">
      <c r="A1" t="s">
        <v>130</v>
      </c>
      <c r="B1" t="s">
        <v>131</v>
      </c>
      <c r="C1" t="s">
        <v>132</v>
      </c>
    </row>
    <row r="2" spans="1:3" x14ac:dyDescent="0.25">
      <c r="A2" s="3">
        <v>34335</v>
      </c>
    </row>
    <row r="3" spans="1:3" x14ac:dyDescent="0.25">
      <c r="A3" s="3">
        <v>34366</v>
      </c>
      <c r="B3">
        <v>0.1</v>
      </c>
    </row>
    <row r="4" spans="1:3" x14ac:dyDescent="0.25">
      <c r="A4" s="3">
        <v>34394</v>
      </c>
      <c r="B4">
        <v>3</v>
      </c>
    </row>
    <row r="5" spans="1:3" x14ac:dyDescent="0.25">
      <c r="A5" s="3">
        <v>34425</v>
      </c>
      <c r="B5">
        <v>2.8</v>
      </c>
    </row>
    <row r="6" spans="1:3" x14ac:dyDescent="0.25">
      <c r="A6" s="3">
        <v>34455</v>
      </c>
      <c r="B6">
        <v>2.2000000000000002</v>
      </c>
    </row>
    <row r="7" spans="1:3" x14ac:dyDescent="0.25">
      <c r="A7" s="3">
        <v>34486</v>
      </c>
      <c r="B7">
        <v>1.6</v>
      </c>
    </row>
    <row r="8" spans="1:3" x14ac:dyDescent="0.25">
      <c r="A8" s="3">
        <v>34516</v>
      </c>
      <c r="B8">
        <v>1.4</v>
      </c>
    </row>
    <row r="9" spans="1:3" x14ac:dyDescent="0.25">
      <c r="A9" s="3">
        <v>34547</v>
      </c>
      <c r="B9">
        <v>1.5</v>
      </c>
    </row>
    <row r="10" spans="1:3" x14ac:dyDescent="0.25">
      <c r="A10" s="3">
        <v>34578</v>
      </c>
      <c r="B10">
        <v>1.4</v>
      </c>
    </row>
    <row r="11" spans="1:3" x14ac:dyDescent="0.25">
      <c r="A11" s="3">
        <v>34608</v>
      </c>
      <c r="B11">
        <v>1.4</v>
      </c>
    </row>
    <row r="12" spans="1:3" x14ac:dyDescent="0.25">
      <c r="A12" s="3">
        <v>34639</v>
      </c>
      <c r="B12">
        <v>1.4</v>
      </c>
    </row>
    <row r="13" spans="1:3" x14ac:dyDescent="0.25">
      <c r="A13" s="3">
        <v>34669</v>
      </c>
      <c r="B13">
        <v>1.3</v>
      </c>
    </row>
    <row r="14" spans="1:3" x14ac:dyDescent="0.25">
      <c r="A14" s="3">
        <v>34700</v>
      </c>
      <c r="B14">
        <v>1.2</v>
      </c>
    </row>
    <row r="15" spans="1:3" x14ac:dyDescent="0.25">
      <c r="A15" s="3">
        <v>34731</v>
      </c>
      <c r="B15">
        <v>1.2</v>
      </c>
    </row>
    <row r="16" spans="1:3" x14ac:dyDescent="0.25">
      <c r="A16" s="3">
        <v>34759</v>
      </c>
      <c r="B16">
        <v>1.2</v>
      </c>
    </row>
    <row r="17" spans="1:2" x14ac:dyDescent="0.25">
      <c r="A17" s="3">
        <v>34790</v>
      </c>
      <c r="B17">
        <v>1.3</v>
      </c>
    </row>
    <row r="18" spans="1:2" x14ac:dyDescent="0.25">
      <c r="A18" s="3">
        <v>34820</v>
      </c>
      <c r="B18">
        <v>1.5</v>
      </c>
    </row>
    <row r="19" spans="1:2" x14ac:dyDescent="0.25">
      <c r="A19" s="3">
        <v>34851</v>
      </c>
      <c r="B19">
        <v>1.6</v>
      </c>
    </row>
    <row r="20" spans="1:2" x14ac:dyDescent="0.25">
      <c r="A20" s="3">
        <v>34881</v>
      </c>
      <c r="B20">
        <v>1.9</v>
      </c>
    </row>
    <row r="21" spans="1:2" x14ac:dyDescent="0.25">
      <c r="A21" s="3">
        <v>34912</v>
      </c>
      <c r="B21">
        <v>2.2999999999999998</v>
      </c>
    </row>
    <row r="22" spans="1:2" x14ac:dyDescent="0.25">
      <c r="A22" s="3">
        <v>34943</v>
      </c>
      <c r="B22">
        <v>2.2999999999999998</v>
      </c>
    </row>
    <row r="23" spans="1:2" x14ac:dyDescent="0.25">
      <c r="A23" s="3">
        <v>34973</v>
      </c>
      <c r="B23">
        <v>2.1</v>
      </c>
    </row>
    <row r="24" spans="1:2" x14ac:dyDescent="0.25">
      <c r="A24" s="3">
        <v>35004</v>
      </c>
      <c r="B24">
        <v>2.4</v>
      </c>
    </row>
    <row r="25" spans="1:2" x14ac:dyDescent="0.25">
      <c r="A25" s="3">
        <v>35034</v>
      </c>
      <c r="B25">
        <v>2.5</v>
      </c>
    </row>
    <row r="26" spans="1:2" x14ac:dyDescent="0.25">
      <c r="A26" s="3">
        <v>35065</v>
      </c>
      <c r="B26">
        <v>2.7</v>
      </c>
    </row>
    <row r="27" spans="1:2" x14ac:dyDescent="0.25">
      <c r="A27" s="3">
        <v>35096</v>
      </c>
      <c r="B27">
        <v>2.9</v>
      </c>
    </row>
    <row r="28" spans="1:2" x14ac:dyDescent="0.25">
      <c r="A28" s="3">
        <v>35125</v>
      </c>
      <c r="B28">
        <v>3.1</v>
      </c>
    </row>
    <row r="29" spans="1:2" x14ac:dyDescent="0.25">
      <c r="A29" s="3">
        <v>35156</v>
      </c>
      <c r="B29">
        <v>2.9</v>
      </c>
    </row>
    <row r="30" spans="1:2" x14ac:dyDescent="0.25">
      <c r="A30" s="3">
        <v>35186</v>
      </c>
      <c r="B30">
        <v>2.2000000000000002</v>
      </c>
    </row>
    <row r="31" spans="1:2" x14ac:dyDescent="0.25">
      <c r="A31" s="3">
        <v>35217</v>
      </c>
      <c r="B31">
        <v>1.9</v>
      </c>
    </row>
    <row r="32" spans="1:2" x14ac:dyDescent="0.25">
      <c r="A32" s="3">
        <v>35247</v>
      </c>
      <c r="B32">
        <v>1.8</v>
      </c>
    </row>
    <row r="33" spans="1:2" x14ac:dyDescent="0.25">
      <c r="A33" s="3">
        <v>35278</v>
      </c>
      <c r="B33">
        <v>1.5</v>
      </c>
    </row>
    <row r="34" spans="1:2" x14ac:dyDescent="0.25">
      <c r="A34" s="3">
        <v>35309</v>
      </c>
      <c r="B34">
        <v>1.6</v>
      </c>
    </row>
    <row r="35" spans="1:2" x14ac:dyDescent="0.25">
      <c r="A35" s="3">
        <v>35339</v>
      </c>
      <c r="B35">
        <v>1.8</v>
      </c>
    </row>
    <row r="36" spans="1:2" x14ac:dyDescent="0.25">
      <c r="A36" s="3">
        <v>35370</v>
      </c>
      <c r="B36">
        <v>1.6</v>
      </c>
    </row>
    <row r="37" spans="1:2" x14ac:dyDescent="0.25">
      <c r="A37" s="3">
        <v>35400</v>
      </c>
      <c r="B37">
        <v>1.8</v>
      </c>
    </row>
    <row r="38" spans="1:2" x14ac:dyDescent="0.25">
      <c r="A38" s="3">
        <v>35431</v>
      </c>
      <c r="B38">
        <v>2.2000000000000002</v>
      </c>
    </row>
    <row r="39" spans="1:2" x14ac:dyDescent="0.25">
      <c r="A39" s="3">
        <v>35462</v>
      </c>
      <c r="B39">
        <v>2.2000000000000002</v>
      </c>
    </row>
    <row r="40" spans="1:2" x14ac:dyDescent="0.25">
      <c r="A40" s="3">
        <v>35490</v>
      </c>
      <c r="B40">
        <v>1.9</v>
      </c>
    </row>
    <row r="41" spans="1:2" x14ac:dyDescent="0.25">
      <c r="A41" s="3">
        <v>35521</v>
      </c>
      <c r="B41">
        <v>2.1</v>
      </c>
    </row>
    <row r="42" spans="1:2" x14ac:dyDescent="0.25">
      <c r="A42" s="3">
        <v>35551</v>
      </c>
      <c r="B42">
        <v>1.8</v>
      </c>
    </row>
    <row r="43" spans="1:2" x14ac:dyDescent="0.25">
      <c r="A43" s="3">
        <v>35582</v>
      </c>
      <c r="B43">
        <v>1.6</v>
      </c>
    </row>
    <row r="44" spans="1:2" x14ac:dyDescent="0.25">
      <c r="A44" s="3">
        <v>35612</v>
      </c>
      <c r="B44">
        <v>1.8</v>
      </c>
    </row>
    <row r="45" spans="1:2" x14ac:dyDescent="0.25">
      <c r="A45" s="3">
        <v>35643</v>
      </c>
      <c r="B45">
        <v>2.1</v>
      </c>
    </row>
    <row r="46" spans="1:2" x14ac:dyDescent="0.25">
      <c r="A46" s="3">
        <v>35674</v>
      </c>
      <c r="B46">
        <v>2.2999999999999998</v>
      </c>
    </row>
    <row r="47" spans="1:2" x14ac:dyDescent="0.25">
      <c r="A47" s="3">
        <v>35704</v>
      </c>
      <c r="B47">
        <v>2.2999999999999998</v>
      </c>
    </row>
    <row r="48" spans="1:2" x14ac:dyDescent="0.25">
      <c r="A48" s="3">
        <v>35735</v>
      </c>
      <c r="B48">
        <v>2.4</v>
      </c>
    </row>
    <row r="49" spans="1:2" x14ac:dyDescent="0.25">
      <c r="A49" s="3">
        <v>35765</v>
      </c>
      <c r="B49">
        <v>2.6</v>
      </c>
    </row>
    <row r="50" spans="1:2" x14ac:dyDescent="0.25">
      <c r="A50" s="3">
        <v>35796</v>
      </c>
      <c r="B50">
        <v>2.7</v>
      </c>
    </row>
    <row r="51" spans="1:2" x14ac:dyDescent="0.25">
      <c r="A51" s="3">
        <v>35827</v>
      </c>
      <c r="B51">
        <v>2.8</v>
      </c>
    </row>
    <row r="52" spans="1:2" x14ac:dyDescent="0.25">
      <c r="A52" s="3">
        <v>35855</v>
      </c>
      <c r="B52">
        <v>3.1</v>
      </c>
    </row>
    <row r="53" spans="1:2" x14ac:dyDescent="0.25">
      <c r="A53" s="3">
        <v>35886</v>
      </c>
      <c r="B53">
        <v>3.1</v>
      </c>
    </row>
    <row r="54" spans="1:2" x14ac:dyDescent="0.25">
      <c r="A54" s="3">
        <v>35916</v>
      </c>
      <c r="B54">
        <v>3</v>
      </c>
    </row>
    <row r="55" spans="1:2" x14ac:dyDescent="0.25">
      <c r="A55" s="3">
        <v>35947</v>
      </c>
      <c r="B55">
        <v>2.9</v>
      </c>
    </row>
    <row r="56" spans="1:2" x14ac:dyDescent="0.25">
      <c r="A56" s="3">
        <v>35977</v>
      </c>
      <c r="B56">
        <v>2.9</v>
      </c>
    </row>
    <row r="57" spans="1:2" x14ac:dyDescent="0.25">
      <c r="A57" s="3">
        <v>36008</v>
      </c>
      <c r="B57">
        <v>3</v>
      </c>
    </row>
    <row r="58" spans="1:2" x14ac:dyDescent="0.25">
      <c r="A58" s="3">
        <v>36039</v>
      </c>
      <c r="B58">
        <v>3</v>
      </c>
    </row>
    <row r="59" spans="1:2" x14ac:dyDescent="0.25">
      <c r="A59" s="3">
        <v>36069</v>
      </c>
      <c r="B59">
        <v>3</v>
      </c>
    </row>
    <row r="60" spans="1:2" x14ac:dyDescent="0.25">
      <c r="A60" s="3">
        <v>36100</v>
      </c>
      <c r="B60">
        <v>3.3</v>
      </c>
    </row>
    <row r="61" spans="1:2" x14ac:dyDescent="0.25">
      <c r="A61" s="3">
        <v>36130</v>
      </c>
      <c r="B61">
        <v>3.3</v>
      </c>
    </row>
    <row r="62" spans="1:2" x14ac:dyDescent="0.25">
      <c r="A62" s="3">
        <v>36161</v>
      </c>
      <c r="B62">
        <v>3</v>
      </c>
    </row>
    <row r="63" spans="1:2" x14ac:dyDescent="0.25">
      <c r="A63" s="3">
        <v>36192</v>
      </c>
      <c r="B63">
        <v>3.2</v>
      </c>
    </row>
    <row r="64" spans="1:2" x14ac:dyDescent="0.25">
      <c r="A64" s="3">
        <v>36220</v>
      </c>
      <c r="B64">
        <v>3.1</v>
      </c>
    </row>
    <row r="65" spans="1:2" x14ac:dyDescent="0.25">
      <c r="A65" s="3">
        <v>36251</v>
      </c>
      <c r="B65">
        <v>3</v>
      </c>
    </row>
    <row r="66" spans="1:2" x14ac:dyDescent="0.25">
      <c r="A66" s="3">
        <v>36281</v>
      </c>
      <c r="B66">
        <v>2.6</v>
      </c>
    </row>
    <row r="67" spans="1:2" x14ac:dyDescent="0.25">
      <c r="A67" s="3">
        <v>36312</v>
      </c>
      <c r="B67">
        <v>2.7</v>
      </c>
    </row>
    <row r="68" spans="1:2" x14ac:dyDescent="0.25">
      <c r="A68" s="3">
        <v>36342</v>
      </c>
      <c r="B68">
        <v>2.2999999999999998</v>
      </c>
    </row>
    <row r="69" spans="1:2" x14ac:dyDescent="0.25">
      <c r="A69" s="3">
        <v>36373</v>
      </c>
      <c r="B69">
        <v>1.7</v>
      </c>
    </row>
    <row r="70" spans="1:2" x14ac:dyDescent="0.25">
      <c r="A70" s="3">
        <v>36404</v>
      </c>
      <c r="B70">
        <v>1.6</v>
      </c>
    </row>
    <row r="71" spans="1:2" x14ac:dyDescent="0.25">
      <c r="A71" s="3">
        <v>36434</v>
      </c>
      <c r="B71">
        <v>1.3</v>
      </c>
    </row>
    <row r="72" spans="1:2" x14ac:dyDescent="0.25">
      <c r="A72" s="3">
        <v>36465</v>
      </c>
      <c r="B72">
        <v>1.4</v>
      </c>
    </row>
    <row r="73" spans="1:2" x14ac:dyDescent="0.25">
      <c r="A73" s="3">
        <v>36495</v>
      </c>
      <c r="B73">
        <v>1.3</v>
      </c>
    </row>
    <row r="74" spans="1:2" x14ac:dyDescent="0.25">
      <c r="A74" s="3">
        <v>36526</v>
      </c>
      <c r="B74">
        <v>1.4</v>
      </c>
    </row>
    <row r="75" spans="1:2" x14ac:dyDescent="0.25">
      <c r="A75" s="3">
        <v>36557</v>
      </c>
      <c r="B75">
        <v>1.3</v>
      </c>
    </row>
    <row r="76" spans="1:2" x14ac:dyDescent="0.25">
      <c r="A76" s="3">
        <v>36586</v>
      </c>
      <c r="B76">
        <v>1.2</v>
      </c>
    </row>
    <row r="77" spans="1:2" x14ac:dyDescent="0.25">
      <c r="A77" s="3">
        <v>36617</v>
      </c>
      <c r="B77">
        <v>1.2</v>
      </c>
    </row>
    <row r="78" spans="1:2" x14ac:dyDescent="0.25">
      <c r="A78" s="3">
        <v>36647</v>
      </c>
      <c r="B78">
        <v>1.2</v>
      </c>
    </row>
    <row r="79" spans="1:2" x14ac:dyDescent="0.25">
      <c r="A79" s="3">
        <v>36678</v>
      </c>
      <c r="B79">
        <v>1.3</v>
      </c>
    </row>
    <row r="80" spans="1:2" x14ac:dyDescent="0.25">
      <c r="A80" s="3">
        <v>36708</v>
      </c>
      <c r="B80">
        <v>1.2</v>
      </c>
    </row>
    <row r="81" spans="1:2" x14ac:dyDescent="0.25">
      <c r="A81" s="3">
        <v>36739</v>
      </c>
      <c r="B81">
        <v>1.3</v>
      </c>
    </row>
    <row r="82" spans="1:2" x14ac:dyDescent="0.25">
      <c r="A82" s="3">
        <v>36770</v>
      </c>
      <c r="B82">
        <v>1.4</v>
      </c>
    </row>
    <row r="83" spans="1:2" x14ac:dyDescent="0.25">
      <c r="A83" s="3">
        <v>36800</v>
      </c>
      <c r="B83">
        <v>1.5</v>
      </c>
    </row>
    <row r="84" spans="1:2" x14ac:dyDescent="0.25">
      <c r="A84" s="3">
        <v>36831</v>
      </c>
      <c r="B84">
        <v>1.6</v>
      </c>
    </row>
    <row r="85" spans="1:2" x14ac:dyDescent="0.25">
      <c r="A85" s="3">
        <v>36861</v>
      </c>
      <c r="B85">
        <v>1.7</v>
      </c>
    </row>
    <row r="86" spans="1:2" x14ac:dyDescent="0.25">
      <c r="A86" s="3">
        <v>36892</v>
      </c>
      <c r="B86">
        <v>1.9</v>
      </c>
    </row>
    <row r="87" spans="1:2" x14ac:dyDescent="0.25">
      <c r="A87" s="3">
        <v>36923</v>
      </c>
      <c r="B87">
        <v>2.2999999999999998</v>
      </c>
    </row>
    <row r="88" spans="1:2" x14ac:dyDescent="0.25">
      <c r="A88" s="3">
        <v>36951</v>
      </c>
      <c r="B88">
        <v>2.8</v>
      </c>
    </row>
    <row r="89" spans="1:2" x14ac:dyDescent="0.25">
      <c r="A89" s="3">
        <v>36982</v>
      </c>
      <c r="B89">
        <v>2.7</v>
      </c>
    </row>
    <row r="90" spans="1:2" x14ac:dyDescent="0.25">
      <c r="A90" s="3">
        <v>37012</v>
      </c>
      <c r="B90">
        <v>2.8</v>
      </c>
    </row>
    <row r="91" spans="1:2" x14ac:dyDescent="0.25">
      <c r="A91" s="3">
        <v>37043</v>
      </c>
      <c r="B91">
        <v>2.6</v>
      </c>
    </row>
    <row r="92" spans="1:2" x14ac:dyDescent="0.25">
      <c r="A92" s="3">
        <v>37073</v>
      </c>
      <c r="B92">
        <v>2.4</v>
      </c>
    </row>
    <row r="93" spans="1:2" x14ac:dyDescent="0.25">
      <c r="A93" s="3">
        <v>37104</v>
      </c>
      <c r="B93">
        <v>2.4</v>
      </c>
    </row>
    <row r="94" spans="1:2" x14ac:dyDescent="0.25">
      <c r="A94" s="3">
        <v>37135</v>
      </c>
      <c r="B94">
        <v>2.5</v>
      </c>
    </row>
    <row r="95" spans="1:2" x14ac:dyDescent="0.25">
      <c r="A95" s="3">
        <v>37165</v>
      </c>
      <c r="B95">
        <v>2.7</v>
      </c>
    </row>
    <row r="96" spans="1:2" x14ac:dyDescent="0.25">
      <c r="A96" s="3">
        <v>37196</v>
      </c>
      <c r="B96">
        <v>2.9</v>
      </c>
    </row>
    <row r="97" spans="1:2" x14ac:dyDescent="0.25">
      <c r="A97" s="3">
        <v>37226</v>
      </c>
      <c r="B97">
        <v>3.3</v>
      </c>
    </row>
    <row r="98" spans="1:2" x14ac:dyDescent="0.25">
      <c r="A98" s="3">
        <v>37257</v>
      </c>
      <c r="B98">
        <v>3.2</v>
      </c>
    </row>
    <row r="99" spans="1:2" x14ac:dyDescent="0.25">
      <c r="A99" s="3">
        <v>37288</v>
      </c>
      <c r="B99">
        <v>2.5</v>
      </c>
    </row>
    <row r="100" spans="1:2" x14ac:dyDescent="0.25">
      <c r="A100" s="3">
        <v>37316</v>
      </c>
      <c r="B100">
        <v>2.5</v>
      </c>
    </row>
    <row r="101" spans="1:2" x14ac:dyDescent="0.25">
      <c r="A101" s="3">
        <v>37347</v>
      </c>
      <c r="B101">
        <v>2.8</v>
      </c>
    </row>
    <row r="102" spans="1:2" x14ac:dyDescent="0.25">
      <c r="A102" s="3">
        <v>37377</v>
      </c>
      <c r="B102">
        <v>2.4</v>
      </c>
    </row>
    <row r="103" spans="1:2" x14ac:dyDescent="0.25">
      <c r="A103" s="3">
        <v>37408</v>
      </c>
      <c r="B103">
        <v>2.5</v>
      </c>
    </row>
    <row r="104" spans="1:2" x14ac:dyDescent="0.25">
      <c r="A104" s="3">
        <v>37438</v>
      </c>
      <c r="B104">
        <v>2.7</v>
      </c>
    </row>
    <row r="105" spans="1:2" x14ac:dyDescent="0.25">
      <c r="A105" s="3">
        <v>37469</v>
      </c>
      <c r="B105">
        <v>3.1</v>
      </c>
    </row>
    <row r="106" spans="1:2" x14ac:dyDescent="0.25">
      <c r="A106" s="3">
        <v>37500</v>
      </c>
      <c r="B106">
        <v>3.3</v>
      </c>
    </row>
    <row r="107" spans="1:2" x14ac:dyDescent="0.25">
      <c r="A107" s="3">
        <v>37530</v>
      </c>
      <c r="B107">
        <v>3.6</v>
      </c>
    </row>
    <row r="108" spans="1:2" x14ac:dyDescent="0.25">
      <c r="A108" s="3">
        <v>37561</v>
      </c>
      <c r="B108">
        <v>3.9</v>
      </c>
    </row>
    <row r="109" spans="1:2" x14ac:dyDescent="0.25">
      <c r="A109" s="3">
        <v>37591</v>
      </c>
      <c r="B109">
        <v>3.9</v>
      </c>
    </row>
    <row r="110" spans="1:2" x14ac:dyDescent="0.25">
      <c r="A110" s="3">
        <v>37622</v>
      </c>
      <c r="B110">
        <v>3.9</v>
      </c>
    </row>
    <row r="111" spans="1:2" x14ac:dyDescent="0.25">
      <c r="A111" s="3">
        <v>37653</v>
      </c>
      <c r="B111">
        <v>3.9</v>
      </c>
    </row>
    <row r="112" spans="1:2" x14ac:dyDescent="0.25">
      <c r="A112" s="3">
        <v>37681</v>
      </c>
      <c r="B112">
        <v>4.0999999999999996</v>
      </c>
    </row>
    <row r="113" spans="1:2" x14ac:dyDescent="0.25">
      <c r="A113" s="3">
        <v>37712</v>
      </c>
      <c r="B113">
        <v>4.0999999999999996</v>
      </c>
    </row>
    <row r="114" spans="1:2" x14ac:dyDescent="0.25">
      <c r="A114" s="3">
        <v>37742</v>
      </c>
      <c r="B114">
        <v>4.2</v>
      </c>
    </row>
    <row r="115" spans="1:2" x14ac:dyDescent="0.25">
      <c r="A115" s="3">
        <v>37773</v>
      </c>
      <c r="B115">
        <v>4</v>
      </c>
    </row>
    <row r="116" spans="1:2" x14ac:dyDescent="0.25">
      <c r="A116" s="3">
        <v>37803</v>
      </c>
      <c r="B116">
        <v>4.4000000000000004</v>
      </c>
    </row>
    <row r="117" spans="1:2" x14ac:dyDescent="0.25">
      <c r="A117" s="3">
        <v>37834</v>
      </c>
      <c r="B117">
        <v>4.7</v>
      </c>
    </row>
    <row r="118" spans="1:2" x14ac:dyDescent="0.25">
      <c r="A118" s="3">
        <v>37865</v>
      </c>
      <c r="B118">
        <v>3.9</v>
      </c>
    </row>
    <row r="119" spans="1:2" x14ac:dyDescent="0.25">
      <c r="A119" s="3">
        <v>37895</v>
      </c>
      <c r="B119">
        <v>2.8</v>
      </c>
    </row>
    <row r="120" spans="1:2" x14ac:dyDescent="0.25">
      <c r="A120" s="3">
        <v>37926</v>
      </c>
      <c r="B120">
        <v>3</v>
      </c>
    </row>
    <row r="121" spans="1:2" x14ac:dyDescent="0.25">
      <c r="A121" s="3">
        <v>37956</v>
      </c>
      <c r="B121">
        <v>3.1</v>
      </c>
    </row>
    <row r="122" spans="1:2" x14ac:dyDescent="0.25">
      <c r="A122" s="3">
        <v>37987</v>
      </c>
      <c r="B122">
        <v>3.1</v>
      </c>
    </row>
    <row r="123" spans="1:2" x14ac:dyDescent="0.25">
      <c r="A123" s="3">
        <v>38018</v>
      </c>
      <c r="B123">
        <v>3.1</v>
      </c>
    </row>
    <row r="124" spans="1:2" x14ac:dyDescent="0.25">
      <c r="A124" s="3">
        <v>38047</v>
      </c>
      <c r="B124">
        <v>3.3</v>
      </c>
    </row>
    <row r="125" spans="1:2" x14ac:dyDescent="0.25">
      <c r="A125" s="3">
        <v>38078</v>
      </c>
      <c r="B125">
        <v>3.8</v>
      </c>
    </row>
    <row r="126" spans="1:2" x14ac:dyDescent="0.25">
      <c r="A126" s="3">
        <v>38108</v>
      </c>
      <c r="B126">
        <v>3.8</v>
      </c>
    </row>
    <row r="127" spans="1:2" x14ac:dyDescent="0.25">
      <c r="A127" s="3">
        <v>38139</v>
      </c>
      <c r="B127">
        <v>2.9</v>
      </c>
    </row>
    <row r="128" spans="1:2" x14ac:dyDescent="0.25">
      <c r="A128" s="3">
        <v>38169</v>
      </c>
      <c r="B128">
        <v>2.5</v>
      </c>
    </row>
    <row r="129" spans="1:2" x14ac:dyDescent="0.25">
      <c r="A129" s="3">
        <v>38200</v>
      </c>
      <c r="B129">
        <v>2.4</v>
      </c>
    </row>
    <row r="130" spans="1:2" x14ac:dyDescent="0.25">
      <c r="A130" s="3">
        <v>38231</v>
      </c>
      <c r="B130">
        <v>2.7</v>
      </c>
    </row>
    <row r="131" spans="1:2" x14ac:dyDescent="0.25">
      <c r="A131" s="3">
        <v>38261</v>
      </c>
      <c r="B131">
        <v>2.9</v>
      </c>
    </row>
    <row r="132" spans="1:2" x14ac:dyDescent="0.25">
      <c r="A132" s="3">
        <v>38292</v>
      </c>
      <c r="B132">
        <v>3.1</v>
      </c>
    </row>
    <row r="133" spans="1:2" x14ac:dyDescent="0.25">
      <c r="A133" s="3">
        <v>38322</v>
      </c>
      <c r="B133">
        <v>3.2</v>
      </c>
    </row>
    <row r="134" spans="1:2" x14ac:dyDescent="0.25">
      <c r="A134" s="3">
        <v>38353</v>
      </c>
      <c r="B134">
        <v>3.2</v>
      </c>
    </row>
    <row r="135" spans="1:2" x14ac:dyDescent="0.25">
      <c r="A135" s="3">
        <v>38384</v>
      </c>
      <c r="B135">
        <v>3.2</v>
      </c>
    </row>
    <row r="136" spans="1:2" x14ac:dyDescent="0.25">
      <c r="A136" s="3">
        <v>38412</v>
      </c>
      <c r="B136">
        <v>3.2</v>
      </c>
    </row>
    <row r="137" spans="1:2" x14ac:dyDescent="0.25">
      <c r="A137" s="3">
        <v>38443</v>
      </c>
      <c r="B137">
        <v>3.4</v>
      </c>
    </row>
    <row r="138" spans="1:2" x14ac:dyDescent="0.25">
      <c r="A138" s="3">
        <v>38473</v>
      </c>
      <c r="B138">
        <v>2.8</v>
      </c>
    </row>
    <row r="139" spans="1:2" x14ac:dyDescent="0.25">
      <c r="A139" s="3">
        <v>38504</v>
      </c>
      <c r="B139">
        <v>2.9</v>
      </c>
    </row>
    <row r="140" spans="1:2" x14ac:dyDescent="0.25">
      <c r="A140" s="3">
        <v>38534</v>
      </c>
      <c r="B140">
        <v>3.2</v>
      </c>
    </row>
    <row r="141" spans="1:2" x14ac:dyDescent="0.25">
      <c r="A141" s="3">
        <v>38565</v>
      </c>
      <c r="B141">
        <v>3.6</v>
      </c>
    </row>
    <row r="142" spans="1:2" x14ac:dyDescent="0.25">
      <c r="A142" s="3">
        <v>38596</v>
      </c>
      <c r="B142">
        <v>3.3</v>
      </c>
    </row>
    <row r="143" spans="1:2" x14ac:dyDescent="0.25">
      <c r="A143" s="3">
        <v>38626</v>
      </c>
      <c r="B143">
        <v>3.1</v>
      </c>
    </row>
    <row r="144" spans="1:2" x14ac:dyDescent="0.25">
      <c r="A144" s="3">
        <v>38657</v>
      </c>
      <c r="B144">
        <v>3.1</v>
      </c>
    </row>
    <row r="145" spans="1:2" x14ac:dyDescent="0.25">
      <c r="A145" s="3">
        <v>38687</v>
      </c>
      <c r="B145">
        <v>2.7</v>
      </c>
    </row>
    <row r="146" spans="1:2" x14ac:dyDescent="0.25">
      <c r="A146" s="3">
        <v>38718</v>
      </c>
      <c r="B146">
        <v>2.2999999999999998</v>
      </c>
    </row>
    <row r="147" spans="1:2" x14ac:dyDescent="0.25">
      <c r="A147" s="3">
        <v>38749</v>
      </c>
      <c r="B147">
        <v>2.2999999999999998</v>
      </c>
    </row>
    <row r="148" spans="1:2" x14ac:dyDescent="0.25">
      <c r="A148" s="3">
        <v>38777</v>
      </c>
      <c r="B148">
        <v>2.6</v>
      </c>
    </row>
    <row r="149" spans="1:2" x14ac:dyDescent="0.25">
      <c r="A149" s="3">
        <v>38808</v>
      </c>
      <c r="B149">
        <v>2.4</v>
      </c>
    </row>
    <row r="150" spans="1:2" x14ac:dyDescent="0.25">
      <c r="A150" s="3">
        <v>38838</v>
      </c>
      <c r="B150">
        <v>2.2999999999999998</v>
      </c>
    </row>
    <row r="151" spans="1:2" x14ac:dyDescent="0.25">
      <c r="A151" s="3">
        <v>38869</v>
      </c>
      <c r="B151">
        <v>2.1</v>
      </c>
    </row>
    <row r="152" spans="1:2" x14ac:dyDescent="0.25">
      <c r="A152" s="3">
        <v>38899</v>
      </c>
      <c r="B152">
        <v>2</v>
      </c>
    </row>
    <row r="153" spans="1:2" x14ac:dyDescent="0.25">
      <c r="A153" s="3">
        <v>38930</v>
      </c>
      <c r="B153">
        <v>1.9</v>
      </c>
    </row>
    <row r="154" spans="1:2" x14ac:dyDescent="0.25">
      <c r="A154" s="3">
        <v>38961</v>
      </c>
      <c r="B154">
        <v>1.8</v>
      </c>
    </row>
    <row r="155" spans="1:2" x14ac:dyDescent="0.25">
      <c r="A155" s="3">
        <v>38991</v>
      </c>
      <c r="B155">
        <v>2.2000000000000002</v>
      </c>
    </row>
    <row r="156" spans="1:2" x14ac:dyDescent="0.25">
      <c r="A156" s="3">
        <v>39022</v>
      </c>
      <c r="B156">
        <v>2.4</v>
      </c>
    </row>
    <row r="157" spans="1:2" x14ac:dyDescent="0.25">
      <c r="A157" s="3">
        <v>39052</v>
      </c>
      <c r="B157">
        <v>2.5</v>
      </c>
    </row>
    <row r="158" spans="1:2" x14ac:dyDescent="0.25">
      <c r="A158" s="3">
        <v>39083</v>
      </c>
      <c r="B158">
        <v>2.7</v>
      </c>
    </row>
    <row r="159" spans="1:2" x14ac:dyDescent="0.25">
      <c r="A159" s="3">
        <v>39114</v>
      </c>
      <c r="B159">
        <v>2.9</v>
      </c>
    </row>
    <row r="160" spans="1:2" x14ac:dyDescent="0.25">
      <c r="A160" s="3">
        <v>39142</v>
      </c>
      <c r="B160">
        <v>2.7</v>
      </c>
    </row>
    <row r="161" spans="1:2" x14ac:dyDescent="0.25">
      <c r="A161" s="3">
        <v>39173</v>
      </c>
      <c r="B161">
        <v>2.7</v>
      </c>
    </row>
    <row r="162" spans="1:2" x14ac:dyDescent="0.25">
      <c r="A162" s="3">
        <v>39203</v>
      </c>
      <c r="B162">
        <v>2.8</v>
      </c>
    </row>
    <row r="163" spans="1:2" x14ac:dyDescent="0.25">
      <c r="A163" s="3">
        <v>39234</v>
      </c>
      <c r="B163">
        <v>2.7</v>
      </c>
    </row>
    <row r="164" spans="1:2" x14ac:dyDescent="0.25">
      <c r="A164" s="3">
        <v>39264</v>
      </c>
      <c r="B164">
        <v>2.6</v>
      </c>
    </row>
    <row r="165" spans="1:2" x14ac:dyDescent="0.25">
      <c r="A165" s="3">
        <v>39295</v>
      </c>
      <c r="B165">
        <v>2</v>
      </c>
    </row>
    <row r="166" spans="1:2" x14ac:dyDescent="0.25">
      <c r="A166" s="3">
        <v>39326</v>
      </c>
      <c r="B166">
        <v>2</v>
      </c>
    </row>
    <row r="167" spans="1:2" x14ac:dyDescent="0.25">
      <c r="A167" s="3">
        <v>39356</v>
      </c>
      <c r="B167">
        <v>2.2999999999999998</v>
      </c>
    </row>
    <row r="168" spans="1:2" x14ac:dyDescent="0.25">
      <c r="A168" s="3">
        <v>39387</v>
      </c>
      <c r="B168">
        <v>2.6</v>
      </c>
    </row>
    <row r="169" spans="1:2" x14ac:dyDescent="0.25">
      <c r="A169" s="3">
        <v>39417</v>
      </c>
      <c r="B169">
        <v>2.8</v>
      </c>
    </row>
    <row r="170" spans="1:2" x14ac:dyDescent="0.25">
      <c r="A170" s="3">
        <v>39448</v>
      </c>
      <c r="B170">
        <v>3.2</v>
      </c>
    </row>
    <row r="171" spans="1:2" x14ac:dyDescent="0.25">
      <c r="A171" s="3">
        <v>39479</v>
      </c>
      <c r="B171">
        <v>3.6</v>
      </c>
    </row>
    <row r="172" spans="1:2" x14ac:dyDescent="0.25">
      <c r="A172" s="3">
        <v>39508</v>
      </c>
      <c r="B172">
        <v>4.5999999999999996</v>
      </c>
    </row>
    <row r="173" spans="1:2" x14ac:dyDescent="0.25">
      <c r="A173" s="3">
        <v>39539</v>
      </c>
      <c r="B173">
        <v>4</v>
      </c>
    </row>
    <row r="174" spans="1:2" x14ac:dyDescent="0.25">
      <c r="A174" s="3">
        <v>39569</v>
      </c>
      <c r="B174">
        <v>3.8</v>
      </c>
    </row>
    <row r="175" spans="1:2" x14ac:dyDescent="0.25">
      <c r="A175" s="3">
        <v>39600</v>
      </c>
      <c r="B175">
        <v>3.9</v>
      </c>
    </row>
    <row r="176" spans="1:2" x14ac:dyDescent="0.25">
      <c r="A176" s="3">
        <v>39630</v>
      </c>
      <c r="B176">
        <v>3.6</v>
      </c>
    </row>
    <row r="177" spans="1:2" x14ac:dyDescent="0.25">
      <c r="A177" s="3">
        <v>39661</v>
      </c>
      <c r="B177">
        <v>2.9</v>
      </c>
    </row>
    <row r="178" spans="1:2" x14ac:dyDescent="0.25">
      <c r="A178" s="3">
        <v>39692</v>
      </c>
      <c r="B178">
        <v>2.7</v>
      </c>
    </row>
    <row r="179" spans="1:2" x14ac:dyDescent="0.25">
      <c r="A179" s="3">
        <v>39722</v>
      </c>
      <c r="B179">
        <v>2.7</v>
      </c>
    </row>
    <row r="180" spans="1:2" x14ac:dyDescent="0.25">
      <c r="A180" s="3">
        <v>39753</v>
      </c>
      <c r="B180">
        <v>4.0999999999999996</v>
      </c>
    </row>
    <row r="181" spans="1:2" x14ac:dyDescent="0.25">
      <c r="A181" s="3">
        <v>39783</v>
      </c>
      <c r="B181">
        <v>3.7</v>
      </c>
    </row>
    <row r="182" spans="1:2" x14ac:dyDescent="0.25">
      <c r="A182" s="3">
        <v>39814</v>
      </c>
      <c r="B182">
        <v>4.4000000000000004</v>
      </c>
    </row>
    <row r="183" spans="1:2" x14ac:dyDescent="0.25">
      <c r="A183" s="3">
        <v>39845</v>
      </c>
      <c r="B183">
        <v>7.7</v>
      </c>
    </row>
    <row r="184" spans="1:2" x14ac:dyDescent="0.25">
      <c r="A184" s="3">
        <v>39873</v>
      </c>
      <c r="B184">
        <v>8.6</v>
      </c>
    </row>
    <row r="185" spans="1:2" x14ac:dyDescent="0.25">
      <c r="A185" s="3">
        <v>39904</v>
      </c>
      <c r="B185">
        <v>7.9</v>
      </c>
    </row>
    <row r="186" spans="1:2" x14ac:dyDescent="0.25">
      <c r="A186" s="3">
        <v>39934</v>
      </c>
      <c r="B186">
        <v>7.9</v>
      </c>
    </row>
    <row r="187" spans="1:2" x14ac:dyDescent="0.25">
      <c r="A187" s="3">
        <v>39965</v>
      </c>
      <c r="B187">
        <v>8.5</v>
      </c>
    </row>
    <row r="188" spans="1:2" x14ac:dyDescent="0.25">
      <c r="A188" s="3">
        <v>39995</v>
      </c>
      <c r="B188">
        <v>8.1999999999999993</v>
      </c>
    </row>
    <row r="189" spans="1:2" x14ac:dyDescent="0.25">
      <c r="A189" s="3">
        <v>40026</v>
      </c>
      <c r="B189">
        <v>6.1</v>
      </c>
    </row>
    <row r="190" spans="1:2" x14ac:dyDescent="0.25">
      <c r="A190" s="3">
        <v>40057</v>
      </c>
      <c r="B190">
        <v>6.7</v>
      </c>
    </row>
    <row r="191" spans="1:2" x14ac:dyDescent="0.25">
      <c r="A191" s="3">
        <v>40087</v>
      </c>
      <c r="B191">
        <v>7.1</v>
      </c>
    </row>
    <row r="192" spans="1:2" x14ac:dyDescent="0.25">
      <c r="A192" s="3">
        <v>40118</v>
      </c>
      <c r="B192">
        <v>7.4</v>
      </c>
    </row>
    <row r="193" spans="1:2" x14ac:dyDescent="0.25">
      <c r="A193" s="3">
        <v>40148</v>
      </c>
      <c r="B193">
        <v>7.5</v>
      </c>
    </row>
    <row r="194" spans="1:2" x14ac:dyDescent="0.25">
      <c r="A194" s="3">
        <v>40179</v>
      </c>
      <c r="B194">
        <v>7.8</v>
      </c>
    </row>
    <row r="195" spans="1:2" x14ac:dyDescent="0.25">
      <c r="A195" s="3">
        <v>40210</v>
      </c>
      <c r="B195">
        <v>6.9</v>
      </c>
    </row>
    <row r="196" spans="1:2" x14ac:dyDescent="0.25">
      <c r="A196" s="3">
        <v>40238</v>
      </c>
      <c r="B196">
        <v>6.6</v>
      </c>
    </row>
    <row r="197" spans="1:2" x14ac:dyDescent="0.25">
      <c r="A197" s="3">
        <v>40269</v>
      </c>
      <c r="B197">
        <v>6.5</v>
      </c>
    </row>
    <row r="198" spans="1:2" x14ac:dyDescent="0.25">
      <c r="A198" s="3">
        <v>40299</v>
      </c>
      <c r="B198">
        <v>6.3</v>
      </c>
    </row>
    <row r="199" spans="1:2" x14ac:dyDescent="0.25">
      <c r="A199" s="3">
        <v>40330</v>
      </c>
      <c r="B199">
        <v>5.7</v>
      </c>
    </row>
    <row r="200" spans="1:2" x14ac:dyDescent="0.25">
      <c r="A200" s="3">
        <v>40360</v>
      </c>
      <c r="B200">
        <v>6.2</v>
      </c>
    </row>
    <row r="201" spans="1:2" x14ac:dyDescent="0.25">
      <c r="A201" s="3">
        <v>40391</v>
      </c>
      <c r="B201">
        <v>6.8</v>
      </c>
    </row>
    <row r="202" spans="1:2" x14ac:dyDescent="0.25">
      <c r="A202" s="3">
        <v>40422</v>
      </c>
      <c r="B202">
        <v>6.8</v>
      </c>
    </row>
    <row r="203" spans="1:2" x14ac:dyDescent="0.25">
      <c r="A203" s="3">
        <v>40452</v>
      </c>
      <c r="B203">
        <v>7.3</v>
      </c>
    </row>
    <row r="204" spans="1:2" x14ac:dyDescent="0.25">
      <c r="A204" s="3">
        <v>40483</v>
      </c>
      <c r="B204">
        <v>7.5</v>
      </c>
    </row>
    <row r="205" spans="1:2" x14ac:dyDescent="0.25">
      <c r="A205" s="3">
        <v>40513</v>
      </c>
      <c r="B205">
        <v>7.3</v>
      </c>
    </row>
    <row r="206" spans="1:2" x14ac:dyDescent="0.25">
      <c r="A206" s="3">
        <v>40544</v>
      </c>
      <c r="B206">
        <v>7.1</v>
      </c>
    </row>
    <row r="207" spans="1:2" x14ac:dyDescent="0.25">
      <c r="A207" s="3">
        <v>40575</v>
      </c>
      <c r="B207">
        <v>5.9</v>
      </c>
    </row>
    <row r="208" spans="1:2" x14ac:dyDescent="0.25">
      <c r="A208" s="3">
        <v>40603</v>
      </c>
      <c r="B208">
        <v>5.8</v>
      </c>
    </row>
    <row r="209" spans="1:2" x14ac:dyDescent="0.25">
      <c r="A209" s="3">
        <v>40634</v>
      </c>
      <c r="B209">
        <v>5.2</v>
      </c>
    </row>
    <row r="210" spans="1:2" x14ac:dyDescent="0.25">
      <c r="A210" s="3">
        <v>40664</v>
      </c>
      <c r="B210">
        <v>5.3</v>
      </c>
    </row>
    <row r="211" spans="1:2" x14ac:dyDescent="0.25">
      <c r="A211" s="3">
        <v>40695</v>
      </c>
      <c r="B211">
        <v>4.5999999999999996</v>
      </c>
    </row>
    <row r="212" spans="1:2" x14ac:dyDescent="0.25">
      <c r="A212" s="3">
        <v>40725</v>
      </c>
      <c r="B212">
        <v>5.0999999999999996</v>
      </c>
    </row>
    <row r="213" spans="1:2" x14ac:dyDescent="0.25">
      <c r="A213" s="3">
        <v>40756</v>
      </c>
      <c r="B213">
        <v>5.5</v>
      </c>
    </row>
    <row r="214" spans="1:2" x14ac:dyDescent="0.25">
      <c r="A214" s="3">
        <v>40787</v>
      </c>
      <c r="B214">
        <v>5.3</v>
      </c>
    </row>
    <row r="215" spans="1:2" x14ac:dyDescent="0.25">
      <c r="A215" s="3">
        <v>40817</v>
      </c>
      <c r="B215">
        <v>6.2</v>
      </c>
    </row>
    <row r="216" spans="1:2" x14ac:dyDescent="0.25">
      <c r="A216" s="3">
        <v>40848</v>
      </c>
      <c r="B216">
        <v>6.7</v>
      </c>
    </row>
    <row r="217" spans="1:2" x14ac:dyDescent="0.25">
      <c r="A217" s="3">
        <v>40878</v>
      </c>
      <c r="B217">
        <v>6.7</v>
      </c>
    </row>
    <row r="218" spans="1:2" x14ac:dyDescent="0.25">
      <c r="A218" s="3">
        <v>40909</v>
      </c>
      <c r="B218">
        <v>6.9</v>
      </c>
    </row>
    <row r="219" spans="1:2" x14ac:dyDescent="0.25">
      <c r="A219" s="3">
        <v>40940</v>
      </c>
      <c r="B219">
        <v>6.9</v>
      </c>
    </row>
    <row r="220" spans="1:2" x14ac:dyDescent="0.25">
      <c r="A220" s="3">
        <v>40969</v>
      </c>
      <c r="B220">
        <v>6.9</v>
      </c>
    </row>
    <row r="221" spans="1:2" x14ac:dyDescent="0.25">
      <c r="A221" s="3">
        <v>41000</v>
      </c>
      <c r="B221">
        <v>6.6</v>
      </c>
    </row>
    <row r="222" spans="1:2" x14ac:dyDescent="0.25">
      <c r="A222" s="3">
        <v>41030</v>
      </c>
      <c r="B222">
        <v>5.9</v>
      </c>
    </row>
    <row r="223" spans="1:2" x14ac:dyDescent="0.25">
      <c r="A223" s="3">
        <v>41061</v>
      </c>
      <c r="B223">
        <v>5.4</v>
      </c>
    </row>
    <row r="224" spans="1:2" x14ac:dyDescent="0.25">
      <c r="A224" s="3">
        <v>41091</v>
      </c>
      <c r="B224">
        <v>5.5</v>
      </c>
    </row>
    <row r="225" spans="1:2" x14ac:dyDescent="0.25">
      <c r="A225" s="3">
        <v>41122</v>
      </c>
      <c r="B225">
        <v>5.9</v>
      </c>
    </row>
    <row r="226" spans="1:2" x14ac:dyDescent="0.25">
      <c r="A226" s="3">
        <v>41153</v>
      </c>
      <c r="B226">
        <v>6</v>
      </c>
    </row>
    <row r="227" spans="1:2" x14ac:dyDescent="0.25">
      <c r="A227" s="3">
        <v>41183</v>
      </c>
      <c r="B227">
        <v>5.8</v>
      </c>
    </row>
    <row r="228" spans="1:2" x14ac:dyDescent="0.25">
      <c r="A228" s="3">
        <v>41214</v>
      </c>
      <c r="B228">
        <v>5.9</v>
      </c>
    </row>
    <row r="229" spans="1:2" x14ac:dyDescent="0.25">
      <c r="A229" s="3">
        <v>41244</v>
      </c>
      <c r="B229">
        <v>6</v>
      </c>
    </row>
    <row r="230" spans="1:2" x14ac:dyDescent="0.25">
      <c r="A230" s="3">
        <v>41275</v>
      </c>
      <c r="B230">
        <v>5.8</v>
      </c>
    </row>
    <row r="231" spans="1:2" x14ac:dyDescent="0.25">
      <c r="A231" s="3">
        <v>41306</v>
      </c>
      <c r="B231">
        <v>5.8</v>
      </c>
    </row>
    <row r="232" spans="1:2" x14ac:dyDescent="0.25">
      <c r="A232" s="3">
        <v>41334</v>
      </c>
      <c r="B232">
        <v>5.5</v>
      </c>
    </row>
    <row r="233" spans="1:2" x14ac:dyDescent="0.25">
      <c r="A233" s="3">
        <v>41365</v>
      </c>
      <c r="B233">
        <v>5</v>
      </c>
    </row>
    <row r="234" spans="1:2" x14ac:dyDescent="0.25">
      <c r="A234" s="3">
        <v>41395</v>
      </c>
      <c r="B234">
        <v>4.8</v>
      </c>
    </row>
    <row r="235" spans="1:2" x14ac:dyDescent="0.25">
      <c r="A235" s="3">
        <v>41426</v>
      </c>
      <c r="B235">
        <v>4.8</v>
      </c>
    </row>
    <row r="236" spans="1:2" x14ac:dyDescent="0.25">
      <c r="A236" s="3">
        <v>41456</v>
      </c>
      <c r="B236">
        <v>4.5</v>
      </c>
    </row>
    <row r="237" spans="1:2" x14ac:dyDescent="0.25">
      <c r="A237" s="3">
        <v>41487</v>
      </c>
      <c r="B237">
        <v>3.5</v>
      </c>
    </row>
    <row r="238" spans="1:2" x14ac:dyDescent="0.25">
      <c r="A238" s="3">
        <v>41518</v>
      </c>
      <c r="B238">
        <v>2.9</v>
      </c>
    </row>
    <row r="239" spans="1:2" x14ac:dyDescent="0.25">
      <c r="A239" s="3">
        <v>41548</v>
      </c>
      <c r="B239">
        <v>2.8</v>
      </c>
    </row>
    <row r="240" spans="1:2" x14ac:dyDescent="0.25">
      <c r="A240" s="3">
        <v>41579</v>
      </c>
      <c r="B240">
        <v>2.7</v>
      </c>
    </row>
    <row r="241" spans="1:2" x14ac:dyDescent="0.25">
      <c r="A241" s="3">
        <v>41609</v>
      </c>
      <c r="B241">
        <v>3.1</v>
      </c>
    </row>
    <row r="242" spans="1:2" x14ac:dyDescent="0.25">
      <c r="A242" s="3">
        <v>41640</v>
      </c>
      <c r="B242">
        <v>3.1</v>
      </c>
    </row>
    <row r="243" spans="1:2" x14ac:dyDescent="0.25">
      <c r="A243" s="3">
        <v>41671</v>
      </c>
      <c r="B243">
        <v>2.8</v>
      </c>
    </row>
    <row r="244" spans="1:2" x14ac:dyDescent="0.25">
      <c r="A244" s="3">
        <v>41699</v>
      </c>
      <c r="B244">
        <v>2.9</v>
      </c>
    </row>
    <row r="245" spans="1:2" x14ac:dyDescent="0.25">
      <c r="A245" s="3">
        <v>41730</v>
      </c>
      <c r="B245">
        <v>3.1</v>
      </c>
    </row>
    <row r="246" spans="1:2" x14ac:dyDescent="0.25">
      <c r="A246" s="3">
        <v>41760</v>
      </c>
      <c r="B246">
        <v>3.1</v>
      </c>
    </row>
    <row r="247" spans="1:2" x14ac:dyDescent="0.25">
      <c r="A247" s="3">
        <v>41791</v>
      </c>
      <c r="B247">
        <v>3</v>
      </c>
    </row>
    <row r="248" spans="1:2" x14ac:dyDescent="0.25">
      <c r="A248" s="3">
        <v>41821</v>
      </c>
      <c r="B248">
        <v>3.2</v>
      </c>
    </row>
    <row r="249" spans="1:2" x14ac:dyDescent="0.25">
      <c r="A249" s="3">
        <v>41852</v>
      </c>
      <c r="B249">
        <v>3.3</v>
      </c>
    </row>
    <row r="250" spans="1:2" x14ac:dyDescent="0.25">
      <c r="A250" s="3">
        <v>41883</v>
      </c>
      <c r="B250">
        <v>3.3</v>
      </c>
    </row>
    <row r="251" spans="1:2" x14ac:dyDescent="0.25">
      <c r="A251" s="3">
        <v>41913</v>
      </c>
      <c r="B251">
        <v>3.3</v>
      </c>
    </row>
    <row r="252" spans="1:2" x14ac:dyDescent="0.25">
      <c r="A252" s="3">
        <v>41944</v>
      </c>
      <c r="B252">
        <v>3.2</v>
      </c>
    </row>
    <row r="253" spans="1:2" x14ac:dyDescent="0.25">
      <c r="A253" s="3">
        <v>41974</v>
      </c>
      <c r="B253">
        <v>3.4</v>
      </c>
    </row>
    <row r="254" spans="1:2" x14ac:dyDescent="0.25">
      <c r="A254" s="3">
        <v>42005</v>
      </c>
      <c r="B254">
        <v>3.6</v>
      </c>
    </row>
    <row r="255" spans="1:2" x14ac:dyDescent="0.25">
      <c r="A255" s="3">
        <v>42036</v>
      </c>
      <c r="B255">
        <v>3.7</v>
      </c>
    </row>
    <row r="256" spans="1:2" x14ac:dyDescent="0.25">
      <c r="A256" s="3">
        <v>42064</v>
      </c>
      <c r="B256">
        <v>4.7</v>
      </c>
    </row>
    <row r="257" spans="1:2" x14ac:dyDescent="0.25">
      <c r="A257" s="3">
        <v>42095</v>
      </c>
      <c r="B257">
        <v>4.5</v>
      </c>
    </row>
    <row r="258" spans="1:2" x14ac:dyDescent="0.25">
      <c r="A258" s="3">
        <v>42125</v>
      </c>
      <c r="B258">
        <v>4.2</v>
      </c>
    </row>
    <row r="259" spans="1:2" x14ac:dyDescent="0.25">
      <c r="A259" s="3">
        <v>42156</v>
      </c>
      <c r="B259">
        <v>4.3</v>
      </c>
    </row>
    <row r="260" spans="1:2" x14ac:dyDescent="0.25">
      <c r="A260" s="3">
        <v>42186</v>
      </c>
      <c r="B260">
        <v>3.8</v>
      </c>
    </row>
    <row r="261" spans="1:2" x14ac:dyDescent="0.25">
      <c r="A261" s="3">
        <v>42217</v>
      </c>
      <c r="B261">
        <v>3.5</v>
      </c>
    </row>
    <row r="262" spans="1:2" x14ac:dyDescent="0.25">
      <c r="A262" s="3">
        <v>42248</v>
      </c>
      <c r="B262">
        <v>3.3</v>
      </c>
    </row>
    <row r="263" spans="1:2" x14ac:dyDescent="0.25">
      <c r="A263" s="3">
        <v>42278</v>
      </c>
      <c r="B263">
        <v>3.5</v>
      </c>
    </row>
    <row r="264" spans="1:2" x14ac:dyDescent="0.25">
      <c r="A264" s="3">
        <v>42309</v>
      </c>
      <c r="B264">
        <v>3.6</v>
      </c>
    </row>
    <row r="265" spans="1:2" x14ac:dyDescent="0.25">
      <c r="A265" s="3">
        <v>42339</v>
      </c>
      <c r="B265">
        <v>3.7</v>
      </c>
    </row>
    <row r="266" spans="1:2" x14ac:dyDescent="0.25">
      <c r="A266" s="3">
        <v>42370</v>
      </c>
      <c r="B266">
        <v>3.5</v>
      </c>
    </row>
    <row r="267" spans="1:2" x14ac:dyDescent="0.25">
      <c r="A267" s="3">
        <v>42401</v>
      </c>
      <c r="B267">
        <v>3.4</v>
      </c>
    </row>
    <row r="268" spans="1:2" x14ac:dyDescent="0.25">
      <c r="A268" s="3">
        <v>42430</v>
      </c>
      <c r="B268">
        <v>3.6</v>
      </c>
    </row>
    <row r="269" spans="1:2" x14ac:dyDescent="0.25">
      <c r="A269" s="3">
        <v>42461</v>
      </c>
      <c r="B269">
        <v>3.9</v>
      </c>
    </row>
    <row r="270" spans="1:2" x14ac:dyDescent="0.25">
      <c r="A270" s="3">
        <v>42491</v>
      </c>
      <c r="B270">
        <v>4.0999999999999996</v>
      </c>
    </row>
    <row r="271" spans="1:2" x14ac:dyDescent="0.25">
      <c r="A271" s="3">
        <v>42522</v>
      </c>
      <c r="B271">
        <v>4.0999999999999996</v>
      </c>
    </row>
    <row r="272" spans="1:2" x14ac:dyDescent="0.25">
      <c r="A272" s="3">
        <v>42552</v>
      </c>
      <c r="B272">
        <v>4.0999999999999996</v>
      </c>
    </row>
    <row r="273" spans="1:1" x14ac:dyDescent="0.25">
      <c r="A273" s="3">
        <v>42583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3" sqref="C13"/>
    </sheetView>
  </sheetViews>
  <sheetFormatPr defaultRowHeight="15" x14ac:dyDescent="0.25"/>
  <cols>
    <col min="1" max="1" width="25.28515625" customWidth="1"/>
  </cols>
  <sheetData>
    <row r="1" spans="1:3" ht="24" thickBot="1" x14ac:dyDescent="0.35">
      <c r="A1" s="12"/>
      <c r="B1" s="8" t="s">
        <v>135</v>
      </c>
      <c r="C1" s="8" t="s">
        <v>142</v>
      </c>
    </row>
    <row r="2" spans="1:3" ht="18.75" x14ac:dyDescent="0.3">
      <c r="A2" s="9" t="s">
        <v>136</v>
      </c>
      <c r="B2" s="9">
        <v>48.45</v>
      </c>
      <c r="C2" s="9">
        <v>48.45</v>
      </c>
    </row>
    <row r="3" spans="1:3" ht="18.75" x14ac:dyDescent="0.3">
      <c r="A3" s="10" t="s">
        <v>137</v>
      </c>
      <c r="B3" s="10">
        <v>0.73</v>
      </c>
      <c r="C3" s="10">
        <v>1.1100000000000001</v>
      </c>
    </row>
    <row r="4" spans="1:3" ht="18.75" x14ac:dyDescent="0.3">
      <c r="A4" s="10" t="s">
        <v>138</v>
      </c>
      <c r="B4" s="10">
        <v>0</v>
      </c>
      <c r="C4" s="10">
        <v>0.98</v>
      </c>
    </row>
    <row r="5" spans="1:3" ht="18.75" x14ac:dyDescent="0.3">
      <c r="A5" s="10" t="s">
        <v>139</v>
      </c>
      <c r="B5" s="10">
        <v>0.15</v>
      </c>
      <c r="C5" s="10">
        <v>1.25</v>
      </c>
    </row>
    <row r="6" spans="1:3" ht="18.75" x14ac:dyDescent="0.3">
      <c r="A6" s="10" t="s">
        <v>140</v>
      </c>
      <c r="B6" s="10">
        <v>0.44</v>
      </c>
      <c r="C6" s="10">
        <v>0.98</v>
      </c>
    </row>
    <row r="7" spans="1:3" ht="18.75" x14ac:dyDescent="0.3">
      <c r="A7" s="10" t="s">
        <v>141</v>
      </c>
      <c r="B7" s="10">
        <v>0.64</v>
      </c>
      <c r="C7" s="10">
        <v>1.05</v>
      </c>
    </row>
    <row r="8" spans="1:3" ht="19.5" thickBot="1" x14ac:dyDescent="0.35">
      <c r="A8" s="11" t="s">
        <v>143</v>
      </c>
      <c r="B8" s="11">
        <v>0.59</v>
      </c>
      <c r="C8" s="11">
        <v>1.17</v>
      </c>
    </row>
    <row r="9" spans="1:3" x14ac:dyDescent="0.25">
      <c r="B9">
        <f>PRODUCT(B2:B8)</f>
        <v>0</v>
      </c>
      <c r="C9">
        <f>PRODUCT(C2:C8)</f>
        <v>79.314772957875007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Fitting</vt:lpstr>
      <vt:lpstr>Tracking</vt:lpstr>
      <vt:lpstr>Sheet4</vt:lpstr>
      <vt:lpstr>Sheet5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2016-08-17T20:53:35Z</dcterms:created>
  <dcterms:modified xsi:type="dcterms:W3CDTF">2016-08-26T21:58:08Z</dcterms:modified>
</cp:coreProperties>
</file>