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5" windowWidth="33555" windowHeight="19215" activeTab="1"/>
  </bookViews>
  <sheets>
    <sheet name="Sheet4" sheetId="4" r:id="rId1"/>
    <sheet name="Sheet2" sheetId="2" r:id="rId2"/>
    <sheet name="Sheet3" sheetId="3" r:id="rId3"/>
  </sheets>
  <calcPr calcId="145621"/>
  <pivotCaches>
    <pivotCache cacheId="9" r:id="rId4"/>
  </pivotCaches>
</workbook>
</file>

<file path=xl/calcChain.xml><?xml version="1.0" encoding="utf-8"?>
<calcChain xmlns="http://schemas.openxmlformats.org/spreadsheetml/2006/main">
  <c r="U66" i="4" l="1"/>
  <c r="S57" i="4"/>
  <c r="T57" i="4"/>
  <c r="U57" i="4"/>
  <c r="V57" i="4"/>
  <c r="Q57" i="4"/>
  <c r="S58" i="4"/>
  <c r="T58" i="4"/>
  <c r="U58" i="4"/>
  <c r="V58" i="4"/>
  <c r="Q58" i="4"/>
  <c r="S59" i="4"/>
  <c r="T59" i="4"/>
  <c r="U59" i="4"/>
  <c r="V59" i="4"/>
  <c r="Q59" i="4"/>
  <c r="S60" i="4"/>
  <c r="T60" i="4"/>
  <c r="U60" i="4"/>
  <c r="V60" i="4"/>
  <c r="Q60" i="4"/>
  <c r="S61" i="4"/>
  <c r="T61" i="4"/>
  <c r="U61" i="4"/>
  <c r="V61" i="4"/>
  <c r="Q61" i="4"/>
  <c r="S62" i="4"/>
  <c r="T62" i="4"/>
  <c r="U62" i="4"/>
  <c r="V62" i="4"/>
  <c r="Q62" i="4"/>
  <c r="S63" i="4"/>
  <c r="T63" i="4"/>
  <c r="U63" i="4"/>
  <c r="V63" i="4"/>
  <c r="Q63" i="4"/>
  <c r="S64" i="4"/>
  <c r="T64" i="4"/>
  <c r="U64" i="4"/>
  <c r="V64" i="4"/>
  <c r="Q64" i="4"/>
  <c r="S65" i="4"/>
  <c r="T65" i="4"/>
  <c r="U65" i="4"/>
  <c r="V65" i="4"/>
  <c r="Q65" i="4"/>
  <c r="S66" i="4"/>
  <c r="T66" i="4"/>
  <c r="V66" i="4"/>
  <c r="Q66" i="4"/>
  <c r="S67" i="4"/>
  <c r="T67" i="4"/>
  <c r="U67" i="4"/>
  <c r="V67" i="4"/>
  <c r="Q67" i="4"/>
  <c r="S68" i="4"/>
  <c r="T68" i="4"/>
  <c r="U68" i="4"/>
  <c r="V68" i="4"/>
  <c r="Q68" i="4"/>
  <c r="S69" i="4"/>
  <c r="T69" i="4"/>
  <c r="U69" i="4"/>
  <c r="V69" i="4"/>
  <c r="Q69" i="4"/>
  <c r="S70" i="4"/>
  <c r="T70" i="4"/>
  <c r="U70" i="4"/>
  <c r="V70" i="4"/>
  <c r="Q70" i="4"/>
  <c r="S71" i="4"/>
  <c r="T71" i="4"/>
  <c r="U71" i="4"/>
  <c r="V71" i="4"/>
  <c r="Q71" i="4"/>
  <c r="S72" i="4"/>
  <c r="T72" i="4"/>
  <c r="U72" i="4"/>
  <c r="V72" i="4"/>
  <c r="Q72" i="4"/>
  <c r="S73" i="4"/>
  <c r="T73" i="4"/>
  <c r="U73" i="4"/>
  <c r="V73" i="4"/>
  <c r="Q73" i="4"/>
  <c r="S74" i="4"/>
  <c r="T74" i="4"/>
  <c r="U74" i="4"/>
  <c r="V74" i="4"/>
  <c r="Q74" i="4"/>
  <c r="S75" i="4"/>
  <c r="T75" i="4"/>
  <c r="U75" i="4"/>
  <c r="V75" i="4"/>
  <c r="Q75" i="4"/>
  <c r="S76" i="4"/>
  <c r="T76" i="4"/>
  <c r="U76" i="4"/>
  <c r="V76" i="4"/>
  <c r="Q76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57" i="4"/>
</calcChain>
</file>

<file path=xl/sharedStrings.xml><?xml version="1.0" encoding="utf-8"?>
<sst xmlns="http://schemas.openxmlformats.org/spreadsheetml/2006/main" count="1230" uniqueCount="53">
  <si>
    <t>marketTicker</t>
  </si>
  <si>
    <t>monthBucket</t>
  </si>
  <si>
    <t>1st Qu.</t>
  </si>
  <si>
    <t>3rd Qu.</t>
  </si>
  <si>
    <t>marketTicket</t>
  </si>
  <si>
    <t>Length</t>
  </si>
  <si>
    <t>credit_availability</t>
  </si>
  <si>
    <t>monthSinceCurrent</t>
  </si>
  <si>
    <t xml:space="preserve">   issueId</t>
  </si>
  <si>
    <t xml:space="preserve">Min.   </t>
  </si>
  <si>
    <t xml:space="preserve"> </t>
  </si>
  <si>
    <t xml:space="preserve">Median </t>
  </si>
  <si>
    <t xml:space="preserve">Mean   </t>
  </si>
  <si>
    <t xml:space="preserve">Max.   </t>
  </si>
  <si>
    <t>NA</t>
  </si>
  <si>
    <t xml:space="preserve">Class </t>
  </si>
  <si>
    <t xml:space="preserve">character  </t>
  </si>
  <si>
    <t xml:space="preserve">Mode  </t>
  </si>
  <si>
    <t xml:space="preserve"> issueDate</t>
  </si>
  <si>
    <t xml:space="preserve">  asofdate</t>
  </si>
  <si>
    <t xml:space="preserve">     bal</t>
  </si>
  <si>
    <t xml:space="preserve">  pct_owner</t>
  </si>
  <si>
    <t xml:space="preserve">   pct_2nd</t>
  </si>
  <si>
    <t xml:space="preserve">   pct_inv</t>
  </si>
  <si>
    <t xml:space="preserve">   pct_curr</t>
  </si>
  <si>
    <t xml:space="preserve">NA's   </t>
  </si>
  <si>
    <t xml:space="preserve">    pct_dq</t>
  </si>
  <si>
    <t xml:space="preserve">  incentive</t>
  </si>
  <si>
    <t xml:space="preserve">   burnout</t>
  </si>
  <si>
    <t xml:space="preserve">     wala</t>
  </si>
  <si>
    <t xml:space="preserve">    wacls</t>
  </si>
  <si>
    <t xml:space="preserve">     cltv</t>
  </si>
  <si>
    <t xml:space="preserve">     fico</t>
  </si>
  <si>
    <t xml:space="preserve">  media_refi</t>
  </si>
  <si>
    <t xml:space="preserve">   pct_REFI</t>
  </si>
  <si>
    <t xml:space="preserve"> refiEligPct</t>
  </si>
  <si>
    <t xml:space="preserve">   pct_HARP</t>
  </si>
  <si>
    <t xml:space="preserve">   pct_tpo</t>
  </si>
  <si>
    <t xml:space="preserve">   HARPElig</t>
  </si>
  <si>
    <t xml:space="preserve">     smm</t>
  </si>
  <si>
    <t xml:space="preserve">     mdr</t>
  </si>
  <si>
    <t xml:space="preserve">     wac</t>
  </si>
  <si>
    <t xml:space="preserve">    hpa2yr</t>
  </si>
  <si>
    <t>name</t>
  </si>
  <si>
    <t>distribution</t>
  </si>
  <si>
    <t>numb</t>
  </si>
  <si>
    <t>Row Labels</t>
  </si>
  <si>
    <t>Grand Total</t>
  </si>
  <si>
    <t>Column Labels</t>
  </si>
  <si>
    <t>Sum of numb</t>
  </si>
  <si>
    <t>Old</t>
  </si>
  <si>
    <t>New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</si>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</sst>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/>
    <xf numFmtId="9" fontId="0" fillId="0" borderId="1" xfId="1" applyNumberFormat="1" applyFont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Border="1"/>
    <xf numFmtId="9" fontId="2" fillId="0" borderId="1" xfId="1" applyNumberFormat="1" applyFont="1" applyBorder="1"/>
    <xf numFmtId="9" fontId="2" fillId="3" borderId="1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2640.416129745368" createdVersion="4" refreshedVersion="4" minRefreshableVersion="3" recordCount="190">
  <cacheSource type="worksheet">
    <worksheetSource ref="C1:E1048576" sheet="Sheet2"/>
  </cacheSource>
  <cacheFields count="3">
    <cacheField name="name" numFmtId="0">
      <sharedItems containsBlank="1" count="28">
        <s v="   issueId"/>
        <s v="marketTicker"/>
        <s v=" issueDate"/>
        <s v="  asofdate"/>
        <s v="monthBucket"/>
        <s v="     bal"/>
        <s v="  pct_owner"/>
        <s v="   pct_2nd"/>
        <s v="   pct_inv"/>
        <s v="   pct_curr"/>
        <s v="    pct_dq"/>
        <s v="  incentive"/>
        <s v="   burnout"/>
        <s v="     wala"/>
        <s v="    wacls"/>
        <s v="     cltv"/>
        <s v="     fico"/>
        <s v="credit_availability"/>
        <s v="  media_refi"/>
        <s v="monthSinceCurrent"/>
        <s v="   pct_REFI"/>
        <s v=" refiEligPct"/>
        <s v="   pct_HARP"/>
        <s v="   pct_tpo"/>
        <s v="   HARPElig"/>
        <s v="     smm"/>
        <s v="     mdr"/>
        <m/>
      </sharedItems>
    </cacheField>
    <cacheField name="distribution" numFmtId="0">
      <sharedItems containsBlank="1" count="12">
        <s v="Min.   "/>
        <s v="1st Qu."/>
        <s v="Median "/>
        <s v="Mean   "/>
        <s v="3rd Qu."/>
        <s v="Max.   "/>
        <s v="NA"/>
        <s v="Length"/>
        <s v="Class "/>
        <s v="Mode  "/>
        <s v="NA's   "/>
        <m/>
      </sharedItems>
    </cacheField>
    <cacheField name="numb" numFmtId="0">
      <sharedItems containsBlank="1" containsMixedTypes="1" containsNumber="1" minValue="-323.75" maxValue="4342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0">
  <r>
    <x v="0"/>
    <x v="0"/>
    <n v="1099918"/>
  </r>
  <r>
    <x v="0"/>
    <x v="1"/>
    <n v="1212244"/>
  </r>
  <r>
    <x v="0"/>
    <x v="2"/>
    <n v="1326035"/>
  </r>
  <r>
    <x v="0"/>
    <x v="3"/>
    <n v="1334043"/>
  </r>
  <r>
    <x v="0"/>
    <x v="4"/>
    <n v="1460991"/>
  </r>
  <r>
    <x v="0"/>
    <x v="5"/>
    <n v="1666264"/>
  </r>
  <r>
    <x v="0"/>
    <x v="6"/>
    <m/>
  </r>
  <r>
    <x v="1"/>
    <x v="7"/>
    <n v="1197231"/>
  </r>
  <r>
    <x v="1"/>
    <x v="8"/>
    <s v="character  "/>
  </r>
  <r>
    <x v="1"/>
    <x v="9"/>
    <s v="character  "/>
  </r>
  <r>
    <x v="1"/>
    <x v="6"/>
    <m/>
  </r>
  <r>
    <x v="1"/>
    <x v="6"/>
    <m/>
  </r>
  <r>
    <x v="1"/>
    <x v="6"/>
    <m/>
  </r>
  <r>
    <x v="1"/>
    <x v="6"/>
    <m/>
  </r>
  <r>
    <x v="2"/>
    <x v="7"/>
    <n v="1197231"/>
  </r>
  <r>
    <x v="2"/>
    <x v="8"/>
    <s v="character  "/>
  </r>
  <r>
    <x v="2"/>
    <x v="9"/>
    <s v="character  "/>
  </r>
  <r>
    <x v="2"/>
    <x v="6"/>
    <m/>
  </r>
  <r>
    <x v="2"/>
    <x v="6"/>
    <m/>
  </r>
  <r>
    <x v="2"/>
    <x v="6"/>
    <m/>
  </r>
  <r>
    <x v="2"/>
    <x v="6"/>
    <m/>
  </r>
  <r>
    <x v="3"/>
    <x v="7"/>
    <n v="1197231"/>
  </r>
  <r>
    <x v="3"/>
    <x v="8"/>
    <s v="character  "/>
  </r>
  <r>
    <x v="3"/>
    <x v="9"/>
    <s v="character  "/>
  </r>
  <r>
    <x v="3"/>
    <x v="6"/>
    <m/>
  </r>
  <r>
    <x v="3"/>
    <x v="6"/>
    <m/>
  </r>
  <r>
    <x v="3"/>
    <x v="6"/>
    <m/>
  </r>
  <r>
    <x v="3"/>
    <x v="6"/>
    <m/>
  </r>
  <r>
    <x v="4"/>
    <x v="7"/>
    <n v="1197231"/>
  </r>
  <r>
    <x v="4"/>
    <x v="8"/>
    <s v="character  "/>
  </r>
  <r>
    <x v="4"/>
    <x v="9"/>
    <s v="character  "/>
  </r>
  <r>
    <x v="4"/>
    <x v="6"/>
    <m/>
  </r>
  <r>
    <x v="4"/>
    <x v="6"/>
    <m/>
  </r>
  <r>
    <x v="4"/>
    <x v="6"/>
    <m/>
  </r>
  <r>
    <x v="4"/>
    <x v="6"/>
    <m/>
  </r>
  <r>
    <x v="5"/>
    <x v="0"/>
    <n v="122"/>
  </r>
  <r>
    <x v="5"/>
    <x v="1"/>
    <n v="187700"/>
  </r>
  <r>
    <x v="5"/>
    <x v="2"/>
    <n v="778500"/>
  </r>
  <r>
    <x v="5"/>
    <x v="3"/>
    <n v="5466000"/>
  </r>
  <r>
    <x v="5"/>
    <x v="4"/>
    <n v="2655000"/>
  </r>
  <r>
    <x v="5"/>
    <x v="5"/>
    <n v="4342000000"/>
  </r>
  <r>
    <x v="5"/>
    <x v="6"/>
    <m/>
  </r>
  <r>
    <x v="6"/>
    <x v="0"/>
    <n v="0"/>
  </r>
  <r>
    <x v="6"/>
    <x v="1"/>
    <n v="89.38"/>
  </r>
  <r>
    <x v="6"/>
    <x v="2"/>
    <n v="100"/>
  </r>
  <r>
    <x v="6"/>
    <x v="3"/>
    <n v="89.8"/>
  </r>
  <r>
    <x v="6"/>
    <x v="4"/>
    <n v="100"/>
  </r>
  <r>
    <x v="6"/>
    <x v="5"/>
    <n v="100"/>
  </r>
  <r>
    <x v="6"/>
    <x v="6"/>
    <m/>
  </r>
  <r>
    <x v="7"/>
    <x v="0"/>
    <n v="0"/>
  </r>
  <r>
    <x v="7"/>
    <x v="1"/>
    <n v="0"/>
  </r>
  <r>
    <x v="7"/>
    <x v="2"/>
    <n v="0"/>
  </r>
  <r>
    <x v="7"/>
    <x v="3"/>
    <n v="6.95"/>
  </r>
  <r>
    <x v="7"/>
    <x v="4"/>
    <n v="4.46"/>
  </r>
  <r>
    <x v="7"/>
    <x v="5"/>
    <n v="100"/>
  </r>
  <r>
    <x v="7"/>
    <x v="6"/>
    <m/>
  </r>
  <r>
    <x v="8"/>
    <x v="0"/>
    <n v="0"/>
  </r>
  <r>
    <x v="8"/>
    <x v="1"/>
    <n v="0"/>
  </r>
  <r>
    <x v="8"/>
    <x v="2"/>
    <n v="0"/>
  </r>
  <r>
    <x v="8"/>
    <x v="3"/>
    <n v="3.2530000000000001"/>
  </r>
  <r>
    <x v="8"/>
    <x v="4"/>
    <n v="2.4"/>
  </r>
  <r>
    <x v="8"/>
    <x v="5"/>
    <n v="100"/>
  </r>
  <r>
    <x v="8"/>
    <x v="6"/>
    <m/>
  </r>
  <r>
    <x v="9"/>
    <x v="0"/>
    <n v="0"/>
  </r>
  <r>
    <x v="9"/>
    <x v="1"/>
    <n v="98"/>
  </r>
  <r>
    <x v="9"/>
    <x v="2"/>
    <n v="100"/>
  </r>
  <r>
    <x v="9"/>
    <x v="3"/>
    <n v="95.7"/>
  </r>
  <r>
    <x v="9"/>
    <x v="4"/>
    <n v="100"/>
  </r>
  <r>
    <x v="9"/>
    <x v="5"/>
    <n v="100"/>
  </r>
  <r>
    <x v="9"/>
    <x v="10"/>
    <n v="792854"/>
  </r>
  <r>
    <x v="10"/>
    <x v="0"/>
    <n v="0"/>
  </r>
  <r>
    <x v="10"/>
    <x v="1"/>
    <n v="0"/>
  </r>
  <r>
    <x v="10"/>
    <x v="2"/>
    <n v="0"/>
  </r>
  <r>
    <x v="10"/>
    <x v="3"/>
    <n v="4.3"/>
  </r>
  <r>
    <x v="10"/>
    <x v="4"/>
    <n v="2"/>
  </r>
  <r>
    <x v="10"/>
    <x v="5"/>
    <n v="100"/>
  </r>
  <r>
    <x v="10"/>
    <x v="10"/>
    <n v="792854"/>
  </r>
  <r>
    <x v="11"/>
    <x v="0"/>
    <n v="-323.75"/>
  </r>
  <r>
    <x v="11"/>
    <x v="1"/>
    <n v="55.87"/>
  </r>
  <r>
    <x v="11"/>
    <x v="2"/>
    <n v="155.5"/>
  </r>
  <r>
    <x v="11"/>
    <x v="3"/>
    <n v="162.78"/>
  </r>
  <r>
    <x v="11"/>
    <x v="4"/>
    <n v="262.25"/>
  </r>
  <r>
    <x v="11"/>
    <x v="5"/>
    <n v="825"/>
  </r>
  <r>
    <x v="11"/>
    <x v="6"/>
    <m/>
  </r>
  <r>
    <x v="12"/>
    <x v="0"/>
    <n v="0"/>
  </r>
  <r>
    <x v="12"/>
    <x v="1"/>
    <n v="164.3"/>
  </r>
  <r>
    <x v="12"/>
    <x v="2"/>
    <n v="831.2"/>
  </r>
  <r>
    <x v="12"/>
    <x v="3"/>
    <n v="1561.6"/>
  </r>
  <r>
    <x v="12"/>
    <x v="4"/>
    <n v="2269.1999999999998"/>
  </r>
  <r>
    <x v="12"/>
    <x v="5"/>
    <n v="16106.8"/>
  </r>
  <r>
    <x v="12"/>
    <x v="6"/>
    <m/>
  </r>
  <r>
    <x v="13"/>
    <x v="0"/>
    <n v="1"/>
  </r>
  <r>
    <x v="13"/>
    <x v="1"/>
    <n v="38"/>
  </r>
  <r>
    <x v="13"/>
    <x v="2"/>
    <n v="76"/>
  </r>
  <r>
    <x v="13"/>
    <x v="3"/>
    <n v="86.66"/>
  </r>
  <r>
    <x v="13"/>
    <x v="4"/>
    <n v="123"/>
  </r>
  <r>
    <x v="13"/>
    <x v="5"/>
    <n v="361"/>
  </r>
  <r>
    <x v="13"/>
    <x v="6"/>
    <m/>
  </r>
  <r>
    <x v="14"/>
    <x v="0"/>
    <n v="227"/>
  </r>
  <r>
    <x v="14"/>
    <x v="1"/>
    <n v="62182"/>
  </r>
  <r>
    <x v="14"/>
    <x v="2"/>
    <n v="93890"/>
  </r>
  <r>
    <x v="14"/>
    <x v="3"/>
    <n v="106378"/>
  </r>
  <r>
    <x v="14"/>
    <x v="4"/>
    <n v="132167"/>
  </r>
  <r>
    <x v="14"/>
    <x v="5"/>
    <n v="838964"/>
  </r>
  <r>
    <x v="14"/>
    <x v="6"/>
    <m/>
  </r>
  <r>
    <x v="15"/>
    <x v="0"/>
    <n v="0.01"/>
  </r>
  <r>
    <x v="15"/>
    <x v="1"/>
    <n v="38.18"/>
  </r>
  <r>
    <x v="15"/>
    <x v="2"/>
    <n v="54.01"/>
  </r>
  <r>
    <x v="15"/>
    <x v="3"/>
    <n v="53.33"/>
  </r>
  <r>
    <x v="15"/>
    <x v="4"/>
    <n v="68.05"/>
  </r>
  <r>
    <x v="15"/>
    <x v="5"/>
    <n v="207.83"/>
  </r>
  <r>
    <x v="15"/>
    <x v="6"/>
    <m/>
  </r>
  <r>
    <x v="16"/>
    <x v="0"/>
    <n v="464"/>
  </r>
  <r>
    <x v="16"/>
    <x v="1"/>
    <n v="698"/>
  </r>
  <r>
    <x v="16"/>
    <x v="2"/>
    <n v="717"/>
  </r>
  <r>
    <x v="16"/>
    <x v="3"/>
    <n v="713.3"/>
  </r>
  <r>
    <x v="16"/>
    <x v="4"/>
    <n v="731"/>
  </r>
  <r>
    <x v="16"/>
    <x v="5"/>
    <n v="822"/>
  </r>
  <r>
    <x v="16"/>
    <x v="6"/>
    <m/>
  </r>
  <r>
    <x v="17"/>
    <x v="0"/>
    <n v="18.489999999999998"/>
  </r>
  <r>
    <x v="17"/>
    <x v="1"/>
    <n v="107.49"/>
  </r>
  <r>
    <x v="17"/>
    <x v="2"/>
    <n v="136.05000000000001"/>
  </r>
  <r>
    <x v="17"/>
    <x v="3"/>
    <n v="280.24"/>
  </r>
  <r>
    <x v="17"/>
    <x v="4"/>
    <n v="428.96"/>
  </r>
  <r>
    <x v="17"/>
    <x v="5"/>
    <n v="830.36"/>
  </r>
  <r>
    <x v="17"/>
    <x v="6"/>
    <m/>
  </r>
  <r>
    <x v="18"/>
    <x v="0"/>
    <n v="2.06"/>
  </r>
  <r>
    <x v="18"/>
    <x v="1"/>
    <n v="27.31"/>
  </r>
  <r>
    <x v="18"/>
    <x v="2"/>
    <n v="46.63"/>
  </r>
  <r>
    <x v="18"/>
    <x v="3"/>
    <n v="48.07"/>
  </r>
  <r>
    <x v="18"/>
    <x v="4"/>
    <n v="69.5"/>
  </r>
  <r>
    <x v="18"/>
    <x v="5"/>
    <n v="99.71"/>
  </r>
  <r>
    <x v="18"/>
    <x v="6"/>
    <m/>
  </r>
  <r>
    <x v="19"/>
    <x v="0"/>
    <n v="1"/>
  </r>
  <r>
    <x v="19"/>
    <x v="1"/>
    <n v="1"/>
  </r>
  <r>
    <x v="19"/>
    <x v="2"/>
    <n v="1"/>
  </r>
  <r>
    <x v="19"/>
    <x v="3"/>
    <n v="1"/>
  </r>
  <r>
    <x v="19"/>
    <x v="4"/>
    <n v="1"/>
  </r>
  <r>
    <x v="19"/>
    <x v="5"/>
    <n v="1"/>
  </r>
  <r>
    <x v="19"/>
    <x v="6"/>
    <m/>
  </r>
  <r>
    <x v="20"/>
    <x v="0"/>
    <n v="0"/>
  </r>
  <r>
    <x v="20"/>
    <x v="1"/>
    <n v="26.59"/>
  </r>
  <r>
    <x v="20"/>
    <x v="2"/>
    <n v="53.9"/>
  </r>
  <r>
    <x v="20"/>
    <x v="3"/>
    <n v="51.62"/>
  </r>
  <r>
    <x v="20"/>
    <x v="4"/>
    <n v="78.55"/>
  </r>
  <r>
    <x v="20"/>
    <x v="5"/>
    <n v="100"/>
  </r>
  <r>
    <x v="20"/>
    <x v="6"/>
    <m/>
  </r>
  <r>
    <x v="21"/>
    <x v="0"/>
    <n v="0"/>
  </r>
  <r>
    <x v="21"/>
    <x v="1"/>
    <n v="91.39"/>
  </r>
  <r>
    <x v="21"/>
    <x v="2"/>
    <n v="100"/>
  </r>
  <r>
    <x v="21"/>
    <x v="3"/>
    <n v="90.86"/>
  </r>
  <r>
    <x v="21"/>
    <x v="4"/>
    <n v="100"/>
  </r>
  <r>
    <x v="21"/>
    <x v="5"/>
    <n v="100"/>
  </r>
  <r>
    <x v="21"/>
    <x v="6"/>
    <m/>
  </r>
  <r>
    <x v="22"/>
    <x v="0"/>
    <n v="0"/>
  </r>
  <r>
    <x v="22"/>
    <x v="1"/>
    <n v="0"/>
  </r>
  <r>
    <x v="22"/>
    <x v="2"/>
    <n v="0"/>
  </r>
  <r>
    <x v="22"/>
    <x v="3"/>
    <n v="2.903"/>
  </r>
  <r>
    <x v="22"/>
    <x v="4"/>
    <n v="0"/>
  </r>
  <r>
    <x v="22"/>
    <x v="5"/>
    <n v="100"/>
  </r>
  <r>
    <x v="22"/>
    <x v="6"/>
    <m/>
  </r>
  <r>
    <x v="23"/>
    <x v="0"/>
    <n v="0"/>
  </r>
  <r>
    <x v="23"/>
    <x v="1"/>
    <n v="0"/>
  </r>
  <r>
    <x v="23"/>
    <x v="2"/>
    <n v="27.4"/>
  </r>
  <r>
    <x v="23"/>
    <x v="3"/>
    <n v="36.299999999999997"/>
  </r>
  <r>
    <x v="23"/>
    <x v="4"/>
    <n v="67.099999999999994"/>
  </r>
  <r>
    <x v="23"/>
    <x v="5"/>
    <n v="100"/>
  </r>
  <r>
    <x v="23"/>
    <x v="10"/>
    <n v="1095941"/>
  </r>
  <r>
    <x v="24"/>
    <x v="0"/>
    <n v="0"/>
  </r>
  <r>
    <x v="24"/>
    <x v="1"/>
    <n v="0"/>
  </r>
  <r>
    <x v="24"/>
    <x v="2"/>
    <n v="0"/>
  </r>
  <r>
    <x v="24"/>
    <x v="3"/>
    <n v="35.81"/>
  </r>
  <r>
    <x v="24"/>
    <x v="4"/>
    <n v="100"/>
  </r>
  <r>
    <x v="24"/>
    <x v="5"/>
    <n v="100"/>
  </r>
  <r>
    <x v="24"/>
    <x v="6"/>
    <m/>
  </r>
  <r>
    <x v="25"/>
    <x v="0"/>
    <n v="0"/>
  </r>
  <r>
    <x v="25"/>
    <x v="1"/>
    <n v="1.1E-5"/>
  </r>
  <r>
    <x v="25"/>
    <x v="2"/>
    <n v="2.6699999999999998E-4"/>
  </r>
  <r>
    <x v="25"/>
    <x v="3"/>
    <n v="2.1212000000000002E-2"/>
  </r>
  <r>
    <x v="25"/>
    <x v="4"/>
    <n v="3.5490000000000001E-3"/>
  </r>
  <r>
    <x v="25"/>
    <x v="5"/>
    <n v="1"/>
  </r>
  <r>
    <x v="25"/>
    <x v="6"/>
    <m/>
  </r>
  <r>
    <x v="26"/>
    <x v="0"/>
    <n v="0"/>
  </r>
  <r>
    <x v="26"/>
    <x v="1"/>
    <n v="0"/>
  </r>
  <r>
    <x v="26"/>
    <x v="2"/>
    <n v="0"/>
  </r>
  <r>
    <x v="26"/>
    <x v="3"/>
    <n v="5.7600000000000001E-4"/>
  </r>
  <r>
    <x v="26"/>
    <x v="4"/>
    <n v="0"/>
  </r>
  <r>
    <x v="26"/>
    <x v="5"/>
    <n v="0.88971599999999995"/>
  </r>
  <r>
    <x v="26"/>
    <x v="6"/>
    <m/>
  </r>
  <r>
    <x v="27"/>
    <x v="1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J25" firstHeaderRow="1" firstDataRow="2" firstDataCol="1"/>
  <pivotFields count="3">
    <pivotField axis="axisRow" showAll="0">
      <items count="29">
        <item x="5"/>
        <item x="15"/>
        <item x="16"/>
        <item x="25"/>
        <item x="13"/>
        <item x="10"/>
        <item x="14"/>
        <item x="12"/>
        <item x="24"/>
        <item h="1" x="0"/>
        <item x="7"/>
        <item x="9"/>
        <item x="22"/>
        <item x="8"/>
        <item x="20"/>
        <item x="23"/>
        <item h="1" x="3"/>
        <item x="11"/>
        <item x="18"/>
        <item x="6"/>
        <item h="1" x="2"/>
        <item x="21"/>
        <item x="17"/>
        <item h="1" x="4"/>
        <item h="1" x="19"/>
        <item h="1" x="27"/>
        <item h="1" x="1"/>
        <item h="1" x="26"/>
        <item t="default"/>
      </items>
    </pivotField>
    <pivotField axis="axisCol" showAll="0">
      <items count="13">
        <item x="1"/>
        <item x="4"/>
        <item x="8"/>
        <item x="7"/>
        <item x="5"/>
        <item x="3"/>
        <item x="2"/>
        <item x="0"/>
        <item x="9"/>
        <item x="6"/>
        <item x="11"/>
        <item x="10"/>
        <item t="default"/>
      </items>
    </pivotField>
    <pivotField dataFiel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>
      <x v="15"/>
    </i>
    <i>
      <x v="17"/>
    </i>
    <i>
      <x v="18"/>
    </i>
    <i>
      <x v="19"/>
    </i>
    <i>
      <x v="21"/>
    </i>
    <i>
      <x v="22"/>
    </i>
    <i t="grand">
      <x/>
    </i>
  </rowItems>
  <colFields count="1">
    <field x="1"/>
  </colFields>
  <colItems count="9">
    <i>
      <x/>
    </i>
    <i>
      <x v="1"/>
    </i>
    <i>
      <x v="4"/>
    </i>
    <i>
      <x v="5"/>
    </i>
    <i>
      <x v="6"/>
    </i>
    <i>
      <x v="7"/>
    </i>
    <i>
      <x v="9"/>
    </i>
    <i>
      <x v="11"/>
    </i>
    <i t="grand">
      <x/>
    </i>
  </colItems>
  <dataFields count="1">
    <dataField name="Sum of numb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X77"/>
  <sheetViews>
    <sheetView topLeftCell="N18" workbookViewId="0">
      <selection activeCell="AB50" sqref="AB50"/>
    </sheetView>
  </sheetViews>
  <sheetFormatPr defaultRowHeight="15" x14ac:dyDescent="0.25"/>
  <cols>
    <col min="1" max="1" width="17" hidden="1" customWidth="1"/>
    <col min="2" max="2" width="16.28515625" hidden="1" customWidth="1"/>
    <col min="3" max="3" width="12" hidden="1" customWidth="1"/>
    <col min="4" max="4" width="11" hidden="1" customWidth="1"/>
    <col min="5" max="6" width="12" hidden="1" customWidth="1"/>
    <col min="7" max="7" width="7.7109375" hidden="1" customWidth="1"/>
    <col min="8" max="8" width="3.7109375" hidden="1" customWidth="1"/>
    <col min="9" max="9" width="8" hidden="1" customWidth="1"/>
    <col min="10" max="10" width="11.28515625" hidden="1" customWidth="1"/>
    <col min="11" max="11" width="3.7109375" hidden="1" customWidth="1"/>
    <col min="12" max="12" width="8" hidden="1" customWidth="1"/>
    <col min="13" max="13" width="11.28515625" hidden="1" customWidth="1"/>
    <col min="14" max="14" width="11.28515625" bestFit="1" customWidth="1"/>
    <col min="16" max="16" width="17" bestFit="1" customWidth="1"/>
    <col min="17" max="17" width="10.28515625" bestFit="1" customWidth="1"/>
    <col min="18" max="19" width="9.28515625" bestFit="1" customWidth="1"/>
    <col min="20" max="20" width="9.5703125" bestFit="1" customWidth="1"/>
    <col min="21" max="21" width="10.5703125" bestFit="1" customWidth="1"/>
    <col min="22" max="22" width="9.28515625" bestFit="1" customWidth="1"/>
  </cols>
  <sheetData>
    <row r="3" spans="1:24" x14ac:dyDescent="0.25">
      <c r="A3" s="2" t="s">
        <v>49</v>
      </c>
      <c r="B3" s="2" t="s">
        <v>48</v>
      </c>
      <c r="P3" t="s">
        <v>51</v>
      </c>
    </row>
    <row r="4" spans="1:24" x14ac:dyDescent="0.25">
      <c r="A4" s="2" t="s">
        <v>46</v>
      </c>
      <c r="B4" t="s">
        <v>2</v>
      </c>
      <c r="C4" t="s">
        <v>3</v>
      </c>
      <c r="D4" t="s">
        <v>13</v>
      </c>
      <c r="E4" t="s">
        <v>12</v>
      </c>
      <c r="F4" t="s">
        <v>11</v>
      </c>
      <c r="G4" t="s">
        <v>9</v>
      </c>
      <c r="H4" t="s">
        <v>14</v>
      </c>
      <c r="I4" t="s">
        <v>25</v>
      </c>
      <c r="J4" t="s">
        <v>47</v>
      </c>
      <c r="P4" s="5" t="s">
        <v>46</v>
      </c>
      <c r="Q4" s="5" t="s">
        <v>9</v>
      </c>
      <c r="R4" s="5" t="s">
        <v>2</v>
      </c>
      <c r="S4" s="5" t="s">
        <v>3</v>
      </c>
      <c r="T4" s="5" t="s">
        <v>13</v>
      </c>
      <c r="U4" s="5" t="s">
        <v>12</v>
      </c>
      <c r="V4" s="5" t="s">
        <v>11</v>
      </c>
      <c r="W4" t="s">
        <v>14</v>
      </c>
      <c r="X4" t="s">
        <v>25</v>
      </c>
    </row>
    <row r="5" spans="1:24" x14ac:dyDescent="0.25">
      <c r="A5" s="3" t="s">
        <v>20</v>
      </c>
      <c r="B5" s="4">
        <v>187700</v>
      </c>
      <c r="C5" s="4">
        <v>2655000</v>
      </c>
      <c r="D5" s="4">
        <v>4342000000</v>
      </c>
      <c r="E5" s="4">
        <v>5466000</v>
      </c>
      <c r="F5" s="4">
        <v>778500</v>
      </c>
      <c r="G5" s="4">
        <v>122</v>
      </c>
      <c r="H5" s="4"/>
      <c r="I5" s="4"/>
      <c r="J5" s="4">
        <v>4351087322</v>
      </c>
      <c r="P5" s="5" t="s">
        <v>20</v>
      </c>
      <c r="Q5" s="5">
        <v>122</v>
      </c>
      <c r="R5" s="5">
        <v>187700</v>
      </c>
      <c r="S5" s="5">
        <v>2655000</v>
      </c>
      <c r="T5" s="5">
        <v>4342000000</v>
      </c>
      <c r="U5" s="5">
        <v>5466000</v>
      </c>
      <c r="V5" s="5">
        <v>778500</v>
      </c>
    </row>
    <row r="6" spans="1:24" x14ac:dyDescent="0.25">
      <c r="A6" s="3" t="s">
        <v>31</v>
      </c>
      <c r="B6" s="4">
        <v>38.18</v>
      </c>
      <c r="C6" s="4">
        <v>68.05</v>
      </c>
      <c r="D6" s="4">
        <v>207.83</v>
      </c>
      <c r="E6" s="4">
        <v>53.33</v>
      </c>
      <c r="F6" s="4">
        <v>54.01</v>
      </c>
      <c r="G6" s="4">
        <v>0.01</v>
      </c>
      <c r="H6" s="4"/>
      <c r="I6" s="4"/>
      <c r="J6" s="4">
        <v>421.40999999999997</v>
      </c>
      <c r="P6" s="5" t="s">
        <v>31</v>
      </c>
      <c r="Q6" s="5">
        <v>0.01</v>
      </c>
      <c r="R6" s="5">
        <v>38.18</v>
      </c>
      <c r="S6" s="5">
        <v>68.05</v>
      </c>
      <c r="T6" s="5">
        <v>207.83</v>
      </c>
      <c r="U6" s="5">
        <v>53.33</v>
      </c>
      <c r="V6" s="5">
        <v>54.01</v>
      </c>
    </row>
    <row r="7" spans="1:24" x14ac:dyDescent="0.25">
      <c r="A7" s="3" t="s">
        <v>32</v>
      </c>
      <c r="B7" s="4">
        <v>698</v>
      </c>
      <c r="C7" s="4">
        <v>731</v>
      </c>
      <c r="D7" s="4">
        <v>822</v>
      </c>
      <c r="E7" s="4">
        <v>713.3</v>
      </c>
      <c r="F7" s="4">
        <v>717</v>
      </c>
      <c r="G7" s="4">
        <v>464</v>
      </c>
      <c r="H7" s="4"/>
      <c r="I7" s="4"/>
      <c r="J7" s="4">
        <v>4145.3</v>
      </c>
      <c r="P7" s="5" t="s">
        <v>32</v>
      </c>
      <c r="Q7" s="5">
        <v>464</v>
      </c>
      <c r="R7" s="5">
        <v>698</v>
      </c>
      <c r="S7" s="5">
        <v>731</v>
      </c>
      <c r="T7" s="5">
        <v>822</v>
      </c>
      <c r="U7" s="5">
        <v>713.3</v>
      </c>
      <c r="V7" s="5">
        <v>717</v>
      </c>
    </row>
    <row r="8" spans="1:24" x14ac:dyDescent="0.25">
      <c r="A8" s="3" t="s">
        <v>39</v>
      </c>
      <c r="B8" s="4">
        <v>1.1E-5</v>
      </c>
      <c r="C8" s="4">
        <v>3.5490000000000001E-3</v>
      </c>
      <c r="D8" s="4">
        <v>1</v>
      </c>
      <c r="E8" s="4">
        <v>2.1212000000000002E-2</v>
      </c>
      <c r="F8" s="4">
        <v>2.6699999999999998E-4</v>
      </c>
      <c r="G8" s="4">
        <v>0</v>
      </c>
      <c r="H8" s="4"/>
      <c r="I8" s="4"/>
      <c r="J8" s="4">
        <v>1.025039</v>
      </c>
      <c r="P8" s="5" t="s">
        <v>39</v>
      </c>
      <c r="Q8" s="5">
        <v>0</v>
      </c>
      <c r="R8" s="5">
        <v>1.1E-5</v>
      </c>
      <c r="S8" s="5">
        <v>3.5490000000000001E-3</v>
      </c>
      <c r="T8" s="5">
        <v>1</v>
      </c>
      <c r="U8" s="5">
        <v>2.1212000000000002E-2</v>
      </c>
      <c r="V8" s="5">
        <v>2.6699999999999998E-4</v>
      </c>
    </row>
    <row r="9" spans="1:24" x14ac:dyDescent="0.25">
      <c r="A9" s="3" t="s">
        <v>29</v>
      </c>
      <c r="B9" s="4">
        <v>38</v>
      </c>
      <c r="C9" s="4">
        <v>123</v>
      </c>
      <c r="D9" s="4">
        <v>361</v>
      </c>
      <c r="E9" s="4">
        <v>86.66</v>
      </c>
      <c r="F9" s="4">
        <v>76</v>
      </c>
      <c r="G9" s="4">
        <v>1</v>
      </c>
      <c r="H9" s="4"/>
      <c r="I9" s="4"/>
      <c r="J9" s="4">
        <v>685.66</v>
      </c>
      <c r="P9" s="5" t="s">
        <v>29</v>
      </c>
      <c r="Q9" s="5">
        <v>1</v>
      </c>
      <c r="R9" s="5">
        <v>38</v>
      </c>
      <c r="S9" s="5">
        <v>123</v>
      </c>
      <c r="T9" s="5">
        <v>361</v>
      </c>
      <c r="U9" s="5">
        <v>86.66</v>
      </c>
      <c r="V9" s="5">
        <v>76</v>
      </c>
    </row>
    <row r="10" spans="1:24" x14ac:dyDescent="0.25">
      <c r="A10" s="3" t="s">
        <v>26</v>
      </c>
      <c r="B10" s="4">
        <v>0</v>
      </c>
      <c r="C10" s="4">
        <v>2</v>
      </c>
      <c r="D10" s="4">
        <v>100</v>
      </c>
      <c r="E10" s="4">
        <v>4.3</v>
      </c>
      <c r="F10" s="4">
        <v>0</v>
      </c>
      <c r="G10" s="4">
        <v>0</v>
      </c>
      <c r="H10" s="4"/>
      <c r="I10" s="4">
        <v>792854</v>
      </c>
      <c r="J10" s="4">
        <v>792960.3</v>
      </c>
      <c r="P10" s="5" t="s">
        <v>26</v>
      </c>
      <c r="Q10" s="5">
        <v>0</v>
      </c>
      <c r="R10" s="5">
        <v>0</v>
      </c>
      <c r="S10" s="5">
        <v>2</v>
      </c>
      <c r="T10" s="5">
        <v>100</v>
      </c>
      <c r="U10" s="5">
        <v>4.3</v>
      </c>
      <c r="V10" s="5">
        <v>0</v>
      </c>
      <c r="X10">
        <v>792854</v>
      </c>
    </row>
    <row r="11" spans="1:24" x14ac:dyDescent="0.25">
      <c r="A11" s="3" t="s">
        <v>30</v>
      </c>
      <c r="B11" s="4">
        <v>62182</v>
      </c>
      <c r="C11" s="4">
        <v>132167</v>
      </c>
      <c r="D11" s="4">
        <v>838964</v>
      </c>
      <c r="E11" s="4">
        <v>106378</v>
      </c>
      <c r="F11" s="4">
        <v>93890</v>
      </c>
      <c r="G11" s="4">
        <v>227</v>
      </c>
      <c r="H11" s="4"/>
      <c r="I11" s="4"/>
      <c r="J11" s="4">
        <v>1233808</v>
      </c>
      <c r="P11" s="5" t="s">
        <v>30</v>
      </c>
      <c r="Q11" s="5">
        <v>227</v>
      </c>
      <c r="R11" s="5">
        <v>62182</v>
      </c>
      <c r="S11" s="5">
        <v>132167</v>
      </c>
      <c r="T11" s="5">
        <v>838964</v>
      </c>
      <c r="U11" s="5">
        <v>106378</v>
      </c>
      <c r="V11" s="5">
        <v>93890</v>
      </c>
    </row>
    <row r="12" spans="1:24" x14ac:dyDescent="0.25">
      <c r="A12" s="3" t="s">
        <v>28</v>
      </c>
      <c r="B12" s="4">
        <v>164.3</v>
      </c>
      <c r="C12" s="4">
        <v>2269.1999999999998</v>
      </c>
      <c r="D12" s="4">
        <v>16106.8</v>
      </c>
      <c r="E12" s="4">
        <v>1561.6</v>
      </c>
      <c r="F12" s="4">
        <v>831.2</v>
      </c>
      <c r="G12" s="4">
        <v>0</v>
      </c>
      <c r="H12" s="4"/>
      <c r="I12" s="4"/>
      <c r="J12" s="4">
        <v>20933.099999999999</v>
      </c>
      <c r="P12" s="5" t="s">
        <v>28</v>
      </c>
      <c r="Q12" s="5">
        <v>0</v>
      </c>
      <c r="R12" s="5">
        <v>164.3</v>
      </c>
      <c r="S12" s="5">
        <v>2269.1999999999998</v>
      </c>
      <c r="T12" s="5">
        <v>16106.8</v>
      </c>
      <c r="U12" s="5">
        <v>1561.6</v>
      </c>
      <c r="V12" s="5">
        <v>831.2</v>
      </c>
    </row>
    <row r="13" spans="1:24" x14ac:dyDescent="0.25">
      <c r="A13" s="3" t="s">
        <v>38</v>
      </c>
      <c r="B13" s="4">
        <v>0</v>
      </c>
      <c r="C13" s="4">
        <v>100</v>
      </c>
      <c r="D13" s="4">
        <v>100</v>
      </c>
      <c r="E13" s="4">
        <v>35.81</v>
      </c>
      <c r="F13" s="4">
        <v>0</v>
      </c>
      <c r="G13" s="4">
        <v>0</v>
      </c>
      <c r="H13" s="4"/>
      <c r="I13" s="4"/>
      <c r="J13" s="4">
        <v>235.81</v>
      </c>
      <c r="P13" s="5" t="s">
        <v>38</v>
      </c>
      <c r="Q13" s="5">
        <v>0</v>
      </c>
      <c r="R13" s="5">
        <v>0</v>
      </c>
      <c r="S13" s="5">
        <v>100</v>
      </c>
      <c r="T13" s="5">
        <v>100</v>
      </c>
      <c r="U13" s="5">
        <v>35.81</v>
      </c>
      <c r="V13" s="5">
        <v>0</v>
      </c>
    </row>
    <row r="14" spans="1:24" x14ac:dyDescent="0.25">
      <c r="A14" s="3" t="s">
        <v>22</v>
      </c>
      <c r="B14" s="4">
        <v>0</v>
      </c>
      <c r="C14" s="4">
        <v>4.46</v>
      </c>
      <c r="D14" s="4">
        <v>100</v>
      </c>
      <c r="E14" s="4">
        <v>6.95</v>
      </c>
      <c r="F14" s="4">
        <v>0</v>
      </c>
      <c r="G14" s="4">
        <v>0</v>
      </c>
      <c r="H14" s="4"/>
      <c r="I14" s="4"/>
      <c r="J14" s="4">
        <v>111.41</v>
      </c>
      <c r="P14" s="5" t="s">
        <v>22</v>
      </c>
      <c r="Q14" s="5">
        <v>0</v>
      </c>
      <c r="R14" s="5">
        <v>0</v>
      </c>
      <c r="S14" s="5">
        <v>4.46</v>
      </c>
      <c r="T14" s="5">
        <v>100</v>
      </c>
      <c r="U14" s="5">
        <v>6.95</v>
      </c>
      <c r="V14" s="5">
        <v>0</v>
      </c>
    </row>
    <row r="15" spans="1:24" x14ac:dyDescent="0.25">
      <c r="A15" s="3" t="s">
        <v>24</v>
      </c>
      <c r="B15" s="4">
        <v>98</v>
      </c>
      <c r="C15" s="4">
        <v>100</v>
      </c>
      <c r="D15" s="4">
        <v>100</v>
      </c>
      <c r="E15" s="4">
        <v>95.7</v>
      </c>
      <c r="F15" s="4">
        <v>100</v>
      </c>
      <c r="G15" s="4">
        <v>0</v>
      </c>
      <c r="H15" s="4"/>
      <c r="I15" s="4">
        <v>792854</v>
      </c>
      <c r="J15" s="4">
        <v>793347.7</v>
      </c>
      <c r="P15" s="5" t="s">
        <v>24</v>
      </c>
      <c r="Q15" s="5">
        <v>0</v>
      </c>
      <c r="R15" s="5">
        <v>98</v>
      </c>
      <c r="S15" s="5">
        <v>100</v>
      </c>
      <c r="T15" s="5">
        <v>100</v>
      </c>
      <c r="U15" s="5">
        <v>95.7</v>
      </c>
      <c r="V15" s="5">
        <v>100</v>
      </c>
      <c r="X15">
        <v>792854</v>
      </c>
    </row>
    <row r="16" spans="1:24" x14ac:dyDescent="0.25">
      <c r="A16" s="3" t="s">
        <v>36</v>
      </c>
      <c r="B16" s="4">
        <v>0</v>
      </c>
      <c r="C16" s="4">
        <v>0</v>
      </c>
      <c r="D16" s="4">
        <v>100</v>
      </c>
      <c r="E16" s="4">
        <v>2.903</v>
      </c>
      <c r="F16" s="4">
        <v>0</v>
      </c>
      <c r="G16" s="4">
        <v>0</v>
      </c>
      <c r="H16" s="4"/>
      <c r="I16" s="4"/>
      <c r="J16" s="4">
        <v>102.90300000000001</v>
      </c>
      <c r="P16" s="5" t="s">
        <v>36</v>
      </c>
      <c r="Q16" s="5">
        <v>0</v>
      </c>
      <c r="R16" s="5">
        <v>0</v>
      </c>
      <c r="S16" s="5">
        <v>0</v>
      </c>
      <c r="T16" s="5">
        <v>100</v>
      </c>
      <c r="U16" s="5">
        <v>2.903</v>
      </c>
      <c r="V16" s="5">
        <v>0</v>
      </c>
    </row>
    <row r="17" spans="1:24" x14ac:dyDescent="0.25">
      <c r="A17" s="3" t="s">
        <v>23</v>
      </c>
      <c r="B17" s="4">
        <v>0</v>
      </c>
      <c r="C17" s="4">
        <v>2.4</v>
      </c>
      <c r="D17" s="4">
        <v>100</v>
      </c>
      <c r="E17" s="4">
        <v>3.2530000000000001</v>
      </c>
      <c r="F17" s="4">
        <v>0</v>
      </c>
      <c r="G17" s="4">
        <v>0</v>
      </c>
      <c r="H17" s="4"/>
      <c r="I17" s="4"/>
      <c r="J17" s="4">
        <v>105.65300000000001</v>
      </c>
      <c r="P17" s="5" t="s">
        <v>23</v>
      </c>
      <c r="Q17" s="5">
        <v>0</v>
      </c>
      <c r="R17" s="5">
        <v>0</v>
      </c>
      <c r="S17" s="5">
        <v>2.4</v>
      </c>
      <c r="T17" s="5">
        <v>100</v>
      </c>
      <c r="U17" s="5">
        <v>3.2530000000000001</v>
      </c>
      <c r="V17" s="5">
        <v>0</v>
      </c>
    </row>
    <row r="18" spans="1:24" x14ac:dyDescent="0.25">
      <c r="A18" s="3" t="s">
        <v>34</v>
      </c>
      <c r="B18" s="4">
        <v>26.59</v>
      </c>
      <c r="C18" s="4">
        <v>78.55</v>
      </c>
      <c r="D18" s="4">
        <v>100</v>
      </c>
      <c r="E18" s="4">
        <v>51.62</v>
      </c>
      <c r="F18" s="4">
        <v>53.9</v>
      </c>
      <c r="G18" s="4">
        <v>0</v>
      </c>
      <c r="H18" s="4"/>
      <c r="I18" s="4"/>
      <c r="J18" s="4">
        <v>310.65999999999997</v>
      </c>
      <c r="P18" s="5" t="s">
        <v>34</v>
      </c>
      <c r="Q18" s="5">
        <v>0</v>
      </c>
      <c r="R18" s="5">
        <v>26.59</v>
      </c>
      <c r="S18" s="5">
        <v>78.55</v>
      </c>
      <c r="T18" s="5">
        <v>100</v>
      </c>
      <c r="U18" s="5">
        <v>51.62</v>
      </c>
      <c r="V18" s="5">
        <v>53.9</v>
      </c>
    </row>
    <row r="19" spans="1:24" x14ac:dyDescent="0.25">
      <c r="A19" s="3" t="s">
        <v>37</v>
      </c>
      <c r="B19" s="4">
        <v>0</v>
      </c>
      <c r="C19" s="4">
        <v>67.099999999999994</v>
      </c>
      <c r="D19" s="4">
        <v>100</v>
      </c>
      <c r="E19" s="4">
        <v>36.299999999999997</v>
      </c>
      <c r="F19" s="4">
        <v>27.4</v>
      </c>
      <c r="G19" s="4">
        <v>0</v>
      </c>
      <c r="H19" s="4"/>
      <c r="I19" s="4">
        <v>1095941</v>
      </c>
      <c r="J19" s="4">
        <v>1096171.8</v>
      </c>
      <c r="P19" s="5" t="s">
        <v>37</v>
      </c>
      <c r="Q19" s="5">
        <v>0</v>
      </c>
      <c r="R19" s="5">
        <v>0</v>
      </c>
      <c r="S19" s="5">
        <v>67.099999999999994</v>
      </c>
      <c r="T19" s="5">
        <v>100</v>
      </c>
      <c r="U19" s="5">
        <v>36.299999999999997</v>
      </c>
      <c r="V19" s="5">
        <v>27.4</v>
      </c>
      <c r="X19">
        <v>1095941</v>
      </c>
    </row>
    <row r="20" spans="1:24" x14ac:dyDescent="0.25">
      <c r="A20" s="3" t="s">
        <v>27</v>
      </c>
      <c r="B20" s="4">
        <v>55.87</v>
      </c>
      <c r="C20" s="4">
        <v>262.25</v>
      </c>
      <c r="D20" s="4">
        <v>825</v>
      </c>
      <c r="E20" s="4">
        <v>162.78</v>
      </c>
      <c r="F20" s="4">
        <v>155.5</v>
      </c>
      <c r="G20" s="4">
        <v>-323.75</v>
      </c>
      <c r="H20" s="4"/>
      <c r="I20" s="4"/>
      <c r="J20" s="4">
        <v>1137.6499999999999</v>
      </c>
      <c r="P20" s="5" t="s">
        <v>27</v>
      </c>
      <c r="Q20" s="5">
        <v>-323.75</v>
      </c>
      <c r="R20" s="5">
        <v>55.87</v>
      </c>
      <c r="S20" s="5">
        <v>262.25</v>
      </c>
      <c r="T20" s="5">
        <v>825</v>
      </c>
      <c r="U20" s="5">
        <v>162.78</v>
      </c>
      <c r="V20" s="5">
        <v>155.5</v>
      </c>
    </row>
    <row r="21" spans="1:24" x14ac:dyDescent="0.25">
      <c r="A21" s="3" t="s">
        <v>33</v>
      </c>
      <c r="B21" s="4">
        <v>27.31</v>
      </c>
      <c r="C21" s="4">
        <v>69.5</v>
      </c>
      <c r="D21" s="4">
        <v>99.71</v>
      </c>
      <c r="E21" s="4">
        <v>48.07</v>
      </c>
      <c r="F21" s="4">
        <v>46.63</v>
      </c>
      <c r="G21" s="4">
        <v>2.06</v>
      </c>
      <c r="H21" s="4"/>
      <c r="I21" s="4"/>
      <c r="J21" s="4">
        <v>293.27999999999997</v>
      </c>
      <c r="P21" s="5" t="s">
        <v>33</v>
      </c>
      <c r="Q21" s="5">
        <v>2.06</v>
      </c>
      <c r="R21" s="5">
        <v>27.31</v>
      </c>
      <c r="S21" s="5">
        <v>69.5</v>
      </c>
      <c r="T21" s="5">
        <v>99.71</v>
      </c>
      <c r="U21" s="5">
        <v>48.07</v>
      </c>
      <c r="V21" s="5">
        <v>46.63</v>
      </c>
    </row>
    <row r="22" spans="1:24" x14ac:dyDescent="0.25">
      <c r="A22" s="3" t="s">
        <v>21</v>
      </c>
      <c r="B22" s="4">
        <v>89.38</v>
      </c>
      <c r="C22" s="4">
        <v>100</v>
      </c>
      <c r="D22" s="4">
        <v>100</v>
      </c>
      <c r="E22" s="4">
        <v>89.8</v>
      </c>
      <c r="F22" s="4">
        <v>100</v>
      </c>
      <c r="G22" s="4">
        <v>0</v>
      </c>
      <c r="H22" s="4"/>
      <c r="I22" s="4"/>
      <c r="J22" s="4">
        <v>479.18</v>
      </c>
      <c r="P22" s="5" t="s">
        <v>21</v>
      </c>
      <c r="Q22" s="5">
        <v>0</v>
      </c>
      <c r="R22" s="5">
        <v>89.38</v>
      </c>
      <c r="S22" s="5">
        <v>100</v>
      </c>
      <c r="T22" s="5">
        <v>100</v>
      </c>
      <c r="U22" s="5">
        <v>89.8</v>
      </c>
      <c r="V22" s="5">
        <v>100</v>
      </c>
    </row>
    <row r="23" spans="1:24" x14ac:dyDescent="0.25">
      <c r="A23" s="3" t="s">
        <v>35</v>
      </c>
      <c r="B23" s="4">
        <v>91.39</v>
      </c>
      <c r="C23" s="4">
        <v>100</v>
      </c>
      <c r="D23" s="4">
        <v>100</v>
      </c>
      <c r="E23" s="4">
        <v>90.86</v>
      </c>
      <c r="F23" s="4">
        <v>100</v>
      </c>
      <c r="G23" s="4">
        <v>0</v>
      </c>
      <c r="H23" s="4"/>
      <c r="I23" s="4"/>
      <c r="J23" s="4">
        <v>482.25</v>
      </c>
      <c r="P23" s="5" t="s">
        <v>35</v>
      </c>
      <c r="Q23" s="5">
        <v>0</v>
      </c>
      <c r="R23" s="5">
        <v>91.39</v>
      </c>
      <c r="S23" s="5">
        <v>100</v>
      </c>
      <c r="T23" s="5">
        <v>100</v>
      </c>
      <c r="U23" s="5">
        <v>90.86</v>
      </c>
      <c r="V23" s="5">
        <v>100</v>
      </c>
    </row>
    <row r="24" spans="1:24" x14ac:dyDescent="0.25">
      <c r="A24" s="3" t="s">
        <v>6</v>
      </c>
      <c r="B24" s="4">
        <v>107.49</v>
      </c>
      <c r="C24" s="4">
        <v>428.96</v>
      </c>
      <c r="D24" s="4">
        <v>830.36</v>
      </c>
      <c r="E24" s="4">
        <v>280.24</v>
      </c>
      <c r="F24" s="4">
        <v>136.05000000000001</v>
      </c>
      <c r="G24" s="4">
        <v>18.489999999999998</v>
      </c>
      <c r="H24" s="4"/>
      <c r="I24" s="4"/>
      <c r="J24" s="4">
        <v>1801.59</v>
      </c>
      <c r="P24" s="5" t="s">
        <v>6</v>
      </c>
      <c r="Q24" s="5">
        <v>18.489999999999998</v>
      </c>
      <c r="R24" s="5">
        <v>107.49</v>
      </c>
      <c r="S24" s="5">
        <v>428.96</v>
      </c>
      <c r="T24" s="5">
        <v>830.36</v>
      </c>
      <c r="U24" s="5">
        <v>280.24</v>
      </c>
      <c r="V24" s="5">
        <v>136.05000000000001</v>
      </c>
    </row>
    <row r="25" spans="1:24" x14ac:dyDescent="0.25">
      <c r="A25" s="3" t="s">
        <v>47</v>
      </c>
      <c r="B25" s="4">
        <v>251316.51001099998</v>
      </c>
      <c r="C25" s="4">
        <v>2791673.4735489995</v>
      </c>
      <c r="D25" s="4">
        <v>4342859217.6999998</v>
      </c>
      <c r="E25" s="4">
        <v>5575701.4972120002</v>
      </c>
      <c r="F25" s="4">
        <v>874787.69026700011</v>
      </c>
      <c r="G25" s="4">
        <v>510.81</v>
      </c>
      <c r="H25" s="4"/>
      <c r="I25" s="4">
        <v>2681649</v>
      </c>
      <c r="J25" s="4">
        <v>4355034856.6810389</v>
      </c>
    </row>
    <row r="30" spans="1:24" x14ac:dyDescent="0.25">
      <c r="P30" t="s">
        <v>50</v>
      </c>
    </row>
    <row r="31" spans="1:24" x14ac:dyDescent="0.25">
      <c r="P31" s="5" t="s">
        <v>46</v>
      </c>
      <c r="Q31" s="5" t="s">
        <v>9</v>
      </c>
      <c r="R31" s="5" t="s">
        <v>2</v>
      </c>
      <c r="S31" s="5" t="s">
        <v>3</v>
      </c>
      <c r="T31" s="5" t="s">
        <v>13</v>
      </c>
      <c r="U31" s="5" t="s">
        <v>12</v>
      </c>
      <c r="V31" s="5" t="s">
        <v>11</v>
      </c>
    </row>
    <row r="32" spans="1:24" x14ac:dyDescent="0.25">
      <c r="P32" s="5" t="s">
        <v>20</v>
      </c>
      <c r="Q32" s="5">
        <v>144</v>
      </c>
      <c r="R32" s="5">
        <v>186700</v>
      </c>
      <c r="S32" s="5">
        <v>2626000</v>
      </c>
      <c r="T32" s="5">
        <v>4342000000</v>
      </c>
      <c r="U32" s="5">
        <v>5445000</v>
      </c>
      <c r="V32" s="5">
        <v>769900</v>
      </c>
    </row>
    <row r="33" spans="16:22" x14ac:dyDescent="0.25">
      <c r="P33" s="5" t="s">
        <v>31</v>
      </c>
      <c r="Q33" s="5">
        <v>0.08</v>
      </c>
      <c r="R33" s="5">
        <v>34.340000000000003</v>
      </c>
      <c r="S33" s="5">
        <v>64.069999999999993</v>
      </c>
      <c r="T33" s="5">
        <v>207.83</v>
      </c>
      <c r="U33" s="5">
        <v>49.71</v>
      </c>
      <c r="V33" s="5">
        <v>48.63</v>
      </c>
    </row>
    <row r="34" spans="16:22" x14ac:dyDescent="0.25">
      <c r="P34" s="5" t="s">
        <v>32</v>
      </c>
      <c r="Q34" s="5">
        <v>464</v>
      </c>
      <c r="R34" s="5">
        <v>698</v>
      </c>
      <c r="S34" s="5">
        <v>731</v>
      </c>
      <c r="T34" s="5">
        <v>822</v>
      </c>
      <c r="U34" s="5">
        <v>711.6</v>
      </c>
      <c r="V34" s="5">
        <v>710</v>
      </c>
    </row>
    <row r="35" spans="16:22" x14ac:dyDescent="0.25">
      <c r="P35" s="5" t="s">
        <v>39</v>
      </c>
      <c r="Q35" s="5">
        <v>0</v>
      </c>
      <c r="R35" s="5">
        <v>1.1E-5</v>
      </c>
      <c r="S35" s="5">
        <v>3.5490000000000001E-3</v>
      </c>
      <c r="T35" s="5">
        <v>1</v>
      </c>
      <c r="U35" s="5">
        <v>2.1309000000000002E-2</v>
      </c>
      <c r="V35" s="5">
        <v>2.6699999999999998E-4</v>
      </c>
    </row>
    <row r="36" spans="16:22" x14ac:dyDescent="0.25">
      <c r="P36" s="5" t="s">
        <v>29</v>
      </c>
      <c r="Q36" s="5">
        <v>1</v>
      </c>
      <c r="R36" s="5">
        <v>38</v>
      </c>
      <c r="S36" s="5">
        <v>122</v>
      </c>
      <c r="T36" s="5">
        <v>359</v>
      </c>
      <c r="U36" s="5">
        <v>85.73</v>
      </c>
      <c r="V36" s="5">
        <v>75</v>
      </c>
    </row>
    <row r="37" spans="16:22" x14ac:dyDescent="0.25">
      <c r="P37" s="5" t="s">
        <v>26</v>
      </c>
      <c r="Q37" s="5">
        <v>0</v>
      </c>
      <c r="R37" s="5">
        <v>0</v>
      </c>
      <c r="S37" s="5">
        <v>1.39</v>
      </c>
      <c r="T37" s="5">
        <v>100</v>
      </c>
      <c r="U37" s="5">
        <v>2.2909999999999999</v>
      </c>
      <c r="V37" s="5">
        <v>0</v>
      </c>
    </row>
    <row r="38" spans="16:22" x14ac:dyDescent="0.25">
      <c r="P38" s="5" t="s">
        <v>30</v>
      </c>
      <c r="Q38" s="5">
        <v>287.39999999999998</v>
      </c>
      <c r="R38" s="5">
        <v>62132.1</v>
      </c>
      <c r="S38" s="5">
        <v>131902.9</v>
      </c>
      <c r="T38" s="5">
        <v>838963.9</v>
      </c>
      <c r="U38" s="5">
        <v>106295.9</v>
      </c>
      <c r="V38" s="5">
        <v>93690.4</v>
      </c>
    </row>
    <row r="39" spans="16:22" x14ac:dyDescent="0.25">
      <c r="P39" s="5" t="s">
        <v>28</v>
      </c>
      <c r="Q39" s="5">
        <v>0</v>
      </c>
      <c r="R39" s="5">
        <v>213.4</v>
      </c>
      <c r="S39" s="5">
        <v>2357.1</v>
      </c>
      <c r="T39" s="5">
        <v>17354.400000000001</v>
      </c>
      <c r="U39" s="5">
        <v>1629.4</v>
      </c>
      <c r="V39" s="5">
        <v>907.4</v>
      </c>
    </row>
    <row r="40" spans="16:22" x14ac:dyDescent="0.25">
      <c r="P40" s="5" t="s">
        <v>38</v>
      </c>
      <c r="Q40" s="5">
        <v>0</v>
      </c>
      <c r="R40" s="5">
        <v>0</v>
      </c>
      <c r="S40" s="5">
        <v>100</v>
      </c>
      <c r="T40" s="5">
        <v>100</v>
      </c>
      <c r="U40" s="5">
        <v>35.61</v>
      </c>
      <c r="V40" s="5">
        <v>0</v>
      </c>
    </row>
    <row r="41" spans="16:22" x14ac:dyDescent="0.25">
      <c r="P41" s="5" t="s">
        <v>22</v>
      </c>
      <c r="Q41" s="5">
        <v>0</v>
      </c>
      <c r="R41" s="5">
        <v>0</v>
      </c>
      <c r="S41" s="5">
        <v>0</v>
      </c>
      <c r="T41" s="5">
        <v>100</v>
      </c>
      <c r="U41" s="5">
        <v>2.6040000000000001</v>
      </c>
      <c r="V41" s="5">
        <v>0</v>
      </c>
    </row>
    <row r="42" spans="16:22" x14ac:dyDescent="0.25">
      <c r="P42" s="5" t="s">
        <v>24</v>
      </c>
      <c r="Q42" s="5">
        <v>0</v>
      </c>
      <c r="R42" s="5">
        <v>98.61</v>
      </c>
      <c r="S42" s="5">
        <v>100</v>
      </c>
      <c r="T42" s="5">
        <v>100</v>
      </c>
      <c r="U42" s="5">
        <v>97.71</v>
      </c>
      <c r="V42" s="5">
        <v>100</v>
      </c>
    </row>
    <row r="43" spans="16:22" x14ac:dyDescent="0.25">
      <c r="P43" s="5" t="s">
        <v>36</v>
      </c>
      <c r="Q43" s="5">
        <v>0</v>
      </c>
      <c r="R43" s="5">
        <v>0</v>
      </c>
      <c r="S43" s="5">
        <v>0</v>
      </c>
      <c r="T43" s="5">
        <v>100</v>
      </c>
      <c r="U43" s="5">
        <v>2.879</v>
      </c>
      <c r="V43" s="5">
        <v>0</v>
      </c>
    </row>
    <row r="44" spans="16:22" x14ac:dyDescent="0.25">
      <c r="P44" s="5" t="s">
        <v>23</v>
      </c>
      <c r="Q44" s="5">
        <v>0</v>
      </c>
      <c r="R44" s="5">
        <v>0</v>
      </c>
      <c r="S44" s="5">
        <v>0</v>
      </c>
      <c r="T44" s="5">
        <v>100</v>
      </c>
      <c r="U44" s="5">
        <v>5.7069999999999999</v>
      </c>
      <c r="V44" s="5">
        <v>0</v>
      </c>
    </row>
    <row r="45" spans="16:22" x14ac:dyDescent="0.25">
      <c r="P45" s="5" t="s">
        <v>34</v>
      </c>
      <c r="Q45" s="5">
        <v>0</v>
      </c>
      <c r="R45" s="5">
        <v>0</v>
      </c>
      <c r="S45" s="5">
        <v>69.97</v>
      </c>
      <c r="T45" s="5">
        <v>100</v>
      </c>
      <c r="U45" s="5">
        <v>37.49</v>
      </c>
      <c r="V45" s="5">
        <v>33.6</v>
      </c>
    </row>
    <row r="46" spans="16:22" x14ac:dyDescent="0.25">
      <c r="P46" s="5" t="s">
        <v>37</v>
      </c>
      <c r="Q46" s="5">
        <v>0</v>
      </c>
      <c r="R46" s="5">
        <v>0</v>
      </c>
      <c r="S46" s="5">
        <v>0</v>
      </c>
      <c r="T46" s="5">
        <v>100</v>
      </c>
      <c r="U46" s="5">
        <v>3.258</v>
      </c>
      <c r="V46" s="5">
        <v>0</v>
      </c>
    </row>
    <row r="47" spans="16:22" x14ac:dyDescent="0.25">
      <c r="P47" s="5" t="s">
        <v>27</v>
      </c>
      <c r="Q47" s="5">
        <v>-301.75</v>
      </c>
      <c r="R47" s="5">
        <v>62.54</v>
      </c>
      <c r="S47" s="5">
        <v>261.05</v>
      </c>
      <c r="T47" s="5">
        <v>819</v>
      </c>
      <c r="U47" s="5">
        <v>165.78</v>
      </c>
      <c r="V47" s="5">
        <v>158.94999999999999</v>
      </c>
    </row>
    <row r="48" spans="16:22" x14ac:dyDescent="0.25">
      <c r="P48" s="5" t="s">
        <v>33</v>
      </c>
      <c r="Q48" s="5">
        <v>4.0099999999999997E-3</v>
      </c>
      <c r="R48" s="5">
        <v>24.211649999999999</v>
      </c>
      <c r="S48" s="5">
        <v>65.612039999999993</v>
      </c>
      <c r="T48" s="5">
        <v>91.958219999999997</v>
      </c>
      <c r="U48" s="5">
        <v>46.299959999999999</v>
      </c>
      <c r="V48" s="5">
        <v>45.13644</v>
      </c>
    </row>
    <row r="49" spans="16:22" x14ac:dyDescent="0.25">
      <c r="P49" s="5" t="s">
        <v>21</v>
      </c>
      <c r="Q49" s="5">
        <v>0</v>
      </c>
      <c r="R49" s="5">
        <v>92.38</v>
      </c>
      <c r="S49" s="5">
        <v>100</v>
      </c>
      <c r="T49" s="5">
        <v>100</v>
      </c>
      <c r="U49" s="5">
        <v>91.69</v>
      </c>
      <c r="V49" s="5">
        <v>100</v>
      </c>
    </row>
    <row r="50" spans="16:22" x14ac:dyDescent="0.25">
      <c r="P50" s="5" t="s">
        <v>35</v>
      </c>
      <c r="Q50" s="5">
        <v>0</v>
      </c>
      <c r="R50" s="5">
        <v>100</v>
      </c>
      <c r="S50" s="5">
        <v>100</v>
      </c>
      <c r="T50" s="5">
        <v>100</v>
      </c>
      <c r="U50" s="5">
        <v>99.11</v>
      </c>
      <c r="V50" s="5">
        <v>100</v>
      </c>
    </row>
    <row r="51" spans="16:22" x14ac:dyDescent="0.25">
      <c r="P51" s="5" t="s">
        <v>6</v>
      </c>
      <c r="Q51" s="5">
        <v>18.489999999999998</v>
      </c>
      <c r="R51" s="5">
        <v>107.49</v>
      </c>
      <c r="S51" s="5">
        <v>428.96</v>
      </c>
      <c r="T51" s="5">
        <v>830.36</v>
      </c>
      <c r="U51" s="5">
        <v>280.24</v>
      </c>
      <c r="V51" s="5">
        <v>136.05000000000001</v>
      </c>
    </row>
    <row r="55" spans="16:22" x14ac:dyDescent="0.25">
      <c r="P55" t="s">
        <v>52</v>
      </c>
    </row>
    <row r="56" spans="16:22" x14ac:dyDescent="0.25">
      <c r="P56" s="7" t="s">
        <v>46</v>
      </c>
      <c r="Q56" s="7" t="s">
        <v>9</v>
      </c>
      <c r="R56" s="7" t="s">
        <v>2</v>
      </c>
      <c r="S56" s="7" t="s">
        <v>3</v>
      </c>
      <c r="T56" s="7" t="s">
        <v>13</v>
      </c>
      <c r="U56" s="8" t="s">
        <v>12</v>
      </c>
      <c r="V56" s="8" t="s">
        <v>11</v>
      </c>
    </row>
    <row r="57" spans="16:22" x14ac:dyDescent="0.25">
      <c r="P57" s="7" t="s">
        <v>20</v>
      </c>
      <c r="Q57" s="6">
        <f>IF(Q32=0,0,(Q5-Q32)/Q32)</f>
        <v>-0.15277777777777779</v>
      </c>
      <c r="R57" s="6">
        <f>IF(R32=0,0,(R5-R32)/R32)</f>
        <v>5.3561863952865559E-3</v>
      </c>
      <c r="S57" s="6">
        <f t="shared" ref="S57:V57" si="0">IF(S32=0,0,(S5-S32)/S32)</f>
        <v>1.1043412033511044E-2</v>
      </c>
      <c r="T57" s="6">
        <f t="shared" si="0"/>
        <v>0</v>
      </c>
      <c r="U57" s="10">
        <f t="shared" si="0"/>
        <v>3.856749311294766E-3</v>
      </c>
      <c r="V57" s="10">
        <f t="shared" si="0"/>
        <v>1.1170281854786336E-2</v>
      </c>
    </row>
    <row r="58" spans="16:22" x14ac:dyDescent="0.25">
      <c r="P58" s="7" t="s">
        <v>31</v>
      </c>
      <c r="Q58" s="6">
        <f>IF(Q33=0,0,(Q6-Q33)/Q33)</f>
        <v>-0.87500000000000011</v>
      </c>
      <c r="R58" s="6">
        <f t="shared" ref="R58:V76" si="1">IF(R33=0,0,(R6-R33)/R33)</f>
        <v>0.11182294700058229</v>
      </c>
      <c r="S58" s="6">
        <f t="shared" si="1"/>
        <v>6.2119556734821356E-2</v>
      </c>
      <c r="T58" s="6">
        <f t="shared" si="1"/>
        <v>0</v>
      </c>
      <c r="U58" s="10">
        <f t="shared" si="1"/>
        <v>7.2822369744518153E-2</v>
      </c>
      <c r="V58" s="11">
        <f t="shared" si="1"/>
        <v>0.11063129755295076</v>
      </c>
    </row>
    <row r="59" spans="16:22" x14ac:dyDescent="0.25">
      <c r="P59" s="7" t="s">
        <v>32</v>
      </c>
      <c r="Q59" s="6">
        <f>IF(Q34=0,0,(Q7-Q34)/Q34)</f>
        <v>0</v>
      </c>
      <c r="R59" s="6">
        <f t="shared" si="1"/>
        <v>0</v>
      </c>
      <c r="S59" s="6">
        <f t="shared" si="1"/>
        <v>0</v>
      </c>
      <c r="T59" s="6">
        <f t="shared" si="1"/>
        <v>0</v>
      </c>
      <c r="U59" s="10">
        <f t="shared" si="1"/>
        <v>2.3889825744799489E-3</v>
      </c>
      <c r="V59" s="10">
        <f t="shared" si="1"/>
        <v>9.8591549295774655E-3</v>
      </c>
    </row>
    <row r="60" spans="16:22" x14ac:dyDescent="0.25">
      <c r="P60" s="7" t="s">
        <v>39</v>
      </c>
      <c r="Q60" s="6">
        <f>IF(Q35=0,0,(Q8-Q35)/Q35)</f>
        <v>0</v>
      </c>
      <c r="R60" s="6">
        <f t="shared" si="1"/>
        <v>0</v>
      </c>
      <c r="S60" s="6">
        <f t="shared" si="1"/>
        <v>0</v>
      </c>
      <c r="T60" s="6">
        <f t="shared" si="1"/>
        <v>0</v>
      </c>
      <c r="U60" s="10">
        <f t="shared" si="1"/>
        <v>-4.5520672016518774E-3</v>
      </c>
      <c r="V60" s="10">
        <f t="shared" si="1"/>
        <v>0</v>
      </c>
    </row>
    <row r="61" spans="16:22" x14ac:dyDescent="0.25">
      <c r="P61" s="7" t="s">
        <v>29</v>
      </c>
      <c r="Q61" s="6">
        <f>IF(Q36=0,0,(Q9-Q36)/Q36)</f>
        <v>0</v>
      </c>
      <c r="R61" s="6">
        <f t="shared" si="1"/>
        <v>0</v>
      </c>
      <c r="S61" s="6">
        <f t="shared" si="1"/>
        <v>8.1967213114754103E-3</v>
      </c>
      <c r="T61" s="6">
        <f t="shared" si="1"/>
        <v>5.5710306406685237E-3</v>
      </c>
      <c r="U61" s="10">
        <f t="shared" si="1"/>
        <v>1.0848011197946957E-2</v>
      </c>
      <c r="V61" s="10">
        <f t="shared" si="1"/>
        <v>1.3333333333333334E-2</v>
      </c>
    </row>
    <row r="62" spans="16:22" x14ac:dyDescent="0.25">
      <c r="P62" s="7" t="s">
        <v>26</v>
      </c>
      <c r="Q62" s="6">
        <f>IF(Q37=0,0,(Q10-Q37)/Q37)</f>
        <v>0</v>
      </c>
      <c r="R62" s="6">
        <f t="shared" si="1"/>
        <v>0</v>
      </c>
      <c r="S62" s="6">
        <f t="shared" si="1"/>
        <v>0.43884892086330946</v>
      </c>
      <c r="T62" s="6">
        <f t="shared" si="1"/>
        <v>0</v>
      </c>
      <c r="U62" s="11">
        <f t="shared" si="1"/>
        <v>0.8769096464426015</v>
      </c>
      <c r="V62" s="10">
        <f t="shared" si="1"/>
        <v>0</v>
      </c>
    </row>
    <row r="63" spans="16:22" x14ac:dyDescent="0.25">
      <c r="P63" s="7" t="s">
        <v>30</v>
      </c>
      <c r="Q63" s="6">
        <f>IF(Q38=0,0,(Q11-Q38)/Q38)</f>
        <v>-0.21016005567153787</v>
      </c>
      <c r="R63" s="6">
        <f t="shared" si="1"/>
        <v>8.0312752989197941E-4</v>
      </c>
      <c r="S63" s="6">
        <f t="shared" si="1"/>
        <v>2.0022304285956249E-3</v>
      </c>
      <c r="T63" s="6">
        <f t="shared" si="1"/>
        <v>1.1919463993232239E-7</v>
      </c>
      <c r="U63" s="10">
        <f t="shared" si="1"/>
        <v>7.7237221755501221E-4</v>
      </c>
      <c r="V63" s="10">
        <f t="shared" si="1"/>
        <v>2.1304210463399219E-3</v>
      </c>
    </row>
    <row r="64" spans="16:22" x14ac:dyDescent="0.25">
      <c r="P64" s="7" t="s">
        <v>28</v>
      </c>
      <c r="Q64" s="6">
        <f>IF(Q39=0,0,(Q12-Q39)/Q39)</f>
        <v>0</v>
      </c>
      <c r="R64" s="6">
        <f t="shared" si="1"/>
        <v>-0.23008434864104965</v>
      </c>
      <c r="S64" s="6">
        <f t="shared" si="1"/>
        <v>-3.7291587119765851E-2</v>
      </c>
      <c r="T64" s="6">
        <f t="shared" si="1"/>
        <v>-7.1889549624302884E-2</v>
      </c>
      <c r="U64" s="10">
        <f t="shared" si="1"/>
        <v>-4.1610408739413393E-2</v>
      </c>
      <c r="V64" s="10">
        <f t="shared" si="1"/>
        <v>-8.3976195724046659E-2</v>
      </c>
    </row>
    <row r="65" spans="16:22" x14ac:dyDescent="0.25">
      <c r="P65" s="7" t="s">
        <v>38</v>
      </c>
      <c r="Q65" s="6">
        <f>IF(Q40=0,0,(Q13-Q40)/Q40)</f>
        <v>0</v>
      </c>
      <c r="R65" s="6">
        <f t="shared" si="1"/>
        <v>0</v>
      </c>
      <c r="S65" s="6">
        <f t="shared" si="1"/>
        <v>0</v>
      </c>
      <c r="T65" s="6">
        <f t="shared" si="1"/>
        <v>0</v>
      </c>
      <c r="U65" s="10">
        <f t="shared" si="1"/>
        <v>5.6163998876720819E-3</v>
      </c>
      <c r="V65" s="10">
        <f t="shared" si="1"/>
        <v>0</v>
      </c>
    </row>
    <row r="66" spans="16:22" x14ac:dyDescent="0.25">
      <c r="P66" s="7" t="s">
        <v>22</v>
      </c>
      <c r="Q66" s="6">
        <f>IF(Q41=0,0,(Q14-Q41)/Q41)</f>
        <v>0</v>
      </c>
      <c r="R66" s="6">
        <f t="shared" si="1"/>
        <v>0</v>
      </c>
      <c r="S66" s="6">
        <f t="shared" si="1"/>
        <v>0</v>
      </c>
      <c r="T66" s="6">
        <f t="shared" si="1"/>
        <v>0</v>
      </c>
      <c r="U66" s="11">
        <f>IF(U41=0,0,(U14-U41)/U41)</f>
        <v>1.6689708141321045</v>
      </c>
      <c r="V66" s="10">
        <f t="shared" si="1"/>
        <v>0</v>
      </c>
    </row>
    <row r="67" spans="16:22" x14ac:dyDescent="0.25">
      <c r="P67" s="7" t="s">
        <v>24</v>
      </c>
      <c r="Q67" s="6">
        <f>IF(Q42=0,0,(Q15-Q42)/Q42)</f>
        <v>0</v>
      </c>
      <c r="R67" s="6">
        <f t="shared" si="1"/>
        <v>-6.1859851941993655E-3</v>
      </c>
      <c r="S67" s="6">
        <f t="shared" si="1"/>
        <v>0</v>
      </c>
      <c r="T67" s="6">
        <f t="shared" si="1"/>
        <v>0</v>
      </c>
      <c r="U67" s="10">
        <f t="shared" si="1"/>
        <v>-2.0571077678845473E-2</v>
      </c>
      <c r="V67" s="10">
        <f t="shared" si="1"/>
        <v>0</v>
      </c>
    </row>
    <row r="68" spans="16:22" x14ac:dyDescent="0.25">
      <c r="P68" s="7" t="s">
        <v>36</v>
      </c>
      <c r="Q68" s="6">
        <f>IF(Q43=0,0,(Q16-Q43)/Q43)</f>
        <v>0</v>
      </c>
      <c r="R68" s="6">
        <f t="shared" si="1"/>
        <v>0</v>
      </c>
      <c r="S68" s="6">
        <f t="shared" si="1"/>
        <v>0</v>
      </c>
      <c r="T68" s="6">
        <f t="shared" si="1"/>
        <v>0</v>
      </c>
      <c r="U68" s="10">
        <f t="shared" si="1"/>
        <v>8.3362278568947634E-3</v>
      </c>
      <c r="V68" s="10">
        <f t="shared" si="1"/>
        <v>0</v>
      </c>
    </row>
    <row r="69" spans="16:22" x14ac:dyDescent="0.25">
      <c r="P69" s="7" t="s">
        <v>23</v>
      </c>
      <c r="Q69" s="6">
        <f>IF(Q44=0,0,(Q17-Q44)/Q44)</f>
        <v>0</v>
      </c>
      <c r="R69" s="6">
        <f t="shared" si="1"/>
        <v>0</v>
      </c>
      <c r="S69" s="6">
        <f t="shared" si="1"/>
        <v>0</v>
      </c>
      <c r="T69" s="6">
        <f t="shared" si="1"/>
        <v>0</v>
      </c>
      <c r="U69" s="11">
        <f t="shared" si="1"/>
        <v>-0.42999824776590151</v>
      </c>
      <c r="V69" s="10">
        <f t="shared" si="1"/>
        <v>0</v>
      </c>
    </row>
    <row r="70" spans="16:22" x14ac:dyDescent="0.25">
      <c r="P70" s="7" t="s">
        <v>34</v>
      </c>
      <c r="Q70" s="6">
        <f>IF(Q45=0,0,(Q18-Q45)/Q45)</f>
        <v>0</v>
      </c>
      <c r="R70" s="6">
        <f t="shared" si="1"/>
        <v>0</v>
      </c>
      <c r="S70" s="6">
        <f t="shared" si="1"/>
        <v>0.1226239817064456</v>
      </c>
      <c r="T70" s="6">
        <f t="shared" si="1"/>
        <v>0</v>
      </c>
      <c r="U70" s="11">
        <f t="shared" si="1"/>
        <v>0.3769005068018137</v>
      </c>
      <c r="V70" s="11">
        <f t="shared" si="1"/>
        <v>0.60416666666666652</v>
      </c>
    </row>
    <row r="71" spans="16:22" x14ac:dyDescent="0.25">
      <c r="P71" s="7" t="s">
        <v>37</v>
      </c>
      <c r="Q71" s="6">
        <f>IF(Q46=0,0,(Q19-Q46)/Q46)</f>
        <v>0</v>
      </c>
      <c r="R71" s="6">
        <f t="shared" si="1"/>
        <v>0</v>
      </c>
      <c r="S71" s="6">
        <f t="shared" si="1"/>
        <v>0</v>
      </c>
      <c r="T71" s="6">
        <f t="shared" si="1"/>
        <v>0</v>
      </c>
      <c r="U71" s="11">
        <f t="shared" si="1"/>
        <v>10.141804788213626</v>
      </c>
      <c r="V71" s="10">
        <f t="shared" si="1"/>
        <v>0</v>
      </c>
    </row>
    <row r="72" spans="16:22" x14ac:dyDescent="0.25">
      <c r="P72" s="7" t="s">
        <v>27</v>
      </c>
      <c r="Q72" s="6">
        <f>IF(Q47=0,0,(Q20-Q47)/Q47)</f>
        <v>7.2908036454018221E-2</v>
      </c>
      <c r="R72" s="6">
        <f t="shared" si="1"/>
        <v>-0.10665174288455391</v>
      </c>
      <c r="S72" s="6">
        <f t="shared" si="1"/>
        <v>4.5968205324650015E-3</v>
      </c>
      <c r="T72" s="6">
        <f t="shared" si="1"/>
        <v>7.326007326007326E-3</v>
      </c>
      <c r="U72" s="10">
        <f t="shared" si="1"/>
        <v>-1.8096272167933407E-2</v>
      </c>
      <c r="V72" s="10">
        <f t="shared" si="1"/>
        <v>-2.1704938659955892E-2</v>
      </c>
    </row>
    <row r="73" spans="16:22" x14ac:dyDescent="0.25">
      <c r="P73" s="7" t="s">
        <v>33</v>
      </c>
      <c r="Q73" s="6">
        <f>IF(Q48=0,0,(Q21-Q48)/Q48)</f>
        <v>512.71571072319205</v>
      </c>
      <c r="R73" s="6">
        <f t="shared" si="1"/>
        <v>0.12796938663825061</v>
      </c>
      <c r="S73" s="6">
        <f t="shared" si="1"/>
        <v>5.9256807134788175E-2</v>
      </c>
      <c r="T73" s="6">
        <f t="shared" si="1"/>
        <v>8.429675998513235E-2</v>
      </c>
      <c r="U73" s="10">
        <f t="shared" si="1"/>
        <v>3.8229838643489146E-2</v>
      </c>
      <c r="V73" s="10">
        <f t="shared" si="1"/>
        <v>3.3089893664631109E-2</v>
      </c>
    </row>
    <row r="74" spans="16:22" x14ac:dyDescent="0.25">
      <c r="P74" s="7" t="s">
        <v>21</v>
      </c>
      <c r="Q74" s="6">
        <f>IF(Q49=0,0,(Q22-Q49)/Q49)</f>
        <v>0</v>
      </c>
      <c r="R74" s="6">
        <f t="shared" si="1"/>
        <v>-3.2474561593418494E-2</v>
      </c>
      <c r="S74" s="6">
        <f t="shared" si="1"/>
        <v>0</v>
      </c>
      <c r="T74" s="6">
        <f t="shared" si="1"/>
        <v>0</v>
      </c>
      <c r="U74" s="10">
        <f t="shared" si="1"/>
        <v>-2.0612934889300914E-2</v>
      </c>
      <c r="V74" s="10">
        <f t="shared" si="1"/>
        <v>0</v>
      </c>
    </row>
    <row r="75" spans="16:22" x14ac:dyDescent="0.25">
      <c r="P75" s="7" t="s">
        <v>35</v>
      </c>
      <c r="Q75" s="6">
        <f>IF(Q50=0,0,(Q23-Q50)/Q50)</f>
        <v>0</v>
      </c>
      <c r="R75" s="6">
        <f t="shared" si="1"/>
        <v>-8.6099999999999996E-2</v>
      </c>
      <c r="S75" s="6">
        <f t="shared" si="1"/>
        <v>0</v>
      </c>
      <c r="T75" s="6">
        <f t="shared" si="1"/>
        <v>0</v>
      </c>
      <c r="U75" s="10">
        <f t="shared" si="1"/>
        <v>-8.324084350721421E-2</v>
      </c>
      <c r="V75" s="10">
        <f t="shared" si="1"/>
        <v>0</v>
      </c>
    </row>
    <row r="76" spans="16:22" x14ac:dyDescent="0.25">
      <c r="P76" s="7" t="s">
        <v>6</v>
      </c>
      <c r="Q76" s="6">
        <f>IF(Q51=0,0,(Q24-Q51)/Q51)</f>
        <v>0</v>
      </c>
      <c r="R76" s="6">
        <f t="shared" si="1"/>
        <v>0</v>
      </c>
      <c r="S76" s="6">
        <f t="shared" si="1"/>
        <v>0</v>
      </c>
      <c r="T76" s="6">
        <f t="shared" si="1"/>
        <v>0</v>
      </c>
      <c r="U76" s="10">
        <f t="shared" si="1"/>
        <v>0</v>
      </c>
      <c r="V76" s="10">
        <f t="shared" si="1"/>
        <v>0</v>
      </c>
    </row>
    <row r="77" spans="16:22" x14ac:dyDescent="0.25">
      <c r="P77" s="9"/>
      <c r="Q77" s="9"/>
      <c r="R77" s="9"/>
      <c r="S77" s="9"/>
      <c r="T77" s="9"/>
      <c r="U77" s="9"/>
      <c r="V77" s="9"/>
    </row>
  </sheetData>
  <pageMargins left="0.7" right="0.7" top="0.75" bottom="0.75" header="0.3" footer="0.3"/>
  <pageSetup scale="62"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0"/>
  <sheetViews>
    <sheetView tabSelected="1" workbookViewId="0">
      <selection activeCell="O29" sqref="O29:P29"/>
    </sheetView>
  </sheetViews>
  <sheetFormatPr defaultRowHeight="15" x14ac:dyDescent="0.25"/>
  <cols>
    <col min="2" max="2" width="7" customWidth="1"/>
  </cols>
  <sheetData>
    <row r="1" spans="1:11" x14ac:dyDescent="0.25">
      <c r="C1" t="s">
        <v>43</v>
      </c>
      <c r="D1" t="s">
        <v>44</v>
      </c>
      <c r="E1" t="s">
        <v>45</v>
      </c>
      <c r="I1" t="s">
        <v>43</v>
      </c>
      <c r="J1" t="s">
        <v>44</v>
      </c>
      <c r="K1" t="s">
        <v>45</v>
      </c>
    </row>
    <row r="2" spans="1:11" x14ac:dyDescent="0.25">
      <c r="A2">
        <v>1</v>
      </c>
      <c r="B2" t="s">
        <v>10</v>
      </c>
      <c r="C2" t="s">
        <v>8</v>
      </c>
      <c r="D2" t="s">
        <v>9</v>
      </c>
      <c r="E2">
        <v>1099918</v>
      </c>
      <c r="G2">
        <v>1</v>
      </c>
      <c r="H2" t="s">
        <v>10</v>
      </c>
      <c r="I2" t="s">
        <v>8</v>
      </c>
      <c r="J2" t="s">
        <v>9</v>
      </c>
      <c r="K2">
        <v>1099918</v>
      </c>
    </row>
    <row r="3" spans="1:11" x14ac:dyDescent="0.25">
      <c r="A3">
        <v>2</v>
      </c>
      <c r="B3" t="s">
        <v>10</v>
      </c>
      <c r="C3" t="s">
        <v>8</v>
      </c>
      <c r="D3" t="s">
        <v>2</v>
      </c>
      <c r="E3">
        <v>1212244</v>
      </c>
      <c r="G3">
        <v>2</v>
      </c>
      <c r="H3" t="s">
        <v>10</v>
      </c>
      <c r="I3" t="s">
        <v>8</v>
      </c>
      <c r="J3" t="s">
        <v>2</v>
      </c>
      <c r="K3">
        <v>1211920</v>
      </c>
    </row>
    <row r="4" spans="1:11" x14ac:dyDescent="0.25">
      <c r="A4">
        <v>3</v>
      </c>
      <c r="B4" t="s">
        <v>10</v>
      </c>
      <c r="C4" t="s">
        <v>8</v>
      </c>
      <c r="D4" t="s">
        <v>11</v>
      </c>
      <c r="E4">
        <v>1326035</v>
      </c>
      <c r="G4">
        <v>3</v>
      </c>
      <c r="H4" t="s">
        <v>10</v>
      </c>
      <c r="I4" t="s">
        <v>8</v>
      </c>
      <c r="J4" t="s">
        <v>11</v>
      </c>
      <c r="K4">
        <v>1326700</v>
      </c>
    </row>
    <row r="5" spans="1:11" x14ac:dyDescent="0.25">
      <c r="A5">
        <v>4</v>
      </c>
      <c r="B5" t="s">
        <v>10</v>
      </c>
      <c r="C5" t="s">
        <v>8</v>
      </c>
      <c r="D5" t="s">
        <v>12</v>
      </c>
      <c r="E5">
        <v>1334043</v>
      </c>
      <c r="G5">
        <v>4</v>
      </c>
      <c r="H5" t="s">
        <v>10</v>
      </c>
      <c r="I5" t="s">
        <v>8</v>
      </c>
      <c r="J5" t="s">
        <v>12</v>
      </c>
      <c r="K5">
        <v>1333618</v>
      </c>
    </row>
    <row r="6" spans="1:11" x14ac:dyDescent="0.25">
      <c r="A6">
        <v>5</v>
      </c>
      <c r="B6" t="s">
        <v>10</v>
      </c>
      <c r="C6" t="s">
        <v>8</v>
      </c>
      <c r="D6" t="s">
        <v>3</v>
      </c>
      <c r="E6">
        <v>1460991</v>
      </c>
      <c r="G6">
        <v>5</v>
      </c>
      <c r="H6" t="s">
        <v>10</v>
      </c>
      <c r="I6" t="s">
        <v>8</v>
      </c>
      <c r="J6" t="s">
        <v>3</v>
      </c>
      <c r="K6">
        <v>1460911</v>
      </c>
    </row>
    <row r="7" spans="1:11" x14ac:dyDescent="0.25">
      <c r="A7">
        <v>6</v>
      </c>
      <c r="B7" t="s">
        <v>10</v>
      </c>
      <c r="C7" t="s">
        <v>8</v>
      </c>
      <c r="D7" t="s">
        <v>13</v>
      </c>
      <c r="E7">
        <v>1666264</v>
      </c>
      <c r="G7">
        <v>6</v>
      </c>
      <c r="H7" t="s">
        <v>10</v>
      </c>
      <c r="I7" t="s">
        <v>8</v>
      </c>
      <c r="J7" t="s">
        <v>13</v>
      </c>
      <c r="K7">
        <v>1665264</v>
      </c>
    </row>
    <row r="8" spans="1:11" x14ac:dyDescent="0.25">
      <c r="A8">
        <v>7</v>
      </c>
      <c r="B8" t="s">
        <v>10</v>
      </c>
      <c r="C8" t="s">
        <v>8</v>
      </c>
      <c r="D8" t="s">
        <v>14</v>
      </c>
      <c r="G8">
        <v>7</v>
      </c>
      <c r="H8" t="s">
        <v>10</v>
      </c>
      <c r="I8" t="s">
        <v>4</v>
      </c>
      <c r="J8" t="s">
        <v>5</v>
      </c>
      <c r="K8">
        <v>1183851</v>
      </c>
    </row>
    <row r="9" spans="1:11" x14ac:dyDescent="0.25">
      <c r="A9">
        <v>8</v>
      </c>
      <c r="B9" t="s">
        <v>10</v>
      </c>
      <c r="C9" t="s">
        <v>0</v>
      </c>
      <c r="D9" t="s">
        <v>5</v>
      </c>
      <c r="E9">
        <v>1197231</v>
      </c>
      <c r="G9">
        <v>8</v>
      </c>
      <c r="H9" t="s">
        <v>10</v>
      </c>
      <c r="I9" t="s">
        <v>4</v>
      </c>
      <c r="J9" t="s">
        <v>15</v>
      </c>
      <c r="K9" t="s">
        <v>16</v>
      </c>
    </row>
    <row r="10" spans="1:11" x14ac:dyDescent="0.25">
      <c r="A10">
        <v>9</v>
      </c>
      <c r="B10" t="s">
        <v>10</v>
      </c>
      <c r="C10" t="s">
        <v>0</v>
      </c>
      <c r="D10" t="s">
        <v>15</v>
      </c>
      <c r="E10" t="s">
        <v>16</v>
      </c>
      <c r="G10">
        <v>9</v>
      </c>
      <c r="H10" t="s">
        <v>10</v>
      </c>
      <c r="I10" t="s">
        <v>4</v>
      </c>
      <c r="J10" t="s">
        <v>17</v>
      </c>
      <c r="K10" t="s">
        <v>16</v>
      </c>
    </row>
    <row r="11" spans="1:11" x14ac:dyDescent="0.25">
      <c r="A11">
        <v>10</v>
      </c>
      <c r="B11" t="s">
        <v>10</v>
      </c>
      <c r="C11" t="s">
        <v>0</v>
      </c>
      <c r="D11" t="s">
        <v>17</v>
      </c>
      <c r="E11" t="s">
        <v>16</v>
      </c>
      <c r="G11">
        <v>10</v>
      </c>
      <c r="H11" t="s">
        <v>10</v>
      </c>
      <c r="I11" t="s">
        <v>4</v>
      </c>
      <c r="J11" t="s">
        <v>14</v>
      </c>
    </row>
    <row r="12" spans="1:11" x14ac:dyDescent="0.25">
      <c r="A12">
        <v>11</v>
      </c>
      <c r="B12" t="s">
        <v>10</v>
      </c>
      <c r="C12" t="s">
        <v>0</v>
      </c>
      <c r="D12" t="s">
        <v>14</v>
      </c>
      <c r="G12">
        <v>11</v>
      </c>
      <c r="H12" t="s">
        <v>10</v>
      </c>
      <c r="I12" t="s">
        <v>4</v>
      </c>
      <c r="J12" t="s">
        <v>14</v>
      </c>
    </row>
    <row r="13" spans="1:11" x14ac:dyDescent="0.25">
      <c r="A13">
        <v>12</v>
      </c>
      <c r="B13" t="s">
        <v>10</v>
      </c>
      <c r="C13" t="s">
        <v>0</v>
      </c>
      <c r="D13" t="s">
        <v>14</v>
      </c>
      <c r="G13">
        <v>12</v>
      </c>
      <c r="H13" t="s">
        <v>10</v>
      </c>
      <c r="I13" t="s">
        <v>4</v>
      </c>
      <c r="J13" t="s">
        <v>14</v>
      </c>
    </row>
    <row r="14" spans="1:11" x14ac:dyDescent="0.25">
      <c r="A14">
        <v>13</v>
      </c>
      <c r="B14" t="s">
        <v>10</v>
      </c>
      <c r="C14" t="s">
        <v>0</v>
      </c>
      <c r="D14" t="s">
        <v>14</v>
      </c>
      <c r="G14">
        <v>13</v>
      </c>
      <c r="H14" t="s">
        <v>10</v>
      </c>
      <c r="I14" t="s">
        <v>18</v>
      </c>
      <c r="J14" t="s">
        <v>5</v>
      </c>
      <c r="K14">
        <v>1183851</v>
      </c>
    </row>
    <row r="15" spans="1:11" x14ac:dyDescent="0.25">
      <c r="A15">
        <v>14</v>
      </c>
      <c r="B15" t="s">
        <v>10</v>
      </c>
      <c r="C15" t="s">
        <v>0</v>
      </c>
      <c r="D15" t="s">
        <v>14</v>
      </c>
      <c r="G15">
        <v>14</v>
      </c>
      <c r="H15" t="s">
        <v>10</v>
      </c>
      <c r="I15" t="s">
        <v>18</v>
      </c>
      <c r="J15" t="s">
        <v>15</v>
      </c>
      <c r="K15" t="s">
        <v>16</v>
      </c>
    </row>
    <row r="16" spans="1:11" x14ac:dyDescent="0.25">
      <c r="A16">
        <v>15</v>
      </c>
      <c r="B16" t="s">
        <v>10</v>
      </c>
      <c r="C16" t="s">
        <v>18</v>
      </c>
      <c r="D16" t="s">
        <v>5</v>
      </c>
      <c r="E16">
        <v>1197231</v>
      </c>
      <c r="G16">
        <v>15</v>
      </c>
      <c r="H16" t="s">
        <v>10</v>
      </c>
      <c r="I16" t="s">
        <v>18</v>
      </c>
      <c r="J16" t="s">
        <v>17</v>
      </c>
      <c r="K16" t="s">
        <v>16</v>
      </c>
    </row>
    <row r="17" spans="1:11" x14ac:dyDescent="0.25">
      <c r="A17">
        <v>16</v>
      </c>
      <c r="B17" t="s">
        <v>10</v>
      </c>
      <c r="C17" t="s">
        <v>18</v>
      </c>
      <c r="D17" t="s">
        <v>15</v>
      </c>
      <c r="E17" t="s">
        <v>16</v>
      </c>
      <c r="G17">
        <v>16</v>
      </c>
      <c r="H17" t="s">
        <v>10</v>
      </c>
      <c r="I17" t="s">
        <v>18</v>
      </c>
      <c r="J17" t="s">
        <v>14</v>
      </c>
    </row>
    <row r="18" spans="1:11" x14ac:dyDescent="0.25">
      <c r="A18">
        <v>17</v>
      </c>
      <c r="B18" t="s">
        <v>10</v>
      </c>
      <c r="C18" t="s">
        <v>18</v>
      </c>
      <c r="D18" t="s">
        <v>17</v>
      </c>
      <c r="E18" t="s">
        <v>16</v>
      </c>
      <c r="G18">
        <v>17</v>
      </c>
      <c r="H18" t="s">
        <v>10</v>
      </c>
      <c r="I18" t="s">
        <v>18</v>
      </c>
      <c r="J18" t="s">
        <v>14</v>
      </c>
    </row>
    <row r="19" spans="1:11" x14ac:dyDescent="0.25">
      <c r="A19">
        <v>18</v>
      </c>
      <c r="B19" t="s">
        <v>10</v>
      </c>
      <c r="C19" t="s">
        <v>18</v>
      </c>
      <c r="D19" t="s">
        <v>14</v>
      </c>
      <c r="G19">
        <v>18</v>
      </c>
      <c r="H19" t="s">
        <v>10</v>
      </c>
      <c r="I19" t="s">
        <v>18</v>
      </c>
      <c r="J19" t="s">
        <v>14</v>
      </c>
    </row>
    <row r="20" spans="1:11" x14ac:dyDescent="0.25">
      <c r="A20">
        <v>19</v>
      </c>
      <c r="B20" t="s">
        <v>10</v>
      </c>
      <c r="C20" t="s">
        <v>18</v>
      </c>
      <c r="D20" t="s">
        <v>14</v>
      </c>
      <c r="G20">
        <v>19</v>
      </c>
      <c r="H20" t="s">
        <v>10</v>
      </c>
      <c r="I20" t="s">
        <v>19</v>
      </c>
      <c r="J20" t="s">
        <v>5</v>
      </c>
      <c r="K20">
        <v>1183851</v>
      </c>
    </row>
    <row r="21" spans="1:11" x14ac:dyDescent="0.25">
      <c r="A21">
        <v>20</v>
      </c>
      <c r="B21" t="s">
        <v>10</v>
      </c>
      <c r="C21" t="s">
        <v>18</v>
      </c>
      <c r="D21" t="s">
        <v>14</v>
      </c>
      <c r="G21">
        <v>20</v>
      </c>
      <c r="H21" t="s">
        <v>10</v>
      </c>
      <c r="I21" t="s">
        <v>19</v>
      </c>
      <c r="J21" t="s">
        <v>15</v>
      </c>
      <c r="K21" t="s">
        <v>16</v>
      </c>
    </row>
    <row r="22" spans="1:11" x14ac:dyDescent="0.25">
      <c r="A22">
        <v>21</v>
      </c>
      <c r="B22" t="s">
        <v>10</v>
      </c>
      <c r="C22" t="s">
        <v>18</v>
      </c>
      <c r="D22" t="s">
        <v>14</v>
      </c>
      <c r="G22">
        <v>21</v>
      </c>
      <c r="H22" t="s">
        <v>10</v>
      </c>
      <c r="I22" t="s">
        <v>19</v>
      </c>
      <c r="J22" t="s">
        <v>17</v>
      </c>
      <c r="K22" t="s">
        <v>16</v>
      </c>
    </row>
    <row r="23" spans="1:11" x14ac:dyDescent="0.25">
      <c r="A23">
        <v>22</v>
      </c>
      <c r="B23" t="s">
        <v>10</v>
      </c>
      <c r="C23" t="s">
        <v>19</v>
      </c>
      <c r="D23" t="s">
        <v>5</v>
      </c>
      <c r="E23">
        <v>1197231</v>
      </c>
      <c r="G23">
        <v>22</v>
      </c>
      <c r="H23" t="s">
        <v>10</v>
      </c>
      <c r="I23" t="s">
        <v>19</v>
      </c>
      <c r="J23" t="s">
        <v>14</v>
      </c>
    </row>
    <row r="24" spans="1:11" x14ac:dyDescent="0.25">
      <c r="A24">
        <v>23</v>
      </c>
      <c r="B24" t="s">
        <v>10</v>
      </c>
      <c r="C24" t="s">
        <v>19</v>
      </c>
      <c r="D24" t="s">
        <v>15</v>
      </c>
      <c r="E24" t="s">
        <v>16</v>
      </c>
      <c r="G24">
        <v>23</v>
      </c>
      <c r="H24" t="s">
        <v>10</v>
      </c>
      <c r="I24" t="s">
        <v>19</v>
      </c>
      <c r="J24" t="s">
        <v>14</v>
      </c>
    </row>
    <row r="25" spans="1:11" x14ac:dyDescent="0.25">
      <c r="A25">
        <v>24</v>
      </c>
      <c r="B25" t="s">
        <v>10</v>
      </c>
      <c r="C25" t="s">
        <v>19</v>
      </c>
      <c r="D25" t="s">
        <v>17</v>
      </c>
      <c r="E25" t="s">
        <v>16</v>
      </c>
      <c r="G25">
        <v>24</v>
      </c>
      <c r="H25" t="s">
        <v>10</v>
      </c>
      <c r="I25" t="s">
        <v>19</v>
      </c>
      <c r="J25" t="s">
        <v>14</v>
      </c>
    </row>
    <row r="26" spans="1:11" x14ac:dyDescent="0.25">
      <c r="A26">
        <v>25</v>
      </c>
      <c r="B26" t="s">
        <v>10</v>
      </c>
      <c r="C26" t="s">
        <v>19</v>
      </c>
      <c r="D26" t="s">
        <v>14</v>
      </c>
      <c r="G26">
        <v>25</v>
      </c>
      <c r="H26" t="s">
        <v>10</v>
      </c>
      <c r="I26" t="s">
        <v>1</v>
      </c>
      <c r="J26" t="s">
        <v>5</v>
      </c>
      <c r="K26">
        <v>1183851</v>
      </c>
    </row>
    <row r="27" spans="1:11" x14ac:dyDescent="0.25">
      <c r="A27">
        <v>26</v>
      </c>
      <c r="B27" t="s">
        <v>10</v>
      </c>
      <c r="C27" t="s">
        <v>19</v>
      </c>
      <c r="D27" t="s">
        <v>14</v>
      </c>
      <c r="G27">
        <v>26</v>
      </c>
      <c r="H27" t="s">
        <v>10</v>
      </c>
      <c r="I27" t="s">
        <v>1</v>
      </c>
      <c r="J27" t="s">
        <v>15</v>
      </c>
      <c r="K27" t="s">
        <v>16</v>
      </c>
    </row>
    <row r="28" spans="1:11" x14ac:dyDescent="0.25">
      <c r="A28">
        <v>27</v>
      </c>
      <c r="B28" t="s">
        <v>10</v>
      </c>
      <c r="C28" t="s">
        <v>19</v>
      </c>
      <c r="D28" t="s">
        <v>14</v>
      </c>
      <c r="G28">
        <v>27</v>
      </c>
      <c r="H28" t="s">
        <v>10</v>
      </c>
      <c r="I28" t="s">
        <v>1</v>
      </c>
      <c r="J28" t="s">
        <v>17</v>
      </c>
      <c r="K28" t="s">
        <v>16</v>
      </c>
    </row>
    <row r="29" spans="1:11" x14ac:dyDescent="0.25">
      <c r="A29">
        <v>28</v>
      </c>
      <c r="B29" t="s">
        <v>10</v>
      </c>
      <c r="C29" t="s">
        <v>19</v>
      </c>
      <c r="D29" t="s">
        <v>14</v>
      </c>
      <c r="G29">
        <v>28</v>
      </c>
      <c r="H29" t="s">
        <v>10</v>
      </c>
      <c r="I29" t="s">
        <v>1</v>
      </c>
      <c r="J29" t="s">
        <v>14</v>
      </c>
    </row>
    <row r="30" spans="1:11" x14ac:dyDescent="0.25">
      <c r="A30">
        <v>29</v>
      </c>
      <c r="B30" t="s">
        <v>10</v>
      </c>
      <c r="C30" t="s">
        <v>1</v>
      </c>
      <c r="D30" t="s">
        <v>5</v>
      </c>
      <c r="E30">
        <v>1197231</v>
      </c>
      <c r="G30">
        <v>29</v>
      </c>
      <c r="H30" t="s">
        <v>10</v>
      </c>
      <c r="I30" t="s">
        <v>1</v>
      </c>
      <c r="J30" t="s">
        <v>14</v>
      </c>
    </row>
    <row r="31" spans="1:11" x14ac:dyDescent="0.25">
      <c r="A31">
        <v>30</v>
      </c>
      <c r="B31" t="s">
        <v>10</v>
      </c>
      <c r="C31" t="s">
        <v>1</v>
      </c>
      <c r="D31" t="s">
        <v>15</v>
      </c>
      <c r="E31" t="s">
        <v>16</v>
      </c>
      <c r="G31">
        <v>30</v>
      </c>
      <c r="H31" t="s">
        <v>10</v>
      </c>
      <c r="I31" t="s">
        <v>1</v>
      </c>
      <c r="J31" t="s">
        <v>14</v>
      </c>
    </row>
    <row r="32" spans="1:11" x14ac:dyDescent="0.25">
      <c r="A32">
        <v>31</v>
      </c>
      <c r="B32" t="s">
        <v>10</v>
      </c>
      <c r="C32" t="s">
        <v>1</v>
      </c>
      <c r="D32" t="s">
        <v>17</v>
      </c>
      <c r="E32" t="s">
        <v>16</v>
      </c>
      <c r="G32">
        <v>31</v>
      </c>
      <c r="H32" t="s">
        <v>10</v>
      </c>
      <c r="I32" t="s">
        <v>20</v>
      </c>
      <c r="J32" t="s">
        <v>9</v>
      </c>
      <c r="K32" s="1">
        <v>144</v>
      </c>
    </row>
    <row r="33" spans="1:11" x14ac:dyDescent="0.25">
      <c r="A33">
        <v>32</v>
      </c>
      <c r="B33" t="s">
        <v>10</v>
      </c>
      <c r="C33" t="s">
        <v>1</v>
      </c>
      <c r="D33" t="s">
        <v>14</v>
      </c>
      <c r="G33">
        <v>32</v>
      </c>
      <c r="H33" t="s">
        <v>10</v>
      </c>
      <c r="I33" t="s">
        <v>20</v>
      </c>
      <c r="J33" t="s">
        <v>2</v>
      </c>
      <c r="K33" s="1">
        <v>186700</v>
      </c>
    </row>
    <row r="34" spans="1:11" x14ac:dyDescent="0.25">
      <c r="A34">
        <v>33</v>
      </c>
      <c r="B34" t="s">
        <v>10</v>
      </c>
      <c r="C34" t="s">
        <v>1</v>
      </c>
      <c r="D34" t="s">
        <v>14</v>
      </c>
      <c r="G34">
        <v>33</v>
      </c>
      <c r="H34" t="s">
        <v>10</v>
      </c>
      <c r="I34" t="s">
        <v>20</v>
      </c>
      <c r="J34" t="s">
        <v>11</v>
      </c>
      <c r="K34" s="1">
        <v>769900</v>
      </c>
    </row>
    <row r="35" spans="1:11" x14ac:dyDescent="0.25">
      <c r="A35">
        <v>34</v>
      </c>
      <c r="B35" t="s">
        <v>10</v>
      </c>
      <c r="C35" t="s">
        <v>1</v>
      </c>
      <c r="D35" t="s">
        <v>14</v>
      </c>
      <c r="G35">
        <v>34</v>
      </c>
      <c r="H35" t="s">
        <v>10</v>
      </c>
      <c r="I35" t="s">
        <v>20</v>
      </c>
      <c r="J35" t="s">
        <v>12</v>
      </c>
      <c r="K35" s="1">
        <v>5445000</v>
      </c>
    </row>
    <row r="36" spans="1:11" x14ac:dyDescent="0.25">
      <c r="A36">
        <v>35</v>
      </c>
      <c r="B36" t="s">
        <v>10</v>
      </c>
      <c r="C36" t="s">
        <v>1</v>
      </c>
      <c r="D36" t="s">
        <v>14</v>
      </c>
      <c r="G36">
        <v>35</v>
      </c>
      <c r="H36" t="s">
        <v>10</v>
      </c>
      <c r="I36" t="s">
        <v>20</v>
      </c>
      <c r="J36" t="s">
        <v>3</v>
      </c>
      <c r="K36" s="1">
        <v>2626000</v>
      </c>
    </row>
    <row r="37" spans="1:11" x14ac:dyDescent="0.25">
      <c r="A37">
        <v>36</v>
      </c>
      <c r="B37" t="s">
        <v>10</v>
      </c>
      <c r="C37" t="s">
        <v>20</v>
      </c>
      <c r="D37" s="1" t="s">
        <v>9</v>
      </c>
      <c r="E37" s="1">
        <v>122</v>
      </c>
      <c r="G37">
        <v>36</v>
      </c>
      <c r="H37" t="s">
        <v>10</v>
      </c>
      <c r="I37" t="s">
        <v>20</v>
      </c>
      <c r="J37" t="s">
        <v>13</v>
      </c>
      <c r="K37" s="1">
        <v>4342000000</v>
      </c>
    </row>
    <row r="38" spans="1:11" x14ac:dyDescent="0.25">
      <c r="A38">
        <v>37</v>
      </c>
      <c r="B38" t="s">
        <v>10</v>
      </c>
      <c r="C38" t="s">
        <v>20</v>
      </c>
      <c r="D38" s="1" t="s">
        <v>2</v>
      </c>
      <c r="E38" s="1">
        <v>187700</v>
      </c>
      <c r="G38">
        <v>37</v>
      </c>
      <c r="H38" t="s">
        <v>10</v>
      </c>
      <c r="I38" t="s">
        <v>21</v>
      </c>
      <c r="J38" t="s">
        <v>9</v>
      </c>
      <c r="K38">
        <v>0</v>
      </c>
    </row>
    <row r="39" spans="1:11" x14ac:dyDescent="0.25">
      <c r="A39">
        <v>38</v>
      </c>
      <c r="B39" t="s">
        <v>10</v>
      </c>
      <c r="C39" t="s">
        <v>20</v>
      </c>
      <c r="D39" s="1" t="s">
        <v>11</v>
      </c>
      <c r="E39" s="1">
        <v>778500</v>
      </c>
      <c r="G39">
        <v>38</v>
      </c>
      <c r="H39" t="s">
        <v>10</v>
      </c>
      <c r="I39" t="s">
        <v>21</v>
      </c>
      <c r="J39" t="s">
        <v>2</v>
      </c>
      <c r="K39">
        <v>92.38</v>
      </c>
    </row>
    <row r="40" spans="1:11" x14ac:dyDescent="0.25">
      <c r="A40">
        <v>39</v>
      </c>
      <c r="B40" t="s">
        <v>10</v>
      </c>
      <c r="C40" t="s">
        <v>20</v>
      </c>
      <c r="D40" s="1" t="s">
        <v>12</v>
      </c>
      <c r="E40" s="1">
        <v>5466000</v>
      </c>
      <c r="G40">
        <v>39</v>
      </c>
      <c r="H40" t="s">
        <v>10</v>
      </c>
      <c r="I40" t="s">
        <v>21</v>
      </c>
      <c r="J40" t="s">
        <v>11</v>
      </c>
      <c r="K40">
        <v>100</v>
      </c>
    </row>
    <row r="41" spans="1:11" x14ac:dyDescent="0.25">
      <c r="A41">
        <v>40</v>
      </c>
      <c r="B41" t="s">
        <v>10</v>
      </c>
      <c r="C41" t="s">
        <v>20</v>
      </c>
      <c r="D41" s="1" t="s">
        <v>3</v>
      </c>
      <c r="E41" s="1">
        <v>2655000</v>
      </c>
      <c r="G41">
        <v>40</v>
      </c>
      <c r="H41" t="s">
        <v>10</v>
      </c>
      <c r="I41" t="s">
        <v>21</v>
      </c>
      <c r="J41" t="s">
        <v>12</v>
      </c>
      <c r="K41">
        <v>91.69</v>
      </c>
    </row>
    <row r="42" spans="1:11" x14ac:dyDescent="0.25">
      <c r="A42">
        <v>41</v>
      </c>
      <c r="B42" t="s">
        <v>10</v>
      </c>
      <c r="C42" t="s">
        <v>20</v>
      </c>
      <c r="D42" s="1" t="s">
        <v>13</v>
      </c>
      <c r="E42" s="1">
        <v>4342000000</v>
      </c>
      <c r="G42">
        <v>41</v>
      </c>
      <c r="H42" t="s">
        <v>10</v>
      </c>
      <c r="I42" t="s">
        <v>21</v>
      </c>
      <c r="J42" t="s">
        <v>3</v>
      </c>
      <c r="K42">
        <v>100</v>
      </c>
    </row>
    <row r="43" spans="1:11" x14ac:dyDescent="0.25">
      <c r="A43">
        <v>42</v>
      </c>
      <c r="B43" t="s">
        <v>10</v>
      </c>
      <c r="C43" t="s">
        <v>20</v>
      </c>
      <c r="D43" t="s">
        <v>14</v>
      </c>
      <c r="G43">
        <v>42</v>
      </c>
      <c r="H43" t="s">
        <v>10</v>
      </c>
      <c r="I43" t="s">
        <v>21</v>
      </c>
      <c r="J43" t="s">
        <v>13</v>
      </c>
      <c r="K43">
        <v>100</v>
      </c>
    </row>
    <row r="44" spans="1:11" x14ac:dyDescent="0.25">
      <c r="A44">
        <v>43</v>
      </c>
      <c r="B44" t="s">
        <v>10</v>
      </c>
      <c r="C44" t="s">
        <v>21</v>
      </c>
      <c r="D44" t="s">
        <v>9</v>
      </c>
      <c r="E44">
        <v>0</v>
      </c>
      <c r="G44">
        <v>43</v>
      </c>
      <c r="H44" t="s">
        <v>10</v>
      </c>
      <c r="I44" t="s">
        <v>22</v>
      </c>
      <c r="J44" t="s">
        <v>9</v>
      </c>
      <c r="K44">
        <v>0</v>
      </c>
    </row>
    <row r="45" spans="1:11" x14ac:dyDescent="0.25">
      <c r="A45">
        <v>44</v>
      </c>
      <c r="B45" t="s">
        <v>10</v>
      </c>
      <c r="C45" t="s">
        <v>21</v>
      </c>
      <c r="D45" t="s">
        <v>2</v>
      </c>
      <c r="E45">
        <v>89.38</v>
      </c>
      <c r="G45">
        <v>44</v>
      </c>
      <c r="H45" t="s">
        <v>10</v>
      </c>
      <c r="I45" t="s">
        <v>22</v>
      </c>
      <c r="J45" t="s">
        <v>2</v>
      </c>
      <c r="K45">
        <v>0</v>
      </c>
    </row>
    <row r="46" spans="1:11" x14ac:dyDescent="0.25">
      <c r="A46">
        <v>45</v>
      </c>
      <c r="B46" t="s">
        <v>10</v>
      </c>
      <c r="C46" t="s">
        <v>21</v>
      </c>
      <c r="D46" t="s">
        <v>11</v>
      </c>
      <c r="E46">
        <v>100</v>
      </c>
      <c r="G46">
        <v>45</v>
      </c>
      <c r="H46" t="s">
        <v>10</v>
      </c>
      <c r="I46" t="s">
        <v>22</v>
      </c>
      <c r="J46" t="s">
        <v>11</v>
      </c>
      <c r="K46">
        <v>0</v>
      </c>
    </row>
    <row r="47" spans="1:11" x14ac:dyDescent="0.25">
      <c r="A47">
        <v>46</v>
      </c>
      <c r="B47" t="s">
        <v>10</v>
      </c>
      <c r="C47" t="s">
        <v>21</v>
      </c>
      <c r="D47" t="s">
        <v>12</v>
      </c>
      <c r="E47">
        <v>89.8</v>
      </c>
      <c r="G47">
        <v>46</v>
      </c>
      <c r="H47" t="s">
        <v>10</v>
      </c>
      <c r="I47" t="s">
        <v>22</v>
      </c>
      <c r="J47" t="s">
        <v>12</v>
      </c>
      <c r="K47">
        <v>2.6040000000000001</v>
      </c>
    </row>
    <row r="48" spans="1:11" x14ac:dyDescent="0.25">
      <c r="A48">
        <v>47</v>
      </c>
      <c r="B48" t="s">
        <v>10</v>
      </c>
      <c r="C48" t="s">
        <v>21</v>
      </c>
      <c r="D48" t="s">
        <v>3</v>
      </c>
      <c r="E48">
        <v>100</v>
      </c>
      <c r="G48">
        <v>47</v>
      </c>
      <c r="H48" t="s">
        <v>10</v>
      </c>
      <c r="I48" t="s">
        <v>22</v>
      </c>
      <c r="J48" t="s">
        <v>3</v>
      </c>
      <c r="K48">
        <v>0</v>
      </c>
    </row>
    <row r="49" spans="1:11" x14ac:dyDescent="0.25">
      <c r="A49">
        <v>48</v>
      </c>
      <c r="B49" t="s">
        <v>10</v>
      </c>
      <c r="C49" t="s">
        <v>21</v>
      </c>
      <c r="D49" t="s">
        <v>13</v>
      </c>
      <c r="E49">
        <v>100</v>
      </c>
      <c r="G49">
        <v>48</v>
      </c>
      <c r="H49" t="s">
        <v>10</v>
      </c>
      <c r="I49" t="s">
        <v>22</v>
      </c>
      <c r="J49" t="s">
        <v>13</v>
      </c>
      <c r="K49">
        <v>100</v>
      </c>
    </row>
    <row r="50" spans="1:11" x14ac:dyDescent="0.25">
      <c r="A50">
        <v>49</v>
      </c>
      <c r="B50" t="s">
        <v>10</v>
      </c>
      <c r="C50" t="s">
        <v>21</v>
      </c>
      <c r="D50" t="s">
        <v>14</v>
      </c>
      <c r="G50">
        <v>49</v>
      </c>
      <c r="H50" t="s">
        <v>10</v>
      </c>
      <c r="I50" t="s">
        <v>23</v>
      </c>
      <c r="J50" t="s">
        <v>9</v>
      </c>
      <c r="K50">
        <v>0</v>
      </c>
    </row>
    <row r="51" spans="1:11" x14ac:dyDescent="0.25">
      <c r="A51">
        <v>50</v>
      </c>
      <c r="B51" t="s">
        <v>10</v>
      </c>
      <c r="C51" t="s">
        <v>22</v>
      </c>
      <c r="D51" t="s">
        <v>9</v>
      </c>
      <c r="E51">
        <v>0</v>
      </c>
      <c r="G51">
        <v>50</v>
      </c>
      <c r="H51" t="s">
        <v>10</v>
      </c>
      <c r="I51" t="s">
        <v>23</v>
      </c>
      <c r="J51" t="s">
        <v>2</v>
      </c>
      <c r="K51">
        <v>0</v>
      </c>
    </row>
    <row r="52" spans="1:11" x14ac:dyDescent="0.25">
      <c r="A52">
        <v>51</v>
      </c>
      <c r="B52" t="s">
        <v>10</v>
      </c>
      <c r="C52" t="s">
        <v>22</v>
      </c>
      <c r="D52" t="s">
        <v>2</v>
      </c>
      <c r="E52">
        <v>0</v>
      </c>
      <c r="G52">
        <v>51</v>
      </c>
      <c r="H52" t="s">
        <v>10</v>
      </c>
      <c r="I52" t="s">
        <v>23</v>
      </c>
      <c r="J52" t="s">
        <v>11</v>
      </c>
      <c r="K52">
        <v>0</v>
      </c>
    </row>
    <row r="53" spans="1:11" x14ac:dyDescent="0.25">
      <c r="A53">
        <v>52</v>
      </c>
      <c r="B53" t="s">
        <v>10</v>
      </c>
      <c r="C53" t="s">
        <v>22</v>
      </c>
      <c r="D53" t="s">
        <v>11</v>
      </c>
      <c r="E53">
        <v>0</v>
      </c>
      <c r="G53">
        <v>52</v>
      </c>
      <c r="H53" t="s">
        <v>10</v>
      </c>
      <c r="I53" t="s">
        <v>23</v>
      </c>
      <c r="J53" t="s">
        <v>12</v>
      </c>
      <c r="K53">
        <v>5.7069999999999999</v>
      </c>
    </row>
    <row r="54" spans="1:11" x14ac:dyDescent="0.25">
      <c r="A54">
        <v>53</v>
      </c>
      <c r="B54" t="s">
        <v>10</v>
      </c>
      <c r="C54" t="s">
        <v>22</v>
      </c>
      <c r="D54" t="s">
        <v>12</v>
      </c>
      <c r="E54">
        <v>6.95</v>
      </c>
      <c r="G54">
        <v>53</v>
      </c>
      <c r="H54" t="s">
        <v>10</v>
      </c>
      <c r="I54" t="s">
        <v>23</v>
      </c>
      <c r="J54" t="s">
        <v>3</v>
      </c>
      <c r="K54">
        <v>0</v>
      </c>
    </row>
    <row r="55" spans="1:11" x14ac:dyDescent="0.25">
      <c r="A55">
        <v>54</v>
      </c>
      <c r="B55" t="s">
        <v>10</v>
      </c>
      <c r="C55" t="s">
        <v>22</v>
      </c>
      <c r="D55" t="s">
        <v>3</v>
      </c>
      <c r="E55">
        <v>4.46</v>
      </c>
      <c r="G55">
        <v>54</v>
      </c>
      <c r="H55" t="s">
        <v>10</v>
      </c>
      <c r="I55" t="s">
        <v>23</v>
      </c>
      <c r="J55" t="s">
        <v>13</v>
      </c>
      <c r="K55">
        <v>100</v>
      </c>
    </row>
    <row r="56" spans="1:11" x14ac:dyDescent="0.25">
      <c r="A56">
        <v>55</v>
      </c>
      <c r="B56" t="s">
        <v>10</v>
      </c>
      <c r="C56" t="s">
        <v>22</v>
      </c>
      <c r="D56" t="s">
        <v>13</v>
      </c>
      <c r="E56">
        <v>100</v>
      </c>
      <c r="G56">
        <v>55</v>
      </c>
      <c r="H56" t="s">
        <v>10</v>
      </c>
      <c r="I56" t="s">
        <v>24</v>
      </c>
      <c r="J56" t="s">
        <v>9</v>
      </c>
      <c r="K56">
        <v>0</v>
      </c>
    </row>
    <row r="57" spans="1:11" x14ac:dyDescent="0.25">
      <c r="A57">
        <v>56</v>
      </c>
      <c r="B57" t="s">
        <v>10</v>
      </c>
      <c r="C57" t="s">
        <v>22</v>
      </c>
      <c r="D57" t="s">
        <v>14</v>
      </c>
      <c r="G57">
        <v>56</v>
      </c>
      <c r="H57" t="s">
        <v>10</v>
      </c>
      <c r="I57" t="s">
        <v>24</v>
      </c>
      <c r="J57" t="s">
        <v>2</v>
      </c>
      <c r="K57">
        <v>98.61</v>
      </c>
    </row>
    <row r="58" spans="1:11" x14ac:dyDescent="0.25">
      <c r="A58">
        <v>57</v>
      </c>
      <c r="B58" t="s">
        <v>10</v>
      </c>
      <c r="C58" t="s">
        <v>23</v>
      </c>
      <c r="D58" t="s">
        <v>9</v>
      </c>
      <c r="E58">
        <v>0</v>
      </c>
      <c r="G58">
        <v>57</v>
      </c>
      <c r="H58" t="s">
        <v>10</v>
      </c>
      <c r="I58" t="s">
        <v>24</v>
      </c>
      <c r="J58" t="s">
        <v>11</v>
      </c>
      <c r="K58">
        <v>100</v>
      </c>
    </row>
    <row r="59" spans="1:11" x14ac:dyDescent="0.25">
      <c r="A59">
        <v>58</v>
      </c>
      <c r="B59" t="s">
        <v>10</v>
      </c>
      <c r="C59" t="s">
        <v>23</v>
      </c>
      <c r="D59" t="s">
        <v>2</v>
      </c>
      <c r="E59">
        <v>0</v>
      </c>
      <c r="G59">
        <v>58</v>
      </c>
      <c r="H59" t="s">
        <v>10</v>
      </c>
      <c r="I59" t="s">
        <v>24</v>
      </c>
      <c r="J59" t="s">
        <v>12</v>
      </c>
      <c r="K59">
        <v>97.71</v>
      </c>
    </row>
    <row r="60" spans="1:11" x14ac:dyDescent="0.25">
      <c r="A60">
        <v>59</v>
      </c>
      <c r="B60" t="s">
        <v>10</v>
      </c>
      <c r="C60" t="s">
        <v>23</v>
      </c>
      <c r="D60" t="s">
        <v>11</v>
      </c>
      <c r="E60">
        <v>0</v>
      </c>
      <c r="G60">
        <v>59</v>
      </c>
      <c r="H60" t="s">
        <v>10</v>
      </c>
      <c r="I60" t="s">
        <v>24</v>
      </c>
      <c r="J60" t="s">
        <v>3</v>
      </c>
      <c r="K60">
        <v>100</v>
      </c>
    </row>
    <row r="61" spans="1:11" x14ac:dyDescent="0.25">
      <c r="A61">
        <v>60</v>
      </c>
      <c r="B61" t="s">
        <v>10</v>
      </c>
      <c r="C61" t="s">
        <v>23</v>
      </c>
      <c r="D61" t="s">
        <v>12</v>
      </c>
      <c r="E61">
        <v>3.2530000000000001</v>
      </c>
      <c r="G61">
        <v>60</v>
      </c>
      <c r="H61" t="s">
        <v>10</v>
      </c>
      <c r="I61" t="s">
        <v>24</v>
      </c>
      <c r="J61" t="s">
        <v>13</v>
      </c>
      <c r="K61">
        <v>100</v>
      </c>
    </row>
    <row r="62" spans="1:11" x14ac:dyDescent="0.25">
      <c r="A62">
        <v>61</v>
      </c>
      <c r="B62" t="s">
        <v>10</v>
      </c>
      <c r="C62" t="s">
        <v>23</v>
      </c>
      <c r="D62" t="s">
        <v>3</v>
      </c>
      <c r="E62">
        <v>2.4</v>
      </c>
      <c r="G62">
        <v>61</v>
      </c>
      <c r="H62" t="s">
        <v>10</v>
      </c>
      <c r="I62" t="s">
        <v>26</v>
      </c>
      <c r="J62" t="s">
        <v>9</v>
      </c>
      <c r="K62">
        <v>0</v>
      </c>
    </row>
    <row r="63" spans="1:11" x14ac:dyDescent="0.25">
      <c r="A63">
        <v>62</v>
      </c>
      <c r="B63" t="s">
        <v>10</v>
      </c>
      <c r="C63" t="s">
        <v>23</v>
      </c>
      <c r="D63" t="s">
        <v>13</v>
      </c>
      <c r="E63">
        <v>100</v>
      </c>
      <c r="G63">
        <v>62</v>
      </c>
      <c r="H63" t="s">
        <v>10</v>
      </c>
      <c r="I63" t="s">
        <v>26</v>
      </c>
      <c r="J63" t="s">
        <v>2</v>
      </c>
      <c r="K63">
        <v>0</v>
      </c>
    </row>
    <row r="64" spans="1:11" x14ac:dyDescent="0.25">
      <c r="A64">
        <v>63</v>
      </c>
      <c r="B64" t="s">
        <v>10</v>
      </c>
      <c r="C64" t="s">
        <v>23</v>
      </c>
      <c r="D64" t="s">
        <v>14</v>
      </c>
      <c r="G64">
        <v>63</v>
      </c>
      <c r="H64" t="s">
        <v>10</v>
      </c>
      <c r="I64" t="s">
        <v>26</v>
      </c>
      <c r="J64" t="s">
        <v>11</v>
      </c>
      <c r="K64">
        <v>0</v>
      </c>
    </row>
    <row r="65" spans="1:11" x14ac:dyDescent="0.25">
      <c r="A65">
        <v>64</v>
      </c>
      <c r="B65" t="s">
        <v>10</v>
      </c>
      <c r="C65" t="s">
        <v>24</v>
      </c>
      <c r="D65" t="s">
        <v>9</v>
      </c>
      <c r="E65">
        <v>0</v>
      </c>
      <c r="G65">
        <v>64</v>
      </c>
      <c r="H65" t="s">
        <v>10</v>
      </c>
      <c r="I65" t="s">
        <v>26</v>
      </c>
      <c r="J65" t="s">
        <v>12</v>
      </c>
      <c r="K65">
        <v>2.2909999999999999</v>
      </c>
    </row>
    <row r="66" spans="1:11" x14ac:dyDescent="0.25">
      <c r="A66">
        <v>65</v>
      </c>
      <c r="B66" t="s">
        <v>10</v>
      </c>
      <c r="C66" t="s">
        <v>24</v>
      </c>
      <c r="D66" t="s">
        <v>2</v>
      </c>
      <c r="E66">
        <v>98</v>
      </c>
      <c r="G66">
        <v>65</v>
      </c>
      <c r="H66" t="s">
        <v>10</v>
      </c>
      <c r="I66" t="s">
        <v>26</v>
      </c>
      <c r="J66" t="s">
        <v>3</v>
      </c>
      <c r="K66">
        <v>1.39</v>
      </c>
    </row>
    <row r="67" spans="1:11" x14ac:dyDescent="0.25">
      <c r="A67">
        <v>66</v>
      </c>
      <c r="B67" t="s">
        <v>10</v>
      </c>
      <c r="C67" t="s">
        <v>24</v>
      </c>
      <c r="D67" t="s">
        <v>11</v>
      </c>
      <c r="E67">
        <v>100</v>
      </c>
      <c r="G67">
        <v>66</v>
      </c>
      <c r="H67" t="s">
        <v>10</v>
      </c>
      <c r="I67" t="s">
        <v>26</v>
      </c>
      <c r="J67" t="s">
        <v>13</v>
      </c>
      <c r="K67">
        <v>100</v>
      </c>
    </row>
    <row r="68" spans="1:11" x14ac:dyDescent="0.25">
      <c r="A68">
        <v>67</v>
      </c>
      <c r="B68" t="s">
        <v>10</v>
      </c>
      <c r="C68" t="s">
        <v>24</v>
      </c>
      <c r="D68" t="s">
        <v>12</v>
      </c>
      <c r="E68">
        <v>95.7</v>
      </c>
      <c r="G68">
        <v>67</v>
      </c>
      <c r="H68" t="s">
        <v>10</v>
      </c>
      <c r="I68" t="s">
        <v>27</v>
      </c>
      <c r="J68" t="s">
        <v>9</v>
      </c>
      <c r="K68">
        <v>-301.75</v>
      </c>
    </row>
    <row r="69" spans="1:11" x14ac:dyDescent="0.25">
      <c r="A69">
        <v>68</v>
      </c>
      <c r="B69" t="s">
        <v>10</v>
      </c>
      <c r="C69" t="s">
        <v>24</v>
      </c>
      <c r="D69" t="s">
        <v>3</v>
      </c>
      <c r="E69">
        <v>100</v>
      </c>
      <c r="G69">
        <v>68</v>
      </c>
      <c r="H69" t="s">
        <v>10</v>
      </c>
      <c r="I69" t="s">
        <v>27</v>
      </c>
      <c r="J69" t="s">
        <v>2</v>
      </c>
      <c r="K69">
        <v>62.54</v>
      </c>
    </row>
    <row r="70" spans="1:11" x14ac:dyDescent="0.25">
      <c r="A70">
        <v>69</v>
      </c>
      <c r="B70" t="s">
        <v>10</v>
      </c>
      <c r="C70" t="s">
        <v>24</v>
      </c>
      <c r="D70" t="s">
        <v>13</v>
      </c>
      <c r="E70">
        <v>100</v>
      </c>
      <c r="G70">
        <v>69</v>
      </c>
      <c r="H70" t="s">
        <v>10</v>
      </c>
      <c r="I70" t="s">
        <v>27</v>
      </c>
      <c r="J70" t="s">
        <v>11</v>
      </c>
      <c r="K70">
        <v>158.94999999999999</v>
      </c>
    </row>
    <row r="71" spans="1:11" x14ac:dyDescent="0.25">
      <c r="A71">
        <v>70</v>
      </c>
      <c r="B71" t="s">
        <v>10</v>
      </c>
      <c r="C71" t="s">
        <v>24</v>
      </c>
      <c r="D71" t="s">
        <v>25</v>
      </c>
      <c r="E71">
        <v>792854</v>
      </c>
      <c r="G71">
        <v>70</v>
      </c>
      <c r="H71" t="s">
        <v>10</v>
      </c>
      <c r="I71" t="s">
        <v>27</v>
      </c>
      <c r="J71" t="s">
        <v>12</v>
      </c>
      <c r="K71">
        <v>165.78</v>
      </c>
    </row>
    <row r="72" spans="1:11" x14ac:dyDescent="0.25">
      <c r="A72">
        <v>71</v>
      </c>
      <c r="B72" t="s">
        <v>10</v>
      </c>
      <c r="C72" t="s">
        <v>26</v>
      </c>
      <c r="D72" t="s">
        <v>9</v>
      </c>
      <c r="E72">
        <v>0</v>
      </c>
      <c r="G72">
        <v>71</v>
      </c>
      <c r="H72" t="s">
        <v>10</v>
      </c>
      <c r="I72" t="s">
        <v>27</v>
      </c>
      <c r="J72" t="s">
        <v>3</v>
      </c>
      <c r="K72">
        <v>261.05</v>
      </c>
    </row>
    <row r="73" spans="1:11" x14ac:dyDescent="0.25">
      <c r="A73">
        <v>72</v>
      </c>
      <c r="B73" t="s">
        <v>10</v>
      </c>
      <c r="C73" t="s">
        <v>26</v>
      </c>
      <c r="D73" t="s">
        <v>2</v>
      </c>
      <c r="E73">
        <v>0</v>
      </c>
      <c r="G73">
        <v>72</v>
      </c>
      <c r="H73" t="s">
        <v>10</v>
      </c>
      <c r="I73" t="s">
        <v>27</v>
      </c>
      <c r="J73" t="s">
        <v>13</v>
      </c>
      <c r="K73">
        <v>819</v>
      </c>
    </row>
    <row r="74" spans="1:11" x14ac:dyDescent="0.25">
      <c r="A74">
        <v>73</v>
      </c>
      <c r="B74" t="s">
        <v>10</v>
      </c>
      <c r="C74" t="s">
        <v>26</v>
      </c>
      <c r="D74" t="s">
        <v>11</v>
      </c>
      <c r="E74">
        <v>0</v>
      </c>
      <c r="G74">
        <v>73</v>
      </c>
      <c r="H74" t="s">
        <v>10</v>
      </c>
      <c r="I74" t="s">
        <v>28</v>
      </c>
      <c r="J74" t="s">
        <v>9</v>
      </c>
      <c r="K74">
        <v>0</v>
      </c>
    </row>
    <row r="75" spans="1:11" x14ac:dyDescent="0.25">
      <c r="A75">
        <v>74</v>
      </c>
      <c r="B75" t="s">
        <v>10</v>
      </c>
      <c r="C75" t="s">
        <v>26</v>
      </c>
      <c r="D75" t="s">
        <v>12</v>
      </c>
      <c r="E75">
        <v>4.3</v>
      </c>
      <c r="G75">
        <v>74</v>
      </c>
      <c r="H75" t="s">
        <v>10</v>
      </c>
      <c r="I75" t="s">
        <v>28</v>
      </c>
      <c r="J75" t="s">
        <v>2</v>
      </c>
      <c r="K75">
        <v>213.4</v>
      </c>
    </row>
    <row r="76" spans="1:11" x14ac:dyDescent="0.25">
      <c r="A76">
        <v>75</v>
      </c>
      <c r="B76" t="s">
        <v>10</v>
      </c>
      <c r="C76" t="s">
        <v>26</v>
      </c>
      <c r="D76" t="s">
        <v>3</v>
      </c>
      <c r="E76">
        <v>2</v>
      </c>
      <c r="G76">
        <v>75</v>
      </c>
      <c r="H76" t="s">
        <v>10</v>
      </c>
      <c r="I76" t="s">
        <v>28</v>
      </c>
      <c r="J76" t="s">
        <v>11</v>
      </c>
      <c r="K76">
        <v>907.4</v>
      </c>
    </row>
    <row r="77" spans="1:11" x14ac:dyDescent="0.25">
      <c r="A77">
        <v>76</v>
      </c>
      <c r="B77" t="s">
        <v>10</v>
      </c>
      <c r="C77" t="s">
        <v>26</v>
      </c>
      <c r="D77" t="s">
        <v>13</v>
      </c>
      <c r="E77">
        <v>100</v>
      </c>
      <c r="G77">
        <v>76</v>
      </c>
      <c r="H77" t="s">
        <v>10</v>
      </c>
      <c r="I77" t="s">
        <v>28</v>
      </c>
      <c r="J77" t="s">
        <v>12</v>
      </c>
      <c r="K77">
        <v>1629.4</v>
      </c>
    </row>
    <row r="78" spans="1:11" x14ac:dyDescent="0.25">
      <c r="A78">
        <v>77</v>
      </c>
      <c r="B78" t="s">
        <v>10</v>
      </c>
      <c r="C78" t="s">
        <v>26</v>
      </c>
      <c r="D78" t="s">
        <v>25</v>
      </c>
      <c r="E78">
        <v>792854</v>
      </c>
      <c r="G78">
        <v>77</v>
      </c>
      <c r="H78" t="s">
        <v>10</v>
      </c>
      <c r="I78" t="s">
        <v>28</v>
      </c>
      <c r="J78" t="s">
        <v>3</v>
      </c>
      <c r="K78">
        <v>2357.1</v>
      </c>
    </row>
    <row r="79" spans="1:11" x14ac:dyDescent="0.25">
      <c r="A79">
        <v>78</v>
      </c>
      <c r="B79" t="s">
        <v>10</v>
      </c>
      <c r="C79" t="s">
        <v>27</v>
      </c>
      <c r="D79" t="s">
        <v>9</v>
      </c>
      <c r="E79">
        <v>-323.75</v>
      </c>
      <c r="G79">
        <v>78</v>
      </c>
      <c r="H79" t="s">
        <v>10</v>
      </c>
      <c r="I79" t="s">
        <v>28</v>
      </c>
      <c r="J79" t="s">
        <v>13</v>
      </c>
      <c r="K79">
        <v>17354.400000000001</v>
      </c>
    </row>
    <row r="80" spans="1:11" x14ac:dyDescent="0.25">
      <c r="A80">
        <v>79</v>
      </c>
      <c r="B80" t="s">
        <v>10</v>
      </c>
      <c r="C80" t="s">
        <v>27</v>
      </c>
      <c r="D80" t="s">
        <v>2</v>
      </c>
      <c r="E80">
        <v>55.87</v>
      </c>
      <c r="G80">
        <v>79</v>
      </c>
      <c r="H80" t="s">
        <v>10</v>
      </c>
      <c r="I80" t="s">
        <v>29</v>
      </c>
      <c r="J80" t="s">
        <v>9</v>
      </c>
      <c r="K80">
        <v>1</v>
      </c>
    </row>
    <row r="81" spans="1:11" x14ac:dyDescent="0.25">
      <c r="A81">
        <v>80</v>
      </c>
      <c r="B81" t="s">
        <v>10</v>
      </c>
      <c r="C81" t="s">
        <v>27</v>
      </c>
      <c r="D81" t="s">
        <v>11</v>
      </c>
      <c r="E81">
        <v>155.5</v>
      </c>
      <c r="G81">
        <v>80</v>
      </c>
      <c r="H81" t="s">
        <v>10</v>
      </c>
      <c r="I81" t="s">
        <v>29</v>
      </c>
      <c r="J81" t="s">
        <v>2</v>
      </c>
      <c r="K81">
        <v>38</v>
      </c>
    </row>
    <row r="82" spans="1:11" x14ac:dyDescent="0.25">
      <c r="A82">
        <v>81</v>
      </c>
      <c r="B82" t="s">
        <v>10</v>
      </c>
      <c r="C82" t="s">
        <v>27</v>
      </c>
      <c r="D82" t="s">
        <v>12</v>
      </c>
      <c r="E82">
        <v>162.78</v>
      </c>
      <c r="G82">
        <v>81</v>
      </c>
      <c r="H82" t="s">
        <v>10</v>
      </c>
      <c r="I82" t="s">
        <v>29</v>
      </c>
      <c r="J82" t="s">
        <v>11</v>
      </c>
      <c r="K82">
        <v>75</v>
      </c>
    </row>
    <row r="83" spans="1:11" x14ac:dyDescent="0.25">
      <c r="A83">
        <v>82</v>
      </c>
      <c r="B83" t="s">
        <v>10</v>
      </c>
      <c r="C83" t="s">
        <v>27</v>
      </c>
      <c r="D83" t="s">
        <v>3</v>
      </c>
      <c r="E83">
        <v>262.25</v>
      </c>
      <c r="G83">
        <v>82</v>
      </c>
      <c r="H83" t="s">
        <v>10</v>
      </c>
      <c r="I83" t="s">
        <v>29</v>
      </c>
      <c r="J83" t="s">
        <v>12</v>
      </c>
      <c r="K83">
        <v>85.73</v>
      </c>
    </row>
    <row r="84" spans="1:11" x14ac:dyDescent="0.25">
      <c r="A84">
        <v>83</v>
      </c>
      <c r="B84" t="s">
        <v>10</v>
      </c>
      <c r="C84" t="s">
        <v>27</v>
      </c>
      <c r="D84" t="s">
        <v>13</v>
      </c>
      <c r="E84">
        <v>825</v>
      </c>
      <c r="G84">
        <v>83</v>
      </c>
      <c r="H84" t="s">
        <v>10</v>
      </c>
      <c r="I84" t="s">
        <v>29</v>
      </c>
      <c r="J84" t="s">
        <v>3</v>
      </c>
      <c r="K84">
        <v>122</v>
      </c>
    </row>
    <row r="85" spans="1:11" x14ac:dyDescent="0.25">
      <c r="A85">
        <v>84</v>
      </c>
      <c r="B85" t="s">
        <v>10</v>
      </c>
      <c r="C85" t="s">
        <v>27</v>
      </c>
      <c r="D85" t="s">
        <v>14</v>
      </c>
      <c r="G85">
        <v>84</v>
      </c>
      <c r="H85" t="s">
        <v>10</v>
      </c>
      <c r="I85" t="s">
        <v>29</v>
      </c>
      <c r="J85" t="s">
        <v>13</v>
      </c>
      <c r="K85">
        <v>359</v>
      </c>
    </row>
    <row r="86" spans="1:11" x14ac:dyDescent="0.25">
      <c r="A86">
        <v>85</v>
      </c>
      <c r="B86" t="s">
        <v>10</v>
      </c>
      <c r="C86" t="s">
        <v>28</v>
      </c>
      <c r="D86" t="s">
        <v>9</v>
      </c>
      <c r="E86">
        <v>0</v>
      </c>
      <c r="G86">
        <v>85</v>
      </c>
      <c r="H86" t="s">
        <v>10</v>
      </c>
      <c r="I86" t="s">
        <v>30</v>
      </c>
      <c r="J86" t="s">
        <v>9</v>
      </c>
      <c r="K86">
        <v>287.39999999999998</v>
      </c>
    </row>
    <row r="87" spans="1:11" x14ac:dyDescent="0.25">
      <c r="A87">
        <v>86</v>
      </c>
      <c r="B87" t="s">
        <v>10</v>
      </c>
      <c r="C87" t="s">
        <v>28</v>
      </c>
      <c r="D87" t="s">
        <v>2</v>
      </c>
      <c r="E87">
        <v>164.3</v>
      </c>
      <c r="G87">
        <v>86</v>
      </c>
      <c r="H87" t="s">
        <v>10</v>
      </c>
      <c r="I87" t="s">
        <v>30</v>
      </c>
      <c r="J87" t="s">
        <v>2</v>
      </c>
      <c r="K87">
        <v>62132.1</v>
      </c>
    </row>
    <row r="88" spans="1:11" x14ac:dyDescent="0.25">
      <c r="A88">
        <v>87</v>
      </c>
      <c r="B88" t="s">
        <v>10</v>
      </c>
      <c r="C88" t="s">
        <v>28</v>
      </c>
      <c r="D88" t="s">
        <v>11</v>
      </c>
      <c r="E88">
        <v>831.2</v>
      </c>
      <c r="G88">
        <v>87</v>
      </c>
      <c r="H88" t="s">
        <v>10</v>
      </c>
      <c r="I88" t="s">
        <v>30</v>
      </c>
      <c r="J88" t="s">
        <v>11</v>
      </c>
      <c r="K88">
        <v>93690.4</v>
      </c>
    </row>
    <row r="89" spans="1:11" x14ac:dyDescent="0.25">
      <c r="A89">
        <v>88</v>
      </c>
      <c r="B89" t="s">
        <v>10</v>
      </c>
      <c r="C89" t="s">
        <v>28</v>
      </c>
      <c r="D89" t="s">
        <v>12</v>
      </c>
      <c r="E89">
        <v>1561.6</v>
      </c>
      <c r="G89">
        <v>88</v>
      </c>
      <c r="H89" t="s">
        <v>10</v>
      </c>
      <c r="I89" t="s">
        <v>30</v>
      </c>
      <c r="J89" t="s">
        <v>12</v>
      </c>
      <c r="K89">
        <v>106295.9</v>
      </c>
    </row>
    <row r="90" spans="1:11" x14ac:dyDescent="0.25">
      <c r="A90">
        <v>89</v>
      </c>
      <c r="B90" t="s">
        <v>10</v>
      </c>
      <c r="C90" t="s">
        <v>28</v>
      </c>
      <c r="D90" t="s">
        <v>3</v>
      </c>
      <c r="E90">
        <v>2269.1999999999998</v>
      </c>
      <c r="G90">
        <v>89</v>
      </c>
      <c r="H90" t="s">
        <v>10</v>
      </c>
      <c r="I90" t="s">
        <v>30</v>
      </c>
      <c r="J90" t="s">
        <v>3</v>
      </c>
      <c r="K90">
        <v>131902.9</v>
      </c>
    </row>
    <row r="91" spans="1:11" x14ac:dyDescent="0.25">
      <c r="A91">
        <v>90</v>
      </c>
      <c r="B91" t="s">
        <v>10</v>
      </c>
      <c r="C91" t="s">
        <v>28</v>
      </c>
      <c r="D91" t="s">
        <v>13</v>
      </c>
      <c r="E91">
        <v>16106.8</v>
      </c>
      <c r="G91">
        <v>90</v>
      </c>
      <c r="H91" t="s">
        <v>10</v>
      </c>
      <c r="I91" t="s">
        <v>30</v>
      </c>
      <c r="J91" t="s">
        <v>13</v>
      </c>
      <c r="K91">
        <v>838963.9</v>
      </c>
    </row>
    <row r="92" spans="1:11" x14ac:dyDescent="0.25">
      <c r="A92">
        <v>91</v>
      </c>
      <c r="B92" t="s">
        <v>10</v>
      </c>
      <c r="C92" t="s">
        <v>28</v>
      </c>
      <c r="D92" t="s">
        <v>14</v>
      </c>
      <c r="G92">
        <v>91</v>
      </c>
      <c r="H92" t="s">
        <v>10</v>
      </c>
      <c r="I92" t="s">
        <v>31</v>
      </c>
      <c r="J92" t="s">
        <v>9</v>
      </c>
      <c r="K92">
        <v>0.08</v>
      </c>
    </row>
    <row r="93" spans="1:11" x14ac:dyDescent="0.25">
      <c r="A93">
        <v>92</v>
      </c>
      <c r="B93" t="s">
        <v>10</v>
      </c>
      <c r="C93" t="s">
        <v>29</v>
      </c>
      <c r="D93" t="s">
        <v>9</v>
      </c>
      <c r="E93">
        <v>1</v>
      </c>
      <c r="G93">
        <v>92</v>
      </c>
      <c r="H93" t="s">
        <v>10</v>
      </c>
      <c r="I93" t="s">
        <v>31</v>
      </c>
      <c r="J93" t="s">
        <v>2</v>
      </c>
      <c r="K93">
        <v>34.340000000000003</v>
      </c>
    </row>
    <row r="94" spans="1:11" x14ac:dyDescent="0.25">
      <c r="A94">
        <v>93</v>
      </c>
      <c r="B94" t="s">
        <v>10</v>
      </c>
      <c r="C94" t="s">
        <v>29</v>
      </c>
      <c r="D94" t="s">
        <v>2</v>
      </c>
      <c r="E94">
        <v>38</v>
      </c>
      <c r="G94">
        <v>93</v>
      </c>
      <c r="H94" t="s">
        <v>10</v>
      </c>
      <c r="I94" t="s">
        <v>31</v>
      </c>
      <c r="J94" t="s">
        <v>11</v>
      </c>
      <c r="K94">
        <v>48.63</v>
      </c>
    </row>
    <row r="95" spans="1:11" x14ac:dyDescent="0.25">
      <c r="A95">
        <v>94</v>
      </c>
      <c r="B95" t="s">
        <v>10</v>
      </c>
      <c r="C95" t="s">
        <v>29</v>
      </c>
      <c r="D95" t="s">
        <v>11</v>
      </c>
      <c r="E95">
        <v>76</v>
      </c>
      <c r="G95">
        <v>94</v>
      </c>
      <c r="H95" t="s">
        <v>10</v>
      </c>
      <c r="I95" t="s">
        <v>31</v>
      </c>
      <c r="J95" t="s">
        <v>12</v>
      </c>
      <c r="K95">
        <v>49.71</v>
      </c>
    </row>
    <row r="96" spans="1:11" x14ac:dyDescent="0.25">
      <c r="A96">
        <v>95</v>
      </c>
      <c r="B96" t="s">
        <v>10</v>
      </c>
      <c r="C96" t="s">
        <v>29</v>
      </c>
      <c r="D96" t="s">
        <v>12</v>
      </c>
      <c r="E96">
        <v>86.66</v>
      </c>
      <c r="G96">
        <v>95</v>
      </c>
      <c r="H96" t="s">
        <v>10</v>
      </c>
      <c r="I96" t="s">
        <v>31</v>
      </c>
      <c r="J96" t="s">
        <v>3</v>
      </c>
      <c r="K96">
        <v>64.069999999999993</v>
      </c>
    </row>
    <row r="97" spans="1:11" x14ac:dyDescent="0.25">
      <c r="A97">
        <v>96</v>
      </c>
      <c r="B97" t="s">
        <v>10</v>
      </c>
      <c r="C97" t="s">
        <v>29</v>
      </c>
      <c r="D97" t="s">
        <v>3</v>
      </c>
      <c r="E97">
        <v>123</v>
      </c>
      <c r="G97">
        <v>96</v>
      </c>
      <c r="H97" t="s">
        <v>10</v>
      </c>
      <c r="I97" t="s">
        <v>31</v>
      </c>
      <c r="J97" t="s">
        <v>13</v>
      </c>
      <c r="K97">
        <v>207.83</v>
      </c>
    </row>
    <row r="98" spans="1:11" x14ac:dyDescent="0.25">
      <c r="A98">
        <v>97</v>
      </c>
      <c r="B98" t="s">
        <v>10</v>
      </c>
      <c r="C98" t="s">
        <v>29</v>
      </c>
      <c r="D98" t="s">
        <v>13</v>
      </c>
      <c r="E98">
        <v>361</v>
      </c>
      <c r="G98">
        <v>97</v>
      </c>
      <c r="H98" t="s">
        <v>10</v>
      </c>
      <c r="I98" t="s">
        <v>32</v>
      </c>
      <c r="J98" t="s">
        <v>9</v>
      </c>
      <c r="K98">
        <v>464</v>
      </c>
    </row>
    <row r="99" spans="1:11" x14ac:dyDescent="0.25">
      <c r="A99">
        <v>98</v>
      </c>
      <c r="B99" t="s">
        <v>10</v>
      </c>
      <c r="C99" t="s">
        <v>29</v>
      </c>
      <c r="D99" t="s">
        <v>14</v>
      </c>
      <c r="G99">
        <v>98</v>
      </c>
      <c r="H99" t="s">
        <v>10</v>
      </c>
      <c r="I99" t="s">
        <v>32</v>
      </c>
      <c r="J99" t="s">
        <v>2</v>
      </c>
      <c r="K99">
        <v>698</v>
      </c>
    </row>
    <row r="100" spans="1:11" x14ac:dyDescent="0.25">
      <c r="A100">
        <v>99</v>
      </c>
      <c r="B100" t="s">
        <v>10</v>
      </c>
      <c r="C100" t="s">
        <v>30</v>
      </c>
      <c r="D100" t="s">
        <v>9</v>
      </c>
      <c r="E100">
        <v>227</v>
      </c>
      <c r="G100">
        <v>99</v>
      </c>
      <c r="H100" t="s">
        <v>10</v>
      </c>
      <c r="I100" t="s">
        <v>32</v>
      </c>
      <c r="J100" t="s">
        <v>11</v>
      </c>
      <c r="K100">
        <v>710</v>
      </c>
    </row>
    <row r="101" spans="1:11" x14ac:dyDescent="0.25">
      <c r="A101">
        <v>100</v>
      </c>
      <c r="B101" t="s">
        <v>10</v>
      </c>
      <c r="C101" t="s">
        <v>30</v>
      </c>
      <c r="D101" t="s">
        <v>2</v>
      </c>
      <c r="E101">
        <v>62182</v>
      </c>
      <c r="G101">
        <v>100</v>
      </c>
      <c r="H101" t="s">
        <v>10</v>
      </c>
      <c r="I101" t="s">
        <v>32</v>
      </c>
      <c r="J101" t="s">
        <v>12</v>
      </c>
      <c r="K101">
        <v>711.6</v>
      </c>
    </row>
    <row r="102" spans="1:11" x14ac:dyDescent="0.25">
      <c r="A102">
        <v>101</v>
      </c>
      <c r="B102" t="s">
        <v>10</v>
      </c>
      <c r="C102" t="s">
        <v>30</v>
      </c>
      <c r="D102" t="s">
        <v>11</v>
      </c>
      <c r="E102">
        <v>93890</v>
      </c>
      <c r="G102">
        <v>101</v>
      </c>
      <c r="H102" t="s">
        <v>10</v>
      </c>
      <c r="I102" t="s">
        <v>32</v>
      </c>
      <c r="J102" t="s">
        <v>3</v>
      </c>
      <c r="K102">
        <v>731</v>
      </c>
    </row>
    <row r="103" spans="1:11" x14ac:dyDescent="0.25">
      <c r="A103">
        <v>102</v>
      </c>
      <c r="B103" t="s">
        <v>10</v>
      </c>
      <c r="C103" t="s">
        <v>30</v>
      </c>
      <c r="D103" t="s">
        <v>12</v>
      </c>
      <c r="E103">
        <v>106378</v>
      </c>
      <c r="G103">
        <v>102</v>
      </c>
      <c r="H103" t="s">
        <v>10</v>
      </c>
      <c r="I103" t="s">
        <v>32</v>
      </c>
      <c r="J103" t="s">
        <v>13</v>
      </c>
      <c r="K103">
        <v>822</v>
      </c>
    </row>
    <row r="104" spans="1:11" x14ac:dyDescent="0.25">
      <c r="A104">
        <v>103</v>
      </c>
      <c r="B104" t="s">
        <v>10</v>
      </c>
      <c r="C104" t="s">
        <v>30</v>
      </c>
      <c r="D104" t="s">
        <v>3</v>
      </c>
      <c r="E104">
        <v>132167</v>
      </c>
      <c r="G104">
        <v>103</v>
      </c>
      <c r="H104" t="s">
        <v>10</v>
      </c>
      <c r="I104" t="s">
        <v>41</v>
      </c>
      <c r="J104" t="s">
        <v>9</v>
      </c>
      <c r="K104">
        <v>2.99</v>
      </c>
    </row>
    <row r="105" spans="1:11" x14ac:dyDescent="0.25">
      <c r="A105">
        <v>104</v>
      </c>
      <c r="B105" t="s">
        <v>10</v>
      </c>
      <c r="C105" t="s">
        <v>30</v>
      </c>
      <c r="D105" t="s">
        <v>13</v>
      </c>
      <c r="E105">
        <v>838964</v>
      </c>
      <c r="G105">
        <v>104</v>
      </c>
      <c r="H105" t="s">
        <v>10</v>
      </c>
      <c r="I105" t="s">
        <v>41</v>
      </c>
      <c r="J105" t="s">
        <v>2</v>
      </c>
      <c r="K105">
        <v>6.3440000000000003</v>
      </c>
    </row>
    <row r="106" spans="1:11" x14ac:dyDescent="0.25">
      <c r="A106">
        <v>105</v>
      </c>
      <c r="B106" t="s">
        <v>10</v>
      </c>
      <c r="C106" t="s">
        <v>30</v>
      </c>
      <c r="D106" t="s">
        <v>14</v>
      </c>
      <c r="G106">
        <v>105</v>
      </c>
      <c r="H106" t="s">
        <v>10</v>
      </c>
      <c r="I106" t="s">
        <v>41</v>
      </c>
      <c r="J106" t="s">
        <v>11</v>
      </c>
      <c r="K106">
        <v>7.0709999999999997</v>
      </c>
    </row>
    <row r="107" spans="1:11" x14ac:dyDescent="0.25">
      <c r="A107">
        <v>106</v>
      </c>
      <c r="B107" t="s">
        <v>10</v>
      </c>
      <c r="C107" t="s">
        <v>31</v>
      </c>
      <c r="D107" t="s">
        <v>9</v>
      </c>
      <c r="E107">
        <v>0.01</v>
      </c>
      <c r="G107">
        <v>106</v>
      </c>
      <c r="H107" t="s">
        <v>10</v>
      </c>
      <c r="I107" t="s">
        <v>41</v>
      </c>
      <c r="J107" t="s">
        <v>12</v>
      </c>
      <c r="K107">
        <v>7.1</v>
      </c>
    </row>
    <row r="108" spans="1:11" x14ac:dyDescent="0.25">
      <c r="A108">
        <v>107</v>
      </c>
      <c r="B108" t="s">
        <v>10</v>
      </c>
      <c r="C108" t="s">
        <v>31</v>
      </c>
      <c r="D108" t="s">
        <v>2</v>
      </c>
      <c r="E108">
        <v>38.18</v>
      </c>
      <c r="G108">
        <v>107</v>
      </c>
      <c r="H108" t="s">
        <v>10</v>
      </c>
      <c r="I108" t="s">
        <v>41</v>
      </c>
      <c r="J108" t="s">
        <v>3</v>
      </c>
      <c r="K108">
        <v>7.9169999999999998</v>
      </c>
    </row>
    <row r="109" spans="1:11" x14ac:dyDescent="0.25">
      <c r="A109">
        <v>108</v>
      </c>
      <c r="B109" t="s">
        <v>10</v>
      </c>
      <c r="C109" t="s">
        <v>31</v>
      </c>
      <c r="D109" t="s">
        <v>11</v>
      </c>
      <c r="E109">
        <v>54.01</v>
      </c>
      <c r="G109">
        <v>108</v>
      </c>
      <c r="H109" t="s">
        <v>10</v>
      </c>
      <c r="I109" t="s">
        <v>41</v>
      </c>
      <c r="J109" t="s">
        <v>13</v>
      </c>
      <c r="K109">
        <v>13.939</v>
      </c>
    </row>
    <row r="110" spans="1:11" x14ac:dyDescent="0.25">
      <c r="A110">
        <v>109</v>
      </c>
      <c r="B110" t="s">
        <v>10</v>
      </c>
      <c r="C110" t="s">
        <v>31</v>
      </c>
      <c r="D110" t="s">
        <v>12</v>
      </c>
      <c r="E110">
        <v>53.33</v>
      </c>
      <c r="G110">
        <v>109</v>
      </c>
      <c r="H110" t="s">
        <v>10</v>
      </c>
      <c r="I110" t="s">
        <v>42</v>
      </c>
      <c r="J110" t="s">
        <v>9</v>
      </c>
      <c r="K110">
        <v>87.66</v>
      </c>
    </row>
    <row r="111" spans="1:11" x14ac:dyDescent="0.25">
      <c r="A111">
        <v>110</v>
      </c>
      <c r="B111" t="s">
        <v>10</v>
      </c>
      <c r="C111" t="s">
        <v>31</v>
      </c>
      <c r="D111" t="s">
        <v>3</v>
      </c>
      <c r="E111">
        <v>68.05</v>
      </c>
      <c r="G111">
        <v>110</v>
      </c>
      <c r="H111" t="s">
        <v>10</v>
      </c>
      <c r="I111" t="s">
        <v>42</v>
      </c>
      <c r="J111" t="s">
        <v>2</v>
      </c>
      <c r="K111">
        <v>96.94</v>
      </c>
    </row>
    <row r="112" spans="1:11" x14ac:dyDescent="0.25">
      <c r="A112">
        <v>111</v>
      </c>
      <c r="B112" t="s">
        <v>10</v>
      </c>
      <c r="C112" t="s">
        <v>31</v>
      </c>
      <c r="D112" t="s">
        <v>13</v>
      </c>
      <c r="E112">
        <v>207.83</v>
      </c>
      <c r="G112">
        <v>111</v>
      </c>
      <c r="H112" t="s">
        <v>10</v>
      </c>
      <c r="I112" t="s">
        <v>42</v>
      </c>
      <c r="J112" t="s">
        <v>11</v>
      </c>
      <c r="K112">
        <v>109.4</v>
      </c>
    </row>
    <row r="113" spans="1:11" x14ac:dyDescent="0.25">
      <c r="A113">
        <v>112</v>
      </c>
      <c r="B113" t="s">
        <v>10</v>
      </c>
      <c r="C113" t="s">
        <v>31</v>
      </c>
      <c r="D113" t="s">
        <v>14</v>
      </c>
      <c r="G113">
        <v>112</v>
      </c>
      <c r="H113" t="s">
        <v>10</v>
      </c>
      <c r="I113" t="s">
        <v>42</v>
      </c>
      <c r="J113" t="s">
        <v>12</v>
      </c>
      <c r="K113">
        <v>106.22</v>
      </c>
    </row>
    <row r="114" spans="1:11" x14ac:dyDescent="0.25">
      <c r="A114">
        <v>113</v>
      </c>
      <c r="B114" t="s">
        <v>10</v>
      </c>
      <c r="C114" t="s">
        <v>32</v>
      </c>
      <c r="D114" t="s">
        <v>9</v>
      </c>
      <c r="E114">
        <v>464</v>
      </c>
      <c r="G114">
        <v>113</v>
      </c>
      <c r="H114" t="s">
        <v>10</v>
      </c>
      <c r="I114" t="s">
        <v>42</v>
      </c>
      <c r="J114" t="s">
        <v>3</v>
      </c>
      <c r="K114">
        <v>112.95</v>
      </c>
    </row>
    <row r="115" spans="1:11" x14ac:dyDescent="0.25">
      <c r="A115">
        <v>114</v>
      </c>
      <c r="B115" t="s">
        <v>10</v>
      </c>
      <c r="C115" t="s">
        <v>32</v>
      </c>
      <c r="D115" t="s">
        <v>2</v>
      </c>
      <c r="E115">
        <v>698</v>
      </c>
      <c r="G115">
        <v>114</v>
      </c>
      <c r="H115" t="s">
        <v>10</v>
      </c>
      <c r="I115" t="s">
        <v>42</v>
      </c>
      <c r="J115" t="s">
        <v>13</v>
      </c>
      <c r="K115">
        <v>123.34</v>
      </c>
    </row>
    <row r="116" spans="1:11" x14ac:dyDescent="0.25">
      <c r="A116">
        <v>115</v>
      </c>
      <c r="B116" t="s">
        <v>10</v>
      </c>
      <c r="C116" t="s">
        <v>32</v>
      </c>
      <c r="D116" t="s">
        <v>11</v>
      </c>
      <c r="E116">
        <v>717</v>
      </c>
      <c r="G116">
        <v>115</v>
      </c>
      <c r="H116" t="s">
        <v>10</v>
      </c>
      <c r="I116" t="s">
        <v>6</v>
      </c>
      <c r="J116" t="s">
        <v>9</v>
      </c>
      <c r="K116">
        <v>87.66</v>
      </c>
    </row>
    <row r="117" spans="1:11" x14ac:dyDescent="0.25">
      <c r="A117">
        <v>116</v>
      </c>
      <c r="B117" t="s">
        <v>10</v>
      </c>
      <c r="C117" t="s">
        <v>32</v>
      </c>
      <c r="D117" t="s">
        <v>12</v>
      </c>
      <c r="E117">
        <v>713.3</v>
      </c>
      <c r="G117">
        <v>116</v>
      </c>
      <c r="H117" t="s">
        <v>10</v>
      </c>
      <c r="I117" t="s">
        <v>6</v>
      </c>
      <c r="J117" t="s">
        <v>2</v>
      </c>
      <c r="K117">
        <v>96.94</v>
      </c>
    </row>
    <row r="118" spans="1:11" x14ac:dyDescent="0.25">
      <c r="A118">
        <v>117</v>
      </c>
      <c r="B118" t="s">
        <v>10</v>
      </c>
      <c r="C118" t="s">
        <v>32</v>
      </c>
      <c r="D118" t="s">
        <v>3</v>
      </c>
      <c r="E118">
        <v>731</v>
      </c>
      <c r="G118">
        <v>117</v>
      </c>
      <c r="H118" t="s">
        <v>10</v>
      </c>
      <c r="I118" t="s">
        <v>6</v>
      </c>
      <c r="J118" t="s">
        <v>11</v>
      </c>
      <c r="K118">
        <v>109.4</v>
      </c>
    </row>
    <row r="119" spans="1:11" x14ac:dyDescent="0.25">
      <c r="A119">
        <v>118</v>
      </c>
      <c r="B119" t="s">
        <v>10</v>
      </c>
      <c r="C119" t="s">
        <v>32</v>
      </c>
      <c r="D119" t="s">
        <v>13</v>
      </c>
      <c r="E119">
        <v>822</v>
      </c>
      <c r="G119">
        <v>118</v>
      </c>
      <c r="H119" t="s">
        <v>10</v>
      </c>
      <c r="I119" t="s">
        <v>6</v>
      </c>
      <c r="J119" t="s">
        <v>12</v>
      </c>
      <c r="K119">
        <v>106.22</v>
      </c>
    </row>
    <row r="120" spans="1:11" x14ac:dyDescent="0.25">
      <c r="A120">
        <v>119</v>
      </c>
      <c r="B120" t="s">
        <v>10</v>
      </c>
      <c r="C120" t="s">
        <v>32</v>
      </c>
      <c r="D120" t="s">
        <v>14</v>
      </c>
      <c r="G120">
        <v>119</v>
      </c>
      <c r="H120" t="s">
        <v>10</v>
      </c>
      <c r="I120" t="s">
        <v>6</v>
      </c>
      <c r="J120" t="s">
        <v>3</v>
      </c>
      <c r="K120">
        <v>112.95</v>
      </c>
    </row>
    <row r="121" spans="1:11" x14ac:dyDescent="0.25">
      <c r="A121">
        <v>120</v>
      </c>
      <c r="B121" t="s">
        <v>10</v>
      </c>
      <c r="C121" t="s">
        <v>6</v>
      </c>
      <c r="D121" t="s">
        <v>9</v>
      </c>
      <c r="E121">
        <v>18.489999999999998</v>
      </c>
      <c r="G121">
        <v>120</v>
      </c>
      <c r="H121" t="s">
        <v>10</v>
      </c>
      <c r="I121" t="s">
        <v>6</v>
      </c>
      <c r="J121" t="s">
        <v>13</v>
      </c>
      <c r="K121">
        <v>123.34</v>
      </c>
    </row>
    <row r="122" spans="1:11" x14ac:dyDescent="0.25">
      <c r="A122">
        <v>121</v>
      </c>
      <c r="B122" t="s">
        <v>10</v>
      </c>
      <c r="C122" t="s">
        <v>6</v>
      </c>
      <c r="D122" t="s">
        <v>2</v>
      </c>
      <c r="E122">
        <v>107.49</v>
      </c>
      <c r="G122">
        <v>121</v>
      </c>
      <c r="H122" t="s">
        <v>10</v>
      </c>
      <c r="I122" t="s">
        <v>33</v>
      </c>
      <c r="J122" t="s">
        <v>9</v>
      </c>
      <c r="K122">
        <v>4.0099999999999997E-3</v>
      </c>
    </row>
    <row r="123" spans="1:11" x14ac:dyDescent="0.25">
      <c r="A123">
        <v>122</v>
      </c>
      <c r="B123" t="s">
        <v>10</v>
      </c>
      <c r="C123" t="s">
        <v>6</v>
      </c>
      <c r="D123" t="s">
        <v>11</v>
      </c>
      <c r="E123">
        <v>136.05000000000001</v>
      </c>
      <c r="G123">
        <v>122</v>
      </c>
      <c r="H123" t="s">
        <v>10</v>
      </c>
      <c r="I123" t="s">
        <v>33</v>
      </c>
      <c r="J123" t="s">
        <v>2</v>
      </c>
      <c r="K123">
        <v>24.211649999999999</v>
      </c>
    </row>
    <row r="124" spans="1:11" x14ac:dyDescent="0.25">
      <c r="A124">
        <v>123</v>
      </c>
      <c r="B124" t="s">
        <v>10</v>
      </c>
      <c r="C124" t="s">
        <v>6</v>
      </c>
      <c r="D124" t="s">
        <v>12</v>
      </c>
      <c r="E124">
        <v>280.24</v>
      </c>
      <c r="G124">
        <v>123</v>
      </c>
      <c r="H124" t="s">
        <v>10</v>
      </c>
      <c r="I124" t="s">
        <v>33</v>
      </c>
      <c r="J124" t="s">
        <v>11</v>
      </c>
      <c r="K124">
        <v>45.13644</v>
      </c>
    </row>
    <row r="125" spans="1:11" x14ac:dyDescent="0.25">
      <c r="A125">
        <v>124</v>
      </c>
      <c r="B125" t="s">
        <v>10</v>
      </c>
      <c r="C125" t="s">
        <v>6</v>
      </c>
      <c r="D125" t="s">
        <v>3</v>
      </c>
      <c r="E125">
        <v>428.96</v>
      </c>
      <c r="G125">
        <v>124</v>
      </c>
      <c r="H125" t="s">
        <v>10</v>
      </c>
      <c r="I125" t="s">
        <v>33</v>
      </c>
      <c r="J125" t="s">
        <v>12</v>
      </c>
      <c r="K125">
        <v>46.299959999999999</v>
      </c>
    </row>
    <row r="126" spans="1:11" x14ac:dyDescent="0.25">
      <c r="A126">
        <v>125</v>
      </c>
      <c r="B126" t="s">
        <v>10</v>
      </c>
      <c r="C126" t="s">
        <v>6</v>
      </c>
      <c r="D126" t="s">
        <v>13</v>
      </c>
      <c r="E126">
        <v>830.36</v>
      </c>
      <c r="G126">
        <v>125</v>
      </c>
      <c r="H126" t="s">
        <v>10</v>
      </c>
      <c r="I126" t="s">
        <v>33</v>
      </c>
      <c r="J126" t="s">
        <v>3</v>
      </c>
      <c r="K126">
        <v>65.612039999999993</v>
      </c>
    </row>
    <row r="127" spans="1:11" x14ac:dyDescent="0.25">
      <c r="A127">
        <v>126</v>
      </c>
      <c r="B127" t="s">
        <v>10</v>
      </c>
      <c r="C127" t="s">
        <v>6</v>
      </c>
      <c r="D127" t="s">
        <v>14</v>
      </c>
      <c r="G127">
        <v>126</v>
      </c>
      <c r="H127" t="s">
        <v>10</v>
      </c>
      <c r="I127" t="s">
        <v>33</v>
      </c>
      <c r="J127" t="s">
        <v>13</v>
      </c>
      <c r="K127">
        <v>91.958219999999997</v>
      </c>
    </row>
    <row r="128" spans="1:11" x14ac:dyDescent="0.25">
      <c r="A128">
        <v>127</v>
      </c>
      <c r="B128" t="s">
        <v>10</v>
      </c>
      <c r="C128" t="s">
        <v>33</v>
      </c>
      <c r="D128" t="s">
        <v>9</v>
      </c>
      <c r="E128">
        <v>2.06</v>
      </c>
      <c r="G128">
        <v>127</v>
      </c>
      <c r="H128" t="s">
        <v>10</v>
      </c>
      <c r="I128" t="s">
        <v>7</v>
      </c>
      <c r="J128" t="s">
        <v>9</v>
      </c>
      <c r="K128">
        <v>1</v>
      </c>
    </row>
    <row r="129" spans="1:11" x14ac:dyDescent="0.25">
      <c r="A129">
        <v>128</v>
      </c>
      <c r="B129" t="s">
        <v>10</v>
      </c>
      <c r="C129" t="s">
        <v>33</v>
      </c>
      <c r="D129" t="s">
        <v>2</v>
      </c>
      <c r="E129">
        <v>27.31</v>
      </c>
      <c r="G129">
        <v>128</v>
      </c>
      <c r="H129" t="s">
        <v>10</v>
      </c>
      <c r="I129" t="s">
        <v>7</v>
      </c>
      <c r="J129" t="s">
        <v>2</v>
      </c>
      <c r="K129">
        <v>1</v>
      </c>
    </row>
    <row r="130" spans="1:11" x14ac:dyDescent="0.25">
      <c r="A130">
        <v>129</v>
      </c>
      <c r="B130" t="s">
        <v>10</v>
      </c>
      <c r="C130" t="s">
        <v>33</v>
      </c>
      <c r="D130" t="s">
        <v>11</v>
      </c>
      <c r="E130">
        <v>46.63</v>
      </c>
      <c r="G130">
        <v>129</v>
      </c>
      <c r="H130" t="s">
        <v>10</v>
      </c>
      <c r="I130" t="s">
        <v>7</v>
      </c>
      <c r="J130" t="s">
        <v>11</v>
      </c>
      <c r="K130">
        <v>1</v>
      </c>
    </row>
    <row r="131" spans="1:11" x14ac:dyDescent="0.25">
      <c r="A131">
        <v>130</v>
      </c>
      <c r="B131" t="s">
        <v>10</v>
      </c>
      <c r="C131" t="s">
        <v>33</v>
      </c>
      <c r="D131" t="s">
        <v>12</v>
      </c>
      <c r="E131">
        <v>48.07</v>
      </c>
      <c r="G131">
        <v>130</v>
      </c>
      <c r="H131" t="s">
        <v>10</v>
      </c>
      <c r="I131" t="s">
        <v>7</v>
      </c>
      <c r="J131" t="s">
        <v>12</v>
      </c>
      <c r="K131">
        <v>1</v>
      </c>
    </row>
    <row r="132" spans="1:11" x14ac:dyDescent="0.25">
      <c r="A132">
        <v>131</v>
      </c>
      <c r="B132" t="s">
        <v>10</v>
      </c>
      <c r="C132" t="s">
        <v>33</v>
      </c>
      <c r="D132" t="s">
        <v>3</v>
      </c>
      <c r="E132">
        <v>69.5</v>
      </c>
      <c r="G132">
        <v>131</v>
      </c>
      <c r="H132" t="s">
        <v>10</v>
      </c>
      <c r="I132" t="s">
        <v>7</v>
      </c>
      <c r="J132" t="s">
        <v>3</v>
      </c>
      <c r="K132">
        <v>1</v>
      </c>
    </row>
    <row r="133" spans="1:11" x14ac:dyDescent="0.25">
      <c r="A133">
        <v>132</v>
      </c>
      <c r="B133" t="s">
        <v>10</v>
      </c>
      <c r="C133" t="s">
        <v>33</v>
      </c>
      <c r="D133" t="s">
        <v>13</v>
      </c>
      <c r="E133">
        <v>99.71</v>
      </c>
      <c r="G133">
        <v>132</v>
      </c>
      <c r="H133" t="s">
        <v>10</v>
      </c>
      <c r="I133" t="s">
        <v>7</v>
      </c>
      <c r="J133" t="s">
        <v>13</v>
      </c>
      <c r="K133">
        <v>1</v>
      </c>
    </row>
    <row r="134" spans="1:11" x14ac:dyDescent="0.25">
      <c r="A134">
        <v>133</v>
      </c>
      <c r="B134" t="s">
        <v>10</v>
      </c>
      <c r="C134" t="s">
        <v>33</v>
      </c>
      <c r="D134" t="s">
        <v>14</v>
      </c>
      <c r="G134">
        <v>133</v>
      </c>
      <c r="H134" t="s">
        <v>10</v>
      </c>
      <c r="I134" t="s">
        <v>34</v>
      </c>
      <c r="J134" t="s">
        <v>9</v>
      </c>
      <c r="K134">
        <v>0</v>
      </c>
    </row>
    <row r="135" spans="1:11" x14ac:dyDescent="0.25">
      <c r="A135">
        <v>134</v>
      </c>
      <c r="B135" t="s">
        <v>10</v>
      </c>
      <c r="C135" t="s">
        <v>7</v>
      </c>
      <c r="D135" t="s">
        <v>9</v>
      </c>
      <c r="E135">
        <v>1</v>
      </c>
      <c r="G135">
        <v>134</v>
      </c>
      <c r="H135" t="s">
        <v>10</v>
      </c>
      <c r="I135" t="s">
        <v>34</v>
      </c>
      <c r="J135" t="s">
        <v>2</v>
      </c>
      <c r="K135">
        <v>0</v>
      </c>
    </row>
    <row r="136" spans="1:11" x14ac:dyDescent="0.25">
      <c r="A136">
        <v>135</v>
      </c>
      <c r="B136" t="s">
        <v>10</v>
      </c>
      <c r="C136" t="s">
        <v>7</v>
      </c>
      <c r="D136" t="s">
        <v>2</v>
      </c>
      <c r="E136">
        <v>1</v>
      </c>
      <c r="G136">
        <v>135</v>
      </c>
      <c r="H136" t="s">
        <v>10</v>
      </c>
      <c r="I136" t="s">
        <v>34</v>
      </c>
      <c r="J136" t="s">
        <v>11</v>
      </c>
      <c r="K136">
        <v>33.6</v>
      </c>
    </row>
    <row r="137" spans="1:11" x14ac:dyDescent="0.25">
      <c r="A137">
        <v>136</v>
      </c>
      <c r="B137" t="s">
        <v>10</v>
      </c>
      <c r="C137" t="s">
        <v>7</v>
      </c>
      <c r="D137" t="s">
        <v>11</v>
      </c>
      <c r="E137">
        <v>1</v>
      </c>
      <c r="G137">
        <v>136</v>
      </c>
      <c r="H137" t="s">
        <v>10</v>
      </c>
      <c r="I137" t="s">
        <v>34</v>
      </c>
      <c r="J137" t="s">
        <v>12</v>
      </c>
      <c r="K137">
        <v>37.49</v>
      </c>
    </row>
    <row r="138" spans="1:11" x14ac:dyDescent="0.25">
      <c r="A138">
        <v>137</v>
      </c>
      <c r="B138" t="s">
        <v>10</v>
      </c>
      <c r="C138" t="s">
        <v>7</v>
      </c>
      <c r="D138" t="s">
        <v>12</v>
      </c>
      <c r="E138">
        <v>1</v>
      </c>
      <c r="G138">
        <v>137</v>
      </c>
      <c r="H138" t="s">
        <v>10</v>
      </c>
      <c r="I138" t="s">
        <v>34</v>
      </c>
      <c r="J138" t="s">
        <v>3</v>
      </c>
      <c r="K138">
        <v>69.97</v>
      </c>
    </row>
    <row r="139" spans="1:11" x14ac:dyDescent="0.25">
      <c r="A139">
        <v>138</v>
      </c>
      <c r="B139" t="s">
        <v>10</v>
      </c>
      <c r="C139" t="s">
        <v>7</v>
      </c>
      <c r="D139" t="s">
        <v>3</v>
      </c>
      <c r="E139">
        <v>1</v>
      </c>
      <c r="G139">
        <v>138</v>
      </c>
      <c r="H139" t="s">
        <v>10</v>
      </c>
      <c r="I139" t="s">
        <v>34</v>
      </c>
      <c r="J139" t="s">
        <v>13</v>
      </c>
      <c r="K139">
        <v>100</v>
      </c>
    </row>
    <row r="140" spans="1:11" x14ac:dyDescent="0.25">
      <c r="A140">
        <v>139</v>
      </c>
      <c r="B140" t="s">
        <v>10</v>
      </c>
      <c r="C140" t="s">
        <v>7</v>
      </c>
      <c r="D140" t="s">
        <v>13</v>
      </c>
      <c r="E140">
        <v>1</v>
      </c>
      <c r="G140">
        <v>139</v>
      </c>
      <c r="H140" t="s">
        <v>10</v>
      </c>
      <c r="I140" t="s">
        <v>35</v>
      </c>
      <c r="J140" t="s">
        <v>9</v>
      </c>
      <c r="K140">
        <v>0</v>
      </c>
    </row>
    <row r="141" spans="1:11" x14ac:dyDescent="0.25">
      <c r="A141">
        <v>140</v>
      </c>
      <c r="B141" t="s">
        <v>10</v>
      </c>
      <c r="C141" t="s">
        <v>7</v>
      </c>
      <c r="D141" t="s">
        <v>14</v>
      </c>
      <c r="G141">
        <v>140</v>
      </c>
      <c r="H141" t="s">
        <v>10</v>
      </c>
      <c r="I141" t="s">
        <v>35</v>
      </c>
      <c r="J141" t="s">
        <v>2</v>
      </c>
      <c r="K141">
        <v>100</v>
      </c>
    </row>
    <row r="142" spans="1:11" x14ac:dyDescent="0.25">
      <c r="A142">
        <v>141</v>
      </c>
      <c r="B142" t="s">
        <v>10</v>
      </c>
      <c r="C142" t="s">
        <v>34</v>
      </c>
      <c r="D142" t="s">
        <v>9</v>
      </c>
      <c r="E142">
        <v>0</v>
      </c>
      <c r="G142">
        <v>141</v>
      </c>
      <c r="H142" t="s">
        <v>10</v>
      </c>
      <c r="I142" t="s">
        <v>35</v>
      </c>
      <c r="J142" t="s">
        <v>11</v>
      </c>
      <c r="K142">
        <v>100</v>
      </c>
    </row>
    <row r="143" spans="1:11" x14ac:dyDescent="0.25">
      <c r="A143">
        <v>142</v>
      </c>
      <c r="B143" t="s">
        <v>10</v>
      </c>
      <c r="C143" t="s">
        <v>34</v>
      </c>
      <c r="D143" t="s">
        <v>2</v>
      </c>
      <c r="E143">
        <v>26.59</v>
      </c>
      <c r="G143">
        <v>142</v>
      </c>
      <c r="H143" t="s">
        <v>10</v>
      </c>
      <c r="I143" t="s">
        <v>35</v>
      </c>
      <c r="J143" t="s">
        <v>12</v>
      </c>
      <c r="K143">
        <v>99.11</v>
      </c>
    </row>
    <row r="144" spans="1:11" x14ac:dyDescent="0.25">
      <c r="A144">
        <v>143</v>
      </c>
      <c r="B144" t="s">
        <v>10</v>
      </c>
      <c r="C144" t="s">
        <v>34</v>
      </c>
      <c r="D144" t="s">
        <v>11</v>
      </c>
      <c r="E144">
        <v>53.9</v>
      </c>
      <c r="G144">
        <v>143</v>
      </c>
      <c r="H144" t="s">
        <v>10</v>
      </c>
      <c r="I144" t="s">
        <v>35</v>
      </c>
      <c r="J144" t="s">
        <v>3</v>
      </c>
      <c r="K144">
        <v>100</v>
      </c>
    </row>
    <row r="145" spans="1:11" x14ac:dyDescent="0.25">
      <c r="A145">
        <v>144</v>
      </c>
      <c r="B145" t="s">
        <v>10</v>
      </c>
      <c r="C145" t="s">
        <v>34</v>
      </c>
      <c r="D145" t="s">
        <v>12</v>
      </c>
      <c r="E145">
        <v>51.62</v>
      </c>
      <c r="G145">
        <v>144</v>
      </c>
      <c r="H145" t="s">
        <v>10</v>
      </c>
      <c r="I145" t="s">
        <v>35</v>
      </c>
      <c r="J145" t="s">
        <v>13</v>
      </c>
      <c r="K145">
        <v>100</v>
      </c>
    </row>
    <row r="146" spans="1:11" x14ac:dyDescent="0.25">
      <c r="A146">
        <v>145</v>
      </c>
      <c r="B146" t="s">
        <v>10</v>
      </c>
      <c r="C146" t="s">
        <v>34</v>
      </c>
      <c r="D146" t="s">
        <v>3</v>
      </c>
      <c r="E146">
        <v>78.55</v>
      </c>
      <c r="G146">
        <v>145</v>
      </c>
      <c r="H146" t="s">
        <v>10</v>
      </c>
      <c r="I146" t="s">
        <v>36</v>
      </c>
      <c r="J146" t="s">
        <v>9</v>
      </c>
      <c r="K146">
        <v>0</v>
      </c>
    </row>
    <row r="147" spans="1:11" x14ac:dyDescent="0.25">
      <c r="A147">
        <v>146</v>
      </c>
      <c r="B147" t="s">
        <v>10</v>
      </c>
      <c r="C147" t="s">
        <v>34</v>
      </c>
      <c r="D147" t="s">
        <v>13</v>
      </c>
      <c r="E147">
        <v>100</v>
      </c>
      <c r="G147">
        <v>146</v>
      </c>
      <c r="H147" t="s">
        <v>10</v>
      </c>
      <c r="I147" t="s">
        <v>36</v>
      </c>
      <c r="J147" t="s">
        <v>2</v>
      </c>
      <c r="K147">
        <v>0</v>
      </c>
    </row>
    <row r="148" spans="1:11" x14ac:dyDescent="0.25">
      <c r="A148">
        <v>147</v>
      </c>
      <c r="B148" t="s">
        <v>10</v>
      </c>
      <c r="C148" t="s">
        <v>34</v>
      </c>
      <c r="D148" t="s">
        <v>14</v>
      </c>
      <c r="G148">
        <v>147</v>
      </c>
      <c r="H148" t="s">
        <v>10</v>
      </c>
      <c r="I148" t="s">
        <v>36</v>
      </c>
      <c r="J148" t="s">
        <v>11</v>
      </c>
      <c r="K148">
        <v>0</v>
      </c>
    </row>
    <row r="149" spans="1:11" x14ac:dyDescent="0.25">
      <c r="A149">
        <v>148</v>
      </c>
      <c r="B149" t="s">
        <v>10</v>
      </c>
      <c r="C149" t="s">
        <v>35</v>
      </c>
      <c r="D149" t="s">
        <v>9</v>
      </c>
      <c r="E149">
        <v>0</v>
      </c>
      <c r="G149">
        <v>148</v>
      </c>
      <c r="H149" t="s">
        <v>10</v>
      </c>
      <c r="I149" t="s">
        <v>36</v>
      </c>
      <c r="J149" t="s">
        <v>12</v>
      </c>
      <c r="K149">
        <v>2.879</v>
      </c>
    </row>
    <row r="150" spans="1:11" x14ac:dyDescent="0.25">
      <c r="A150">
        <v>149</v>
      </c>
      <c r="B150" t="s">
        <v>10</v>
      </c>
      <c r="C150" t="s">
        <v>35</v>
      </c>
      <c r="D150" t="s">
        <v>2</v>
      </c>
      <c r="E150">
        <v>91.39</v>
      </c>
      <c r="G150">
        <v>149</v>
      </c>
      <c r="H150" t="s">
        <v>10</v>
      </c>
      <c r="I150" t="s">
        <v>36</v>
      </c>
      <c r="J150" t="s">
        <v>3</v>
      </c>
      <c r="K150">
        <v>0</v>
      </c>
    </row>
    <row r="151" spans="1:11" x14ac:dyDescent="0.25">
      <c r="A151">
        <v>150</v>
      </c>
      <c r="B151" t="s">
        <v>10</v>
      </c>
      <c r="C151" t="s">
        <v>35</v>
      </c>
      <c r="D151" t="s">
        <v>11</v>
      </c>
      <c r="E151">
        <v>100</v>
      </c>
      <c r="G151">
        <v>150</v>
      </c>
      <c r="H151" t="s">
        <v>10</v>
      </c>
      <c r="I151" t="s">
        <v>36</v>
      </c>
      <c r="J151" t="s">
        <v>13</v>
      </c>
      <c r="K151">
        <v>100</v>
      </c>
    </row>
    <row r="152" spans="1:11" x14ac:dyDescent="0.25">
      <c r="A152">
        <v>151</v>
      </c>
      <c r="B152" t="s">
        <v>10</v>
      </c>
      <c r="C152" t="s">
        <v>35</v>
      </c>
      <c r="D152" t="s">
        <v>12</v>
      </c>
      <c r="E152">
        <v>90.86</v>
      </c>
      <c r="G152">
        <v>151</v>
      </c>
      <c r="H152" t="s">
        <v>10</v>
      </c>
      <c r="I152" t="s">
        <v>37</v>
      </c>
      <c r="J152" t="s">
        <v>9</v>
      </c>
      <c r="K152">
        <v>0</v>
      </c>
    </row>
    <row r="153" spans="1:11" x14ac:dyDescent="0.25">
      <c r="A153">
        <v>152</v>
      </c>
      <c r="B153" t="s">
        <v>10</v>
      </c>
      <c r="C153" t="s">
        <v>35</v>
      </c>
      <c r="D153" t="s">
        <v>3</v>
      </c>
      <c r="E153">
        <v>100</v>
      </c>
      <c r="G153">
        <v>152</v>
      </c>
      <c r="H153" t="s">
        <v>10</v>
      </c>
      <c r="I153" t="s">
        <v>37</v>
      </c>
      <c r="J153" t="s">
        <v>2</v>
      </c>
      <c r="K153">
        <v>0</v>
      </c>
    </row>
    <row r="154" spans="1:11" x14ac:dyDescent="0.25">
      <c r="A154">
        <v>153</v>
      </c>
      <c r="B154" t="s">
        <v>10</v>
      </c>
      <c r="C154" t="s">
        <v>35</v>
      </c>
      <c r="D154" t="s">
        <v>13</v>
      </c>
      <c r="E154">
        <v>100</v>
      </c>
      <c r="G154">
        <v>153</v>
      </c>
      <c r="H154" t="s">
        <v>10</v>
      </c>
      <c r="I154" t="s">
        <v>37</v>
      </c>
      <c r="J154" t="s">
        <v>11</v>
      </c>
      <c r="K154">
        <v>0</v>
      </c>
    </row>
    <row r="155" spans="1:11" x14ac:dyDescent="0.25">
      <c r="A155">
        <v>154</v>
      </c>
      <c r="B155" t="s">
        <v>10</v>
      </c>
      <c r="C155" t="s">
        <v>35</v>
      </c>
      <c r="D155" t="s">
        <v>14</v>
      </c>
      <c r="G155">
        <v>154</v>
      </c>
      <c r="H155" t="s">
        <v>10</v>
      </c>
      <c r="I155" t="s">
        <v>37</v>
      </c>
      <c r="J155" t="s">
        <v>12</v>
      </c>
      <c r="K155">
        <v>3.258</v>
      </c>
    </row>
    <row r="156" spans="1:11" x14ac:dyDescent="0.25">
      <c r="A156">
        <v>155</v>
      </c>
      <c r="B156" t="s">
        <v>10</v>
      </c>
      <c r="C156" t="s">
        <v>36</v>
      </c>
      <c r="D156" t="s">
        <v>9</v>
      </c>
      <c r="E156">
        <v>0</v>
      </c>
      <c r="G156">
        <v>155</v>
      </c>
      <c r="H156" t="s">
        <v>10</v>
      </c>
      <c r="I156" t="s">
        <v>37</v>
      </c>
      <c r="J156" t="s">
        <v>3</v>
      </c>
      <c r="K156">
        <v>0</v>
      </c>
    </row>
    <row r="157" spans="1:11" x14ac:dyDescent="0.25">
      <c r="A157">
        <v>156</v>
      </c>
      <c r="B157" t="s">
        <v>10</v>
      </c>
      <c r="C157" t="s">
        <v>36</v>
      </c>
      <c r="D157" t="s">
        <v>2</v>
      </c>
      <c r="E157">
        <v>0</v>
      </c>
      <c r="G157">
        <v>156</v>
      </c>
      <c r="H157" t="s">
        <v>10</v>
      </c>
      <c r="I157" t="s">
        <v>37</v>
      </c>
      <c r="J157" t="s">
        <v>13</v>
      </c>
      <c r="K157">
        <v>100</v>
      </c>
    </row>
    <row r="158" spans="1:11" x14ac:dyDescent="0.25">
      <c r="A158">
        <v>157</v>
      </c>
      <c r="B158" t="s">
        <v>10</v>
      </c>
      <c r="C158" t="s">
        <v>36</v>
      </c>
      <c r="D158" t="s">
        <v>11</v>
      </c>
      <c r="E158">
        <v>0</v>
      </c>
      <c r="G158">
        <v>157</v>
      </c>
      <c r="H158" t="s">
        <v>10</v>
      </c>
      <c r="I158" t="s">
        <v>38</v>
      </c>
      <c r="J158" t="s">
        <v>9</v>
      </c>
      <c r="K158">
        <v>0</v>
      </c>
    </row>
    <row r="159" spans="1:11" x14ac:dyDescent="0.25">
      <c r="A159">
        <v>158</v>
      </c>
      <c r="B159" t="s">
        <v>10</v>
      </c>
      <c r="C159" t="s">
        <v>36</v>
      </c>
      <c r="D159" t="s">
        <v>12</v>
      </c>
      <c r="E159">
        <v>2.903</v>
      </c>
      <c r="G159">
        <v>158</v>
      </c>
      <c r="H159" t="s">
        <v>10</v>
      </c>
      <c r="I159" t="s">
        <v>38</v>
      </c>
      <c r="J159" t="s">
        <v>2</v>
      </c>
      <c r="K159">
        <v>0</v>
      </c>
    </row>
    <row r="160" spans="1:11" x14ac:dyDescent="0.25">
      <c r="A160">
        <v>159</v>
      </c>
      <c r="B160" t="s">
        <v>10</v>
      </c>
      <c r="C160" t="s">
        <v>36</v>
      </c>
      <c r="D160" t="s">
        <v>3</v>
      </c>
      <c r="E160">
        <v>0</v>
      </c>
      <c r="G160">
        <v>159</v>
      </c>
      <c r="H160" t="s">
        <v>10</v>
      </c>
      <c r="I160" t="s">
        <v>38</v>
      </c>
      <c r="J160" t="s">
        <v>11</v>
      </c>
      <c r="K160">
        <v>0</v>
      </c>
    </row>
    <row r="161" spans="1:11" x14ac:dyDescent="0.25">
      <c r="A161">
        <v>160</v>
      </c>
      <c r="B161" t="s">
        <v>10</v>
      </c>
      <c r="C161" t="s">
        <v>36</v>
      </c>
      <c r="D161" t="s">
        <v>13</v>
      </c>
      <c r="E161">
        <v>100</v>
      </c>
      <c r="G161">
        <v>160</v>
      </c>
      <c r="H161" t="s">
        <v>10</v>
      </c>
      <c r="I161" t="s">
        <v>38</v>
      </c>
      <c r="J161" t="s">
        <v>12</v>
      </c>
      <c r="K161">
        <v>35.61</v>
      </c>
    </row>
    <row r="162" spans="1:11" x14ac:dyDescent="0.25">
      <c r="A162">
        <v>161</v>
      </c>
      <c r="B162" t="s">
        <v>10</v>
      </c>
      <c r="C162" t="s">
        <v>36</v>
      </c>
      <c r="D162" t="s">
        <v>14</v>
      </c>
      <c r="G162">
        <v>161</v>
      </c>
      <c r="H162" t="s">
        <v>10</v>
      </c>
      <c r="I162" t="s">
        <v>38</v>
      </c>
      <c r="J162" t="s">
        <v>3</v>
      </c>
      <c r="K162">
        <v>100</v>
      </c>
    </row>
    <row r="163" spans="1:11" x14ac:dyDescent="0.25">
      <c r="A163">
        <v>162</v>
      </c>
      <c r="B163" t="s">
        <v>10</v>
      </c>
      <c r="C163" t="s">
        <v>37</v>
      </c>
      <c r="D163" t="s">
        <v>9</v>
      </c>
      <c r="E163">
        <v>0</v>
      </c>
      <c r="G163">
        <v>162</v>
      </c>
      <c r="H163" t="s">
        <v>10</v>
      </c>
      <c r="I163" t="s">
        <v>38</v>
      </c>
      <c r="J163" t="s">
        <v>13</v>
      </c>
      <c r="K163">
        <v>100</v>
      </c>
    </row>
    <row r="164" spans="1:11" x14ac:dyDescent="0.25">
      <c r="A164">
        <v>163</v>
      </c>
      <c r="B164" t="s">
        <v>10</v>
      </c>
      <c r="C164" t="s">
        <v>37</v>
      </c>
      <c r="D164" t="s">
        <v>2</v>
      </c>
      <c r="E164">
        <v>0</v>
      </c>
      <c r="G164">
        <v>163</v>
      </c>
      <c r="H164" t="s">
        <v>10</v>
      </c>
      <c r="I164" t="s">
        <v>39</v>
      </c>
      <c r="J164" t="s">
        <v>9</v>
      </c>
      <c r="K164">
        <v>0</v>
      </c>
    </row>
    <row r="165" spans="1:11" x14ac:dyDescent="0.25">
      <c r="A165">
        <v>164</v>
      </c>
      <c r="B165" t="s">
        <v>10</v>
      </c>
      <c r="C165" t="s">
        <v>37</v>
      </c>
      <c r="D165" t="s">
        <v>11</v>
      </c>
      <c r="E165">
        <v>27.4</v>
      </c>
      <c r="G165">
        <v>164</v>
      </c>
      <c r="H165" t="s">
        <v>10</v>
      </c>
      <c r="I165" t="s">
        <v>39</v>
      </c>
      <c r="J165" t="s">
        <v>2</v>
      </c>
      <c r="K165">
        <v>1.1E-5</v>
      </c>
    </row>
    <row r="166" spans="1:11" x14ac:dyDescent="0.25">
      <c r="A166">
        <v>165</v>
      </c>
      <c r="B166" t="s">
        <v>10</v>
      </c>
      <c r="C166" t="s">
        <v>37</v>
      </c>
      <c r="D166" t="s">
        <v>12</v>
      </c>
      <c r="E166">
        <v>36.299999999999997</v>
      </c>
      <c r="G166">
        <v>165</v>
      </c>
      <c r="H166" t="s">
        <v>10</v>
      </c>
      <c r="I166" t="s">
        <v>39</v>
      </c>
      <c r="J166" t="s">
        <v>11</v>
      </c>
      <c r="K166">
        <v>2.6699999999999998E-4</v>
      </c>
    </row>
    <row r="167" spans="1:11" x14ac:dyDescent="0.25">
      <c r="A167">
        <v>166</v>
      </c>
      <c r="B167" t="s">
        <v>10</v>
      </c>
      <c r="C167" t="s">
        <v>37</v>
      </c>
      <c r="D167" t="s">
        <v>3</v>
      </c>
      <c r="E167">
        <v>67.099999999999994</v>
      </c>
      <c r="G167">
        <v>166</v>
      </c>
      <c r="H167" t="s">
        <v>10</v>
      </c>
      <c r="I167" t="s">
        <v>39</v>
      </c>
      <c r="J167" t="s">
        <v>12</v>
      </c>
      <c r="K167">
        <v>2.1309000000000002E-2</v>
      </c>
    </row>
    <row r="168" spans="1:11" x14ac:dyDescent="0.25">
      <c r="A168">
        <v>167</v>
      </c>
      <c r="B168" t="s">
        <v>10</v>
      </c>
      <c r="C168" t="s">
        <v>37</v>
      </c>
      <c r="D168" t="s">
        <v>13</v>
      </c>
      <c r="E168">
        <v>100</v>
      </c>
      <c r="G168">
        <v>167</v>
      </c>
      <c r="H168" t="s">
        <v>10</v>
      </c>
      <c r="I168" t="s">
        <v>39</v>
      </c>
      <c r="J168" t="s">
        <v>3</v>
      </c>
      <c r="K168">
        <v>3.5490000000000001E-3</v>
      </c>
    </row>
    <row r="169" spans="1:11" x14ac:dyDescent="0.25">
      <c r="A169">
        <v>168</v>
      </c>
      <c r="B169" t="s">
        <v>10</v>
      </c>
      <c r="C169" t="s">
        <v>37</v>
      </c>
      <c r="D169" t="s">
        <v>25</v>
      </c>
      <c r="E169">
        <v>1095941</v>
      </c>
      <c r="G169">
        <v>168</v>
      </c>
      <c r="H169" t="s">
        <v>10</v>
      </c>
      <c r="I169" t="s">
        <v>39</v>
      </c>
      <c r="J169" t="s">
        <v>13</v>
      </c>
      <c r="K169">
        <v>1</v>
      </c>
    </row>
    <row r="170" spans="1:11" x14ac:dyDescent="0.25">
      <c r="A170">
        <v>169</v>
      </c>
      <c r="B170" t="s">
        <v>10</v>
      </c>
      <c r="C170" t="s">
        <v>38</v>
      </c>
      <c r="D170" t="s">
        <v>9</v>
      </c>
      <c r="E170">
        <v>0</v>
      </c>
      <c r="G170">
        <v>169</v>
      </c>
      <c r="H170" t="s">
        <v>10</v>
      </c>
      <c r="I170" t="s">
        <v>8</v>
      </c>
      <c r="J170" t="s">
        <v>9</v>
      </c>
      <c r="K170">
        <v>1099918</v>
      </c>
    </row>
    <row r="171" spans="1:11" x14ac:dyDescent="0.25">
      <c r="A171">
        <v>170</v>
      </c>
      <c r="B171" t="s">
        <v>10</v>
      </c>
      <c r="C171" t="s">
        <v>38</v>
      </c>
      <c r="D171" t="s">
        <v>2</v>
      </c>
      <c r="E171">
        <v>0</v>
      </c>
      <c r="G171">
        <v>170</v>
      </c>
      <c r="H171" t="s">
        <v>10</v>
      </c>
      <c r="I171" t="s">
        <v>8</v>
      </c>
      <c r="J171" t="s">
        <v>2</v>
      </c>
      <c r="K171">
        <v>1211920</v>
      </c>
    </row>
    <row r="172" spans="1:11" x14ac:dyDescent="0.25">
      <c r="A172">
        <v>171</v>
      </c>
      <c r="B172" t="s">
        <v>10</v>
      </c>
      <c r="C172" t="s">
        <v>38</v>
      </c>
      <c r="D172" t="s">
        <v>11</v>
      </c>
      <c r="E172">
        <v>0</v>
      </c>
      <c r="G172">
        <v>171</v>
      </c>
      <c r="H172" t="s">
        <v>10</v>
      </c>
      <c r="I172" t="s">
        <v>8</v>
      </c>
      <c r="J172" t="s">
        <v>11</v>
      </c>
      <c r="K172">
        <v>1326700</v>
      </c>
    </row>
    <row r="173" spans="1:11" x14ac:dyDescent="0.25">
      <c r="A173">
        <v>172</v>
      </c>
      <c r="B173" t="s">
        <v>10</v>
      </c>
      <c r="C173" t="s">
        <v>38</v>
      </c>
      <c r="D173" t="s">
        <v>12</v>
      </c>
      <c r="E173">
        <v>35.81</v>
      </c>
      <c r="G173">
        <v>172</v>
      </c>
      <c r="H173" t="s">
        <v>10</v>
      </c>
      <c r="I173" t="s">
        <v>8</v>
      </c>
      <c r="J173" t="s">
        <v>12</v>
      </c>
      <c r="K173">
        <v>1333618</v>
      </c>
    </row>
    <row r="174" spans="1:11" x14ac:dyDescent="0.25">
      <c r="A174">
        <v>173</v>
      </c>
      <c r="B174" t="s">
        <v>10</v>
      </c>
      <c r="C174" t="s">
        <v>38</v>
      </c>
      <c r="D174" t="s">
        <v>3</v>
      </c>
      <c r="E174">
        <v>100</v>
      </c>
      <c r="G174">
        <v>173</v>
      </c>
      <c r="H174" t="s">
        <v>10</v>
      </c>
      <c r="I174" t="s">
        <v>8</v>
      </c>
      <c r="J174" t="s">
        <v>3</v>
      </c>
      <c r="K174">
        <v>1460911</v>
      </c>
    </row>
    <row r="175" spans="1:11" x14ac:dyDescent="0.25">
      <c r="A175">
        <v>174</v>
      </c>
      <c r="B175" t="s">
        <v>10</v>
      </c>
      <c r="C175" t="s">
        <v>38</v>
      </c>
      <c r="D175" t="s">
        <v>13</v>
      </c>
      <c r="E175">
        <v>100</v>
      </c>
      <c r="G175">
        <v>174</v>
      </c>
      <c r="H175" t="s">
        <v>10</v>
      </c>
      <c r="I175" t="s">
        <v>8</v>
      </c>
      <c r="J175" t="s">
        <v>13</v>
      </c>
      <c r="K175">
        <v>1665264</v>
      </c>
    </row>
    <row r="176" spans="1:11" x14ac:dyDescent="0.25">
      <c r="A176">
        <v>175</v>
      </c>
      <c r="B176" t="s">
        <v>10</v>
      </c>
      <c r="C176" t="s">
        <v>38</v>
      </c>
      <c r="D176" t="s">
        <v>14</v>
      </c>
    </row>
    <row r="177" spans="1:5" x14ac:dyDescent="0.25">
      <c r="A177">
        <v>176</v>
      </c>
      <c r="B177" t="s">
        <v>10</v>
      </c>
      <c r="C177" t="s">
        <v>39</v>
      </c>
      <c r="D177" t="s">
        <v>9</v>
      </c>
      <c r="E177">
        <v>0</v>
      </c>
    </row>
    <row r="178" spans="1:5" x14ac:dyDescent="0.25">
      <c r="A178">
        <v>177</v>
      </c>
      <c r="B178" t="s">
        <v>10</v>
      </c>
      <c r="C178" t="s">
        <v>39</v>
      </c>
      <c r="D178" t="s">
        <v>2</v>
      </c>
      <c r="E178">
        <v>1.1E-5</v>
      </c>
    </row>
    <row r="179" spans="1:5" x14ac:dyDescent="0.25">
      <c r="A179">
        <v>178</v>
      </c>
      <c r="B179" t="s">
        <v>10</v>
      </c>
      <c r="C179" t="s">
        <v>39</v>
      </c>
      <c r="D179" t="s">
        <v>11</v>
      </c>
      <c r="E179">
        <v>2.6699999999999998E-4</v>
      </c>
    </row>
    <row r="180" spans="1:5" x14ac:dyDescent="0.25">
      <c r="A180">
        <v>179</v>
      </c>
      <c r="B180" t="s">
        <v>10</v>
      </c>
      <c r="C180" t="s">
        <v>39</v>
      </c>
      <c r="D180" t="s">
        <v>12</v>
      </c>
      <c r="E180">
        <v>2.1212000000000002E-2</v>
      </c>
    </row>
    <row r="181" spans="1:5" x14ac:dyDescent="0.25">
      <c r="A181">
        <v>180</v>
      </c>
      <c r="B181" t="s">
        <v>10</v>
      </c>
      <c r="C181" t="s">
        <v>39</v>
      </c>
      <c r="D181" t="s">
        <v>3</v>
      </c>
      <c r="E181">
        <v>3.5490000000000001E-3</v>
      </c>
    </row>
    <row r="182" spans="1:5" x14ac:dyDescent="0.25">
      <c r="A182">
        <v>181</v>
      </c>
      <c r="B182" t="s">
        <v>10</v>
      </c>
      <c r="C182" t="s">
        <v>39</v>
      </c>
      <c r="D182" t="s">
        <v>13</v>
      </c>
      <c r="E182">
        <v>1</v>
      </c>
    </row>
    <row r="183" spans="1:5" x14ac:dyDescent="0.25">
      <c r="A183">
        <v>182</v>
      </c>
      <c r="B183" t="s">
        <v>10</v>
      </c>
      <c r="C183" t="s">
        <v>39</v>
      </c>
      <c r="D183" t="s">
        <v>14</v>
      </c>
    </row>
    <row r="184" spans="1:5" x14ac:dyDescent="0.25">
      <c r="A184">
        <v>183</v>
      </c>
      <c r="B184" t="s">
        <v>10</v>
      </c>
      <c r="C184" t="s">
        <v>40</v>
      </c>
      <c r="D184" t="s">
        <v>9</v>
      </c>
      <c r="E184">
        <v>0</v>
      </c>
    </row>
    <row r="185" spans="1:5" x14ac:dyDescent="0.25">
      <c r="A185">
        <v>184</v>
      </c>
      <c r="B185" t="s">
        <v>10</v>
      </c>
      <c r="C185" t="s">
        <v>40</v>
      </c>
      <c r="D185" t="s">
        <v>2</v>
      </c>
      <c r="E185">
        <v>0</v>
      </c>
    </row>
    <row r="186" spans="1:5" x14ac:dyDescent="0.25">
      <c r="A186">
        <v>185</v>
      </c>
      <c r="B186" t="s">
        <v>10</v>
      </c>
      <c r="C186" t="s">
        <v>40</v>
      </c>
      <c r="D186" t="s">
        <v>11</v>
      </c>
      <c r="E186">
        <v>0</v>
      </c>
    </row>
    <row r="187" spans="1:5" x14ac:dyDescent="0.25">
      <c r="A187">
        <v>186</v>
      </c>
      <c r="B187" t="s">
        <v>10</v>
      </c>
      <c r="C187" t="s">
        <v>40</v>
      </c>
      <c r="D187" t="s">
        <v>12</v>
      </c>
      <c r="E187">
        <v>5.7600000000000001E-4</v>
      </c>
    </row>
    <row r="188" spans="1:5" x14ac:dyDescent="0.25">
      <c r="A188">
        <v>187</v>
      </c>
      <c r="B188" t="s">
        <v>10</v>
      </c>
      <c r="C188" t="s">
        <v>40</v>
      </c>
      <c r="D188" t="s">
        <v>3</v>
      </c>
      <c r="E188">
        <v>0</v>
      </c>
    </row>
    <row r="189" spans="1:5" x14ac:dyDescent="0.25">
      <c r="A189">
        <v>188</v>
      </c>
      <c r="B189" t="s">
        <v>10</v>
      </c>
      <c r="C189" t="s">
        <v>40</v>
      </c>
      <c r="D189" t="s">
        <v>13</v>
      </c>
      <c r="E189">
        <v>0.88971599999999995</v>
      </c>
    </row>
    <row r="190" spans="1:5" x14ac:dyDescent="0.25">
      <c r="A190">
        <v>189</v>
      </c>
      <c r="B190" t="s">
        <v>10</v>
      </c>
      <c r="C190" t="s">
        <v>40</v>
      </c>
      <c r="D190" t="s">
        <v>14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2016-09-27T14:54:29Z</cp:lastPrinted>
  <dcterms:created xsi:type="dcterms:W3CDTF">2016-09-26T22:07:02Z</dcterms:created>
  <dcterms:modified xsi:type="dcterms:W3CDTF">2016-09-27T20:47:39Z</dcterms:modified>
</cp:coreProperties>
</file>