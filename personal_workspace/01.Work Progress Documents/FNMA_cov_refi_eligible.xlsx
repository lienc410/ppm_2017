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215" activeTab="5"/>
  </bookViews>
  <sheets>
    <sheet name="conventional_refi_elig-old" sheetId="1" r:id="rId1"/>
    <sheet name="conventional_refi_elig-new" sheetId="6" r:id="rId2"/>
    <sheet name="loan" sheetId="2" r:id="rId3"/>
    <sheet name="remove q2min" sheetId="3" r:id="rId4"/>
    <sheet name="use bucket match" sheetId="4" r:id="rId5"/>
    <sheet name="fix2013" sheetId="7" r:id="rId6"/>
    <sheet name="cltv_fico elig" sheetId="5" r:id="rId7"/>
  </sheets>
  <calcPr calcId="145621"/>
  <pivotCaches>
    <pivotCache cacheId="190" r:id="rId8"/>
    <pivotCache cacheId="194" r:id="rId9"/>
    <pivotCache cacheId="206" r:id="rId10"/>
    <pivotCache cacheId="280" r:id="rId11"/>
    <pivotCache cacheId="288" r:id="rId12"/>
    <pivotCache cacheId="295" r:id="rId13"/>
    <pivotCache cacheId="298" r:id="rId14"/>
    <pivotCache cacheId="302" r:id="rId15"/>
  </pivotCaches>
</workbook>
</file>

<file path=xl/calcChain.xml><?xml version="1.0" encoding="utf-8"?>
<calcChain xmlns="http://schemas.openxmlformats.org/spreadsheetml/2006/main">
  <c r="W274" i="6" l="1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" i="3"/>
</calcChain>
</file>

<file path=xl/sharedStrings.xml><?xml version="1.0" encoding="utf-8"?>
<sst xmlns="http://schemas.openxmlformats.org/spreadsheetml/2006/main" count="4525" uniqueCount="25">
  <si>
    <t>marketTicker</t>
  </si>
  <si>
    <t>asOf</t>
  </si>
  <si>
    <t>count(1)</t>
  </si>
  <si>
    <t>sum(p.schamBalance)</t>
  </si>
  <si>
    <t>wavg_pct_conventional_eligible</t>
  </si>
  <si>
    <t>FNCL</t>
  </si>
  <si>
    <t>FNCK</t>
  </si>
  <si>
    <t>FNCQ30</t>
  </si>
  <si>
    <t>FNCR</t>
  </si>
  <si>
    <t>Row Labels</t>
  </si>
  <si>
    <t>Grand Total</t>
  </si>
  <si>
    <t>Sum of wavg_pct_conventional_eligible</t>
  </si>
  <si>
    <t>FGLMC</t>
  </si>
  <si>
    <t>FGT6</t>
  </si>
  <si>
    <t>FGU6</t>
  </si>
  <si>
    <t>FGU9</t>
  </si>
  <si>
    <t>(NULL)</t>
  </si>
  <si>
    <t>conventional_eligible</t>
  </si>
  <si>
    <t>Sum of conventional_eligible</t>
  </si>
  <si>
    <t>FNCL-new</t>
  </si>
  <si>
    <t>step 1</t>
  </si>
  <si>
    <t>step 3</t>
  </si>
  <si>
    <t>loan</t>
  </si>
  <si>
    <t>percent_eligible_fico</t>
  </si>
  <si>
    <t>Sum of percent_eligible_fico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</si>
</sst>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[FNMA_cov_refi_eligible.xlsx]conventional_refi_elig-old!PivotTable2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'conventional_refi_elig-old'!$I$3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'conventional_refi_elig-old'!$H$4:$H$277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'conventional_refi_elig-old'!$I$4:$I$277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23.9040337806804</c:v>
                </c:pt>
                <c:pt idx="24">
                  <c:v>24.1377362792234</c:v>
                </c:pt>
                <c:pt idx="25">
                  <c:v>24.2468457926296</c:v>
                </c:pt>
                <c:pt idx="26">
                  <c:v>24.264011179889302</c:v>
                </c:pt>
                <c:pt idx="27">
                  <c:v>24.276981894699802</c:v>
                </c:pt>
                <c:pt idx="28">
                  <c:v>24.249599072896402</c:v>
                </c:pt>
                <c:pt idx="29">
                  <c:v>24.232831860734301</c:v>
                </c:pt>
                <c:pt idx="30">
                  <c:v>24.241661598891099</c:v>
                </c:pt>
                <c:pt idx="31">
                  <c:v>24.315494830336998</c:v>
                </c:pt>
                <c:pt idx="32">
                  <c:v>24.366078209419399</c:v>
                </c:pt>
                <c:pt idx="33">
                  <c:v>24.4214435912955</c:v>
                </c:pt>
                <c:pt idx="34">
                  <c:v>24.5409886947002</c:v>
                </c:pt>
                <c:pt idx="35">
                  <c:v>25.5759162958479</c:v>
                </c:pt>
                <c:pt idx="36">
                  <c:v>25.594344150942799</c:v>
                </c:pt>
                <c:pt idx="37">
                  <c:v>25.628449813680199</c:v>
                </c:pt>
                <c:pt idx="38">
                  <c:v>25.602052686198</c:v>
                </c:pt>
                <c:pt idx="39">
                  <c:v>25.654788681013599</c:v>
                </c:pt>
                <c:pt idx="40">
                  <c:v>25.7004559306001</c:v>
                </c:pt>
                <c:pt idx="41">
                  <c:v>25.779795489019801</c:v>
                </c:pt>
                <c:pt idx="42">
                  <c:v>25.879236352383799</c:v>
                </c:pt>
                <c:pt idx="43">
                  <c:v>25.839700524105901</c:v>
                </c:pt>
                <c:pt idx="44">
                  <c:v>25.892714667461298</c:v>
                </c:pt>
                <c:pt idx="45">
                  <c:v>25.918734491286401</c:v>
                </c:pt>
                <c:pt idx="46">
                  <c:v>25.8684727523957</c:v>
                </c:pt>
                <c:pt idx="47">
                  <c:v>23.4019153504663</c:v>
                </c:pt>
                <c:pt idx="48">
                  <c:v>23.430173551169499</c:v>
                </c:pt>
                <c:pt idx="49">
                  <c:v>23.480647018681399</c:v>
                </c:pt>
                <c:pt idx="50">
                  <c:v>23.571062098696899</c:v>
                </c:pt>
                <c:pt idx="51">
                  <c:v>23.516082028561399</c:v>
                </c:pt>
                <c:pt idx="52">
                  <c:v>23.517902337879399</c:v>
                </c:pt>
                <c:pt idx="53">
                  <c:v>23.534384688912599</c:v>
                </c:pt>
                <c:pt idx="54">
                  <c:v>23.450623678978602</c:v>
                </c:pt>
                <c:pt idx="55">
                  <c:v>23.465814470552999</c:v>
                </c:pt>
                <c:pt idx="56">
                  <c:v>23.505330083208101</c:v>
                </c:pt>
                <c:pt idx="57">
                  <c:v>23.4553603093931</c:v>
                </c:pt>
                <c:pt idx="58">
                  <c:v>23.457832225765301</c:v>
                </c:pt>
                <c:pt idx="59">
                  <c:v>22.859773088248701</c:v>
                </c:pt>
                <c:pt idx="60">
                  <c:v>22.8647134525621</c:v>
                </c:pt>
                <c:pt idx="61">
                  <c:v>22.8846012847089</c:v>
                </c:pt>
                <c:pt idx="62">
                  <c:v>22.942006592345301</c:v>
                </c:pt>
                <c:pt idx="63">
                  <c:v>23.003063729522299</c:v>
                </c:pt>
                <c:pt idx="64">
                  <c:v>23.136635542313901</c:v>
                </c:pt>
                <c:pt idx="65">
                  <c:v>23.258250195434801</c:v>
                </c:pt>
                <c:pt idx="66">
                  <c:v>23.406705263677502</c:v>
                </c:pt>
                <c:pt idx="67">
                  <c:v>23.584999679202902</c:v>
                </c:pt>
                <c:pt idx="68">
                  <c:v>23.836196796233502</c:v>
                </c:pt>
                <c:pt idx="69">
                  <c:v>23.960501905306099</c:v>
                </c:pt>
                <c:pt idx="70">
                  <c:v>24.1511939597363</c:v>
                </c:pt>
                <c:pt idx="71">
                  <c:v>23.9569807903029</c:v>
                </c:pt>
                <c:pt idx="72">
                  <c:v>24.132556362769002</c:v>
                </c:pt>
                <c:pt idx="73">
                  <c:v>24.220089336597901</c:v>
                </c:pt>
                <c:pt idx="74">
                  <c:v>24.371443077002301</c:v>
                </c:pt>
                <c:pt idx="75">
                  <c:v>24.5660130506622</c:v>
                </c:pt>
                <c:pt idx="76">
                  <c:v>24.759377424572701</c:v>
                </c:pt>
                <c:pt idx="77">
                  <c:v>25.014631288793499</c:v>
                </c:pt>
                <c:pt idx="78">
                  <c:v>25.302403828018701</c:v>
                </c:pt>
                <c:pt idx="79">
                  <c:v>25.578896569007799</c:v>
                </c:pt>
                <c:pt idx="80">
                  <c:v>25.75168433883</c:v>
                </c:pt>
                <c:pt idx="81">
                  <c:v>25.965688275597</c:v>
                </c:pt>
                <c:pt idx="82">
                  <c:v>26.084698277235201</c:v>
                </c:pt>
                <c:pt idx="83">
                  <c:v>24.869792938541298</c:v>
                </c:pt>
                <c:pt idx="84">
                  <c:v>24.940877683184802</c:v>
                </c:pt>
                <c:pt idx="85">
                  <c:v>24.979186789700901</c:v>
                </c:pt>
                <c:pt idx="86">
                  <c:v>24.762891418315</c:v>
                </c:pt>
                <c:pt idx="87">
                  <c:v>24.408407919627798</c:v>
                </c:pt>
                <c:pt idx="88">
                  <c:v>24.114759182766601</c:v>
                </c:pt>
                <c:pt idx="89">
                  <c:v>23.723726843129398</c:v>
                </c:pt>
                <c:pt idx="90">
                  <c:v>23.3948622273473</c:v>
                </c:pt>
                <c:pt idx="91">
                  <c:v>23.153475809562199</c:v>
                </c:pt>
                <c:pt idx="92">
                  <c:v>22.803888421185999</c:v>
                </c:pt>
                <c:pt idx="93">
                  <c:v>22.425302448481599</c:v>
                </c:pt>
                <c:pt idx="94">
                  <c:v>21.978756017775201</c:v>
                </c:pt>
                <c:pt idx="95">
                  <c:v>21.259699842792099</c:v>
                </c:pt>
                <c:pt idx="96">
                  <c:v>20.780934690909099</c:v>
                </c:pt>
                <c:pt idx="97">
                  <c:v>20.473315161029198</c:v>
                </c:pt>
                <c:pt idx="98">
                  <c:v>20.161805833904399</c:v>
                </c:pt>
                <c:pt idx="99">
                  <c:v>19.7723024133706</c:v>
                </c:pt>
                <c:pt idx="100">
                  <c:v>19.422776608062499</c:v>
                </c:pt>
                <c:pt idx="101">
                  <c:v>19.140262564632</c:v>
                </c:pt>
                <c:pt idx="102">
                  <c:v>18.832170637243902</c:v>
                </c:pt>
                <c:pt idx="103">
                  <c:v>18.503879820902601</c:v>
                </c:pt>
                <c:pt idx="104">
                  <c:v>18.117689806171001</c:v>
                </c:pt>
                <c:pt idx="105">
                  <c:v>17.510332276808001</c:v>
                </c:pt>
                <c:pt idx="106">
                  <c:v>16.914919850637599</c:v>
                </c:pt>
                <c:pt idx="107">
                  <c:v>16.315177485432901</c:v>
                </c:pt>
                <c:pt idx="108">
                  <c:v>15.6896265498711</c:v>
                </c:pt>
                <c:pt idx="109">
                  <c:v>15.153973556269399</c:v>
                </c:pt>
                <c:pt idx="110">
                  <c:v>14.647521295140701</c:v>
                </c:pt>
                <c:pt idx="111">
                  <c:v>14.1500870310718</c:v>
                </c:pt>
                <c:pt idx="112">
                  <c:v>13.8993751674187</c:v>
                </c:pt>
                <c:pt idx="113">
                  <c:v>14.392143484176801</c:v>
                </c:pt>
                <c:pt idx="114">
                  <c:v>15.0511352239203</c:v>
                </c:pt>
                <c:pt idx="115">
                  <c:v>15.4388178387363</c:v>
                </c:pt>
                <c:pt idx="116">
                  <c:v>15.712538869975001</c:v>
                </c:pt>
                <c:pt idx="117">
                  <c:v>15.7367836343841</c:v>
                </c:pt>
                <c:pt idx="118">
                  <c:v>15.6078351372489</c:v>
                </c:pt>
                <c:pt idx="119">
                  <c:v>15.632002137203299</c:v>
                </c:pt>
                <c:pt idx="120">
                  <c:v>15.6991634367233</c:v>
                </c:pt>
                <c:pt idx="121">
                  <c:v>15.7541313694003</c:v>
                </c:pt>
                <c:pt idx="122">
                  <c:v>15.935376975898899</c:v>
                </c:pt>
                <c:pt idx="123">
                  <c:v>16.152149923341899</c:v>
                </c:pt>
                <c:pt idx="124">
                  <c:v>16.253329516238299</c:v>
                </c:pt>
                <c:pt idx="125">
                  <c:v>16.407424120837401</c:v>
                </c:pt>
                <c:pt idx="126">
                  <c:v>16.6026934019865</c:v>
                </c:pt>
                <c:pt idx="127">
                  <c:v>16.734934455602001</c:v>
                </c:pt>
                <c:pt idx="128">
                  <c:v>16.910177197623</c:v>
                </c:pt>
                <c:pt idx="129">
                  <c:v>17.103542773184898</c:v>
                </c:pt>
                <c:pt idx="130">
                  <c:v>17.321215293521</c:v>
                </c:pt>
                <c:pt idx="131">
                  <c:v>17.576631455242701</c:v>
                </c:pt>
                <c:pt idx="132">
                  <c:v>17.690183783761601</c:v>
                </c:pt>
                <c:pt idx="133">
                  <c:v>17.9380464244949</c:v>
                </c:pt>
                <c:pt idx="134">
                  <c:v>15.217267334447699</c:v>
                </c:pt>
                <c:pt idx="135">
                  <c:v>15.3209729937092</c:v>
                </c:pt>
                <c:pt idx="136">
                  <c:v>15.407947488</c:v>
                </c:pt>
                <c:pt idx="137">
                  <c:v>18.4636805417645</c:v>
                </c:pt>
                <c:pt idx="138">
                  <c:v>18.656002221477902</c:v>
                </c:pt>
                <c:pt idx="139">
                  <c:v>18.955787144097901</c:v>
                </c:pt>
                <c:pt idx="140">
                  <c:v>19.147463437467501</c:v>
                </c:pt>
                <c:pt idx="141">
                  <c:v>19.351711971212598</c:v>
                </c:pt>
                <c:pt idx="142">
                  <c:v>19.388590947095</c:v>
                </c:pt>
                <c:pt idx="143">
                  <c:v>19.621624068600301</c:v>
                </c:pt>
                <c:pt idx="144">
                  <c:v>19.7527965231486</c:v>
                </c:pt>
                <c:pt idx="145">
                  <c:v>19.9893848782813</c:v>
                </c:pt>
                <c:pt idx="146">
                  <c:v>20.134828364334201</c:v>
                </c:pt>
                <c:pt idx="147">
                  <c:v>20.2937457805462</c:v>
                </c:pt>
                <c:pt idx="148">
                  <c:v>20.313213395218</c:v>
                </c:pt>
                <c:pt idx="149">
                  <c:v>20.275300139940899</c:v>
                </c:pt>
                <c:pt idx="150">
                  <c:v>20.271480961853499</c:v>
                </c:pt>
                <c:pt idx="151">
                  <c:v>20.2195203451585</c:v>
                </c:pt>
                <c:pt idx="152">
                  <c:v>20.190238445827401</c:v>
                </c:pt>
                <c:pt idx="153">
                  <c:v>20.097366027350098</c:v>
                </c:pt>
                <c:pt idx="154">
                  <c:v>20.054032617926101</c:v>
                </c:pt>
                <c:pt idx="155">
                  <c:v>20.021928971829301</c:v>
                </c:pt>
                <c:pt idx="156">
                  <c:v>19.981894696635301</c:v>
                </c:pt>
                <c:pt idx="157">
                  <c:v>20.033413413481199</c:v>
                </c:pt>
                <c:pt idx="158">
                  <c:v>20.0065591444652</c:v>
                </c:pt>
                <c:pt idx="159">
                  <c:v>19.994139302062099</c:v>
                </c:pt>
                <c:pt idx="160">
                  <c:v>19.991168318051699</c:v>
                </c:pt>
                <c:pt idx="161">
                  <c:v>19.8040452527868</c:v>
                </c:pt>
                <c:pt idx="162">
                  <c:v>19.8230717211365</c:v>
                </c:pt>
                <c:pt idx="163">
                  <c:v>19.757166953734401</c:v>
                </c:pt>
                <c:pt idx="164">
                  <c:v>19.470007229199901</c:v>
                </c:pt>
                <c:pt idx="165">
                  <c:v>19.190160090800202</c:v>
                </c:pt>
                <c:pt idx="166">
                  <c:v>18.848461028118201</c:v>
                </c:pt>
                <c:pt idx="167">
                  <c:v>18.559699687475302</c:v>
                </c:pt>
                <c:pt idx="168">
                  <c:v>18.2620717884874</c:v>
                </c:pt>
                <c:pt idx="169">
                  <c:v>18.0338363373913</c:v>
                </c:pt>
                <c:pt idx="170">
                  <c:v>17.9733906693798</c:v>
                </c:pt>
                <c:pt idx="171">
                  <c:v>17.8877952256803</c:v>
                </c:pt>
                <c:pt idx="172">
                  <c:v>18.050740292528602</c:v>
                </c:pt>
                <c:pt idx="173">
                  <c:v>18.158329864500999</c:v>
                </c:pt>
                <c:pt idx="174">
                  <c:v>18.175177167928599</c:v>
                </c:pt>
                <c:pt idx="175">
                  <c:v>18.1116989790692</c:v>
                </c:pt>
                <c:pt idx="176">
                  <c:v>17.947216184410099</c:v>
                </c:pt>
                <c:pt idx="177">
                  <c:v>17.7739165148956</c:v>
                </c:pt>
                <c:pt idx="178">
                  <c:v>17.6772094379834</c:v>
                </c:pt>
                <c:pt idx="179">
                  <c:v>17.876036115989699</c:v>
                </c:pt>
                <c:pt idx="180">
                  <c:v>17.970776019752901</c:v>
                </c:pt>
                <c:pt idx="181">
                  <c:v>18.156749921141699</c:v>
                </c:pt>
                <c:pt idx="182">
                  <c:v>18.7978712660653</c:v>
                </c:pt>
                <c:pt idx="183">
                  <c:v>19.331783614157398</c:v>
                </c:pt>
                <c:pt idx="184">
                  <c:v>19.559587332612601</c:v>
                </c:pt>
                <c:pt idx="185">
                  <c:v>20.122303454843699</c:v>
                </c:pt>
                <c:pt idx="186">
                  <c:v>20.887860532312299</c:v>
                </c:pt>
                <c:pt idx="187">
                  <c:v>21.166289495229801</c:v>
                </c:pt>
                <c:pt idx="188">
                  <c:v>21.389357643231499</c:v>
                </c:pt>
                <c:pt idx="189">
                  <c:v>21.632780952057999</c:v>
                </c:pt>
                <c:pt idx="190">
                  <c:v>21.7390151154177</c:v>
                </c:pt>
                <c:pt idx="191">
                  <c:v>21.893798263131</c:v>
                </c:pt>
                <c:pt idx="192">
                  <c:v>22.0515850600585</c:v>
                </c:pt>
                <c:pt idx="193">
                  <c:v>22.157977961681201</c:v>
                </c:pt>
                <c:pt idx="194">
                  <c:v>22.769215809280499</c:v>
                </c:pt>
                <c:pt idx="195">
                  <c:v>23.467879612931501</c:v>
                </c:pt>
                <c:pt idx="196">
                  <c:v>24.296061738777301</c:v>
                </c:pt>
                <c:pt idx="197">
                  <c:v>24.679231553656599</c:v>
                </c:pt>
                <c:pt idx="198">
                  <c:v>25.074806388667099</c:v>
                </c:pt>
                <c:pt idx="199">
                  <c:v>25.479164948948501</c:v>
                </c:pt>
                <c:pt idx="200">
                  <c:v>26.254151150396599</c:v>
                </c:pt>
                <c:pt idx="201">
                  <c:v>26.919084340095601</c:v>
                </c:pt>
                <c:pt idx="202">
                  <c:v>27.561355875409902</c:v>
                </c:pt>
                <c:pt idx="203">
                  <c:v>28.114059016780899</c:v>
                </c:pt>
                <c:pt idx="204">
                  <c:v>28.4827066461051</c:v>
                </c:pt>
                <c:pt idx="205">
                  <c:v>28.698769715346401</c:v>
                </c:pt>
                <c:pt idx="206">
                  <c:v>29.493983639499898</c:v>
                </c:pt>
                <c:pt idx="207">
                  <c:v>30.230464357825301</c:v>
                </c:pt>
                <c:pt idx="208">
                  <c:v>30.833870224867901</c:v>
                </c:pt>
                <c:pt idx="209">
                  <c:v>31.3769351322135</c:v>
                </c:pt>
                <c:pt idx="210">
                  <c:v>32.020227802674</c:v>
                </c:pt>
                <c:pt idx="211">
                  <c:v>32.764034340849499</c:v>
                </c:pt>
                <c:pt idx="212">
                  <c:v>33.3142618399052</c:v>
                </c:pt>
                <c:pt idx="213">
                  <c:v>33.857405249820197</c:v>
                </c:pt>
                <c:pt idx="214">
                  <c:v>34.479220645670502</c:v>
                </c:pt>
                <c:pt idx="215">
                  <c:v>35.260333102000203</c:v>
                </c:pt>
                <c:pt idx="216">
                  <c:v>35.859227713706403</c:v>
                </c:pt>
                <c:pt idx="217">
                  <c:v>36.476579772451899</c:v>
                </c:pt>
                <c:pt idx="218">
                  <c:v>37.768925971632299</c:v>
                </c:pt>
                <c:pt idx="219">
                  <c:v>38.913633204536097</c:v>
                </c:pt>
                <c:pt idx="220">
                  <c:v>39.879421249693401</c:v>
                </c:pt>
                <c:pt idx="221">
                  <c:v>40.895726492699801</c:v>
                </c:pt>
                <c:pt idx="222">
                  <c:v>41.967628869863503</c:v>
                </c:pt>
                <c:pt idx="223">
                  <c:v>43.013764711682398</c:v>
                </c:pt>
                <c:pt idx="224">
                  <c:v>44.115106090754999</c:v>
                </c:pt>
                <c:pt idx="225">
                  <c:v>44.964628282645997</c:v>
                </c:pt>
                <c:pt idx="226">
                  <c:v>46.152031785063897</c:v>
                </c:pt>
                <c:pt idx="227">
                  <c:v>46.931075904828099</c:v>
                </c:pt>
                <c:pt idx="228">
                  <c:v>46.011159321965799</c:v>
                </c:pt>
                <c:pt idx="229">
                  <c:v>45.048120682990202</c:v>
                </c:pt>
                <c:pt idx="230">
                  <c:v>44.488422647869101</c:v>
                </c:pt>
                <c:pt idx="231">
                  <c:v>43.763809562722599</c:v>
                </c:pt>
                <c:pt idx="232">
                  <c:v>42.861924668996899</c:v>
                </c:pt>
                <c:pt idx="233">
                  <c:v>41.9460692805077</c:v>
                </c:pt>
                <c:pt idx="234">
                  <c:v>40.914936341350703</c:v>
                </c:pt>
                <c:pt idx="235">
                  <c:v>40.063351774054603</c:v>
                </c:pt>
                <c:pt idx="236">
                  <c:v>39.368113116509498</c:v>
                </c:pt>
                <c:pt idx="237">
                  <c:v>38.745289380312897</c:v>
                </c:pt>
                <c:pt idx="238">
                  <c:v>38.313655040066202</c:v>
                </c:pt>
                <c:pt idx="239">
                  <c:v>64.5410801708923</c:v>
                </c:pt>
                <c:pt idx="240">
                  <c:v>65.1529561913744</c:v>
                </c:pt>
                <c:pt idx="241">
                  <c:v>65.698548727677107</c:v>
                </c:pt>
                <c:pt idx="242">
                  <c:v>66.226575915065396</c:v>
                </c:pt>
                <c:pt idx="243">
                  <c:v>66.793099752939199</c:v>
                </c:pt>
                <c:pt idx="244">
                  <c:v>67.369973739029504</c:v>
                </c:pt>
                <c:pt idx="245">
                  <c:v>67.985172384694295</c:v>
                </c:pt>
                <c:pt idx="246">
                  <c:v>68.670091266985494</c:v>
                </c:pt>
                <c:pt idx="247">
                  <c:v>69.286293806997094</c:v>
                </c:pt>
                <c:pt idx="248">
                  <c:v>69.969237534556797</c:v>
                </c:pt>
                <c:pt idx="249">
                  <c:v>70.684647527310801</c:v>
                </c:pt>
                <c:pt idx="250">
                  <c:v>71.328493353395004</c:v>
                </c:pt>
                <c:pt idx="251">
                  <c:v>72.007485194197201</c:v>
                </c:pt>
                <c:pt idx="252">
                  <c:v>72.555987703310095</c:v>
                </c:pt>
                <c:pt idx="253">
                  <c:v>73.045635510559904</c:v>
                </c:pt>
                <c:pt idx="254">
                  <c:v>73.616152819916806</c:v>
                </c:pt>
                <c:pt idx="255">
                  <c:v>74.248964262480101</c:v>
                </c:pt>
                <c:pt idx="256">
                  <c:v>74.888798378427694</c:v>
                </c:pt>
                <c:pt idx="257">
                  <c:v>75.490144388644794</c:v>
                </c:pt>
                <c:pt idx="258">
                  <c:v>76.145670945880596</c:v>
                </c:pt>
                <c:pt idx="259">
                  <c:v>76.694797636807607</c:v>
                </c:pt>
                <c:pt idx="260">
                  <c:v>77.286756458319601</c:v>
                </c:pt>
                <c:pt idx="261">
                  <c:v>77.809977180303306</c:v>
                </c:pt>
                <c:pt idx="262">
                  <c:v>78.223861507295794</c:v>
                </c:pt>
                <c:pt idx="263">
                  <c:v>78.698575103590102</c:v>
                </c:pt>
                <c:pt idx="264">
                  <c:v>79.139613750983898</c:v>
                </c:pt>
                <c:pt idx="265">
                  <c:v>79.537146474007699</c:v>
                </c:pt>
                <c:pt idx="266">
                  <c:v>79.976392216874601</c:v>
                </c:pt>
                <c:pt idx="267">
                  <c:v>80.4145498233582</c:v>
                </c:pt>
                <c:pt idx="268">
                  <c:v>80.844711587004198</c:v>
                </c:pt>
                <c:pt idx="269">
                  <c:v>81.316631050407196</c:v>
                </c:pt>
                <c:pt idx="270">
                  <c:v>81.746914203326497</c:v>
                </c:pt>
                <c:pt idx="271">
                  <c:v>82.263256847061498</c:v>
                </c:pt>
                <c:pt idx="272">
                  <c:v>82.742465754093104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879808"/>
        <c:axId val="467881344"/>
      </c:lineChart>
      <c:catAx>
        <c:axId val="46787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467881344"/>
        <c:crosses val="autoZero"/>
        <c:auto val="1"/>
        <c:lblAlgn val="ctr"/>
        <c:lblOffset val="100"/>
        <c:noMultiLvlLbl val="0"/>
      </c:catAx>
      <c:valAx>
        <c:axId val="46788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787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[FNMA_cov_refi_eligible.xlsx]conventional_refi_elig-old!PivotTable3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'conventional_refi_elig-old'!$AB$3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'conventional_refi_elig-old'!$AA$4:$AA$273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'conventional_refi_elig-old'!$AB$4:$AB$273</c:f>
              <c:numCache>
                <c:formatCode>General</c:formatCode>
                <c:ptCount val="269"/>
                <c:pt idx="0">
                  <c:v>99.042895214577996</c:v>
                </c:pt>
                <c:pt idx="1">
                  <c:v>98.728419570533603</c:v>
                </c:pt>
                <c:pt idx="2">
                  <c:v>98.420927368044502</c:v>
                </c:pt>
                <c:pt idx="3">
                  <c:v>97.681204158137106</c:v>
                </c:pt>
                <c:pt idx="4">
                  <c:v>97.503899032269402</c:v>
                </c:pt>
                <c:pt idx="5">
                  <c:v>97.356954680509801</c:v>
                </c:pt>
                <c:pt idx="6">
                  <c:v>97.202262614290007</c:v>
                </c:pt>
                <c:pt idx="7">
                  <c:v>97.077694471307694</c:v>
                </c:pt>
                <c:pt idx="8">
                  <c:v>96.978984565132095</c:v>
                </c:pt>
                <c:pt idx="9">
                  <c:v>96.901214384948005</c:v>
                </c:pt>
                <c:pt idx="10">
                  <c:v>96.797930004529704</c:v>
                </c:pt>
                <c:pt idx="11">
                  <c:v>96.704603715331203</c:v>
                </c:pt>
                <c:pt idx="12">
                  <c:v>96.580893265796803</c:v>
                </c:pt>
                <c:pt idx="13">
                  <c:v>96.415450831963796</c:v>
                </c:pt>
                <c:pt idx="14">
                  <c:v>96.289993664180201</c:v>
                </c:pt>
                <c:pt idx="15">
                  <c:v>96.140167177683495</c:v>
                </c:pt>
                <c:pt idx="16">
                  <c:v>96.0699306058102</c:v>
                </c:pt>
                <c:pt idx="17">
                  <c:v>95.970004992844295</c:v>
                </c:pt>
                <c:pt idx="18">
                  <c:v>95.719948288162598</c:v>
                </c:pt>
                <c:pt idx="19">
                  <c:v>95.454564179037803</c:v>
                </c:pt>
                <c:pt idx="20">
                  <c:v>95.309097276227803</c:v>
                </c:pt>
                <c:pt idx="21">
                  <c:v>95.207580805184193</c:v>
                </c:pt>
                <c:pt idx="22">
                  <c:v>95.068968282893394</c:v>
                </c:pt>
                <c:pt idx="23">
                  <c:v>94.9282536272312</c:v>
                </c:pt>
                <c:pt idx="24">
                  <c:v>94.718777649845606</c:v>
                </c:pt>
                <c:pt idx="25">
                  <c:v>94.517617836355498</c:v>
                </c:pt>
                <c:pt idx="26">
                  <c:v>94.433956535743107</c:v>
                </c:pt>
                <c:pt idx="27">
                  <c:v>94.279860937165907</c:v>
                </c:pt>
                <c:pt idx="28">
                  <c:v>94.046836234387399</c:v>
                </c:pt>
                <c:pt idx="29">
                  <c:v>93.902239936808499</c:v>
                </c:pt>
                <c:pt idx="30">
                  <c:v>93.747279131194702</c:v>
                </c:pt>
                <c:pt idx="31">
                  <c:v>93.619053387659307</c:v>
                </c:pt>
                <c:pt idx="32">
                  <c:v>93.540671648384404</c:v>
                </c:pt>
                <c:pt idx="33">
                  <c:v>92.993150188481806</c:v>
                </c:pt>
                <c:pt idx="34">
                  <c:v>92.902874572158197</c:v>
                </c:pt>
                <c:pt idx="35">
                  <c:v>92.824520228906394</c:v>
                </c:pt>
                <c:pt idx="36">
                  <c:v>92.753503587986103</c:v>
                </c:pt>
                <c:pt idx="37">
                  <c:v>92.644354738794206</c:v>
                </c:pt>
                <c:pt idx="38">
                  <c:v>92.511880458717599</c:v>
                </c:pt>
                <c:pt idx="39">
                  <c:v>92.416946943406799</c:v>
                </c:pt>
                <c:pt idx="40">
                  <c:v>92.332196161286404</c:v>
                </c:pt>
                <c:pt idx="41">
                  <c:v>92.248022386213506</c:v>
                </c:pt>
                <c:pt idx="42">
                  <c:v>92.112657381390605</c:v>
                </c:pt>
                <c:pt idx="43">
                  <c:v>92.025928040633204</c:v>
                </c:pt>
                <c:pt idx="44">
                  <c:v>92.053310665430601</c:v>
                </c:pt>
                <c:pt idx="45">
                  <c:v>92.022991506954199</c:v>
                </c:pt>
                <c:pt idx="46">
                  <c:v>91.853457612590503</c:v>
                </c:pt>
                <c:pt idx="47">
                  <c:v>91.768115515667404</c:v>
                </c:pt>
                <c:pt idx="48">
                  <c:v>91.673935599984702</c:v>
                </c:pt>
                <c:pt idx="49">
                  <c:v>91.570922345367805</c:v>
                </c:pt>
                <c:pt idx="50">
                  <c:v>91.517389801174403</c:v>
                </c:pt>
                <c:pt idx="51">
                  <c:v>91.533661788427906</c:v>
                </c:pt>
                <c:pt idx="52">
                  <c:v>91.556802230438095</c:v>
                </c:pt>
                <c:pt idx="53">
                  <c:v>91.394038464355305</c:v>
                </c:pt>
                <c:pt idx="54">
                  <c:v>91.248054735348205</c:v>
                </c:pt>
                <c:pt idx="55">
                  <c:v>91.173404727319095</c:v>
                </c:pt>
                <c:pt idx="56">
                  <c:v>91.060510110117306</c:v>
                </c:pt>
                <c:pt idx="57">
                  <c:v>91.029735352678102</c:v>
                </c:pt>
                <c:pt idx="58">
                  <c:v>90.935961074470796</c:v>
                </c:pt>
                <c:pt idx="59">
                  <c:v>90.868151897523106</c:v>
                </c:pt>
                <c:pt idx="60">
                  <c:v>90.754331103109195</c:v>
                </c:pt>
                <c:pt idx="61">
                  <c:v>90.676781769290997</c:v>
                </c:pt>
                <c:pt idx="62">
                  <c:v>90.592704865297094</c:v>
                </c:pt>
                <c:pt idx="63">
                  <c:v>90.543650668260398</c:v>
                </c:pt>
                <c:pt idx="64">
                  <c:v>90.473341946825997</c:v>
                </c:pt>
                <c:pt idx="65">
                  <c:v>90.423566343701395</c:v>
                </c:pt>
                <c:pt idx="66">
                  <c:v>90.377949021028996</c:v>
                </c:pt>
                <c:pt idx="67">
                  <c:v>90.341587928600504</c:v>
                </c:pt>
                <c:pt idx="68">
                  <c:v>90.2613194844985</c:v>
                </c:pt>
                <c:pt idx="69">
                  <c:v>90.239260897534606</c:v>
                </c:pt>
                <c:pt idx="70">
                  <c:v>90.216704589250398</c:v>
                </c:pt>
                <c:pt idx="71">
                  <c:v>90.1989728595277</c:v>
                </c:pt>
                <c:pt idx="72">
                  <c:v>90.135844691138104</c:v>
                </c:pt>
                <c:pt idx="73">
                  <c:v>90.0693507160873</c:v>
                </c:pt>
                <c:pt idx="74">
                  <c:v>90.038224217183696</c:v>
                </c:pt>
                <c:pt idx="75">
                  <c:v>89.960264842197205</c:v>
                </c:pt>
                <c:pt idx="76">
                  <c:v>89.896320553078198</c:v>
                </c:pt>
                <c:pt idx="77">
                  <c:v>89.815054683417799</c:v>
                </c:pt>
                <c:pt idx="78">
                  <c:v>89.729976201419205</c:v>
                </c:pt>
                <c:pt idx="79">
                  <c:v>89.657215563622103</c:v>
                </c:pt>
                <c:pt idx="80">
                  <c:v>89.581547750311501</c:v>
                </c:pt>
                <c:pt idx="81">
                  <c:v>89.512842821269302</c:v>
                </c:pt>
                <c:pt idx="82">
                  <c:v>89.472957018569602</c:v>
                </c:pt>
                <c:pt idx="83">
                  <c:v>89.407079481689493</c:v>
                </c:pt>
                <c:pt idx="84">
                  <c:v>89.316474945363396</c:v>
                </c:pt>
                <c:pt idx="85">
                  <c:v>89.195932581922193</c:v>
                </c:pt>
                <c:pt idx="86">
                  <c:v>89.046337871782796</c:v>
                </c:pt>
                <c:pt idx="87">
                  <c:v>88.943319036077895</c:v>
                </c:pt>
                <c:pt idx="88">
                  <c:v>88.838842962308107</c:v>
                </c:pt>
                <c:pt idx="89">
                  <c:v>88.759627121752104</c:v>
                </c:pt>
                <c:pt idx="90">
                  <c:v>88.672003146288404</c:v>
                </c:pt>
                <c:pt idx="91">
                  <c:v>88.573531157356697</c:v>
                </c:pt>
                <c:pt idx="92">
                  <c:v>88.466004535635307</c:v>
                </c:pt>
                <c:pt idx="93">
                  <c:v>88.306155213092495</c:v>
                </c:pt>
                <c:pt idx="94">
                  <c:v>88.165854670543595</c:v>
                </c:pt>
                <c:pt idx="95">
                  <c:v>88.038684248769897</c:v>
                </c:pt>
                <c:pt idx="96">
                  <c:v>87.917018505683401</c:v>
                </c:pt>
                <c:pt idx="97">
                  <c:v>87.796318491509297</c:v>
                </c:pt>
                <c:pt idx="98">
                  <c:v>87.677245123366006</c:v>
                </c:pt>
                <c:pt idx="99">
                  <c:v>87.582967421811901</c:v>
                </c:pt>
                <c:pt idx="100">
                  <c:v>87.512331924893999</c:v>
                </c:pt>
                <c:pt idx="101">
                  <c:v>87.485744139592001</c:v>
                </c:pt>
                <c:pt idx="102">
                  <c:v>87.445232638571099</c:v>
                </c:pt>
                <c:pt idx="103">
                  <c:v>87.370538177379203</c:v>
                </c:pt>
                <c:pt idx="104">
                  <c:v>87.3587896847515</c:v>
                </c:pt>
                <c:pt idx="105">
                  <c:v>87.366862250795293</c:v>
                </c:pt>
                <c:pt idx="106">
                  <c:v>87.3665003726084</c:v>
                </c:pt>
                <c:pt idx="107">
                  <c:v>87.440175577590793</c:v>
                </c:pt>
                <c:pt idx="108">
                  <c:v>87.534653803241099</c:v>
                </c:pt>
                <c:pt idx="109">
                  <c:v>87.5949123058287</c:v>
                </c:pt>
                <c:pt idx="110">
                  <c:v>87.705258310248198</c:v>
                </c:pt>
                <c:pt idx="111">
                  <c:v>87.755743416356694</c:v>
                </c:pt>
                <c:pt idx="112">
                  <c:v>87.868978262737997</c:v>
                </c:pt>
                <c:pt idx="113">
                  <c:v>87.942381246075001</c:v>
                </c:pt>
                <c:pt idx="114">
                  <c:v>88.050881062194804</c:v>
                </c:pt>
                <c:pt idx="115">
                  <c:v>88.084074147928803</c:v>
                </c:pt>
                <c:pt idx="116">
                  <c:v>88.105767536891705</c:v>
                </c:pt>
                <c:pt idx="117">
                  <c:v>88.134375617136001</c:v>
                </c:pt>
                <c:pt idx="118">
                  <c:v>88.221138612025896</c:v>
                </c:pt>
                <c:pt idx="119">
                  <c:v>88.2796976810329</c:v>
                </c:pt>
                <c:pt idx="120">
                  <c:v>88.359195659260095</c:v>
                </c:pt>
                <c:pt idx="121">
                  <c:v>88.386130968417604</c:v>
                </c:pt>
                <c:pt idx="122">
                  <c:v>88.444880925534704</c:v>
                </c:pt>
                <c:pt idx="123">
                  <c:v>88.531840576166104</c:v>
                </c:pt>
                <c:pt idx="124">
                  <c:v>88.591423485742794</c:v>
                </c:pt>
                <c:pt idx="125">
                  <c:v>88.652693025769906</c:v>
                </c:pt>
                <c:pt idx="126">
                  <c:v>88.723270104119905</c:v>
                </c:pt>
                <c:pt idx="127">
                  <c:v>88.829845686075501</c:v>
                </c:pt>
                <c:pt idx="128">
                  <c:v>88.875416801239993</c:v>
                </c:pt>
                <c:pt idx="129">
                  <c:v>88.930022726333107</c:v>
                </c:pt>
                <c:pt idx="130">
                  <c:v>89.072123444957199</c:v>
                </c:pt>
                <c:pt idx="131">
                  <c:v>89.125361401376196</c:v>
                </c:pt>
                <c:pt idx="132">
                  <c:v>89.198205762551396</c:v>
                </c:pt>
                <c:pt idx="133">
                  <c:v>89.254039252913302</c:v>
                </c:pt>
                <c:pt idx="134">
                  <c:v>89.285574490843004</c:v>
                </c:pt>
                <c:pt idx="135">
                  <c:v>89.348688696911395</c:v>
                </c:pt>
                <c:pt idx="136">
                  <c:v>89.338391137991394</c:v>
                </c:pt>
                <c:pt idx="137">
                  <c:v>89.370147218990098</c:v>
                </c:pt>
                <c:pt idx="138">
                  <c:v>89.395771016600804</c:v>
                </c:pt>
                <c:pt idx="139">
                  <c:v>89.406108931294</c:v>
                </c:pt>
                <c:pt idx="140">
                  <c:v>89.475207292258503</c:v>
                </c:pt>
                <c:pt idx="141">
                  <c:v>89.538278655785604</c:v>
                </c:pt>
                <c:pt idx="142">
                  <c:v>89.622606212205895</c:v>
                </c:pt>
                <c:pt idx="143">
                  <c:v>89.707410139325304</c:v>
                </c:pt>
                <c:pt idx="144">
                  <c:v>89.775199167466297</c:v>
                </c:pt>
                <c:pt idx="145">
                  <c:v>89.784352669818205</c:v>
                </c:pt>
                <c:pt idx="146">
                  <c:v>89.808847866585197</c:v>
                </c:pt>
                <c:pt idx="147">
                  <c:v>88.564265133633199</c:v>
                </c:pt>
                <c:pt idx="148">
                  <c:v>88.718118200961499</c:v>
                </c:pt>
                <c:pt idx="149">
                  <c:v>89.030330750412503</c:v>
                </c:pt>
                <c:pt idx="150">
                  <c:v>89.182762274168795</c:v>
                </c:pt>
                <c:pt idx="151">
                  <c:v>88.634563936587895</c:v>
                </c:pt>
                <c:pt idx="152">
                  <c:v>88.964771030614202</c:v>
                </c:pt>
                <c:pt idx="153">
                  <c:v>88.573890165799995</c:v>
                </c:pt>
                <c:pt idx="154">
                  <c:v>88.946012579693601</c:v>
                </c:pt>
                <c:pt idx="155">
                  <c:v>89.210969925319404</c:v>
                </c:pt>
                <c:pt idx="156">
                  <c:v>89.130691751235801</c:v>
                </c:pt>
                <c:pt idx="157">
                  <c:v>89.148915748873307</c:v>
                </c:pt>
                <c:pt idx="158">
                  <c:v>89.2053193621758</c:v>
                </c:pt>
                <c:pt idx="159">
                  <c:v>88.788227667979001</c:v>
                </c:pt>
                <c:pt idx="160">
                  <c:v>88.179894004947499</c:v>
                </c:pt>
                <c:pt idx="161">
                  <c:v>88.304705206090802</c:v>
                </c:pt>
                <c:pt idx="162">
                  <c:v>87.372890547298596</c:v>
                </c:pt>
                <c:pt idx="163">
                  <c:v>86.832632177839699</c:v>
                </c:pt>
                <c:pt idx="164">
                  <c:v>85.933940565323198</c:v>
                </c:pt>
                <c:pt idx="165">
                  <c:v>84.496594313225401</c:v>
                </c:pt>
                <c:pt idx="166">
                  <c:v>83.974665526216796</c:v>
                </c:pt>
                <c:pt idx="167">
                  <c:v>83.610002496999201</c:v>
                </c:pt>
                <c:pt idx="168">
                  <c:v>83.097793218180598</c:v>
                </c:pt>
                <c:pt idx="169">
                  <c:v>82.942590170169595</c:v>
                </c:pt>
                <c:pt idx="170">
                  <c:v>83.144668466178601</c:v>
                </c:pt>
                <c:pt idx="171">
                  <c:v>82.566955120590407</c:v>
                </c:pt>
                <c:pt idx="172">
                  <c:v>81.530228230536295</c:v>
                </c:pt>
                <c:pt idx="173">
                  <c:v>80.856974699732703</c:v>
                </c:pt>
                <c:pt idx="174">
                  <c:v>79.525922663337795</c:v>
                </c:pt>
                <c:pt idx="175">
                  <c:v>79.398809719351206</c:v>
                </c:pt>
                <c:pt idx="176">
                  <c:v>79.286047607884299</c:v>
                </c:pt>
                <c:pt idx="177">
                  <c:v>78.1909227294354</c:v>
                </c:pt>
                <c:pt idx="178">
                  <c:v>77.135811256494094</c:v>
                </c:pt>
                <c:pt idx="179">
                  <c:v>81.529181186328401</c:v>
                </c:pt>
                <c:pt idx="180">
                  <c:v>81.829110816029598</c:v>
                </c:pt>
                <c:pt idx="181">
                  <c:v>82.089385010872107</c:v>
                </c:pt>
                <c:pt idx="182">
                  <c:v>80.710360837649702</c:v>
                </c:pt>
                <c:pt idx="183">
                  <c:v>80.355194371457799</c:v>
                </c:pt>
                <c:pt idx="184">
                  <c:v>81.121073009494395</c:v>
                </c:pt>
                <c:pt idx="185">
                  <c:v>81.405729345510593</c:v>
                </c:pt>
                <c:pt idx="186">
                  <c:v>81.256492700093105</c:v>
                </c:pt>
                <c:pt idx="187">
                  <c:v>80.607655597803699</c:v>
                </c:pt>
                <c:pt idx="188">
                  <c:v>80.858173325298793</c:v>
                </c:pt>
                <c:pt idx="189">
                  <c:v>80.688325183506706</c:v>
                </c:pt>
                <c:pt idx="190">
                  <c:v>82.712785590828005</c:v>
                </c:pt>
                <c:pt idx="191">
                  <c:v>83.669291888756803</c:v>
                </c:pt>
                <c:pt idx="192">
                  <c:v>84.256320909696697</c:v>
                </c:pt>
                <c:pt idx="193">
                  <c:v>84.2012687282716</c:v>
                </c:pt>
                <c:pt idx="194">
                  <c:v>85.217780490202998</c:v>
                </c:pt>
                <c:pt idx="195">
                  <c:v>84.960859500027794</c:v>
                </c:pt>
                <c:pt idx="196">
                  <c:v>84.494608585388306</c:v>
                </c:pt>
                <c:pt idx="197">
                  <c:v>83.969399568588898</c:v>
                </c:pt>
                <c:pt idx="198">
                  <c:v>83.401335674412394</c:v>
                </c:pt>
                <c:pt idx="199">
                  <c:v>82.546708914877399</c:v>
                </c:pt>
                <c:pt idx="200">
                  <c:v>81.626731721387301</c:v>
                </c:pt>
                <c:pt idx="201">
                  <c:v>80.591345183582206</c:v>
                </c:pt>
                <c:pt idx="202">
                  <c:v>81.383451680802295</c:v>
                </c:pt>
                <c:pt idx="203">
                  <c:v>82.112441943039499</c:v>
                </c:pt>
                <c:pt idx="204">
                  <c:v>82.773563669638705</c:v>
                </c:pt>
                <c:pt idx="205">
                  <c:v>83.256781286364301</c:v>
                </c:pt>
                <c:pt idx="206">
                  <c:v>81.746691137754596</c:v>
                </c:pt>
                <c:pt idx="207">
                  <c:v>82.2390613467539</c:v>
                </c:pt>
                <c:pt idx="208">
                  <c:v>82.080864733743397</c:v>
                </c:pt>
                <c:pt idx="209">
                  <c:v>81.852423434348395</c:v>
                </c:pt>
                <c:pt idx="210">
                  <c:v>81.548157829458106</c:v>
                </c:pt>
                <c:pt idx="211">
                  <c:v>81.498799908147802</c:v>
                </c:pt>
                <c:pt idx="212">
                  <c:v>81.497876487721797</c:v>
                </c:pt>
                <c:pt idx="213">
                  <c:v>83.555137426507002</c:v>
                </c:pt>
                <c:pt idx="214">
                  <c:v>85.274448613203703</c:v>
                </c:pt>
                <c:pt idx="215">
                  <c:v>86.899179529213797</c:v>
                </c:pt>
                <c:pt idx="216">
                  <c:v>88.358118430418102</c:v>
                </c:pt>
                <c:pt idx="217">
                  <c:v>89.075442212496498</c:v>
                </c:pt>
                <c:pt idx="218">
                  <c:v>89.648544080684104</c:v>
                </c:pt>
                <c:pt idx="219">
                  <c:v>90.203891343680894</c:v>
                </c:pt>
                <c:pt idx="220">
                  <c:v>90.464662328033796</c:v>
                </c:pt>
                <c:pt idx="221">
                  <c:v>90.760062693991202</c:v>
                </c:pt>
                <c:pt idx="222">
                  <c:v>90.930084526706196</c:v>
                </c:pt>
                <c:pt idx="223">
                  <c:v>91.4027863902608</c:v>
                </c:pt>
                <c:pt idx="224">
                  <c:v>91.794949555672005</c:v>
                </c:pt>
                <c:pt idx="225">
                  <c:v>92.152731135910003</c:v>
                </c:pt>
                <c:pt idx="226">
                  <c:v>93.148803996602297</c:v>
                </c:pt>
                <c:pt idx="227">
                  <c:v>94.001875479032904</c:v>
                </c:pt>
                <c:pt idx="228">
                  <c:v>94.681483937041904</c:v>
                </c:pt>
                <c:pt idx="229">
                  <c:v>94.998094867418104</c:v>
                </c:pt>
                <c:pt idx="230">
                  <c:v>95.421835011427206</c:v>
                </c:pt>
                <c:pt idx="231">
                  <c:v>95.705986953763102</c:v>
                </c:pt>
                <c:pt idx="232">
                  <c:v>95.754656189581098</c:v>
                </c:pt>
                <c:pt idx="233">
                  <c:v>95.768588634014506</c:v>
                </c:pt>
                <c:pt idx="234">
                  <c:v>95.789714767199797</c:v>
                </c:pt>
                <c:pt idx="235">
                  <c:v>95.890659660073794</c:v>
                </c:pt>
                <c:pt idx="236">
                  <c:v>95.955284016383601</c:v>
                </c:pt>
                <c:pt idx="237">
                  <c:v>96.013424182271393</c:v>
                </c:pt>
                <c:pt idx="238">
                  <c:v>96.395536887807793</c:v>
                </c:pt>
                <c:pt idx="239">
                  <c:v>96.712625289075504</c:v>
                </c:pt>
                <c:pt idx="240">
                  <c:v>96.972864504413906</c:v>
                </c:pt>
                <c:pt idx="241">
                  <c:v>97.070316869230595</c:v>
                </c:pt>
                <c:pt idx="242">
                  <c:v>97.162631168494798</c:v>
                </c:pt>
                <c:pt idx="243">
                  <c:v>97.260917064417598</c:v>
                </c:pt>
                <c:pt idx="244">
                  <c:v>97.313079385708704</c:v>
                </c:pt>
                <c:pt idx="245">
                  <c:v>97.362800299053504</c:v>
                </c:pt>
                <c:pt idx="246">
                  <c:v>97.4069476351807</c:v>
                </c:pt>
                <c:pt idx="247">
                  <c:v>97.459263236000496</c:v>
                </c:pt>
                <c:pt idx="248">
                  <c:v>97.508340981836298</c:v>
                </c:pt>
                <c:pt idx="249">
                  <c:v>97.557577733267294</c:v>
                </c:pt>
                <c:pt idx="250">
                  <c:v>97.717907648615196</c:v>
                </c:pt>
                <c:pt idx="251">
                  <c:v>97.839102148951895</c:v>
                </c:pt>
                <c:pt idx="252">
                  <c:v>97.949432118323799</c:v>
                </c:pt>
                <c:pt idx="253">
                  <c:v>98.012457331367401</c:v>
                </c:pt>
                <c:pt idx="254">
                  <c:v>98.069886492152705</c:v>
                </c:pt>
                <c:pt idx="255">
                  <c:v>98.116112407945494</c:v>
                </c:pt>
                <c:pt idx="256">
                  <c:v>98.136100837653004</c:v>
                </c:pt>
                <c:pt idx="257">
                  <c:v>98.148635600370397</c:v>
                </c:pt>
                <c:pt idx="258">
                  <c:v>98.155106018828604</c:v>
                </c:pt>
                <c:pt idx="259">
                  <c:v>98.190860334399801</c:v>
                </c:pt>
                <c:pt idx="260">
                  <c:v>98.217212301027104</c:v>
                </c:pt>
                <c:pt idx="261">
                  <c:v>98.238521837558693</c:v>
                </c:pt>
                <c:pt idx="262">
                  <c:v>98.339157457570707</c:v>
                </c:pt>
                <c:pt idx="263">
                  <c:v>98.408884157195104</c:v>
                </c:pt>
                <c:pt idx="264">
                  <c:v>98.466552861347594</c:v>
                </c:pt>
                <c:pt idx="265">
                  <c:v>98.478279535481093</c:v>
                </c:pt>
                <c:pt idx="266">
                  <c:v>98.488463016285905</c:v>
                </c:pt>
                <c:pt idx="267">
                  <c:v>98.500416951640702</c:v>
                </c:pt>
                <c:pt idx="268">
                  <c:v>98.5077209696301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08288"/>
        <c:axId val="148910464"/>
      </c:lineChart>
      <c:catAx>
        <c:axId val="14890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910464"/>
        <c:crosses val="autoZero"/>
        <c:auto val="1"/>
        <c:lblAlgn val="ctr"/>
        <c:lblOffset val="100"/>
        <c:noMultiLvlLbl val="0"/>
      </c:catAx>
      <c:valAx>
        <c:axId val="14891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908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[FNMA_cov_refi_eligible.xlsx]conventional_refi_elig-new!PivotTable5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'conventional_refi_elig-new'!$H$3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'conventional_refi_elig-new'!$G$4:$G$277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'conventional_refi_elig-new'!$H$4:$H$277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87.206397262218601</c:v>
                </c:pt>
                <c:pt idx="228">
                  <c:v>87.581728598102302</c:v>
                </c:pt>
                <c:pt idx="229">
                  <c:v>87.890819877352897</c:v>
                </c:pt>
                <c:pt idx="230">
                  <c:v>88.636215734976602</c:v>
                </c:pt>
                <c:pt idx="231">
                  <c:v>89.303044106109994</c:v>
                </c:pt>
                <c:pt idx="232">
                  <c:v>89.905355137437894</c:v>
                </c:pt>
                <c:pt idx="233">
                  <c:v>90.122580548364397</c:v>
                </c:pt>
                <c:pt idx="234">
                  <c:v>90.337691241577502</c:v>
                </c:pt>
                <c:pt idx="235">
                  <c:v>90.554171247270403</c:v>
                </c:pt>
                <c:pt idx="236">
                  <c:v>90.536166746404206</c:v>
                </c:pt>
                <c:pt idx="237">
                  <c:v>90.485561744629294</c:v>
                </c:pt>
                <c:pt idx="238">
                  <c:v>90.469069760377593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936320"/>
        <c:axId val="266937856"/>
      </c:lineChart>
      <c:catAx>
        <c:axId val="266936320"/>
        <c:scaling>
          <c:orientation val="minMax"/>
        </c:scaling>
        <c:delete val="0"/>
        <c:axPos val="b"/>
        <c:majorTickMark val="out"/>
        <c:minorTickMark val="none"/>
        <c:tickLblPos val="nextTo"/>
        <c:crossAx val="266937856"/>
        <c:crosses val="autoZero"/>
        <c:auto val="1"/>
        <c:lblAlgn val="ctr"/>
        <c:lblOffset val="100"/>
        <c:noMultiLvlLbl val="0"/>
      </c:catAx>
      <c:valAx>
        <c:axId val="266937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936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'conventional_refi_elig-new'!$V$1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'conventional_refi_elig-new'!$U$2:$U$511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'conventional_refi_elig-new'!$V$2:$V$511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23.9040337806804</c:v>
                </c:pt>
                <c:pt idx="24">
                  <c:v>24.1377362792234</c:v>
                </c:pt>
                <c:pt idx="25">
                  <c:v>24.2468457926296</c:v>
                </c:pt>
                <c:pt idx="26">
                  <c:v>24.264011179889302</c:v>
                </c:pt>
                <c:pt idx="27">
                  <c:v>24.276981894699802</c:v>
                </c:pt>
                <c:pt idx="28">
                  <c:v>24.249599072896402</c:v>
                </c:pt>
                <c:pt idx="29">
                  <c:v>24.232831860734301</c:v>
                </c:pt>
                <c:pt idx="30">
                  <c:v>24.241661598891099</c:v>
                </c:pt>
                <c:pt idx="31">
                  <c:v>24.315494830336998</c:v>
                </c:pt>
                <c:pt idx="32">
                  <c:v>24.366078209419399</c:v>
                </c:pt>
                <c:pt idx="33">
                  <c:v>24.4214435912955</c:v>
                </c:pt>
                <c:pt idx="34">
                  <c:v>24.5409886947002</c:v>
                </c:pt>
                <c:pt idx="35">
                  <c:v>25.5759162958479</c:v>
                </c:pt>
                <c:pt idx="36">
                  <c:v>25.594344150942799</c:v>
                </c:pt>
                <c:pt idx="37">
                  <c:v>25.628449813680199</c:v>
                </c:pt>
                <c:pt idx="38">
                  <c:v>25.602052686198</c:v>
                </c:pt>
                <c:pt idx="39">
                  <c:v>25.654788681013599</c:v>
                </c:pt>
                <c:pt idx="40">
                  <c:v>25.7004559306001</c:v>
                </c:pt>
                <c:pt idx="41">
                  <c:v>25.779795489019801</c:v>
                </c:pt>
                <c:pt idx="42">
                  <c:v>25.879236352383799</c:v>
                </c:pt>
                <c:pt idx="43">
                  <c:v>25.839700524105901</c:v>
                </c:pt>
                <c:pt idx="44">
                  <c:v>25.892714667461298</c:v>
                </c:pt>
                <c:pt idx="45">
                  <c:v>25.918734491286401</c:v>
                </c:pt>
                <c:pt idx="46">
                  <c:v>25.8684727523957</c:v>
                </c:pt>
                <c:pt idx="47">
                  <c:v>23.4019153504663</c:v>
                </c:pt>
                <c:pt idx="48">
                  <c:v>23.430173551169499</c:v>
                </c:pt>
                <c:pt idx="49">
                  <c:v>23.480647018681399</c:v>
                </c:pt>
                <c:pt idx="50">
                  <c:v>23.571062098696899</c:v>
                </c:pt>
                <c:pt idx="51">
                  <c:v>23.516082028561399</c:v>
                </c:pt>
                <c:pt idx="52">
                  <c:v>23.517902337879399</c:v>
                </c:pt>
                <c:pt idx="53">
                  <c:v>23.534384688912599</c:v>
                </c:pt>
                <c:pt idx="54">
                  <c:v>23.450623678978602</c:v>
                </c:pt>
                <c:pt idx="55">
                  <c:v>23.465814470552999</c:v>
                </c:pt>
                <c:pt idx="56">
                  <c:v>23.505330083208101</c:v>
                </c:pt>
                <c:pt idx="57">
                  <c:v>23.4553603093931</c:v>
                </c:pt>
                <c:pt idx="58">
                  <c:v>23.457832225765301</c:v>
                </c:pt>
                <c:pt idx="59">
                  <c:v>22.859773088248701</c:v>
                </c:pt>
                <c:pt idx="60">
                  <c:v>22.8647134525621</c:v>
                </c:pt>
                <c:pt idx="61">
                  <c:v>22.8846012847089</c:v>
                </c:pt>
                <c:pt idx="62">
                  <c:v>22.942006592345301</c:v>
                </c:pt>
                <c:pt idx="63">
                  <c:v>23.003063729522299</c:v>
                </c:pt>
                <c:pt idx="64">
                  <c:v>23.136635542313901</c:v>
                </c:pt>
                <c:pt idx="65">
                  <c:v>23.258250195434801</c:v>
                </c:pt>
                <c:pt idx="66">
                  <c:v>23.406705263677502</c:v>
                </c:pt>
                <c:pt idx="67">
                  <c:v>23.584999679202902</c:v>
                </c:pt>
                <c:pt idx="68">
                  <c:v>23.836196796233502</c:v>
                </c:pt>
                <c:pt idx="69">
                  <c:v>23.960501905306099</c:v>
                </c:pt>
                <c:pt idx="70">
                  <c:v>24.1511939597363</c:v>
                </c:pt>
                <c:pt idx="71">
                  <c:v>23.9569807903029</c:v>
                </c:pt>
                <c:pt idx="72">
                  <c:v>24.132556362769002</c:v>
                </c:pt>
                <c:pt idx="73">
                  <c:v>24.220089336597901</c:v>
                </c:pt>
                <c:pt idx="74">
                  <c:v>24.371443077002301</c:v>
                </c:pt>
                <c:pt idx="75">
                  <c:v>24.5660130506622</c:v>
                </c:pt>
                <c:pt idx="76">
                  <c:v>24.759377424572701</c:v>
                </c:pt>
                <c:pt idx="77">
                  <c:v>25.014631288793499</c:v>
                </c:pt>
                <c:pt idx="78">
                  <c:v>25.302403828018701</c:v>
                </c:pt>
                <c:pt idx="79">
                  <c:v>25.578896569007799</c:v>
                </c:pt>
                <c:pt idx="80">
                  <c:v>25.75168433883</c:v>
                </c:pt>
                <c:pt idx="81">
                  <c:v>25.965688275597</c:v>
                </c:pt>
                <c:pt idx="82">
                  <c:v>26.084698277235201</c:v>
                </c:pt>
                <c:pt idx="83">
                  <c:v>24.869792938541298</c:v>
                </c:pt>
                <c:pt idx="84">
                  <c:v>24.940877683184802</c:v>
                </c:pt>
                <c:pt idx="85">
                  <c:v>24.979186789700901</c:v>
                </c:pt>
                <c:pt idx="86">
                  <c:v>24.762891418315</c:v>
                </c:pt>
                <c:pt idx="87">
                  <c:v>24.408407919627798</c:v>
                </c:pt>
                <c:pt idx="88">
                  <c:v>24.114759182766601</c:v>
                </c:pt>
                <c:pt idx="89">
                  <c:v>23.723726843129398</c:v>
                </c:pt>
                <c:pt idx="90">
                  <c:v>23.3948622273473</c:v>
                </c:pt>
                <c:pt idx="91">
                  <c:v>23.153475809562199</c:v>
                </c:pt>
                <c:pt idx="92">
                  <c:v>22.803888421185999</c:v>
                </c:pt>
                <c:pt idx="93">
                  <c:v>22.425302448481599</c:v>
                </c:pt>
                <c:pt idx="94">
                  <c:v>21.978756017775201</c:v>
                </c:pt>
                <c:pt idx="95">
                  <c:v>21.259699842792099</c:v>
                </c:pt>
                <c:pt idx="96">
                  <c:v>20.780934690909099</c:v>
                </c:pt>
                <c:pt idx="97">
                  <c:v>20.473315161029198</c:v>
                </c:pt>
                <c:pt idx="98">
                  <c:v>20.161805833904399</c:v>
                </c:pt>
                <c:pt idx="99">
                  <c:v>19.7723024133706</c:v>
                </c:pt>
                <c:pt idx="100">
                  <c:v>19.422776608062499</c:v>
                </c:pt>
                <c:pt idx="101">
                  <c:v>19.140262564632</c:v>
                </c:pt>
                <c:pt idx="102">
                  <c:v>18.832170637243902</c:v>
                </c:pt>
                <c:pt idx="103">
                  <c:v>18.503879820902601</c:v>
                </c:pt>
                <c:pt idx="104">
                  <c:v>18.117689806171001</c:v>
                </c:pt>
                <c:pt idx="105">
                  <c:v>17.510332276808001</c:v>
                </c:pt>
                <c:pt idx="106">
                  <c:v>16.914919850637599</c:v>
                </c:pt>
                <c:pt idx="107">
                  <c:v>16.315177485432901</c:v>
                </c:pt>
                <c:pt idx="108">
                  <c:v>15.6896265498711</c:v>
                </c:pt>
                <c:pt idx="109">
                  <c:v>15.153973556269399</c:v>
                </c:pt>
                <c:pt idx="110">
                  <c:v>14.647521295140701</c:v>
                </c:pt>
                <c:pt idx="111">
                  <c:v>14.1500870310718</c:v>
                </c:pt>
                <c:pt idx="112">
                  <c:v>13.8993751674187</c:v>
                </c:pt>
                <c:pt idx="113">
                  <c:v>14.392143484176801</c:v>
                </c:pt>
                <c:pt idx="114">
                  <c:v>15.0511352239203</c:v>
                </c:pt>
                <c:pt idx="115">
                  <c:v>15.4388178387363</c:v>
                </c:pt>
                <c:pt idx="116">
                  <c:v>15.712538869975001</c:v>
                </c:pt>
                <c:pt idx="117">
                  <c:v>15.7367836343841</c:v>
                </c:pt>
                <c:pt idx="118">
                  <c:v>15.6078351372489</c:v>
                </c:pt>
                <c:pt idx="119">
                  <c:v>15.632002137203299</c:v>
                </c:pt>
                <c:pt idx="120">
                  <c:v>15.6991634367233</c:v>
                </c:pt>
                <c:pt idx="121">
                  <c:v>15.7541313694003</c:v>
                </c:pt>
                <c:pt idx="122">
                  <c:v>15.935376975898899</c:v>
                </c:pt>
                <c:pt idx="123">
                  <c:v>16.152149923341899</c:v>
                </c:pt>
                <c:pt idx="124">
                  <c:v>16.253329516238299</c:v>
                </c:pt>
                <c:pt idx="125">
                  <c:v>16.407424120837401</c:v>
                </c:pt>
                <c:pt idx="126">
                  <c:v>16.6026934019865</c:v>
                </c:pt>
                <c:pt idx="127">
                  <c:v>16.734934455602001</c:v>
                </c:pt>
                <c:pt idx="128">
                  <c:v>16.910177197623</c:v>
                </c:pt>
                <c:pt idx="129">
                  <c:v>17.103542773184898</c:v>
                </c:pt>
                <c:pt idx="130">
                  <c:v>17.321215293521</c:v>
                </c:pt>
                <c:pt idx="131">
                  <c:v>17.576631455242701</c:v>
                </c:pt>
                <c:pt idx="132">
                  <c:v>17.690183783761601</c:v>
                </c:pt>
                <c:pt idx="133">
                  <c:v>17.9380464244949</c:v>
                </c:pt>
                <c:pt idx="134">
                  <c:v>15.217267334447699</c:v>
                </c:pt>
                <c:pt idx="135">
                  <c:v>15.3209729937092</c:v>
                </c:pt>
                <c:pt idx="136">
                  <c:v>15.407947488</c:v>
                </c:pt>
                <c:pt idx="137">
                  <c:v>18.4636805417645</c:v>
                </c:pt>
                <c:pt idx="138">
                  <c:v>18.656002221477902</c:v>
                </c:pt>
                <c:pt idx="139">
                  <c:v>18.955787144097901</c:v>
                </c:pt>
                <c:pt idx="140">
                  <c:v>19.147463437467501</c:v>
                </c:pt>
                <c:pt idx="141">
                  <c:v>19.351711971212598</c:v>
                </c:pt>
                <c:pt idx="142">
                  <c:v>19.388590947095</c:v>
                </c:pt>
                <c:pt idx="143">
                  <c:v>19.621624068600301</c:v>
                </c:pt>
                <c:pt idx="144">
                  <c:v>19.7527965231486</c:v>
                </c:pt>
                <c:pt idx="145">
                  <c:v>19.9893848782813</c:v>
                </c:pt>
                <c:pt idx="146">
                  <c:v>20.134828364334201</c:v>
                </c:pt>
                <c:pt idx="147">
                  <c:v>20.2937457805462</c:v>
                </c:pt>
                <c:pt idx="148">
                  <c:v>20.313213395218</c:v>
                </c:pt>
                <c:pt idx="149">
                  <c:v>20.275300139940899</c:v>
                </c:pt>
                <c:pt idx="150">
                  <c:v>20.271480961853499</c:v>
                </c:pt>
                <c:pt idx="151">
                  <c:v>20.2195203451585</c:v>
                </c:pt>
                <c:pt idx="152">
                  <c:v>20.190238445827401</c:v>
                </c:pt>
                <c:pt idx="153">
                  <c:v>20.097366027350098</c:v>
                </c:pt>
                <c:pt idx="154">
                  <c:v>20.054032617926101</c:v>
                </c:pt>
                <c:pt idx="155">
                  <c:v>20.021928971829301</c:v>
                </c:pt>
                <c:pt idx="156">
                  <c:v>19.981894696635301</c:v>
                </c:pt>
                <c:pt idx="157">
                  <c:v>20.033413413481199</c:v>
                </c:pt>
                <c:pt idx="158">
                  <c:v>20.0065591444652</c:v>
                </c:pt>
                <c:pt idx="159">
                  <c:v>19.994139302062099</c:v>
                </c:pt>
                <c:pt idx="160">
                  <c:v>19.991168318051699</c:v>
                </c:pt>
                <c:pt idx="161">
                  <c:v>19.8040452527868</c:v>
                </c:pt>
                <c:pt idx="162">
                  <c:v>19.8230717211365</c:v>
                </c:pt>
                <c:pt idx="163">
                  <c:v>19.757166953734401</c:v>
                </c:pt>
                <c:pt idx="164">
                  <c:v>19.470007229199901</c:v>
                </c:pt>
                <c:pt idx="165">
                  <c:v>19.190160090800202</c:v>
                </c:pt>
                <c:pt idx="166">
                  <c:v>18.848461028118201</c:v>
                </c:pt>
                <c:pt idx="167">
                  <c:v>18.559699687475302</c:v>
                </c:pt>
                <c:pt idx="168">
                  <c:v>18.2620717884874</c:v>
                </c:pt>
                <c:pt idx="169">
                  <c:v>18.0338363373913</c:v>
                </c:pt>
                <c:pt idx="170">
                  <c:v>17.9733906693798</c:v>
                </c:pt>
                <c:pt idx="171">
                  <c:v>17.8877952256803</c:v>
                </c:pt>
                <c:pt idx="172">
                  <c:v>18.050740292528602</c:v>
                </c:pt>
                <c:pt idx="173">
                  <c:v>18.158329864500999</c:v>
                </c:pt>
                <c:pt idx="174">
                  <c:v>18.175177167928599</c:v>
                </c:pt>
                <c:pt idx="175">
                  <c:v>18.1116989790692</c:v>
                </c:pt>
                <c:pt idx="176">
                  <c:v>17.947216184410099</c:v>
                </c:pt>
                <c:pt idx="177">
                  <c:v>17.7739165148956</c:v>
                </c:pt>
                <c:pt idx="178">
                  <c:v>17.6772094379834</c:v>
                </c:pt>
                <c:pt idx="179">
                  <c:v>17.876036115989699</c:v>
                </c:pt>
                <c:pt idx="180">
                  <c:v>17.970776019752901</c:v>
                </c:pt>
                <c:pt idx="181">
                  <c:v>18.156749921141699</c:v>
                </c:pt>
                <c:pt idx="182">
                  <c:v>18.7978712660653</c:v>
                </c:pt>
                <c:pt idx="183">
                  <c:v>19.331783614157398</c:v>
                </c:pt>
                <c:pt idx="184">
                  <c:v>19.559587332612601</c:v>
                </c:pt>
                <c:pt idx="185">
                  <c:v>20.122303454843699</c:v>
                </c:pt>
                <c:pt idx="186">
                  <c:v>20.887860532312299</c:v>
                </c:pt>
                <c:pt idx="187">
                  <c:v>21.166289495229801</c:v>
                </c:pt>
                <c:pt idx="188">
                  <c:v>21.389357643231499</c:v>
                </c:pt>
                <c:pt idx="189">
                  <c:v>21.632780952057999</c:v>
                </c:pt>
                <c:pt idx="190">
                  <c:v>21.7390151154177</c:v>
                </c:pt>
                <c:pt idx="191">
                  <c:v>21.893798263131</c:v>
                </c:pt>
                <c:pt idx="192">
                  <c:v>22.0515850600585</c:v>
                </c:pt>
                <c:pt idx="193">
                  <c:v>22.157977961681201</c:v>
                </c:pt>
                <c:pt idx="194">
                  <c:v>22.769215809280499</c:v>
                </c:pt>
                <c:pt idx="195">
                  <c:v>23.467879612931501</c:v>
                </c:pt>
                <c:pt idx="196">
                  <c:v>24.296061738777301</c:v>
                </c:pt>
                <c:pt idx="197">
                  <c:v>24.679231553656599</c:v>
                </c:pt>
                <c:pt idx="198">
                  <c:v>25.074806388667099</c:v>
                </c:pt>
                <c:pt idx="199">
                  <c:v>25.479164948948501</c:v>
                </c:pt>
                <c:pt idx="200">
                  <c:v>26.254151150396599</c:v>
                </c:pt>
                <c:pt idx="201">
                  <c:v>26.919084340095601</c:v>
                </c:pt>
                <c:pt idx="202">
                  <c:v>27.561355875409902</c:v>
                </c:pt>
                <c:pt idx="203">
                  <c:v>28.114059016780899</c:v>
                </c:pt>
                <c:pt idx="204">
                  <c:v>28.4827066461051</c:v>
                </c:pt>
                <c:pt idx="205">
                  <c:v>28.698769715346401</c:v>
                </c:pt>
                <c:pt idx="206">
                  <c:v>29.493983639499898</c:v>
                </c:pt>
                <c:pt idx="207">
                  <c:v>30.230464357825301</c:v>
                </c:pt>
                <c:pt idx="208">
                  <c:v>30.833870224867901</c:v>
                </c:pt>
                <c:pt idx="209">
                  <c:v>31.3769351322135</c:v>
                </c:pt>
                <c:pt idx="210">
                  <c:v>32.020227802674</c:v>
                </c:pt>
                <c:pt idx="211">
                  <c:v>32.764034340849499</c:v>
                </c:pt>
                <c:pt idx="212">
                  <c:v>33.3142618399052</c:v>
                </c:pt>
                <c:pt idx="213">
                  <c:v>33.857405249820197</c:v>
                </c:pt>
                <c:pt idx="214">
                  <c:v>34.479220645670502</c:v>
                </c:pt>
                <c:pt idx="215">
                  <c:v>35.260333102000203</c:v>
                </c:pt>
                <c:pt idx="216">
                  <c:v>35.859227713706403</c:v>
                </c:pt>
                <c:pt idx="217">
                  <c:v>36.476579772451899</c:v>
                </c:pt>
                <c:pt idx="218">
                  <c:v>37.768925971632299</c:v>
                </c:pt>
                <c:pt idx="219">
                  <c:v>38.913633204536097</c:v>
                </c:pt>
                <c:pt idx="220">
                  <c:v>39.879421249693401</c:v>
                </c:pt>
                <c:pt idx="221">
                  <c:v>40.895726492699801</c:v>
                </c:pt>
                <c:pt idx="222">
                  <c:v>41.967628869863503</c:v>
                </c:pt>
                <c:pt idx="223">
                  <c:v>43.013764711682398</c:v>
                </c:pt>
                <c:pt idx="224">
                  <c:v>44.115106090754999</c:v>
                </c:pt>
                <c:pt idx="225">
                  <c:v>44.964628282645997</c:v>
                </c:pt>
                <c:pt idx="226">
                  <c:v>46.152031785063897</c:v>
                </c:pt>
                <c:pt idx="227">
                  <c:v>46.931075904828099</c:v>
                </c:pt>
                <c:pt idx="228">
                  <c:v>46.011159321965799</c:v>
                </c:pt>
                <c:pt idx="229">
                  <c:v>45.048120682990202</c:v>
                </c:pt>
                <c:pt idx="230">
                  <c:v>44.488422647869101</c:v>
                </c:pt>
                <c:pt idx="231">
                  <c:v>43.763809562722599</c:v>
                </c:pt>
                <c:pt idx="232">
                  <c:v>42.861924668996899</c:v>
                </c:pt>
                <c:pt idx="233">
                  <c:v>41.9460692805077</c:v>
                </c:pt>
                <c:pt idx="234">
                  <c:v>40.914936341350703</c:v>
                </c:pt>
                <c:pt idx="235">
                  <c:v>40.063351774054603</c:v>
                </c:pt>
                <c:pt idx="236">
                  <c:v>39.368113116509498</c:v>
                </c:pt>
                <c:pt idx="237">
                  <c:v>38.745289380312897</c:v>
                </c:pt>
                <c:pt idx="238">
                  <c:v>38.313655040066202</c:v>
                </c:pt>
                <c:pt idx="239">
                  <c:v>64.5410801708923</c:v>
                </c:pt>
                <c:pt idx="240">
                  <c:v>65.1529561913744</c:v>
                </c:pt>
                <c:pt idx="241">
                  <c:v>65.698548727677107</c:v>
                </c:pt>
                <c:pt idx="242">
                  <c:v>66.226575915065396</c:v>
                </c:pt>
                <c:pt idx="243">
                  <c:v>66.793099752939199</c:v>
                </c:pt>
                <c:pt idx="244">
                  <c:v>67.369973739029504</c:v>
                </c:pt>
                <c:pt idx="245">
                  <c:v>67.985172384694295</c:v>
                </c:pt>
                <c:pt idx="246">
                  <c:v>68.670091266985494</c:v>
                </c:pt>
                <c:pt idx="247">
                  <c:v>69.286293806997094</c:v>
                </c:pt>
                <c:pt idx="248">
                  <c:v>69.969237534556797</c:v>
                </c:pt>
                <c:pt idx="249">
                  <c:v>70.684647527310801</c:v>
                </c:pt>
                <c:pt idx="250">
                  <c:v>71.328493353395004</c:v>
                </c:pt>
                <c:pt idx="251">
                  <c:v>72.007485194197201</c:v>
                </c:pt>
                <c:pt idx="252">
                  <c:v>72.555987703310095</c:v>
                </c:pt>
                <c:pt idx="253">
                  <c:v>73.045635510559904</c:v>
                </c:pt>
                <c:pt idx="254">
                  <c:v>73.616152819916806</c:v>
                </c:pt>
                <c:pt idx="255">
                  <c:v>74.248964262480101</c:v>
                </c:pt>
                <c:pt idx="256">
                  <c:v>74.888798378427694</c:v>
                </c:pt>
                <c:pt idx="257">
                  <c:v>75.490144388644794</c:v>
                </c:pt>
                <c:pt idx="258">
                  <c:v>76.145670945880596</c:v>
                </c:pt>
                <c:pt idx="259">
                  <c:v>76.694797636807607</c:v>
                </c:pt>
                <c:pt idx="260">
                  <c:v>77.286756458319601</c:v>
                </c:pt>
                <c:pt idx="261">
                  <c:v>77.809977180303306</c:v>
                </c:pt>
                <c:pt idx="262">
                  <c:v>78.223861507295794</c:v>
                </c:pt>
                <c:pt idx="263">
                  <c:v>78.698575103590102</c:v>
                </c:pt>
                <c:pt idx="264">
                  <c:v>79.139613750983898</c:v>
                </c:pt>
                <c:pt idx="265">
                  <c:v>79.537146474007699</c:v>
                </c:pt>
                <c:pt idx="266">
                  <c:v>79.976392216874601</c:v>
                </c:pt>
                <c:pt idx="267">
                  <c:v>80.4145498233582</c:v>
                </c:pt>
                <c:pt idx="268">
                  <c:v>80.844711587004198</c:v>
                </c:pt>
                <c:pt idx="269">
                  <c:v>81.316631050407196</c:v>
                </c:pt>
                <c:pt idx="270">
                  <c:v>81.746914203326497</c:v>
                </c:pt>
                <c:pt idx="271">
                  <c:v>82.263256847061498</c:v>
                </c:pt>
                <c:pt idx="272">
                  <c:v>82.742465754093104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'conventional_refi_elig-new'!$W$1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'conventional_refi_elig-new'!$U$2:$U$511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'conventional_refi_elig-new'!$W$2:$W$511</c:f>
              <c:numCache>
                <c:formatCode>General</c:formatCode>
                <c:ptCount val="510"/>
                <c:pt idx="0">
                  <c:v>99.042895214577996</c:v>
                </c:pt>
                <c:pt idx="1">
                  <c:v>98.728419570533603</c:v>
                </c:pt>
                <c:pt idx="2">
                  <c:v>98.420927368044502</c:v>
                </c:pt>
                <c:pt idx="3">
                  <c:v>#N/A</c:v>
                </c:pt>
                <c:pt idx="4">
                  <c:v>#N/A</c:v>
                </c:pt>
                <c:pt idx="5">
                  <c:v>97.681204158137106</c:v>
                </c:pt>
                <c:pt idx="6">
                  <c:v>97.503899032269402</c:v>
                </c:pt>
                <c:pt idx="7">
                  <c:v>97.356954680509801</c:v>
                </c:pt>
                <c:pt idx="8">
                  <c:v>97.202262614290007</c:v>
                </c:pt>
                <c:pt idx="9">
                  <c:v>97.077694471307694</c:v>
                </c:pt>
                <c:pt idx="10">
                  <c:v>96.978984565132095</c:v>
                </c:pt>
                <c:pt idx="11">
                  <c:v>96.901214384948005</c:v>
                </c:pt>
                <c:pt idx="12">
                  <c:v>96.797930004529704</c:v>
                </c:pt>
                <c:pt idx="13">
                  <c:v>96.704603715331203</c:v>
                </c:pt>
                <c:pt idx="14">
                  <c:v>96.580893265796803</c:v>
                </c:pt>
                <c:pt idx="15">
                  <c:v>96.415450831963796</c:v>
                </c:pt>
                <c:pt idx="16">
                  <c:v>96.289993664180201</c:v>
                </c:pt>
                <c:pt idx="17">
                  <c:v>96.140167177683495</c:v>
                </c:pt>
                <c:pt idx="18">
                  <c:v>96.0699306058102</c:v>
                </c:pt>
                <c:pt idx="19">
                  <c:v>95.970004992844295</c:v>
                </c:pt>
                <c:pt idx="20">
                  <c:v>95.719948288162598</c:v>
                </c:pt>
                <c:pt idx="21">
                  <c:v>95.454564179037803</c:v>
                </c:pt>
                <c:pt idx="22">
                  <c:v>95.309097276227803</c:v>
                </c:pt>
                <c:pt idx="23">
                  <c:v>95.207580805184193</c:v>
                </c:pt>
                <c:pt idx="24">
                  <c:v>95.068968282893394</c:v>
                </c:pt>
                <c:pt idx="25">
                  <c:v>94.9282536272312</c:v>
                </c:pt>
                <c:pt idx="26">
                  <c:v>94.718777649845606</c:v>
                </c:pt>
                <c:pt idx="27">
                  <c:v>94.517617836355498</c:v>
                </c:pt>
                <c:pt idx="28">
                  <c:v>94.433956535743107</c:v>
                </c:pt>
                <c:pt idx="29">
                  <c:v>94.279860937165907</c:v>
                </c:pt>
                <c:pt idx="30">
                  <c:v>94.046836234387399</c:v>
                </c:pt>
                <c:pt idx="31">
                  <c:v>93.902239936808499</c:v>
                </c:pt>
                <c:pt idx="32">
                  <c:v>93.747279131194702</c:v>
                </c:pt>
                <c:pt idx="33">
                  <c:v>93.619053387659307</c:v>
                </c:pt>
                <c:pt idx="34">
                  <c:v>93.540671648384404</c:v>
                </c:pt>
                <c:pt idx="35">
                  <c:v>#N/A</c:v>
                </c:pt>
                <c:pt idx="36">
                  <c:v>#N/A</c:v>
                </c:pt>
                <c:pt idx="37">
                  <c:v>92.993150188481806</c:v>
                </c:pt>
                <c:pt idx="38">
                  <c:v>92.902874572158197</c:v>
                </c:pt>
                <c:pt idx="39">
                  <c:v>92.824520228906394</c:v>
                </c:pt>
                <c:pt idx="40">
                  <c:v>92.753503587986103</c:v>
                </c:pt>
                <c:pt idx="41">
                  <c:v>92.644354738794206</c:v>
                </c:pt>
                <c:pt idx="42">
                  <c:v>92.511880458717599</c:v>
                </c:pt>
                <c:pt idx="43">
                  <c:v>92.416946943406799</c:v>
                </c:pt>
                <c:pt idx="44">
                  <c:v>92.332196161286404</c:v>
                </c:pt>
                <c:pt idx="45">
                  <c:v>92.248022386213506</c:v>
                </c:pt>
                <c:pt idx="46">
                  <c:v>92.112657381390605</c:v>
                </c:pt>
                <c:pt idx="47">
                  <c:v>92.025928040633204</c:v>
                </c:pt>
                <c:pt idx="48">
                  <c:v>92.053310665430601</c:v>
                </c:pt>
                <c:pt idx="49">
                  <c:v>92.022991506954199</c:v>
                </c:pt>
                <c:pt idx="50">
                  <c:v>91.853457612590503</c:v>
                </c:pt>
                <c:pt idx="51">
                  <c:v>91.768115515667404</c:v>
                </c:pt>
                <c:pt idx="52">
                  <c:v>91.673935599984702</c:v>
                </c:pt>
                <c:pt idx="53">
                  <c:v>91.570922345367805</c:v>
                </c:pt>
                <c:pt idx="54">
                  <c:v>91.517389801174403</c:v>
                </c:pt>
                <c:pt idx="55">
                  <c:v>91.533661788427906</c:v>
                </c:pt>
                <c:pt idx="56">
                  <c:v>91.556802230438095</c:v>
                </c:pt>
                <c:pt idx="57">
                  <c:v>91.394038464355305</c:v>
                </c:pt>
                <c:pt idx="58">
                  <c:v>91.248054735348205</c:v>
                </c:pt>
                <c:pt idx="59">
                  <c:v>91.173404727319095</c:v>
                </c:pt>
                <c:pt idx="60">
                  <c:v>91.060510110117306</c:v>
                </c:pt>
                <c:pt idx="61">
                  <c:v>91.029735352678102</c:v>
                </c:pt>
                <c:pt idx="62">
                  <c:v>90.935961074470796</c:v>
                </c:pt>
                <c:pt idx="63">
                  <c:v>90.868151897523106</c:v>
                </c:pt>
                <c:pt idx="64">
                  <c:v>90.754331103109195</c:v>
                </c:pt>
                <c:pt idx="65">
                  <c:v>90.676781769290997</c:v>
                </c:pt>
                <c:pt idx="66">
                  <c:v>90.592704865297094</c:v>
                </c:pt>
                <c:pt idx="67">
                  <c:v>90.543650668260398</c:v>
                </c:pt>
                <c:pt idx="68">
                  <c:v>90.473341946825997</c:v>
                </c:pt>
                <c:pt idx="69">
                  <c:v>90.423566343701395</c:v>
                </c:pt>
                <c:pt idx="70">
                  <c:v>90.377949021028996</c:v>
                </c:pt>
                <c:pt idx="71">
                  <c:v>90.341587928600504</c:v>
                </c:pt>
                <c:pt idx="72">
                  <c:v>90.2613194844985</c:v>
                </c:pt>
                <c:pt idx="73">
                  <c:v>90.239260897534606</c:v>
                </c:pt>
                <c:pt idx="74">
                  <c:v>90.216704589250398</c:v>
                </c:pt>
                <c:pt idx="75">
                  <c:v>90.1989728595277</c:v>
                </c:pt>
                <c:pt idx="76">
                  <c:v>90.135844691138104</c:v>
                </c:pt>
                <c:pt idx="77">
                  <c:v>90.0693507160873</c:v>
                </c:pt>
                <c:pt idx="78">
                  <c:v>90.038224217183696</c:v>
                </c:pt>
                <c:pt idx="79">
                  <c:v>89.960264842197205</c:v>
                </c:pt>
                <c:pt idx="80">
                  <c:v>89.896320553078198</c:v>
                </c:pt>
                <c:pt idx="81">
                  <c:v>89.815054683417799</c:v>
                </c:pt>
                <c:pt idx="82">
                  <c:v>89.729976201419205</c:v>
                </c:pt>
                <c:pt idx="83">
                  <c:v>89.657215563622103</c:v>
                </c:pt>
                <c:pt idx="84">
                  <c:v>89.581547750311501</c:v>
                </c:pt>
                <c:pt idx="85">
                  <c:v>89.512842821269302</c:v>
                </c:pt>
                <c:pt idx="86">
                  <c:v>89.472957018569602</c:v>
                </c:pt>
                <c:pt idx="87">
                  <c:v>89.407079481689493</c:v>
                </c:pt>
                <c:pt idx="88">
                  <c:v>89.316474945363396</c:v>
                </c:pt>
                <c:pt idx="89">
                  <c:v>89.195932581922193</c:v>
                </c:pt>
                <c:pt idx="90">
                  <c:v>89.046337871782796</c:v>
                </c:pt>
                <c:pt idx="91">
                  <c:v>88.943319036077895</c:v>
                </c:pt>
                <c:pt idx="92">
                  <c:v>88.838842962308107</c:v>
                </c:pt>
                <c:pt idx="93">
                  <c:v>88.759627121752104</c:v>
                </c:pt>
                <c:pt idx="94">
                  <c:v>88.672003146288404</c:v>
                </c:pt>
                <c:pt idx="95">
                  <c:v>88.573531157356697</c:v>
                </c:pt>
                <c:pt idx="96">
                  <c:v>88.466004535635307</c:v>
                </c:pt>
                <c:pt idx="97">
                  <c:v>88.306155213092495</c:v>
                </c:pt>
                <c:pt idx="98">
                  <c:v>88.165854670543595</c:v>
                </c:pt>
                <c:pt idx="99">
                  <c:v>88.038684248769897</c:v>
                </c:pt>
                <c:pt idx="100">
                  <c:v>87.917018505683401</c:v>
                </c:pt>
                <c:pt idx="101">
                  <c:v>87.796318491509297</c:v>
                </c:pt>
                <c:pt idx="102">
                  <c:v>87.677245123366006</c:v>
                </c:pt>
                <c:pt idx="103">
                  <c:v>87.582967421811901</c:v>
                </c:pt>
                <c:pt idx="104">
                  <c:v>87.512331924893999</c:v>
                </c:pt>
                <c:pt idx="105">
                  <c:v>87.485744139592001</c:v>
                </c:pt>
                <c:pt idx="106">
                  <c:v>87.445232638571099</c:v>
                </c:pt>
                <c:pt idx="107">
                  <c:v>87.370538177379203</c:v>
                </c:pt>
                <c:pt idx="108">
                  <c:v>87.3587896847515</c:v>
                </c:pt>
                <c:pt idx="109">
                  <c:v>87.366862250795293</c:v>
                </c:pt>
                <c:pt idx="110">
                  <c:v>87.3665003726084</c:v>
                </c:pt>
                <c:pt idx="111">
                  <c:v>87.440175577590793</c:v>
                </c:pt>
                <c:pt idx="112">
                  <c:v>87.534653803241099</c:v>
                </c:pt>
                <c:pt idx="113">
                  <c:v>87.5949123058287</c:v>
                </c:pt>
                <c:pt idx="114">
                  <c:v>87.705258310248198</c:v>
                </c:pt>
                <c:pt idx="115">
                  <c:v>87.755743416356694</c:v>
                </c:pt>
                <c:pt idx="116">
                  <c:v>87.868978262737997</c:v>
                </c:pt>
                <c:pt idx="117">
                  <c:v>87.942381246075001</c:v>
                </c:pt>
                <c:pt idx="118">
                  <c:v>88.050881062194804</c:v>
                </c:pt>
                <c:pt idx="119">
                  <c:v>88.084074147928803</c:v>
                </c:pt>
                <c:pt idx="120">
                  <c:v>88.105767536891705</c:v>
                </c:pt>
                <c:pt idx="121">
                  <c:v>88.134375617136001</c:v>
                </c:pt>
                <c:pt idx="122">
                  <c:v>88.221138612025896</c:v>
                </c:pt>
                <c:pt idx="123">
                  <c:v>88.2796976810329</c:v>
                </c:pt>
                <c:pt idx="124">
                  <c:v>88.359195659260095</c:v>
                </c:pt>
                <c:pt idx="125">
                  <c:v>88.386130968417604</c:v>
                </c:pt>
                <c:pt idx="126">
                  <c:v>88.444880925534704</c:v>
                </c:pt>
                <c:pt idx="127">
                  <c:v>88.531840576166104</c:v>
                </c:pt>
                <c:pt idx="128">
                  <c:v>88.591423485742794</c:v>
                </c:pt>
                <c:pt idx="129">
                  <c:v>88.652693025769906</c:v>
                </c:pt>
                <c:pt idx="130">
                  <c:v>88.723270104119905</c:v>
                </c:pt>
                <c:pt idx="131">
                  <c:v>88.829845686075501</c:v>
                </c:pt>
                <c:pt idx="132">
                  <c:v>88.875416801239993</c:v>
                </c:pt>
                <c:pt idx="133">
                  <c:v>88.930022726333107</c:v>
                </c:pt>
                <c:pt idx="134">
                  <c:v>89.072123444957199</c:v>
                </c:pt>
                <c:pt idx="135">
                  <c:v>89.125361401376196</c:v>
                </c:pt>
                <c:pt idx="136">
                  <c:v>89.198205762551396</c:v>
                </c:pt>
                <c:pt idx="137">
                  <c:v>89.254039252913302</c:v>
                </c:pt>
                <c:pt idx="138">
                  <c:v>89.285574490843004</c:v>
                </c:pt>
                <c:pt idx="139">
                  <c:v>89.348688696911395</c:v>
                </c:pt>
                <c:pt idx="140">
                  <c:v>89.338391137991394</c:v>
                </c:pt>
                <c:pt idx="141">
                  <c:v>89.370147218990098</c:v>
                </c:pt>
                <c:pt idx="142">
                  <c:v>89.395771016600804</c:v>
                </c:pt>
                <c:pt idx="143">
                  <c:v>89.406108931294</c:v>
                </c:pt>
                <c:pt idx="144">
                  <c:v>89.475207292258503</c:v>
                </c:pt>
                <c:pt idx="145">
                  <c:v>89.538278655785604</c:v>
                </c:pt>
                <c:pt idx="146">
                  <c:v>89.622606212205895</c:v>
                </c:pt>
                <c:pt idx="147">
                  <c:v>89.707410139325304</c:v>
                </c:pt>
                <c:pt idx="148">
                  <c:v>89.775199167466297</c:v>
                </c:pt>
                <c:pt idx="149">
                  <c:v>89.784352669818205</c:v>
                </c:pt>
                <c:pt idx="150">
                  <c:v>89.808847866585197</c:v>
                </c:pt>
                <c:pt idx="151">
                  <c:v>88.564265133633199</c:v>
                </c:pt>
                <c:pt idx="152">
                  <c:v>88.718118200961499</c:v>
                </c:pt>
                <c:pt idx="153">
                  <c:v>89.030330750412503</c:v>
                </c:pt>
                <c:pt idx="154">
                  <c:v>89.182762274168795</c:v>
                </c:pt>
                <c:pt idx="155">
                  <c:v>88.634563936587895</c:v>
                </c:pt>
                <c:pt idx="156">
                  <c:v>88.964771030614202</c:v>
                </c:pt>
                <c:pt idx="157">
                  <c:v>88.573890165799995</c:v>
                </c:pt>
                <c:pt idx="158">
                  <c:v>88.946012579693601</c:v>
                </c:pt>
                <c:pt idx="159">
                  <c:v>89.210969925319404</c:v>
                </c:pt>
                <c:pt idx="160">
                  <c:v>89.130691751235801</c:v>
                </c:pt>
                <c:pt idx="161">
                  <c:v>89.148915748873307</c:v>
                </c:pt>
                <c:pt idx="162">
                  <c:v>89.2053193621758</c:v>
                </c:pt>
                <c:pt idx="163">
                  <c:v>88.788227667979001</c:v>
                </c:pt>
                <c:pt idx="164">
                  <c:v>88.179894004947499</c:v>
                </c:pt>
                <c:pt idx="165">
                  <c:v>88.304705206090802</c:v>
                </c:pt>
                <c:pt idx="166">
                  <c:v>87.372890547298596</c:v>
                </c:pt>
                <c:pt idx="167">
                  <c:v>86.832632177839699</c:v>
                </c:pt>
                <c:pt idx="168">
                  <c:v>85.933940565323198</c:v>
                </c:pt>
                <c:pt idx="169">
                  <c:v>84.496594313225401</c:v>
                </c:pt>
                <c:pt idx="170">
                  <c:v>83.974665526216796</c:v>
                </c:pt>
                <c:pt idx="171">
                  <c:v>83.610002496999201</c:v>
                </c:pt>
                <c:pt idx="172">
                  <c:v>83.097793218180598</c:v>
                </c:pt>
                <c:pt idx="173">
                  <c:v>82.942590170169595</c:v>
                </c:pt>
                <c:pt idx="174">
                  <c:v>83.144668466178601</c:v>
                </c:pt>
                <c:pt idx="175">
                  <c:v>82.566955120590407</c:v>
                </c:pt>
                <c:pt idx="176">
                  <c:v>81.530228230536295</c:v>
                </c:pt>
                <c:pt idx="177">
                  <c:v>80.856974699732703</c:v>
                </c:pt>
                <c:pt idx="178">
                  <c:v>79.525922663337795</c:v>
                </c:pt>
                <c:pt idx="179">
                  <c:v>79.398809719351206</c:v>
                </c:pt>
                <c:pt idx="180">
                  <c:v>79.286047607884299</c:v>
                </c:pt>
                <c:pt idx="181">
                  <c:v>78.1909227294354</c:v>
                </c:pt>
                <c:pt idx="182">
                  <c:v>77.135811256494094</c:v>
                </c:pt>
                <c:pt idx="183">
                  <c:v>81.529181186328401</c:v>
                </c:pt>
                <c:pt idx="184">
                  <c:v>81.829110816029598</c:v>
                </c:pt>
                <c:pt idx="185">
                  <c:v>82.089385010872107</c:v>
                </c:pt>
                <c:pt idx="186">
                  <c:v>80.710360837649702</c:v>
                </c:pt>
                <c:pt idx="187">
                  <c:v>80.355194371457799</c:v>
                </c:pt>
                <c:pt idx="188">
                  <c:v>81.121073009494395</c:v>
                </c:pt>
                <c:pt idx="189">
                  <c:v>81.405729345510593</c:v>
                </c:pt>
                <c:pt idx="190">
                  <c:v>81.256492700093105</c:v>
                </c:pt>
                <c:pt idx="191">
                  <c:v>80.607655597803699</c:v>
                </c:pt>
                <c:pt idx="192">
                  <c:v>80.858173325298793</c:v>
                </c:pt>
                <c:pt idx="193">
                  <c:v>80.688325183506706</c:v>
                </c:pt>
                <c:pt idx="194">
                  <c:v>82.712785590828005</c:v>
                </c:pt>
                <c:pt idx="195">
                  <c:v>83.669291888756803</c:v>
                </c:pt>
                <c:pt idx="196">
                  <c:v>84.256320909696697</c:v>
                </c:pt>
                <c:pt idx="197">
                  <c:v>84.2012687282716</c:v>
                </c:pt>
                <c:pt idx="198">
                  <c:v>85.217780490202998</c:v>
                </c:pt>
                <c:pt idx="199">
                  <c:v>84.960859500027794</c:v>
                </c:pt>
                <c:pt idx="200">
                  <c:v>84.494608585388306</c:v>
                </c:pt>
                <c:pt idx="201">
                  <c:v>83.969399568588898</c:v>
                </c:pt>
                <c:pt idx="202">
                  <c:v>83.401335674412394</c:v>
                </c:pt>
                <c:pt idx="203">
                  <c:v>82.546708914877399</c:v>
                </c:pt>
                <c:pt idx="204">
                  <c:v>81.626731721387301</c:v>
                </c:pt>
                <c:pt idx="205">
                  <c:v>80.591345183582206</c:v>
                </c:pt>
                <c:pt idx="206">
                  <c:v>81.383451680802295</c:v>
                </c:pt>
                <c:pt idx="207">
                  <c:v>82.112441943039499</c:v>
                </c:pt>
                <c:pt idx="208">
                  <c:v>82.773563669638705</c:v>
                </c:pt>
                <c:pt idx="209">
                  <c:v>83.256781286364301</c:v>
                </c:pt>
                <c:pt idx="210">
                  <c:v>81.746691137754596</c:v>
                </c:pt>
                <c:pt idx="211">
                  <c:v>82.2390613467539</c:v>
                </c:pt>
                <c:pt idx="212">
                  <c:v>82.080864733743397</c:v>
                </c:pt>
                <c:pt idx="213">
                  <c:v>81.852423434348395</c:v>
                </c:pt>
                <c:pt idx="214">
                  <c:v>81.548157829458106</c:v>
                </c:pt>
                <c:pt idx="215">
                  <c:v>81.498799908147802</c:v>
                </c:pt>
                <c:pt idx="216">
                  <c:v>81.497876487721797</c:v>
                </c:pt>
                <c:pt idx="217">
                  <c:v>83.555137426507002</c:v>
                </c:pt>
                <c:pt idx="218">
                  <c:v>85.274448613203703</c:v>
                </c:pt>
                <c:pt idx="219">
                  <c:v>86.899179529213797</c:v>
                </c:pt>
                <c:pt idx="220">
                  <c:v>88.358118430418102</c:v>
                </c:pt>
                <c:pt idx="221">
                  <c:v>89.075442212496498</c:v>
                </c:pt>
                <c:pt idx="222">
                  <c:v>89.648544080684104</c:v>
                </c:pt>
                <c:pt idx="223">
                  <c:v>90.203891343680894</c:v>
                </c:pt>
                <c:pt idx="224">
                  <c:v>90.464662328033796</c:v>
                </c:pt>
                <c:pt idx="225">
                  <c:v>90.760062693991202</c:v>
                </c:pt>
                <c:pt idx="226">
                  <c:v>90.930084526706196</c:v>
                </c:pt>
                <c:pt idx="227">
                  <c:v>91.4027863902608</c:v>
                </c:pt>
                <c:pt idx="228">
                  <c:v>91.794949555672005</c:v>
                </c:pt>
                <c:pt idx="229">
                  <c:v>92.152731135910003</c:v>
                </c:pt>
                <c:pt idx="230">
                  <c:v>93.148803996602297</c:v>
                </c:pt>
                <c:pt idx="231">
                  <c:v>94.001875479032904</c:v>
                </c:pt>
                <c:pt idx="232">
                  <c:v>94.681483937041904</c:v>
                </c:pt>
                <c:pt idx="233">
                  <c:v>94.998094867418104</c:v>
                </c:pt>
                <c:pt idx="234">
                  <c:v>95.421835011427206</c:v>
                </c:pt>
                <c:pt idx="235">
                  <c:v>95.705986953763102</c:v>
                </c:pt>
                <c:pt idx="236">
                  <c:v>95.754656189581098</c:v>
                </c:pt>
                <c:pt idx="237">
                  <c:v>95.768588634014506</c:v>
                </c:pt>
                <c:pt idx="238">
                  <c:v>95.789714767199797</c:v>
                </c:pt>
                <c:pt idx="239">
                  <c:v>95.890659660073794</c:v>
                </c:pt>
                <c:pt idx="240">
                  <c:v>95.955284016383601</c:v>
                </c:pt>
                <c:pt idx="241">
                  <c:v>96.013424182271393</c:v>
                </c:pt>
                <c:pt idx="242">
                  <c:v>96.395536887807793</c:v>
                </c:pt>
                <c:pt idx="243">
                  <c:v>96.712625289075504</c:v>
                </c:pt>
                <c:pt idx="244">
                  <c:v>96.972864504413906</c:v>
                </c:pt>
                <c:pt idx="245">
                  <c:v>97.070316869230595</c:v>
                </c:pt>
                <c:pt idx="246">
                  <c:v>97.162631168494798</c:v>
                </c:pt>
                <c:pt idx="247">
                  <c:v>97.260917064417598</c:v>
                </c:pt>
                <c:pt idx="248">
                  <c:v>97.313079385708704</c:v>
                </c:pt>
                <c:pt idx="249">
                  <c:v>97.362800299053504</c:v>
                </c:pt>
                <c:pt idx="250">
                  <c:v>97.4069476351807</c:v>
                </c:pt>
                <c:pt idx="251">
                  <c:v>97.459263236000496</c:v>
                </c:pt>
                <c:pt idx="252">
                  <c:v>97.508340981836298</c:v>
                </c:pt>
                <c:pt idx="253">
                  <c:v>97.557577733267294</c:v>
                </c:pt>
                <c:pt idx="254">
                  <c:v>97.717907648615196</c:v>
                </c:pt>
                <c:pt idx="255">
                  <c:v>97.839102148951895</c:v>
                </c:pt>
                <c:pt idx="256">
                  <c:v>97.949432118323799</c:v>
                </c:pt>
                <c:pt idx="257">
                  <c:v>98.012457331367401</c:v>
                </c:pt>
                <c:pt idx="258">
                  <c:v>98.069886492152705</c:v>
                </c:pt>
                <c:pt idx="259">
                  <c:v>98.116112407945494</c:v>
                </c:pt>
                <c:pt idx="260">
                  <c:v>98.136100837653004</c:v>
                </c:pt>
                <c:pt idx="261">
                  <c:v>98.148635600370397</c:v>
                </c:pt>
                <c:pt idx="262">
                  <c:v>98.155106018828604</c:v>
                </c:pt>
                <c:pt idx="263">
                  <c:v>98.190860334399801</c:v>
                </c:pt>
                <c:pt idx="264">
                  <c:v>98.217212301027104</c:v>
                </c:pt>
                <c:pt idx="265">
                  <c:v>98.238521837558693</c:v>
                </c:pt>
                <c:pt idx="266">
                  <c:v>98.339157457570707</c:v>
                </c:pt>
                <c:pt idx="267">
                  <c:v>98.408884157195104</c:v>
                </c:pt>
                <c:pt idx="268">
                  <c:v>98.466552861347594</c:v>
                </c:pt>
                <c:pt idx="269">
                  <c:v>98.478279535481093</c:v>
                </c:pt>
                <c:pt idx="270">
                  <c:v>98.488463016285905</c:v>
                </c:pt>
                <c:pt idx="271">
                  <c:v>98.500416951640702</c:v>
                </c:pt>
                <c:pt idx="272">
                  <c:v>98.5077209696301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'conventional_refi_elig-new'!$X$1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'conventional_refi_elig-new'!$U$2:$U$511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'conventional_refi_elig-new'!$X$2:$X$511</c:f>
              <c:numCache>
                <c:formatCode>General</c:formatCode>
                <c:ptCount val="510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87.206397262218601</c:v>
                </c:pt>
                <c:pt idx="228">
                  <c:v>87.581728598102302</c:v>
                </c:pt>
                <c:pt idx="229">
                  <c:v>87.890819877352897</c:v>
                </c:pt>
                <c:pt idx="230">
                  <c:v>88.636215734976602</c:v>
                </c:pt>
                <c:pt idx="231">
                  <c:v>89.303044106109994</c:v>
                </c:pt>
                <c:pt idx="232">
                  <c:v>89.905355137437894</c:v>
                </c:pt>
                <c:pt idx="233">
                  <c:v>90.122580548364397</c:v>
                </c:pt>
                <c:pt idx="234">
                  <c:v>90.337691241577502</c:v>
                </c:pt>
                <c:pt idx="235">
                  <c:v>90.554171247270403</c:v>
                </c:pt>
                <c:pt idx="236">
                  <c:v>90.536166746404206</c:v>
                </c:pt>
                <c:pt idx="237">
                  <c:v>90.485561744629294</c:v>
                </c:pt>
                <c:pt idx="238">
                  <c:v>90.469069760377593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336640"/>
        <c:axId val="260338432"/>
      </c:lineChart>
      <c:dateAx>
        <c:axId val="260336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0338432"/>
        <c:crosses val="autoZero"/>
        <c:auto val="1"/>
        <c:lblOffset val="100"/>
        <c:baseTimeUnit val="months"/>
      </c:dateAx>
      <c:valAx>
        <c:axId val="26033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336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[FNMA_cov_refi_eligible.xlsx]loan!PivotTable4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loan!$G$4:$G$56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loan!$H$4:$H$56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9.15462897192619</c:v>
                </c:pt>
                <c:pt idx="19">
                  <c:v>9.2142578877614998</c:v>
                </c:pt>
                <c:pt idx="20">
                  <c:v>9.3447237862290908</c:v>
                </c:pt>
                <c:pt idx="21">
                  <c:v>9.51864762197253</c:v>
                </c:pt>
                <c:pt idx="22">
                  <c:v>9.6486996294005198</c:v>
                </c:pt>
                <c:pt idx="23">
                  <c:v>9.8010043852704101</c:v>
                </c:pt>
                <c:pt idx="24">
                  <c:v>10.0209616725947</c:v>
                </c:pt>
                <c:pt idx="25">
                  <c:v>10.171804944185</c:v>
                </c:pt>
                <c:pt idx="26">
                  <c:v>10.4004255042578</c:v>
                </c:pt>
                <c:pt idx="27">
                  <c:v>10.5383591302667</c:v>
                </c:pt>
                <c:pt idx="28">
                  <c:v>10.733749094707999</c:v>
                </c:pt>
                <c:pt idx="29">
                  <c:v>10.967713028991</c:v>
                </c:pt>
                <c:pt idx="30">
                  <c:v>11.1930892418229</c:v>
                </c:pt>
                <c:pt idx="31">
                  <c:v>11.426910039845</c:v>
                </c:pt>
                <c:pt idx="32">
                  <c:v>11.6445759329424</c:v>
                </c:pt>
                <c:pt idx="33">
                  <c:v>11.8409284990699</c:v>
                </c:pt>
                <c:pt idx="34">
                  <c:v>12.107778125004099</c:v>
                </c:pt>
                <c:pt idx="35">
                  <c:v>12.308402387739999</c:v>
                </c:pt>
                <c:pt idx="36">
                  <c:v>12.482011952338199</c:v>
                </c:pt>
                <c:pt idx="37">
                  <c:v>12.6837502802411</c:v>
                </c:pt>
                <c:pt idx="38">
                  <c:v>12.8708061921901</c:v>
                </c:pt>
                <c:pt idx="39">
                  <c:v>13.1020531743667</c:v>
                </c:pt>
                <c:pt idx="40">
                  <c:v>13.363645683943099</c:v>
                </c:pt>
                <c:pt idx="41">
                  <c:v>13.626512084068899</c:v>
                </c:pt>
                <c:pt idx="42">
                  <c:v>13.845163548687299</c:v>
                </c:pt>
                <c:pt idx="43">
                  <c:v>14.1208906311434</c:v>
                </c:pt>
                <c:pt idx="44">
                  <c:v>14.3970546323851</c:v>
                </c:pt>
                <c:pt idx="45">
                  <c:v>14.640600344812301</c:v>
                </c:pt>
                <c:pt idx="46">
                  <c:v>14.9068126598542</c:v>
                </c:pt>
                <c:pt idx="47">
                  <c:v>15.176470841565401</c:v>
                </c:pt>
                <c:pt idx="48">
                  <c:v>15.399588945845499</c:v>
                </c:pt>
                <c:pt idx="49">
                  <c:v>15.6065555550139</c:v>
                </c:pt>
                <c:pt idx="50">
                  <c:v>15.8451908360269</c:v>
                </c:pt>
                <c:pt idx="51">
                  <c:v>16.083707902563201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02176"/>
        <c:axId val="499603712"/>
      </c:lineChart>
      <c:catAx>
        <c:axId val="499602176"/>
        <c:scaling>
          <c:orientation val="minMax"/>
        </c:scaling>
        <c:delete val="0"/>
        <c:axPos val="b"/>
        <c:majorTickMark val="out"/>
        <c:minorTickMark val="none"/>
        <c:tickLblPos val="nextTo"/>
        <c:crossAx val="499603712"/>
        <c:crosses val="autoZero"/>
        <c:auto val="1"/>
        <c:lblAlgn val="ctr"/>
        <c:lblOffset val="100"/>
        <c:noMultiLvlLbl val="0"/>
      </c:catAx>
      <c:valAx>
        <c:axId val="49960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960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[FNMA_cov_refi_eligible.xlsx]remove q2min!PivotTable5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'remove q2min'!$H$3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'remove q2min'!$G$4:$G$277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'remove q2min'!$H$4:$H$277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85.398188146785799</c:v>
                </c:pt>
                <c:pt idx="24">
                  <c:v>85.367416564993107</c:v>
                </c:pt>
                <c:pt idx="25">
                  <c:v>85.323128344773707</c:v>
                </c:pt>
                <c:pt idx="26">
                  <c:v>85.277198271761193</c:v>
                </c:pt>
                <c:pt idx="27">
                  <c:v>85.227894513916993</c:v>
                </c:pt>
                <c:pt idx="28">
                  <c:v>85.123493005363002</c:v>
                </c:pt>
                <c:pt idx="29">
                  <c:v>85.115304417680406</c:v>
                </c:pt>
                <c:pt idx="30">
                  <c:v>85.090213561029401</c:v>
                </c:pt>
                <c:pt idx="31">
                  <c:v>85.065683938407702</c:v>
                </c:pt>
                <c:pt idx="32">
                  <c:v>85.049785664362005</c:v>
                </c:pt>
                <c:pt idx="33">
                  <c:v>85.031746146743203</c:v>
                </c:pt>
                <c:pt idx="34">
                  <c:v>85.021581954396794</c:v>
                </c:pt>
                <c:pt idx="35">
                  <c:v>84.975630028931903</c:v>
                </c:pt>
                <c:pt idx="36">
                  <c:v>84.987375605359304</c:v>
                </c:pt>
                <c:pt idx="37">
                  <c:v>85.017014713065194</c:v>
                </c:pt>
                <c:pt idx="38">
                  <c:v>85.018521121929197</c:v>
                </c:pt>
                <c:pt idx="39">
                  <c:v>85.031249116135797</c:v>
                </c:pt>
                <c:pt idx="40">
                  <c:v>85.051576814105005</c:v>
                </c:pt>
                <c:pt idx="41">
                  <c:v>85.072438711800601</c:v>
                </c:pt>
                <c:pt idx="42">
                  <c:v>85.092997721214502</c:v>
                </c:pt>
                <c:pt idx="43">
                  <c:v>85.117596803057396</c:v>
                </c:pt>
                <c:pt idx="44">
                  <c:v>85.180281615290696</c:v>
                </c:pt>
                <c:pt idx="45">
                  <c:v>85.251269570987802</c:v>
                </c:pt>
                <c:pt idx="46">
                  <c:v>85.328379474545301</c:v>
                </c:pt>
                <c:pt idx="47">
                  <c:v>84.423868929203906</c:v>
                </c:pt>
                <c:pt idx="48">
                  <c:v>84.507200993171097</c:v>
                </c:pt>
                <c:pt idx="49">
                  <c:v>84.631263745095396</c:v>
                </c:pt>
                <c:pt idx="50">
                  <c:v>84.824801991033098</c:v>
                </c:pt>
                <c:pt idx="51">
                  <c:v>85.046419530858699</c:v>
                </c:pt>
                <c:pt idx="52">
                  <c:v>85.257912344987702</c:v>
                </c:pt>
                <c:pt idx="53">
                  <c:v>85.458462769099398</c:v>
                </c:pt>
                <c:pt idx="54">
                  <c:v>85.639128400546397</c:v>
                </c:pt>
                <c:pt idx="55">
                  <c:v>85.832889718116306</c:v>
                </c:pt>
                <c:pt idx="56">
                  <c:v>86.028890208598696</c:v>
                </c:pt>
                <c:pt idx="57">
                  <c:v>86.182398649150699</c:v>
                </c:pt>
                <c:pt idx="58">
                  <c:v>86.375357034348397</c:v>
                </c:pt>
                <c:pt idx="59">
                  <c:v>86.797613083821005</c:v>
                </c:pt>
                <c:pt idx="60">
                  <c:v>86.981511578858601</c:v>
                </c:pt>
                <c:pt idx="61">
                  <c:v>87.135860133492599</c:v>
                </c:pt>
                <c:pt idx="62">
                  <c:v>87.278736237552593</c:v>
                </c:pt>
                <c:pt idx="63">
                  <c:v>87.397098980000607</c:v>
                </c:pt>
                <c:pt idx="64">
                  <c:v>87.518777177683006</c:v>
                </c:pt>
                <c:pt idx="65">
                  <c:v>87.635572587978999</c:v>
                </c:pt>
                <c:pt idx="66">
                  <c:v>87.756523108860705</c:v>
                </c:pt>
                <c:pt idx="67">
                  <c:v>87.836460714123206</c:v>
                </c:pt>
                <c:pt idx="68">
                  <c:v>87.907396838027793</c:v>
                </c:pt>
                <c:pt idx="69">
                  <c:v>87.946661240542298</c:v>
                </c:pt>
                <c:pt idx="70">
                  <c:v>87.990659973096996</c:v>
                </c:pt>
                <c:pt idx="71">
                  <c:v>87.992440062314301</c:v>
                </c:pt>
                <c:pt idx="72">
                  <c:v>88.035856673759099</c:v>
                </c:pt>
                <c:pt idx="73">
                  <c:v>88.0376784942803</c:v>
                </c:pt>
                <c:pt idx="74">
                  <c:v>88.045912723318807</c:v>
                </c:pt>
                <c:pt idx="75">
                  <c:v>88.0475593315509</c:v>
                </c:pt>
                <c:pt idx="76">
                  <c:v>88.064195946144906</c:v>
                </c:pt>
                <c:pt idx="77">
                  <c:v>88.077303963713007</c:v>
                </c:pt>
                <c:pt idx="78">
                  <c:v>88.0945800623727</c:v>
                </c:pt>
                <c:pt idx="79">
                  <c:v>88.118485347577206</c:v>
                </c:pt>
                <c:pt idx="80">
                  <c:v>88.134848831409698</c:v>
                </c:pt>
                <c:pt idx="81">
                  <c:v>88.145251162775494</c:v>
                </c:pt>
                <c:pt idx="82">
                  <c:v>88.164003689355098</c:v>
                </c:pt>
                <c:pt idx="83">
                  <c:v>87.929854307737102</c:v>
                </c:pt>
                <c:pt idx="84">
                  <c:v>87.940197112439606</c:v>
                </c:pt>
                <c:pt idx="85">
                  <c:v>87.958897233354193</c:v>
                </c:pt>
                <c:pt idx="86">
                  <c:v>87.929143562290704</c:v>
                </c:pt>
                <c:pt idx="87">
                  <c:v>87.9198891700416</c:v>
                </c:pt>
                <c:pt idx="88">
                  <c:v>87.910135333837601</c:v>
                </c:pt>
                <c:pt idx="89">
                  <c:v>87.892238120732699</c:v>
                </c:pt>
                <c:pt idx="90">
                  <c:v>87.842713852357207</c:v>
                </c:pt>
                <c:pt idx="91">
                  <c:v>87.819843808710999</c:v>
                </c:pt>
                <c:pt idx="92">
                  <c:v>87.756428124854096</c:v>
                </c:pt>
                <c:pt idx="93">
                  <c:v>87.701700196658294</c:v>
                </c:pt>
                <c:pt idx="94">
                  <c:v>87.650833632251803</c:v>
                </c:pt>
                <c:pt idx="95">
                  <c:v>87.580274599794194</c:v>
                </c:pt>
                <c:pt idx="96">
                  <c:v>87.527309642186694</c:v>
                </c:pt>
                <c:pt idx="97">
                  <c:v>87.479152289957298</c:v>
                </c:pt>
                <c:pt idx="98">
                  <c:v>87.426462502252804</c:v>
                </c:pt>
                <c:pt idx="99">
                  <c:v>87.343507698249496</c:v>
                </c:pt>
                <c:pt idx="100">
                  <c:v>87.272234567957796</c:v>
                </c:pt>
                <c:pt idx="101">
                  <c:v>87.1986365929843</c:v>
                </c:pt>
                <c:pt idx="102">
                  <c:v>87.129750783057204</c:v>
                </c:pt>
                <c:pt idx="103">
                  <c:v>87.042951449257998</c:v>
                </c:pt>
                <c:pt idx="104">
                  <c:v>86.966693562002902</c:v>
                </c:pt>
                <c:pt idx="105">
                  <c:v>86.898728500470895</c:v>
                </c:pt>
                <c:pt idx="106">
                  <c:v>86.843043570663397</c:v>
                </c:pt>
                <c:pt idx="107">
                  <c:v>86.519314272264495</c:v>
                </c:pt>
                <c:pt idx="108">
                  <c:v>86.553567454331301</c:v>
                </c:pt>
                <c:pt idx="109">
                  <c:v>86.570871949713904</c:v>
                </c:pt>
                <c:pt idx="110">
                  <c:v>86.6033796931398</c:v>
                </c:pt>
                <c:pt idx="111">
                  <c:v>86.278524311725207</c:v>
                </c:pt>
                <c:pt idx="112">
                  <c:v>86.131547732522606</c:v>
                </c:pt>
                <c:pt idx="113">
                  <c:v>86.253182013842505</c:v>
                </c:pt>
                <c:pt idx="114">
                  <c:v>86.310341165058503</c:v>
                </c:pt>
                <c:pt idx="115">
                  <c:v>86.358852907814097</c:v>
                </c:pt>
                <c:pt idx="116">
                  <c:v>86.411646338958704</c:v>
                </c:pt>
                <c:pt idx="117">
                  <c:v>86.427376919920704</c:v>
                </c:pt>
                <c:pt idx="118">
                  <c:v>86.438797997750697</c:v>
                </c:pt>
                <c:pt idx="119">
                  <c:v>86.021915928482002</c:v>
                </c:pt>
                <c:pt idx="120">
                  <c:v>86.059511461558699</c:v>
                </c:pt>
                <c:pt idx="121">
                  <c:v>86.172703246053203</c:v>
                </c:pt>
                <c:pt idx="122">
                  <c:v>86.296508151989102</c:v>
                </c:pt>
                <c:pt idx="123">
                  <c:v>86.387442258172499</c:v>
                </c:pt>
                <c:pt idx="124">
                  <c:v>86.483700303748705</c:v>
                </c:pt>
                <c:pt idx="125">
                  <c:v>86.609759468148894</c:v>
                </c:pt>
                <c:pt idx="126">
                  <c:v>86.7372488696179</c:v>
                </c:pt>
                <c:pt idx="127">
                  <c:v>86.833254500440106</c:v>
                </c:pt>
                <c:pt idx="128">
                  <c:v>86.908806046348403</c:v>
                </c:pt>
                <c:pt idx="129">
                  <c:v>86.980749185444395</c:v>
                </c:pt>
                <c:pt idx="130">
                  <c:v>87.088881500310904</c:v>
                </c:pt>
                <c:pt idx="131">
                  <c:v>87.184716225823706</c:v>
                </c:pt>
                <c:pt idx="132">
                  <c:v>87.283520642775102</c:v>
                </c:pt>
                <c:pt idx="133">
                  <c:v>87.391416932476403</c:v>
                </c:pt>
                <c:pt idx="134">
                  <c:v>86.7584490050059</c:v>
                </c:pt>
                <c:pt idx="135">
                  <c:v>86.839366521468506</c:v>
                </c:pt>
                <c:pt idx="136">
                  <c:v>86.8801292821895</c:v>
                </c:pt>
                <c:pt idx="137">
                  <c:v>87.738287108303496</c:v>
                </c:pt>
                <c:pt idx="138">
                  <c:v>87.827629813755294</c:v>
                </c:pt>
                <c:pt idx="139">
                  <c:v>87.940516666839997</c:v>
                </c:pt>
                <c:pt idx="140">
                  <c:v>88.014724974424297</c:v>
                </c:pt>
                <c:pt idx="141">
                  <c:v>88.094734517886593</c:v>
                </c:pt>
                <c:pt idx="142">
                  <c:v>88.156644994456599</c:v>
                </c:pt>
                <c:pt idx="143">
                  <c:v>88.234910409272899</c:v>
                </c:pt>
                <c:pt idx="144">
                  <c:v>88.277112719028594</c:v>
                </c:pt>
                <c:pt idx="145">
                  <c:v>88.354041088570398</c:v>
                </c:pt>
                <c:pt idx="146">
                  <c:v>88.430319515153201</c:v>
                </c:pt>
                <c:pt idx="147">
                  <c:v>88.525516093720896</c:v>
                </c:pt>
                <c:pt idx="148">
                  <c:v>88.588345200561804</c:v>
                </c:pt>
                <c:pt idx="149">
                  <c:v>88.572302388836604</c:v>
                </c:pt>
                <c:pt idx="150">
                  <c:v>88.554762170737305</c:v>
                </c:pt>
                <c:pt idx="151">
                  <c:v>88.506151504193099</c:v>
                </c:pt>
                <c:pt idx="152">
                  <c:v>88.434482414608198</c:v>
                </c:pt>
                <c:pt idx="153">
                  <c:v>88.368472255347001</c:v>
                </c:pt>
                <c:pt idx="154">
                  <c:v>88.2634230868332</c:v>
                </c:pt>
                <c:pt idx="155">
                  <c:v>88.221430776331601</c:v>
                </c:pt>
                <c:pt idx="156">
                  <c:v>88.1992860890727</c:v>
                </c:pt>
                <c:pt idx="157">
                  <c:v>88.167815931151196</c:v>
                </c:pt>
                <c:pt idx="158">
                  <c:v>88.220458541025096</c:v>
                </c:pt>
                <c:pt idx="159">
                  <c:v>88.234309531475901</c:v>
                </c:pt>
                <c:pt idx="160">
                  <c:v>88.218484513572093</c:v>
                </c:pt>
                <c:pt idx="161">
                  <c:v>87.852125047685007</c:v>
                </c:pt>
                <c:pt idx="162">
                  <c:v>87.476714962681896</c:v>
                </c:pt>
                <c:pt idx="163">
                  <c:v>87.132095603106293</c:v>
                </c:pt>
                <c:pt idx="164">
                  <c:v>86.501419825766803</c:v>
                </c:pt>
                <c:pt idx="165">
                  <c:v>85.824827190076306</c:v>
                </c:pt>
                <c:pt idx="166">
                  <c:v>85.079752872599599</c:v>
                </c:pt>
                <c:pt idx="167">
                  <c:v>84.301051683406698</c:v>
                </c:pt>
                <c:pt idx="168">
                  <c:v>83.465455893873695</c:v>
                </c:pt>
                <c:pt idx="169">
                  <c:v>82.678324592241594</c:v>
                </c:pt>
                <c:pt idx="170">
                  <c:v>82.169943397364506</c:v>
                </c:pt>
                <c:pt idx="171">
                  <c:v>81.672404137590902</c:v>
                </c:pt>
                <c:pt idx="172">
                  <c:v>81.217214564690394</c:v>
                </c:pt>
                <c:pt idx="173">
                  <c:v>80.759698186908494</c:v>
                </c:pt>
                <c:pt idx="174">
                  <c:v>80.177044372655303</c:v>
                </c:pt>
                <c:pt idx="175">
                  <c:v>79.537763129339197</c:v>
                </c:pt>
                <c:pt idx="176">
                  <c:v>78.546046153816405</c:v>
                </c:pt>
                <c:pt idx="177">
                  <c:v>77.359723674513305</c:v>
                </c:pt>
                <c:pt idx="178">
                  <c:v>76.066917884915995</c:v>
                </c:pt>
                <c:pt idx="179">
                  <c:v>75.841148106686504</c:v>
                </c:pt>
                <c:pt idx="180">
                  <c:v>75.443482489508199</c:v>
                </c:pt>
                <c:pt idx="181">
                  <c:v>75.031617221025002</c:v>
                </c:pt>
                <c:pt idx="182">
                  <c:v>75.642553516881705</c:v>
                </c:pt>
                <c:pt idx="183">
                  <c:v>75.9491452348867</c:v>
                </c:pt>
                <c:pt idx="184">
                  <c:v>76.470272769992704</c:v>
                </c:pt>
                <c:pt idx="185">
                  <c:v>76.835115994763498</c:v>
                </c:pt>
                <c:pt idx="186">
                  <c:v>77.091086987098194</c:v>
                </c:pt>
                <c:pt idx="187">
                  <c:v>77.364770620654198</c:v>
                </c:pt>
                <c:pt idx="188">
                  <c:v>77.3849162067457</c:v>
                </c:pt>
                <c:pt idx="189">
                  <c:v>77.330697712814896</c:v>
                </c:pt>
                <c:pt idx="190">
                  <c:v>77.199357103120306</c:v>
                </c:pt>
                <c:pt idx="191">
                  <c:v>76.960239655143397</c:v>
                </c:pt>
                <c:pt idx="192">
                  <c:v>76.686497862892793</c:v>
                </c:pt>
                <c:pt idx="193">
                  <c:v>76.462380394310301</c:v>
                </c:pt>
                <c:pt idx="194">
                  <c:v>77.738352214965303</c:v>
                </c:pt>
                <c:pt idx="195">
                  <c:v>79.268606209831603</c:v>
                </c:pt>
                <c:pt idx="196">
                  <c:v>80.589967834893898</c:v>
                </c:pt>
                <c:pt idx="197">
                  <c:v>80.348698439398106</c:v>
                </c:pt>
                <c:pt idx="198">
                  <c:v>80.102392449733202</c:v>
                </c:pt>
                <c:pt idx="199">
                  <c:v>79.8123226036885</c:v>
                </c:pt>
                <c:pt idx="200">
                  <c:v>79.3793915159835</c:v>
                </c:pt>
                <c:pt idx="201">
                  <c:v>78.948933674840305</c:v>
                </c:pt>
                <c:pt idx="202">
                  <c:v>78.471122810892695</c:v>
                </c:pt>
                <c:pt idx="203">
                  <c:v>77.654903616904704</c:v>
                </c:pt>
                <c:pt idx="204">
                  <c:v>76.652114966546904</c:v>
                </c:pt>
                <c:pt idx="205">
                  <c:v>75.669204546982598</c:v>
                </c:pt>
                <c:pt idx="206">
                  <c:v>76.567419969165599</c:v>
                </c:pt>
                <c:pt idx="207">
                  <c:v>77.405980575237393</c:v>
                </c:pt>
                <c:pt idx="208">
                  <c:v>78.153103948348701</c:v>
                </c:pt>
                <c:pt idx="209">
                  <c:v>78.732704304412906</c:v>
                </c:pt>
                <c:pt idx="210">
                  <c:v>79.266392177123095</c:v>
                </c:pt>
                <c:pt idx="211">
                  <c:v>79.805684310599204</c:v>
                </c:pt>
                <c:pt idx="212">
                  <c:v>79.7715033378025</c:v>
                </c:pt>
                <c:pt idx="213">
                  <c:v>79.640841873983803</c:v>
                </c:pt>
                <c:pt idx="214">
                  <c:v>79.508590469138596</c:v>
                </c:pt>
                <c:pt idx="215">
                  <c:v>79.848174885620693</c:v>
                </c:pt>
                <c:pt idx="216">
                  <c:v>80.078120103873104</c:v>
                </c:pt>
                <c:pt idx="217">
                  <c:v>80.357488715933499</c:v>
                </c:pt>
                <c:pt idx="218">
                  <c:v>82.353785685503894</c:v>
                </c:pt>
                <c:pt idx="219">
                  <c:v>84.076388727555198</c:v>
                </c:pt>
                <c:pt idx="220">
                  <c:v>85.661291148518799</c:v>
                </c:pt>
                <c:pt idx="221">
                  <c:v>86.488663050583099</c:v>
                </c:pt>
                <c:pt idx="222">
                  <c:v>87.297181463472995</c:v>
                </c:pt>
                <c:pt idx="223">
                  <c:v>88.059417753653094</c:v>
                </c:pt>
                <c:pt idx="224">
                  <c:v>88.491988246453204</c:v>
                </c:pt>
                <c:pt idx="225">
                  <c:v>88.927375406355296</c:v>
                </c:pt>
                <c:pt idx="226">
                  <c:v>89.371020356919601</c:v>
                </c:pt>
                <c:pt idx="227">
                  <c:v>89.979179531146002</c:v>
                </c:pt>
                <c:pt idx="228">
                  <c:v>87.849120842201003</c:v>
                </c:pt>
                <c:pt idx="229">
                  <c:v>85.622471790348001</c:v>
                </c:pt>
                <c:pt idx="230">
                  <c:v>84.384279175000898</c:v>
                </c:pt>
                <c:pt idx="231">
                  <c:v>82.678321110699102</c:v>
                </c:pt>
                <c:pt idx="232">
                  <c:v>80.576301131789407</c:v>
                </c:pt>
                <c:pt idx="233">
                  <c:v>78.432703548004497</c:v>
                </c:pt>
                <c:pt idx="234">
                  <c:v>76.128961226637998</c:v>
                </c:pt>
                <c:pt idx="235">
                  <c:v>74.083517583914698</c:v>
                </c:pt>
                <c:pt idx="236">
                  <c:v>72.333120445077995</c:v>
                </c:pt>
                <c:pt idx="237">
                  <c:v>70.808272464390001</c:v>
                </c:pt>
                <c:pt idx="238">
                  <c:v>69.581924251244601</c:v>
                </c:pt>
                <c:pt idx="239">
                  <c:v>95.179940211158296</c:v>
                </c:pt>
                <c:pt idx="240">
                  <c:v>95.2664722160671</c:v>
                </c:pt>
                <c:pt idx="241">
                  <c:v>95.331270434242697</c:v>
                </c:pt>
                <c:pt idx="242">
                  <c:v>95.466246239939593</c:v>
                </c:pt>
                <c:pt idx="243">
                  <c:v>95.587876987092997</c:v>
                </c:pt>
                <c:pt idx="244">
                  <c:v>95.697452801213402</c:v>
                </c:pt>
                <c:pt idx="245">
                  <c:v>95.771248283684002</c:v>
                </c:pt>
                <c:pt idx="246">
                  <c:v>95.8527439564823</c:v>
                </c:pt>
                <c:pt idx="247">
                  <c:v>95.923798528977002</c:v>
                </c:pt>
                <c:pt idx="248">
                  <c:v>96.011339749356793</c:v>
                </c:pt>
                <c:pt idx="249">
                  <c:v>96.0903889442028</c:v>
                </c:pt>
                <c:pt idx="250">
                  <c:v>96.158699440393804</c:v>
                </c:pt>
                <c:pt idx="251">
                  <c:v>96.234163793997993</c:v>
                </c:pt>
                <c:pt idx="252">
                  <c:v>96.296888092994806</c:v>
                </c:pt>
                <c:pt idx="253">
                  <c:v>96.351437556330893</c:v>
                </c:pt>
                <c:pt idx="254">
                  <c:v>96.417031127283195</c:v>
                </c:pt>
                <c:pt idx="255">
                  <c:v>96.481219785011405</c:v>
                </c:pt>
                <c:pt idx="256">
                  <c:v>96.554147052707293</c:v>
                </c:pt>
                <c:pt idx="257">
                  <c:v>96.615394011506197</c:v>
                </c:pt>
                <c:pt idx="258">
                  <c:v>96.685098678952698</c:v>
                </c:pt>
                <c:pt idx="259">
                  <c:v>96.7417877935099</c:v>
                </c:pt>
                <c:pt idx="260">
                  <c:v>96.803938581385097</c:v>
                </c:pt>
                <c:pt idx="261">
                  <c:v>96.861658526857894</c:v>
                </c:pt>
                <c:pt idx="262">
                  <c:v>96.901093872704294</c:v>
                </c:pt>
                <c:pt idx="263">
                  <c:v>96.956479589021797</c:v>
                </c:pt>
                <c:pt idx="264">
                  <c:v>97.006132523328802</c:v>
                </c:pt>
                <c:pt idx="265">
                  <c:v>97.046723163872102</c:v>
                </c:pt>
                <c:pt idx="266">
                  <c:v>97.1007025819262</c:v>
                </c:pt>
                <c:pt idx="267">
                  <c:v>97.148813163737003</c:v>
                </c:pt>
                <c:pt idx="268">
                  <c:v>97.190584403677406</c:v>
                </c:pt>
                <c:pt idx="269">
                  <c:v>97.237467888119596</c:v>
                </c:pt>
                <c:pt idx="270">
                  <c:v>97.272839614082599</c:v>
                </c:pt>
                <c:pt idx="271">
                  <c:v>97.318617029481203</c:v>
                </c:pt>
                <c:pt idx="272">
                  <c:v>97.363426822029993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239808"/>
        <c:axId val="331242880"/>
      </c:lineChart>
      <c:catAx>
        <c:axId val="33123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1242880"/>
        <c:crosses val="autoZero"/>
        <c:auto val="1"/>
        <c:lblAlgn val="ctr"/>
        <c:lblOffset val="100"/>
        <c:noMultiLvlLbl val="0"/>
      </c:catAx>
      <c:valAx>
        <c:axId val="33124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23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 q2min'!$V$1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q2min'!$V$2:$V$511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23.9040337806804</c:v>
                </c:pt>
                <c:pt idx="24">
                  <c:v>24.1377362792234</c:v>
                </c:pt>
                <c:pt idx="25">
                  <c:v>24.2468457926296</c:v>
                </c:pt>
                <c:pt idx="26">
                  <c:v>24.264011179889302</c:v>
                </c:pt>
                <c:pt idx="27">
                  <c:v>24.276981894699802</c:v>
                </c:pt>
                <c:pt idx="28">
                  <c:v>24.249599072896402</c:v>
                </c:pt>
                <c:pt idx="29">
                  <c:v>24.232831860734301</c:v>
                </c:pt>
                <c:pt idx="30">
                  <c:v>24.241661598891099</c:v>
                </c:pt>
                <c:pt idx="31">
                  <c:v>24.315494830336998</c:v>
                </c:pt>
                <c:pt idx="32">
                  <c:v>24.366078209419399</c:v>
                </c:pt>
                <c:pt idx="33">
                  <c:v>24.4214435912955</c:v>
                </c:pt>
                <c:pt idx="34">
                  <c:v>24.5409886947002</c:v>
                </c:pt>
                <c:pt idx="35">
                  <c:v>25.5759162958479</c:v>
                </c:pt>
                <c:pt idx="36">
                  <c:v>25.594344150942799</c:v>
                </c:pt>
                <c:pt idx="37">
                  <c:v>25.628449813680199</c:v>
                </c:pt>
                <c:pt idx="38">
                  <c:v>25.602052686198</c:v>
                </c:pt>
                <c:pt idx="39">
                  <c:v>25.654788681013599</c:v>
                </c:pt>
                <c:pt idx="40">
                  <c:v>25.7004559306001</c:v>
                </c:pt>
                <c:pt idx="41">
                  <c:v>25.779795489019801</c:v>
                </c:pt>
                <c:pt idx="42">
                  <c:v>25.879236352383799</c:v>
                </c:pt>
                <c:pt idx="43">
                  <c:v>25.839700524105901</c:v>
                </c:pt>
                <c:pt idx="44">
                  <c:v>25.892714667461298</c:v>
                </c:pt>
                <c:pt idx="45">
                  <c:v>25.918734491286401</c:v>
                </c:pt>
                <c:pt idx="46">
                  <c:v>25.8684727523957</c:v>
                </c:pt>
                <c:pt idx="47">
                  <c:v>23.4019153504663</c:v>
                </c:pt>
                <c:pt idx="48">
                  <c:v>23.430173551169499</c:v>
                </c:pt>
                <c:pt idx="49">
                  <c:v>23.480647018681399</c:v>
                </c:pt>
                <c:pt idx="50">
                  <c:v>23.571062098696899</c:v>
                </c:pt>
                <c:pt idx="51">
                  <c:v>23.516082028561399</c:v>
                </c:pt>
                <c:pt idx="52">
                  <c:v>23.517902337879399</c:v>
                </c:pt>
                <c:pt idx="53">
                  <c:v>23.534384688912599</c:v>
                </c:pt>
                <c:pt idx="54">
                  <c:v>23.450623678978602</c:v>
                </c:pt>
                <c:pt idx="55">
                  <c:v>23.465814470552999</c:v>
                </c:pt>
                <c:pt idx="56">
                  <c:v>23.505330083208101</c:v>
                </c:pt>
                <c:pt idx="57">
                  <c:v>23.4553603093931</c:v>
                </c:pt>
                <c:pt idx="58">
                  <c:v>23.457832225765301</c:v>
                </c:pt>
                <c:pt idx="59">
                  <c:v>22.859773088248701</c:v>
                </c:pt>
                <c:pt idx="60">
                  <c:v>22.8647134525621</c:v>
                </c:pt>
                <c:pt idx="61">
                  <c:v>22.8846012847089</c:v>
                </c:pt>
                <c:pt idx="62">
                  <c:v>22.942006592345301</c:v>
                </c:pt>
                <c:pt idx="63">
                  <c:v>23.003063729522299</c:v>
                </c:pt>
                <c:pt idx="64">
                  <c:v>23.136635542313901</c:v>
                </c:pt>
                <c:pt idx="65">
                  <c:v>23.258250195434801</c:v>
                </c:pt>
                <c:pt idx="66">
                  <c:v>23.406705263677502</c:v>
                </c:pt>
                <c:pt idx="67">
                  <c:v>23.584999679202902</c:v>
                </c:pt>
                <c:pt idx="68">
                  <c:v>23.836196796233502</c:v>
                </c:pt>
                <c:pt idx="69">
                  <c:v>23.960501905306099</c:v>
                </c:pt>
                <c:pt idx="70">
                  <c:v>24.1511939597363</c:v>
                </c:pt>
                <c:pt idx="71">
                  <c:v>23.9569807903029</c:v>
                </c:pt>
                <c:pt idx="72">
                  <c:v>24.132556362769002</c:v>
                </c:pt>
                <c:pt idx="73">
                  <c:v>24.220089336597901</c:v>
                </c:pt>
                <c:pt idx="74">
                  <c:v>24.371443077002301</c:v>
                </c:pt>
                <c:pt idx="75">
                  <c:v>24.5660130506622</c:v>
                </c:pt>
                <c:pt idx="76">
                  <c:v>24.759377424572701</c:v>
                </c:pt>
                <c:pt idx="77">
                  <c:v>25.014631288793499</c:v>
                </c:pt>
                <c:pt idx="78">
                  <c:v>25.302403828018701</c:v>
                </c:pt>
                <c:pt idx="79">
                  <c:v>25.578896569007799</c:v>
                </c:pt>
                <c:pt idx="80">
                  <c:v>25.75168433883</c:v>
                </c:pt>
                <c:pt idx="81">
                  <c:v>25.965688275597</c:v>
                </c:pt>
                <c:pt idx="82">
                  <c:v>26.084698277235201</c:v>
                </c:pt>
                <c:pt idx="83">
                  <c:v>24.869792938541298</c:v>
                </c:pt>
                <c:pt idx="84">
                  <c:v>24.940877683184802</c:v>
                </c:pt>
                <c:pt idx="85">
                  <c:v>24.979186789700901</c:v>
                </c:pt>
                <c:pt idx="86">
                  <c:v>24.762891418315</c:v>
                </c:pt>
                <c:pt idx="87">
                  <c:v>24.408407919627798</c:v>
                </c:pt>
                <c:pt idx="88">
                  <c:v>24.114759182766601</c:v>
                </c:pt>
                <c:pt idx="89">
                  <c:v>23.723726843129398</c:v>
                </c:pt>
                <c:pt idx="90">
                  <c:v>23.3948622273473</c:v>
                </c:pt>
                <c:pt idx="91">
                  <c:v>23.153475809562199</c:v>
                </c:pt>
                <c:pt idx="92">
                  <c:v>22.803888421185999</c:v>
                </c:pt>
                <c:pt idx="93">
                  <c:v>22.425302448481599</c:v>
                </c:pt>
                <c:pt idx="94">
                  <c:v>21.978756017775201</c:v>
                </c:pt>
                <c:pt idx="95">
                  <c:v>21.259699842792099</c:v>
                </c:pt>
                <c:pt idx="96">
                  <c:v>20.780934690909099</c:v>
                </c:pt>
                <c:pt idx="97">
                  <c:v>20.473315161029198</c:v>
                </c:pt>
                <c:pt idx="98">
                  <c:v>20.161805833904399</c:v>
                </c:pt>
                <c:pt idx="99">
                  <c:v>19.7723024133706</c:v>
                </c:pt>
                <c:pt idx="100">
                  <c:v>19.422776608062499</c:v>
                </c:pt>
                <c:pt idx="101">
                  <c:v>19.140262564632</c:v>
                </c:pt>
                <c:pt idx="102">
                  <c:v>18.832170637243902</c:v>
                </c:pt>
                <c:pt idx="103">
                  <c:v>18.503879820902601</c:v>
                </c:pt>
                <c:pt idx="104">
                  <c:v>18.117689806171001</c:v>
                </c:pt>
                <c:pt idx="105">
                  <c:v>17.510332276808001</c:v>
                </c:pt>
                <c:pt idx="106">
                  <c:v>16.914919850637599</c:v>
                </c:pt>
                <c:pt idx="107">
                  <c:v>16.315177485432901</c:v>
                </c:pt>
                <c:pt idx="108">
                  <c:v>15.6896265498711</c:v>
                </c:pt>
                <c:pt idx="109">
                  <c:v>15.153973556269399</c:v>
                </c:pt>
                <c:pt idx="110">
                  <c:v>14.647521295140701</c:v>
                </c:pt>
                <c:pt idx="111">
                  <c:v>14.1500870310718</c:v>
                </c:pt>
                <c:pt idx="112">
                  <c:v>13.8993751674187</c:v>
                </c:pt>
                <c:pt idx="113">
                  <c:v>14.392143484176801</c:v>
                </c:pt>
                <c:pt idx="114">
                  <c:v>15.0511352239203</c:v>
                </c:pt>
                <c:pt idx="115">
                  <c:v>15.4388178387363</c:v>
                </c:pt>
                <c:pt idx="116">
                  <c:v>15.712538869975001</c:v>
                </c:pt>
                <c:pt idx="117">
                  <c:v>15.7367836343841</c:v>
                </c:pt>
                <c:pt idx="118">
                  <c:v>15.6078351372489</c:v>
                </c:pt>
                <c:pt idx="119">
                  <c:v>15.632002137203299</c:v>
                </c:pt>
                <c:pt idx="120">
                  <c:v>15.6991634367233</c:v>
                </c:pt>
                <c:pt idx="121">
                  <c:v>15.7541313694003</c:v>
                </c:pt>
                <c:pt idx="122">
                  <c:v>15.935376975898899</c:v>
                </c:pt>
                <c:pt idx="123">
                  <c:v>16.152149923341899</c:v>
                </c:pt>
                <c:pt idx="124">
                  <c:v>16.253329516238299</c:v>
                </c:pt>
                <c:pt idx="125">
                  <c:v>16.407424120837401</c:v>
                </c:pt>
                <c:pt idx="126">
                  <c:v>16.6026934019865</c:v>
                </c:pt>
                <c:pt idx="127">
                  <c:v>16.734934455602001</c:v>
                </c:pt>
                <c:pt idx="128">
                  <c:v>16.910177197623</c:v>
                </c:pt>
                <c:pt idx="129">
                  <c:v>17.103542773184898</c:v>
                </c:pt>
                <c:pt idx="130">
                  <c:v>17.321215293521</c:v>
                </c:pt>
                <c:pt idx="131">
                  <c:v>17.576631455242701</c:v>
                </c:pt>
                <c:pt idx="132">
                  <c:v>17.690183783761601</c:v>
                </c:pt>
                <c:pt idx="133">
                  <c:v>17.9380464244949</c:v>
                </c:pt>
                <c:pt idx="134">
                  <c:v>15.217267334447699</c:v>
                </c:pt>
                <c:pt idx="135">
                  <c:v>15.3209729937092</c:v>
                </c:pt>
                <c:pt idx="136">
                  <c:v>15.407947488</c:v>
                </c:pt>
                <c:pt idx="137">
                  <c:v>18.4636805417645</c:v>
                </c:pt>
                <c:pt idx="138">
                  <c:v>18.656002221477902</c:v>
                </c:pt>
                <c:pt idx="139">
                  <c:v>18.955787144097901</c:v>
                </c:pt>
                <c:pt idx="140">
                  <c:v>19.147463437467501</c:v>
                </c:pt>
                <c:pt idx="141">
                  <c:v>19.351711971212598</c:v>
                </c:pt>
                <c:pt idx="142">
                  <c:v>19.388590947095</c:v>
                </c:pt>
                <c:pt idx="143">
                  <c:v>19.621624068600301</c:v>
                </c:pt>
                <c:pt idx="144">
                  <c:v>19.7527965231486</c:v>
                </c:pt>
                <c:pt idx="145">
                  <c:v>19.9893848782813</c:v>
                </c:pt>
                <c:pt idx="146">
                  <c:v>20.134828364334201</c:v>
                </c:pt>
                <c:pt idx="147">
                  <c:v>20.2937457805462</c:v>
                </c:pt>
                <c:pt idx="148">
                  <c:v>20.313213395218</c:v>
                </c:pt>
                <c:pt idx="149">
                  <c:v>20.275300139940899</c:v>
                </c:pt>
                <c:pt idx="150">
                  <c:v>20.271480961853499</c:v>
                </c:pt>
                <c:pt idx="151">
                  <c:v>20.2195203451585</c:v>
                </c:pt>
                <c:pt idx="152">
                  <c:v>20.190238445827401</c:v>
                </c:pt>
                <c:pt idx="153">
                  <c:v>20.097366027350098</c:v>
                </c:pt>
                <c:pt idx="154">
                  <c:v>20.054032617926101</c:v>
                </c:pt>
                <c:pt idx="155">
                  <c:v>20.021928971829301</c:v>
                </c:pt>
                <c:pt idx="156">
                  <c:v>19.981894696635301</c:v>
                </c:pt>
                <c:pt idx="157">
                  <c:v>20.033413413481199</c:v>
                </c:pt>
                <c:pt idx="158">
                  <c:v>20.0065591444652</c:v>
                </c:pt>
                <c:pt idx="159">
                  <c:v>19.994139302062099</c:v>
                </c:pt>
                <c:pt idx="160">
                  <c:v>19.991168318051699</c:v>
                </c:pt>
                <c:pt idx="161">
                  <c:v>19.8040452527868</c:v>
                </c:pt>
                <c:pt idx="162">
                  <c:v>19.8230717211365</c:v>
                </c:pt>
                <c:pt idx="163">
                  <c:v>19.757166953734401</c:v>
                </c:pt>
                <c:pt idx="164">
                  <c:v>19.470007229199901</c:v>
                </c:pt>
                <c:pt idx="165">
                  <c:v>19.190160090800202</c:v>
                </c:pt>
                <c:pt idx="166">
                  <c:v>18.848461028118201</c:v>
                </c:pt>
                <c:pt idx="167">
                  <c:v>18.559699687475302</c:v>
                </c:pt>
                <c:pt idx="168">
                  <c:v>18.2620717884874</c:v>
                </c:pt>
                <c:pt idx="169">
                  <c:v>18.0338363373913</c:v>
                </c:pt>
                <c:pt idx="170">
                  <c:v>17.9733906693798</c:v>
                </c:pt>
                <c:pt idx="171">
                  <c:v>17.8877952256803</c:v>
                </c:pt>
                <c:pt idx="172">
                  <c:v>18.050740292528602</c:v>
                </c:pt>
                <c:pt idx="173">
                  <c:v>18.158329864500999</c:v>
                </c:pt>
                <c:pt idx="174">
                  <c:v>18.175177167928599</c:v>
                </c:pt>
                <c:pt idx="175">
                  <c:v>18.1116989790692</c:v>
                </c:pt>
                <c:pt idx="176">
                  <c:v>17.947216184410099</c:v>
                </c:pt>
                <c:pt idx="177">
                  <c:v>17.7739165148956</c:v>
                </c:pt>
                <c:pt idx="178">
                  <c:v>17.6772094379834</c:v>
                </c:pt>
                <c:pt idx="179">
                  <c:v>17.876036115989699</c:v>
                </c:pt>
                <c:pt idx="180">
                  <c:v>17.970776019752901</c:v>
                </c:pt>
                <c:pt idx="181">
                  <c:v>18.156749921141699</c:v>
                </c:pt>
                <c:pt idx="182">
                  <c:v>18.7978712660653</c:v>
                </c:pt>
                <c:pt idx="183">
                  <c:v>19.331783614157398</c:v>
                </c:pt>
                <c:pt idx="184">
                  <c:v>19.559587332612601</c:v>
                </c:pt>
                <c:pt idx="185">
                  <c:v>20.122303454843699</c:v>
                </c:pt>
                <c:pt idx="186">
                  <c:v>20.887860532312299</c:v>
                </c:pt>
                <c:pt idx="187">
                  <c:v>21.166289495229801</c:v>
                </c:pt>
                <c:pt idx="188">
                  <c:v>21.389357643231499</c:v>
                </c:pt>
                <c:pt idx="189">
                  <c:v>21.632780952057999</c:v>
                </c:pt>
                <c:pt idx="190">
                  <c:v>21.7390151154177</c:v>
                </c:pt>
                <c:pt idx="191">
                  <c:v>21.893798263131</c:v>
                </c:pt>
                <c:pt idx="192">
                  <c:v>22.0515850600585</c:v>
                </c:pt>
                <c:pt idx="193">
                  <c:v>22.157977961681201</c:v>
                </c:pt>
                <c:pt idx="194">
                  <c:v>22.769215809280499</c:v>
                </c:pt>
                <c:pt idx="195">
                  <c:v>23.467879612931501</c:v>
                </c:pt>
                <c:pt idx="196">
                  <c:v>24.296061738777301</c:v>
                </c:pt>
                <c:pt idx="197">
                  <c:v>24.679231553656599</c:v>
                </c:pt>
                <c:pt idx="198">
                  <c:v>25.074806388667099</c:v>
                </c:pt>
                <c:pt idx="199">
                  <c:v>25.479164948948501</c:v>
                </c:pt>
                <c:pt idx="200">
                  <c:v>26.254151150396599</c:v>
                </c:pt>
                <c:pt idx="201">
                  <c:v>26.919084340095601</c:v>
                </c:pt>
                <c:pt idx="202">
                  <c:v>27.561355875409902</c:v>
                </c:pt>
                <c:pt idx="203">
                  <c:v>28.114059016780899</c:v>
                </c:pt>
                <c:pt idx="204">
                  <c:v>28.4827066461051</c:v>
                </c:pt>
                <c:pt idx="205">
                  <c:v>28.698769715346401</c:v>
                </c:pt>
                <c:pt idx="206">
                  <c:v>29.493983639499898</c:v>
                </c:pt>
                <c:pt idx="207">
                  <c:v>30.230464357825301</c:v>
                </c:pt>
                <c:pt idx="208">
                  <c:v>30.833870224867901</c:v>
                </c:pt>
                <c:pt idx="209">
                  <c:v>31.3769351322135</c:v>
                </c:pt>
                <c:pt idx="210">
                  <c:v>32.020227802674</c:v>
                </c:pt>
                <c:pt idx="211">
                  <c:v>32.764034340849499</c:v>
                </c:pt>
                <c:pt idx="212">
                  <c:v>33.3142618399052</c:v>
                </c:pt>
                <c:pt idx="213">
                  <c:v>33.857405249820197</c:v>
                </c:pt>
                <c:pt idx="214">
                  <c:v>34.479220645670502</c:v>
                </c:pt>
                <c:pt idx="215">
                  <c:v>35.260333102000203</c:v>
                </c:pt>
                <c:pt idx="216">
                  <c:v>35.859227713706403</c:v>
                </c:pt>
                <c:pt idx="217">
                  <c:v>36.476579772451899</c:v>
                </c:pt>
                <c:pt idx="218">
                  <c:v>37.768925971632299</c:v>
                </c:pt>
                <c:pt idx="219">
                  <c:v>38.913633204536097</c:v>
                </c:pt>
                <c:pt idx="220">
                  <c:v>39.879421249693401</c:v>
                </c:pt>
                <c:pt idx="221">
                  <c:v>40.895726492699801</c:v>
                </c:pt>
                <c:pt idx="222">
                  <c:v>41.967628869863503</c:v>
                </c:pt>
                <c:pt idx="223">
                  <c:v>43.013764711682398</c:v>
                </c:pt>
                <c:pt idx="224">
                  <c:v>44.115106090754999</c:v>
                </c:pt>
                <c:pt idx="225">
                  <c:v>44.964628282645997</c:v>
                </c:pt>
                <c:pt idx="226">
                  <c:v>46.152031785063897</c:v>
                </c:pt>
                <c:pt idx="227">
                  <c:v>46.931075904828099</c:v>
                </c:pt>
                <c:pt idx="228">
                  <c:v>46.011159321965799</c:v>
                </c:pt>
                <c:pt idx="229">
                  <c:v>45.048120682990202</c:v>
                </c:pt>
                <c:pt idx="230">
                  <c:v>44.488422647869101</c:v>
                </c:pt>
                <c:pt idx="231">
                  <c:v>43.763809562722599</c:v>
                </c:pt>
                <c:pt idx="232">
                  <c:v>42.861924668996899</c:v>
                </c:pt>
                <c:pt idx="233">
                  <c:v>41.9460692805077</c:v>
                </c:pt>
                <c:pt idx="234">
                  <c:v>40.914936341350703</c:v>
                </c:pt>
                <c:pt idx="235">
                  <c:v>40.063351774054603</c:v>
                </c:pt>
                <c:pt idx="236">
                  <c:v>39.368113116509498</c:v>
                </c:pt>
                <c:pt idx="237">
                  <c:v>38.745289380312897</c:v>
                </c:pt>
                <c:pt idx="238">
                  <c:v>38.313655040066202</c:v>
                </c:pt>
                <c:pt idx="239">
                  <c:v>64.5410801708923</c:v>
                </c:pt>
                <c:pt idx="240">
                  <c:v>65.1529561913744</c:v>
                </c:pt>
                <c:pt idx="241">
                  <c:v>65.698548727677107</c:v>
                </c:pt>
                <c:pt idx="242">
                  <c:v>66.226575915065396</c:v>
                </c:pt>
                <c:pt idx="243">
                  <c:v>66.793099752939199</c:v>
                </c:pt>
                <c:pt idx="244">
                  <c:v>67.369973739029504</c:v>
                </c:pt>
                <c:pt idx="245">
                  <c:v>67.985172384694295</c:v>
                </c:pt>
                <c:pt idx="246">
                  <c:v>68.670091266985494</c:v>
                </c:pt>
                <c:pt idx="247">
                  <c:v>69.286293806997094</c:v>
                </c:pt>
                <c:pt idx="248">
                  <c:v>69.969237534556797</c:v>
                </c:pt>
                <c:pt idx="249">
                  <c:v>70.684647527310801</c:v>
                </c:pt>
                <c:pt idx="250">
                  <c:v>71.328493353395004</c:v>
                </c:pt>
                <c:pt idx="251">
                  <c:v>72.007485194197201</c:v>
                </c:pt>
                <c:pt idx="252">
                  <c:v>72.555987703310095</c:v>
                </c:pt>
                <c:pt idx="253">
                  <c:v>73.045635510559904</c:v>
                </c:pt>
                <c:pt idx="254">
                  <c:v>73.616152819916806</c:v>
                </c:pt>
                <c:pt idx="255">
                  <c:v>74.248964262480101</c:v>
                </c:pt>
                <c:pt idx="256">
                  <c:v>74.888798378427694</c:v>
                </c:pt>
                <c:pt idx="257">
                  <c:v>75.490144388644794</c:v>
                </c:pt>
                <c:pt idx="258">
                  <c:v>76.145670945880596</c:v>
                </c:pt>
                <c:pt idx="259">
                  <c:v>76.694797636807607</c:v>
                </c:pt>
                <c:pt idx="260">
                  <c:v>77.286756458319601</c:v>
                </c:pt>
                <c:pt idx="261">
                  <c:v>77.809977180303306</c:v>
                </c:pt>
                <c:pt idx="262">
                  <c:v>78.223861507295794</c:v>
                </c:pt>
                <c:pt idx="263">
                  <c:v>78.698575103590102</c:v>
                </c:pt>
                <c:pt idx="264">
                  <c:v>79.139613750983898</c:v>
                </c:pt>
                <c:pt idx="265">
                  <c:v>79.537146474007699</c:v>
                </c:pt>
                <c:pt idx="266">
                  <c:v>79.976392216874601</c:v>
                </c:pt>
                <c:pt idx="267">
                  <c:v>80.4145498233582</c:v>
                </c:pt>
                <c:pt idx="268">
                  <c:v>80.844711587004198</c:v>
                </c:pt>
                <c:pt idx="269">
                  <c:v>81.316631050407196</c:v>
                </c:pt>
                <c:pt idx="270">
                  <c:v>81.746914203326497</c:v>
                </c:pt>
                <c:pt idx="271">
                  <c:v>82.263256847061498</c:v>
                </c:pt>
                <c:pt idx="272">
                  <c:v>82.742465754093104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'remove q2min'!$W$1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q2min'!$W$2:$W$511</c:f>
              <c:numCache>
                <c:formatCode>General</c:formatCode>
                <c:ptCount val="510"/>
                <c:pt idx="0">
                  <c:v>99.042895214577996</c:v>
                </c:pt>
                <c:pt idx="1">
                  <c:v>98.728419570533603</c:v>
                </c:pt>
                <c:pt idx="2">
                  <c:v>98.420927368044502</c:v>
                </c:pt>
                <c:pt idx="3">
                  <c:v>#N/A</c:v>
                </c:pt>
                <c:pt idx="4">
                  <c:v>#N/A</c:v>
                </c:pt>
                <c:pt idx="5">
                  <c:v>97.681204158137106</c:v>
                </c:pt>
                <c:pt idx="6">
                  <c:v>97.503899032269402</c:v>
                </c:pt>
                <c:pt idx="7">
                  <c:v>97.356954680509801</c:v>
                </c:pt>
                <c:pt idx="8">
                  <c:v>97.202262614290007</c:v>
                </c:pt>
                <c:pt idx="9">
                  <c:v>97.077694471307694</c:v>
                </c:pt>
                <c:pt idx="10">
                  <c:v>96.978984565132095</c:v>
                </c:pt>
                <c:pt idx="11">
                  <c:v>96.901214384948005</c:v>
                </c:pt>
                <c:pt idx="12">
                  <c:v>96.797930004529704</c:v>
                </c:pt>
                <c:pt idx="13">
                  <c:v>96.704603715331203</c:v>
                </c:pt>
                <c:pt idx="14">
                  <c:v>96.580893265796803</c:v>
                </c:pt>
                <c:pt idx="15">
                  <c:v>96.415450831963796</c:v>
                </c:pt>
                <c:pt idx="16">
                  <c:v>96.289993664180201</c:v>
                </c:pt>
                <c:pt idx="17">
                  <c:v>96.140167177683495</c:v>
                </c:pt>
                <c:pt idx="18">
                  <c:v>96.0699306058102</c:v>
                </c:pt>
                <c:pt idx="19">
                  <c:v>95.970004992844295</c:v>
                </c:pt>
                <c:pt idx="20">
                  <c:v>95.719948288162598</c:v>
                </c:pt>
                <c:pt idx="21">
                  <c:v>95.454564179037803</c:v>
                </c:pt>
                <c:pt idx="22">
                  <c:v>95.309097276227803</c:v>
                </c:pt>
                <c:pt idx="23">
                  <c:v>95.207580805184193</c:v>
                </c:pt>
                <c:pt idx="24">
                  <c:v>95.068968282893394</c:v>
                </c:pt>
                <c:pt idx="25">
                  <c:v>94.9282536272312</c:v>
                </c:pt>
                <c:pt idx="26">
                  <c:v>94.718777649845606</c:v>
                </c:pt>
                <c:pt idx="27">
                  <c:v>94.517617836355498</c:v>
                </c:pt>
                <c:pt idx="28">
                  <c:v>94.433956535743107</c:v>
                </c:pt>
                <c:pt idx="29">
                  <c:v>94.279860937165907</c:v>
                </c:pt>
                <c:pt idx="30">
                  <c:v>94.046836234387399</c:v>
                </c:pt>
                <c:pt idx="31">
                  <c:v>93.902239936808499</c:v>
                </c:pt>
                <c:pt idx="32">
                  <c:v>93.747279131194702</c:v>
                </c:pt>
                <c:pt idx="33">
                  <c:v>93.619053387659307</c:v>
                </c:pt>
                <c:pt idx="34">
                  <c:v>93.540671648384404</c:v>
                </c:pt>
                <c:pt idx="35">
                  <c:v>#N/A</c:v>
                </c:pt>
                <c:pt idx="36">
                  <c:v>#N/A</c:v>
                </c:pt>
                <c:pt idx="37">
                  <c:v>92.993150188481806</c:v>
                </c:pt>
                <c:pt idx="38">
                  <c:v>92.902874572158197</c:v>
                </c:pt>
                <c:pt idx="39">
                  <c:v>92.824520228906394</c:v>
                </c:pt>
                <c:pt idx="40">
                  <c:v>92.753503587986103</c:v>
                </c:pt>
                <c:pt idx="41">
                  <c:v>92.644354738794206</c:v>
                </c:pt>
                <c:pt idx="42">
                  <c:v>92.511880458717599</c:v>
                </c:pt>
                <c:pt idx="43">
                  <c:v>92.416946943406799</c:v>
                </c:pt>
                <c:pt idx="44">
                  <c:v>92.332196161286404</c:v>
                </c:pt>
                <c:pt idx="45">
                  <c:v>92.248022386213506</c:v>
                </c:pt>
                <c:pt idx="46">
                  <c:v>92.112657381390605</c:v>
                </c:pt>
                <c:pt idx="47">
                  <c:v>92.025928040633204</c:v>
                </c:pt>
                <c:pt idx="48">
                  <c:v>92.053310665430601</c:v>
                </c:pt>
                <c:pt idx="49">
                  <c:v>92.022991506954199</c:v>
                </c:pt>
                <c:pt idx="50">
                  <c:v>91.853457612590503</c:v>
                </c:pt>
                <c:pt idx="51">
                  <c:v>91.768115515667404</c:v>
                </c:pt>
                <c:pt idx="52">
                  <c:v>91.673935599984702</c:v>
                </c:pt>
                <c:pt idx="53">
                  <c:v>91.570922345367805</c:v>
                </c:pt>
                <c:pt idx="54">
                  <c:v>91.517389801174403</c:v>
                </c:pt>
                <c:pt idx="55">
                  <c:v>91.533661788427906</c:v>
                </c:pt>
                <c:pt idx="56">
                  <c:v>91.556802230438095</c:v>
                </c:pt>
                <c:pt idx="57">
                  <c:v>91.394038464355305</c:v>
                </c:pt>
                <c:pt idx="58">
                  <c:v>91.248054735348205</c:v>
                </c:pt>
                <c:pt idx="59">
                  <c:v>91.173404727319095</c:v>
                </c:pt>
                <c:pt idx="60">
                  <c:v>91.060510110117306</c:v>
                </c:pt>
                <c:pt idx="61">
                  <c:v>91.029735352678102</c:v>
                </c:pt>
                <c:pt idx="62">
                  <c:v>90.935961074470796</c:v>
                </c:pt>
                <c:pt idx="63">
                  <c:v>90.868151897523106</c:v>
                </c:pt>
                <c:pt idx="64">
                  <c:v>90.754331103109195</c:v>
                </c:pt>
                <c:pt idx="65">
                  <c:v>90.676781769290997</c:v>
                </c:pt>
                <c:pt idx="66">
                  <c:v>90.592704865297094</c:v>
                </c:pt>
                <c:pt idx="67">
                  <c:v>90.543650668260398</c:v>
                </c:pt>
                <c:pt idx="68">
                  <c:v>90.473341946825997</c:v>
                </c:pt>
                <c:pt idx="69">
                  <c:v>90.423566343701395</c:v>
                </c:pt>
                <c:pt idx="70">
                  <c:v>90.377949021028996</c:v>
                </c:pt>
                <c:pt idx="71">
                  <c:v>90.341587928600504</c:v>
                </c:pt>
                <c:pt idx="72">
                  <c:v>90.2613194844985</c:v>
                </c:pt>
                <c:pt idx="73">
                  <c:v>90.239260897534606</c:v>
                </c:pt>
                <c:pt idx="74">
                  <c:v>90.216704589250398</c:v>
                </c:pt>
                <c:pt idx="75">
                  <c:v>90.1989728595277</c:v>
                </c:pt>
                <c:pt idx="76">
                  <c:v>90.135844691138104</c:v>
                </c:pt>
                <c:pt idx="77">
                  <c:v>90.0693507160873</c:v>
                </c:pt>
                <c:pt idx="78">
                  <c:v>90.038224217183696</c:v>
                </c:pt>
                <c:pt idx="79">
                  <c:v>89.960264842197205</c:v>
                </c:pt>
                <c:pt idx="80">
                  <c:v>89.896320553078198</c:v>
                </c:pt>
                <c:pt idx="81">
                  <c:v>89.815054683417799</c:v>
                </c:pt>
                <c:pt idx="82">
                  <c:v>89.729976201419205</c:v>
                </c:pt>
                <c:pt idx="83">
                  <c:v>89.657215563622103</c:v>
                </c:pt>
                <c:pt idx="84">
                  <c:v>89.581547750311501</c:v>
                </c:pt>
                <c:pt idx="85">
                  <c:v>89.512842821269302</c:v>
                </c:pt>
                <c:pt idx="86">
                  <c:v>89.472957018569602</c:v>
                </c:pt>
                <c:pt idx="87">
                  <c:v>89.407079481689493</c:v>
                </c:pt>
                <c:pt idx="88">
                  <c:v>89.316474945363396</c:v>
                </c:pt>
                <c:pt idx="89">
                  <c:v>89.195932581922193</c:v>
                </c:pt>
                <c:pt idx="90">
                  <c:v>89.046337871782796</c:v>
                </c:pt>
                <c:pt idx="91">
                  <c:v>88.943319036077895</c:v>
                </c:pt>
                <c:pt idx="92">
                  <c:v>88.838842962308107</c:v>
                </c:pt>
                <c:pt idx="93">
                  <c:v>88.759627121752104</c:v>
                </c:pt>
                <c:pt idx="94">
                  <c:v>88.672003146288404</c:v>
                </c:pt>
                <c:pt idx="95">
                  <c:v>88.573531157356697</c:v>
                </c:pt>
                <c:pt idx="96">
                  <c:v>88.466004535635307</c:v>
                </c:pt>
                <c:pt idx="97">
                  <c:v>88.306155213092495</c:v>
                </c:pt>
                <c:pt idx="98">
                  <c:v>88.165854670543595</c:v>
                </c:pt>
                <c:pt idx="99">
                  <c:v>88.038684248769897</c:v>
                </c:pt>
                <c:pt idx="100">
                  <c:v>87.917018505683401</c:v>
                </c:pt>
                <c:pt idx="101">
                  <c:v>87.796318491509297</c:v>
                </c:pt>
                <c:pt idx="102">
                  <c:v>87.677245123366006</c:v>
                </c:pt>
                <c:pt idx="103">
                  <c:v>87.582967421811901</c:v>
                </c:pt>
                <c:pt idx="104">
                  <c:v>87.512331924893999</c:v>
                </c:pt>
                <c:pt idx="105">
                  <c:v>87.485744139592001</c:v>
                </c:pt>
                <c:pt idx="106">
                  <c:v>87.445232638571099</c:v>
                </c:pt>
                <c:pt idx="107">
                  <c:v>87.370538177379203</c:v>
                </c:pt>
                <c:pt idx="108">
                  <c:v>87.3587896847515</c:v>
                </c:pt>
                <c:pt idx="109">
                  <c:v>87.366862250795293</c:v>
                </c:pt>
                <c:pt idx="110">
                  <c:v>87.3665003726084</c:v>
                </c:pt>
                <c:pt idx="111">
                  <c:v>87.440175577590793</c:v>
                </c:pt>
                <c:pt idx="112">
                  <c:v>87.534653803241099</c:v>
                </c:pt>
                <c:pt idx="113">
                  <c:v>87.5949123058287</c:v>
                </c:pt>
                <c:pt idx="114">
                  <c:v>87.705258310248198</c:v>
                </c:pt>
                <c:pt idx="115">
                  <c:v>87.755743416356694</c:v>
                </c:pt>
                <c:pt idx="116">
                  <c:v>87.868978262737997</c:v>
                </c:pt>
                <c:pt idx="117">
                  <c:v>87.942381246075001</c:v>
                </c:pt>
                <c:pt idx="118">
                  <c:v>88.050881062194804</c:v>
                </c:pt>
                <c:pt idx="119">
                  <c:v>88.084074147928803</c:v>
                </c:pt>
                <c:pt idx="120">
                  <c:v>88.105767536891705</c:v>
                </c:pt>
                <c:pt idx="121">
                  <c:v>88.134375617136001</c:v>
                </c:pt>
                <c:pt idx="122">
                  <c:v>88.221138612025896</c:v>
                </c:pt>
                <c:pt idx="123">
                  <c:v>88.2796976810329</c:v>
                </c:pt>
                <c:pt idx="124">
                  <c:v>88.359195659260095</c:v>
                </c:pt>
                <c:pt idx="125">
                  <c:v>88.386130968417604</c:v>
                </c:pt>
                <c:pt idx="126">
                  <c:v>88.444880925534704</c:v>
                </c:pt>
                <c:pt idx="127">
                  <c:v>88.531840576166104</c:v>
                </c:pt>
                <c:pt idx="128">
                  <c:v>88.591423485742794</c:v>
                </c:pt>
                <c:pt idx="129">
                  <c:v>88.652693025769906</c:v>
                </c:pt>
                <c:pt idx="130">
                  <c:v>88.723270104119905</c:v>
                </c:pt>
                <c:pt idx="131">
                  <c:v>88.829845686075501</c:v>
                </c:pt>
                <c:pt idx="132">
                  <c:v>88.875416801239993</c:v>
                </c:pt>
                <c:pt idx="133">
                  <c:v>88.930022726333107</c:v>
                </c:pt>
                <c:pt idx="134">
                  <c:v>89.072123444957199</c:v>
                </c:pt>
                <c:pt idx="135">
                  <c:v>89.125361401376196</c:v>
                </c:pt>
                <c:pt idx="136">
                  <c:v>89.198205762551396</c:v>
                </c:pt>
                <c:pt idx="137">
                  <c:v>89.254039252913302</c:v>
                </c:pt>
                <c:pt idx="138">
                  <c:v>89.285574490843004</c:v>
                </c:pt>
                <c:pt idx="139">
                  <c:v>89.348688696911395</c:v>
                </c:pt>
                <c:pt idx="140">
                  <c:v>89.338391137991394</c:v>
                </c:pt>
                <c:pt idx="141">
                  <c:v>89.370147218990098</c:v>
                </c:pt>
                <c:pt idx="142">
                  <c:v>89.395771016600804</c:v>
                </c:pt>
                <c:pt idx="143">
                  <c:v>89.406108931294</c:v>
                </c:pt>
                <c:pt idx="144">
                  <c:v>89.475207292258503</c:v>
                </c:pt>
                <c:pt idx="145">
                  <c:v>89.538278655785604</c:v>
                </c:pt>
                <c:pt idx="146">
                  <c:v>89.622606212205895</c:v>
                </c:pt>
                <c:pt idx="147">
                  <c:v>89.707410139325304</c:v>
                </c:pt>
                <c:pt idx="148">
                  <c:v>89.775199167466297</c:v>
                </c:pt>
                <c:pt idx="149">
                  <c:v>89.784352669818205</c:v>
                </c:pt>
                <c:pt idx="150">
                  <c:v>89.808847866585197</c:v>
                </c:pt>
                <c:pt idx="151">
                  <c:v>88.564265133633199</c:v>
                </c:pt>
                <c:pt idx="152">
                  <c:v>88.718118200961499</c:v>
                </c:pt>
                <c:pt idx="153">
                  <c:v>89.030330750412503</c:v>
                </c:pt>
                <c:pt idx="154">
                  <c:v>89.182762274168795</c:v>
                </c:pt>
                <c:pt idx="155">
                  <c:v>88.634563936587895</c:v>
                </c:pt>
                <c:pt idx="156">
                  <c:v>88.964771030614202</c:v>
                </c:pt>
                <c:pt idx="157">
                  <c:v>88.573890165799995</c:v>
                </c:pt>
                <c:pt idx="158">
                  <c:v>88.946012579693601</c:v>
                </c:pt>
                <c:pt idx="159">
                  <c:v>89.210969925319404</c:v>
                </c:pt>
                <c:pt idx="160">
                  <c:v>89.130691751235801</c:v>
                </c:pt>
                <c:pt idx="161">
                  <c:v>89.148915748873307</c:v>
                </c:pt>
                <c:pt idx="162">
                  <c:v>89.2053193621758</c:v>
                </c:pt>
                <c:pt idx="163">
                  <c:v>88.788227667979001</c:v>
                </c:pt>
                <c:pt idx="164">
                  <c:v>88.179894004947499</c:v>
                </c:pt>
                <c:pt idx="165">
                  <c:v>88.304705206090802</c:v>
                </c:pt>
                <c:pt idx="166">
                  <c:v>87.372890547298596</c:v>
                </c:pt>
                <c:pt idx="167">
                  <c:v>86.832632177839699</c:v>
                </c:pt>
                <c:pt idx="168">
                  <c:v>85.933940565323198</c:v>
                </c:pt>
                <c:pt idx="169">
                  <c:v>84.496594313225401</c:v>
                </c:pt>
                <c:pt idx="170">
                  <c:v>83.974665526216796</c:v>
                </c:pt>
                <c:pt idx="171">
                  <c:v>83.610002496999201</c:v>
                </c:pt>
                <c:pt idx="172">
                  <c:v>83.097793218180598</c:v>
                </c:pt>
                <c:pt idx="173">
                  <c:v>82.942590170169595</c:v>
                </c:pt>
                <c:pt idx="174">
                  <c:v>83.144668466178601</c:v>
                </c:pt>
                <c:pt idx="175">
                  <c:v>82.566955120590407</c:v>
                </c:pt>
                <c:pt idx="176">
                  <c:v>81.530228230536295</c:v>
                </c:pt>
                <c:pt idx="177">
                  <c:v>80.856974699732703</c:v>
                </c:pt>
                <c:pt idx="178">
                  <c:v>79.525922663337795</c:v>
                </c:pt>
                <c:pt idx="179">
                  <c:v>79.398809719351206</c:v>
                </c:pt>
                <c:pt idx="180">
                  <c:v>79.286047607884299</c:v>
                </c:pt>
                <c:pt idx="181">
                  <c:v>78.1909227294354</c:v>
                </c:pt>
                <c:pt idx="182">
                  <c:v>77.135811256494094</c:v>
                </c:pt>
                <c:pt idx="183">
                  <c:v>81.529181186328401</c:v>
                </c:pt>
                <c:pt idx="184">
                  <c:v>81.829110816029598</c:v>
                </c:pt>
                <c:pt idx="185">
                  <c:v>82.089385010872107</c:v>
                </c:pt>
                <c:pt idx="186">
                  <c:v>80.710360837649702</c:v>
                </c:pt>
                <c:pt idx="187">
                  <c:v>80.355194371457799</c:v>
                </c:pt>
                <c:pt idx="188">
                  <c:v>81.121073009494395</c:v>
                </c:pt>
                <c:pt idx="189">
                  <c:v>81.405729345510593</c:v>
                </c:pt>
                <c:pt idx="190">
                  <c:v>81.256492700093105</c:v>
                </c:pt>
                <c:pt idx="191">
                  <c:v>80.607655597803699</c:v>
                </c:pt>
                <c:pt idx="192">
                  <c:v>80.858173325298793</c:v>
                </c:pt>
                <c:pt idx="193">
                  <c:v>80.688325183506706</c:v>
                </c:pt>
                <c:pt idx="194">
                  <c:v>82.712785590828005</c:v>
                </c:pt>
                <c:pt idx="195">
                  <c:v>83.669291888756803</c:v>
                </c:pt>
                <c:pt idx="196">
                  <c:v>84.256320909696697</c:v>
                </c:pt>
                <c:pt idx="197">
                  <c:v>84.2012687282716</c:v>
                </c:pt>
                <c:pt idx="198">
                  <c:v>85.217780490202998</c:v>
                </c:pt>
                <c:pt idx="199">
                  <c:v>84.960859500027794</c:v>
                </c:pt>
                <c:pt idx="200">
                  <c:v>84.494608585388306</c:v>
                </c:pt>
                <c:pt idx="201">
                  <c:v>83.969399568588898</c:v>
                </c:pt>
                <c:pt idx="202">
                  <c:v>83.401335674412394</c:v>
                </c:pt>
                <c:pt idx="203">
                  <c:v>82.546708914877399</c:v>
                </c:pt>
                <c:pt idx="204">
                  <c:v>81.626731721387301</c:v>
                </c:pt>
                <c:pt idx="205">
                  <c:v>80.591345183582206</c:v>
                </c:pt>
                <c:pt idx="206">
                  <c:v>81.383451680802295</c:v>
                </c:pt>
                <c:pt idx="207">
                  <c:v>82.112441943039499</c:v>
                </c:pt>
                <c:pt idx="208">
                  <c:v>82.773563669638705</c:v>
                </c:pt>
                <c:pt idx="209">
                  <c:v>83.256781286364301</c:v>
                </c:pt>
                <c:pt idx="210">
                  <c:v>81.746691137754596</c:v>
                </c:pt>
                <c:pt idx="211">
                  <c:v>82.2390613467539</c:v>
                </c:pt>
                <c:pt idx="212">
                  <c:v>82.080864733743397</c:v>
                </c:pt>
                <c:pt idx="213">
                  <c:v>81.852423434348395</c:v>
                </c:pt>
                <c:pt idx="214">
                  <c:v>81.548157829458106</c:v>
                </c:pt>
                <c:pt idx="215">
                  <c:v>81.498799908147802</c:v>
                </c:pt>
                <c:pt idx="216">
                  <c:v>81.497876487721797</c:v>
                </c:pt>
                <c:pt idx="217">
                  <c:v>83.555137426507002</c:v>
                </c:pt>
                <c:pt idx="218">
                  <c:v>85.274448613203703</c:v>
                </c:pt>
                <c:pt idx="219">
                  <c:v>86.899179529213797</c:v>
                </c:pt>
                <c:pt idx="220">
                  <c:v>88.358118430418102</c:v>
                </c:pt>
                <c:pt idx="221">
                  <c:v>89.075442212496498</c:v>
                </c:pt>
                <c:pt idx="222">
                  <c:v>89.648544080684104</c:v>
                </c:pt>
                <c:pt idx="223">
                  <c:v>90.203891343680894</c:v>
                </c:pt>
                <c:pt idx="224">
                  <c:v>90.464662328033796</c:v>
                </c:pt>
                <c:pt idx="225">
                  <c:v>90.760062693991202</c:v>
                </c:pt>
                <c:pt idx="226">
                  <c:v>90.930084526706196</c:v>
                </c:pt>
                <c:pt idx="227">
                  <c:v>91.4027863902608</c:v>
                </c:pt>
                <c:pt idx="228">
                  <c:v>91.794949555672005</c:v>
                </c:pt>
                <c:pt idx="229">
                  <c:v>92.152731135910003</c:v>
                </c:pt>
                <c:pt idx="230">
                  <c:v>93.148803996602297</c:v>
                </c:pt>
                <c:pt idx="231">
                  <c:v>94.001875479032904</c:v>
                </c:pt>
                <c:pt idx="232">
                  <c:v>94.681483937041904</c:v>
                </c:pt>
                <c:pt idx="233">
                  <c:v>94.998094867418104</c:v>
                </c:pt>
                <c:pt idx="234">
                  <c:v>95.421835011427206</c:v>
                </c:pt>
                <c:pt idx="235">
                  <c:v>95.705986953763102</c:v>
                </c:pt>
                <c:pt idx="236">
                  <c:v>95.754656189581098</c:v>
                </c:pt>
                <c:pt idx="237">
                  <c:v>95.768588634014506</c:v>
                </c:pt>
                <c:pt idx="238">
                  <c:v>95.789714767199797</c:v>
                </c:pt>
                <c:pt idx="239">
                  <c:v>95.890659660073794</c:v>
                </c:pt>
                <c:pt idx="240">
                  <c:v>95.955284016383601</c:v>
                </c:pt>
                <c:pt idx="241">
                  <c:v>96.013424182271393</c:v>
                </c:pt>
                <c:pt idx="242">
                  <c:v>96.395536887807793</c:v>
                </c:pt>
                <c:pt idx="243">
                  <c:v>96.712625289075504</c:v>
                </c:pt>
                <c:pt idx="244">
                  <c:v>96.972864504413906</c:v>
                </c:pt>
                <c:pt idx="245">
                  <c:v>97.070316869230595</c:v>
                </c:pt>
                <c:pt idx="246">
                  <c:v>97.162631168494798</c:v>
                </c:pt>
                <c:pt idx="247">
                  <c:v>97.260917064417598</c:v>
                </c:pt>
                <c:pt idx="248">
                  <c:v>97.313079385708704</c:v>
                </c:pt>
                <c:pt idx="249">
                  <c:v>97.362800299053504</c:v>
                </c:pt>
                <c:pt idx="250">
                  <c:v>97.4069476351807</c:v>
                </c:pt>
                <c:pt idx="251">
                  <c:v>97.459263236000496</c:v>
                </c:pt>
                <c:pt idx="252">
                  <c:v>97.508340981836298</c:v>
                </c:pt>
                <c:pt idx="253">
                  <c:v>97.557577733267294</c:v>
                </c:pt>
                <c:pt idx="254">
                  <c:v>97.717907648615196</c:v>
                </c:pt>
                <c:pt idx="255">
                  <c:v>97.839102148951895</c:v>
                </c:pt>
                <c:pt idx="256">
                  <c:v>97.949432118323799</c:v>
                </c:pt>
                <c:pt idx="257">
                  <c:v>98.012457331367401</c:v>
                </c:pt>
                <c:pt idx="258">
                  <c:v>98.069886492152705</c:v>
                </c:pt>
                <c:pt idx="259">
                  <c:v>98.116112407945494</c:v>
                </c:pt>
                <c:pt idx="260">
                  <c:v>98.136100837653004</c:v>
                </c:pt>
                <c:pt idx="261">
                  <c:v>98.148635600370397</c:v>
                </c:pt>
                <c:pt idx="262">
                  <c:v>98.155106018828604</c:v>
                </c:pt>
                <c:pt idx="263">
                  <c:v>98.190860334399801</c:v>
                </c:pt>
                <c:pt idx="264">
                  <c:v>98.217212301027104</c:v>
                </c:pt>
                <c:pt idx="265">
                  <c:v>98.238521837558693</c:v>
                </c:pt>
                <c:pt idx="266">
                  <c:v>98.339157457570707</c:v>
                </c:pt>
                <c:pt idx="267">
                  <c:v>98.408884157195104</c:v>
                </c:pt>
                <c:pt idx="268">
                  <c:v>98.466552861347594</c:v>
                </c:pt>
                <c:pt idx="269">
                  <c:v>98.478279535481093</c:v>
                </c:pt>
                <c:pt idx="270">
                  <c:v>98.488463016285905</c:v>
                </c:pt>
                <c:pt idx="271">
                  <c:v>98.500416951640702</c:v>
                </c:pt>
                <c:pt idx="272">
                  <c:v>98.5077209696301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'remove q2min'!$X$1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q2min'!$X$2:$X$511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85.398188146785799</c:v>
                </c:pt>
                <c:pt idx="24">
                  <c:v>85.367416564993107</c:v>
                </c:pt>
                <c:pt idx="25">
                  <c:v>85.323128344773707</c:v>
                </c:pt>
                <c:pt idx="26">
                  <c:v>85.277198271761193</c:v>
                </c:pt>
                <c:pt idx="27">
                  <c:v>85.227894513916993</c:v>
                </c:pt>
                <c:pt idx="28">
                  <c:v>85.123493005363002</c:v>
                </c:pt>
                <c:pt idx="29">
                  <c:v>85.115304417680406</c:v>
                </c:pt>
                <c:pt idx="30">
                  <c:v>85.090213561029401</c:v>
                </c:pt>
                <c:pt idx="31">
                  <c:v>85.065683938407702</c:v>
                </c:pt>
                <c:pt idx="32">
                  <c:v>85.049785664362005</c:v>
                </c:pt>
                <c:pt idx="33">
                  <c:v>85.031746146743203</c:v>
                </c:pt>
                <c:pt idx="34">
                  <c:v>85.021581954396794</c:v>
                </c:pt>
                <c:pt idx="35">
                  <c:v>84.975630028931903</c:v>
                </c:pt>
                <c:pt idx="36">
                  <c:v>84.987375605359304</c:v>
                </c:pt>
                <c:pt idx="37">
                  <c:v>85.017014713065194</c:v>
                </c:pt>
                <c:pt idx="38">
                  <c:v>85.018521121929197</c:v>
                </c:pt>
                <c:pt idx="39">
                  <c:v>85.031249116135797</c:v>
                </c:pt>
                <c:pt idx="40">
                  <c:v>85.051576814105005</c:v>
                </c:pt>
                <c:pt idx="41">
                  <c:v>85.072438711800601</c:v>
                </c:pt>
                <c:pt idx="42">
                  <c:v>85.092997721214502</c:v>
                </c:pt>
                <c:pt idx="43">
                  <c:v>85.117596803057396</c:v>
                </c:pt>
                <c:pt idx="44">
                  <c:v>85.180281615290696</c:v>
                </c:pt>
                <c:pt idx="45">
                  <c:v>85.251269570987802</c:v>
                </c:pt>
                <c:pt idx="46">
                  <c:v>85.328379474545301</c:v>
                </c:pt>
                <c:pt idx="47">
                  <c:v>84.423868929203906</c:v>
                </c:pt>
                <c:pt idx="48">
                  <c:v>84.507200993171097</c:v>
                </c:pt>
                <c:pt idx="49">
                  <c:v>84.631263745095396</c:v>
                </c:pt>
                <c:pt idx="50">
                  <c:v>84.824801991033098</c:v>
                </c:pt>
                <c:pt idx="51">
                  <c:v>85.046419530858699</c:v>
                </c:pt>
                <c:pt idx="52">
                  <c:v>85.257912344987702</c:v>
                </c:pt>
                <c:pt idx="53">
                  <c:v>85.458462769099398</c:v>
                </c:pt>
                <c:pt idx="54">
                  <c:v>85.639128400546397</c:v>
                </c:pt>
                <c:pt idx="55">
                  <c:v>85.832889718116306</c:v>
                </c:pt>
                <c:pt idx="56">
                  <c:v>86.028890208598696</c:v>
                </c:pt>
                <c:pt idx="57">
                  <c:v>86.182398649150699</c:v>
                </c:pt>
                <c:pt idx="58">
                  <c:v>86.375357034348397</c:v>
                </c:pt>
                <c:pt idx="59">
                  <c:v>86.797613083821005</c:v>
                </c:pt>
                <c:pt idx="60">
                  <c:v>86.981511578858601</c:v>
                </c:pt>
                <c:pt idx="61">
                  <c:v>87.135860133492599</c:v>
                </c:pt>
                <c:pt idx="62">
                  <c:v>87.278736237552593</c:v>
                </c:pt>
                <c:pt idx="63">
                  <c:v>87.397098980000607</c:v>
                </c:pt>
                <c:pt idx="64">
                  <c:v>87.518777177683006</c:v>
                </c:pt>
                <c:pt idx="65">
                  <c:v>87.635572587978999</c:v>
                </c:pt>
                <c:pt idx="66">
                  <c:v>87.756523108860705</c:v>
                </c:pt>
                <c:pt idx="67">
                  <c:v>87.836460714123206</c:v>
                </c:pt>
                <c:pt idx="68">
                  <c:v>87.907396838027793</c:v>
                </c:pt>
                <c:pt idx="69">
                  <c:v>87.946661240542298</c:v>
                </c:pt>
                <c:pt idx="70">
                  <c:v>87.990659973096996</c:v>
                </c:pt>
                <c:pt idx="71">
                  <c:v>87.992440062314301</c:v>
                </c:pt>
                <c:pt idx="72">
                  <c:v>88.035856673759099</c:v>
                </c:pt>
                <c:pt idx="73">
                  <c:v>88.0376784942803</c:v>
                </c:pt>
                <c:pt idx="74">
                  <c:v>88.045912723318807</c:v>
                </c:pt>
                <c:pt idx="75">
                  <c:v>88.0475593315509</c:v>
                </c:pt>
                <c:pt idx="76">
                  <c:v>88.064195946144906</c:v>
                </c:pt>
                <c:pt idx="77">
                  <c:v>88.077303963713007</c:v>
                </c:pt>
                <c:pt idx="78">
                  <c:v>88.0945800623727</c:v>
                </c:pt>
                <c:pt idx="79">
                  <c:v>88.118485347577206</c:v>
                </c:pt>
                <c:pt idx="80">
                  <c:v>88.134848831409698</c:v>
                </c:pt>
                <c:pt idx="81">
                  <c:v>88.145251162775494</c:v>
                </c:pt>
                <c:pt idx="82">
                  <c:v>88.164003689355098</c:v>
                </c:pt>
                <c:pt idx="83">
                  <c:v>87.929854307737102</c:v>
                </c:pt>
                <c:pt idx="84">
                  <c:v>87.940197112439606</c:v>
                </c:pt>
                <c:pt idx="85">
                  <c:v>87.958897233354193</c:v>
                </c:pt>
                <c:pt idx="86">
                  <c:v>87.929143562290704</c:v>
                </c:pt>
                <c:pt idx="87">
                  <c:v>87.9198891700416</c:v>
                </c:pt>
                <c:pt idx="88">
                  <c:v>87.910135333837601</c:v>
                </c:pt>
                <c:pt idx="89">
                  <c:v>87.892238120732699</c:v>
                </c:pt>
                <c:pt idx="90">
                  <c:v>87.842713852357207</c:v>
                </c:pt>
                <c:pt idx="91">
                  <c:v>87.819843808710999</c:v>
                </c:pt>
                <c:pt idx="92">
                  <c:v>87.756428124854096</c:v>
                </c:pt>
                <c:pt idx="93">
                  <c:v>87.701700196658294</c:v>
                </c:pt>
                <c:pt idx="94">
                  <c:v>87.650833632251803</c:v>
                </c:pt>
                <c:pt idx="95">
                  <c:v>87.580274599794194</c:v>
                </c:pt>
                <c:pt idx="96">
                  <c:v>87.527309642186694</c:v>
                </c:pt>
                <c:pt idx="97">
                  <c:v>87.479152289957298</c:v>
                </c:pt>
                <c:pt idx="98">
                  <c:v>87.426462502252804</c:v>
                </c:pt>
                <c:pt idx="99">
                  <c:v>87.343507698249496</c:v>
                </c:pt>
                <c:pt idx="100">
                  <c:v>87.272234567957796</c:v>
                </c:pt>
                <c:pt idx="101">
                  <c:v>87.1986365929843</c:v>
                </c:pt>
                <c:pt idx="102">
                  <c:v>87.129750783057204</c:v>
                </c:pt>
                <c:pt idx="103">
                  <c:v>87.042951449257998</c:v>
                </c:pt>
                <c:pt idx="104">
                  <c:v>86.966693562002902</c:v>
                </c:pt>
                <c:pt idx="105">
                  <c:v>86.898728500470895</c:v>
                </c:pt>
                <c:pt idx="106">
                  <c:v>86.843043570663397</c:v>
                </c:pt>
                <c:pt idx="107">
                  <c:v>86.519314272264495</c:v>
                </c:pt>
                <c:pt idx="108">
                  <c:v>86.553567454331301</c:v>
                </c:pt>
                <c:pt idx="109">
                  <c:v>86.570871949713904</c:v>
                </c:pt>
                <c:pt idx="110">
                  <c:v>86.6033796931398</c:v>
                </c:pt>
                <c:pt idx="111">
                  <c:v>86.278524311725207</c:v>
                </c:pt>
                <c:pt idx="112">
                  <c:v>86.131547732522606</c:v>
                </c:pt>
                <c:pt idx="113">
                  <c:v>86.253182013842505</c:v>
                </c:pt>
                <c:pt idx="114">
                  <c:v>86.310341165058503</c:v>
                </c:pt>
                <c:pt idx="115">
                  <c:v>86.358852907814097</c:v>
                </c:pt>
                <c:pt idx="116">
                  <c:v>86.411646338958704</c:v>
                </c:pt>
                <c:pt idx="117">
                  <c:v>86.427376919920704</c:v>
                </c:pt>
                <c:pt idx="118">
                  <c:v>86.438797997750697</c:v>
                </c:pt>
                <c:pt idx="119">
                  <c:v>86.021915928482002</c:v>
                </c:pt>
                <c:pt idx="120">
                  <c:v>86.059511461558699</c:v>
                </c:pt>
                <c:pt idx="121">
                  <c:v>86.172703246053203</c:v>
                </c:pt>
                <c:pt idx="122">
                  <c:v>86.296508151989102</c:v>
                </c:pt>
                <c:pt idx="123">
                  <c:v>86.387442258172499</c:v>
                </c:pt>
                <c:pt idx="124">
                  <c:v>86.483700303748705</c:v>
                </c:pt>
                <c:pt idx="125">
                  <c:v>86.609759468148894</c:v>
                </c:pt>
                <c:pt idx="126">
                  <c:v>86.7372488696179</c:v>
                </c:pt>
                <c:pt idx="127">
                  <c:v>86.833254500440106</c:v>
                </c:pt>
                <c:pt idx="128">
                  <c:v>86.908806046348403</c:v>
                </c:pt>
                <c:pt idx="129">
                  <c:v>86.980749185444395</c:v>
                </c:pt>
                <c:pt idx="130">
                  <c:v>87.088881500310904</c:v>
                </c:pt>
                <c:pt idx="131">
                  <c:v>87.184716225823706</c:v>
                </c:pt>
                <c:pt idx="132">
                  <c:v>87.283520642775102</c:v>
                </c:pt>
                <c:pt idx="133">
                  <c:v>87.391416932476403</c:v>
                </c:pt>
                <c:pt idx="134">
                  <c:v>86.7584490050059</c:v>
                </c:pt>
                <c:pt idx="135">
                  <c:v>86.839366521468506</c:v>
                </c:pt>
                <c:pt idx="136">
                  <c:v>86.8801292821895</c:v>
                </c:pt>
                <c:pt idx="137">
                  <c:v>87.738287108303496</c:v>
                </c:pt>
                <c:pt idx="138">
                  <c:v>87.827629813755294</c:v>
                </c:pt>
                <c:pt idx="139">
                  <c:v>87.940516666839997</c:v>
                </c:pt>
                <c:pt idx="140">
                  <c:v>88.014724974424297</c:v>
                </c:pt>
                <c:pt idx="141">
                  <c:v>88.094734517886593</c:v>
                </c:pt>
                <c:pt idx="142">
                  <c:v>88.156644994456599</c:v>
                </c:pt>
                <c:pt idx="143">
                  <c:v>88.234910409272899</c:v>
                </c:pt>
                <c:pt idx="144">
                  <c:v>88.277112719028594</c:v>
                </c:pt>
                <c:pt idx="145">
                  <c:v>88.354041088570398</c:v>
                </c:pt>
                <c:pt idx="146">
                  <c:v>88.430319515153201</c:v>
                </c:pt>
                <c:pt idx="147">
                  <c:v>88.525516093720896</c:v>
                </c:pt>
                <c:pt idx="148">
                  <c:v>88.588345200561804</c:v>
                </c:pt>
                <c:pt idx="149">
                  <c:v>88.572302388836604</c:v>
                </c:pt>
                <c:pt idx="150">
                  <c:v>88.554762170737305</c:v>
                </c:pt>
                <c:pt idx="151">
                  <c:v>88.506151504193099</c:v>
                </c:pt>
                <c:pt idx="152">
                  <c:v>88.434482414608198</c:v>
                </c:pt>
                <c:pt idx="153">
                  <c:v>88.368472255347001</c:v>
                </c:pt>
                <c:pt idx="154">
                  <c:v>88.2634230868332</c:v>
                </c:pt>
                <c:pt idx="155">
                  <c:v>88.221430776331601</c:v>
                </c:pt>
                <c:pt idx="156">
                  <c:v>88.1992860890727</c:v>
                </c:pt>
                <c:pt idx="157">
                  <c:v>88.167815931151196</c:v>
                </c:pt>
                <c:pt idx="158">
                  <c:v>88.220458541025096</c:v>
                </c:pt>
                <c:pt idx="159">
                  <c:v>88.234309531475901</c:v>
                </c:pt>
                <c:pt idx="160">
                  <c:v>88.218484513572093</c:v>
                </c:pt>
                <c:pt idx="161">
                  <c:v>87.852125047685007</c:v>
                </c:pt>
                <c:pt idx="162">
                  <c:v>87.476714962681896</c:v>
                </c:pt>
                <c:pt idx="163">
                  <c:v>87.132095603106293</c:v>
                </c:pt>
                <c:pt idx="164">
                  <c:v>86.501419825766803</c:v>
                </c:pt>
                <c:pt idx="165">
                  <c:v>85.824827190076306</c:v>
                </c:pt>
                <c:pt idx="166">
                  <c:v>85.079752872599599</c:v>
                </c:pt>
                <c:pt idx="167">
                  <c:v>84.301051683406698</c:v>
                </c:pt>
                <c:pt idx="168">
                  <c:v>83.465455893873695</c:v>
                </c:pt>
                <c:pt idx="169">
                  <c:v>82.678324592241594</c:v>
                </c:pt>
                <c:pt idx="170">
                  <c:v>82.169943397364506</c:v>
                </c:pt>
                <c:pt idx="171">
                  <c:v>81.672404137590902</c:v>
                </c:pt>
                <c:pt idx="172">
                  <c:v>81.217214564690394</c:v>
                </c:pt>
                <c:pt idx="173">
                  <c:v>80.759698186908494</c:v>
                </c:pt>
                <c:pt idx="174">
                  <c:v>80.177044372655303</c:v>
                </c:pt>
                <c:pt idx="175">
                  <c:v>79.537763129339197</c:v>
                </c:pt>
                <c:pt idx="176">
                  <c:v>78.546046153816405</c:v>
                </c:pt>
                <c:pt idx="177">
                  <c:v>77.359723674513305</c:v>
                </c:pt>
                <c:pt idx="178">
                  <c:v>76.066917884915995</c:v>
                </c:pt>
                <c:pt idx="179">
                  <c:v>75.841148106686504</c:v>
                </c:pt>
                <c:pt idx="180">
                  <c:v>75.443482489508199</c:v>
                </c:pt>
                <c:pt idx="181">
                  <c:v>75.031617221025002</c:v>
                </c:pt>
                <c:pt idx="182">
                  <c:v>75.642553516881705</c:v>
                </c:pt>
                <c:pt idx="183">
                  <c:v>75.9491452348867</c:v>
                </c:pt>
                <c:pt idx="184">
                  <c:v>76.470272769992704</c:v>
                </c:pt>
                <c:pt idx="185">
                  <c:v>76.835115994763498</c:v>
                </c:pt>
                <c:pt idx="186">
                  <c:v>77.091086987098194</c:v>
                </c:pt>
                <c:pt idx="187">
                  <c:v>77.364770620654198</c:v>
                </c:pt>
                <c:pt idx="188">
                  <c:v>77.3849162067457</c:v>
                </c:pt>
                <c:pt idx="189">
                  <c:v>77.330697712814896</c:v>
                </c:pt>
                <c:pt idx="190">
                  <c:v>77.199357103120306</c:v>
                </c:pt>
                <c:pt idx="191">
                  <c:v>76.960239655143397</c:v>
                </c:pt>
                <c:pt idx="192">
                  <c:v>76.686497862892793</c:v>
                </c:pt>
                <c:pt idx="193">
                  <c:v>76.462380394310301</c:v>
                </c:pt>
                <c:pt idx="194">
                  <c:v>77.738352214965303</c:v>
                </c:pt>
                <c:pt idx="195">
                  <c:v>79.268606209831603</c:v>
                </c:pt>
                <c:pt idx="196">
                  <c:v>80.589967834893898</c:v>
                </c:pt>
                <c:pt idx="197">
                  <c:v>80.348698439398106</c:v>
                </c:pt>
                <c:pt idx="198">
                  <c:v>80.102392449733202</c:v>
                </c:pt>
                <c:pt idx="199">
                  <c:v>79.8123226036885</c:v>
                </c:pt>
                <c:pt idx="200">
                  <c:v>79.3793915159835</c:v>
                </c:pt>
                <c:pt idx="201">
                  <c:v>78.948933674840305</c:v>
                </c:pt>
                <c:pt idx="202">
                  <c:v>78.471122810892695</c:v>
                </c:pt>
                <c:pt idx="203">
                  <c:v>77.654903616904704</c:v>
                </c:pt>
                <c:pt idx="204">
                  <c:v>76.652114966546904</c:v>
                </c:pt>
                <c:pt idx="205">
                  <c:v>75.669204546982598</c:v>
                </c:pt>
                <c:pt idx="206">
                  <c:v>76.567419969165599</c:v>
                </c:pt>
                <c:pt idx="207">
                  <c:v>77.405980575237393</c:v>
                </c:pt>
                <c:pt idx="208">
                  <c:v>78.153103948348701</c:v>
                </c:pt>
                <c:pt idx="209">
                  <c:v>78.732704304412906</c:v>
                </c:pt>
                <c:pt idx="210">
                  <c:v>79.266392177123095</c:v>
                </c:pt>
                <c:pt idx="211">
                  <c:v>79.805684310599204</c:v>
                </c:pt>
                <c:pt idx="212">
                  <c:v>79.7715033378025</c:v>
                </c:pt>
                <c:pt idx="213">
                  <c:v>79.640841873983803</c:v>
                </c:pt>
                <c:pt idx="214">
                  <c:v>79.508590469138596</c:v>
                </c:pt>
                <c:pt idx="215">
                  <c:v>79.848174885620693</c:v>
                </c:pt>
                <c:pt idx="216">
                  <c:v>80.078120103873104</c:v>
                </c:pt>
                <c:pt idx="217">
                  <c:v>80.357488715933499</c:v>
                </c:pt>
                <c:pt idx="218">
                  <c:v>82.353785685503894</c:v>
                </c:pt>
                <c:pt idx="219">
                  <c:v>84.076388727555198</c:v>
                </c:pt>
                <c:pt idx="220">
                  <c:v>85.661291148518799</c:v>
                </c:pt>
                <c:pt idx="221">
                  <c:v>86.488663050583099</c:v>
                </c:pt>
                <c:pt idx="222">
                  <c:v>87.297181463472995</c:v>
                </c:pt>
                <c:pt idx="223">
                  <c:v>88.059417753653094</c:v>
                </c:pt>
                <c:pt idx="224">
                  <c:v>88.491988246453204</c:v>
                </c:pt>
                <c:pt idx="225">
                  <c:v>88.927375406355296</c:v>
                </c:pt>
                <c:pt idx="226">
                  <c:v>89.371020356919601</c:v>
                </c:pt>
                <c:pt idx="227">
                  <c:v>89.979179531146002</c:v>
                </c:pt>
                <c:pt idx="228">
                  <c:v>87.849120842201003</c:v>
                </c:pt>
                <c:pt idx="229">
                  <c:v>85.622471790348001</c:v>
                </c:pt>
                <c:pt idx="230">
                  <c:v>84.384279175000898</c:v>
                </c:pt>
                <c:pt idx="231">
                  <c:v>82.678321110699102</c:v>
                </c:pt>
                <c:pt idx="232">
                  <c:v>80.576301131789407</c:v>
                </c:pt>
                <c:pt idx="233">
                  <c:v>78.432703548004497</c:v>
                </c:pt>
                <c:pt idx="234">
                  <c:v>76.128961226637998</c:v>
                </c:pt>
                <c:pt idx="235">
                  <c:v>74.083517583914698</c:v>
                </c:pt>
                <c:pt idx="236">
                  <c:v>72.333120445077995</c:v>
                </c:pt>
                <c:pt idx="237">
                  <c:v>70.808272464390001</c:v>
                </c:pt>
                <c:pt idx="238">
                  <c:v>69.581924251244601</c:v>
                </c:pt>
                <c:pt idx="239">
                  <c:v>95.179940211158296</c:v>
                </c:pt>
                <c:pt idx="240">
                  <c:v>95.2664722160671</c:v>
                </c:pt>
                <c:pt idx="241">
                  <c:v>95.331270434242697</c:v>
                </c:pt>
                <c:pt idx="242">
                  <c:v>95.466246239939593</c:v>
                </c:pt>
                <c:pt idx="243">
                  <c:v>95.587876987092997</c:v>
                </c:pt>
                <c:pt idx="244">
                  <c:v>95.697452801213402</c:v>
                </c:pt>
                <c:pt idx="245">
                  <c:v>95.771248283684002</c:v>
                </c:pt>
                <c:pt idx="246">
                  <c:v>95.8527439564823</c:v>
                </c:pt>
                <c:pt idx="247">
                  <c:v>95.923798528977002</c:v>
                </c:pt>
                <c:pt idx="248">
                  <c:v>96.011339749356793</c:v>
                </c:pt>
                <c:pt idx="249">
                  <c:v>96.0903889442028</c:v>
                </c:pt>
                <c:pt idx="250">
                  <c:v>96.158699440393804</c:v>
                </c:pt>
                <c:pt idx="251">
                  <c:v>96.234163793997993</c:v>
                </c:pt>
                <c:pt idx="252">
                  <c:v>96.296888092994806</c:v>
                </c:pt>
                <c:pt idx="253">
                  <c:v>96.351437556330893</c:v>
                </c:pt>
                <c:pt idx="254">
                  <c:v>96.417031127283195</c:v>
                </c:pt>
                <c:pt idx="255">
                  <c:v>96.481219785011405</c:v>
                </c:pt>
                <c:pt idx="256">
                  <c:v>96.554147052707293</c:v>
                </c:pt>
                <c:pt idx="257">
                  <c:v>96.615394011506197</c:v>
                </c:pt>
                <c:pt idx="258">
                  <c:v>96.685098678952698</c:v>
                </c:pt>
                <c:pt idx="259">
                  <c:v>96.7417877935099</c:v>
                </c:pt>
                <c:pt idx="260">
                  <c:v>96.803938581385097</c:v>
                </c:pt>
                <c:pt idx="261">
                  <c:v>96.861658526857894</c:v>
                </c:pt>
                <c:pt idx="262">
                  <c:v>96.901093872704294</c:v>
                </c:pt>
                <c:pt idx="263">
                  <c:v>96.956479589021797</c:v>
                </c:pt>
                <c:pt idx="264">
                  <c:v>97.006132523328802</c:v>
                </c:pt>
                <c:pt idx="265">
                  <c:v>97.046723163872102</c:v>
                </c:pt>
                <c:pt idx="266">
                  <c:v>97.1007025819262</c:v>
                </c:pt>
                <c:pt idx="267">
                  <c:v>97.148813163737003</c:v>
                </c:pt>
                <c:pt idx="268">
                  <c:v>97.190584403677406</c:v>
                </c:pt>
                <c:pt idx="269">
                  <c:v>97.237467888119596</c:v>
                </c:pt>
                <c:pt idx="270">
                  <c:v>97.272839614082599</c:v>
                </c:pt>
                <c:pt idx="271">
                  <c:v>97.318617029481203</c:v>
                </c:pt>
                <c:pt idx="272">
                  <c:v>97.363426822029993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834304"/>
        <c:axId val="504854784"/>
      </c:lineChart>
      <c:dateAx>
        <c:axId val="504834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4854784"/>
        <c:crosses val="autoZero"/>
        <c:auto val="1"/>
        <c:lblOffset val="100"/>
        <c:baseTimeUnit val="months"/>
      </c:dateAx>
      <c:valAx>
        <c:axId val="5048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834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[FNMA_cov_refi_eligible.xlsx]use bucket match!PivotTable6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 bucket match'!$H$3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'use bucket match'!$G$4:$G$277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'use bucket match'!$H$4:$H$277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89.974651473287395</c:v>
                </c:pt>
                <c:pt idx="228">
                  <c:v>87.844728598366004</c:v>
                </c:pt>
                <c:pt idx="229">
                  <c:v>85.618183557124496</c:v>
                </c:pt>
                <c:pt idx="230">
                  <c:v>84.380104512596802</c:v>
                </c:pt>
                <c:pt idx="231">
                  <c:v>82.674152145397002</c:v>
                </c:pt>
                <c:pt idx="232">
                  <c:v>80.572176750309694</c:v>
                </c:pt>
                <c:pt idx="233">
                  <c:v>78.428680378496296</c:v>
                </c:pt>
                <c:pt idx="234">
                  <c:v>76.125049448351305</c:v>
                </c:pt>
                <c:pt idx="235">
                  <c:v>74.079782525962401</c:v>
                </c:pt>
                <c:pt idx="236">
                  <c:v>72.329571310516798</c:v>
                </c:pt>
                <c:pt idx="237">
                  <c:v>70.8048737579186</c:v>
                </c:pt>
                <c:pt idx="238">
                  <c:v>69.578707759217593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50144"/>
        <c:axId val="148151680"/>
      </c:lineChart>
      <c:catAx>
        <c:axId val="148150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151680"/>
        <c:crosses val="autoZero"/>
        <c:auto val="1"/>
        <c:lblAlgn val="ctr"/>
        <c:lblOffset val="100"/>
        <c:noMultiLvlLbl val="0"/>
      </c:catAx>
      <c:valAx>
        <c:axId val="14815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15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[FNMA_cov_refi_eligible.xlsx]fix2013!PivotTable6</c:name>
    <c:fmtId val="5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'fix2013'!$H$3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'fix2013'!$G$4:$G$277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'fix2013'!$H$4:$H$277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87.206397262218601</c:v>
                </c:pt>
                <c:pt idx="228">
                  <c:v>87.581728598102302</c:v>
                </c:pt>
                <c:pt idx="229">
                  <c:v>87.890819877352897</c:v>
                </c:pt>
                <c:pt idx="230">
                  <c:v>88.636215734976602</c:v>
                </c:pt>
                <c:pt idx="231">
                  <c:v>89.303044106109994</c:v>
                </c:pt>
                <c:pt idx="232">
                  <c:v>89.905355137437894</c:v>
                </c:pt>
                <c:pt idx="233">
                  <c:v>90.122580548364397</c:v>
                </c:pt>
                <c:pt idx="234">
                  <c:v>90.337691241577502</c:v>
                </c:pt>
                <c:pt idx="235">
                  <c:v>90.554171247270403</c:v>
                </c:pt>
                <c:pt idx="236">
                  <c:v>90.536166746404206</c:v>
                </c:pt>
                <c:pt idx="237">
                  <c:v>90.485561744629294</c:v>
                </c:pt>
                <c:pt idx="238">
                  <c:v>90.469069760377593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405952"/>
        <c:axId val="311407744"/>
      </c:lineChart>
      <c:catAx>
        <c:axId val="311405952"/>
        <c:scaling>
          <c:orientation val="minMax"/>
        </c:scaling>
        <c:delete val="0"/>
        <c:axPos val="b"/>
        <c:majorTickMark val="out"/>
        <c:minorTickMark val="none"/>
        <c:tickLblPos val="nextTo"/>
        <c:crossAx val="311407744"/>
        <c:crosses val="autoZero"/>
        <c:auto val="1"/>
        <c:lblAlgn val="ctr"/>
        <c:lblOffset val="100"/>
        <c:noMultiLvlLbl val="0"/>
      </c:catAx>
      <c:valAx>
        <c:axId val="3114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405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[FNMA_cov_refi_eligible.xlsx]cltv_fico elig!PivotTable7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'cltv_fico elig'!$H$3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'cltv_fico elig'!$G$4:$G$277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'cltv_fico elig'!$H$4:$H$277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80.821942854971596</c:v>
                </c:pt>
                <c:pt idx="29">
                  <c:v>82.763683403138103</c:v>
                </c:pt>
                <c:pt idx="30">
                  <c:v>83.040137733673703</c:v>
                </c:pt>
                <c:pt idx="31">
                  <c:v>83.1321369032527</c:v>
                </c:pt>
                <c:pt idx="32">
                  <c:v>83.372932505342106</c:v>
                </c:pt>
                <c:pt idx="33">
                  <c:v>83.498884941472198</c:v>
                </c:pt>
                <c:pt idx="34">
                  <c:v>83.591681801590994</c:v>
                </c:pt>
                <c:pt idx="35">
                  <c:v>83.855799120108401</c:v>
                </c:pt>
                <c:pt idx="36">
                  <c:v>84.035551529129094</c:v>
                </c:pt>
                <c:pt idx="37">
                  <c:v>84.280331178005696</c:v>
                </c:pt>
                <c:pt idx="38">
                  <c:v>84.3483510556715</c:v>
                </c:pt>
                <c:pt idx="39">
                  <c:v>84.457331440352505</c:v>
                </c:pt>
                <c:pt idx="40">
                  <c:v>84.624932354684105</c:v>
                </c:pt>
                <c:pt idx="41">
                  <c:v>84.741930733665598</c:v>
                </c:pt>
                <c:pt idx="42">
                  <c:v>84.869677951046398</c:v>
                </c:pt>
                <c:pt idx="43">
                  <c:v>85.000403888003206</c:v>
                </c:pt>
                <c:pt idx="44">
                  <c:v>85.261564786079205</c:v>
                </c:pt>
                <c:pt idx="45">
                  <c:v>85.488595568113794</c:v>
                </c:pt>
                <c:pt idx="46">
                  <c:v>85.732646670895903</c:v>
                </c:pt>
                <c:pt idx="47">
                  <c:v>85.916772511190402</c:v>
                </c:pt>
                <c:pt idx="48">
                  <c:v>86.073193776107303</c:v>
                </c:pt>
                <c:pt idx="49">
                  <c:v>86.304900534006705</c:v>
                </c:pt>
                <c:pt idx="50">
                  <c:v>86.678304028485002</c:v>
                </c:pt>
                <c:pt idx="51">
                  <c:v>87.039574346980004</c:v>
                </c:pt>
                <c:pt idx="52">
                  <c:v>87.343849904654306</c:v>
                </c:pt>
                <c:pt idx="53">
                  <c:v>87.598838500133795</c:v>
                </c:pt>
                <c:pt idx="54">
                  <c:v>87.788635868933795</c:v>
                </c:pt>
                <c:pt idx="55">
                  <c:v>87.999499864576293</c:v>
                </c:pt>
                <c:pt idx="56">
                  <c:v>88.182062951470598</c:v>
                </c:pt>
                <c:pt idx="57">
                  <c:v>88.316940229701004</c:v>
                </c:pt>
                <c:pt idx="58">
                  <c:v>88.502381318728396</c:v>
                </c:pt>
                <c:pt idx="59">
                  <c:v>88.699348068777098</c:v>
                </c:pt>
                <c:pt idx="60">
                  <c:v>88.8290600576115</c:v>
                </c:pt>
                <c:pt idx="61">
                  <c:v>88.916750724973795</c:v>
                </c:pt>
                <c:pt idx="62">
                  <c:v>89.022511910610902</c:v>
                </c:pt>
                <c:pt idx="63">
                  <c:v>89.087276980426793</c:v>
                </c:pt>
                <c:pt idx="64">
                  <c:v>89.183970079397497</c:v>
                </c:pt>
                <c:pt idx="65">
                  <c:v>89.252668809369197</c:v>
                </c:pt>
                <c:pt idx="66">
                  <c:v>89.334416538184101</c:v>
                </c:pt>
                <c:pt idx="67">
                  <c:v>89.385212427030496</c:v>
                </c:pt>
                <c:pt idx="68">
                  <c:v>89.423143180167799</c:v>
                </c:pt>
                <c:pt idx="69">
                  <c:v>89.417570983946703</c:v>
                </c:pt>
                <c:pt idx="70">
                  <c:v>89.440207313354904</c:v>
                </c:pt>
                <c:pt idx="71">
                  <c:v>89.454106293303099</c:v>
                </c:pt>
                <c:pt idx="72">
                  <c:v>89.469219142162103</c:v>
                </c:pt>
                <c:pt idx="73">
                  <c:v>89.437017794823106</c:v>
                </c:pt>
                <c:pt idx="74">
                  <c:v>89.420227761991001</c:v>
                </c:pt>
                <c:pt idx="75">
                  <c:v>89.389606417202302</c:v>
                </c:pt>
                <c:pt idx="76">
                  <c:v>89.378029575305007</c:v>
                </c:pt>
                <c:pt idx="77">
                  <c:v>89.359996593194793</c:v>
                </c:pt>
                <c:pt idx="78">
                  <c:v>89.356468625789006</c:v>
                </c:pt>
                <c:pt idx="79">
                  <c:v>89.359803550265099</c:v>
                </c:pt>
                <c:pt idx="80">
                  <c:v>89.347997273322704</c:v>
                </c:pt>
                <c:pt idx="81">
                  <c:v>89.329065844258906</c:v>
                </c:pt>
                <c:pt idx="82">
                  <c:v>89.311412246293202</c:v>
                </c:pt>
                <c:pt idx="83">
                  <c:v>89.1957191773012</c:v>
                </c:pt>
                <c:pt idx="84">
                  <c:v>89.162986222519294</c:v>
                </c:pt>
                <c:pt idx="85">
                  <c:v>89.142333278132398</c:v>
                </c:pt>
                <c:pt idx="86">
                  <c:v>89.061908440722306</c:v>
                </c:pt>
                <c:pt idx="87">
                  <c:v>89.0083794947694</c:v>
                </c:pt>
                <c:pt idx="88">
                  <c:v>88.951361810687303</c:v>
                </c:pt>
                <c:pt idx="89">
                  <c:v>88.881959879658197</c:v>
                </c:pt>
                <c:pt idx="90">
                  <c:v>88.786114814314999</c:v>
                </c:pt>
                <c:pt idx="91">
                  <c:v>88.714591239844296</c:v>
                </c:pt>
                <c:pt idx="92">
                  <c:v>88.606289030605197</c:v>
                </c:pt>
                <c:pt idx="93">
                  <c:v>88.513754292118705</c:v>
                </c:pt>
                <c:pt idx="94">
                  <c:v>88.418972093567106</c:v>
                </c:pt>
                <c:pt idx="95">
                  <c:v>88.277211055421702</c:v>
                </c:pt>
                <c:pt idx="96">
                  <c:v>88.176194043112901</c:v>
                </c:pt>
                <c:pt idx="97">
                  <c:v>88.077440995684597</c:v>
                </c:pt>
                <c:pt idx="98">
                  <c:v>87.981297556967803</c:v>
                </c:pt>
                <c:pt idx="99">
                  <c:v>87.865603598528097</c:v>
                </c:pt>
                <c:pt idx="100">
                  <c:v>87.767329522479102</c:v>
                </c:pt>
                <c:pt idx="101">
                  <c:v>87.669587927029895</c:v>
                </c:pt>
                <c:pt idx="102">
                  <c:v>87.581996200554499</c:v>
                </c:pt>
                <c:pt idx="103">
                  <c:v>87.473233839757697</c:v>
                </c:pt>
                <c:pt idx="104">
                  <c:v>87.382480191274695</c:v>
                </c:pt>
                <c:pt idx="105">
                  <c:v>87.287318973135598</c:v>
                </c:pt>
                <c:pt idx="106">
                  <c:v>87.223224297742604</c:v>
                </c:pt>
                <c:pt idx="107">
                  <c:v>87.208728162662098</c:v>
                </c:pt>
                <c:pt idx="108">
                  <c:v>87.207829897462602</c:v>
                </c:pt>
                <c:pt idx="109">
                  <c:v>87.200318656935593</c:v>
                </c:pt>
                <c:pt idx="110">
                  <c:v>87.194903421124906</c:v>
                </c:pt>
                <c:pt idx="111">
                  <c:v>86.822028233947506</c:v>
                </c:pt>
                <c:pt idx="112">
                  <c:v>86.707662911917595</c:v>
                </c:pt>
                <c:pt idx="113">
                  <c:v>86.715386817031998</c:v>
                </c:pt>
                <c:pt idx="114">
                  <c:v>86.7408824390386</c:v>
                </c:pt>
                <c:pt idx="115">
                  <c:v>86.768344664314498</c:v>
                </c:pt>
                <c:pt idx="116">
                  <c:v>86.771986438292302</c:v>
                </c:pt>
                <c:pt idx="117">
                  <c:v>86.794467093150601</c:v>
                </c:pt>
                <c:pt idx="118">
                  <c:v>86.7832101478364</c:v>
                </c:pt>
                <c:pt idx="119">
                  <c:v>86.666943621310693</c:v>
                </c:pt>
                <c:pt idx="120">
                  <c:v>86.673083350070499</c:v>
                </c:pt>
                <c:pt idx="121">
                  <c:v>86.7574822907156</c:v>
                </c:pt>
                <c:pt idx="122">
                  <c:v>86.829664718295902</c:v>
                </c:pt>
                <c:pt idx="123">
                  <c:v>86.896268672576298</c:v>
                </c:pt>
                <c:pt idx="124">
                  <c:v>86.982280720729406</c:v>
                </c:pt>
                <c:pt idx="125">
                  <c:v>87.086669810072706</c:v>
                </c:pt>
                <c:pt idx="126">
                  <c:v>87.197794988536401</c:v>
                </c:pt>
                <c:pt idx="127">
                  <c:v>87.294954903344902</c:v>
                </c:pt>
                <c:pt idx="128">
                  <c:v>87.398738831630595</c:v>
                </c:pt>
                <c:pt idx="129">
                  <c:v>87.490573576612306</c:v>
                </c:pt>
                <c:pt idx="130">
                  <c:v>87.595912266890906</c:v>
                </c:pt>
                <c:pt idx="131">
                  <c:v>87.702255846650701</c:v>
                </c:pt>
                <c:pt idx="132">
                  <c:v>87.782891469925502</c:v>
                </c:pt>
                <c:pt idx="133">
                  <c:v>87.864725341011805</c:v>
                </c:pt>
                <c:pt idx="134">
                  <c:v>87.182146888447804</c:v>
                </c:pt>
                <c:pt idx="135">
                  <c:v>87.242677015284499</c:v>
                </c:pt>
                <c:pt idx="136">
                  <c:v>87.285375769113003</c:v>
                </c:pt>
                <c:pt idx="137">
                  <c:v>88.158475861105103</c:v>
                </c:pt>
                <c:pt idx="138">
                  <c:v>88.261609674462704</c:v>
                </c:pt>
                <c:pt idx="139">
                  <c:v>88.379755043513299</c:v>
                </c:pt>
                <c:pt idx="140">
                  <c:v>88.485589927773702</c:v>
                </c:pt>
                <c:pt idx="141">
                  <c:v>88.574178978685296</c:v>
                </c:pt>
                <c:pt idx="142">
                  <c:v>88.642234664174396</c:v>
                </c:pt>
                <c:pt idx="143">
                  <c:v>88.725811162186204</c:v>
                </c:pt>
                <c:pt idx="144">
                  <c:v>88.766329729225802</c:v>
                </c:pt>
                <c:pt idx="145">
                  <c:v>88.831659693506495</c:v>
                </c:pt>
                <c:pt idx="146">
                  <c:v>88.886252852679306</c:v>
                </c:pt>
                <c:pt idx="147">
                  <c:v>88.956859180533598</c:v>
                </c:pt>
                <c:pt idx="148">
                  <c:v>89.010747427191703</c:v>
                </c:pt>
                <c:pt idx="149">
                  <c:v>89.039442511260305</c:v>
                </c:pt>
                <c:pt idx="150">
                  <c:v>89.0775214272863</c:v>
                </c:pt>
                <c:pt idx="151">
                  <c:v>89.102836407577897</c:v>
                </c:pt>
                <c:pt idx="152">
                  <c:v>89.129297411007201</c:v>
                </c:pt>
                <c:pt idx="153">
                  <c:v>89.154276982801704</c:v>
                </c:pt>
                <c:pt idx="154">
                  <c:v>89.170519162776998</c:v>
                </c:pt>
                <c:pt idx="155">
                  <c:v>89.179441335163006</c:v>
                </c:pt>
                <c:pt idx="156">
                  <c:v>89.201941488793096</c:v>
                </c:pt>
                <c:pt idx="157">
                  <c:v>89.246157653823801</c:v>
                </c:pt>
                <c:pt idx="158">
                  <c:v>89.256248179001503</c:v>
                </c:pt>
                <c:pt idx="159">
                  <c:v>89.257750509301005</c:v>
                </c:pt>
                <c:pt idx="160">
                  <c:v>89.250428295611101</c:v>
                </c:pt>
                <c:pt idx="161">
                  <c:v>89.206045580815299</c:v>
                </c:pt>
                <c:pt idx="162">
                  <c:v>89.1909846522137</c:v>
                </c:pt>
                <c:pt idx="163">
                  <c:v>89.178131002609703</c:v>
                </c:pt>
                <c:pt idx="164">
                  <c:v>89.105633373318497</c:v>
                </c:pt>
                <c:pt idx="165">
                  <c:v>89.046230349444997</c:v>
                </c:pt>
                <c:pt idx="166">
                  <c:v>88.991225932700502</c:v>
                </c:pt>
                <c:pt idx="167">
                  <c:v>88.935954525777007</c:v>
                </c:pt>
                <c:pt idx="168">
                  <c:v>88.882333577262699</c:v>
                </c:pt>
                <c:pt idx="169">
                  <c:v>88.875044473337994</c:v>
                </c:pt>
                <c:pt idx="170">
                  <c:v>88.844516276389697</c:v>
                </c:pt>
                <c:pt idx="171">
                  <c:v>88.896442962079306</c:v>
                </c:pt>
                <c:pt idx="172">
                  <c:v>88.996708470353298</c:v>
                </c:pt>
                <c:pt idx="173">
                  <c:v>89.124990262253704</c:v>
                </c:pt>
                <c:pt idx="174">
                  <c:v>89.209233099813304</c:v>
                </c:pt>
                <c:pt idx="175">
                  <c:v>89.288186823087401</c:v>
                </c:pt>
                <c:pt idx="176">
                  <c:v>89.404796194973002</c:v>
                </c:pt>
                <c:pt idx="177">
                  <c:v>89.464850069709101</c:v>
                </c:pt>
                <c:pt idx="178">
                  <c:v>89.555952831671206</c:v>
                </c:pt>
                <c:pt idx="179">
                  <c:v>89.675378124605999</c:v>
                </c:pt>
                <c:pt idx="180">
                  <c:v>89.743617780274306</c:v>
                </c:pt>
                <c:pt idx="181">
                  <c:v>89.865450047058502</c:v>
                </c:pt>
                <c:pt idx="182">
                  <c:v>90.112773689330695</c:v>
                </c:pt>
                <c:pt idx="183">
                  <c:v>90.269271386782407</c:v>
                </c:pt>
                <c:pt idx="184">
                  <c:v>90.260357422999604</c:v>
                </c:pt>
                <c:pt idx="185">
                  <c:v>90.437052803943502</c:v>
                </c:pt>
                <c:pt idx="186">
                  <c:v>90.620409447195101</c:v>
                </c:pt>
                <c:pt idx="187">
                  <c:v>90.739257821878297</c:v>
                </c:pt>
                <c:pt idx="188">
                  <c:v>90.844463902687494</c:v>
                </c:pt>
                <c:pt idx="189">
                  <c:v>90.929904723608601</c:v>
                </c:pt>
                <c:pt idx="190">
                  <c:v>91.004763922411996</c:v>
                </c:pt>
                <c:pt idx="191">
                  <c:v>91.062751989165704</c:v>
                </c:pt>
                <c:pt idx="192">
                  <c:v>91.1263761815365</c:v>
                </c:pt>
                <c:pt idx="193">
                  <c:v>91.187683050064294</c:v>
                </c:pt>
                <c:pt idx="194">
                  <c:v>91.308005096963896</c:v>
                </c:pt>
                <c:pt idx="195">
                  <c:v>91.573987618499501</c:v>
                </c:pt>
                <c:pt idx="196">
                  <c:v>91.789428207873996</c:v>
                </c:pt>
                <c:pt idx="197">
                  <c:v>91.880024590048706</c:v>
                </c:pt>
                <c:pt idx="198">
                  <c:v>91.946399438105203</c:v>
                </c:pt>
                <c:pt idx="199">
                  <c:v>92.010377615222794</c:v>
                </c:pt>
                <c:pt idx="200">
                  <c:v>92.1080853409441</c:v>
                </c:pt>
                <c:pt idx="201">
                  <c:v>92.205127782332497</c:v>
                </c:pt>
                <c:pt idx="202">
                  <c:v>92.292483085158295</c:v>
                </c:pt>
                <c:pt idx="203">
                  <c:v>92.396466917223407</c:v>
                </c:pt>
                <c:pt idx="204">
                  <c:v>92.483769027590895</c:v>
                </c:pt>
                <c:pt idx="205">
                  <c:v>92.557381531138702</c:v>
                </c:pt>
                <c:pt idx="206">
                  <c:v>92.637593980511497</c:v>
                </c:pt>
                <c:pt idx="207">
                  <c:v>92.703232333637999</c:v>
                </c:pt>
                <c:pt idx="208">
                  <c:v>92.754966118558301</c:v>
                </c:pt>
                <c:pt idx="209">
                  <c:v>92.808646324190505</c:v>
                </c:pt>
                <c:pt idx="210">
                  <c:v>92.863859149287293</c:v>
                </c:pt>
                <c:pt idx="211">
                  <c:v>92.934018823881104</c:v>
                </c:pt>
                <c:pt idx="212">
                  <c:v>92.997309214529594</c:v>
                </c:pt>
                <c:pt idx="213">
                  <c:v>93.065803089217596</c:v>
                </c:pt>
                <c:pt idx="214">
                  <c:v>93.141427067055403</c:v>
                </c:pt>
                <c:pt idx="215">
                  <c:v>93.243764657980705</c:v>
                </c:pt>
                <c:pt idx="216">
                  <c:v>93.297721115623602</c:v>
                </c:pt>
                <c:pt idx="217">
                  <c:v>93.354232699226301</c:v>
                </c:pt>
                <c:pt idx="218">
                  <c:v>93.408729632261398</c:v>
                </c:pt>
                <c:pt idx="219">
                  <c:v>93.501389412987294</c:v>
                </c:pt>
                <c:pt idx="220">
                  <c:v>93.560369380203099</c:v>
                </c:pt>
                <c:pt idx="221">
                  <c:v>93.6216860054693</c:v>
                </c:pt>
                <c:pt idx="222">
                  <c:v>93.712598658155201</c:v>
                </c:pt>
                <c:pt idx="223">
                  <c:v>93.807070748505197</c:v>
                </c:pt>
                <c:pt idx="224">
                  <c:v>93.901022145489407</c:v>
                </c:pt>
                <c:pt idx="225">
                  <c:v>93.966867300089703</c:v>
                </c:pt>
                <c:pt idx="226">
                  <c:v>94.081794626520505</c:v>
                </c:pt>
                <c:pt idx="227">
                  <c:v>94.145853447733302</c:v>
                </c:pt>
                <c:pt idx="228">
                  <c:v>94.162941557010001</c:v>
                </c:pt>
                <c:pt idx="229">
                  <c:v>94.179770843223494</c:v>
                </c:pt>
                <c:pt idx="230">
                  <c:v>94.201892944476896</c:v>
                </c:pt>
                <c:pt idx="231">
                  <c:v>94.224834494805606</c:v>
                </c:pt>
                <c:pt idx="232">
                  <c:v>94.253443709133506</c:v>
                </c:pt>
                <c:pt idx="233">
                  <c:v>94.282933916013903</c:v>
                </c:pt>
                <c:pt idx="234">
                  <c:v>94.310904509305203</c:v>
                </c:pt>
                <c:pt idx="235">
                  <c:v>94.352516660948098</c:v>
                </c:pt>
                <c:pt idx="236">
                  <c:v>94.396536566089594</c:v>
                </c:pt>
                <c:pt idx="237">
                  <c:v>94.434716270369904</c:v>
                </c:pt>
                <c:pt idx="238">
                  <c:v>94.479875659281802</c:v>
                </c:pt>
                <c:pt idx="239">
                  <c:v>94.512977252690803</c:v>
                </c:pt>
                <c:pt idx="240">
                  <c:v>94.543730206308098</c:v>
                </c:pt>
                <c:pt idx="241">
                  <c:v>94.5707894416432</c:v>
                </c:pt>
                <c:pt idx="242">
                  <c:v>94.595555952406897</c:v>
                </c:pt>
                <c:pt idx="243">
                  <c:v>94.623150275185907</c:v>
                </c:pt>
                <c:pt idx="244">
                  <c:v>94.653873259857505</c:v>
                </c:pt>
                <c:pt idx="245">
                  <c:v>94.680404329064302</c:v>
                </c:pt>
                <c:pt idx="246">
                  <c:v>94.715952580970296</c:v>
                </c:pt>
                <c:pt idx="247">
                  <c:v>94.743650334846194</c:v>
                </c:pt>
                <c:pt idx="248">
                  <c:v>94.768032188296999</c:v>
                </c:pt>
                <c:pt idx="249">
                  <c:v>94.800108102504794</c:v>
                </c:pt>
                <c:pt idx="250">
                  <c:v>94.822967566256494</c:v>
                </c:pt>
                <c:pt idx="251">
                  <c:v>94.850521875906097</c:v>
                </c:pt>
                <c:pt idx="252">
                  <c:v>94.8712172635352</c:v>
                </c:pt>
                <c:pt idx="253">
                  <c:v>94.894233213169201</c:v>
                </c:pt>
                <c:pt idx="254">
                  <c:v>94.911210699303894</c:v>
                </c:pt>
                <c:pt idx="255">
                  <c:v>94.923302541654394</c:v>
                </c:pt>
                <c:pt idx="256">
                  <c:v>94.958885315591601</c:v>
                </c:pt>
                <c:pt idx="257">
                  <c:v>94.972885642549699</c:v>
                </c:pt>
                <c:pt idx="258">
                  <c:v>94.990009733039699</c:v>
                </c:pt>
                <c:pt idx="259">
                  <c:v>95.006918838558207</c:v>
                </c:pt>
                <c:pt idx="260">
                  <c:v>95.023497061942507</c:v>
                </c:pt>
                <c:pt idx="261">
                  <c:v>95.044348410933296</c:v>
                </c:pt>
                <c:pt idx="262">
                  <c:v>95.065749337480995</c:v>
                </c:pt>
                <c:pt idx="263">
                  <c:v>95.091694581618995</c:v>
                </c:pt>
                <c:pt idx="264">
                  <c:v>95.114801743876299</c:v>
                </c:pt>
                <c:pt idx="265">
                  <c:v>95.142827724214897</c:v>
                </c:pt>
                <c:pt idx="266">
                  <c:v>95.165268755363797</c:v>
                </c:pt>
                <c:pt idx="267">
                  <c:v>95.183290229626294</c:v>
                </c:pt>
                <c:pt idx="268">
                  <c:v>95.200371237798606</c:v>
                </c:pt>
                <c:pt idx="269">
                  <c:v>95.239080189480703</c:v>
                </c:pt>
                <c:pt idx="270">
                  <c:v>95.251513231904397</c:v>
                </c:pt>
                <c:pt idx="271">
                  <c:v>95.268236501274103</c:v>
                </c:pt>
                <c:pt idx="272">
                  <c:v>95.280323870553204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537344"/>
        <c:axId val="278538880"/>
      </c:lineChart>
      <c:catAx>
        <c:axId val="27853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78538880"/>
        <c:crosses val="autoZero"/>
        <c:auto val="1"/>
        <c:lblAlgn val="ctr"/>
        <c:lblOffset val="100"/>
        <c:noMultiLvlLbl val="0"/>
      </c:catAx>
      <c:valAx>
        <c:axId val="2785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53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285749</xdr:colOff>
      <xdr:row>3</xdr:row>
      <xdr:rowOff>147636</xdr:rowOff>
    </xdr:from>
    <xdr:to>
      <xdr:col>19</xdr:col>
      <xdr:colOff>409574</xdr:colOff>
      <xdr:row>22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25</xdr:row>
      <xdr:rowOff>166687</xdr:rowOff>
    </xdr:from>
    <xdr:to>
      <xdr:col>19</xdr:col>
      <xdr:colOff>152400</xdr:colOff>
      <xdr:row>40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9</xdr:row>
      <xdr:rowOff>52387</xdr:rowOff>
    </xdr:from>
    <xdr:to>
      <xdr:col>19</xdr:col>
      <xdr:colOff>247650</xdr:colOff>
      <xdr:row>23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27</xdr:row>
      <xdr:rowOff>42862</xdr:rowOff>
    </xdr:from>
    <xdr:to>
      <xdr:col>19</xdr:col>
      <xdr:colOff>47625</xdr:colOff>
      <xdr:row>41</xdr:row>
      <xdr:rowOff>119062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24</xdr:row>
      <xdr:rowOff>138112</xdr:rowOff>
    </xdr:from>
    <xdr:to>
      <xdr:col>20</xdr:col>
      <xdr:colOff>304800</xdr:colOff>
      <xdr:row>39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9</xdr:row>
      <xdr:rowOff>52387</xdr:rowOff>
    </xdr:from>
    <xdr:to>
      <xdr:col>19</xdr:col>
      <xdr:colOff>247650</xdr:colOff>
      <xdr:row>23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27</xdr:row>
      <xdr:rowOff>42862</xdr:rowOff>
    </xdr:from>
    <xdr:to>
      <xdr:col>19</xdr:col>
      <xdr:colOff>47625</xdr:colOff>
      <xdr:row>41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7</xdr:row>
      <xdr:rowOff>52387</xdr:rowOff>
    </xdr:from>
    <xdr:to>
      <xdr:col>19</xdr:col>
      <xdr:colOff>19050</xdr:colOff>
      <xdr:row>21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209550</xdr:colOff>
      <xdr:row>1</xdr:row>
      <xdr:rowOff>28575</xdr:rowOff>
    </xdr:from>
    <xdr:to>
      <xdr:col>27</xdr:col>
      <xdr:colOff>526939</xdr:colOff>
      <xdr:row>15</xdr:row>
      <xdr:rowOff>117206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450" y="2190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17</xdr:row>
      <xdr:rowOff>142875</xdr:rowOff>
    </xdr:from>
    <xdr:to>
      <xdr:col>27</xdr:col>
      <xdr:colOff>526939</xdr:colOff>
      <xdr:row>32</xdr:row>
      <xdr:rowOff>41006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7450" y="33813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35</xdr:row>
      <xdr:rowOff>28575</xdr:rowOff>
    </xdr:from>
    <xdr:to>
      <xdr:col>27</xdr:col>
      <xdr:colOff>507889</xdr:colOff>
      <xdr:row>49</xdr:row>
      <xdr:rowOff>117206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6696075"/>
          <a:ext cx="4584589" cy="27556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7</xdr:row>
      <xdr:rowOff>52387</xdr:rowOff>
    </xdr:from>
    <xdr:to>
      <xdr:col>19</xdr:col>
      <xdr:colOff>19050</xdr:colOff>
      <xdr:row>21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209550</xdr:colOff>
      <xdr:row>1</xdr:row>
      <xdr:rowOff>28575</xdr:rowOff>
    </xdr:from>
    <xdr:to>
      <xdr:col>27</xdr:col>
      <xdr:colOff>526939</xdr:colOff>
      <xdr:row>15</xdr:row>
      <xdr:rowOff>117206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450" y="2190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17</xdr:row>
      <xdr:rowOff>142875</xdr:rowOff>
    </xdr:from>
    <xdr:to>
      <xdr:col>27</xdr:col>
      <xdr:colOff>526939</xdr:colOff>
      <xdr:row>32</xdr:row>
      <xdr:rowOff>41006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7450" y="33813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35</xdr:row>
      <xdr:rowOff>28575</xdr:rowOff>
    </xdr:from>
    <xdr:to>
      <xdr:col>27</xdr:col>
      <xdr:colOff>507889</xdr:colOff>
      <xdr:row>49</xdr:row>
      <xdr:rowOff>117206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6696075"/>
          <a:ext cx="4584589" cy="27556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4</xdr:row>
      <xdr:rowOff>138112</xdr:rowOff>
    </xdr:from>
    <xdr:to>
      <xdr:col>18</xdr:col>
      <xdr:colOff>209550</xdr:colOff>
      <xdr:row>19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26</xdr:col>
      <xdr:colOff>311293</xdr:colOff>
      <xdr:row>35</xdr:row>
      <xdr:rowOff>88631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73050" y="4000500"/>
          <a:ext cx="4578493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82.406605787037" createdVersion="4" refreshedVersion="4" minRefreshableVersion="3" recordCount="505">
  <cacheSource type="worksheet">
    <worksheetSource ref="U1:Y506" sheet="conventional_refi_elig-old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0" maxValue="168793"/>
    </cacheField>
    <cacheField name="sum(p.schamBalance)" numFmtId="0">
      <sharedItems containsSemiMixedTypes="0" containsString="0" containsNumber="1" minValue="45118402.759999998" maxValue="1301137589406.99"/>
    </cacheField>
    <cacheField name="wavg_pct_conventional_eligible" numFmtId="0">
      <sharedItems containsSemiMixedTypes="0" containsString="0" containsNumber="1" minValue="0" maxValue="99.9445100524263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82.422909143519" createdVersion="4" refreshedVersion="4" minRefreshableVersion="3" recordCount="510">
  <cacheSource type="worksheet">
    <worksheetSource ref="A1:E511" sheet="conventional_refi_elig-old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wavg_pct_conventional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82.581084027777" createdVersion="4" refreshedVersion="4" minRefreshableVersion="3" recordCount="511">
  <cacheSource type="worksheet">
    <worksheetSource ref="A1:E1048576" sheet="loan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wavg_pct_conventional_eligible" numFmtId="0">
      <sharedItems containsBlank="1" containsMixedTypes="1" containsNumber="1" minValue="0" maxValue="99.9860636811322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683.44581435185" createdVersion="4" refreshedVersion="4" minRefreshableVersion="3" recordCount="510">
  <cacheSource type="worksheet">
    <worksheetSource ref="A1:E511" sheet="cltv_fico elig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294972"/>
    </cacheField>
    <cacheField name="sum(p.schamBalance)" numFmtId="0">
      <sharedItems containsSemiMixedTypes="0" containsString="0" containsNumber="1" minValue="12238945.18" maxValue="1936230379188.45"/>
    </cacheField>
    <cacheField name="percent_eligible_fico" numFmtId="0">
      <sharedItems containsMixedTypes="1" containsNumber="1" minValue="80.82194285497159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683.506031828707" createdVersion="4" refreshedVersion="4" minRefreshableVersion="3" recordCount="510">
  <cacheSource type="worksheet">
    <worksheetSource ref="A1:E511" sheet="remove q2min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conventional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683.509312847222" createdVersion="4" refreshedVersion="4" minRefreshableVersion="3" recordCount="511">
  <cacheSource type="worksheet">
    <worksheetSource ref="A1:E1048576" sheet="use bucket match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conventional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683.509474768522" createdVersion="4" refreshedVersion="4" minRefreshableVersion="3" recordCount="511">
  <cacheSource type="worksheet">
    <worksheetSource ref="A1:E1048576" sheet="fix2013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conventional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683.510142708335" createdVersion="4" refreshedVersion="4" minRefreshableVersion="3" recordCount="510">
  <cacheSource type="worksheet">
    <worksheetSource ref="A1:E511" sheet="conventional_refi_elig-new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conventional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5">
  <r>
    <x v="0"/>
    <x v="0"/>
    <n v="47564"/>
    <n v="179363030607.07999"/>
    <n v="99.042895214577996"/>
  </r>
  <r>
    <x v="0"/>
    <x v="1"/>
    <n v="48770"/>
    <n v="182676426202.38"/>
    <n v="98.728419570533603"/>
  </r>
  <r>
    <x v="0"/>
    <x v="2"/>
    <n v="50054"/>
    <n v="187173844372.01001"/>
    <n v="98.420927368044502"/>
  </r>
  <r>
    <x v="0"/>
    <x v="3"/>
    <n v="53319"/>
    <n v="198257625256.20999"/>
    <n v="97.681204158137106"/>
  </r>
  <r>
    <x v="0"/>
    <x v="4"/>
    <n v="54110"/>
    <n v="200679192483.73001"/>
    <n v="97.503899032269402"/>
  </r>
  <r>
    <x v="0"/>
    <x v="5"/>
    <n v="54835"/>
    <n v="202941258365.22"/>
    <n v="97.356954680509801"/>
  </r>
  <r>
    <x v="0"/>
    <x v="6"/>
    <n v="55530"/>
    <n v="205226671396.57999"/>
    <n v="97.202262614290007"/>
  </r>
  <r>
    <x v="0"/>
    <x v="7"/>
    <n v="56108"/>
    <n v="206975112252.98001"/>
    <n v="97.077694471307694"/>
  </r>
  <r>
    <x v="0"/>
    <x v="8"/>
    <n v="56529"/>
    <n v="207753709014.57999"/>
    <n v="96.978984565132095"/>
  </r>
  <r>
    <x v="0"/>
    <x v="9"/>
    <n v="56894"/>
    <n v="208406182510.07001"/>
    <n v="96.901214384948005"/>
  </r>
  <r>
    <x v="0"/>
    <x v="10"/>
    <n v="57294"/>
    <n v="209359181505.28"/>
    <n v="96.797930004529704"/>
  </r>
  <r>
    <x v="0"/>
    <x v="11"/>
    <n v="57702"/>
    <n v="210444667091.82001"/>
    <n v="96.704603715331203"/>
  </r>
  <r>
    <x v="0"/>
    <x v="12"/>
    <n v="58144"/>
    <n v="212078601432.42001"/>
    <n v="96.580893265796803"/>
  </r>
  <r>
    <x v="0"/>
    <x v="13"/>
    <n v="58699"/>
    <n v="214086172771.07001"/>
    <n v="96.415450831963796"/>
  </r>
  <r>
    <x v="0"/>
    <x v="14"/>
    <n v="59299"/>
    <n v="215985123514.95001"/>
    <n v="96.289993664180201"/>
  </r>
  <r>
    <x v="0"/>
    <x v="15"/>
    <n v="59982"/>
    <n v="218637993872.20999"/>
    <n v="96.140167177683495"/>
  </r>
  <r>
    <x v="0"/>
    <x v="16"/>
    <n v="60798"/>
    <n v="220537691305.53"/>
    <n v="96.0699306058102"/>
  </r>
  <r>
    <x v="0"/>
    <x v="17"/>
    <n v="61701"/>
    <n v="223537636405.35001"/>
    <n v="95.970004992844295"/>
  </r>
  <r>
    <x v="0"/>
    <x v="18"/>
    <n v="62672"/>
    <n v="229405456728.67999"/>
    <n v="95.719948288162598"/>
  </r>
  <r>
    <x v="0"/>
    <x v="19"/>
    <n v="63520"/>
    <n v="235258720640.07999"/>
    <n v="95.454564179037803"/>
  </r>
  <r>
    <x v="0"/>
    <x v="20"/>
    <n v="64356"/>
    <n v="239238384049.14999"/>
    <n v="95.309097276227803"/>
  </r>
  <r>
    <x v="0"/>
    <x v="21"/>
    <n v="65235"/>
    <n v="242924225298.66"/>
    <n v="95.207580805184193"/>
  </r>
  <r>
    <x v="0"/>
    <x v="22"/>
    <n v="66160"/>
    <n v="247706198611.98999"/>
    <n v="95.068968282893394"/>
  </r>
  <r>
    <x v="0"/>
    <x v="23"/>
    <n v="67083"/>
    <n v="252451222078.59"/>
    <n v="94.9282536272312"/>
  </r>
  <r>
    <x v="0"/>
    <x v="24"/>
    <n v="68019"/>
    <n v="258576610453.45001"/>
    <n v="94.718777649845606"/>
  </r>
  <r>
    <x v="0"/>
    <x v="25"/>
    <n v="68897"/>
    <n v="263680566665.75"/>
    <n v="94.517617836355498"/>
  </r>
  <r>
    <x v="0"/>
    <x v="26"/>
    <n v="69782"/>
    <n v="266531739812.85999"/>
    <n v="94.433956535743107"/>
  </r>
  <r>
    <x v="0"/>
    <x v="27"/>
    <n v="70524"/>
    <n v="269946338845.72"/>
    <n v="94.279860937165907"/>
  </r>
  <r>
    <x v="0"/>
    <x v="28"/>
    <n v="71320"/>
    <n v="275359751202.96997"/>
    <n v="94.046836234387399"/>
  </r>
  <r>
    <x v="0"/>
    <x v="29"/>
    <n v="72068"/>
    <n v="279116219901"/>
    <n v="93.902239936808499"/>
  </r>
  <r>
    <x v="0"/>
    <x v="30"/>
    <n v="72680"/>
    <n v="282696691198.75"/>
    <n v="93.747279131194702"/>
  </r>
  <r>
    <x v="0"/>
    <x v="31"/>
    <n v="73401"/>
    <n v="286599324454.46997"/>
    <n v="93.619053387659307"/>
  </r>
  <r>
    <x v="0"/>
    <x v="32"/>
    <n v="74137"/>
    <n v="289245055308.17999"/>
    <n v="93.540671648384404"/>
  </r>
  <r>
    <x v="0"/>
    <x v="33"/>
    <n v="76146"/>
    <n v="305558806072.76001"/>
    <n v="92.993150188481806"/>
  </r>
  <r>
    <x v="0"/>
    <x v="34"/>
    <n v="76726"/>
    <n v="308203632776.14001"/>
    <n v="92.902874572158197"/>
  </r>
  <r>
    <x v="0"/>
    <x v="35"/>
    <n v="77198"/>
    <n v="310466649017.64001"/>
    <n v="92.824520228906394"/>
  </r>
  <r>
    <x v="0"/>
    <x v="36"/>
    <n v="77710"/>
    <n v="312256914058.41998"/>
    <n v="92.753503587986103"/>
  </r>
  <r>
    <x v="0"/>
    <x v="37"/>
    <n v="78238"/>
    <n v="315317531887.77002"/>
    <n v="92.644354738794206"/>
  </r>
  <r>
    <x v="0"/>
    <x v="38"/>
    <n v="78728"/>
    <n v="318968926684.46997"/>
    <n v="92.511880458717599"/>
  </r>
  <r>
    <x v="0"/>
    <x v="39"/>
    <n v="79279"/>
    <n v="322889944513.82001"/>
    <n v="92.416946943406799"/>
  </r>
  <r>
    <x v="0"/>
    <x v="40"/>
    <n v="79818"/>
    <n v="326223233406.87"/>
    <n v="92.332196161286404"/>
  </r>
  <r>
    <x v="0"/>
    <x v="41"/>
    <n v="80470"/>
    <n v="331462404329.59998"/>
    <n v="92.248022386213506"/>
  </r>
  <r>
    <x v="0"/>
    <x v="42"/>
    <n v="81105"/>
    <n v="335920440468.38"/>
    <n v="92.112657381390605"/>
  </r>
  <r>
    <x v="0"/>
    <x v="43"/>
    <n v="81826"/>
    <n v="341078292801.59998"/>
    <n v="92.025928040633204"/>
  </r>
  <r>
    <x v="0"/>
    <x v="44"/>
    <n v="82571"/>
    <n v="342377531652.5"/>
    <n v="92.053310665430601"/>
  </r>
  <r>
    <x v="0"/>
    <x v="45"/>
    <n v="83367"/>
    <n v="347235598262.58002"/>
    <n v="92.022991506954199"/>
  </r>
  <r>
    <x v="0"/>
    <x v="46"/>
    <n v="84285"/>
    <n v="356844623340.15997"/>
    <n v="91.853457612590503"/>
  </r>
  <r>
    <x v="0"/>
    <x v="47"/>
    <n v="85347"/>
    <n v="363989269831.03998"/>
    <n v="91.768115515667404"/>
  </r>
  <r>
    <x v="0"/>
    <x v="48"/>
    <n v="86333"/>
    <n v="369967952529.34998"/>
    <n v="91.673935599984702"/>
  </r>
  <r>
    <x v="0"/>
    <x v="49"/>
    <n v="87205"/>
    <n v="377339687889.40997"/>
    <n v="91.570922345367805"/>
  </r>
  <r>
    <x v="0"/>
    <x v="50"/>
    <n v="88347"/>
    <n v="386367453157.35999"/>
    <n v="91.517389801174403"/>
  </r>
  <r>
    <x v="0"/>
    <x v="51"/>
    <n v="89353"/>
    <n v="391655603963.95001"/>
    <n v="91.533661788427906"/>
  </r>
  <r>
    <x v="0"/>
    <x v="52"/>
    <n v="90394"/>
    <n v="395905188008.88"/>
    <n v="91.556802230438095"/>
  </r>
  <r>
    <x v="0"/>
    <x v="53"/>
    <n v="91404"/>
    <n v="405477226088.94"/>
    <n v="91.394038464355305"/>
  </r>
  <r>
    <x v="0"/>
    <x v="54"/>
    <n v="92421"/>
    <n v="415987868538.75"/>
    <n v="91.248054735348205"/>
  </r>
  <r>
    <x v="0"/>
    <x v="55"/>
    <n v="93582"/>
    <n v="423029711253.54999"/>
    <n v="91.173404727319095"/>
  </r>
  <r>
    <x v="0"/>
    <x v="56"/>
    <n v="94621"/>
    <n v="428789332116.60999"/>
    <n v="91.060510110117306"/>
  </r>
  <r>
    <x v="0"/>
    <x v="57"/>
    <n v="95673"/>
    <n v="435071002275.32001"/>
    <n v="91.029735352678102"/>
  </r>
  <r>
    <x v="0"/>
    <x v="58"/>
    <n v="96985"/>
    <n v="445844508849.51001"/>
    <n v="90.935961074470796"/>
  </r>
  <r>
    <x v="0"/>
    <x v="59"/>
    <n v="98319"/>
    <n v="454861367864.41998"/>
    <n v="90.868151897523106"/>
  </r>
  <r>
    <x v="0"/>
    <x v="60"/>
    <n v="99372"/>
    <n v="462596813374.56"/>
    <n v="90.754331103109195"/>
  </r>
  <r>
    <x v="0"/>
    <x v="61"/>
    <n v="100290"/>
    <n v="469015767726"/>
    <n v="90.676781769290997"/>
  </r>
  <r>
    <x v="0"/>
    <x v="62"/>
    <n v="101048"/>
    <n v="474446604497.37"/>
    <n v="90.592704865297094"/>
  </r>
  <r>
    <x v="0"/>
    <x v="63"/>
    <n v="101791"/>
    <n v="478953183452.09003"/>
    <n v="90.543650668260398"/>
  </r>
  <r>
    <x v="0"/>
    <x v="64"/>
    <n v="102667"/>
    <n v="483684933728.44"/>
    <n v="90.473341946825997"/>
  </r>
  <r>
    <x v="0"/>
    <x v="65"/>
    <n v="103263"/>
    <n v="486113274951.03003"/>
    <n v="90.423566343701395"/>
  </r>
  <r>
    <x v="0"/>
    <x v="66"/>
    <n v="103797"/>
    <n v="488977501585.98999"/>
    <n v="90.377949021028996"/>
  </r>
  <r>
    <x v="0"/>
    <x v="67"/>
    <n v="104272"/>
    <n v="490954239429.84998"/>
    <n v="90.341587928600504"/>
  </r>
  <r>
    <x v="0"/>
    <x v="68"/>
    <n v="105024"/>
    <n v="496915801152.44"/>
    <n v="90.2613194844985"/>
  </r>
  <r>
    <x v="0"/>
    <x v="69"/>
    <n v="105571"/>
    <n v="498826947779.83002"/>
    <n v="90.239260897534606"/>
  </r>
  <r>
    <x v="0"/>
    <x v="70"/>
    <n v="106181"/>
    <n v="501711977650.15002"/>
    <n v="90.216704589250398"/>
  </r>
  <r>
    <x v="0"/>
    <x v="71"/>
    <n v="106663"/>
    <n v="503601588836.79999"/>
    <n v="90.1989728595277"/>
  </r>
  <r>
    <x v="0"/>
    <x v="72"/>
    <n v="107411"/>
    <n v="509012244894.96002"/>
    <n v="90.135844691138104"/>
  </r>
  <r>
    <x v="0"/>
    <x v="73"/>
    <n v="108179"/>
    <n v="513375798865.76001"/>
    <n v="90.0693507160873"/>
  </r>
  <r>
    <x v="0"/>
    <x v="74"/>
    <n v="108954"/>
    <n v="516317525107.78998"/>
    <n v="90.038224217183696"/>
  </r>
  <r>
    <x v="0"/>
    <x v="75"/>
    <n v="109821"/>
    <n v="523779386580.96997"/>
    <n v="89.960264842197205"/>
  </r>
  <r>
    <x v="0"/>
    <x v="76"/>
    <n v="110829"/>
    <n v="531358236787.52002"/>
    <n v="89.896320553078198"/>
  </r>
  <r>
    <x v="0"/>
    <x v="77"/>
    <n v="111769"/>
    <n v="538792043173.23999"/>
    <n v="89.815054683417799"/>
  </r>
  <r>
    <x v="0"/>
    <x v="78"/>
    <n v="112641"/>
    <n v="546830986491.85999"/>
    <n v="89.729976201419205"/>
  </r>
  <r>
    <x v="0"/>
    <x v="79"/>
    <n v="113547"/>
    <n v="556066207294.38"/>
    <n v="89.657215563622103"/>
  </r>
  <r>
    <x v="0"/>
    <x v="80"/>
    <n v="114381"/>
    <n v="562845782479.48999"/>
    <n v="89.581547750311501"/>
  </r>
  <r>
    <x v="0"/>
    <x v="81"/>
    <n v="115151"/>
    <n v="569916218919.31006"/>
    <n v="89.512842821269302"/>
  </r>
  <r>
    <x v="0"/>
    <x v="82"/>
    <n v="116096"/>
    <n v="575572661918.26001"/>
    <n v="89.472957018569602"/>
  </r>
  <r>
    <x v="0"/>
    <x v="83"/>
    <n v="117279"/>
    <n v="583145358940.57996"/>
    <n v="89.407079481689493"/>
  </r>
  <r>
    <x v="0"/>
    <x v="84"/>
    <n v="118507"/>
    <n v="593312179640.43005"/>
    <n v="89.316474945363396"/>
  </r>
  <r>
    <x v="0"/>
    <x v="85"/>
    <n v="119874"/>
    <n v="606812462774.06006"/>
    <n v="89.195932581922193"/>
  </r>
  <r>
    <x v="0"/>
    <x v="86"/>
    <n v="121171"/>
    <n v="618799228411.14001"/>
    <n v="89.046337871782796"/>
  </r>
  <r>
    <x v="0"/>
    <x v="87"/>
    <n v="122185"/>
    <n v="628849014233.57996"/>
    <n v="88.943319036077895"/>
  </r>
  <r>
    <x v="0"/>
    <x v="88"/>
    <n v="123147"/>
    <n v="638526972099.47998"/>
    <n v="88.838842962308107"/>
  </r>
  <r>
    <x v="0"/>
    <x v="89"/>
    <n v="124010"/>
    <n v="646314044955.62"/>
    <n v="88.759627121752104"/>
  </r>
  <r>
    <x v="0"/>
    <x v="90"/>
    <n v="124916"/>
    <n v="652589172511.04004"/>
    <n v="88.672003146288404"/>
  </r>
  <r>
    <x v="0"/>
    <x v="91"/>
    <n v="125971"/>
    <n v="656492839778.71997"/>
    <n v="88.573531157356697"/>
  </r>
  <r>
    <x v="0"/>
    <x v="92"/>
    <n v="126553"/>
    <n v="656259616015.84998"/>
    <n v="88.466004535635307"/>
  </r>
  <r>
    <x v="0"/>
    <x v="93"/>
    <n v="127090"/>
    <n v="662583566000.98999"/>
    <n v="88.306155213092495"/>
  </r>
  <r>
    <x v="0"/>
    <x v="94"/>
    <n v="127653"/>
    <n v="667885573629.41003"/>
    <n v="88.165854670543595"/>
  </r>
  <r>
    <x v="0"/>
    <x v="95"/>
    <n v="128365"/>
    <n v="674912607661.43994"/>
    <n v="88.038684248769897"/>
  </r>
  <r>
    <x v="0"/>
    <x v="96"/>
    <n v="128864"/>
    <n v="678135240839.68994"/>
    <n v="87.917018505683401"/>
  </r>
  <r>
    <x v="0"/>
    <x v="97"/>
    <n v="129402"/>
    <n v="683021748027.76001"/>
    <n v="87.796318491509297"/>
  </r>
  <r>
    <x v="0"/>
    <x v="98"/>
    <n v="129983"/>
    <n v="688071679304.38"/>
    <n v="87.677245123366006"/>
  </r>
  <r>
    <x v="0"/>
    <x v="99"/>
    <n v="130654"/>
    <n v="691163348256.39001"/>
    <n v="87.582967421811901"/>
  </r>
  <r>
    <x v="0"/>
    <x v="100"/>
    <n v="131312"/>
    <n v="688880072829.19995"/>
    <n v="87.512331924893999"/>
  </r>
  <r>
    <x v="0"/>
    <x v="101"/>
    <n v="131946"/>
    <n v="689252606557.81006"/>
    <n v="87.485744139592001"/>
  </r>
  <r>
    <x v="0"/>
    <x v="102"/>
    <n v="132496"/>
    <n v="678097657626.62"/>
    <n v="87.445232638571099"/>
  </r>
  <r>
    <x v="0"/>
    <x v="103"/>
    <n v="133145"/>
    <n v="672793627639.87"/>
    <n v="87.370538177379203"/>
  </r>
  <r>
    <x v="0"/>
    <x v="104"/>
    <n v="133403"/>
    <n v="656324799128.56006"/>
    <n v="87.3587896847515"/>
  </r>
  <r>
    <x v="0"/>
    <x v="105"/>
    <n v="133505"/>
    <n v="640698935655.10999"/>
    <n v="87.366862250795293"/>
  </r>
  <r>
    <x v="0"/>
    <x v="106"/>
    <n v="133637"/>
    <n v="636174006378.37"/>
    <n v="87.3665003726084"/>
  </r>
  <r>
    <x v="0"/>
    <x v="107"/>
    <n v="133620"/>
    <n v="622260662224.34998"/>
    <n v="87.440175577590793"/>
  </r>
  <r>
    <x v="0"/>
    <x v="108"/>
    <n v="133473"/>
    <n v="605904419338.96997"/>
    <n v="87.534653803241099"/>
  </r>
  <r>
    <x v="0"/>
    <x v="109"/>
    <n v="133321"/>
    <n v="593661864481.67004"/>
    <n v="87.5949123058287"/>
  </r>
  <r>
    <x v="0"/>
    <x v="110"/>
    <n v="133256"/>
    <n v="585595617223.56995"/>
    <n v="87.705258310248198"/>
  </r>
  <r>
    <x v="0"/>
    <x v="111"/>
    <n v="133073"/>
    <n v="578187329736.79004"/>
    <n v="87.755743416356694"/>
  </r>
  <r>
    <x v="0"/>
    <x v="112"/>
    <n v="132622"/>
    <n v="572848994581.45996"/>
    <n v="87.868978262737997"/>
  </r>
  <r>
    <x v="0"/>
    <x v="113"/>
    <n v="132115"/>
    <n v="579944340289.91003"/>
    <n v="87.942381246075001"/>
  </r>
  <r>
    <x v="0"/>
    <x v="114"/>
    <n v="131772"/>
    <n v="581881065707.89001"/>
    <n v="88.050881062194804"/>
  </r>
  <r>
    <x v="0"/>
    <x v="115"/>
    <n v="131683"/>
    <n v="587420024491.28003"/>
    <n v="88.084074147928803"/>
  </r>
  <r>
    <x v="0"/>
    <x v="116"/>
    <n v="131603"/>
    <n v="590492237003.89001"/>
    <n v="88.105767536891705"/>
  </r>
  <r>
    <x v="0"/>
    <x v="117"/>
    <n v="131664"/>
    <n v="593861198662.73999"/>
    <n v="88.134375617136001"/>
  </r>
  <r>
    <x v="0"/>
    <x v="118"/>
    <n v="131886"/>
    <n v="596477677222.82996"/>
    <n v="88.221138612025896"/>
  </r>
  <r>
    <x v="0"/>
    <x v="119"/>
    <n v="132088"/>
    <n v="597338404698.09998"/>
    <n v="88.2796976810329"/>
  </r>
  <r>
    <x v="0"/>
    <x v="120"/>
    <n v="132101"/>
    <n v="596273856729.08997"/>
    <n v="88.359195659260095"/>
  </r>
  <r>
    <x v="0"/>
    <x v="121"/>
    <n v="131952"/>
    <n v="601439464147.39001"/>
    <n v="88.386130968417604"/>
  </r>
  <r>
    <x v="0"/>
    <x v="122"/>
    <n v="131955"/>
    <n v="605197029837.21997"/>
    <n v="88.444880925534704"/>
  </r>
  <r>
    <x v="0"/>
    <x v="123"/>
    <n v="132161"/>
    <n v="608460652302.93994"/>
    <n v="88.531840576166104"/>
  </r>
  <r>
    <x v="0"/>
    <x v="124"/>
    <n v="132303"/>
    <n v="611155921112.51001"/>
    <n v="88.591423485742794"/>
  </r>
  <r>
    <x v="0"/>
    <x v="125"/>
    <n v="132433"/>
    <n v="614809241512.60999"/>
    <n v="88.652693025769906"/>
  </r>
  <r>
    <x v="0"/>
    <x v="126"/>
    <n v="132687"/>
    <n v="617441892380.83997"/>
    <n v="88.723270104119905"/>
  </r>
  <r>
    <x v="0"/>
    <x v="127"/>
    <n v="133092"/>
    <n v="623960122239.18994"/>
    <n v="88.829845686075501"/>
  </r>
  <r>
    <x v="0"/>
    <x v="128"/>
    <n v="133292"/>
    <n v="627455382401.26001"/>
    <n v="88.875416801239993"/>
  </r>
  <r>
    <x v="0"/>
    <x v="129"/>
    <n v="133606"/>
    <n v="630345840465.95996"/>
    <n v="88.930022726333107"/>
  </r>
  <r>
    <x v="0"/>
    <x v="130"/>
    <n v="133977"/>
    <n v="636404653411.88"/>
    <n v="89.072123444957199"/>
  </r>
  <r>
    <x v="0"/>
    <x v="131"/>
    <n v="134400"/>
    <n v="643943974637.40002"/>
    <n v="89.125361401376196"/>
  </r>
  <r>
    <x v="0"/>
    <x v="132"/>
    <n v="134739"/>
    <n v="653230277414.80005"/>
    <n v="89.198205762551396"/>
  </r>
  <r>
    <x v="0"/>
    <x v="133"/>
    <n v="135194"/>
    <n v="662672623504.70996"/>
    <n v="89.254039252913302"/>
  </r>
  <r>
    <x v="0"/>
    <x v="134"/>
    <n v="135445"/>
    <n v="669529147077.09998"/>
    <n v="89.285574490843004"/>
  </r>
  <r>
    <x v="0"/>
    <x v="135"/>
    <n v="135930"/>
    <n v="681084316958.28003"/>
    <n v="89.348688696911395"/>
  </r>
  <r>
    <x v="0"/>
    <x v="136"/>
    <n v="136354"/>
    <n v="696083136095.84998"/>
    <n v="89.338391137991394"/>
  </r>
  <r>
    <x v="0"/>
    <x v="137"/>
    <n v="136807"/>
    <n v="709909508509.60999"/>
    <n v="89.370147218990098"/>
  </r>
  <r>
    <x v="0"/>
    <x v="138"/>
    <n v="137306"/>
    <n v="723313661090.52002"/>
    <n v="89.395771016600804"/>
  </r>
  <r>
    <x v="0"/>
    <x v="139"/>
    <n v="137944"/>
    <n v="737066180148.85999"/>
    <n v="89.406108931294"/>
  </r>
  <r>
    <x v="0"/>
    <x v="140"/>
    <n v="138515"/>
    <n v="750813136411.38"/>
    <n v="89.475207292258503"/>
  </r>
  <r>
    <x v="0"/>
    <x v="141"/>
    <n v="139200"/>
    <n v="762936156844.35999"/>
    <n v="89.538278655785604"/>
  </r>
  <r>
    <x v="0"/>
    <x v="142"/>
    <n v="139672"/>
    <n v="773774501099.78003"/>
    <n v="89.622606212205895"/>
  </r>
  <r>
    <x v="0"/>
    <x v="143"/>
    <n v="140122"/>
    <n v="784425698830.51001"/>
    <n v="89.707410139325304"/>
  </r>
  <r>
    <x v="0"/>
    <x v="144"/>
    <n v="140435"/>
    <n v="793859723461.93005"/>
    <n v="89.775199167466297"/>
  </r>
  <r>
    <x v="0"/>
    <x v="145"/>
    <n v="140872"/>
    <n v="804148796324.16003"/>
    <n v="89.784352669818205"/>
  </r>
  <r>
    <x v="0"/>
    <x v="146"/>
    <n v="141261"/>
    <n v="815623297124.84998"/>
    <n v="89.808847866585197"/>
  </r>
  <r>
    <x v="0"/>
    <x v="147"/>
    <n v="141782"/>
    <n v="829173302149.54004"/>
    <n v="88.564265133633199"/>
  </r>
  <r>
    <x v="0"/>
    <x v="148"/>
    <n v="142240"/>
    <n v="841370417123.65002"/>
    <n v="88.718118200961499"/>
  </r>
  <r>
    <x v="0"/>
    <x v="149"/>
    <n v="142710"/>
    <n v="852239587713.02002"/>
    <n v="89.030330750412503"/>
  </r>
  <r>
    <x v="0"/>
    <x v="150"/>
    <n v="143157"/>
    <n v="860737627696.97998"/>
    <n v="89.182762274168795"/>
  </r>
  <r>
    <x v="0"/>
    <x v="151"/>
    <n v="143792"/>
    <n v="875234917686.55005"/>
    <n v="88.634563936587895"/>
  </r>
  <r>
    <x v="0"/>
    <x v="152"/>
    <n v="144232"/>
    <n v="886289398566.56006"/>
    <n v="88.964771030614202"/>
  </r>
  <r>
    <x v="0"/>
    <x v="153"/>
    <n v="144924"/>
    <n v="902939742411.02002"/>
    <n v="88.573890165799995"/>
  </r>
  <r>
    <x v="0"/>
    <x v="154"/>
    <n v="145734"/>
    <n v="918275700682.27002"/>
    <n v="88.946012579693601"/>
  </r>
  <r>
    <x v="0"/>
    <x v="155"/>
    <n v="146420"/>
    <n v="931301394201.87"/>
    <n v="89.210969925319404"/>
  </r>
  <r>
    <x v="0"/>
    <x v="156"/>
    <n v="147268"/>
    <n v="945955296949.02002"/>
    <n v="89.130691751235801"/>
  </r>
  <r>
    <x v="0"/>
    <x v="157"/>
    <n v="147991"/>
    <n v="959167890179.53003"/>
    <n v="89.148915748873307"/>
  </r>
  <r>
    <x v="0"/>
    <x v="158"/>
    <n v="148654"/>
    <n v="970630930715.02002"/>
    <n v="89.2053193621758"/>
  </r>
  <r>
    <x v="0"/>
    <x v="159"/>
    <n v="149639"/>
    <n v="986147711440.53003"/>
    <n v="88.788227667979001"/>
  </r>
  <r>
    <x v="0"/>
    <x v="160"/>
    <n v="150721"/>
    <n v="1004291168943.65"/>
    <n v="88.179894004947499"/>
  </r>
  <r>
    <x v="0"/>
    <x v="161"/>
    <n v="151639"/>
    <n v="1018333619421.8199"/>
    <n v="88.304705206090802"/>
  </r>
  <r>
    <x v="0"/>
    <x v="162"/>
    <n v="152735"/>
    <n v="1036838440902.78"/>
    <n v="87.372890547298596"/>
  </r>
  <r>
    <x v="0"/>
    <x v="163"/>
    <n v="153907"/>
    <n v="1052366455361.34"/>
    <n v="86.832632177839699"/>
  </r>
  <r>
    <x v="0"/>
    <x v="164"/>
    <n v="155038"/>
    <n v="1067631591501.37"/>
    <n v="85.933940565323198"/>
  </r>
  <r>
    <x v="0"/>
    <x v="165"/>
    <n v="156626"/>
    <n v="1090932032300.9399"/>
    <n v="84.496594313225401"/>
  </r>
  <r>
    <x v="0"/>
    <x v="166"/>
    <n v="157658"/>
    <n v="1107233950410.77"/>
    <n v="83.974665526216796"/>
  </r>
  <r>
    <x v="0"/>
    <x v="167"/>
    <n v="158547"/>
    <n v="1121120060633.95"/>
    <n v="83.610002496999201"/>
  </r>
  <r>
    <x v="1"/>
    <x v="168"/>
    <n v="19"/>
    <n v="159670015.94"/>
    <n v="0"/>
  </r>
  <r>
    <x v="0"/>
    <x v="168"/>
    <n v="159524"/>
    <n v="1139760532494.3999"/>
    <n v="83.097793218180598"/>
  </r>
  <r>
    <x v="0"/>
    <x v="169"/>
    <n v="160395"/>
    <n v="1155479201809.6499"/>
    <n v="82.942590170169595"/>
  </r>
  <r>
    <x v="1"/>
    <x v="169"/>
    <n v="45"/>
    <n v="377180050.56"/>
    <n v="42.119929599864598"/>
  </r>
  <r>
    <x v="0"/>
    <x v="170"/>
    <n v="160920"/>
    <n v="1162237411975.8501"/>
    <n v="83.144668466178601"/>
  </r>
  <r>
    <x v="1"/>
    <x v="170"/>
    <n v="64"/>
    <n v="621719851.95000005"/>
    <n v="60.122757490694902"/>
  </r>
  <r>
    <x v="0"/>
    <x v="171"/>
    <n v="161444"/>
    <n v="1169648700447.6899"/>
    <n v="82.566955120590407"/>
  </r>
  <r>
    <x v="1"/>
    <x v="171"/>
    <n v="67"/>
    <n v="763960929.25999999"/>
    <n v="79.783714081361495"/>
  </r>
  <r>
    <x v="1"/>
    <x v="172"/>
    <n v="70"/>
    <n v="816348629.33000004"/>
    <n v="91.771076836217702"/>
  </r>
  <r>
    <x v="0"/>
    <x v="172"/>
    <n v="161942"/>
    <n v="1177642747130.49"/>
    <n v="81.530228230536295"/>
  </r>
  <r>
    <x v="1"/>
    <x v="173"/>
    <n v="77"/>
    <n v="962156457.99000001"/>
    <n v="82.232448724014404"/>
  </r>
  <r>
    <x v="0"/>
    <x v="173"/>
    <n v="162223"/>
    <n v="1179818682767.8101"/>
    <n v="80.856974699732703"/>
  </r>
  <r>
    <x v="1"/>
    <x v="174"/>
    <n v="81"/>
    <n v="1017133767.9"/>
    <n v="89.066136226014095"/>
  </r>
  <r>
    <x v="0"/>
    <x v="174"/>
    <n v="162431"/>
    <n v="1183521139367"/>
    <n v="79.525922663337795"/>
  </r>
  <r>
    <x v="0"/>
    <x v="175"/>
    <n v="162775"/>
    <n v="1188990414254.24"/>
    <n v="79.398809719351206"/>
  </r>
  <r>
    <x v="1"/>
    <x v="175"/>
    <n v="85"/>
    <n v="1108598255.4400001"/>
    <n v="85.808275657088402"/>
  </r>
  <r>
    <x v="1"/>
    <x v="176"/>
    <n v="91"/>
    <n v="1144655203.8699999"/>
    <n v="90.794467484456206"/>
  </r>
  <r>
    <x v="0"/>
    <x v="176"/>
    <n v="162938"/>
    <n v="1191848545477.6299"/>
    <n v="79.286047607884299"/>
  </r>
  <r>
    <x v="1"/>
    <x v="177"/>
    <n v="96"/>
    <n v="1143216587.29"/>
    <n v="87.700123203874099"/>
  </r>
  <r>
    <x v="0"/>
    <x v="177"/>
    <n v="163109"/>
    <n v="1197686583453.0601"/>
    <n v="78.1909227294354"/>
  </r>
  <r>
    <x v="1"/>
    <x v="178"/>
    <n v="98"/>
    <n v="1120084797.3399999"/>
    <n v="89.949782080477902"/>
  </r>
  <r>
    <x v="0"/>
    <x v="178"/>
    <n v="163376"/>
    <n v="1214626480567.3601"/>
    <n v="77.135811256494094"/>
  </r>
  <r>
    <x v="0"/>
    <x v="179"/>
    <n v="163443"/>
    <n v="1227123431334.01"/>
    <n v="81.529181186328401"/>
  </r>
  <r>
    <x v="1"/>
    <x v="179"/>
    <n v="98"/>
    <n v="1078894527.97"/>
    <n v="93.309958174271202"/>
  </r>
  <r>
    <x v="0"/>
    <x v="180"/>
    <n v="163569"/>
    <n v="1234260438018.73"/>
    <n v="81.829110816029598"/>
  </r>
  <r>
    <x v="1"/>
    <x v="180"/>
    <n v="97"/>
    <n v="1032952441.29"/>
    <n v="94.329684344444303"/>
  </r>
  <r>
    <x v="0"/>
    <x v="181"/>
    <n v="163728"/>
    <n v="1252730272086.4099"/>
    <n v="82.089385010872107"/>
  </r>
  <r>
    <x v="1"/>
    <x v="181"/>
    <n v="97"/>
    <n v="993378509.11000001"/>
    <n v="94.500896259131295"/>
  </r>
  <r>
    <x v="0"/>
    <x v="182"/>
    <n v="163836"/>
    <n v="1257643264164.9099"/>
    <n v="80.710360837649702"/>
  </r>
  <r>
    <x v="1"/>
    <x v="182"/>
    <n v="96"/>
    <n v="946099456.75999999"/>
    <n v="94.600701479889807"/>
  </r>
  <r>
    <x v="0"/>
    <x v="183"/>
    <n v="163936"/>
    <n v="1270454083140.21"/>
    <n v="80.355194371457799"/>
  </r>
  <r>
    <x v="1"/>
    <x v="183"/>
    <n v="95"/>
    <n v="886300040.11000001"/>
    <n v="94.631190531473493"/>
  </r>
  <r>
    <x v="0"/>
    <x v="184"/>
    <n v="164180"/>
    <n v="1279191968274.55"/>
    <n v="81.121073009494395"/>
  </r>
  <r>
    <x v="1"/>
    <x v="184"/>
    <n v="95"/>
    <n v="853173864.62"/>
    <n v="94.861776775081296"/>
  </r>
  <r>
    <x v="0"/>
    <x v="185"/>
    <n v="164194"/>
    <n v="1284380337007.78"/>
    <n v="81.405729345510593"/>
  </r>
  <r>
    <x v="1"/>
    <x v="185"/>
    <n v="95"/>
    <n v="819680231.34000003"/>
    <n v="94.761692442637198"/>
  </r>
  <r>
    <x v="0"/>
    <x v="186"/>
    <n v="164264"/>
    <n v="1288288962785.8999"/>
    <n v="81.256492700093105"/>
  </r>
  <r>
    <x v="1"/>
    <x v="186"/>
    <n v="94"/>
    <n v="778771901.41999996"/>
    <n v="95.311391113334693"/>
  </r>
  <r>
    <x v="2"/>
    <x v="186"/>
    <n v="10"/>
    <n v="45118402.759999998"/>
    <n v="0"/>
  </r>
  <r>
    <x v="0"/>
    <x v="187"/>
    <n v="164394"/>
    <n v="1297203353258.1899"/>
    <n v="80.607655597803699"/>
  </r>
  <r>
    <x v="1"/>
    <x v="187"/>
    <n v="94"/>
    <n v="730740246.76999998"/>
    <n v="94.441780561717707"/>
  </r>
  <r>
    <x v="2"/>
    <x v="187"/>
    <n v="26"/>
    <n v="140467044.28999999"/>
    <n v="0"/>
  </r>
  <r>
    <x v="0"/>
    <x v="188"/>
    <n v="164392"/>
    <n v="1297037709626.45"/>
    <n v="80.858173325298793"/>
  </r>
  <r>
    <x v="1"/>
    <x v="188"/>
    <n v="93"/>
    <n v="671519986.54999995"/>
    <n v="94.091863495437096"/>
  </r>
  <r>
    <x v="2"/>
    <x v="188"/>
    <n v="44"/>
    <n v="281456661.47000003"/>
    <n v="0"/>
  </r>
  <r>
    <x v="0"/>
    <x v="189"/>
    <n v="164479"/>
    <n v="1301137589406.99"/>
    <n v="80.688325183506706"/>
  </r>
  <r>
    <x v="1"/>
    <x v="189"/>
    <n v="91"/>
    <n v="636390695.32000005"/>
    <n v="93.286035674223299"/>
  </r>
  <r>
    <x v="2"/>
    <x v="189"/>
    <n v="70"/>
    <n v="451475286.89999998"/>
    <n v="0"/>
  </r>
  <r>
    <x v="0"/>
    <x v="190"/>
    <n v="163886"/>
    <n v="1262938911927.99"/>
    <n v="82.712785590828005"/>
  </r>
  <r>
    <x v="1"/>
    <x v="190"/>
    <n v="91"/>
    <n v="595742034.61000001"/>
    <n v="94.439038778371398"/>
  </r>
  <r>
    <x v="2"/>
    <x v="190"/>
    <n v="91"/>
    <n v="640592685.88999999"/>
    <n v="0"/>
  </r>
  <r>
    <x v="0"/>
    <x v="191"/>
    <n v="163874"/>
    <n v="1257357437789.02"/>
    <n v="83.669291888756803"/>
  </r>
  <r>
    <x v="1"/>
    <x v="191"/>
    <n v="89"/>
    <n v="561587271.51999998"/>
    <n v="95.412627845836298"/>
  </r>
  <r>
    <x v="2"/>
    <x v="191"/>
    <n v="116"/>
    <n v="873082912.89999998"/>
    <n v="0"/>
  </r>
  <r>
    <x v="0"/>
    <x v="192"/>
    <n v="163779"/>
    <n v="1253270914369.1101"/>
    <n v="84.256320909696697"/>
  </r>
  <r>
    <x v="1"/>
    <x v="192"/>
    <n v="88"/>
    <n v="531420686.00999999"/>
    <n v="95.882148713498395"/>
  </r>
  <r>
    <x v="2"/>
    <x v="192"/>
    <n v="138"/>
    <n v="1088381162.51"/>
    <n v="0"/>
  </r>
  <r>
    <x v="0"/>
    <x v="193"/>
    <n v="163766"/>
    <n v="1254208414913.27"/>
    <n v="84.2012687282716"/>
  </r>
  <r>
    <x v="1"/>
    <x v="193"/>
    <n v="88"/>
    <n v="501401912.05000001"/>
    <n v="95.791473480934201"/>
  </r>
  <r>
    <x v="2"/>
    <x v="193"/>
    <n v="164"/>
    <n v="1322702870.9300001"/>
    <n v="1.4680136810656099E-2"/>
  </r>
  <r>
    <x v="0"/>
    <x v="194"/>
    <n v="163753"/>
    <n v="1251134507397.9399"/>
    <n v="85.217780490202998"/>
  </r>
  <r>
    <x v="1"/>
    <x v="194"/>
    <n v="87"/>
    <n v="476695460.79000002"/>
    <n v="95.088699859153493"/>
  </r>
  <r>
    <x v="2"/>
    <x v="194"/>
    <n v="188"/>
    <n v="1562566788.21"/>
    <n v="1.23682262757799E-2"/>
  </r>
  <r>
    <x v="0"/>
    <x v="195"/>
    <n v="163755"/>
    <n v="1244762156873.8799"/>
    <n v="84.960859500027794"/>
  </r>
  <r>
    <x v="1"/>
    <x v="195"/>
    <n v="86"/>
    <n v="436910763.93000001"/>
    <n v="94.495036628756594"/>
  </r>
  <r>
    <x v="2"/>
    <x v="195"/>
    <n v="209"/>
    <n v="1800028459.5"/>
    <n v="1.0690036488948E-2"/>
  </r>
  <r>
    <x v="0"/>
    <x v="196"/>
    <n v="163816"/>
    <n v="1235982569471.3701"/>
    <n v="84.494608585388306"/>
  </r>
  <r>
    <x v="1"/>
    <x v="196"/>
    <n v="86"/>
    <n v="406964949.51999998"/>
    <n v="94.237925825942696"/>
  </r>
  <r>
    <x v="2"/>
    <x v="196"/>
    <n v="241"/>
    <n v="2289490119.9400001"/>
    <n v="8.3949060120441493E-3"/>
  </r>
  <r>
    <x v="0"/>
    <x v="197"/>
    <n v="163859"/>
    <n v="1222216237246.51"/>
    <n v="83.969399568588898"/>
  </r>
  <r>
    <x v="1"/>
    <x v="197"/>
    <n v="84"/>
    <n v="376322526.51999998"/>
    <n v="93.467704644358406"/>
  </r>
  <r>
    <x v="2"/>
    <x v="197"/>
    <n v="276"/>
    <n v="2545033047.27"/>
    <n v="0"/>
  </r>
  <r>
    <x v="0"/>
    <x v="198"/>
    <n v="164017"/>
    <n v="1208603766164.51"/>
    <n v="83.401335674412394"/>
  </r>
  <r>
    <x v="1"/>
    <x v="198"/>
    <n v="83"/>
    <n v="351522994.73000002"/>
    <n v="89.871677552961899"/>
  </r>
  <r>
    <x v="2"/>
    <x v="198"/>
    <n v="306"/>
    <n v="3126217292.7199998"/>
    <n v="1.7304933075535E-2"/>
  </r>
  <r>
    <x v="0"/>
    <x v="199"/>
    <n v="164228"/>
    <n v="1194423645357.02"/>
    <n v="82.546708914877399"/>
  </r>
  <r>
    <x v="1"/>
    <x v="199"/>
    <n v="103"/>
    <n v="929665401.02999997"/>
    <n v="95.710697481386205"/>
  </r>
  <r>
    <x v="2"/>
    <x v="199"/>
    <n v="342"/>
    <n v="3903977995.2800002"/>
    <n v="1.9992912662357799E-2"/>
  </r>
  <r>
    <x v="0"/>
    <x v="200"/>
    <n v="164247"/>
    <n v="1182814575891.2"/>
    <n v="81.626731721387301"/>
  </r>
  <r>
    <x v="1"/>
    <x v="200"/>
    <n v="118"/>
    <n v="1352151537.6500001"/>
    <n v="96.987320397503197"/>
  </r>
  <r>
    <x v="2"/>
    <x v="200"/>
    <n v="383"/>
    <n v="4392867761.4399996"/>
    <n v="2.2008446972259298E-2"/>
  </r>
  <r>
    <x v="0"/>
    <x v="201"/>
    <n v="164474"/>
    <n v="1179826829308.1899"/>
    <n v="80.591345183582206"/>
  </r>
  <r>
    <x v="1"/>
    <x v="201"/>
    <n v="150"/>
    <n v="2662811185.9000001"/>
    <n v="98.021235874893904"/>
  </r>
  <r>
    <x v="2"/>
    <x v="201"/>
    <n v="430"/>
    <n v="5236503457.5500002"/>
    <n v="1.8180671735303799E-2"/>
  </r>
  <r>
    <x v="0"/>
    <x v="202"/>
    <n v="164558"/>
    <n v="1171068568311.46"/>
    <n v="81.383451680802295"/>
  </r>
  <r>
    <x v="1"/>
    <x v="202"/>
    <n v="171"/>
    <n v="3016647647.4899998"/>
    <n v="98.332384305455307"/>
  </r>
  <r>
    <x v="2"/>
    <x v="202"/>
    <n v="478"/>
    <n v="6136502654.7399998"/>
    <n v="9.9651305326601998E-3"/>
  </r>
  <r>
    <x v="0"/>
    <x v="203"/>
    <n v="164675"/>
    <n v="1165480717909.74"/>
    <n v="82.112441943039499"/>
  </r>
  <r>
    <x v="1"/>
    <x v="203"/>
    <n v="202"/>
    <n v="3576642912.5300002"/>
    <n v="98.541443984282097"/>
  </r>
  <r>
    <x v="2"/>
    <x v="203"/>
    <n v="523"/>
    <n v="6826056441.3299999"/>
    <n v="1.3204468597089101E-2"/>
  </r>
  <r>
    <x v="0"/>
    <x v="204"/>
    <n v="164807"/>
    <n v="1160574203603.98"/>
    <n v="82.773563669638705"/>
  </r>
  <r>
    <x v="1"/>
    <x v="204"/>
    <n v="231"/>
    <n v="4235834937.54"/>
    <n v="98.8479244664654"/>
  </r>
  <r>
    <x v="2"/>
    <x v="204"/>
    <n v="560"/>
    <n v="7337956247.75"/>
    <n v="1.5240157963477901E-2"/>
  </r>
  <r>
    <x v="0"/>
    <x v="205"/>
    <n v="164963"/>
    <n v="1157445015074.0801"/>
    <n v="83.256781286364301"/>
  </r>
  <r>
    <x v="1"/>
    <x v="205"/>
    <n v="269"/>
    <n v="5049498835.8699999"/>
    <n v="99.074400019917803"/>
  </r>
  <r>
    <x v="2"/>
    <x v="205"/>
    <n v="593"/>
    <n v="7947724964.54"/>
    <n v="1.5796638449210101E-2"/>
  </r>
  <r>
    <x v="0"/>
    <x v="206"/>
    <n v="165116"/>
    <n v="1150165536380.5701"/>
    <n v="81.746691137754596"/>
  </r>
  <r>
    <x v="1"/>
    <x v="206"/>
    <n v="308"/>
    <n v="5555396980.3400002"/>
    <n v="99.0462778090981"/>
  </r>
  <r>
    <x v="2"/>
    <x v="206"/>
    <n v="626"/>
    <n v="8459759606.9799995"/>
    <n v="2.3799698636280099E-2"/>
  </r>
  <r>
    <x v="0"/>
    <x v="207"/>
    <n v="165297"/>
    <n v="1145704754479.45"/>
    <n v="82.2390613467539"/>
  </r>
  <r>
    <x v="1"/>
    <x v="207"/>
    <n v="347"/>
    <n v="6013908013.3299999"/>
    <n v="99.174238525608999"/>
  </r>
  <r>
    <x v="2"/>
    <x v="207"/>
    <n v="659"/>
    <n v="9001686735.1800003"/>
    <n v="2.86317346310592E-2"/>
  </r>
  <r>
    <x v="0"/>
    <x v="208"/>
    <n v="165496"/>
    <n v="1139539896703.1399"/>
    <n v="82.080864733743397"/>
  </r>
  <r>
    <x v="1"/>
    <x v="208"/>
    <n v="375"/>
    <n v="6542546587.2600002"/>
    <n v="99.115497436838098"/>
  </r>
  <r>
    <x v="2"/>
    <x v="208"/>
    <n v="691"/>
    <n v="9553441938.6800003"/>
    <n v="2.6814300966882101E-2"/>
  </r>
  <r>
    <x v="0"/>
    <x v="209"/>
    <n v="165673"/>
    <n v="1128758317047.3601"/>
    <n v="81.852423434348395"/>
  </r>
  <r>
    <x v="1"/>
    <x v="209"/>
    <n v="420"/>
    <n v="7247325924.1400003"/>
    <n v="99.004683441545197"/>
  </r>
  <r>
    <x v="2"/>
    <x v="209"/>
    <n v="724"/>
    <n v="10014880248.950001"/>
    <n v="2.83866331939721E-2"/>
  </r>
  <r>
    <x v="0"/>
    <x v="210"/>
    <n v="165738"/>
    <n v="1112728336442.3301"/>
    <n v="81.548157829458106"/>
  </r>
  <r>
    <x v="1"/>
    <x v="210"/>
    <n v="454"/>
    <n v="7904105803.1999998"/>
    <n v="99.007416197473106"/>
  </r>
  <r>
    <x v="2"/>
    <x v="210"/>
    <n v="767"/>
    <n v="10531876819.25"/>
    <n v="3.58339762192618E-2"/>
  </r>
  <r>
    <x v="0"/>
    <x v="211"/>
    <n v="165766"/>
    <n v="1093080187579.58"/>
    <n v="81.498799908147802"/>
  </r>
  <r>
    <x v="1"/>
    <x v="211"/>
    <n v="477"/>
    <n v="8280081942.8999996"/>
    <n v="99.0759692780737"/>
  </r>
  <r>
    <x v="2"/>
    <x v="211"/>
    <n v="787"/>
    <n v="10704727601.450001"/>
    <n v="4.1563006489528299E-2"/>
  </r>
  <r>
    <x v="0"/>
    <x v="212"/>
    <n v="165773"/>
    <n v="1081410722063.79"/>
    <n v="81.497876487721797"/>
  </r>
  <r>
    <x v="1"/>
    <x v="212"/>
    <n v="506"/>
    <n v="9177240853.75"/>
    <n v="99.282855673337707"/>
  </r>
  <r>
    <x v="2"/>
    <x v="212"/>
    <n v="834"/>
    <n v="11647194164.32"/>
    <n v="4.1739207691561801E-2"/>
  </r>
  <r>
    <x v="0"/>
    <x v="213"/>
    <n v="165846"/>
    <n v="1078176456162.38"/>
    <n v="83.555137426507002"/>
  </r>
  <r>
    <x v="1"/>
    <x v="213"/>
    <n v="540"/>
    <n v="9860695193.4599991"/>
    <n v="99.530770946316494"/>
  </r>
  <r>
    <x v="2"/>
    <x v="213"/>
    <n v="875"/>
    <n v="12353958514.68"/>
    <n v="5.8641665689093903E-2"/>
  </r>
  <r>
    <x v="0"/>
    <x v="214"/>
    <n v="166147"/>
    <n v="1067086710288.16"/>
    <n v="85.274448613203703"/>
  </r>
  <r>
    <x v="1"/>
    <x v="214"/>
    <n v="588"/>
    <n v="10790895341.790001"/>
    <n v="99.620032202120498"/>
  </r>
  <r>
    <x v="2"/>
    <x v="214"/>
    <n v="946"/>
    <n v="13940030057.889999"/>
    <n v="7.8093842029927293E-2"/>
  </r>
  <r>
    <x v="0"/>
    <x v="215"/>
    <n v="166315"/>
    <n v="1052985823369.1899"/>
    <n v="86.899179529213797"/>
  </r>
  <r>
    <x v="1"/>
    <x v="215"/>
    <n v="623"/>
    <n v="11097007614.959999"/>
    <n v="99.765181577287606"/>
  </r>
  <r>
    <x v="2"/>
    <x v="215"/>
    <n v="1017"/>
    <n v="15124010719.23"/>
    <n v="0.21524919697116099"/>
  </r>
  <r>
    <x v="0"/>
    <x v="216"/>
    <n v="166481"/>
    <n v="1037553728529.5699"/>
    <n v="88.358118430418102"/>
  </r>
  <r>
    <x v="1"/>
    <x v="216"/>
    <n v="657"/>
    <n v="11616731956.02"/>
    <n v="99.821838612894197"/>
  </r>
  <r>
    <x v="2"/>
    <x v="216"/>
    <n v="1083"/>
    <n v="16232317795.49"/>
    <n v="0.62135935628817096"/>
  </r>
  <r>
    <x v="0"/>
    <x v="217"/>
    <n v="166552"/>
    <n v="1030696048023.48"/>
    <n v="89.075442212496498"/>
  </r>
  <r>
    <x v="1"/>
    <x v="217"/>
    <n v="691"/>
    <n v="12319469687.950001"/>
    <n v="99.834356583507599"/>
  </r>
  <r>
    <x v="2"/>
    <x v="217"/>
    <n v="1172"/>
    <n v="18410677468.970001"/>
    <n v="0.99215652199243698"/>
  </r>
  <r>
    <x v="3"/>
    <x v="217"/>
    <n v="127"/>
    <n v="6599126495.5600004"/>
    <n v="7.5902247083308003E-4"/>
  </r>
  <r>
    <x v="0"/>
    <x v="218"/>
    <n v="166715"/>
    <n v="1017753718361.05"/>
    <n v="89.648544080684104"/>
  </r>
  <r>
    <x v="1"/>
    <x v="218"/>
    <n v="712"/>
    <n v="12593084313.99"/>
    <n v="99.8234773032394"/>
  </r>
  <r>
    <x v="2"/>
    <x v="218"/>
    <n v="1275"/>
    <n v="20102928824.52"/>
    <n v="1.4186933588192701"/>
  </r>
  <r>
    <x v="3"/>
    <x v="218"/>
    <n v="218"/>
    <n v="8799458195.2600002"/>
    <n v="1.2254000044921299E-3"/>
  </r>
  <r>
    <x v="0"/>
    <x v="219"/>
    <n v="166950"/>
    <n v="1009008459381.01"/>
    <n v="90.203891343680894"/>
  </r>
  <r>
    <x v="1"/>
    <x v="219"/>
    <n v="739"/>
    <n v="12913045386.299999"/>
    <n v="99.846309453692697"/>
  </r>
  <r>
    <x v="2"/>
    <x v="219"/>
    <n v="1363"/>
    <n v="21601411805.599998"/>
    <n v="2.0007786388856599"/>
  </r>
  <r>
    <x v="3"/>
    <x v="219"/>
    <n v="315"/>
    <n v="10777885227.879999"/>
    <n v="9.8666237685402793E-4"/>
  </r>
  <r>
    <x v="0"/>
    <x v="220"/>
    <n v="167134"/>
    <n v="993395215390.30005"/>
    <n v="90.464662328033796"/>
  </r>
  <r>
    <x v="1"/>
    <x v="220"/>
    <n v="773"/>
    <n v="13621608844.34"/>
    <n v="99.858533560154797"/>
  </r>
  <r>
    <x v="2"/>
    <x v="220"/>
    <n v="1462"/>
    <n v="23066669892.529999"/>
    <n v="2.4697225959722302"/>
  </r>
  <r>
    <x v="3"/>
    <x v="220"/>
    <n v="415"/>
    <n v="12488997687"/>
    <n v="1.2671578661570999E-3"/>
  </r>
  <r>
    <x v="0"/>
    <x v="221"/>
    <n v="167513"/>
    <n v="988480773477.10999"/>
    <n v="90.760062693991202"/>
  </r>
  <r>
    <x v="1"/>
    <x v="221"/>
    <n v="804"/>
    <n v="14812827435.530001"/>
    <n v="99.872045172383906"/>
  </r>
  <r>
    <x v="2"/>
    <x v="221"/>
    <n v="1557"/>
    <n v="24335750350.360001"/>
    <n v="3.1372779561452599"/>
  </r>
  <r>
    <x v="3"/>
    <x v="221"/>
    <n v="509"/>
    <n v="13991619224.620001"/>
    <n v="1.04823838835553E-3"/>
  </r>
  <r>
    <x v="0"/>
    <x v="222"/>
    <n v="168029"/>
    <n v="987833006284.93005"/>
    <n v="90.930084526706196"/>
  </r>
  <r>
    <x v="1"/>
    <x v="222"/>
    <n v="842"/>
    <n v="16035308040.73"/>
    <n v="99.483287310120403"/>
  </r>
  <r>
    <x v="2"/>
    <x v="222"/>
    <n v="1683"/>
    <n v="26041761003.119999"/>
    <n v="3.8210535686917102"/>
  </r>
  <r>
    <x v="3"/>
    <x v="222"/>
    <n v="623"/>
    <n v="15791782055.450001"/>
    <n v="9.0953935019911201E-4"/>
  </r>
  <r>
    <x v="0"/>
    <x v="223"/>
    <n v="167997"/>
    <n v="972565007892.05005"/>
    <n v="91.4027863902608"/>
  </r>
  <r>
    <x v="1"/>
    <x v="223"/>
    <n v="864"/>
    <n v="15909947419.549999"/>
    <n v="99.9016990863811"/>
  </r>
  <r>
    <x v="2"/>
    <x v="223"/>
    <n v="1772"/>
    <n v="26882479097.080002"/>
    <n v="5.1989391776952401"/>
  </r>
  <r>
    <x v="3"/>
    <x v="223"/>
    <n v="707"/>
    <n v="16754712174.48"/>
    <n v="1.86682847089677E-3"/>
  </r>
  <r>
    <x v="0"/>
    <x v="224"/>
    <n v="168243"/>
    <n v="964648010655.91003"/>
    <n v="91.794949555672005"/>
  </r>
  <r>
    <x v="1"/>
    <x v="224"/>
    <n v="887"/>
    <n v="16552519980.950001"/>
    <n v="99.904648277784503"/>
  </r>
  <r>
    <x v="2"/>
    <x v="224"/>
    <n v="1884"/>
    <n v="28077568751.43"/>
    <n v="6.5347751439853496"/>
  </r>
  <r>
    <x v="3"/>
    <x v="224"/>
    <n v="803"/>
    <n v="17947136377.009998"/>
    <n v="2.7639721077421398E-3"/>
  </r>
  <r>
    <x v="0"/>
    <x v="225"/>
    <n v="168444"/>
    <n v="958178399344.89001"/>
    <n v="92.152731135910003"/>
  </r>
  <r>
    <x v="1"/>
    <x v="225"/>
    <n v="912"/>
    <n v="16936331787.6"/>
    <n v="99.909325158720605"/>
  </r>
  <r>
    <x v="2"/>
    <x v="225"/>
    <n v="2008"/>
    <n v="29255937245.25"/>
    <n v="8.1088326942774902"/>
  </r>
  <r>
    <x v="3"/>
    <x v="225"/>
    <n v="924"/>
    <n v="19179632548.990002"/>
    <n v="5.57034157771839E-3"/>
  </r>
  <r>
    <x v="0"/>
    <x v="226"/>
    <n v="168554"/>
    <n v="958767138252.81006"/>
    <n v="93.148803996602297"/>
  </r>
  <r>
    <x v="1"/>
    <x v="226"/>
    <n v="934"/>
    <n v="17827951977.950001"/>
    <n v="99.919267982206307"/>
  </r>
  <r>
    <x v="2"/>
    <x v="226"/>
    <n v="2143"/>
    <n v="30765495579.349998"/>
    <n v="12.035785241876599"/>
  </r>
  <r>
    <x v="3"/>
    <x v="226"/>
    <n v="1042"/>
    <n v="20590650800.080002"/>
    <n v="7.9561244432139796E-3"/>
  </r>
  <r>
    <x v="0"/>
    <x v="227"/>
    <n v="168497"/>
    <n v="956989567273.20996"/>
    <n v="94.001875479032904"/>
  </r>
  <r>
    <x v="1"/>
    <x v="227"/>
    <n v="954"/>
    <n v="17960790708.68"/>
    <n v="99.915426090496098"/>
  </r>
  <r>
    <x v="2"/>
    <x v="227"/>
    <n v="2261"/>
    <n v="32051219221.419998"/>
    <n v="16.115570723038498"/>
  </r>
  <r>
    <x v="3"/>
    <x v="227"/>
    <n v="1149"/>
    <n v="21763931987.459999"/>
    <n v="1.1839593648145399E-2"/>
  </r>
  <r>
    <x v="0"/>
    <x v="228"/>
    <n v="168650"/>
    <n v="951379532622"/>
    <n v="94.681483937041904"/>
  </r>
  <r>
    <x v="1"/>
    <x v="228"/>
    <n v="976"/>
    <n v="18268825613.709999"/>
    <n v="99.927167128601397"/>
  </r>
  <r>
    <x v="2"/>
    <x v="228"/>
    <n v="2381"/>
    <n v="33234605901.299999"/>
    <n v="20.6655918285533"/>
  </r>
  <r>
    <x v="3"/>
    <x v="228"/>
    <n v="1253"/>
    <n v="22743332810.720001"/>
    <n v="2.61122383869824E-2"/>
  </r>
  <r>
    <x v="0"/>
    <x v="229"/>
    <n v="168793"/>
    <n v="951112315863.43994"/>
    <n v="94.998094867418104"/>
  </r>
  <r>
    <x v="1"/>
    <x v="229"/>
    <n v="998"/>
    <n v="18453239115.400002"/>
    <n v="99.930263601348599"/>
  </r>
  <r>
    <x v="2"/>
    <x v="229"/>
    <n v="2498"/>
    <n v="34235158583.599998"/>
    <n v="23.492984329188701"/>
  </r>
  <r>
    <x v="3"/>
    <x v="229"/>
    <n v="1350"/>
    <n v="23549228231.41"/>
    <n v="6.1808963335124499E-2"/>
  </r>
  <r>
    <x v="0"/>
    <x v="230"/>
    <n v="168702"/>
    <n v="948978277212.25"/>
    <n v="95.421835011427206"/>
  </r>
  <r>
    <x v="1"/>
    <x v="230"/>
    <n v="1021"/>
    <n v="18743874307.419998"/>
    <n v="99.933736360560502"/>
  </r>
  <r>
    <x v="2"/>
    <x v="230"/>
    <n v="2594"/>
    <n v="34899645243.050003"/>
    <n v="26.652697614746401"/>
  </r>
  <r>
    <x v="3"/>
    <x v="230"/>
    <n v="1432"/>
    <n v="24174777291.66"/>
    <n v="0.12817337400319101"/>
  </r>
  <r>
    <x v="0"/>
    <x v="231"/>
    <n v="168665"/>
    <n v="948811579876.78003"/>
    <n v="95.705986953763102"/>
  </r>
  <r>
    <x v="1"/>
    <x v="231"/>
    <n v="1045"/>
    <n v="19092526206.200001"/>
    <n v="99.932755172886203"/>
  </r>
  <r>
    <x v="2"/>
    <x v="231"/>
    <n v="2695"/>
    <n v="35367128013.260002"/>
    <n v="29.227767350739001"/>
  </r>
  <r>
    <x v="3"/>
    <x v="231"/>
    <n v="1517"/>
    <n v="24578473067.509998"/>
    <n v="0.26705394021178902"/>
  </r>
  <r>
    <x v="0"/>
    <x v="232"/>
    <n v="168535"/>
    <n v="946698650327.43005"/>
    <n v="95.754656189581098"/>
  </r>
  <r>
    <x v="1"/>
    <x v="232"/>
    <n v="1073"/>
    <n v="19336227803.259998"/>
    <n v="99.929417803111605"/>
  </r>
  <r>
    <x v="2"/>
    <x v="232"/>
    <n v="2780"/>
    <n v="35804756803.43"/>
    <n v="29.053839725265199"/>
  </r>
  <r>
    <x v="3"/>
    <x v="232"/>
    <n v="1605"/>
    <n v="24975426851.080002"/>
    <n v="0.32851858909662601"/>
  </r>
  <r>
    <x v="0"/>
    <x v="233"/>
    <n v="168454"/>
    <n v="945526028023.66003"/>
    <n v="95.768588634014506"/>
  </r>
  <r>
    <x v="1"/>
    <x v="233"/>
    <n v="1088"/>
    <n v="19613126291.07"/>
    <n v="99.927927428621899"/>
  </r>
  <r>
    <x v="2"/>
    <x v="233"/>
    <n v="2875"/>
    <n v="36128097823.209999"/>
    <n v="29.152736375215799"/>
  </r>
  <r>
    <x v="3"/>
    <x v="233"/>
    <n v="1688"/>
    <n v="25218431194.439999"/>
    <n v="0.424525705678446"/>
  </r>
  <r>
    <x v="0"/>
    <x v="234"/>
    <n v="168526"/>
    <n v="947567336728.01001"/>
    <n v="95.789714767199797"/>
  </r>
  <r>
    <x v="1"/>
    <x v="234"/>
    <n v="1109"/>
    <n v="19868500672.32"/>
    <n v="99.928980285590399"/>
  </r>
  <r>
    <x v="2"/>
    <x v="234"/>
    <n v="2973"/>
    <n v="36388443717.019997"/>
    <n v="29.200024729895901"/>
  </r>
  <r>
    <x v="3"/>
    <x v="234"/>
    <n v="1747"/>
    <n v="25372731243.630001"/>
    <n v="0.52790115035540397"/>
  </r>
  <r>
    <x v="0"/>
    <x v="235"/>
    <n v="168522"/>
    <n v="950558420406.93994"/>
    <n v="95.890659660073794"/>
  </r>
  <r>
    <x v="1"/>
    <x v="235"/>
    <n v="1122"/>
    <n v="20235778716.240002"/>
    <n v="99.930421498885906"/>
  </r>
  <r>
    <x v="2"/>
    <x v="235"/>
    <n v="3038"/>
    <n v="36429713513.779999"/>
    <n v="30.273625571001599"/>
  </r>
  <r>
    <x v="3"/>
    <x v="235"/>
    <n v="1805"/>
    <n v="25476399173.720001"/>
    <n v="0.670394530761806"/>
  </r>
  <r>
    <x v="0"/>
    <x v="236"/>
    <n v="168389"/>
    <n v="951961756683.73999"/>
    <n v="95.955284016383601"/>
  </r>
  <r>
    <x v="1"/>
    <x v="236"/>
    <n v="1130"/>
    <n v="20424379265.459999"/>
    <n v="99.928496092370395"/>
  </r>
  <r>
    <x v="2"/>
    <x v="236"/>
    <n v="3094"/>
    <n v="36534296456.949997"/>
    <n v="31.159887379157201"/>
  </r>
  <r>
    <x v="3"/>
    <x v="236"/>
    <n v="1854"/>
    <n v="25558725588.619999"/>
    <n v="0.87207321232917001"/>
  </r>
  <r>
    <x v="0"/>
    <x v="237"/>
    <n v="168241"/>
    <n v="954383832976.22998"/>
    <n v="96.013424182271393"/>
  </r>
  <r>
    <x v="1"/>
    <x v="237"/>
    <n v="1144"/>
    <n v="20512776387.459999"/>
    <n v="99.926668025100994"/>
  </r>
  <r>
    <x v="2"/>
    <x v="237"/>
    <n v="3164"/>
    <n v="36655105321.75"/>
    <n v="32.052739824693703"/>
  </r>
  <r>
    <x v="3"/>
    <x v="237"/>
    <n v="1900"/>
    <n v="25637606597.049999"/>
    <n v="1.1120367220182601"/>
  </r>
  <r>
    <x v="0"/>
    <x v="238"/>
    <n v="168138"/>
    <n v="954656179373.09998"/>
    <n v="96.395536887807793"/>
  </r>
  <r>
    <x v="1"/>
    <x v="238"/>
    <n v="1155"/>
    <n v="20701049462.849998"/>
    <n v="99.939206026362896"/>
  </r>
  <r>
    <x v="2"/>
    <x v="238"/>
    <n v="3214"/>
    <n v="36681497623.199997"/>
    <n v="35.3552598683548"/>
  </r>
  <r>
    <x v="3"/>
    <x v="238"/>
    <n v="1945"/>
    <n v="25659837687.27"/>
    <n v="1.62325884682552"/>
  </r>
  <r>
    <x v="0"/>
    <x v="239"/>
    <n v="168113"/>
    <n v="956139225086.04004"/>
    <n v="96.712625289075504"/>
  </r>
  <r>
    <x v="1"/>
    <x v="239"/>
    <n v="1161"/>
    <n v="20937825815.509998"/>
    <n v="99.939813298226298"/>
  </r>
  <r>
    <x v="2"/>
    <x v="239"/>
    <n v="3259"/>
    <n v="36636435212.349998"/>
    <n v="39.111403372874499"/>
  </r>
  <r>
    <x v="3"/>
    <x v="239"/>
    <n v="1977"/>
    <n v="25645418956.459999"/>
    <n v="2.1858762598405299"/>
  </r>
  <r>
    <x v="0"/>
    <x v="240"/>
    <n v="168001"/>
    <n v="957828328319.79004"/>
    <n v="96.972864504413906"/>
  </r>
  <r>
    <x v="1"/>
    <x v="240"/>
    <n v="1165"/>
    <n v="21143780863.959999"/>
    <n v="99.942634486229096"/>
  </r>
  <r>
    <x v="2"/>
    <x v="240"/>
    <n v="3302"/>
    <n v="36550076567.910004"/>
    <n v="43.1663777570608"/>
  </r>
  <r>
    <x v="3"/>
    <x v="240"/>
    <n v="2006"/>
    <n v="25616594460.360001"/>
    <n v="2.8589539487478701"/>
  </r>
  <r>
    <x v="0"/>
    <x v="241"/>
    <n v="167932"/>
    <n v="961134113453.43994"/>
    <n v="97.070316869230595"/>
  </r>
  <r>
    <x v="1"/>
    <x v="241"/>
    <n v="1168"/>
    <n v="21346094720.060001"/>
    <n v="99.939118260015803"/>
  </r>
  <r>
    <x v="2"/>
    <x v="241"/>
    <n v="3342"/>
    <n v="36429625540.220001"/>
    <n v="44.6127082672051"/>
  </r>
  <r>
    <x v="3"/>
    <x v="241"/>
    <n v="2033"/>
    <n v="25567285813.18"/>
    <n v="3.3875861110530199"/>
  </r>
  <r>
    <x v="0"/>
    <x v="242"/>
    <n v="167848"/>
    <n v="963933164722.85999"/>
    <n v="97.162631168494798"/>
  </r>
  <r>
    <x v="1"/>
    <x v="242"/>
    <n v="1172"/>
    <n v="21598307257.459999"/>
    <n v="99.943900573180997"/>
  </r>
  <r>
    <x v="2"/>
    <x v="242"/>
    <n v="3381"/>
    <n v="36252840693.470001"/>
    <n v="46.067884378713998"/>
  </r>
  <r>
    <x v="3"/>
    <x v="242"/>
    <n v="2058"/>
    <n v="25497572102.110001"/>
    <n v="3.9880318419038399"/>
  </r>
  <r>
    <x v="0"/>
    <x v="243"/>
    <n v="167817"/>
    <n v="971985480145.08997"/>
    <n v="97.260917064417598"/>
  </r>
  <r>
    <x v="1"/>
    <x v="243"/>
    <n v="1181"/>
    <n v="21876660696.240002"/>
    <n v="99.941857431079995"/>
  </r>
  <r>
    <x v="2"/>
    <x v="243"/>
    <n v="3414"/>
    <n v="36064929252.449997"/>
    <n v="47.462258877851703"/>
  </r>
  <r>
    <x v="3"/>
    <x v="243"/>
    <n v="2081"/>
    <n v="25426007923.25"/>
    <n v="4.5839215338390904"/>
  </r>
  <r>
    <x v="0"/>
    <x v="244"/>
    <n v="167776"/>
    <n v="977830257289.84998"/>
    <n v="97.313079385708704"/>
  </r>
  <r>
    <x v="1"/>
    <x v="244"/>
    <n v="1195"/>
    <n v="22145863654.419998"/>
    <n v="99.942685428887302"/>
  </r>
  <r>
    <x v="2"/>
    <x v="244"/>
    <n v="3450"/>
    <n v="35877576846.68"/>
    <n v="47.649433962779199"/>
  </r>
  <r>
    <x v="3"/>
    <x v="244"/>
    <n v="2099"/>
    <n v="25334386957.700001"/>
    <n v="4.87028834953722"/>
  </r>
  <r>
    <x v="0"/>
    <x v="245"/>
    <n v="167725"/>
    <n v="984220465218.06006"/>
    <n v="97.362800299053504"/>
  </r>
  <r>
    <x v="1"/>
    <x v="245"/>
    <n v="1204"/>
    <n v="22469954705.310001"/>
    <n v="99.943635626411293"/>
  </r>
  <r>
    <x v="2"/>
    <x v="245"/>
    <n v="3481"/>
    <n v="35684652551.809998"/>
    <n v="47.842325903900601"/>
  </r>
  <r>
    <x v="3"/>
    <x v="245"/>
    <n v="2118"/>
    <n v="25256586100.18"/>
    <n v="5.1525948173989997"/>
  </r>
  <r>
    <x v="0"/>
    <x v="246"/>
    <n v="167748"/>
    <n v="988907164368.56995"/>
    <n v="97.4069476351807"/>
  </r>
  <r>
    <x v="1"/>
    <x v="246"/>
    <n v="1215"/>
    <n v="22783477587.259998"/>
    <n v="99.944510052426395"/>
  </r>
  <r>
    <x v="2"/>
    <x v="246"/>
    <n v="3515"/>
    <n v="35503193244.68"/>
    <n v="47.993599586719299"/>
  </r>
  <r>
    <x v="3"/>
    <x v="246"/>
    <n v="2137"/>
    <n v="25157857048.23"/>
    <n v="5.5083070402107799"/>
  </r>
  <r>
    <x v="0"/>
    <x v="247"/>
    <n v="167726"/>
    <n v="991733333950.96997"/>
    <n v="97.459263236000496"/>
  </r>
  <r>
    <x v="1"/>
    <x v="247"/>
    <n v="1231"/>
    <n v="23102138271.23"/>
    <n v="99.941149649370701"/>
  </r>
  <r>
    <x v="2"/>
    <x v="247"/>
    <n v="3548"/>
    <n v="35322618934.839996"/>
    <n v="48.894516318705897"/>
  </r>
  <r>
    <x v="3"/>
    <x v="247"/>
    <n v="2158"/>
    <n v="25084444553.189999"/>
    <n v="6.1894198388010802"/>
  </r>
  <r>
    <x v="0"/>
    <x v="248"/>
    <n v="167645"/>
    <n v="993598228853.71997"/>
    <n v="97.508340981836298"/>
  </r>
  <r>
    <x v="1"/>
    <x v="248"/>
    <n v="1242"/>
    <n v="23306814326.459999"/>
    <n v="99.938936784661195"/>
  </r>
  <r>
    <x v="2"/>
    <x v="248"/>
    <n v="3575"/>
    <n v="35091353776.059998"/>
    <n v="49.659557977227202"/>
  </r>
  <r>
    <x v="3"/>
    <x v="248"/>
    <n v="2177"/>
    <n v="24979796045.34"/>
    <n v="7.0214865963644604"/>
  </r>
  <r>
    <x v="0"/>
    <x v="249"/>
    <n v="167745"/>
    <n v="1002901485619.77"/>
    <n v="97.557577733267294"/>
  </r>
  <r>
    <x v="1"/>
    <x v="249"/>
    <n v="1254"/>
    <n v="23969868419.959999"/>
    <n v="99.940767324307501"/>
  </r>
  <r>
    <x v="2"/>
    <x v="249"/>
    <n v="3608"/>
    <n v="34926354082.489998"/>
    <n v="50.4808861933179"/>
  </r>
  <r>
    <x v="3"/>
    <x v="249"/>
    <n v="2196"/>
    <n v="24896056870.400002"/>
    <n v="7.8255373872755696"/>
  </r>
  <r>
    <x v="0"/>
    <x v="250"/>
    <n v="167791"/>
    <n v="1003389102237.77"/>
    <n v="97.717907648615196"/>
  </r>
  <r>
    <x v="1"/>
    <x v="250"/>
    <n v="1268"/>
    <n v="24432622348.700001"/>
    <n v="99.9424740858408"/>
  </r>
  <r>
    <x v="2"/>
    <x v="250"/>
    <n v="3636"/>
    <n v="34721259988.510002"/>
    <n v="54.601328107803297"/>
  </r>
  <r>
    <x v="3"/>
    <x v="250"/>
    <n v="2218"/>
    <n v="24790138675.59"/>
    <n v="9.3493921625588499"/>
  </r>
  <r>
    <x v="0"/>
    <x v="251"/>
    <n v="167754"/>
    <n v="1005967140686.14"/>
    <n v="97.839102148951895"/>
  </r>
  <r>
    <x v="1"/>
    <x v="251"/>
    <n v="1281"/>
    <n v="24516848923.099998"/>
    <n v="99.940329210014994"/>
  </r>
  <r>
    <x v="2"/>
    <x v="251"/>
    <n v="3670"/>
    <n v="34432613377.599998"/>
    <n v="58.398873141377003"/>
  </r>
  <r>
    <x v="3"/>
    <x v="251"/>
    <n v="2238"/>
    <n v="24665061611.119999"/>
    <n v="11.0462726180141"/>
  </r>
  <r>
    <x v="0"/>
    <x v="252"/>
    <n v="167761"/>
    <n v="1011353959842.98"/>
    <n v="97.949432118323799"/>
  </r>
  <r>
    <x v="1"/>
    <x v="252"/>
    <n v="1295"/>
    <n v="25168406921.459999"/>
    <n v="99.941896614051203"/>
  </r>
  <r>
    <x v="2"/>
    <x v="252"/>
    <n v="3696"/>
    <n v="34121910893.049999"/>
    <n v="61.952523366849199"/>
  </r>
  <r>
    <x v="3"/>
    <x v="252"/>
    <n v="2253"/>
    <n v="24529470414.07"/>
    <n v="13.0491460854591"/>
  </r>
  <r>
    <x v="0"/>
    <x v="253"/>
    <n v="167798"/>
    <n v="1019562376098.83"/>
    <n v="98.012457331367401"/>
  </r>
  <r>
    <x v="1"/>
    <x v="253"/>
    <n v="1310"/>
    <n v="25818891940.32"/>
    <n v="99.941468167959599"/>
  </r>
  <r>
    <x v="2"/>
    <x v="253"/>
    <n v="3719"/>
    <n v="33796473274.419998"/>
    <n v="63.173530995505203"/>
  </r>
  <r>
    <x v="3"/>
    <x v="253"/>
    <n v="2270"/>
    <n v="24378497038.580002"/>
    <n v="14.353407428304999"/>
  </r>
  <r>
    <x v="0"/>
    <x v="254"/>
    <n v="167714"/>
    <n v="1026217511319.16"/>
    <n v="98.069886492152705"/>
  </r>
  <r>
    <x v="1"/>
    <x v="254"/>
    <n v="1325"/>
    <n v="26605889107.439999"/>
    <n v="99.941289604496902"/>
  </r>
  <r>
    <x v="2"/>
    <x v="254"/>
    <n v="3743"/>
    <n v="33433534762.73"/>
    <n v="64.329696629020802"/>
  </r>
  <r>
    <x v="3"/>
    <x v="254"/>
    <n v="2283"/>
    <n v="24214652965.389999"/>
    <n v="15.733803883853399"/>
  </r>
  <r>
    <x v="0"/>
    <x v="255"/>
    <n v="167792"/>
    <n v="1030442115796.87"/>
    <n v="98.116112407945494"/>
  </r>
  <r>
    <x v="1"/>
    <x v="255"/>
    <n v="1343"/>
    <n v="27200307893.240002"/>
    <n v="99.935607108064502"/>
  </r>
  <r>
    <x v="2"/>
    <x v="255"/>
    <n v="3765"/>
    <n v="33062256579.619999"/>
    <n v="65.450862454607602"/>
  </r>
  <r>
    <x v="3"/>
    <x v="255"/>
    <n v="2300"/>
    <n v="24053767752.169998"/>
    <n v="17.133098658146402"/>
  </r>
  <r>
    <x v="0"/>
    <x v="256"/>
    <n v="167839"/>
    <n v="1038047281338.8101"/>
    <n v="98.136100837653004"/>
  </r>
  <r>
    <x v="1"/>
    <x v="256"/>
    <n v="1349"/>
    <n v="27438877892.049999"/>
    <n v="99.8948440968786"/>
  </r>
  <r>
    <x v="2"/>
    <x v="256"/>
    <n v="3785"/>
    <n v="32745329977.57"/>
    <n v="65.461812320447507"/>
  </r>
  <r>
    <x v="3"/>
    <x v="256"/>
    <n v="2317"/>
    <n v="23899278644.869999"/>
    <n v="17.968544305716101"/>
  </r>
  <r>
    <x v="0"/>
    <x v="257"/>
    <n v="167892"/>
    <n v="1044720986839.0699"/>
    <n v="98.148635600370397"/>
  </r>
  <r>
    <x v="1"/>
    <x v="257"/>
    <n v="1359"/>
    <n v="27643915578"/>
    <n v="99.821272186470793"/>
  </r>
  <r>
    <x v="2"/>
    <x v="257"/>
    <n v="3805"/>
    <n v="32422189268.450001"/>
    <n v="65.429581640332003"/>
  </r>
  <r>
    <x v="3"/>
    <x v="257"/>
    <n v="2330"/>
    <n v="23731834948.119999"/>
    <n v="18.802167529158101"/>
  </r>
  <r>
    <x v="0"/>
    <x v="258"/>
    <n v="167821"/>
    <n v="1048282599235.3199"/>
    <n v="98.155106018828604"/>
  </r>
  <r>
    <x v="1"/>
    <x v="258"/>
    <n v="1370"/>
    <n v="27590487841.060001"/>
    <n v="99.795877925316304"/>
  </r>
  <r>
    <x v="2"/>
    <x v="258"/>
    <n v="3826"/>
    <n v="32128512653.16"/>
    <n v="65.411839488882705"/>
  </r>
  <r>
    <x v="3"/>
    <x v="258"/>
    <n v="2346"/>
    <n v="23575272898.580002"/>
    <n v="19.606830982218"/>
  </r>
  <r>
    <x v="0"/>
    <x v="259"/>
    <n v="167786"/>
    <n v="1053135408462.49"/>
    <n v="98.190860334399801"/>
  </r>
  <r>
    <x v="1"/>
    <x v="259"/>
    <n v="1381"/>
    <n v="27568864683.950001"/>
    <n v="99.817967180143697"/>
  </r>
  <r>
    <x v="2"/>
    <x v="259"/>
    <n v="3844"/>
    <n v="31855645561.09"/>
    <n v="66.1000692558098"/>
  </r>
  <r>
    <x v="3"/>
    <x v="259"/>
    <n v="2356"/>
    <n v="23422747348.59"/>
    <n v="20.8688722407462"/>
  </r>
  <r>
    <x v="0"/>
    <x v="260"/>
    <n v="167674"/>
    <n v="1056501759559.97"/>
    <n v="98.217212301027104"/>
  </r>
  <r>
    <x v="1"/>
    <x v="260"/>
    <n v="1390"/>
    <n v="27574289474.23"/>
    <n v="99.804571752803398"/>
  </r>
  <r>
    <x v="2"/>
    <x v="260"/>
    <n v="3860"/>
    <n v="31546738579.189999"/>
    <n v="66.727957703787098"/>
  </r>
  <r>
    <x v="3"/>
    <x v="260"/>
    <n v="2368"/>
    <n v="23264052426.27"/>
    <n v="22.254622291399102"/>
  </r>
  <r>
    <x v="0"/>
    <x v="261"/>
    <n v="167654"/>
    <n v="1061253383982.33"/>
    <n v="98.238521837558693"/>
  </r>
  <r>
    <x v="1"/>
    <x v="261"/>
    <n v="1399"/>
    <n v="27584171144.939999"/>
    <n v="99.776717183512204"/>
  </r>
  <r>
    <x v="2"/>
    <x v="261"/>
    <n v="3880"/>
    <n v="31316354843.400002"/>
    <n v="67.346561007210198"/>
  </r>
  <r>
    <x v="3"/>
    <x v="261"/>
    <n v="2380"/>
    <n v="23130415817.330002"/>
    <n v="23.5353059972682"/>
  </r>
  <r>
    <x v="0"/>
    <x v="262"/>
    <n v="167751"/>
    <n v="1067579655967.17"/>
    <n v="98.339157457570707"/>
  </r>
  <r>
    <x v="1"/>
    <x v="262"/>
    <n v="1410"/>
    <n v="27476452096.830002"/>
    <n v="99.918691346786801"/>
  </r>
  <r>
    <x v="2"/>
    <x v="262"/>
    <n v="3899"/>
    <n v="31082070181.849998"/>
    <n v="70.150595470593203"/>
  </r>
  <r>
    <x v="3"/>
    <x v="262"/>
    <n v="2389"/>
    <n v="22980966819.959999"/>
    <n v="25.778037988561799"/>
  </r>
  <r>
    <x v="0"/>
    <x v="263"/>
    <n v="167864"/>
    <n v="1070487060722.62"/>
    <n v="98.408884157195104"/>
  </r>
  <r>
    <x v="1"/>
    <x v="263"/>
    <n v="1421"/>
    <n v="27342767829.869999"/>
    <n v="99.883180525438306"/>
  </r>
  <r>
    <x v="2"/>
    <x v="263"/>
    <n v="3913"/>
    <n v="30768767902.790001"/>
    <n v="72.833920010226905"/>
  </r>
  <r>
    <x v="3"/>
    <x v="263"/>
    <n v="2400"/>
    <n v="22785497201.860001"/>
    <n v="27.975537947347199"/>
  </r>
  <r>
    <x v="0"/>
    <x v="264"/>
    <n v="167910"/>
    <n v="1077001935757.76"/>
    <n v="98.466552861347594"/>
  </r>
  <r>
    <x v="1"/>
    <x v="264"/>
    <n v="1438"/>
    <n v="27468235077.57"/>
    <n v="99.7678080483402"/>
  </r>
  <r>
    <x v="2"/>
    <x v="264"/>
    <n v="3929"/>
    <n v="30396299066.889999"/>
    <n v="75.240820536184401"/>
  </r>
  <r>
    <x v="3"/>
    <x v="264"/>
    <n v="2409"/>
    <n v="22590823732.130001"/>
    <n v="30.101379995639299"/>
  </r>
  <r>
    <x v="0"/>
    <x v="265"/>
    <n v="167921"/>
    <n v="1083261344979.64"/>
    <n v="98.478279535481093"/>
  </r>
  <r>
    <x v="1"/>
    <x v="265"/>
    <n v="1451"/>
    <n v="27606640319.299999"/>
    <n v="99.595158089862494"/>
  </r>
  <r>
    <x v="2"/>
    <x v="265"/>
    <n v="3942"/>
    <n v="30003341063.389999"/>
    <n v="75.330644213084"/>
  </r>
  <r>
    <x v="3"/>
    <x v="265"/>
    <n v="2418"/>
    <n v="22369714888.02"/>
    <n v="30.328754874361"/>
  </r>
  <r>
    <x v="3"/>
    <x v="266"/>
    <n v="2424"/>
    <n v="22125367840.490002"/>
    <n v="30.543767940153799"/>
  </r>
  <r>
    <x v="1"/>
    <x v="266"/>
    <n v="1457"/>
    <n v="27900162682.830002"/>
    <n v="99.313414219797295"/>
  </r>
  <r>
    <x v="2"/>
    <x v="266"/>
    <n v="3956"/>
    <n v="29549554388.610001"/>
    <n v="75.418484304013504"/>
  </r>
  <r>
    <x v="0"/>
    <x v="266"/>
    <n v="168004"/>
    <n v="1092091052362.51"/>
    <n v="98.488463016285905"/>
  </r>
  <r>
    <x v="1"/>
    <x v="267"/>
    <n v="1466"/>
    <n v="27971451412.84"/>
    <n v="99.112596639668695"/>
  </r>
  <r>
    <x v="3"/>
    <x v="267"/>
    <n v="2433"/>
    <n v="21895878252.380001"/>
    <n v="30.737524756742602"/>
  </r>
  <r>
    <x v="0"/>
    <x v="267"/>
    <n v="168203"/>
    <n v="1104025679684.96"/>
    <n v="98.500416951640702"/>
  </r>
  <r>
    <x v="2"/>
    <x v="267"/>
    <n v="3969"/>
    <n v="29142169991.91"/>
    <n v="75.535747602466898"/>
  </r>
  <r>
    <x v="0"/>
    <x v="268"/>
    <n v="168323"/>
    <n v="1112361826284.4299"/>
    <n v="98.5077209696301"/>
  </r>
  <r>
    <x v="1"/>
    <x v="268"/>
    <n v="1480"/>
    <n v="28869997063.16"/>
    <n v="98.656892507132198"/>
  </r>
  <r>
    <x v="3"/>
    <x v="268"/>
    <n v="2450"/>
    <n v="21624654083.630001"/>
    <n v="30.897751417085299"/>
  </r>
  <r>
    <x v="2"/>
    <x v="268"/>
    <n v="4021"/>
    <n v="28689194494.099998"/>
    <n v="75.5777916721257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0"/>
  </r>
  <r>
    <x v="0"/>
    <x v="1"/>
    <n v="128266"/>
    <n v="282050828421.97998"/>
    <n v="100"/>
  </r>
  <r>
    <x v="0"/>
    <x v="2"/>
    <n v="129601"/>
    <n v="283874201256.09003"/>
    <n v="100"/>
  </r>
  <r>
    <x v="0"/>
    <x v="3"/>
    <n v="130768"/>
    <n v="284752896061.91998"/>
    <n v="100"/>
  </r>
  <r>
    <x v="0"/>
    <x v="4"/>
    <n v="131996"/>
    <n v="287122056681.57001"/>
    <n v="100"/>
  </r>
  <r>
    <x v="0"/>
    <x v="5"/>
    <n v="133140"/>
    <n v="288919754101.73999"/>
    <n v="100"/>
  </r>
  <r>
    <x v="0"/>
    <x v="6"/>
    <n v="134153"/>
    <n v="290640645437.90997"/>
    <n v="100"/>
  </r>
  <r>
    <x v="0"/>
    <x v="7"/>
    <n v="135077"/>
    <n v="292026246657.69"/>
    <n v="100"/>
  </r>
  <r>
    <x v="0"/>
    <x v="8"/>
    <n v="135888"/>
    <n v="293395992453.21002"/>
    <n v="100"/>
  </r>
  <r>
    <x v="0"/>
    <x v="9"/>
    <n v="136567"/>
    <n v="294791998506.56"/>
    <n v="100"/>
  </r>
  <r>
    <x v="0"/>
    <x v="10"/>
    <n v="137384"/>
    <n v="297022730158.53998"/>
    <n v="100"/>
  </r>
  <r>
    <x v="0"/>
    <x v="11"/>
    <n v="138175"/>
    <n v="299534791311.60999"/>
    <n v="100"/>
  </r>
  <r>
    <x v="0"/>
    <x v="12"/>
    <n v="138749"/>
    <n v="300578062603.90997"/>
    <n v="100"/>
  </r>
  <r>
    <x v="0"/>
    <x v="13"/>
    <n v="139252"/>
    <n v="301515518476.67999"/>
    <n v="100"/>
  </r>
  <r>
    <x v="0"/>
    <x v="14"/>
    <n v="139640"/>
    <n v="302130802958.65002"/>
    <n v="100"/>
  </r>
  <r>
    <x v="0"/>
    <x v="15"/>
    <n v="140171"/>
    <n v="303193167019.19"/>
    <n v="100"/>
  </r>
  <r>
    <x v="0"/>
    <x v="16"/>
    <n v="140845"/>
    <n v="305276200958.66998"/>
    <n v="100"/>
  </r>
  <r>
    <x v="0"/>
    <x v="17"/>
    <n v="141735"/>
    <n v="308579513635.09003"/>
    <n v="100"/>
  </r>
  <r>
    <x v="0"/>
    <x v="18"/>
    <n v="142847"/>
    <n v="313306085244.25"/>
    <n v="100"/>
  </r>
  <r>
    <x v="0"/>
    <x v="19"/>
    <n v="143912"/>
    <n v="317855864434.04999"/>
    <n v="100"/>
  </r>
  <r>
    <x v="0"/>
    <x v="20"/>
    <n v="144902"/>
    <n v="321938074374.90002"/>
    <n v="100"/>
  </r>
  <r>
    <x v="0"/>
    <x v="21"/>
    <n v="145867"/>
    <n v="326586660235.34998"/>
    <n v="100"/>
  </r>
  <r>
    <x v="0"/>
    <x v="22"/>
    <n v="146882"/>
    <n v="331964887053.32001"/>
    <n v="100"/>
  </r>
  <r>
    <x v="0"/>
    <x v="23"/>
    <n v="147919"/>
    <n v="337304062600.06"/>
    <n v="23.9040337806804"/>
  </r>
  <r>
    <x v="0"/>
    <x v="24"/>
    <n v="148833"/>
    <n v="341672418203.37"/>
    <n v="24.1377362792234"/>
  </r>
  <r>
    <x v="0"/>
    <x v="25"/>
    <n v="149785"/>
    <n v="346545445220.38"/>
    <n v="24.2468457926296"/>
  </r>
  <r>
    <x v="0"/>
    <x v="26"/>
    <n v="150727"/>
    <n v="350465555808.21997"/>
    <n v="24.264011179889302"/>
  </r>
  <r>
    <x v="0"/>
    <x v="27"/>
    <n v="151726"/>
    <n v="354683248452.60999"/>
    <n v="24.276981894699802"/>
  </r>
  <r>
    <x v="0"/>
    <x v="28"/>
    <n v="152681"/>
    <n v="359153508694.62"/>
    <n v="24.249599072896402"/>
  </r>
  <r>
    <x v="0"/>
    <x v="29"/>
    <n v="153592"/>
    <n v="364145909105.21997"/>
    <n v="24.232831860734301"/>
  </r>
  <r>
    <x v="0"/>
    <x v="30"/>
    <n v="154353"/>
    <n v="367843583423.22998"/>
    <n v="24.241661598891099"/>
  </r>
  <r>
    <x v="0"/>
    <x v="31"/>
    <n v="155081"/>
    <n v="370513413856.09998"/>
    <n v="24.315494830336998"/>
  </r>
  <r>
    <x v="0"/>
    <x v="32"/>
    <n v="155900"/>
    <n v="375154945459.59998"/>
    <n v="24.366078209419399"/>
  </r>
  <r>
    <x v="0"/>
    <x v="33"/>
    <n v="156553"/>
    <n v="378164550622.22998"/>
    <n v="24.4214435912955"/>
  </r>
  <r>
    <x v="0"/>
    <x v="34"/>
    <n v="157183"/>
    <n v="380573155397.19"/>
    <n v="24.5409886947002"/>
  </r>
  <r>
    <x v="0"/>
    <x v="35"/>
    <n v="157961"/>
    <n v="383579286284.32001"/>
    <n v="25.5759162958479"/>
  </r>
  <r>
    <x v="0"/>
    <x v="36"/>
    <n v="158587"/>
    <n v="385622880966.02002"/>
    <n v="25.594344150942799"/>
  </r>
  <r>
    <x v="0"/>
    <x v="37"/>
    <n v="159328"/>
    <n v="388944585913.88"/>
    <n v="25.628449813680199"/>
  </r>
  <r>
    <x v="0"/>
    <x v="38"/>
    <n v="160031"/>
    <n v="391996345649.14001"/>
    <n v="25.602052686198"/>
  </r>
  <r>
    <x v="0"/>
    <x v="39"/>
    <n v="160667"/>
    <n v="394401986179.65997"/>
    <n v="25.654788681013599"/>
  </r>
  <r>
    <x v="0"/>
    <x v="40"/>
    <n v="161332"/>
    <n v="397650299517.78003"/>
    <n v="25.7004559306001"/>
  </r>
  <r>
    <x v="0"/>
    <x v="41"/>
    <n v="161858"/>
    <n v="399661358461.85999"/>
    <n v="25.779795489019801"/>
  </r>
  <r>
    <x v="0"/>
    <x v="42"/>
    <n v="162531"/>
    <n v="402473247826.06"/>
    <n v="25.879236352383799"/>
  </r>
  <r>
    <x v="0"/>
    <x v="43"/>
    <n v="163328"/>
    <n v="407135000510.78003"/>
    <n v="25.839700524105901"/>
  </r>
  <r>
    <x v="0"/>
    <x v="44"/>
    <n v="164171"/>
    <n v="410957899203.09998"/>
    <n v="25.892714667461298"/>
  </r>
  <r>
    <x v="0"/>
    <x v="45"/>
    <n v="164998"/>
    <n v="415578143387.42999"/>
    <n v="25.918734491286401"/>
  </r>
  <r>
    <x v="0"/>
    <x v="46"/>
    <n v="165889"/>
    <n v="420442181020.82001"/>
    <n v="25.8684727523957"/>
  </r>
  <r>
    <x v="0"/>
    <x v="47"/>
    <n v="166964"/>
    <n v="425507008058.42999"/>
    <n v="23.4019153504663"/>
  </r>
  <r>
    <x v="0"/>
    <x v="48"/>
    <n v="167888"/>
    <n v="430133364045.90002"/>
    <n v="23.430173551169499"/>
  </r>
  <r>
    <x v="0"/>
    <x v="49"/>
    <n v="169006"/>
    <n v="436014643807.73999"/>
    <n v="23.480647018681399"/>
  </r>
  <r>
    <x v="0"/>
    <x v="50"/>
    <n v="170201"/>
    <n v="440572182741.69"/>
    <n v="23.571062098696899"/>
  </r>
  <r>
    <x v="0"/>
    <x v="51"/>
    <n v="171456"/>
    <n v="447378001346.06"/>
    <n v="23.516082028561399"/>
  </r>
  <r>
    <x v="0"/>
    <x v="52"/>
    <n v="172582"/>
    <n v="454600787180.84998"/>
    <n v="23.517902337879399"/>
  </r>
  <r>
    <x v="0"/>
    <x v="53"/>
    <n v="173773"/>
    <n v="463337515393.27002"/>
    <n v="23.534384688912599"/>
  </r>
  <r>
    <x v="0"/>
    <x v="54"/>
    <n v="174901"/>
    <n v="473963930458.06"/>
    <n v="23.450623678978602"/>
  </r>
  <r>
    <x v="0"/>
    <x v="55"/>
    <n v="175971"/>
    <n v="482637195788"/>
    <n v="23.465814470552999"/>
  </r>
  <r>
    <x v="0"/>
    <x v="56"/>
    <n v="177221"/>
    <n v="492759677673.42999"/>
    <n v="23.505330083208101"/>
  </r>
  <r>
    <x v="0"/>
    <x v="57"/>
    <n v="178640"/>
    <n v="502211629634.06"/>
    <n v="23.4553603093931"/>
  </r>
  <r>
    <x v="0"/>
    <x v="58"/>
    <n v="179937"/>
    <n v="508860817728.65997"/>
    <n v="23.457832225765301"/>
  </r>
  <r>
    <x v="0"/>
    <x v="59"/>
    <n v="181535"/>
    <n v="519181595242.40002"/>
    <n v="22.859773088248701"/>
  </r>
  <r>
    <x v="0"/>
    <x v="60"/>
    <n v="183021"/>
    <n v="529266546073.46997"/>
    <n v="22.8647134525621"/>
  </r>
  <r>
    <x v="0"/>
    <x v="61"/>
    <n v="184355"/>
    <n v="540755542094.21002"/>
    <n v="22.8846012847089"/>
  </r>
  <r>
    <x v="0"/>
    <x v="62"/>
    <n v="185605"/>
    <n v="549750472653.34998"/>
    <n v="22.942006592345301"/>
  </r>
  <r>
    <x v="0"/>
    <x v="63"/>
    <n v="186717"/>
    <n v="556506175459.81006"/>
    <n v="23.003063729522299"/>
  </r>
  <r>
    <x v="0"/>
    <x v="64"/>
    <n v="187662"/>
    <n v="563458838273"/>
    <n v="23.136635542313901"/>
  </r>
  <r>
    <x v="0"/>
    <x v="65"/>
    <n v="188811"/>
    <n v="572204607933.89001"/>
    <n v="23.258250195434801"/>
  </r>
  <r>
    <x v="0"/>
    <x v="66"/>
    <n v="189841"/>
    <n v="579291469300.42004"/>
    <n v="23.406705263677502"/>
  </r>
  <r>
    <x v="0"/>
    <x v="67"/>
    <n v="190764"/>
    <n v="587347551657.76001"/>
    <n v="23.584999679202902"/>
  </r>
  <r>
    <x v="0"/>
    <x v="68"/>
    <n v="191769"/>
    <n v="595358056585.48999"/>
    <n v="23.836196796233502"/>
  </r>
  <r>
    <x v="0"/>
    <x v="69"/>
    <n v="192676"/>
    <n v="603335784202.89001"/>
    <n v="23.960501905306099"/>
  </r>
  <r>
    <x v="0"/>
    <x v="70"/>
    <n v="193594"/>
    <n v="608661813729.64001"/>
    <n v="24.1511939597363"/>
  </r>
  <r>
    <x v="0"/>
    <x v="71"/>
    <n v="194574"/>
    <n v="614730545023.56995"/>
    <n v="23.9569807903029"/>
  </r>
  <r>
    <x v="0"/>
    <x v="72"/>
    <n v="195521"/>
    <n v="620175920606.63"/>
    <n v="24.132556362769002"/>
  </r>
  <r>
    <x v="0"/>
    <x v="73"/>
    <n v="196302"/>
    <n v="625373224000.52002"/>
    <n v="24.220089336597901"/>
  </r>
  <r>
    <x v="0"/>
    <x v="74"/>
    <n v="197211"/>
    <n v="628789317108.88"/>
    <n v="24.371443077002301"/>
  </r>
  <r>
    <x v="0"/>
    <x v="75"/>
    <n v="198200"/>
    <n v="633466085432.80005"/>
    <n v="24.5660130506622"/>
  </r>
  <r>
    <x v="0"/>
    <x v="76"/>
    <n v="199277"/>
    <n v="638637756539.06006"/>
    <n v="24.759377424572701"/>
  </r>
  <r>
    <x v="0"/>
    <x v="77"/>
    <n v="200318"/>
    <n v="644319934151.05005"/>
    <n v="25.014631288793499"/>
  </r>
  <r>
    <x v="0"/>
    <x v="78"/>
    <n v="201523"/>
    <n v="650241592057.52002"/>
    <n v="25.302403828018701"/>
  </r>
  <r>
    <x v="0"/>
    <x v="79"/>
    <n v="202877"/>
    <n v="659140528287.64001"/>
    <n v="25.578896569007799"/>
  </r>
  <r>
    <x v="0"/>
    <x v="80"/>
    <n v="204126"/>
    <n v="667771708329.09998"/>
    <n v="25.75168433883"/>
  </r>
  <r>
    <x v="0"/>
    <x v="81"/>
    <n v="205336"/>
    <n v="678145982258.65002"/>
    <n v="25.965688275597"/>
  </r>
  <r>
    <x v="0"/>
    <x v="82"/>
    <n v="206553"/>
    <n v="688667464062.68005"/>
    <n v="26.084698277235201"/>
  </r>
  <r>
    <x v="0"/>
    <x v="83"/>
    <n v="207893"/>
    <n v="700106336980.84998"/>
    <n v="24.869792938541298"/>
  </r>
  <r>
    <x v="0"/>
    <x v="84"/>
    <n v="209121"/>
    <n v="711936410692.26001"/>
    <n v="24.940877683184802"/>
  </r>
  <r>
    <x v="0"/>
    <x v="85"/>
    <n v="210670"/>
    <n v="724159427993.80005"/>
    <n v="24.979186789700901"/>
  </r>
  <r>
    <x v="0"/>
    <x v="86"/>
    <n v="212403"/>
    <n v="737131621054.80005"/>
    <n v="24.762891418315"/>
  </r>
  <r>
    <x v="0"/>
    <x v="87"/>
    <n v="214231"/>
    <n v="752556214855.22998"/>
    <n v="24.408407919627798"/>
  </r>
  <r>
    <x v="0"/>
    <x v="88"/>
    <n v="216060"/>
    <n v="768634381863"/>
    <n v="24.114759182766601"/>
  </r>
  <r>
    <x v="0"/>
    <x v="89"/>
    <n v="217775"/>
    <n v="783899597190.81006"/>
    <n v="23.723726843129398"/>
  </r>
  <r>
    <x v="0"/>
    <x v="90"/>
    <n v="219337"/>
    <n v="800219895172"/>
    <n v="23.3948622273473"/>
  </r>
  <r>
    <x v="0"/>
    <x v="91"/>
    <n v="220863"/>
    <n v="816276961683.10999"/>
    <n v="23.153475809562199"/>
  </r>
  <r>
    <x v="0"/>
    <x v="92"/>
    <n v="222193"/>
    <n v="829340407712.87"/>
    <n v="22.803888421185999"/>
  </r>
  <r>
    <x v="0"/>
    <x v="93"/>
    <n v="223572"/>
    <n v="841081375122.14001"/>
    <n v="22.425302448481599"/>
  </r>
  <r>
    <x v="0"/>
    <x v="94"/>
    <n v="225055"/>
    <n v="853354387292.38"/>
    <n v="21.978756017775201"/>
  </r>
  <r>
    <x v="0"/>
    <x v="95"/>
    <n v="226605"/>
    <n v="865009341307.27002"/>
    <n v="21.259699842792099"/>
  </r>
  <r>
    <x v="0"/>
    <x v="96"/>
    <n v="227719"/>
    <n v="868002653952.68994"/>
    <n v="20.780934690909099"/>
  </r>
  <r>
    <x v="0"/>
    <x v="97"/>
    <n v="228962"/>
    <n v="879696484692.43994"/>
    <n v="20.473315161029198"/>
  </r>
  <r>
    <x v="0"/>
    <x v="98"/>
    <n v="229290"/>
    <n v="891137066963.31006"/>
    <n v="20.161805833904399"/>
  </r>
  <r>
    <x v="0"/>
    <x v="99"/>
    <n v="230242"/>
    <n v="898079497234.46997"/>
    <n v="19.7723024133706"/>
  </r>
  <r>
    <x v="0"/>
    <x v="100"/>
    <n v="231200"/>
    <n v="906196770233.09998"/>
    <n v="19.422776608062499"/>
  </r>
  <r>
    <x v="0"/>
    <x v="101"/>
    <n v="232155"/>
    <n v="915306614991.16003"/>
    <n v="19.140262564632"/>
  </r>
  <r>
    <x v="0"/>
    <x v="102"/>
    <n v="232988"/>
    <n v="924210879564.21997"/>
    <n v="18.832170637243902"/>
  </r>
  <r>
    <x v="0"/>
    <x v="103"/>
    <n v="234029"/>
    <n v="933451662668.81006"/>
    <n v="18.503879820902601"/>
  </r>
  <r>
    <x v="0"/>
    <x v="104"/>
    <n v="235250"/>
    <n v="939163115315.12"/>
    <n v="18.117689806171001"/>
  </r>
  <r>
    <x v="0"/>
    <x v="105"/>
    <n v="236280"/>
    <n v="950835871010.5"/>
    <n v="17.510332276808001"/>
  </r>
  <r>
    <x v="0"/>
    <x v="106"/>
    <n v="237080"/>
    <n v="948704633830.25"/>
    <n v="16.914919850637599"/>
  </r>
  <r>
    <x v="0"/>
    <x v="107"/>
    <n v="238095"/>
    <n v="952529753121.88"/>
    <n v="16.315177485432901"/>
  </r>
  <r>
    <x v="0"/>
    <x v="108"/>
    <n v="238988"/>
    <n v="962426850688.71997"/>
    <n v="15.6896265498711"/>
  </r>
  <r>
    <x v="0"/>
    <x v="109"/>
    <n v="239791"/>
    <n v="971889246408.43994"/>
    <n v="15.153973556269399"/>
  </r>
  <r>
    <x v="0"/>
    <x v="110"/>
    <n v="240505"/>
    <n v="981397635555.85999"/>
    <n v="14.647521295140701"/>
  </r>
  <r>
    <x v="0"/>
    <x v="111"/>
    <n v="241199"/>
    <n v="998455877100.01001"/>
    <n v="14.1500870310718"/>
  </r>
  <r>
    <x v="0"/>
    <x v="112"/>
    <n v="241528"/>
    <n v="1000338175794.87"/>
    <n v="13.8993751674187"/>
  </r>
  <r>
    <x v="0"/>
    <x v="113"/>
    <n v="242127"/>
    <n v="1015393774840.89"/>
    <n v="14.392143484176801"/>
  </r>
  <r>
    <x v="0"/>
    <x v="114"/>
    <n v="242806"/>
    <n v="1022403673721.74"/>
    <n v="15.0511352239203"/>
  </r>
  <r>
    <x v="0"/>
    <x v="115"/>
    <n v="243055"/>
    <n v="1011345079983.45"/>
    <n v="15.4388178387363"/>
  </r>
  <r>
    <x v="0"/>
    <x v="116"/>
    <n v="243087"/>
    <n v="1018746952300.48"/>
    <n v="15.712538869975001"/>
  </r>
  <r>
    <x v="0"/>
    <x v="117"/>
    <n v="242823"/>
    <n v="1022881900552.3199"/>
    <n v="15.7367836343841"/>
  </r>
  <r>
    <x v="0"/>
    <x v="118"/>
    <n v="242568"/>
    <n v="1029221486063.8"/>
    <n v="15.6078351372489"/>
  </r>
  <r>
    <x v="0"/>
    <x v="119"/>
    <n v="242944"/>
    <n v="1041578015793.9"/>
    <n v="15.632002137203299"/>
  </r>
  <r>
    <x v="0"/>
    <x v="120"/>
    <n v="242958"/>
    <n v="1046154494968.26"/>
    <n v="15.6991634367233"/>
  </r>
  <r>
    <x v="0"/>
    <x v="121"/>
    <n v="243244"/>
    <n v="1054228745365.45"/>
    <n v="15.7541313694003"/>
  </r>
  <r>
    <x v="0"/>
    <x v="122"/>
    <n v="243458"/>
    <n v="1054419241918.8"/>
    <n v="15.935376975898899"/>
  </r>
  <r>
    <x v="0"/>
    <x v="123"/>
    <n v="243458"/>
    <n v="1053489210318.27"/>
    <n v="16.152149923341899"/>
  </r>
  <r>
    <x v="0"/>
    <x v="124"/>
    <n v="243206"/>
    <n v="1042475819587.54"/>
    <n v="16.253329516238299"/>
  </r>
  <r>
    <x v="0"/>
    <x v="125"/>
    <n v="243206"/>
    <n v="1043034371136.61"/>
    <n v="16.407424120837401"/>
  </r>
  <r>
    <x v="0"/>
    <x v="126"/>
    <n v="243079"/>
    <n v="1042526892174.13"/>
    <n v="16.6026934019865"/>
  </r>
  <r>
    <x v="0"/>
    <x v="127"/>
    <n v="243049"/>
    <n v="1043715265049.05"/>
    <n v="16.734934455602001"/>
  </r>
  <r>
    <x v="0"/>
    <x v="128"/>
    <n v="243211"/>
    <n v="1047052334367.59"/>
    <n v="16.910177197623"/>
  </r>
  <r>
    <x v="0"/>
    <x v="129"/>
    <n v="243358"/>
    <n v="1046559366288.4301"/>
    <n v="17.103542773184898"/>
  </r>
  <r>
    <x v="0"/>
    <x v="130"/>
    <n v="243520"/>
    <n v="1046116620723.4399"/>
    <n v="17.321215293521"/>
  </r>
  <r>
    <x v="0"/>
    <x v="131"/>
    <n v="243723"/>
    <n v="1045661950289.12"/>
    <n v="17.576631455242701"/>
  </r>
  <r>
    <x v="0"/>
    <x v="132"/>
    <n v="243770"/>
    <n v="1045305106228.61"/>
    <n v="17.690183783761601"/>
  </r>
  <r>
    <x v="0"/>
    <x v="133"/>
    <n v="243919"/>
    <n v="1047019150198.85"/>
    <n v="17.9380464244949"/>
  </r>
  <r>
    <x v="0"/>
    <x v="134"/>
    <n v="244114"/>
    <n v="1048394573900.75"/>
    <n v="15.217267334447699"/>
  </r>
  <r>
    <x v="0"/>
    <x v="135"/>
    <n v="244026"/>
    <n v="1046716620858.74"/>
    <n v="15.3209729937092"/>
  </r>
  <r>
    <x v="0"/>
    <x v="136"/>
    <n v="244112"/>
    <n v="1051148406451.9301"/>
    <n v="15.407947488"/>
  </r>
  <r>
    <x v="0"/>
    <x v="137"/>
    <n v="244290"/>
    <n v="1055396152979.1"/>
    <n v="18.4636805417645"/>
  </r>
  <r>
    <x v="0"/>
    <x v="138"/>
    <n v="244376"/>
    <n v="1062568967389.26"/>
    <n v="18.656002221477902"/>
  </r>
  <r>
    <x v="0"/>
    <x v="139"/>
    <n v="244769"/>
    <n v="1071676798504.13"/>
    <n v="18.955787144097901"/>
  </r>
  <r>
    <x v="0"/>
    <x v="140"/>
    <n v="245103"/>
    <n v="1083168990542.87"/>
    <n v="19.147463437467501"/>
  </r>
  <r>
    <x v="0"/>
    <x v="141"/>
    <n v="245417"/>
    <n v="1092258150495.95"/>
    <n v="19.351711971212598"/>
  </r>
  <r>
    <x v="0"/>
    <x v="142"/>
    <n v="245734"/>
    <n v="1101714404588.9399"/>
    <n v="19.388590947095"/>
  </r>
  <r>
    <x v="0"/>
    <x v="143"/>
    <n v="246265"/>
    <n v="1111269349920.8401"/>
    <n v="19.621624068600301"/>
  </r>
  <r>
    <x v="0"/>
    <x v="144"/>
    <n v="246636"/>
    <n v="1122419326727.3401"/>
    <n v="19.7527965231486"/>
  </r>
  <r>
    <x v="0"/>
    <x v="145"/>
    <n v="247214"/>
    <n v="1132529092295.1799"/>
    <n v="19.9893848782813"/>
  </r>
  <r>
    <x v="0"/>
    <x v="146"/>
    <n v="247639"/>
    <n v="1142036164423.6499"/>
    <n v="20.134828364334201"/>
  </r>
  <r>
    <x v="0"/>
    <x v="147"/>
    <n v="248030"/>
    <n v="1155261788794.02"/>
    <n v="20.2937457805462"/>
  </r>
  <r>
    <x v="0"/>
    <x v="148"/>
    <n v="248548"/>
    <n v="1168142806797.22"/>
    <n v="20.313213395218"/>
  </r>
  <r>
    <x v="0"/>
    <x v="149"/>
    <n v="248874"/>
    <n v="1181825510252.74"/>
    <n v="20.275300139940899"/>
  </r>
  <r>
    <x v="0"/>
    <x v="150"/>
    <n v="249248"/>
    <n v="1192430186515.3201"/>
    <n v="20.271480961853499"/>
  </r>
  <r>
    <x v="0"/>
    <x v="151"/>
    <n v="249885"/>
    <n v="1206782284664.1699"/>
    <n v="20.2195203451585"/>
  </r>
  <r>
    <x v="0"/>
    <x v="152"/>
    <n v="250428"/>
    <n v="1220415637263.49"/>
    <n v="20.190238445827401"/>
  </r>
  <r>
    <x v="0"/>
    <x v="153"/>
    <n v="250977"/>
    <n v="1240435866291.8799"/>
    <n v="20.097366027350098"/>
  </r>
  <r>
    <x v="0"/>
    <x v="154"/>
    <n v="251536"/>
    <n v="1253159977244.54"/>
    <n v="20.054032617926101"/>
  </r>
  <r>
    <x v="0"/>
    <x v="155"/>
    <n v="252197"/>
    <n v="1267753834052.5601"/>
    <n v="20.021928971829301"/>
  </r>
  <r>
    <x v="0"/>
    <x v="156"/>
    <n v="252755"/>
    <n v="1281899182108.53"/>
    <n v="19.981894696635301"/>
  </r>
  <r>
    <x v="0"/>
    <x v="157"/>
    <n v="253418"/>
    <n v="1297151286163.0601"/>
    <n v="20.033413413481199"/>
  </r>
  <r>
    <x v="0"/>
    <x v="158"/>
    <n v="254121"/>
    <n v="1313547803162.76"/>
    <n v="20.0065591444652"/>
  </r>
  <r>
    <x v="0"/>
    <x v="159"/>
    <n v="254866"/>
    <n v="1329046516438.8999"/>
    <n v="19.994139302062099"/>
  </r>
  <r>
    <x v="0"/>
    <x v="160"/>
    <n v="255714"/>
    <n v="1351361414625.3799"/>
    <n v="19.991168318051699"/>
  </r>
  <r>
    <x v="0"/>
    <x v="161"/>
    <n v="256516"/>
    <n v="1373358197427.46"/>
    <n v="19.8040452527868"/>
  </r>
  <r>
    <x v="0"/>
    <x v="162"/>
    <n v="257355"/>
    <n v="1398518091938.25"/>
    <n v="19.8230717211365"/>
  </r>
  <r>
    <x v="0"/>
    <x v="163"/>
    <n v="258242"/>
    <n v="1423075259258.24"/>
    <n v="19.757166953734401"/>
  </r>
  <r>
    <x v="0"/>
    <x v="164"/>
    <n v="259130"/>
    <n v="1448620805507.53"/>
    <n v="19.470007229199901"/>
  </r>
  <r>
    <x v="0"/>
    <x v="165"/>
    <n v="259997"/>
    <n v="1473008966168.4399"/>
    <n v="19.190160090800202"/>
  </r>
  <r>
    <x v="0"/>
    <x v="166"/>
    <n v="260697"/>
    <n v="1503089126091.8101"/>
    <n v="18.848461028118201"/>
  </r>
  <r>
    <x v="0"/>
    <x v="167"/>
    <n v="261695"/>
    <n v="1536876729700.0601"/>
    <n v="18.559699687475302"/>
  </r>
  <r>
    <x v="0"/>
    <x v="168"/>
    <n v="262505"/>
    <n v="1561574734904.05"/>
    <n v="18.2620717884874"/>
  </r>
  <r>
    <x v="0"/>
    <x v="169"/>
    <n v="264223"/>
    <n v="1598687945829.1299"/>
    <n v="18.0338363373913"/>
  </r>
  <r>
    <x v="0"/>
    <x v="170"/>
    <n v="264813"/>
    <n v="1611864597529.54"/>
    <n v="17.9733906693798"/>
  </r>
  <r>
    <x v="0"/>
    <x v="171"/>
    <n v="265488"/>
    <n v="1627058464695.98"/>
    <n v="17.8877952256803"/>
  </r>
  <r>
    <x v="1"/>
    <x v="172"/>
    <n v="5"/>
    <n v="12238945.18"/>
    <n v="100"/>
  </r>
  <r>
    <x v="0"/>
    <x v="172"/>
    <n v="266516"/>
    <n v="1649023403524.3301"/>
    <n v="18.050740292528602"/>
  </r>
  <r>
    <x v="0"/>
    <x v="173"/>
    <n v="267221"/>
    <n v="1672012270673.77"/>
    <n v="18.158329864500999"/>
  </r>
  <r>
    <x v="1"/>
    <x v="173"/>
    <n v="11"/>
    <n v="431216401.19999999"/>
    <n v="100"/>
  </r>
  <r>
    <x v="0"/>
    <x v="174"/>
    <n v="267777"/>
    <n v="1682374180043.9399"/>
    <n v="18.175177167928599"/>
  </r>
  <r>
    <x v="1"/>
    <x v="174"/>
    <n v="15"/>
    <n v="2102895357.54"/>
    <n v="100"/>
  </r>
  <r>
    <x v="0"/>
    <x v="175"/>
    <n v="268301"/>
    <n v="1690709203256.04"/>
    <n v="18.1116989790692"/>
  </r>
  <r>
    <x v="1"/>
    <x v="175"/>
    <n v="22"/>
    <n v="4048869571.6900001"/>
    <n v="99.999971295103904"/>
  </r>
  <r>
    <x v="1"/>
    <x v="176"/>
    <n v="32"/>
    <n v="6443245156.5"/>
    <n v="99.996369494521701"/>
  </r>
  <r>
    <x v="0"/>
    <x v="176"/>
    <n v="269084"/>
    <n v="1706507798745.03"/>
    <n v="17.947216184410099"/>
  </r>
  <r>
    <x v="1"/>
    <x v="177"/>
    <n v="33"/>
    <n v="7594722445.1199999"/>
    <n v="99.905470795979198"/>
  </r>
  <r>
    <x v="0"/>
    <x v="177"/>
    <n v="269586"/>
    <n v="1715320900515.99"/>
    <n v="17.7739165148956"/>
  </r>
  <r>
    <x v="1"/>
    <x v="178"/>
    <n v="33"/>
    <n v="7455294762.29"/>
    <n v="99.002169333213999"/>
  </r>
  <r>
    <x v="0"/>
    <x v="178"/>
    <n v="269880"/>
    <n v="1722159821907.24"/>
    <n v="17.6772094379834"/>
  </r>
  <r>
    <x v="0"/>
    <x v="179"/>
    <n v="270476"/>
    <n v="1743795423653.5901"/>
    <n v="17.876036115989699"/>
  </r>
  <r>
    <x v="1"/>
    <x v="179"/>
    <n v="37"/>
    <n v="7385915358.9499998"/>
    <n v="98.235140986056294"/>
  </r>
  <r>
    <x v="1"/>
    <x v="180"/>
    <n v="37"/>
    <n v="7186390255.3999996"/>
    <n v="96.743797485540199"/>
  </r>
  <r>
    <x v="0"/>
    <x v="180"/>
    <n v="270820"/>
    <n v="1747958716979.52"/>
    <n v="17.970776019752901"/>
  </r>
  <r>
    <x v="1"/>
    <x v="181"/>
    <n v="57"/>
    <n v="7517545111.1499996"/>
    <n v="94.602963171774903"/>
  </r>
  <r>
    <x v="0"/>
    <x v="181"/>
    <n v="271227"/>
    <n v="1754532172587.8201"/>
    <n v="18.156749921141699"/>
  </r>
  <r>
    <x v="1"/>
    <x v="182"/>
    <n v="80"/>
    <n v="7812894988.0100002"/>
    <n v="95.329730179879107"/>
  </r>
  <r>
    <x v="0"/>
    <x v="182"/>
    <n v="271839"/>
    <n v="1783832899325.1899"/>
    <n v="18.7978712660653"/>
  </r>
  <r>
    <x v="0"/>
    <x v="183"/>
    <n v="272056"/>
    <n v="1788604982272.3999"/>
    <n v="19.331783614157398"/>
  </r>
  <r>
    <x v="1"/>
    <x v="183"/>
    <n v="94"/>
    <n v="7929838117.7600002"/>
    <n v="95.846423187750403"/>
  </r>
  <r>
    <x v="0"/>
    <x v="184"/>
    <n v="272638"/>
    <n v="1851247613799.7"/>
    <n v="19.559587332612601"/>
  </r>
  <r>
    <x v="1"/>
    <x v="184"/>
    <n v="131"/>
    <n v="14236149645.15"/>
    <n v="96.659397127963302"/>
  </r>
  <r>
    <x v="0"/>
    <x v="185"/>
    <n v="273233"/>
    <n v="1892906083080.45"/>
    <n v="20.122303454843699"/>
  </r>
  <r>
    <x v="1"/>
    <x v="185"/>
    <n v="168"/>
    <n v="15653598327.879999"/>
    <n v="96.553189521327397"/>
  </r>
  <r>
    <x v="0"/>
    <x v="186"/>
    <n v="273609"/>
    <n v="1911210202909.05"/>
    <n v="20.887860532312299"/>
  </r>
  <r>
    <x v="1"/>
    <x v="186"/>
    <n v="188"/>
    <n v="16210075077.32"/>
    <n v="95.732564739531497"/>
  </r>
  <r>
    <x v="0"/>
    <x v="187"/>
    <n v="273811"/>
    <n v="1922329055650.49"/>
    <n v="21.166289495229801"/>
  </r>
  <r>
    <x v="1"/>
    <x v="187"/>
    <n v="222"/>
    <n v="17522334402.939999"/>
    <n v="95.858158196988498"/>
  </r>
  <r>
    <x v="0"/>
    <x v="188"/>
    <n v="274246"/>
    <n v="1936230379188.45"/>
    <n v="21.389357643231499"/>
  </r>
  <r>
    <x v="1"/>
    <x v="188"/>
    <n v="266"/>
    <n v="20636621094.560001"/>
    <n v="96.117849796173502"/>
  </r>
  <r>
    <x v="0"/>
    <x v="189"/>
    <n v="274530"/>
    <n v="1935224752959.1399"/>
    <n v="21.632780952057999"/>
  </r>
  <r>
    <x v="2"/>
    <x v="189"/>
    <n v="3"/>
    <n v="15327165.810000001"/>
    <n v="0"/>
  </r>
  <r>
    <x v="1"/>
    <x v="189"/>
    <n v="290"/>
    <n v="24709665353.299999"/>
    <n v="96.565180466139495"/>
  </r>
  <r>
    <x v="0"/>
    <x v="190"/>
    <n v="274807"/>
    <n v="1931516393378.1001"/>
    <n v="21.7390151154177"/>
  </r>
  <r>
    <x v="2"/>
    <x v="190"/>
    <n v="17"/>
    <n v="106566395.2"/>
    <n v="0"/>
  </r>
  <r>
    <x v="1"/>
    <x v="190"/>
    <n v="353"/>
    <n v="27060927127.610001"/>
    <n v="96.284884797717098"/>
  </r>
  <r>
    <x v="0"/>
    <x v="191"/>
    <n v="275195"/>
    <n v="1935480749969.53"/>
    <n v="21.893798263131"/>
  </r>
  <r>
    <x v="2"/>
    <x v="191"/>
    <n v="35"/>
    <n v="234862672.03"/>
    <n v="0"/>
  </r>
  <r>
    <x v="1"/>
    <x v="191"/>
    <n v="414"/>
    <n v="29069674532.27"/>
    <n v="96.022785515384101"/>
  </r>
  <r>
    <x v="0"/>
    <x v="192"/>
    <n v="275240"/>
    <n v="1926355203139.8799"/>
    <n v="22.0515850600585"/>
  </r>
  <r>
    <x v="2"/>
    <x v="192"/>
    <n v="52"/>
    <n v="406767057.86000001"/>
    <n v="0"/>
  </r>
  <r>
    <x v="1"/>
    <x v="192"/>
    <n v="458"/>
    <n v="30591542409.349998"/>
    <n v="95.896573049206694"/>
  </r>
  <r>
    <x v="0"/>
    <x v="193"/>
    <n v="275437"/>
    <n v="1923031361638.27"/>
    <n v="22.157977961681201"/>
  </r>
  <r>
    <x v="2"/>
    <x v="193"/>
    <n v="66"/>
    <n v="597072260.88"/>
    <n v="0"/>
  </r>
  <r>
    <x v="1"/>
    <x v="193"/>
    <n v="489"/>
    <n v="32188299766.919998"/>
    <n v="94.574821399057896"/>
  </r>
  <r>
    <x v="0"/>
    <x v="194"/>
    <n v="275562"/>
    <n v="1915973684687.22"/>
    <n v="22.769215809280499"/>
  </r>
  <r>
    <x v="2"/>
    <x v="194"/>
    <n v="83"/>
    <n v="810653741.88"/>
    <n v="8.5604948813981493E-2"/>
  </r>
  <r>
    <x v="1"/>
    <x v="194"/>
    <n v="523"/>
    <n v="34019181733.130001"/>
    <n v="91.511896079864201"/>
  </r>
  <r>
    <x v="0"/>
    <x v="195"/>
    <n v="274490"/>
    <n v="1886014655841.54"/>
    <n v="23.467879612931501"/>
  </r>
  <r>
    <x v="2"/>
    <x v="195"/>
    <n v="99"/>
    <n v="1028774473.66"/>
    <n v="0"/>
  </r>
  <r>
    <x v="1"/>
    <x v="195"/>
    <n v="565"/>
    <n v="34942230806.919998"/>
    <n v="91.278909369653107"/>
  </r>
  <r>
    <x v="0"/>
    <x v="196"/>
    <n v="274482"/>
    <n v="1851844202005.27"/>
    <n v="24.296061738777301"/>
  </r>
  <r>
    <x v="2"/>
    <x v="196"/>
    <n v="117"/>
    <n v="1283914779.73"/>
    <n v="0"/>
  </r>
  <r>
    <x v="1"/>
    <x v="196"/>
    <n v="596"/>
    <n v="35952137084.459999"/>
    <n v="90.506043941901893"/>
  </r>
  <r>
    <x v="0"/>
    <x v="197"/>
    <n v="274694"/>
    <n v="1823788108779.51"/>
    <n v="24.679231553656599"/>
  </r>
  <r>
    <x v="2"/>
    <x v="197"/>
    <n v="135"/>
    <n v="1489592023.8900001"/>
    <n v="0"/>
  </r>
  <r>
    <x v="1"/>
    <x v="197"/>
    <n v="636"/>
    <n v="36911796753.43"/>
    <n v="90.682354033352297"/>
  </r>
  <r>
    <x v="0"/>
    <x v="198"/>
    <n v="274934"/>
    <n v="1816002763653.8401"/>
    <n v="25.074806388667099"/>
  </r>
  <r>
    <x v="2"/>
    <x v="198"/>
    <n v="156"/>
    <n v="1693098544.05"/>
    <n v="0"/>
  </r>
  <r>
    <x v="1"/>
    <x v="198"/>
    <n v="682"/>
    <n v="39233880521.379997"/>
    <n v="90.9531107213692"/>
  </r>
  <r>
    <x v="0"/>
    <x v="199"/>
    <n v="275265"/>
    <n v="1809160523507.3899"/>
    <n v="25.479164948948501"/>
  </r>
  <r>
    <x v="2"/>
    <x v="199"/>
    <n v="178"/>
    <n v="1929687214.6600001"/>
    <n v="0"/>
  </r>
  <r>
    <x v="1"/>
    <x v="199"/>
    <n v="731"/>
    <n v="41226846111.760002"/>
    <n v="91.576724790228695"/>
  </r>
  <r>
    <x v="0"/>
    <x v="200"/>
    <n v="275759"/>
    <n v="1806620806982.2"/>
    <n v="26.254151150396599"/>
  </r>
  <r>
    <x v="2"/>
    <x v="200"/>
    <n v="196"/>
    <n v="2275609818.98"/>
    <n v="0"/>
  </r>
  <r>
    <x v="1"/>
    <x v="200"/>
    <n v="783"/>
    <n v="43877710701.519997"/>
    <n v="91.781190890948594"/>
  </r>
  <r>
    <x v="0"/>
    <x v="201"/>
    <n v="276421"/>
    <n v="1800298888880.73"/>
    <n v="26.919084340095601"/>
  </r>
  <r>
    <x v="2"/>
    <x v="201"/>
    <n v="217"/>
    <n v="2589769137.29"/>
    <n v="0"/>
  </r>
  <r>
    <x v="1"/>
    <x v="201"/>
    <n v="843"/>
    <n v="46125972276.830002"/>
    <n v="92.247902141779406"/>
  </r>
  <r>
    <x v="0"/>
    <x v="202"/>
    <n v="277266"/>
    <n v="1792464139799.6499"/>
    <n v="27.561355875409902"/>
  </r>
  <r>
    <x v="2"/>
    <x v="202"/>
    <n v="236"/>
    <n v="2951365460.7199998"/>
    <n v="0"/>
  </r>
  <r>
    <x v="1"/>
    <x v="202"/>
    <n v="896"/>
    <n v="48366176627.93"/>
    <n v="92.6500964399021"/>
  </r>
  <r>
    <x v="0"/>
    <x v="203"/>
    <n v="278078"/>
    <n v="1786702401571.8401"/>
    <n v="28.114059016780899"/>
  </r>
  <r>
    <x v="2"/>
    <x v="203"/>
    <n v="259"/>
    <n v="3379401993.3099999"/>
    <n v="0"/>
  </r>
  <r>
    <x v="1"/>
    <x v="203"/>
    <n v="949"/>
    <n v="50759303463"/>
    <n v="93.029569676275401"/>
  </r>
  <r>
    <x v="0"/>
    <x v="204"/>
    <n v="278395"/>
    <n v="1774777092612.05"/>
    <n v="28.4827066461051"/>
  </r>
  <r>
    <x v="2"/>
    <x v="204"/>
    <n v="279"/>
    <n v="3849888136.0700002"/>
    <n v="0"/>
  </r>
  <r>
    <x v="1"/>
    <x v="204"/>
    <n v="1009"/>
    <n v="52653026516.040001"/>
    <n v="93.092009247940695"/>
  </r>
  <r>
    <x v="0"/>
    <x v="205"/>
    <n v="278900"/>
    <n v="1768365158153.76"/>
    <n v="28.698769715346401"/>
  </r>
  <r>
    <x v="2"/>
    <x v="205"/>
    <n v="297"/>
    <n v="4348110845.5"/>
    <n v="0"/>
  </r>
  <r>
    <x v="1"/>
    <x v="205"/>
    <n v="1046"/>
    <n v="54091880308.709999"/>
    <n v="92.542599416511294"/>
  </r>
  <r>
    <x v="0"/>
    <x v="206"/>
    <n v="279791"/>
    <n v="1771693715295.3601"/>
    <n v="29.493983639499898"/>
  </r>
  <r>
    <x v="2"/>
    <x v="206"/>
    <n v="323"/>
    <n v="4929321160.3199997"/>
    <n v="0"/>
  </r>
  <r>
    <x v="1"/>
    <x v="206"/>
    <n v="1107"/>
    <n v="55452548932.449997"/>
    <n v="93.071271748604104"/>
  </r>
  <r>
    <x v="0"/>
    <x v="207"/>
    <n v="280244"/>
    <n v="1762890974623.96"/>
    <n v="30.230464357825301"/>
  </r>
  <r>
    <x v="2"/>
    <x v="207"/>
    <n v="350"/>
    <n v="5479584254.1499996"/>
    <n v="0"/>
  </r>
  <r>
    <x v="1"/>
    <x v="207"/>
    <n v="1145"/>
    <n v="56144173209.129997"/>
    <n v="93.418456796549904"/>
  </r>
  <r>
    <x v="0"/>
    <x v="208"/>
    <n v="280629"/>
    <n v="1756163628422.04"/>
    <n v="30.833870224867901"/>
  </r>
  <r>
    <x v="2"/>
    <x v="208"/>
    <n v="376"/>
    <n v="5898298960.6400003"/>
    <n v="0"/>
  </r>
  <r>
    <x v="1"/>
    <x v="208"/>
    <n v="1174"/>
    <n v="56713020697.900002"/>
    <n v="93.7292336174132"/>
  </r>
  <r>
    <x v="0"/>
    <x v="209"/>
    <n v="281075"/>
    <n v="1752854091034.3601"/>
    <n v="31.3769351322135"/>
  </r>
  <r>
    <x v="2"/>
    <x v="209"/>
    <n v="398"/>
    <n v="6434083171.8299999"/>
    <n v="0"/>
  </r>
  <r>
    <x v="1"/>
    <x v="209"/>
    <n v="1216"/>
    <n v="57606973208.239998"/>
    <n v="93.874245196546696"/>
  </r>
  <r>
    <x v="0"/>
    <x v="210"/>
    <n v="281434"/>
    <n v="1742063298538.3899"/>
    <n v="32.020227802674"/>
  </r>
  <r>
    <x v="2"/>
    <x v="210"/>
    <n v="417"/>
    <n v="6872090576.5200005"/>
    <n v="0"/>
  </r>
  <r>
    <x v="1"/>
    <x v="210"/>
    <n v="1268"/>
    <n v="58408841241.650002"/>
    <n v="94.408599606642795"/>
  </r>
  <r>
    <x v="0"/>
    <x v="211"/>
    <n v="281942"/>
    <n v="1736000312551.3601"/>
    <n v="32.764034340849499"/>
  </r>
  <r>
    <x v="2"/>
    <x v="211"/>
    <n v="437"/>
    <n v="7393854531.21"/>
    <n v="0"/>
  </r>
  <r>
    <x v="1"/>
    <x v="211"/>
    <n v="1327"/>
    <n v="59412547411.709999"/>
    <n v="94.733557979809106"/>
  </r>
  <r>
    <x v="0"/>
    <x v="212"/>
    <n v="282590"/>
    <n v="1730062143723.8999"/>
    <n v="33.3142618399052"/>
  </r>
  <r>
    <x v="2"/>
    <x v="212"/>
    <n v="461"/>
    <n v="7990816564.1599998"/>
    <n v="0"/>
  </r>
  <r>
    <x v="1"/>
    <x v="212"/>
    <n v="1392"/>
    <n v="60879463797.669998"/>
    <n v="94.955293352606802"/>
  </r>
  <r>
    <x v="0"/>
    <x v="213"/>
    <n v="283012"/>
    <n v="1716111353814.28"/>
    <n v="33.857405249820197"/>
  </r>
  <r>
    <x v="2"/>
    <x v="213"/>
    <n v="487"/>
    <n v="8517165199.3299999"/>
    <n v="0"/>
  </r>
  <r>
    <x v="1"/>
    <x v="213"/>
    <n v="1471"/>
    <n v="61528554510.57"/>
    <n v="95.068088278651999"/>
  </r>
  <r>
    <x v="0"/>
    <x v="214"/>
    <n v="283516"/>
    <n v="1704192012667.5601"/>
    <n v="34.479220645670502"/>
  </r>
  <r>
    <x v="2"/>
    <x v="214"/>
    <n v="514"/>
    <n v="9074021450.3299999"/>
    <n v="0"/>
  </r>
  <r>
    <x v="1"/>
    <x v="214"/>
    <n v="1523"/>
    <n v="63432840444.580002"/>
    <n v="93.392117535137501"/>
  </r>
  <r>
    <x v="0"/>
    <x v="215"/>
    <n v="284179"/>
    <n v="1704718198742.55"/>
    <n v="35.260333102000203"/>
  </r>
  <r>
    <x v="2"/>
    <x v="215"/>
    <n v="537"/>
    <n v="9400322582.2900009"/>
    <n v="0"/>
  </r>
  <r>
    <x v="1"/>
    <x v="215"/>
    <n v="1561"/>
    <n v="63431287348.879997"/>
    <n v="93.607801099372907"/>
  </r>
  <r>
    <x v="0"/>
    <x v="216"/>
    <n v="284757"/>
    <n v="1695810438281.72"/>
    <n v="35.859227713706403"/>
  </r>
  <r>
    <x v="2"/>
    <x v="216"/>
    <n v="563"/>
    <n v="10323435733.66"/>
    <n v="0"/>
  </r>
  <r>
    <x v="1"/>
    <x v="216"/>
    <n v="1581"/>
    <n v="63028905485.379997"/>
    <n v="93.972596520649006"/>
  </r>
  <r>
    <x v="0"/>
    <x v="217"/>
    <n v="285377"/>
    <n v="1691373410963.1499"/>
    <n v="36.476579772451899"/>
  </r>
  <r>
    <x v="2"/>
    <x v="217"/>
    <n v="596"/>
    <n v="11215689816.950001"/>
    <n v="0"/>
  </r>
  <r>
    <x v="1"/>
    <x v="217"/>
    <n v="1608"/>
    <n v="62701545672.050003"/>
    <n v="94.153704043908903"/>
  </r>
  <r>
    <x v="0"/>
    <x v="218"/>
    <n v="286478"/>
    <n v="1700883766281.3999"/>
    <n v="37.768925971632299"/>
  </r>
  <r>
    <x v="2"/>
    <x v="218"/>
    <n v="653"/>
    <n v="12887725448.07"/>
    <n v="0"/>
  </r>
  <r>
    <x v="1"/>
    <x v="218"/>
    <n v="1644"/>
    <n v="62862062606.980003"/>
    <n v="93.294487956953404"/>
  </r>
  <r>
    <x v="0"/>
    <x v="219"/>
    <n v="286960"/>
    <n v="1686240153711.4299"/>
    <n v="38.913633204536097"/>
  </r>
  <r>
    <x v="2"/>
    <x v="219"/>
    <n v="701"/>
    <n v="14157505535.01"/>
    <n v="2.7638643301418499E-4"/>
  </r>
  <r>
    <x v="1"/>
    <x v="219"/>
    <n v="1667"/>
    <n v="61402153038.43"/>
    <n v="93.759777888823706"/>
  </r>
  <r>
    <x v="0"/>
    <x v="220"/>
    <n v="287883"/>
    <n v="1687594503417.6201"/>
    <n v="39.879421249693401"/>
  </r>
  <r>
    <x v="2"/>
    <x v="220"/>
    <n v="753"/>
    <n v="16332228361.5"/>
    <n v="1.6715492669913E-3"/>
  </r>
  <r>
    <x v="1"/>
    <x v="220"/>
    <n v="1684"/>
    <n v="61117631921.150002"/>
    <n v="92.923947552831706"/>
  </r>
  <r>
    <x v="0"/>
    <x v="221"/>
    <n v="288800"/>
    <n v="1678034216160.9199"/>
    <n v="40.895726492699801"/>
  </r>
  <r>
    <x v="2"/>
    <x v="221"/>
    <n v="818"/>
    <n v="18926538940.299999"/>
    <n v="3.3699093696995301E-2"/>
  </r>
  <r>
    <x v="3"/>
    <x v="221"/>
    <n v="91"/>
    <n v="5555695171.1300001"/>
    <n v="0"/>
  </r>
  <r>
    <x v="1"/>
    <x v="221"/>
    <n v="1697"/>
    <n v="61062774148.769997"/>
    <n v="93.104318079525598"/>
  </r>
  <r>
    <x v="0"/>
    <x v="222"/>
    <n v="289667"/>
    <n v="1673253636966.7"/>
    <n v="41.967628869863503"/>
  </r>
  <r>
    <x v="2"/>
    <x v="222"/>
    <n v="877"/>
    <n v="21611125130.189999"/>
    <n v="2.8433221428476201E-2"/>
  </r>
  <r>
    <x v="3"/>
    <x v="222"/>
    <n v="156"/>
    <n v="8754398274.3899994"/>
    <n v="0.28642325152493903"/>
  </r>
  <r>
    <x v="1"/>
    <x v="222"/>
    <n v="1720"/>
    <n v="61530216630.559998"/>
    <n v="92.990305587438101"/>
  </r>
  <r>
    <x v="0"/>
    <x v="223"/>
    <n v="290751"/>
    <n v="1668901981848.5"/>
    <n v="43.013764711682398"/>
  </r>
  <r>
    <x v="2"/>
    <x v="223"/>
    <n v="932"/>
    <n v="24194119358.029999"/>
    <n v="6.3695969825837903E-2"/>
  </r>
  <r>
    <x v="3"/>
    <x v="223"/>
    <n v="210"/>
    <n v="12053254300.4"/>
    <n v="0.59020151200586701"/>
  </r>
  <r>
    <x v="1"/>
    <x v="223"/>
    <n v="1748"/>
    <n v="61794453574.470001"/>
    <n v="93.218697315590802"/>
  </r>
  <r>
    <x v="0"/>
    <x v="224"/>
    <n v="292008"/>
    <n v="1663516641773.1899"/>
    <n v="44.115106090754999"/>
  </r>
  <r>
    <x v="2"/>
    <x v="224"/>
    <n v="993"/>
    <n v="26597645245.860001"/>
    <n v="0.108314972200447"/>
  </r>
  <r>
    <x v="3"/>
    <x v="224"/>
    <n v="281"/>
    <n v="15145163161.950001"/>
    <n v="0.59644746243445701"/>
  </r>
  <r>
    <x v="1"/>
    <x v="224"/>
    <n v="1779"/>
    <n v="61518645943.379997"/>
    <n v="92.564933799540398"/>
  </r>
  <r>
    <x v="0"/>
    <x v="225"/>
    <n v="292794"/>
    <n v="1648405277502.1699"/>
    <n v="44.964628282645997"/>
  </r>
  <r>
    <x v="2"/>
    <x v="225"/>
    <n v="1047"/>
    <n v="28293094942.189999"/>
    <n v="0.180548098169386"/>
  </r>
  <r>
    <x v="3"/>
    <x v="225"/>
    <n v="339"/>
    <n v="17141506906.68"/>
    <n v="0.52613380433115398"/>
  </r>
  <r>
    <x v="1"/>
    <x v="225"/>
    <n v="1797"/>
    <n v="60741144641.419998"/>
    <n v="92.693385725285196"/>
  </r>
  <r>
    <x v="0"/>
    <x v="226"/>
    <n v="294272"/>
    <n v="1656955004649.22"/>
    <n v="46.152031785063897"/>
  </r>
  <r>
    <x v="2"/>
    <x v="226"/>
    <n v="1134"/>
    <n v="31066598637.540001"/>
    <n v="0.21996523522453101"/>
  </r>
  <r>
    <x v="3"/>
    <x v="226"/>
    <n v="427"/>
    <n v="20228876583.380001"/>
    <n v="0.650233595853423"/>
  </r>
  <r>
    <x v="1"/>
    <x v="226"/>
    <n v="1849"/>
    <n v="61181393447.510002"/>
    <n v="93.211131985948199"/>
  </r>
  <r>
    <x v="0"/>
    <x v="227"/>
    <n v="294972"/>
    <n v="1645019670084.6001"/>
    <n v="46.931075904828099"/>
  </r>
  <r>
    <x v="2"/>
    <x v="227"/>
    <n v="1194"/>
    <n v="33051971704.52"/>
    <n v="0.39684822933108499"/>
  </r>
  <r>
    <x v="3"/>
    <x v="227"/>
    <n v="493"/>
    <n v="22634123601.41"/>
    <n v="0.58012425874940898"/>
  </r>
  <r>
    <x v="1"/>
    <x v="227"/>
    <n v="1864"/>
    <n v="59324750524.360001"/>
    <n v="93.409988052090497"/>
  </r>
  <r>
    <x v="0"/>
    <x v="228"/>
    <n v="295747"/>
    <n v="1641408813705.6101"/>
    <n v="46.011159321965799"/>
  </r>
  <r>
    <x v="2"/>
    <x v="228"/>
    <n v="1265"/>
    <n v="35343557017.519997"/>
    <n v="0.58437254044512499"/>
  </r>
  <r>
    <x v="3"/>
    <x v="228"/>
    <n v="572"/>
    <n v="25710780014.439999"/>
    <n v="0.509810975562205"/>
  </r>
  <r>
    <x v="1"/>
    <x v="228"/>
    <n v="1890"/>
    <n v="59341253640.129997"/>
    <n v="88.673454618998406"/>
  </r>
  <r>
    <x v="0"/>
    <x v="229"/>
    <n v="296480"/>
    <n v="1639099306167.1299"/>
    <n v="45.048120682990202"/>
  </r>
  <r>
    <x v="2"/>
    <x v="229"/>
    <n v="1335"/>
    <n v="37312888521.379997"/>
    <n v="0.77455825967073599"/>
  </r>
  <r>
    <x v="3"/>
    <x v="229"/>
    <n v="639"/>
    <n v="27919269484.799999"/>
    <n v="0.468433910506311"/>
  </r>
  <r>
    <x v="1"/>
    <x v="229"/>
    <n v="1907"/>
    <n v="58273862919.07"/>
    <n v="85.499290083496902"/>
  </r>
  <r>
    <x v="0"/>
    <x v="230"/>
    <n v="296774"/>
    <n v="1632928605681.1299"/>
    <n v="44.488422647869101"/>
  </r>
  <r>
    <x v="2"/>
    <x v="230"/>
    <n v="1395"/>
    <n v="39156032691.959999"/>
    <n v="1.37673593689199"/>
  </r>
  <r>
    <x v="3"/>
    <x v="230"/>
    <n v="704"/>
    <n v="30041763432.959999"/>
    <n v="0.43432264293509798"/>
  </r>
  <r>
    <x v="1"/>
    <x v="230"/>
    <n v="1927"/>
    <n v="57984952680.769997"/>
    <n v="82.145929183285006"/>
  </r>
  <r>
    <x v="0"/>
    <x v="231"/>
    <n v="297206"/>
    <n v="1630926522634.1799"/>
    <n v="43.763809562722599"/>
  </r>
  <r>
    <x v="2"/>
    <x v="231"/>
    <n v="1447"/>
    <n v="41135466403"/>
    <n v="2.0356482648239602"/>
  </r>
  <r>
    <x v="3"/>
    <x v="231"/>
    <n v="760"/>
    <n v="32087573394.82"/>
    <n v="0.40532035450785903"/>
  </r>
  <r>
    <x v="1"/>
    <x v="231"/>
    <n v="1940"/>
    <n v="57919460773.599998"/>
    <n v="78.474717751326807"/>
  </r>
  <r>
    <x v="0"/>
    <x v="232"/>
    <n v="297478"/>
    <n v="1634172612883.0801"/>
    <n v="42.861924668996899"/>
  </r>
  <r>
    <x v="2"/>
    <x v="232"/>
    <n v="1489"/>
    <n v="42553384727.230003"/>
    <n v="2.7554132216970801"/>
  </r>
  <r>
    <x v="3"/>
    <x v="232"/>
    <n v="806"/>
    <n v="33554081959.810001"/>
    <n v="0.38620404138166298"/>
  </r>
  <r>
    <x v="1"/>
    <x v="232"/>
    <n v="1951"/>
    <n v="57743623776.370003"/>
    <n v="75.205493622159906"/>
  </r>
  <r>
    <x v="0"/>
    <x v="233"/>
    <n v="297713"/>
    <n v="1630715136837.8301"/>
    <n v="41.9460692805077"/>
  </r>
  <r>
    <x v="2"/>
    <x v="233"/>
    <n v="1527"/>
    <n v="44044353148.919998"/>
    <n v="3.1743047808765499"/>
  </r>
  <r>
    <x v="3"/>
    <x v="233"/>
    <n v="846"/>
    <n v="34996952153.550003"/>
    <n v="0.36867697622229301"/>
  </r>
  <r>
    <x v="1"/>
    <x v="233"/>
    <n v="1967"/>
    <n v="57562689788.809998"/>
    <n v="71.4254640932417"/>
  </r>
  <r>
    <x v="0"/>
    <x v="234"/>
    <n v="297745"/>
    <n v="1635352864892.78"/>
    <n v="40.914936341350703"/>
  </r>
  <r>
    <x v="2"/>
    <x v="234"/>
    <n v="1571"/>
    <n v="45268306712.739998"/>
    <n v="3.5801909551984501"/>
  </r>
  <r>
    <x v="3"/>
    <x v="234"/>
    <n v="890"/>
    <n v="36201078184.980003"/>
    <n v="0.35469539388473798"/>
  </r>
  <r>
    <x v="1"/>
    <x v="234"/>
    <n v="1980"/>
    <n v="57358795381.5"/>
    <n v="68.360680789217895"/>
  </r>
  <r>
    <x v="0"/>
    <x v="235"/>
    <n v="297935"/>
    <n v="1638979706834.8101"/>
    <n v="40.063351774054603"/>
  </r>
  <r>
    <x v="2"/>
    <x v="235"/>
    <n v="1617"/>
    <n v="46324942815.470001"/>
    <n v="3.9005726161388101"/>
  </r>
  <r>
    <x v="3"/>
    <x v="235"/>
    <n v="939"/>
    <n v="37243354893.68"/>
    <n v="0.34324562332754499"/>
  </r>
  <r>
    <x v="1"/>
    <x v="235"/>
    <n v="2002"/>
    <n v="57378888746.93"/>
    <n v="65.9799081378968"/>
  </r>
  <r>
    <x v="0"/>
    <x v="236"/>
    <n v="298051"/>
    <n v="1644012668533.9099"/>
    <n v="39.368113116509498"/>
  </r>
  <r>
    <x v="2"/>
    <x v="236"/>
    <n v="1660"/>
    <n v="47014770367.400002"/>
    <n v="3.8585986982427198"/>
  </r>
  <r>
    <x v="3"/>
    <x v="236"/>
    <n v="980"/>
    <n v="37852364380.050003"/>
    <n v="0.33653414092405898"/>
  </r>
  <r>
    <x v="1"/>
    <x v="236"/>
    <n v="2022"/>
    <n v="57356413673.699997"/>
    <n v="64.499036856386596"/>
  </r>
  <r>
    <x v="0"/>
    <x v="237"/>
    <n v="298245"/>
    <n v="1652973739227.2"/>
    <n v="38.745289380312897"/>
  </r>
  <r>
    <x v="2"/>
    <x v="237"/>
    <n v="1704"/>
    <n v="47554737040.699997"/>
    <n v="3.85369333856374"/>
  </r>
  <r>
    <x v="3"/>
    <x v="237"/>
    <n v="1016"/>
    <n v="38288256348.959999"/>
    <n v="0.28394930984035999"/>
  </r>
  <r>
    <x v="1"/>
    <x v="237"/>
    <n v="2039"/>
    <n v="57531922542.139999"/>
    <n v="63.329042538696498"/>
  </r>
  <r>
    <x v="0"/>
    <x v="238"/>
    <n v="298380"/>
    <n v="1657289777281.8"/>
    <n v="38.313655040066202"/>
  </r>
  <r>
    <x v="2"/>
    <x v="238"/>
    <n v="1735"/>
    <n v="47935165709.389999"/>
    <n v="3.8425952953231999"/>
  </r>
  <r>
    <x v="3"/>
    <x v="238"/>
    <n v="1053"/>
    <n v="38615010697.739998"/>
    <n v="0.28095358355811201"/>
  </r>
  <r>
    <x v="1"/>
    <x v="238"/>
    <n v="2050"/>
    <n v="57672150701.269997"/>
    <n v="62.330440113395703"/>
  </r>
  <r>
    <x v="0"/>
    <x v="239"/>
    <n v="298565"/>
    <n v="1661238948532.75"/>
    <n v="64.5410801708923"/>
  </r>
  <r>
    <x v="2"/>
    <x v="239"/>
    <n v="1774"/>
    <n v="48419743931.309998"/>
    <n v="24.401878175384699"/>
  </r>
  <r>
    <x v="3"/>
    <x v="239"/>
    <n v="1080"/>
    <n v="39260930004.410004"/>
    <n v="4.3499419773287"/>
  </r>
  <r>
    <x v="1"/>
    <x v="239"/>
    <n v="2057"/>
    <n v="57721870841.419998"/>
    <n v="95.913404213029494"/>
  </r>
  <r>
    <x v="0"/>
    <x v="240"/>
    <n v="298522"/>
    <n v="1659593431085.3999"/>
    <n v="65.1529561913744"/>
  </r>
  <r>
    <x v="2"/>
    <x v="240"/>
    <n v="1801"/>
    <n v="48560145055.739998"/>
    <n v="24.8032201499149"/>
  </r>
  <r>
    <x v="3"/>
    <x v="240"/>
    <n v="1104"/>
    <n v="39416596215.529999"/>
    <n v="4.4205861866805103"/>
  </r>
  <r>
    <x v="1"/>
    <x v="240"/>
    <n v="2063"/>
    <n v="57492039709.059998"/>
    <n v="95.936815614835396"/>
  </r>
  <r>
    <x v="0"/>
    <x v="241"/>
    <n v="298590"/>
    <n v="1661124798886"/>
    <n v="65.698548727677107"/>
  </r>
  <r>
    <x v="2"/>
    <x v="241"/>
    <n v="1826"/>
    <n v="48717365807.82"/>
    <n v="25.206949411499199"/>
  </r>
  <r>
    <x v="3"/>
    <x v="241"/>
    <n v="1126"/>
    <n v="39507898369.230003"/>
    <n v="4.5173603366722297"/>
  </r>
  <r>
    <x v="1"/>
    <x v="241"/>
    <n v="2070"/>
    <n v="57352259518.470001"/>
    <n v="95.966744557283704"/>
  </r>
  <r>
    <x v="0"/>
    <x v="242"/>
    <n v="298754"/>
    <n v="1661638057181.03"/>
    <n v="66.226575915065396"/>
  </r>
  <r>
    <x v="2"/>
    <x v="242"/>
    <n v="1844"/>
    <n v="48775718507.580002"/>
    <n v="25.966123327484301"/>
  </r>
  <r>
    <x v="3"/>
    <x v="242"/>
    <n v="1146"/>
    <n v="39554921006.989998"/>
    <n v="4.6267390023333501"/>
  </r>
  <r>
    <x v="1"/>
    <x v="242"/>
    <n v="2071"/>
    <n v="57132134715.449997"/>
    <n v="95.983406905461706"/>
  </r>
  <r>
    <x v="0"/>
    <x v="243"/>
    <n v="298806"/>
    <n v="1662332949157.3501"/>
    <n v="66.793099752939199"/>
  </r>
  <r>
    <x v="2"/>
    <x v="243"/>
    <n v="1858"/>
    <n v="48727978881.080002"/>
    <n v="26.639756513747301"/>
  </r>
  <r>
    <x v="3"/>
    <x v="243"/>
    <n v="1161"/>
    <n v="39534993055.339996"/>
    <n v="4.7125626471805298"/>
  </r>
  <r>
    <x v="1"/>
    <x v="243"/>
    <n v="2078"/>
    <n v="56845766696.43"/>
    <n v="96.008475797051602"/>
  </r>
  <r>
    <x v="0"/>
    <x v="244"/>
    <n v="298894"/>
    <n v="1662352977660.22"/>
    <n v="67.369973739029504"/>
  </r>
  <r>
    <x v="2"/>
    <x v="244"/>
    <n v="1870"/>
    <n v="48598619464.529999"/>
    <n v="27.2972460753953"/>
  </r>
  <r>
    <x v="3"/>
    <x v="244"/>
    <n v="1174"/>
    <n v="39463404393.919998"/>
    <n v="4.8095068211444998"/>
  </r>
  <r>
    <x v="1"/>
    <x v="244"/>
    <n v="2079"/>
    <n v="56578875659.620003"/>
    <n v="96.039232794439201"/>
  </r>
  <r>
    <x v="0"/>
    <x v="245"/>
    <n v="299170"/>
    <n v="1664665897034.6699"/>
    <n v="67.985172384694295"/>
  </r>
  <r>
    <x v="2"/>
    <x v="245"/>
    <n v="1884"/>
    <n v="48483101276.080002"/>
    <n v="27.6176508986504"/>
  </r>
  <r>
    <x v="3"/>
    <x v="245"/>
    <n v="1188"/>
    <n v="39388794194.209999"/>
    <n v="4.9404129600645899"/>
  </r>
  <r>
    <x v="1"/>
    <x v="245"/>
    <n v="2077"/>
    <n v="56276938887.650002"/>
    <n v="96.0716417398734"/>
  </r>
  <r>
    <x v="0"/>
    <x v="246"/>
    <n v="299545"/>
    <n v="1668539955684.26"/>
    <n v="68.670091266985494"/>
  </r>
  <r>
    <x v="2"/>
    <x v="246"/>
    <n v="1898"/>
    <n v="48306769923.019997"/>
    <n v="27.9789480054968"/>
  </r>
  <r>
    <x v="3"/>
    <x v="246"/>
    <n v="1198"/>
    <n v="39294654817.349998"/>
    <n v="5.0499400009735202"/>
  </r>
  <r>
    <x v="1"/>
    <x v="246"/>
    <n v="2081"/>
    <n v="56062210355.080002"/>
    <n v="96.758596272387805"/>
  </r>
  <r>
    <x v="0"/>
    <x v="247"/>
    <n v="299871"/>
    <n v="1670343938037"/>
    <n v="69.286293806997094"/>
  </r>
  <r>
    <x v="2"/>
    <x v="247"/>
    <n v="1915"/>
    <n v="48102232418.32"/>
    <n v="28.301291529890602"/>
  </r>
  <r>
    <x v="3"/>
    <x v="247"/>
    <n v="1209"/>
    <n v="39192835810.529999"/>
    <n v="5.19995240626029"/>
  </r>
  <r>
    <x v="1"/>
    <x v="247"/>
    <n v="2087"/>
    <n v="55645540533.309998"/>
    <n v="96.775324185716201"/>
  </r>
  <r>
    <x v="0"/>
    <x v="248"/>
    <n v="300262"/>
    <n v="1676850309557.6299"/>
    <n v="69.969237534556797"/>
  </r>
  <r>
    <x v="2"/>
    <x v="248"/>
    <n v="1926"/>
    <n v="47890424521.330002"/>
    <n v="28.5370952458264"/>
  </r>
  <r>
    <x v="3"/>
    <x v="248"/>
    <n v="1218"/>
    <n v="39081676749.080002"/>
    <n v="5.2919441939809699"/>
  </r>
  <r>
    <x v="1"/>
    <x v="248"/>
    <n v="2090"/>
    <n v="55621264788.639999"/>
    <n v="96.807592945280106"/>
  </r>
  <r>
    <x v="0"/>
    <x v="249"/>
    <n v="300784"/>
    <n v="1684277646790.8601"/>
    <n v="70.684647527310801"/>
  </r>
  <r>
    <x v="2"/>
    <x v="249"/>
    <n v="1935"/>
    <n v="47664710255.110001"/>
    <n v="28.8662006486576"/>
  </r>
  <r>
    <x v="3"/>
    <x v="249"/>
    <n v="1229"/>
    <n v="38971879224.970001"/>
    <n v="5.41824001126332"/>
  </r>
  <r>
    <x v="1"/>
    <x v="249"/>
    <n v="2089"/>
    <n v="55366832140.669998"/>
    <n v="96.835577602651398"/>
  </r>
  <r>
    <x v="0"/>
    <x v="250"/>
    <n v="301174"/>
    <n v="1685362593546.73"/>
    <n v="71.328493353395004"/>
  </r>
  <r>
    <x v="2"/>
    <x v="250"/>
    <n v="1943"/>
    <n v="47405248626.07"/>
    <n v="29.071162486283299"/>
  </r>
  <r>
    <x v="3"/>
    <x v="250"/>
    <n v="1234"/>
    <n v="38837765170.470001"/>
    <n v="5.5587643467466004"/>
  </r>
  <r>
    <x v="1"/>
    <x v="250"/>
    <n v="2093"/>
    <n v="55101250894.25"/>
    <n v="96.867106185353094"/>
  </r>
  <r>
    <x v="0"/>
    <x v="251"/>
    <n v="301744"/>
    <n v="1694662663304.0601"/>
    <n v="72.007485194197201"/>
  </r>
  <r>
    <x v="2"/>
    <x v="251"/>
    <n v="1957"/>
    <n v="47210415269.309998"/>
    <n v="29.3754811380884"/>
  </r>
  <r>
    <x v="3"/>
    <x v="251"/>
    <n v="1244"/>
    <n v="38713428394.529999"/>
    <n v="5.7175467114933696"/>
  </r>
  <r>
    <x v="1"/>
    <x v="251"/>
    <n v="2104"/>
    <n v="54945293853.269997"/>
    <n v="96.895661896547495"/>
  </r>
  <r>
    <x v="0"/>
    <x v="252"/>
    <n v="302124"/>
    <n v="1697793974754.6899"/>
    <n v="72.555987703310095"/>
  </r>
  <r>
    <x v="2"/>
    <x v="252"/>
    <n v="1967"/>
    <n v="46941608230.800003"/>
    <n v="29.7020569426825"/>
  </r>
  <r>
    <x v="3"/>
    <x v="252"/>
    <n v="1251"/>
    <n v="38563701206.080002"/>
    <n v="5.8836791282393399"/>
  </r>
  <r>
    <x v="1"/>
    <x v="252"/>
    <n v="2112"/>
    <n v="54539779489.800003"/>
    <n v="96.918391140360796"/>
  </r>
  <r>
    <x v="0"/>
    <x v="253"/>
    <n v="302604"/>
    <n v="1701526727197.6599"/>
    <n v="73.045635510559904"/>
  </r>
  <r>
    <x v="2"/>
    <x v="253"/>
    <n v="1977"/>
    <n v="46731480687.449997"/>
    <n v="29.970287281750402"/>
  </r>
  <r>
    <x v="3"/>
    <x v="253"/>
    <n v="1258"/>
    <n v="38419602868.800003"/>
    <n v="6.0505836574912504"/>
  </r>
  <r>
    <x v="1"/>
    <x v="253"/>
    <n v="2123"/>
    <n v="54424224378.089996"/>
    <n v="96.951525130830504"/>
  </r>
  <r>
    <x v="0"/>
    <x v="254"/>
    <n v="303067"/>
    <n v="1705063723228.8799"/>
    <n v="73.616152819916806"/>
  </r>
  <r>
    <x v="2"/>
    <x v="254"/>
    <n v="1989"/>
    <n v="46448619701.699997"/>
    <n v="30.4748051534262"/>
  </r>
  <r>
    <x v="3"/>
    <x v="254"/>
    <n v="1267"/>
    <n v="38264484535.919998"/>
    <n v="6.2931213628845004"/>
  </r>
  <r>
    <x v="1"/>
    <x v="254"/>
    <n v="2127"/>
    <n v="53980461373.160004"/>
    <n v="97.000430103227302"/>
  </r>
  <r>
    <x v="0"/>
    <x v="255"/>
    <n v="303626"/>
    <n v="1705465041251.01"/>
    <n v="74.248964262480101"/>
  </r>
  <r>
    <x v="2"/>
    <x v="255"/>
    <n v="2000"/>
    <n v="46068741761.550003"/>
    <n v="30.8735998189116"/>
  </r>
  <r>
    <x v="3"/>
    <x v="255"/>
    <n v="1274"/>
    <n v="38076849573.309998"/>
    <n v="6.5700054838579396"/>
  </r>
  <r>
    <x v="1"/>
    <x v="255"/>
    <n v="2130"/>
    <n v="53334300236"/>
    <n v="97.045293686170595"/>
  </r>
  <r>
    <x v="0"/>
    <x v="256"/>
    <n v="304069"/>
    <n v="1707243648596.95"/>
    <n v="74.888798378427694"/>
  </r>
  <r>
    <x v="2"/>
    <x v="256"/>
    <n v="2010"/>
    <n v="45680607740.449997"/>
    <n v="31.208473277370299"/>
  </r>
  <r>
    <x v="3"/>
    <x v="256"/>
    <n v="1284"/>
    <n v="37874463420.110001"/>
    <n v="6.8217150975549403"/>
  </r>
  <r>
    <x v="1"/>
    <x v="256"/>
    <n v="2136"/>
    <n v="52743944187.010002"/>
    <n v="97.088880914664003"/>
  </r>
  <r>
    <x v="0"/>
    <x v="257"/>
    <n v="304526"/>
    <n v="1710074547945.3301"/>
    <n v="75.490144388644794"/>
  </r>
  <r>
    <x v="2"/>
    <x v="257"/>
    <n v="2021"/>
    <n v="45283690761.019997"/>
    <n v="31.385451516979199"/>
  </r>
  <r>
    <x v="3"/>
    <x v="257"/>
    <n v="1291"/>
    <n v="37654575557.940002"/>
    <n v="7.0030837089418903"/>
  </r>
  <r>
    <x v="1"/>
    <x v="257"/>
    <n v="2144"/>
    <n v="53035541022.290001"/>
    <n v="97.163753131580904"/>
  </r>
  <r>
    <x v="0"/>
    <x v="258"/>
    <n v="304957"/>
    <n v="1715173017738.5601"/>
    <n v="76.145670945880596"/>
  </r>
  <r>
    <x v="2"/>
    <x v="258"/>
    <n v="2034"/>
    <n v="44830717499.190002"/>
    <n v="31.583205587285399"/>
  </r>
  <r>
    <x v="3"/>
    <x v="258"/>
    <n v="1300"/>
    <n v="37410876254.669998"/>
    <n v="7.2036185389848404"/>
  </r>
  <r>
    <x v="1"/>
    <x v="258"/>
    <n v="2149"/>
    <n v="52795398936.43"/>
    <n v="97.230845896412404"/>
  </r>
  <r>
    <x v="0"/>
    <x v="259"/>
    <n v="305492"/>
    <n v="1718096723563.3201"/>
    <n v="76.694797636807607"/>
  </r>
  <r>
    <x v="2"/>
    <x v="259"/>
    <n v="2042"/>
    <n v="44381702236.650002"/>
    <n v="31.804533067467901"/>
  </r>
  <r>
    <x v="3"/>
    <x v="259"/>
    <n v="1307"/>
    <n v="37159487080.809998"/>
    <n v="7.3796693653164498"/>
  </r>
  <r>
    <x v="1"/>
    <x v="259"/>
    <n v="2162"/>
    <n v="52770132887.830002"/>
    <n v="97.386401204147603"/>
  </r>
  <r>
    <x v="0"/>
    <x v="260"/>
    <n v="306021"/>
    <n v="1729227687203.3701"/>
    <n v="77.286756458319601"/>
  </r>
  <r>
    <x v="2"/>
    <x v="260"/>
    <n v="2052"/>
    <n v="44008637029.370003"/>
    <n v="31.9799320305832"/>
  </r>
  <r>
    <x v="3"/>
    <x v="260"/>
    <n v="1315"/>
    <n v="36939526623.260002"/>
    <n v="7.5459953674298301"/>
  </r>
  <r>
    <x v="1"/>
    <x v="260"/>
    <n v="2173"/>
    <n v="52633387839.209999"/>
    <n v="97.420328810181701"/>
  </r>
  <r>
    <x v="0"/>
    <x v="261"/>
    <n v="306476"/>
    <n v="1737379808198.2"/>
    <n v="77.809977180303306"/>
  </r>
  <r>
    <x v="2"/>
    <x v="261"/>
    <n v="2069"/>
    <n v="43698985154.040001"/>
    <n v="32.215801828629402"/>
  </r>
  <r>
    <x v="3"/>
    <x v="261"/>
    <n v="1328"/>
    <n v="36789617512.57"/>
    <n v="7.7309701604460299"/>
  </r>
  <r>
    <x v="1"/>
    <x v="261"/>
    <n v="2186"/>
    <n v="52506624208.32"/>
    <n v="97.447588496298707"/>
  </r>
  <r>
    <x v="0"/>
    <x v="262"/>
    <n v="306761"/>
    <n v="1734507571227.5901"/>
    <n v="78.223861507295794"/>
  </r>
  <r>
    <x v="2"/>
    <x v="262"/>
    <n v="2073"/>
    <n v="43286317529.480003"/>
    <n v="32.403109277534099"/>
  </r>
  <r>
    <x v="3"/>
    <x v="262"/>
    <n v="1332"/>
    <n v="36550588239.07"/>
    <n v="7.91770065574757"/>
  </r>
  <r>
    <x v="1"/>
    <x v="262"/>
    <n v="2195"/>
    <n v="52316553177.239998"/>
    <n v="97.481550674402698"/>
  </r>
  <r>
    <x v="0"/>
    <x v="263"/>
    <n v="307158"/>
    <n v="1742660147829.8999"/>
    <n v="78.698575103590102"/>
  </r>
  <r>
    <x v="2"/>
    <x v="263"/>
    <n v="2082"/>
    <n v="42975673769.300003"/>
    <n v="32.614643425506699"/>
  </r>
  <r>
    <x v="3"/>
    <x v="263"/>
    <n v="1339"/>
    <n v="36350171434.389999"/>
    <n v="8.1026686798636796"/>
  </r>
  <r>
    <x v="1"/>
    <x v="263"/>
    <n v="2212"/>
    <n v="52451800097.93"/>
    <n v="97.532202517764304"/>
  </r>
  <r>
    <x v="0"/>
    <x v="264"/>
    <n v="307309"/>
    <n v="1746557623903.75"/>
    <n v="79.139613750983898"/>
  </r>
  <r>
    <x v="2"/>
    <x v="264"/>
    <n v="2090"/>
    <n v="42587228592.629997"/>
    <n v="32.841514829619399"/>
  </r>
  <r>
    <x v="3"/>
    <x v="264"/>
    <n v="1343"/>
    <n v="36103641907.169998"/>
    <n v="8.3498058002966697"/>
  </r>
  <r>
    <x v="1"/>
    <x v="264"/>
    <n v="2214"/>
    <n v="52231231146.370003"/>
    <n v="97.563207494764796"/>
  </r>
  <r>
    <x v="0"/>
    <x v="265"/>
    <n v="307672"/>
    <n v="1749230451883.8101"/>
    <n v="79.537146474007699"/>
  </r>
  <r>
    <x v="2"/>
    <x v="265"/>
    <n v="2098"/>
    <n v="42314996395.470001"/>
    <n v="33.102948847218798"/>
  </r>
  <r>
    <x v="3"/>
    <x v="265"/>
    <n v="1347"/>
    <n v="35909399214.110001"/>
    <n v="8.5581032266119106"/>
  </r>
  <r>
    <x v="1"/>
    <x v="265"/>
    <n v="2226"/>
    <n v="52211453665.650002"/>
    <n v="97.578582653695506"/>
  </r>
  <r>
    <x v="0"/>
    <x v="266"/>
    <n v="308177"/>
    <n v="1758381892008.99"/>
    <n v="79.976392216874601"/>
  </r>
  <r>
    <x v="2"/>
    <x v="266"/>
    <n v="2109"/>
    <n v="42015385385.540001"/>
    <n v="33.2855459903991"/>
  </r>
  <r>
    <x v="3"/>
    <x v="266"/>
    <n v="1356"/>
    <n v="35708371081.940002"/>
    <n v="8.8172442769691806"/>
  </r>
  <r>
    <x v="1"/>
    <x v="266"/>
    <n v="2236"/>
    <n v="52408156377.43"/>
    <n v="97.534655404274204"/>
  </r>
  <r>
    <x v="0"/>
    <x v="267"/>
    <n v="308550"/>
    <n v="1762538348889.95"/>
    <n v="80.4145498233582"/>
  </r>
  <r>
    <x v="2"/>
    <x v="267"/>
    <n v="2122"/>
    <n v="41605142128.040001"/>
    <n v="33.486199421027997"/>
  </r>
  <r>
    <x v="3"/>
    <x v="267"/>
    <n v="1361"/>
    <n v="35410457427.75"/>
    <n v="9.06543635263853"/>
  </r>
  <r>
    <x v="1"/>
    <x v="267"/>
    <n v="2249"/>
    <n v="52597600836.050003"/>
    <n v="97.467223502482895"/>
  </r>
  <r>
    <x v="0"/>
    <x v="268"/>
    <n v="308957"/>
    <n v="1767039306438.99"/>
    <n v="80.844711587004198"/>
  </r>
  <r>
    <x v="2"/>
    <x v="268"/>
    <n v="2130"/>
    <n v="41147928671"/>
    <n v="33.774570343896301"/>
  </r>
  <r>
    <x v="3"/>
    <x v="268"/>
    <n v="1367"/>
    <n v="35129109527.150002"/>
    <n v="9.3104718624542802"/>
  </r>
  <r>
    <x v="1"/>
    <x v="268"/>
    <n v="2258"/>
    <n v="52812767276.599998"/>
    <n v="97.351804466586898"/>
  </r>
  <r>
    <x v="0"/>
    <x v="269"/>
    <n v="309633"/>
    <n v="1773173538779.0801"/>
    <n v="81.316631050407196"/>
  </r>
  <r>
    <x v="2"/>
    <x v="269"/>
    <n v="2137"/>
    <n v="40666312136.339996"/>
    <n v="33.946688090067703"/>
  </r>
  <r>
    <x v="3"/>
    <x v="269"/>
    <n v="1374"/>
    <n v="34806670533.199997"/>
    <n v="9.4538048744505598"/>
  </r>
  <r>
    <x v="1"/>
    <x v="269"/>
    <n v="2265"/>
    <n v="53682511085.900002"/>
    <n v="97.240238976823505"/>
  </r>
  <r>
    <x v="1"/>
    <x v="270"/>
    <n v="2278"/>
    <n v="54334948049.68"/>
    <n v="97.157399208931395"/>
  </r>
  <r>
    <x v="2"/>
    <x v="270"/>
    <n v="2143"/>
    <n v="40108011455.849998"/>
    <n v="34.108510747769202"/>
  </r>
  <r>
    <x v="3"/>
    <x v="270"/>
    <n v="1380"/>
    <n v="34436906908.110001"/>
    <n v="9.5910145493460401"/>
  </r>
  <r>
    <x v="0"/>
    <x v="270"/>
    <n v="310027"/>
    <n v="1776650798767.21"/>
    <n v="81.746914203326497"/>
  </r>
  <r>
    <x v="2"/>
    <x v="271"/>
    <n v="2148"/>
    <n v="39586221687.860001"/>
    <n v="34.271596886114601"/>
  </r>
  <r>
    <x v="1"/>
    <x v="271"/>
    <n v="2291"/>
    <n v="55686999256.790001"/>
    <n v="96.961159338553799"/>
  </r>
  <r>
    <x v="0"/>
    <x v="271"/>
    <n v="310733"/>
    <n v="1788184749657.6001"/>
    <n v="82.263256847061498"/>
  </r>
  <r>
    <x v="3"/>
    <x v="271"/>
    <n v="1385"/>
    <n v="34088680556.189999"/>
    <n v="9.7493767200397006"/>
  </r>
  <r>
    <x v="0"/>
    <x v="272"/>
    <n v="311376"/>
    <n v="1794130472303.8501"/>
    <n v="82.742465754093104"/>
  </r>
  <r>
    <x v="2"/>
    <x v="272"/>
    <n v="2155"/>
    <n v="38990714989.599998"/>
    <n v="34.506460992277802"/>
  </r>
  <r>
    <x v="1"/>
    <x v="272"/>
    <n v="2303"/>
    <n v="56641834722.18"/>
    <n v="96.843677028821702"/>
  </r>
  <r>
    <x v="3"/>
    <x v="272"/>
    <n v="1390"/>
    <n v="33686513650.32"/>
    <n v="9.90365059096706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s v="(NULL)"/>
  </r>
  <r>
    <x v="0"/>
    <x v="29"/>
    <n v="153592"/>
    <n v="364145909105.21997"/>
    <s v="(NULL)"/>
  </r>
  <r>
    <x v="0"/>
    <x v="30"/>
    <n v="154353"/>
    <n v="367843583423.22998"/>
    <s v="(NULL)"/>
  </r>
  <r>
    <x v="0"/>
    <x v="31"/>
    <n v="155081"/>
    <n v="370513413856.09998"/>
    <s v="(NULL)"/>
  </r>
  <r>
    <x v="0"/>
    <x v="32"/>
    <n v="155900"/>
    <n v="375154945459.59998"/>
    <s v="(NULL)"/>
  </r>
  <r>
    <x v="0"/>
    <x v="33"/>
    <n v="156553"/>
    <n v="378164550622.22998"/>
    <s v="(NULL)"/>
  </r>
  <r>
    <x v="0"/>
    <x v="34"/>
    <n v="157183"/>
    <n v="380573155397.19"/>
    <s v="(NULL)"/>
  </r>
  <r>
    <x v="0"/>
    <x v="35"/>
    <n v="157961"/>
    <n v="383579286284.32001"/>
    <s v="(NULL)"/>
  </r>
  <r>
    <x v="0"/>
    <x v="36"/>
    <n v="158587"/>
    <n v="385622880966.02002"/>
    <s v="(NULL)"/>
  </r>
  <r>
    <x v="0"/>
    <x v="37"/>
    <n v="159328"/>
    <n v="388944585913.88"/>
    <s v="(NULL)"/>
  </r>
  <r>
    <x v="0"/>
    <x v="38"/>
    <n v="160031"/>
    <n v="391996345649.14001"/>
    <s v="(NULL)"/>
  </r>
  <r>
    <x v="0"/>
    <x v="39"/>
    <n v="160667"/>
    <n v="394401986179.65997"/>
    <s v="(NULL)"/>
  </r>
  <r>
    <x v="0"/>
    <x v="40"/>
    <n v="161332"/>
    <n v="397650299517.78003"/>
    <s v="(NULL)"/>
  </r>
  <r>
    <x v="0"/>
    <x v="41"/>
    <n v="161858"/>
    <n v="399661358461.85999"/>
    <s v="(NULL)"/>
  </r>
  <r>
    <x v="0"/>
    <x v="42"/>
    <n v="162531"/>
    <n v="402473247826.06"/>
    <s v="(NULL)"/>
  </r>
  <r>
    <x v="0"/>
    <x v="43"/>
    <n v="163328"/>
    <n v="407135000510.78003"/>
    <s v="(NULL)"/>
  </r>
  <r>
    <x v="0"/>
    <x v="44"/>
    <n v="164171"/>
    <n v="410957899203.09998"/>
    <s v="(NULL)"/>
  </r>
  <r>
    <x v="0"/>
    <x v="45"/>
    <n v="164998"/>
    <n v="415578143387.42999"/>
    <s v="(NULL)"/>
  </r>
  <r>
    <x v="0"/>
    <x v="46"/>
    <n v="165889"/>
    <n v="420442181020.82001"/>
    <s v="(NULL)"/>
  </r>
  <r>
    <x v="0"/>
    <x v="47"/>
    <n v="166964"/>
    <n v="425507008058.42999"/>
    <s v="(NULL)"/>
  </r>
  <r>
    <x v="0"/>
    <x v="48"/>
    <n v="167888"/>
    <n v="430133364045.90002"/>
    <s v="(NULL)"/>
  </r>
  <r>
    <x v="0"/>
    <x v="49"/>
    <n v="169006"/>
    <n v="436014643807.73999"/>
    <s v="(NULL)"/>
  </r>
  <r>
    <x v="0"/>
    <x v="50"/>
    <n v="170201"/>
    <n v="440572182741.69"/>
    <s v="(NULL)"/>
  </r>
  <r>
    <x v="0"/>
    <x v="51"/>
    <n v="171456"/>
    <n v="447378001346.06"/>
    <s v="(NULL)"/>
  </r>
  <r>
    <x v="0"/>
    <x v="52"/>
    <n v="172582"/>
    <n v="454600787180.84998"/>
    <s v="(NULL)"/>
  </r>
  <r>
    <x v="0"/>
    <x v="53"/>
    <n v="173773"/>
    <n v="463337515393.27002"/>
    <s v="(NULL)"/>
  </r>
  <r>
    <x v="0"/>
    <x v="54"/>
    <n v="174901"/>
    <n v="473963930458.06"/>
    <s v="(NULL)"/>
  </r>
  <r>
    <x v="0"/>
    <x v="55"/>
    <n v="175971"/>
    <n v="482637195788"/>
    <s v="(NULL)"/>
  </r>
  <r>
    <x v="0"/>
    <x v="56"/>
    <n v="177221"/>
    <n v="492759677673.42999"/>
    <s v="(NULL)"/>
  </r>
  <r>
    <x v="0"/>
    <x v="57"/>
    <n v="178640"/>
    <n v="502211629634.06"/>
    <s v="(NULL)"/>
  </r>
  <r>
    <x v="0"/>
    <x v="58"/>
    <n v="179937"/>
    <n v="508860817728.65997"/>
    <s v="(NULL)"/>
  </r>
  <r>
    <x v="0"/>
    <x v="59"/>
    <n v="181535"/>
    <n v="519181595242.40002"/>
    <s v="(NULL)"/>
  </r>
  <r>
    <x v="0"/>
    <x v="60"/>
    <n v="183021"/>
    <n v="529266546073.46997"/>
    <s v="(NULL)"/>
  </r>
  <r>
    <x v="0"/>
    <x v="61"/>
    <n v="184355"/>
    <n v="540755542094.21002"/>
    <s v="(NULL)"/>
  </r>
  <r>
    <x v="0"/>
    <x v="62"/>
    <n v="185605"/>
    <n v="549750472653.34998"/>
    <s v="(NULL)"/>
  </r>
  <r>
    <x v="0"/>
    <x v="63"/>
    <n v="186717"/>
    <n v="556506175459.81006"/>
    <s v="(NULL)"/>
  </r>
  <r>
    <x v="0"/>
    <x v="64"/>
    <n v="187662"/>
    <n v="563458838273"/>
    <s v="(NULL)"/>
  </r>
  <r>
    <x v="0"/>
    <x v="65"/>
    <n v="188811"/>
    <n v="572204607933.89001"/>
    <s v="(NULL)"/>
  </r>
  <r>
    <x v="0"/>
    <x v="66"/>
    <n v="189841"/>
    <n v="579291469300.42004"/>
    <s v="(NULL)"/>
  </r>
  <r>
    <x v="0"/>
    <x v="67"/>
    <n v="190764"/>
    <n v="587347551657.76001"/>
    <s v="(NULL)"/>
  </r>
  <r>
    <x v="0"/>
    <x v="68"/>
    <n v="191769"/>
    <n v="595358056585.48999"/>
    <s v="(NULL)"/>
  </r>
  <r>
    <x v="0"/>
    <x v="69"/>
    <n v="192676"/>
    <n v="603335784202.89001"/>
    <s v="(NULL)"/>
  </r>
  <r>
    <x v="0"/>
    <x v="70"/>
    <n v="193594"/>
    <n v="608661813729.64001"/>
    <s v="(NULL)"/>
  </r>
  <r>
    <x v="0"/>
    <x v="71"/>
    <n v="194574"/>
    <n v="614730545023.56995"/>
    <s v="(NULL)"/>
  </r>
  <r>
    <x v="0"/>
    <x v="72"/>
    <n v="195521"/>
    <n v="620175920606.63"/>
    <s v="(NULL)"/>
  </r>
  <r>
    <x v="0"/>
    <x v="73"/>
    <n v="196302"/>
    <n v="625373224000.52002"/>
    <s v="(NULL)"/>
  </r>
  <r>
    <x v="0"/>
    <x v="74"/>
    <n v="197211"/>
    <n v="628789317108.88"/>
    <s v="(NULL)"/>
  </r>
  <r>
    <x v="0"/>
    <x v="75"/>
    <n v="198200"/>
    <n v="633466085432.80005"/>
    <s v="(NULL)"/>
  </r>
  <r>
    <x v="0"/>
    <x v="76"/>
    <n v="199277"/>
    <n v="638637756539.06006"/>
    <s v="(NULL)"/>
  </r>
  <r>
    <x v="0"/>
    <x v="77"/>
    <n v="200318"/>
    <n v="644319934151.05005"/>
    <s v="(NULL)"/>
  </r>
  <r>
    <x v="0"/>
    <x v="78"/>
    <n v="201523"/>
    <n v="650241592057.52002"/>
    <s v="(NULL)"/>
  </r>
  <r>
    <x v="0"/>
    <x v="79"/>
    <n v="202877"/>
    <n v="659140528287.64001"/>
    <s v="(NULL)"/>
  </r>
  <r>
    <x v="0"/>
    <x v="80"/>
    <n v="204126"/>
    <n v="667771708329.09998"/>
    <s v="(NULL)"/>
  </r>
  <r>
    <x v="0"/>
    <x v="81"/>
    <n v="205336"/>
    <n v="678145982258.65002"/>
    <s v="(NULL)"/>
  </r>
  <r>
    <x v="0"/>
    <x v="82"/>
    <n v="206553"/>
    <n v="688667464062.68005"/>
    <s v="(NULL)"/>
  </r>
  <r>
    <x v="0"/>
    <x v="83"/>
    <n v="207893"/>
    <n v="700106336980.84998"/>
    <s v="(NULL)"/>
  </r>
  <r>
    <x v="0"/>
    <x v="84"/>
    <n v="209121"/>
    <n v="711936410692.26001"/>
    <s v="(NULL)"/>
  </r>
  <r>
    <x v="0"/>
    <x v="85"/>
    <n v="210670"/>
    <n v="724159427993.80005"/>
    <s v="(NULL)"/>
  </r>
  <r>
    <x v="0"/>
    <x v="86"/>
    <n v="212403"/>
    <n v="737131621054.80005"/>
    <s v="(NULL)"/>
  </r>
  <r>
    <x v="0"/>
    <x v="87"/>
    <n v="214231"/>
    <n v="752556214855.22998"/>
    <s v="(NULL)"/>
  </r>
  <r>
    <x v="0"/>
    <x v="88"/>
    <n v="216060"/>
    <n v="768634381863"/>
    <s v="(NULL)"/>
  </r>
  <r>
    <x v="0"/>
    <x v="89"/>
    <n v="217775"/>
    <n v="783899597190.81006"/>
    <s v="(NULL)"/>
  </r>
  <r>
    <x v="0"/>
    <x v="90"/>
    <n v="219337"/>
    <n v="800219895172"/>
    <s v="(NULL)"/>
  </r>
  <r>
    <x v="0"/>
    <x v="91"/>
    <n v="220863"/>
    <n v="816276961683.10999"/>
    <s v="(NULL)"/>
  </r>
  <r>
    <x v="0"/>
    <x v="92"/>
    <n v="222193"/>
    <n v="829340407712.87"/>
    <s v="(NULL)"/>
  </r>
  <r>
    <x v="0"/>
    <x v="93"/>
    <n v="223572"/>
    <n v="841081375122.14001"/>
    <s v="(NULL)"/>
  </r>
  <r>
    <x v="0"/>
    <x v="94"/>
    <n v="225055"/>
    <n v="853354387292.38"/>
    <s v="(NULL)"/>
  </r>
  <r>
    <x v="0"/>
    <x v="95"/>
    <n v="226605"/>
    <n v="865009341307.27002"/>
    <s v="(NULL)"/>
  </r>
  <r>
    <x v="0"/>
    <x v="96"/>
    <n v="227719"/>
    <n v="868002653952.68994"/>
    <s v="(NULL)"/>
  </r>
  <r>
    <x v="0"/>
    <x v="97"/>
    <n v="228962"/>
    <n v="879696484692.43994"/>
    <s v="(NULL)"/>
  </r>
  <r>
    <x v="0"/>
    <x v="98"/>
    <n v="229290"/>
    <n v="891137066963.31006"/>
    <s v="(NULL)"/>
  </r>
  <r>
    <x v="0"/>
    <x v="99"/>
    <n v="230242"/>
    <n v="898079497234.46997"/>
    <s v="(NULL)"/>
  </r>
  <r>
    <x v="0"/>
    <x v="100"/>
    <n v="231200"/>
    <n v="906196770233.09998"/>
    <s v="(NULL)"/>
  </r>
  <r>
    <x v="0"/>
    <x v="101"/>
    <n v="232155"/>
    <n v="915306614991.16003"/>
    <s v="(NULL)"/>
  </r>
  <r>
    <x v="0"/>
    <x v="102"/>
    <n v="232988"/>
    <n v="924210879564.21997"/>
    <s v="(NULL)"/>
  </r>
  <r>
    <x v="0"/>
    <x v="103"/>
    <n v="234029"/>
    <n v="933451662668.81006"/>
    <s v="(NULL)"/>
  </r>
  <r>
    <x v="0"/>
    <x v="104"/>
    <n v="235250"/>
    <n v="939163115315.12"/>
    <s v="(NULL)"/>
  </r>
  <r>
    <x v="0"/>
    <x v="105"/>
    <n v="236280"/>
    <n v="950835871010.5"/>
    <s v="(NULL)"/>
  </r>
  <r>
    <x v="0"/>
    <x v="106"/>
    <n v="237080"/>
    <n v="948704633830.25"/>
    <s v="(NULL)"/>
  </r>
  <r>
    <x v="0"/>
    <x v="107"/>
    <n v="238095"/>
    <n v="952529753121.88"/>
    <s v="(NULL)"/>
  </r>
  <r>
    <x v="0"/>
    <x v="108"/>
    <n v="238988"/>
    <n v="962426850688.71997"/>
    <s v="(NULL)"/>
  </r>
  <r>
    <x v="0"/>
    <x v="109"/>
    <n v="239791"/>
    <n v="971889246408.43994"/>
    <s v="(NULL)"/>
  </r>
  <r>
    <x v="0"/>
    <x v="110"/>
    <n v="240505"/>
    <n v="981397635555.85999"/>
    <s v="(NULL)"/>
  </r>
  <r>
    <x v="0"/>
    <x v="111"/>
    <n v="241199"/>
    <n v="998455877100.01001"/>
    <s v="(NULL)"/>
  </r>
  <r>
    <x v="0"/>
    <x v="112"/>
    <n v="241528"/>
    <n v="1000338175794.87"/>
    <s v="(NULL)"/>
  </r>
  <r>
    <x v="0"/>
    <x v="113"/>
    <n v="242127"/>
    <n v="1015393774840.89"/>
    <s v="(NULL)"/>
  </r>
  <r>
    <x v="0"/>
    <x v="114"/>
    <n v="242806"/>
    <n v="1022403673721.74"/>
    <s v="(NULL)"/>
  </r>
  <r>
    <x v="0"/>
    <x v="115"/>
    <n v="243055"/>
    <n v="1011345079983.45"/>
    <s v="(NULL)"/>
  </r>
  <r>
    <x v="0"/>
    <x v="116"/>
    <n v="243087"/>
    <n v="1018746952300.48"/>
    <s v="(NULL)"/>
  </r>
  <r>
    <x v="0"/>
    <x v="117"/>
    <n v="242823"/>
    <n v="1022881900552.3199"/>
    <s v="(NULL)"/>
  </r>
  <r>
    <x v="0"/>
    <x v="118"/>
    <n v="242568"/>
    <n v="1029221486063.8"/>
    <s v="(NULL)"/>
  </r>
  <r>
    <x v="0"/>
    <x v="119"/>
    <n v="242944"/>
    <n v="1041578015793.9"/>
    <s v="(NULL)"/>
  </r>
  <r>
    <x v="0"/>
    <x v="120"/>
    <n v="242958"/>
    <n v="1046154494968.26"/>
    <s v="(NULL)"/>
  </r>
  <r>
    <x v="0"/>
    <x v="121"/>
    <n v="243244"/>
    <n v="1054228745365.45"/>
    <s v="(NULL)"/>
  </r>
  <r>
    <x v="0"/>
    <x v="122"/>
    <n v="243458"/>
    <n v="1054419241918.8"/>
    <s v="(NULL)"/>
  </r>
  <r>
    <x v="0"/>
    <x v="123"/>
    <n v="243458"/>
    <n v="1053489210318.27"/>
    <s v="(NULL)"/>
  </r>
  <r>
    <x v="0"/>
    <x v="124"/>
    <n v="243206"/>
    <n v="1042475819587.54"/>
    <s v="(NULL)"/>
  </r>
  <r>
    <x v="0"/>
    <x v="125"/>
    <n v="243206"/>
    <n v="1043034371136.61"/>
    <s v="(NULL)"/>
  </r>
  <r>
    <x v="0"/>
    <x v="126"/>
    <n v="243079"/>
    <n v="1042526892174.13"/>
    <s v="(NULL)"/>
  </r>
  <r>
    <x v="0"/>
    <x v="127"/>
    <n v="243049"/>
    <n v="1043715265049.05"/>
    <s v="(NULL)"/>
  </r>
  <r>
    <x v="0"/>
    <x v="128"/>
    <n v="243211"/>
    <n v="1047052334367.59"/>
    <s v="(NULL)"/>
  </r>
  <r>
    <x v="0"/>
    <x v="129"/>
    <n v="243358"/>
    <n v="1046559366288.4301"/>
    <s v="(NULL)"/>
  </r>
  <r>
    <x v="0"/>
    <x v="130"/>
    <n v="243520"/>
    <n v="1046116620723.4399"/>
    <s v="(NULL)"/>
  </r>
  <r>
    <x v="0"/>
    <x v="131"/>
    <n v="243723"/>
    <n v="1045661950289.12"/>
    <s v="(NULL)"/>
  </r>
  <r>
    <x v="0"/>
    <x v="132"/>
    <n v="243770"/>
    <n v="1045305106228.61"/>
    <s v="(NULL)"/>
  </r>
  <r>
    <x v="0"/>
    <x v="133"/>
    <n v="243919"/>
    <n v="1047019150198.85"/>
    <s v="(NULL)"/>
  </r>
  <r>
    <x v="0"/>
    <x v="134"/>
    <n v="244114"/>
    <n v="1048394573900.75"/>
    <s v="(NULL)"/>
  </r>
  <r>
    <x v="0"/>
    <x v="135"/>
    <n v="244026"/>
    <n v="1046716620858.74"/>
    <s v="(NULL)"/>
  </r>
  <r>
    <x v="0"/>
    <x v="136"/>
    <n v="244112"/>
    <n v="1051148406451.9301"/>
    <s v="(NULL)"/>
  </r>
  <r>
    <x v="0"/>
    <x v="137"/>
    <n v="244290"/>
    <n v="1055396152979.1"/>
    <s v="(NULL)"/>
  </r>
  <r>
    <x v="0"/>
    <x v="138"/>
    <n v="244376"/>
    <n v="1062568967389.26"/>
    <s v="(NULL)"/>
  </r>
  <r>
    <x v="0"/>
    <x v="139"/>
    <n v="244769"/>
    <n v="1071676798504.13"/>
    <s v="(NULL)"/>
  </r>
  <r>
    <x v="0"/>
    <x v="140"/>
    <n v="245103"/>
    <n v="1083168990542.87"/>
    <s v="(NULL)"/>
  </r>
  <r>
    <x v="0"/>
    <x v="141"/>
    <n v="245417"/>
    <n v="1092258150495.95"/>
    <s v="(NULL)"/>
  </r>
  <r>
    <x v="0"/>
    <x v="142"/>
    <n v="245734"/>
    <n v="1101714404588.9399"/>
    <s v="(NULL)"/>
  </r>
  <r>
    <x v="0"/>
    <x v="143"/>
    <n v="246265"/>
    <n v="1111269349920.8401"/>
    <s v="(NULL)"/>
  </r>
  <r>
    <x v="0"/>
    <x v="144"/>
    <n v="246636"/>
    <n v="1122419326727.3401"/>
    <s v="(NULL)"/>
  </r>
  <r>
    <x v="0"/>
    <x v="145"/>
    <n v="247214"/>
    <n v="1132529092295.1799"/>
    <s v="(NULL)"/>
  </r>
  <r>
    <x v="0"/>
    <x v="146"/>
    <n v="247639"/>
    <n v="1142036164423.6499"/>
    <s v="(NULL)"/>
  </r>
  <r>
    <x v="0"/>
    <x v="147"/>
    <n v="248030"/>
    <n v="1155261788794.02"/>
    <s v="(NULL)"/>
  </r>
  <r>
    <x v="0"/>
    <x v="148"/>
    <n v="248548"/>
    <n v="1168142806797.22"/>
    <s v="(NULL)"/>
  </r>
  <r>
    <x v="0"/>
    <x v="149"/>
    <n v="248874"/>
    <n v="1181825510252.74"/>
    <s v="(NULL)"/>
  </r>
  <r>
    <x v="0"/>
    <x v="150"/>
    <n v="249248"/>
    <n v="1192430186515.3201"/>
    <s v="(NULL)"/>
  </r>
  <r>
    <x v="0"/>
    <x v="151"/>
    <n v="249885"/>
    <n v="1206782284664.1699"/>
    <s v="(NULL)"/>
  </r>
  <r>
    <x v="0"/>
    <x v="152"/>
    <n v="250428"/>
    <n v="1220415637263.49"/>
    <s v="(NULL)"/>
  </r>
  <r>
    <x v="0"/>
    <x v="153"/>
    <n v="250977"/>
    <n v="1240435866291.8799"/>
    <s v="(NULL)"/>
  </r>
  <r>
    <x v="0"/>
    <x v="154"/>
    <n v="251536"/>
    <n v="1253159977244.54"/>
    <s v="(NULL)"/>
  </r>
  <r>
    <x v="0"/>
    <x v="155"/>
    <n v="252197"/>
    <n v="1267753834052.5601"/>
    <s v="(NULL)"/>
  </r>
  <r>
    <x v="0"/>
    <x v="156"/>
    <n v="252755"/>
    <n v="1281899182108.53"/>
    <s v="(NULL)"/>
  </r>
  <r>
    <x v="0"/>
    <x v="157"/>
    <n v="253418"/>
    <n v="1297151286163.0601"/>
    <s v="(NULL)"/>
  </r>
  <r>
    <x v="0"/>
    <x v="158"/>
    <n v="254121"/>
    <n v="1313547803162.76"/>
    <s v="(NULL)"/>
  </r>
  <r>
    <x v="0"/>
    <x v="159"/>
    <n v="254866"/>
    <n v="1329046516438.8999"/>
    <s v="(NULL)"/>
  </r>
  <r>
    <x v="0"/>
    <x v="160"/>
    <n v="255714"/>
    <n v="1351361414625.3799"/>
    <s v="(NULL)"/>
  </r>
  <r>
    <x v="0"/>
    <x v="161"/>
    <n v="256516"/>
    <n v="1373358197427.46"/>
    <s v="(NULL)"/>
  </r>
  <r>
    <x v="0"/>
    <x v="162"/>
    <n v="257355"/>
    <n v="1398518091938.25"/>
    <s v="(NULL)"/>
  </r>
  <r>
    <x v="0"/>
    <x v="163"/>
    <n v="258242"/>
    <n v="1423075259258.24"/>
    <s v="(NULL)"/>
  </r>
  <r>
    <x v="0"/>
    <x v="164"/>
    <n v="259130"/>
    <n v="1448620805507.53"/>
    <s v="(NULL)"/>
  </r>
  <r>
    <x v="0"/>
    <x v="165"/>
    <n v="259997"/>
    <n v="1473008966168.4399"/>
    <s v="(NULL)"/>
  </r>
  <r>
    <x v="0"/>
    <x v="166"/>
    <n v="260697"/>
    <n v="1503089126091.8101"/>
    <s v="(NULL)"/>
  </r>
  <r>
    <x v="0"/>
    <x v="167"/>
    <n v="261695"/>
    <n v="1536876729700.0601"/>
    <s v="(NULL)"/>
  </r>
  <r>
    <x v="0"/>
    <x v="168"/>
    <n v="262505"/>
    <n v="1561574734904.05"/>
    <s v="(NULL)"/>
  </r>
  <r>
    <x v="0"/>
    <x v="169"/>
    <n v="264223"/>
    <n v="1598687945829.1299"/>
    <s v="(NULL)"/>
  </r>
  <r>
    <x v="0"/>
    <x v="170"/>
    <n v="264813"/>
    <n v="1611864597529.54"/>
    <s v="(NULL)"/>
  </r>
  <r>
    <x v="0"/>
    <x v="171"/>
    <n v="265488"/>
    <n v="1627058464695.98"/>
    <s v="(NULL)"/>
  </r>
  <r>
    <x v="1"/>
    <x v="172"/>
    <n v="5"/>
    <n v="12238945.18"/>
    <s v="(NULL)"/>
  </r>
  <r>
    <x v="0"/>
    <x v="172"/>
    <n v="266516"/>
    <n v="1649023403524.3301"/>
    <s v="(NULL)"/>
  </r>
  <r>
    <x v="0"/>
    <x v="173"/>
    <n v="267221"/>
    <n v="1672012270673.77"/>
    <s v="(NULL)"/>
  </r>
  <r>
    <x v="1"/>
    <x v="173"/>
    <n v="11"/>
    <n v="431216401.19999999"/>
    <s v="(NULL)"/>
  </r>
  <r>
    <x v="0"/>
    <x v="174"/>
    <n v="267777"/>
    <n v="1682374180043.9399"/>
    <s v="(NULL)"/>
  </r>
  <r>
    <x v="1"/>
    <x v="174"/>
    <n v="15"/>
    <n v="2102895357.54"/>
    <s v="(NULL)"/>
  </r>
  <r>
    <x v="0"/>
    <x v="175"/>
    <n v="268301"/>
    <n v="1690709203256.04"/>
    <s v="(NULL)"/>
  </r>
  <r>
    <x v="1"/>
    <x v="175"/>
    <n v="22"/>
    <n v="4048869571.6900001"/>
    <s v="(NULL)"/>
  </r>
  <r>
    <x v="1"/>
    <x v="176"/>
    <n v="32"/>
    <n v="6443245156.5"/>
    <s v="(NULL)"/>
  </r>
  <r>
    <x v="0"/>
    <x v="176"/>
    <n v="269084"/>
    <n v="1706507798745.03"/>
    <s v="(NULL)"/>
  </r>
  <r>
    <x v="1"/>
    <x v="177"/>
    <n v="33"/>
    <n v="7594722445.1199999"/>
    <s v="(NULL)"/>
  </r>
  <r>
    <x v="0"/>
    <x v="177"/>
    <n v="269586"/>
    <n v="1715320900515.99"/>
    <s v="(NULL)"/>
  </r>
  <r>
    <x v="1"/>
    <x v="178"/>
    <n v="33"/>
    <n v="7455294762.29"/>
    <s v="(NULL)"/>
  </r>
  <r>
    <x v="0"/>
    <x v="178"/>
    <n v="269880"/>
    <n v="1722159821907.24"/>
    <s v="(NULL)"/>
  </r>
  <r>
    <x v="0"/>
    <x v="179"/>
    <n v="270476"/>
    <n v="1743795423653.5901"/>
    <s v="(NULL)"/>
  </r>
  <r>
    <x v="1"/>
    <x v="179"/>
    <n v="37"/>
    <n v="7385915358.9499998"/>
    <s v="(NULL)"/>
  </r>
  <r>
    <x v="1"/>
    <x v="180"/>
    <n v="37"/>
    <n v="7186390255.3999996"/>
    <s v="(NULL)"/>
  </r>
  <r>
    <x v="0"/>
    <x v="180"/>
    <n v="270820"/>
    <n v="1747958716979.52"/>
    <s v="(NULL)"/>
  </r>
  <r>
    <x v="1"/>
    <x v="181"/>
    <n v="57"/>
    <n v="7517545111.1499996"/>
    <s v="(NULL)"/>
  </r>
  <r>
    <x v="0"/>
    <x v="181"/>
    <n v="271227"/>
    <n v="1754532172587.8201"/>
    <s v="(NULL)"/>
  </r>
  <r>
    <x v="1"/>
    <x v="182"/>
    <n v="80"/>
    <n v="7812894988.0100002"/>
    <s v="(NULL)"/>
  </r>
  <r>
    <x v="0"/>
    <x v="182"/>
    <n v="271839"/>
    <n v="1783832899325.1899"/>
    <s v="(NULL)"/>
  </r>
  <r>
    <x v="0"/>
    <x v="183"/>
    <n v="272056"/>
    <n v="1788604982272.3999"/>
    <s v="(NULL)"/>
  </r>
  <r>
    <x v="1"/>
    <x v="183"/>
    <n v="94"/>
    <n v="7929838117.7600002"/>
    <s v="(NULL)"/>
  </r>
  <r>
    <x v="0"/>
    <x v="184"/>
    <n v="272638"/>
    <n v="1851247613799.7"/>
    <s v="(NULL)"/>
  </r>
  <r>
    <x v="1"/>
    <x v="184"/>
    <n v="131"/>
    <n v="14236149645.15"/>
    <s v="(NULL)"/>
  </r>
  <r>
    <x v="0"/>
    <x v="185"/>
    <n v="273233"/>
    <n v="1892906083080.45"/>
    <s v="(NULL)"/>
  </r>
  <r>
    <x v="1"/>
    <x v="185"/>
    <n v="168"/>
    <n v="15653598327.879999"/>
    <s v="(NULL)"/>
  </r>
  <r>
    <x v="0"/>
    <x v="186"/>
    <n v="273609"/>
    <n v="1911210202909.05"/>
    <s v="(NULL)"/>
  </r>
  <r>
    <x v="1"/>
    <x v="186"/>
    <n v="188"/>
    <n v="16210075077.32"/>
    <s v="(NULL)"/>
  </r>
  <r>
    <x v="0"/>
    <x v="187"/>
    <n v="273811"/>
    <n v="1922329055650.49"/>
    <s v="(NULL)"/>
  </r>
  <r>
    <x v="1"/>
    <x v="187"/>
    <n v="222"/>
    <n v="17522334402.939999"/>
    <s v="(NULL)"/>
  </r>
  <r>
    <x v="0"/>
    <x v="188"/>
    <n v="274246"/>
    <n v="1936230379188.45"/>
    <s v="(NULL)"/>
  </r>
  <r>
    <x v="1"/>
    <x v="188"/>
    <n v="266"/>
    <n v="20636621094.560001"/>
    <s v="(NULL)"/>
  </r>
  <r>
    <x v="0"/>
    <x v="189"/>
    <n v="274530"/>
    <n v="1935224752959.1399"/>
    <s v="(NULL)"/>
  </r>
  <r>
    <x v="2"/>
    <x v="189"/>
    <n v="3"/>
    <n v="15327165.810000001"/>
    <s v="(NULL)"/>
  </r>
  <r>
    <x v="1"/>
    <x v="189"/>
    <n v="290"/>
    <n v="24709665353.299999"/>
    <s v="(NULL)"/>
  </r>
  <r>
    <x v="0"/>
    <x v="190"/>
    <n v="274807"/>
    <n v="1931516393378.1001"/>
    <s v="(NULL)"/>
  </r>
  <r>
    <x v="2"/>
    <x v="190"/>
    <n v="17"/>
    <n v="106566395.2"/>
    <s v="(NULL)"/>
  </r>
  <r>
    <x v="1"/>
    <x v="190"/>
    <n v="353"/>
    <n v="27060927127.610001"/>
    <s v="(NULL)"/>
  </r>
  <r>
    <x v="0"/>
    <x v="191"/>
    <n v="275195"/>
    <n v="1935480749969.53"/>
    <s v="(NULL)"/>
  </r>
  <r>
    <x v="2"/>
    <x v="191"/>
    <n v="35"/>
    <n v="234862672.03"/>
    <s v="(NULL)"/>
  </r>
  <r>
    <x v="1"/>
    <x v="191"/>
    <n v="414"/>
    <n v="29069674532.27"/>
    <s v="(NULL)"/>
  </r>
  <r>
    <x v="0"/>
    <x v="192"/>
    <n v="275240"/>
    <n v="1926355203139.8799"/>
    <s v="(NULL)"/>
  </r>
  <r>
    <x v="2"/>
    <x v="192"/>
    <n v="52"/>
    <n v="406767057.86000001"/>
    <s v="(NULL)"/>
  </r>
  <r>
    <x v="1"/>
    <x v="192"/>
    <n v="458"/>
    <n v="30591542409.349998"/>
    <s v="(NULL)"/>
  </r>
  <r>
    <x v="0"/>
    <x v="193"/>
    <n v="275437"/>
    <n v="1923031361638.27"/>
    <s v="(NULL)"/>
  </r>
  <r>
    <x v="2"/>
    <x v="193"/>
    <n v="66"/>
    <n v="597072260.88"/>
    <s v="(NULL)"/>
  </r>
  <r>
    <x v="1"/>
    <x v="193"/>
    <n v="489"/>
    <n v="32188299766.919998"/>
    <s v="(NULL)"/>
  </r>
  <r>
    <x v="0"/>
    <x v="194"/>
    <n v="275562"/>
    <n v="1915973684687.22"/>
    <s v="(NULL)"/>
  </r>
  <r>
    <x v="2"/>
    <x v="194"/>
    <n v="83"/>
    <n v="810653741.88"/>
    <s v="(NULL)"/>
  </r>
  <r>
    <x v="1"/>
    <x v="194"/>
    <n v="523"/>
    <n v="34019181733.130001"/>
    <s v="(NULL)"/>
  </r>
  <r>
    <x v="0"/>
    <x v="195"/>
    <n v="274490"/>
    <n v="1886014655841.54"/>
    <s v="(NULL)"/>
  </r>
  <r>
    <x v="2"/>
    <x v="195"/>
    <n v="99"/>
    <n v="1028774473.66"/>
    <s v="(NULL)"/>
  </r>
  <r>
    <x v="1"/>
    <x v="195"/>
    <n v="565"/>
    <n v="34942230806.919998"/>
    <s v="(NULL)"/>
  </r>
  <r>
    <x v="0"/>
    <x v="196"/>
    <n v="274482"/>
    <n v="1851844202005.27"/>
    <s v="(NULL)"/>
  </r>
  <r>
    <x v="2"/>
    <x v="196"/>
    <n v="117"/>
    <n v="1283914779.73"/>
    <s v="(NULL)"/>
  </r>
  <r>
    <x v="1"/>
    <x v="196"/>
    <n v="596"/>
    <n v="35952137084.459999"/>
    <s v="(NULL)"/>
  </r>
  <r>
    <x v="0"/>
    <x v="197"/>
    <n v="274694"/>
    <n v="1823788108779.51"/>
    <s v="(NULL)"/>
  </r>
  <r>
    <x v="2"/>
    <x v="197"/>
    <n v="135"/>
    <n v="1489592023.8900001"/>
    <s v="(NULL)"/>
  </r>
  <r>
    <x v="1"/>
    <x v="197"/>
    <n v="636"/>
    <n v="36911796753.43"/>
    <s v="(NULL)"/>
  </r>
  <r>
    <x v="0"/>
    <x v="198"/>
    <n v="274934"/>
    <n v="1816002763653.8401"/>
    <s v="(NULL)"/>
  </r>
  <r>
    <x v="2"/>
    <x v="198"/>
    <n v="156"/>
    <n v="1693098544.05"/>
    <s v="(NULL)"/>
  </r>
  <r>
    <x v="1"/>
    <x v="198"/>
    <n v="682"/>
    <n v="39233880521.379997"/>
    <s v="(NULL)"/>
  </r>
  <r>
    <x v="0"/>
    <x v="199"/>
    <n v="275265"/>
    <n v="1809160523507.3899"/>
    <s v="(NULL)"/>
  </r>
  <r>
    <x v="2"/>
    <x v="199"/>
    <n v="178"/>
    <n v="1929687214.6600001"/>
    <s v="(NULL)"/>
  </r>
  <r>
    <x v="1"/>
    <x v="199"/>
    <n v="731"/>
    <n v="41226846111.760002"/>
    <s v="(NULL)"/>
  </r>
  <r>
    <x v="0"/>
    <x v="200"/>
    <n v="275759"/>
    <n v="1806620806982.2"/>
    <s v="(NULL)"/>
  </r>
  <r>
    <x v="2"/>
    <x v="200"/>
    <n v="196"/>
    <n v="2275609818.98"/>
    <s v="(NULL)"/>
  </r>
  <r>
    <x v="1"/>
    <x v="200"/>
    <n v="783"/>
    <n v="43877710701.519997"/>
    <s v="(NULL)"/>
  </r>
  <r>
    <x v="0"/>
    <x v="201"/>
    <n v="276421"/>
    <n v="1800298888880.73"/>
    <s v="(NULL)"/>
  </r>
  <r>
    <x v="2"/>
    <x v="201"/>
    <n v="217"/>
    <n v="2589769137.29"/>
    <s v="(NULL)"/>
  </r>
  <r>
    <x v="1"/>
    <x v="201"/>
    <n v="843"/>
    <n v="46125972276.830002"/>
    <s v="(NULL)"/>
  </r>
  <r>
    <x v="0"/>
    <x v="202"/>
    <n v="277266"/>
    <n v="1792464139799.6499"/>
    <s v="(NULL)"/>
  </r>
  <r>
    <x v="2"/>
    <x v="202"/>
    <n v="236"/>
    <n v="2951365460.7199998"/>
    <s v="(NULL)"/>
  </r>
  <r>
    <x v="1"/>
    <x v="202"/>
    <n v="896"/>
    <n v="48366176627.93"/>
    <s v="(NULL)"/>
  </r>
  <r>
    <x v="0"/>
    <x v="203"/>
    <n v="278078"/>
    <n v="1786702401571.8401"/>
    <s v="(NULL)"/>
  </r>
  <r>
    <x v="2"/>
    <x v="203"/>
    <n v="259"/>
    <n v="3379401993.3099999"/>
    <s v="(NULL)"/>
  </r>
  <r>
    <x v="1"/>
    <x v="203"/>
    <n v="949"/>
    <n v="50759303463"/>
    <s v="(NULL)"/>
  </r>
  <r>
    <x v="0"/>
    <x v="204"/>
    <n v="278395"/>
    <n v="1774777092612.05"/>
    <s v="(NULL)"/>
  </r>
  <r>
    <x v="2"/>
    <x v="204"/>
    <n v="279"/>
    <n v="3849888136.0700002"/>
    <s v="(NULL)"/>
  </r>
  <r>
    <x v="1"/>
    <x v="204"/>
    <n v="1009"/>
    <n v="52653026516.040001"/>
    <s v="(NULL)"/>
  </r>
  <r>
    <x v="0"/>
    <x v="205"/>
    <n v="278900"/>
    <n v="1768365158153.76"/>
    <s v="(NULL)"/>
  </r>
  <r>
    <x v="2"/>
    <x v="205"/>
    <n v="297"/>
    <n v="4348110845.5"/>
    <s v="(NULL)"/>
  </r>
  <r>
    <x v="1"/>
    <x v="205"/>
    <n v="1046"/>
    <n v="54091880308.709999"/>
    <s v="(NULL)"/>
  </r>
  <r>
    <x v="0"/>
    <x v="206"/>
    <n v="279791"/>
    <n v="1771693715295.3601"/>
    <s v="(NULL)"/>
  </r>
  <r>
    <x v="2"/>
    <x v="206"/>
    <n v="323"/>
    <n v="4929321160.3199997"/>
    <s v="(NULL)"/>
  </r>
  <r>
    <x v="1"/>
    <x v="206"/>
    <n v="1107"/>
    <n v="55452548932.449997"/>
    <s v="(NULL)"/>
  </r>
  <r>
    <x v="0"/>
    <x v="207"/>
    <n v="280244"/>
    <n v="1762890974623.96"/>
    <s v="(NULL)"/>
  </r>
  <r>
    <x v="2"/>
    <x v="207"/>
    <n v="350"/>
    <n v="5479584254.1499996"/>
    <s v="(NULL)"/>
  </r>
  <r>
    <x v="1"/>
    <x v="207"/>
    <n v="1145"/>
    <n v="56144173209.129997"/>
    <s v="(NULL)"/>
  </r>
  <r>
    <x v="0"/>
    <x v="208"/>
    <n v="280629"/>
    <n v="1756163628422.04"/>
    <s v="(NULL)"/>
  </r>
  <r>
    <x v="2"/>
    <x v="208"/>
    <n v="376"/>
    <n v="5898298960.6400003"/>
    <s v="(NULL)"/>
  </r>
  <r>
    <x v="1"/>
    <x v="208"/>
    <n v="1174"/>
    <n v="56713020697.900002"/>
    <s v="(NULL)"/>
  </r>
  <r>
    <x v="0"/>
    <x v="209"/>
    <n v="281075"/>
    <n v="1752854091034.3601"/>
    <s v="(NULL)"/>
  </r>
  <r>
    <x v="2"/>
    <x v="209"/>
    <n v="398"/>
    <n v="6434083171.8299999"/>
    <s v="(NULL)"/>
  </r>
  <r>
    <x v="1"/>
    <x v="209"/>
    <n v="1216"/>
    <n v="57606973208.239998"/>
    <s v="(NULL)"/>
  </r>
  <r>
    <x v="0"/>
    <x v="210"/>
    <n v="281434"/>
    <n v="1742063298538.3899"/>
    <s v="(NULL)"/>
  </r>
  <r>
    <x v="2"/>
    <x v="210"/>
    <n v="417"/>
    <n v="6872090576.5200005"/>
    <s v="(NULL)"/>
  </r>
  <r>
    <x v="1"/>
    <x v="210"/>
    <n v="1268"/>
    <n v="58408841241.650002"/>
    <s v="(NULL)"/>
  </r>
  <r>
    <x v="0"/>
    <x v="211"/>
    <n v="281942"/>
    <n v="1736000312551.3601"/>
    <s v="(NULL)"/>
  </r>
  <r>
    <x v="2"/>
    <x v="211"/>
    <n v="437"/>
    <n v="7393854531.21"/>
    <s v="(NULL)"/>
  </r>
  <r>
    <x v="1"/>
    <x v="211"/>
    <n v="1327"/>
    <n v="59412547411.709999"/>
    <s v="(NULL)"/>
  </r>
  <r>
    <x v="0"/>
    <x v="212"/>
    <n v="282590"/>
    <n v="1730062143723.8999"/>
    <s v="(NULL)"/>
  </r>
  <r>
    <x v="2"/>
    <x v="212"/>
    <n v="461"/>
    <n v="7990816564.1599998"/>
    <s v="(NULL)"/>
  </r>
  <r>
    <x v="1"/>
    <x v="212"/>
    <n v="1392"/>
    <n v="60879463797.669998"/>
    <s v="(NULL)"/>
  </r>
  <r>
    <x v="0"/>
    <x v="213"/>
    <n v="283012"/>
    <n v="1716111353814.28"/>
    <s v="(NULL)"/>
  </r>
  <r>
    <x v="2"/>
    <x v="213"/>
    <n v="487"/>
    <n v="8517165199.3299999"/>
    <s v="(NULL)"/>
  </r>
  <r>
    <x v="1"/>
    <x v="213"/>
    <n v="1471"/>
    <n v="61528554510.57"/>
    <s v="(NULL)"/>
  </r>
  <r>
    <x v="0"/>
    <x v="214"/>
    <n v="283516"/>
    <n v="1704192012667.5601"/>
    <s v="(NULL)"/>
  </r>
  <r>
    <x v="2"/>
    <x v="214"/>
    <n v="514"/>
    <n v="9074021450.3299999"/>
    <s v="(NULL)"/>
  </r>
  <r>
    <x v="1"/>
    <x v="214"/>
    <n v="1523"/>
    <n v="63432840444.580002"/>
    <s v="(NULL)"/>
  </r>
  <r>
    <x v="0"/>
    <x v="215"/>
    <n v="284179"/>
    <n v="1704718198742.55"/>
    <s v="(NULL)"/>
  </r>
  <r>
    <x v="2"/>
    <x v="215"/>
    <n v="537"/>
    <n v="9400322582.2900009"/>
    <s v="(NULL)"/>
  </r>
  <r>
    <x v="1"/>
    <x v="215"/>
    <n v="1561"/>
    <n v="63431287348.879997"/>
    <s v="(NULL)"/>
  </r>
  <r>
    <x v="0"/>
    <x v="216"/>
    <n v="284757"/>
    <n v="1695810438281.72"/>
    <s v="(NULL)"/>
  </r>
  <r>
    <x v="2"/>
    <x v="216"/>
    <n v="563"/>
    <n v="10323435733.66"/>
    <s v="(NULL)"/>
  </r>
  <r>
    <x v="1"/>
    <x v="216"/>
    <n v="1581"/>
    <n v="63028905485.379997"/>
    <s v="(NULL)"/>
  </r>
  <r>
    <x v="0"/>
    <x v="217"/>
    <n v="285377"/>
    <n v="1691373410963.1499"/>
    <s v="(NULL)"/>
  </r>
  <r>
    <x v="2"/>
    <x v="217"/>
    <n v="596"/>
    <n v="11215689816.950001"/>
    <s v="(NULL)"/>
  </r>
  <r>
    <x v="1"/>
    <x v="217"/>
    <n v="1608"/>
    <n v="62701545672.050003"/>
    <s v="(NULL)"/>
  </r>
  <r>
    <x v="0"/>
    <x v="218"/>
    <n v="286478"/>
    <n v="1700883766281.3999"/>
    <s v="(NULL)"/>
  </r>
  <r>
    <x v="2"/>
    <x v="218"/>
    <n v="653"/>
    <n v="12887725448.07"/>
    <s v="(NULL)"/>
  </r>
  <r>
    <x v="1"/>
    <x v="218"/>
    <n v="1644"/>
    <n v="62862062606.980003"/>
    <s v="(NULL)"/>
  </r>
  <r>
    <x v="0"/>
    <x v="219"/>
    <n v="286960"/>
    <n v="1686240153711.4299"/>
    <s v="(NULL)"/>
  </r>
  <r>
    <x v="2"/>
    <x v="219"/>
    <n v="701"/>
    <n v="14157505535.01"/>
    <s v="(NULL)"/>
  </r>
  <r>
    <x v="1"/>
    <x v="219"/>
    <n v="1667"/>
    <n v="61402153038.43"/>
    <s v="(NULL)"/>
  </r>
  <r>
    <x v="0"/>
    <x v="220"/>
    <n v="287883"/>
    <n v="1687594503417.6201"/>
    <s v="(NULL)"/>
  </r>
  <r>
    <x v="2"/>
    <x v="220"/>
    <n v="753"/>
    <n v="16332228361.5"/>
    <s v="(NULL)"/>
  </r>
  <r>
    <x v="1"/>
    <x v="220"/>
    <n v="1684"/>
    <n v="61117631921.150002"/>
    <s v="(NULL)"/>
  </r>
  <r>
    <x v="0"/>
    <x v="221"/>
    <n v="288800"/>
    <n v="1678034216160.9199"/>
    <s v="(NULL)"/>
  </r>
  <r>
    <x v="2"/>
    <x v="221"/>
    <n v="818"/>
    <n v="18926538940.299999"/>
    <s v="(NULL)"/>
  </r>
  <r>
    <x v="3"/>
    <x v="221"/>
    <n v="91"/>
    <n v="5555695171.1300001"/>
    <s v="(NULL)"/>
  </r>
  <r>
    <x v="1"/>
    <x v="221"/>
    <n v="1697"/>
    <n v="61062774148.769997"/>
    <s v="(NULL)"/>
  </r>
  <r>
    <x v="0"/>
    <x v="222"/>
    <n v="289667"/>
    <n v="1673253636966.7"/>
    <s v="(NULL)"/>
  </r>
  <r>
    <x v="2"/>
    <x v="222"/>
    <n v="877"/>
    <n v="21611125130.189999"/>
    <s v="(NULL)"/>
  </r>
  <r>
    <x v="3"/>
    <x v="222"/>
    <n v="156"/>
    <n v="8754398274.3899994"/>
    <s v="(NULL)"/>
  </r>
  <r>
    <x v="1"/>
    <x v="222"/>
    <n v="1720"/>
    <n v="61530216630.559998"/>
    <s v="(NULL)"/>
  </r>
  <r>
    <x v="0"/>
    <x v="223"/>
    <n v="290751"/>
    <n v="1668901981848.5"/>
    <s v="(NULL)"/>
  </r>
  <r>
    <x v="2"/>
    <x v="223"/>
    <n v="932"/>
    <n v="24194119358.029999"/>
    <s v="(NULL)"/>
  </r>
  <r>
    <x v="3"/>
    <x v="223"/>
    <n v="210"/>
    <n v="12053254300.4"/>
    <s v="(NULL)"/>
  </r>
  <r>
    <x v="1"/>
    <x v="223"/>
    <n v="1748"/>
    <n v="61794453574.470001"/>
    <s v="(NULL)"/>
  </r>
  <r>
    <x v="0"/>
    <x v="224"/>
    <n v="292008"/>
    <n v="1663516641773.1899"/>
    <s v="(NULL)"/>
  </r>
  <r>
    <x v="2"/>
    <x v="224"/>
    <n v="993"/>
    <n v="26597645245.860001"/>
    <s v="(NULL)"/>
  </r>
  <r>
    <x v="3"/>
    <x v="224"/>
    <n v="281"/>
    <n v="15145163161.950001"/>
    <s v="(NULL)"/>
  </r>
  <r>
    <x v="1"/>
    <x v="224"/>
    <n v="1779"/>
    <n v="61518645943.379997"/>
    <s v="(NULL)"/>
  </r>
  <r>
    <x v="0"/>
    <x v="225"/>
    <n v="292794"/>
    <n v="1648405277502.1699"/>
    <s v="(NULL)"/>
  </r>
  <r>
    <x v="2"/>
    <x v="225"/>
    <n v="1047"/>
    <n v="28293094942.189999"/>
    <s v="(NULL)"/>
  </r>
  <r>
    <x v="3"/>
    <x v="225"/>
    <n v="339"/>
    <n v="17141506906.68"/>
    <s v="(NULL)"/>
  </r>
  <r>
    <x v="1"/>
    <x v="225"/>
    <n v="1797"/>
    <n v="60741144641.419998"/>
    <s v="(NULL)"/>
  </r>
  <r>
    <x v="0"/>
    <x v="226"/>
    <n v="294272"/>
    <n v="1656955004649.22"/>
    <s v="(NULL)"/>
  </r>
  <r>
    <x v="2"/>
    <x v="226"/>
    <n v="1134"/>
    <n v="31066598637.540001"/>
    <s v="(NULL)"/>
  </r>
  <r>
    <x v="3"/>
    <x v="226"/>
    <n v="427"/>
    <n v="20228876583.380001"/>
    <s v="(NULL)"/>
  </r>
  <r>
    <x v="1"/>
    <x v="226"/>
    <n v="1849"/>
    <n v="61181393447.510002"/>
    <s v="(NULL)"/>
  </r>
  <r>
    <x v="0"/>
    <x v="227"/>
    <n v="294972"/>
    <n v="1645019670084.6001"/>
    <s v="(NULL)"/>
  </r>
  <r>
    <x v="2"/>
    <x v="227"/>
    <n v="1194"/>
    <n v="33051971704.52"/>
    <s v="(NULL)"/>
  </r>
  <r>
    <x v="3"/>
    <x v="227"/>
    <n v="493"/>
    <n v="22634123601.41"/>
    <s v="(NULL)"/>
  </r>
  <r>
    <x v="1"/>
    <x v="227"/>
    <n v="1864"/>
    <n v="59324750524.360001"/>
    <s v="(NULL)"/>
  </r>
  <r>
    <x v="0"/>
    <x v="228"/>
    <n v="295747"/>
    <n v="1641408813705.6101"/>
    <n v="9.4182360947883993E-3"/>
  </r>
  <r>
    <x v="2"/>
    <x v="228"/>
    <n v="1265"/>
    <n v="35343557017.519997"/>
    <n v="0"/>
  </r>
  <r>
    <x v="3"/>
    <x v="228"/>
    <n v="572"/>
    <n v="25710780014.439999"/>
    <n v="0"/>
  </r>
  <r>
    <x v="1"/>
    <x v="228"/>
    <n v="1890"/>
    <n v="59341253640.129997"/>
    <n v="0"/>
  </r>
  <r>
    <x v="0"/>
    <x v="229"/>
    <n v="296480"/>
    <n v="1639099306167.1299"/>
    <n v="4.6861780136149096E-3"/>
  </r>
  <r>
    <x v="2"/>
    <x v="229"/>
    <n v="1335"/>
    <n v="37312888521.379997"/>
    <n v="0"/>
  </r>
  <r>
    <x v="3"/>
    <x v="229"/>
    <n v="639"/>
    <n v="27919269484.799999"/>
    <n v="0"/>
  </r>
  <r>
    <x v="1"/>
    <x v="229"/>
    <n v="1907"/>
    <n v="58273862919.07"/>
    <n v="0"/>
  </r>
  <r>
    <x v="0"/>
    <x v="230"/>
    <n v="296774"/>
    <n v="1632928605681.1299"/>
    <n v="3.7037714723961298E-3"/>
  </r>
  <r>
    <x v="2"/>
    <x v="230"/>
    <n v="1395"/>
    <n v="39156032691.959999"/>
    <n v="0"/>
  </r>
  <r>
    <x v="3"/>
    <x v="230"/>
    <n v="704"/>
    <n v="30041763432.959999"/>
    <n v="0"/>
  </r>
  <r>
    <x v="1"/>
    <x v="230"/>
    <n v="1927"/>
    <n v="57984952680.769997"/>
    <n v="0"/>
  </r>
  <r>
    <x v="0"/>
    <x v="231"/>
    <n v="297206"/>
    <n v="1630926522634.1799"/>
    <n v="4.1664471574863202E-3"/>
  </r>
  <r>
    <x v="2"/>
    <x v="231"/>
    <n v="1447"/>
    <n v="41135466403"/>
    <n v="0"/>
  </r>
  <r>
    <x v="3"/>
    <x v="231"/>
    <n v="760"/>
    <n v="32087573394.82"/>
    <n v="0"/>
  </r>
  <r>
    <x v="1"/>
    <x v="231"/>
    <n v="1940"/>
    <n v="57919460773.599998"/>
    <n v="0"/>
  </r>
  <r>
    <x v="0"/>
    <x v="232"/>
    <n v="297478"/>
    <n v="1634172612883.0801"/>
    <n v="3.2786050499537399E-3"/>
  </r>
  <r>
    <x v="2"/>
    <x v="232"/>
    <n v="1489"/>
    <n v="42553384727.230003"/>
    <n v="0"/>
  </r>
  <r>
    <x v="3"/>
    <x v="232"/>
    <n v="806"/>
    <n v="33554081959.810001"/>
    <n v="0"/>
  </r>
  <r>
    <x v="1"/>
    <x v="232"/>
    <n v="1951"/>
    <n v="57743623776.370003"/>
    <n v="0"/>
  </r>
  <r>
    <x v="0"/>
    <x v="233"/>
    <n v="297713"/>
    <n v="1630715136837.8301"/>
    <n v="3.9971556742755604E-3"/>
  </r>
  <r>
    <x v="2"/>
    <x v="233"/>
    <n v="1527"/>
    <n v="44044353148.919998"/>
    <n v="0"/>
  </r>
  <r>
    <x v="3"/>
    <x v="233"/>
    <n v="846"/>
    <n v="34996952153.550003"/>
    <n v="0"/>
  </r>
  <r>
    <x v="1"/>
    <x v="233"/>
    <n v="1967"/>
    <n v="57562689788.809998"/>
    <n v="0"/>
  </r>
  <r>
    <x v="0"/>
    <x v="234"/>
    <n v="297745"/>
    <n v="1635352864892.78"/>
    <n v="4.5108329674601903E-3"/>
  </r>
  <r>
    <x v="2"/>
    <x v="234"/>
    <n v="1571"/>
    <n v="45268306712.739998"/>
    <n v="0"/>
  </r>
  <r>
    <x v="3"/>
    <x v="234"/>
    <n v="890"/>
    <n v="36201078184.980003"/>
    <n v="0"/>
  </r>
  <r>
    <x v="1"/>
    <x v="234"/>
    <n v="1980"/>
    <n v="57358795381.5"/>
    <n v="0"/>
  </r>
  <r>
    <x v="0"/>
    <x v="235"/>
    <n v="297935"/>
    <n v="1638979706834.8101"/>
    <n v="4.4499055157430304E-3"/>
  </r>
  <r>
    <x v="2"/>
    <x v="235"/>
    <n v="1617"/>
    <n v="46324942815.470001"/>
    <n v="0"/>
  </r>
  <r>
    <x v="3"/>
    <x v="235"/>
    <n v="939"/>
    <n v="37243354893.68"/>
    <n v="0"/>
  </r>
  <r>
    <x v="1"/>
    <x v="235"/>
    <n v="2002"/>
    <n v="57378888746.93"/>
    <n v="0"/>
  </r>
  <r>
    <x v="0"/>
    <x v="236"/>
    <n v="298051"/>
    <n v="1644012668533.9099"/>
    <n v="4.1216469606503896E-3"/>
  </r>
  <r>
    <x v="2"/>
    <x v="236"/>
    <n v="1660"/>
    <n v="47014770367.400002"/>
    <n v="0"/>
  </r>
  <r>
    <x v="3"/>
    <x v="236"/>
    <n v="980"/>
    <n v="37852364380.050003"/>
    <n v="0"/>
  </r>
  <r>
    <x v="1"/>
    <x v="236"/>
    <n v="2022"/>
    <n v="57356413673.699997"/>
    <n v="0"/>
  </r>
  <r>
    <x v="0"/>
    <x v="237"/>
    <n v="298245"/>
    <n v="1652973739227.2"/>
    <n v="9.4598361591215208E-3"/>
  </r>
  <r>
    <x v="2"/>
    <x v="237"/>
    <n v="1704"/>
    <n v="47554737040.699997"/>
    <n v="0"/>
  </r>
  <r>
    <x v="3"/>
    <x v="237"/>
    <n v="1016"/>
    <n v="38288256348.959999"/>
    <n v="0"/>
  </r>
  <r>
    <x v="1"/>
    <x v="237"/>
    <n v="2039"/>
    <n v="57531922542.139999"/>
    <n v="0"/>
  </r>
  <r>
    <x v="0"/>
    <x v="238"/>
    <n v="298380"/>
    <n v="1657289777281.8"/>
    <n v="1.3665274541779401E-2"/>
  </r>
  <r>
    <x v="2"/>
    <x v="238"/>
    <n v="1735"/>
    <n v="47935165709.389999"/>
    <n v="0"/>
  </r>
  <r>
    <x v="3"/>
    <x v="238"/>
    <n v="1053"/>
    <n v="38615010697.739998"/>
    <n v="0"/>
  </r>
  <r>
    <x v="1"/>
    <x v="238"/>
    <n v="2050"/>
    <n v="57672150701.269997"/>
    <n v="9.1013777802850193E-2"/>
  </r>
  <r>
    <x v="0"/>
    <x v="239"/>
    <n v="298565"/>
    <n v="1661238948532.75"/>
    <n v="98.499793227059101"/>
  </r>
  <r>
    <x v="2"/>
    <x v="239"/>
    <n v="1774"/>
    <n v="48419743931.309998"/>
    <n v="55.8808727679762"/>
  </r>
  <r>
    <x v="3"/>
    <x v="239"/>
    <n v="1080"/>
    <n v="39260930004.410004"/>
    <n v="9.15462897192619"/>
  </r>
  <r>
    <x v="1"/>
    <x v="239"/>
    <n v="2057"/>
    <n v="57721870841.419998"/>
    <n v="99.9813853971703"/>
  </r>
  <r>
    <x v="0"/>
    <x v="240"/>
    <n v="298522"/>
    <n v="1659593431085.3999"/>
    <n v="98.4748294845419"/>
  </r>
  <r>
    <x v="2"/>
    <x v="240"/>
    <n v="1801"/>
    <n v="48560145055.739998"/>
    <n v="55.733442590655002"/>
  </r>
  <r>
    <x v="3"/>
    <x v="240"/>
    <n v="1104"/>
    <n v="39416596215.529999"/>
    <n v="9.2142578877614998"/>
  </r>
  <r>
    <x v="1"/>
    <x v="240"/>
    <n v="2063"/>
    <n v="57492039709.059998"/>
    <n v="99.981694335068099"/>
  </r>
  <r>
    <x v="0"/>
    <x v="241"/>
    <n v="298590"/>
    <n v="1661124798886"/>
    <n v="98.459749748858201"/>
  </r>
  <r>
    <x v="2"/>
    <x v="241"/>
    <n v="1826"/>
    <n v="48717365807.82"/>
    <n v="55.650331081330101"/>
  </r>
  <r>
    <x v="3"/>
    <x v="241"/>
    <n v="1126"/>
    <n v="39507898369.230003"/>
    <n v="9.3447237862290908"/>
  </r>
  <r>
    <x v="1"/>
    <x v="241"/>
    <n v="2070"/>
    <n v="57352259518.470001"/>
    <n v="99.984335884448697"/>
  </r>
  <r>
    <x v="0"/>
    <x v="242"/>
    <n v="298754"/>
    <n v="1661638057181.03"/>
    <n v="98.458961782232507"/>
  </r>
  <r>
    <x v="2"/>
    <x v="242"/>
    <n v="1844"/>
    <n v="48775718507.580002"/>
    <n v="55.688250626427298"/>
  </r>
  <r>
    <x v="3"/>
    <x v="242"/>
    <n v="1146"/>
    <n v="39554921006.989998"/>
    <n v="9.51864762197253"/>
  </r>
  <r>
    <x v="1"/>
    <x v="242"/>
    <n v="2071"/>
    <n v="57132134715.449997"/>
    <n v="99.981647860707994"/>
  </r>
  <r>
    <x v="0"/>
    <x v="243"/>
    <n v="298806"/>
    <n v="1662332949157.3501"/>
    <n v="98.462540229573094"/>
  </r>
  <r>
    <x v="2"/>
    <x v="243"/>
    <n v="1858"/>
    <n v="48727978881.080002"/>
    <n v="55.666022246484403"/>
  </r>
  <r>
    <x v="3"/>
    <x v="243"/>
    <n v="1161"/>
    <n v="39534993055.339996"/>
    <n v="9.6486996294005198"/>
  </r>
  <r>
    <x v="1"/>
    <x v="243"/>
    <n v="2078"/>
    <n v="56845766696.43"/>
    <n v="99.984535662680003"/>
  </r>
  <r>
    <x v="0"/>
    <x v="244"/>
    <n v="298894"/>
    <n v="1662352977660.22"/>
    <n v="98.474803426987094"/>
  </r>
  <r>
    <x v="2"/>
    <x v="244"/>
    <n v="1870"/>
    <n v="48598619464.529999"/>
    <n v="55.835503409547499"/>
  </r>
  <r>
    <x v="3"/>
    <x v="244"/>
    <n v="1174"/>
    <n v="39463404393.919998"/>
    <n v="9.8010043852704101"/>
  </r>
  <r>
    <x v="1"/>
    <x v="244"/>
    <n v="2079"/>
    <n v="56578875659.620003"/>
    <n v="99.984708275611197"/>
  </r>
  <r>
    <x v="0"/>
    <x v="245"/>
    <n v="299170"/>
    <n v="1664665897034.6699"/>
    <n v="98.486776756002001"/>
  </r>
  <r>
    <x v="2"/>
    <x v="245"/>
    <n v="1884"/>
    <n v="48483101276.080002"/>
    <n v="55.818761321829797"/>
  </r>
  <r>
    <x v="3"/>
    <x v="245"/>
    <n v="1188"/>
    <n v="39388794194.209999"/>
    <n v="10.0209616725947"/>
  </r>
  <r>
    <x v="1"/>
    <x v="245"/>
    <n v="2077"/>
    <n v="56276938887.650002"/>
    <n v="99.984826621775298"/>
  </r>
  <r>
    <x v="0"/>
    <x v="246"/>
    <n v="299545"/>
    <n v="1668539955684.26"/>
    <n v="98.503769859076598"/>
  </r>
  <r>
    <x v="2"/>
    <x v="246"/>
    <n v="1898"/>
    <n v="48306769923.019997"/>
    <n v="55.862158595608101"/>
  </r>
  <r>
    <x v="3"/>
    <x v="246"/>
    <n v="1198"/>
    <n v="39294654817.349998"/>
    <n v="10.171804944185"/>
  </r>
  <r>
    <x v="1"/>
    <x v="246"/>
    <n v="2081"/>
    <n v="56062210355.080002"/>
    <n v="99.9850801267945"/>
  </r>
  <r>
    <x v="0"/>
    <x v="247"/>
    <n v="299871"/>
    <n v="1670343938037"/>
    <n v="98.521490242425799"/>
  </r>
  <r>
    <x v="2"/>
    <x v="247"/>
    <n v="1915"/>
    <n v="48102232418.32"/>
    <n v="55.904367910394399"/>
  </r>
  <r>
    <x v="3"/>
    <x v="247"/>
    <n v="1209"/>
    <n v="39192835810.529999"/>
    <n v="10.4004255042578"/>
  </r>
  <r>
    <x v="1"/>
    <x v="247"/>
    <n v="2087"/>
    <n v="55645540533.309998"/>
    <n v="99.985187344389502"/>
  </r>
  <r>
    <x v="0"/>
    <x v="248"/>
    <n v="300262"/>
    <n v="1676850309557.6299"/>
    <n v="98.545697089350099"/>
  </r>
  <r>
    <x v="2"/>
    <x v="248"/>
    <n v="1926"/>
    <n v="47890424521.330002"/>
    <n v="56.016686256443499"/>
  </r>
  <r>
    <x v="3"/>
    <x v="248"/>
    <n v="1218"/>
    <n v="39081676749.080002"/>
    <n v="10.5383591302667"/>
  </r>
  <r>
    <x v="1"/>
    <x v="248"/>
    <n v="2090"/>
    <n v="55621264788.639999"/>
    <n v="99.9855363260518"/>
  </r>
  <r>
    <x v="0"/>
    <x v="249"/>
    <n v="300784"/>
    <n v="1684277646790.8601"/>
    <n v="98.532552810980306"/>
  </r>
  <r>
    <x v="2"/>
    <x v="249"/>
    <n v="1935"/>
    <n v="47664710255.110001"/>
    <n v="56.166941449956397"/>
  </r>
  <r>
    <x v="3"/>
    <x v="249"/>
    <n v="1229"/>
    <n v="38971879224.970001"/>
    <n v="10.733749094707999"/>
  </r>
  <r>
    <x v="1"/>
    <x v="249"/>
    <n v="2089"/>
    <n v="55366832140.669998"/>
    <n v="99.985752362134505"/>
  </r>
  <r>
    <x v="0"/>
    <x v="250"/>
    <n v="301174"/>
    <n v="1685362593546.73"/>
    <n v="98.548376212541996"/>
  </r>
  <r>
    <x v="2"/>
    <x v="250"/>
    <n v="1943"/>
    <n v="47405248626.07"/>
    <n v="56.286256930319503"/>
  </r>
  <r>
    <x v="3"/>
    <x v="250"/>
    <n v="1234"/>
    <n v="38837765170.470001"/>
    <n v="10.967713028991"/>
  </r>
  <r>
    <x v="1"/>
    <x v="250"/>
    <n v="2093"/>
    <n v="55101250894.25"/>
    <n v="99.983222398516006"/>
  </r>
  <r>
    <x v="0"/>
    <x v="251"/>
    <n v="301744"/>
    <n v="1694662663304.0601"/>
    <n v="98.580067775437399"/>
  </r>
  <r>
    <x v="2"/>
    <x v="251"/>
    <n v="1957"/>
    <n v="47210415269.309998"/>
    <n v="56.4450612307133"/>
  </r>
  <r>
    <x v="3"/>
    <x v="251"/>
    <n v="1244"/>
    <n v="38713428394.529999"/>
    <n v="11.1930892418229"/>
  </r>
  <r>
    <x v="1"/>
    <x v="251"/>
    <n v="2104"/>
    <n v="54945293853.269997"/>
    <n v="99.983483457883295"/>
  </r>
  <r>
    <x v="0"/>
    <x v="252"/>
    <n v="302124"/>
    <n v="1697793974754.6899"/>
    <n v="98.604453043628695"/>
  </r>
  <r>
    <x v="2"/>
    <x v="252"/>
    <n v="1967"/>
    <n v="46941608230.800003"/>
    <n v="56.6262832060862"/>
  </r>
  <r>
    <x v="3"/>
    <x v="252"/>
    <n v="1251"/>
    <n v="38563701206.080002"/>
    <n v="11.426910039845"/>
  </r>
  <r>
    <x v="1"/>
    <x v="252"/>
    <n v="2112"/>
    <n v="54539779489.800003"/>
    <n v="99.983701529860994"/>
  </r>
  <r>
    <x v="0"/>
    <x v="253"/>
    <n v="302604"/>
    <n v="1701526727197.6599"/>
    <n v="98.621126787346398"/>
  </r>
  <r>
    <x v="2"/>
    <x v="253"/>
    <n v="1977"/>
    <n v="46731480687.449997"/>
    <n v="56.7911402162283"/>
  </r>
  <r>
    <x v="3"/>
    <x v="253"/>
    <n v="1258"/>
    <n v="38419602868.800003"/>
    <n v="11.6445759329424"/>
  </r>
  <r>
    <x v="1"/>
    <x v="253"/>
    <n v="2123"/>
    <n v="54424224378.089996"/>
    <n v="99.984002003662297"/>
  </r>
  <r>
    <x v="0"/>
    <x v="254"/>
    <n v="303067"/>
    <n v="1705063723228.8799"/>
    <n v="98.646459695878207"/>
  </r>
  <r>
    <x v="2"/>
    <x v="254"/>
    <n v="1989"/>
    <n v="46448619701.699997"/>
    <n v="57.007917293231699"/>
  </r>
  <r>
    <x v="3"/>
    <x v="254"/>
    <n v="1267"/>
    <n v="38264484535.919998"/>
    <n v="11.8409284990699"/>
  </r>
  <r>
    <x v="1"/>
    <x v="254"/>
    <n v="2127"/>
    <n v="53980461373.160004"/>
    <n v="99.982145948469693"/>
  </r>
  <r>
    <x v="0"/>
    <x v="255"/>
    <n v="303626"/>
    <n v="1705465041251.01"/>
    <n v="98.670625021772693"/>
  </r>
  <r>
    <x v="2"/>
    <x v="255"/>
    <n v="2000"/>
    <n v="46068741761.550003"/>
    <n v="57.151863084692202"/>
  </r>
  <r>
    <x v="3"/>
    <x v="255"/>
    <n v="1274"/>
    <n v="38076849573.309998"/>
    <n v="12.107778125004099"/>
  </r>
  <r>
    <x v="1"/>
    <x v="255"/>
    <n v="2130"/>
    <n v="53334300236"/>
    <n v="99.982459763307205"/>
  </r>
  <r>
    <x v="0"/>
    <x v="256"/>
    <n v="304069"/>
    <n v="1707243648596.95"/>
    <n v="98.692683342853698"/>
  </r>
  <r>
    <x v="2"/>
    <x v="256"/>
    <n v="2010"/>
    <n v="45680607740.449997"/>
    <n v="57.314891816172697"/>
  </r>
  <r>
    <x v="3"/>
    <x v="256"/>
    <n v="1284"/>
    <n v="37874463420.110001"/>
    <n v="12.308402387739999"/>
  </r>
  <r>
    <x v="1"/>
    <x v="256"/>
    <n v="2136"/>
    <n v="52743944187.010002"/>
    <n v="99.982646039367395"/>
  </r>
  <r>
    <x v="0"/>
    <x v="257"/>
    <n v="304526"/>
    <n v="1710074547945.3301"/>
    <n v="98.713034990208897"/>
  </r>
  <r>
    <x v="2"/>
    <x v="257"/>
    <n v="2021"/>
    <n v="45283690761.019997"/>
    <n v="57.393093608420898"/>
  </r>
  <r>
    <x v="3"/>
    <x v="257"/>
    <n v="1291"/>
    <n v="37654575557.940002"/>
    <n v="12.482011952338199"/>
  </r>
  <r>
    <x v="1"/>
    <x v="257"/>
    <n v="2144"/>
    <n v="53035541022.290001"/>
    <n v="99.981334832354193"/>
  </r>
  <r>
    <x v="0"/>
    <x v="258"/>
    <n v="304957"/>
    <n v="1715173017738.5601"/>
    <n v="98.738678431127695"/>
  </r>
  <r>
    <x v="2"/>
    <x v="258"/>
    <n v="2034"/>
    <n v="44830717499.190002"/>
    <n v="57.513227247867903"/>
  </r>
  <r>
    <x v="3"/>
    <x v="258"/>
    <n v="1300"/>
    <n v="37410876254.669998"/>
    <n v="12.6837502802411"/>
  </r>
  <r>
    <x v="1"/>
    <x v="258"/>
    <n v="2149"/>
    <n v="52795398936.43"/>
    <n v="99.981711499568306"/>
  </r>
  <r>
    <x v="0"/>
    <x v="259"/>
    <n v="305492"/>
    <n v="1718096723563.3201"/>
    <n v="98.752906512081495"/>
  </r>
  <r>
    <x v="2"/>
    <x v="259"/>
    <n v="2042"/>
    <n v="44381702236.650002"/>
    <n v="57.600434908390397"/>
  </r>
  <r>
    <x v="3"/>
    <x v="259"/>
    <n v="1307"/>
    <n v="37159487080.809998"/>
    <n v="12.8708061921901"/>
  </r>
  <r>
    <x v="1"/>
    <x v="259"/>
    <n v="2162"/>
    <n v="52770132887.830002"/>
    <n v="99.978377902686901"/>
  </r>
  <r>
    <x v="0"/>
    <x v="260"/>
    <n v="306021"/>
    <n v="1729227687203.3701"/>
    <n v="98.772352297209096"/>
  </r>
  <r>
    <x v="2"/>
    <x v="260"/>
    <n v="2052"/>
    <n v="44008637029.370003"/>
    <n v="57.691388669351902"/>
  </r>
  <r>
    <x v="3"/>
    <x v="260"/>
    <n v="1315"/>
    <n v="36939526623.260002"/>
    <n v="13.1020531743667"/>
  </r>
  <r>
    <x v="1"/>
    <x v="260"/>
    <n v="2173"/>
    <n v="52633387839.209999"/>
    <n v="99.979557887488895"/>
  </r>
  <r>
    <x v="0"/>
    <x v="261"/>
    <n v="306476"/>
    <n v="1737379808198.2"/>
    <n v="98.791030767151994"/>
  </r>
  <r>
    <x v="2"/>
    <x v="261"/>
    <n v="2069"/>
    <n v="43698985154.040001"/>
    <n v="57.830384249534099"/>
  </r>
  <r>
    <x v="3"/>
    <x v="261"/>
    <n v="1328"/>
    <n v="36789617512.57"/>
    <n v="13.363645683943099"/>
  </r>
  <r>
    <x v="1"/>
    <x v="261"/>
    <n v="2186"/>
    <n v="52506624208.32"/>
    <n v="99.979850321795993"/>
  </r>
  <r>
    <x v="0"/>
    <x v="262"/>
    <n v="306761"/>
    <n v="1734507571227.5901"/>
    <n v="98.797727257987006"/>
  </r>
  <r>
    <x v="2"/>
    <x v="262"/>
    <n v="2073"/>
    <n v="43286317529.480003"/>
    <n v="58.006522111563001"/>
  </r>
  <r>
    <x v="3"/>
    <x v="262"/>
    <n v="1332"/>
    <n v="36550588239.07"/>
    <n v="13.626512084068899"/>
  </r>
  <r>
    <x v="1"/>
    <x v="262"/>
    <n v="2195"/>
    <n v="52316553177.239998"/>
    <n v="99.984275691747797"/>
  </r>
  <r>
    <x v="0"/>
    <x v="263"/>
    <n v="307158"/>
    <n v="1742660147829.8999"/>
    <n v="98.8160088623181"/>
  </r>
  <r>
    <x v="2"/>
    <x v="263"/>
    <n v="2082"/>
    <n v="42975673769.300003"/>
    <n v="58.196419395652597"/>
  </r>
  <r>
    <x v="3"/>
    <x v="263"/>
    <n v="1339"/>
    <n v="36350171434.389999"/>
    <n v="13.845163548687299"/>
  </r>
  <r>
    <x v="1"/>
    <x v="263"/>
    <n v="2212"/>
    <n v="52451800097.93"/>
    <n v="99.986063681132293"/>
  </r>
  <r>
    <x v="0"/>
    <x v="264"/>
    <n v="307309"/>
    <n v="1746557623903.75"/>
    <n v="98.830112395212694"/>
  </r>
  <r>
    <x v="2"/>
    <x v="264"/>
    <n v="2090"/>
    <n v="42587228592.629997"/>
    <n v="58.384659755223097"/>
  </r>
  <r>
    <x v="3"/>
    <x v="264"/>
    <n v="1343"/>
    <n v="36103641907.169998"/>
    <n v="14.1208906311434"/>
  </r>
  <r>
    <x v="1"/>
    <x v="264"/>
    <n v="2214"/>
    <n v="52231231146.370003"/>
    <n v="99.985741068282806"/>
  </r>
  <r>
    <x v="0"/>
    <x v="265"/>
    <n v="307672"/>
    <n v="1749230451883.8101"/>
    <n v="98.836368963903297"/>
  </r>
  <r>
    <x v="2"/>
    <x v="265"/>
    <n v="2098"/>
    <n v="42314996395.470001"/>
    <n v="58.574637961075503"/>
  </r>
  <r>
    <x v="3"/>
    <x v="265"/>
    <n v="1347"/>
    <n v="35909399214.110001"/>
    <n v="14.3970546323851"/>
  </r>
  <r>
    <x v="1"/>
    <x v="265"/>
    <n v="2226"/>
    <n v="52211453665.650002"/>
    <n v="99.949975088656501"/>
  </r>
  <r>
    <x v="0"/>
    <x v="266"/>
    <n v="308177"/>
    <n v="1758381892008.99"/>
    <n v="98.838386572068302"/>
  </r>
  <r>
    <x v="2"/>
    <x v="266"/>
    <n v="2109"/>
    <n v="42015385385.540001"/>
    <n v="58.722121975663697"/>
  </r>
  <r>
    <x v="3"/>
    <x v="266"/>
    <n v="1356"/>
    <n v="35708371081.940002"/>
    <n v="14.640600344812301"/>
  </r>
  <r>
    <x v="1"/>
    <x v="266"/>
    <n v="2236"/>
    <n v="52408156377.43"/>
    <n v="99.806629983423505"/>
  </r>
  <r>
    <x v="0"/>
    <x v="267"/>
    <n v="308550"/>
    <n v="1762538348889.95"/>
    <n v="98.831803569617705"/>
  </r>
  <r>
    <x v="2"/>
    <x v="267"/>
    <n v="2122"/>
    <n v="41605142128.040001"/>
    <n v="58.843192996504897"/>
  </r>
  <r>
    <x v="3"/>
    <x v="267"/>
    <n v="1361"/>
    <n v="35410457427.75"/>
    <n v="14.9068126598542"/>
  </r>
  <r>
    <x v="1"/>
    <x v="267"/>
    <n v="2249"/>
    <n v="52597600836.050003"/>
    <n v="99.576376903435502"/>
  </r>
  <r>
    <x v="0"/>
    <x v="268"/>
    <n v="308957"/>
    <n v="1767039306438.99"/>
    <n v="98.821026318429801"/>
  </r>
  <r>
    <x v="2"/>
    <x v="268"/>
    <n v="2130"/>
    <n v="41147928671"/>
    <n v="59.036710851180203"/>
  </r>
  <r>
    <x v="3"/>
    <x v="268"/>
    <n v="1367"/>
    <n v="35129109527.150002"/>
    <n v="15.176470841565401"/>
  </r>
  <r>
    <x v="1"/>
    <x v="268"/>
    <n v="2258"/>
    <n v="52812767276.599998"/>
    <n v="99.293281893011397"/>
  </r>
  <r>
    <x v="0"/>
    <x v="269"/>
    <n v="309633"/>
    <n v="1773173538779.0801"/>
    <n v="98.812529703003406"/>
  </r>
  <r>
    <x v="2"/>
    <x v="269"/>
    <n v="2137"/>
    <n v="40666312136.339996"/>
    <n v="59.201737181836499"/>
  </r>
  <r>
    <x v="3"/>
    <x v="269"/>
    <n v="1374"/>
    <n v="34806670533.199997"/>
    <n v="15.399588945845499"/>
  </r>
  <r>
    <x v="1"/>
    <x v="269"/>
    <n v="2265"/>
    <n v="53682511085.900002"/>
    <n v="98.9835592185092"/>
  </r>
  <r>
    <x v="1"/>
    <x v="270"/>
    <n v="2278"/>
    <n v="54334948049.68"/>
    <n v="98.753215964179901"/>
  </r>
  <r>
    <x v="2"/>
    <x v="270"/>
    <n v="2143"/>
    <n v="40108011455.849998"/>
    <n v="59.256955629221899"/>
  </r>
  <r>
    <x v="3"/>
    <x v="270"/>
    <n v="1380"/>
    <n v="34436906908.110001"/>
    <n v="15.6065555550139"/>
  </r>
  <r>
    <x v="0"/>
    <x v="270"/>
    <n v="310027"/>
    <n v="1776650798767.21"/>
    <n v="98.805421701131294"/>
  </r>
  <r>
    <x v="2"/>
    <x v="271"/>
    <n v="2148"/>
    <n v="39586221687.860001"/>
    <n v="59.390565721700199"/>
  </r>
  <r>
    <x v="1"/>
    <x v="271"/>
    <n v="2291"/>
    <n v="55686999256.790001"/>
    <n v="98.326245211456694"/>
  </r>
  <r>
    <x v="0"/>
    <x v="271"/>
    <n v="310733"/>
    <n v="1788184749657.6001"/>
    <n v="98.807292818224298"/>
  </r>
  <r>
    <x v="3"/>
    <x v="271"/>
    <n v="1385"/>
    <n v="34088680556.189999"/>
    <n v="15.8451908360269"/>
  </r>
  <r>
    <x v="0"/>
    <x v="272"/>
    <n v="311376"/>
    <n v="1794130472303.8501"/>
    <n v="98.809379617246606"/>
  </r>
  <r>
    <x v="2"/>
    <x v="272"/>
    <n v="2155"/>
    <n v="38990714989.599998"/>
    <n v="59.463260607432296"/>
  </r>
  <r>
    <x v="1"/>
    <x v="272"/>
    <n v="2303"/>
    <n v="56641834722.18"/>
    <n v="98.039009557294804"/>
  </r>
  <r>
    <x v="3"/>
    <x v="272"/>
    <n v="1390"/>
    <n v="33686513650.32"/>
    <n v="16.083707902563201"/>
  </r>
  <r>
    <x v="4"/>
    <x v="273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n v="80.821942854971596"/>
  </r>
  <r>
    <x v="0"/>
    <x v="29"/>
    <n v="153592"/>
    <n v="364145909105.21997"/>
    <n v="82.763683403138103"/>
  </r>
  <r>
    <x v="0"/>
    <x v="30"/>
    <n v="154353"/>
    <n v="367843583423.22998"/>
    <n v="83.040137733673703"/>
  </r>
  <r>
    <x v="0"/>
    <x v="31"/>
    <n v="155081"/>
    <n v="370513413856.09998"/>
    <n v="83.1321369032527"/>
  </r>
  <r>
    <x v="0"/>
    <x v="32"/>
    <n v="155900"/>
    <n v="375154945459.59998"/>
    <n v="83.372932505342106"/>
  </r>
  <r>
    <x v="0"/>
    <x v="33"/>
    <n v="156553"/>
    <n v="378164550622.22998"/>
    <n v="83.498884941472198"/>
  </r>
  <r>
    <x v="0"/>
    <x v="34"/>
    <n v="157183"/>
    <n v="380573155397.19"/>
    <n v="83.591681801590994"/>
  </r>
  <r>
    <x v="0"/>
    <x v="35"/>
    <n v="157961"/>
    <n v="383579286284.32001"/>
    <n v="83.855799120108401"/>
  </r>
  <r>
    <x v="0"/>
    <x v="36"/>
    <n v="158587"/>
    <n v="385622880966.02002"/>
    <n v="84.035551529129094"/>
  </r>
  <r>
    <x v="0"/>
    <x v="37"/>
    <n v="159328"/>
    <n v="388944585913.88"/>
    <n v="84.280331178005696"/>
  </r>
  <r>
    <x v="0"/>
    <x v="38"/>
    <n v="160031"/>
    <n v="391996345649.14001"/>
    <n v="84.3483510556715"/>
  </r>
  <r>
    <x v="0"/>
    <x v="39"/>
    <n v="160667"/>
    <n v="394401986179.65997"/>
    <n v="84.457331440352505"/>
  </r>
  <r>
    <x v="0"/>
    <x v="40"/>
    <n v="161332"/>
    <n v="397650299517.78003"/>
    <n v="84.624932354684105"/>
  </r>
  <r>
    <x v="0"/>
    <x v="41"/>
    <n v="161858"/>
    <n v="399661358461.85999"/>
    <n v="84.741930733665598"/>
  </r>
  <r>
    <x v="0"/>
    <x v="42"/>
    <n v="162531"/>
    <n v="402473247826.06"/>
    <n v="84.869677951046398"/>
  </r>
  <r>
    <x v="0"/>
    <x v="43"/>
    <n v="163328"/>
    <n v="407135000510.78003"/>
    <n v="85.000403888003206"/>
  </r>
  <r>
    <x v="0"/>
    <x v="44"/>
    <n v="164171"/>
    <n v="410957899203.09998"/>
    <n v="85.261564786079205"/>
  </r>
  <r>
    <x v="0"/>
    <x v="45"/>
    <n v="164998"/>
    <n v="415578143387.42999"/>
    <n v="85.488595568113794"/>
  </r>
  <r>
    <x v="0"/>
    <x v="46"/>
    <n v="165889"/>
    <n v="420442181020.82001"/>
    <n v="85.732646670895903"/>
  </r>
  <r>
    <x v="0"/>
    <x v="47"/>
    <n v="166964"/>
    <n v="425507008058.42999"/>
    <n v="85.916772511190402"/>
  </r>
  <r>
    <x v="0"/>
    <x v="48"/>
    <n v="167888"/>
    <n v="430133364045.90002"/>
    <n v="86.073193776107303"/>
  </r>
  <r>
    <x v="0"/>
    <x v="49"/>
    <n v="169006"/>
    <n v="436014643807.73999"/>
    <n v="86.304900534006705"/>
  </r>
  <r>
    <x v="0"/>
    <x v="50"/>
    <n v="170201"/>
    <n v="440572182741.69"/>
    <n v="86.678304028485002"/>
  </r>
  <r>
    <x v="0"/>
    <x v="51"/>
    <n v="171456"/>
    <n v="447378001346.06"/>
    <n v="87.039574346980004"/>
  </r>
  <r>
    <x v="0"/>
    <x v="52"/>
    <n v="172582"/>
    <n v="454600787180.84998"/>
    <n v="87.343849904654306"/>
  </r>
  <r>
    <x v="0"/>
    <x v="53"/>
    <n v="173773"/>
    <n v="463337515393.27002"/>
    <n v="87.598838500133795"/>
  </r>
  <r>
    <x v="0"/>
    <x v="54"/>
    <n v="174901"/>
    <n v="473963930458.06"/>
    <n v="87.788635868933795"/>
  </r>
  <r>
    <x v="0"/>
    <x v="55"/>
    <n v="175971"/>
    <n v="482637195788"/>
    <n v="87.999499864576293"/>
  </r>
  <r>
    <x v="0"/>
    <x v="56"/>
    <n v="177221"/>
    <n v="492759677673.42999"/>
    <n v="88.182062951470598"/>
  </r>
  <r>
    <x v="0"/>
    <x v="57"/>
    <n v="178640"/>
    <n v="502211629634.06"/>
    <n v="88.316940229701004"/>
  </r>
  <r>
    <x v="0"/>
    <x v="58"/>
    <n v="179937"/>
    <n v="508860817728.65997"/>
    <n v="88.502381318728396"/>
  </r>
  <r>
    <x v="0"/>
    <x v="59"/>
    <n v="181535"/>
    <n v="519181595242.40002"/>
    <n v="88.699348068777098"/>
  </r>
  <r>
    <x v="0"/>
    <x v="60"/>
    <n v="183021"/>
    <n v="529266546073.46997"/>
    <n v="88.8290600576115"/>
  </r>
  <r>
    <x v="0"/>
    <x v="61"/>
    <n v="184355"/>
    <n v="540755542094.21002"/>
    <n v="88.916750724973795"/>
  </r>
  <r>
    <x v="0"/>
    <x v="62"/>
    <n v="185605"/>
    <n v="549750472653.34998"/>
    <n v="89.022511910610902"/>
  </r>
  <r>
    <x v="0"/>
    <x v="63"/>
    <n v="186717"/>
    <n v="556506175459.81006"/>
    <n v="89.087276980426793"/>
  </r>
  <r>
    <x v="0"/>
    <x v="64"/>
    <n v="187662"/>
    <n v="563458838273"/>
    <n v="89.183970079397497"/>
  </r>
  <r>
    <x v="0"/>
    <x v="65"/>
    <n v="188811"/>
    <n v="572204607933.89001"/>
    <n v="89.252668809369197"/>
  </r>
  <r>
    <x v="0"/>
    <x v="66"/>
    <n v="189841"/>
    <n v="579291469300.42004"/>
    <n v="89.334416538184101"/>
  </r>
  <r>
    <x v="0"/>
    <x v="67"/>
    <n v="190764"/>
    <n v="587347551657.76001"/>
    <n v="89.385212427030496"/>
  </r>
  <r>
    <x v="0"/>
    <x v="68"/>
    <n v="191769"/>
    <n v="595358056585.48999"/>
    <n v="89.423143180167799"/>
  </r>
  <r>
    <x v="0"/>
    <x v="69"/>
    <n v="192676"/>
    <n v="603335784202.89001"/>
    <n v="89.417570983946703"/>
  </r>
  <r>
    <x v="0"/>
    <x v="70"/>
    <n v="193594"/>
    <n v="608661813729.64001"/>
    <n v="89.440207313354904"/>
  </r>
  <r>
    <x v="0"/>
    <x v="71"/>
    <n v="194574"/>
    <n v="614730545023.56995"/>
    <n v="89.454106293303099"/>
  </r>
  <r>
    <x v="0"/>
    <x v="72"/>
    <n v="195521"/>
    <n v="620175920606.63"/>
    <n v="89.469219142162103"/>
  </r>
  <r>
    <x v="0"/>
    <x v="73"/>
    <n v="196302"/>
    <n v="625373224000.52002"/>
    <n v="89.437017794823106"/>
  </r>
  <r>
    <x v="0"/>
    <x v="74"/>
    <n v="197211"/>
    <n v="628789317108.88"/>
    <n v="89.420227761991001"/>
  </r>
  <r>
    <x v="0"/>
    <x v="75"/>
    <n v="198200"/>
    <n v="633466085432.80005"/>
    <n v="89.389606417202302"/>
  </r>
  <r>
    <x v="0"/>
    <x v="76"/>
    <n v="199277"/>
    <n v="638637756539.06006"/>
    <n v="89.378029575305007"/>
  </r>
  <r>
    <x v="0"/>
    <x v="77"/>
    <n v="200318"/>
    <n v="644319934151.05005"/>
    <n v="89.359996593194793"/>
  </r>
  <r>
    <x v="0"/>
    <x v="78"/>
    <n v="201523"/>
    <n v="650241592057.52002"/>
    <n v="89.356468625789006"/>
  </r>
  <r>
    <x v="0"/>
    <x v="79"/>
    <n v="202877"/>
    <n v="659140528287.64001"/>
    <n v="89.359803550265099"/>
  </r>
  <r>
    <x v="0"/>
    <x v="80"/>
    <n v="204126"/>
    <n v="667771708329.09998"/>
    <n v="89.347997273322704"/>
  </r>
  <r>
    <x v="0"/>
    <x v="81"/>
    <n v="205336"/>
    <n v="678145982258.65002"/>
    <n v="89.329065844258906"/>
  </r>
  <r>
    <x v="0"/>
    <x v="82"/>
    <n v="206553"/>
    <n v="688667464062.68005"/>
    <n v="89.311412246293202"/>
  </r>
  <r>
    <x v="0"/>
    <x v="83"/>
    <n v="207893"/>
    <n v="700106336980.84998"/>
    <n v="89.1957191773012"/>
  </r>
  <r>
    <x v="0"/>
    <x v="84"/>
    <n v="209121"/>
    <n v="711936410692.26001"/>
    <n v="89.162986222519294"/>
  </r>
  <r>
    <x v="0"/>
    <x v="85"/>
    <n v="210670"/>
    <n v="724159427993.80005"/>
    <n v="89.142333278132398"/>
  </r>
  <r>
    <x v="0"/>
    <x v="86"/>
    <n v="212403"/>
    <n v="737131621054.80005"/>
    <n v="89.061908440722306"/>
  </r>
  <r>
    <x v="0"/>
    <x v="87"/>
    <n v="214231"/>
    <n v="752556214855.22998"/>
    <n v="89.0083794947694"/>
  </r>
  <r>
    <x v="0"/>
    <x v="88"/>
    <n v="216060"/>
    <n v="768634381863"/>
    <n v="88.951361810687303"/>
  </r>
  <r>
    <x v="0"/>
    <x v="89"/>
    <n v="217775"/>
    <n v="783899597190.81006"/>
    <n v="88.881959879658197"/>
  </r>
  <r>
    <x v="0"/>
    <x v="90"/>
    <n v="219337"/>
    <n v="800219895172"/>
    <n v="88.786114814314999"/>
  </r>
  <r>
    <x v="0"/>
    <x v="91"/>
    <n v="220863"/>
    <n v="816276961683.10999"/>
    <n v="88.714591239844296"/>
  </r>
  <r>
    <x v="0"/>
    <x v="92"/>
    <n v="222193"/>
    <n v="829340407712.87"/>
    <n v="88.606289030605197"/>
  </r>
  <r>
    <x v="0"/>
    <x v="93"/>
    <n v="223572"/>
    <n v="841081375122.14001"/>
    <n v="88.513754292118705"/>
  </r>
  <r>
    <x v="0"/>
    <x v="94"/>
    <n v="225055"/>
    <n v="853354387292.38"/>
    <n v="88.418972093567106"/>
  </r>
  <r>
    <x v="0"/>
    <x v="95"/>
    <n v="226605"/>
    <n v="865009341307.27002"/>
    <n v="88.277211055421702"/>
  </r>
  <r>
    <x v="0"/>
    <x v="96"/>
    <n v="227719"/>
    <n v="868002653952.68994"/>
    <n v="88.176194043112901"/>
  </r>
  <r>
    <x v="0"/>
    <x v="97"/>
    <n v="228962"/>
    <n v="879696484692.43994"/>
    <n v="88.077440995684597"/>
  </r>
  <r>
    <x v="0"/>
    <x v="98"/>
    <n v="229290"/>
    <n v="891137066963.31006"/>
    <n v="87.981297556967803"/>
  </r>
  <r>
    <x v="0"/>
    <x v="99"/>
    <n v="230242"/>
    <n v="898079497234.46997"/>
    <n v="87.865603598528097"/>
  </r>
  <r>
    <x v="0"/>
    <x v="100"/>
    <n v="231200"/>
    <n v="906196770233.09998"/>
    <n v="87.767329522479102"/>
  </r>
  <r>
    <x v="0"/>
    <x v="101"/>
    <n v="232155"/>
    <n v="915306614991.16003"/>
    <n v="87.669587927029895"/>
  </r>
  <r>
    <x v="0"/>
    <x v="102"/>
    <n v="232988"/>
    <n v="924210879564.21997"/>
    <n v="87.581996200554499"/>
  </r>
  <r>
    <x v="0"/>
    <x v="103"/>
    <n v="234029"/>
    <n v="933451662668.81006"/>
    <n v="87.473233839757697"/>
  </r>
  <r>
    <x v="0"/>
    <x v="104"/>
    <n v="235250"/>
    <n v="939163115315.12"/>
    <n v="87.382480191274695"/>
  </r>
  <r>
    <x v="0"/>
    <x v="105"/>
    <n v="236280"/>
    <n v="950835871010.5"/>
    <n v="87.287318973135598"/>
  </r>
  <r>
    <x v="0"/>
    <x v="106"/>
    <n v="237080"/>
    <n v="948704633830.25"/>
    <n v="87.223224297742604"/>
  </r>
  <r>
    <x v="0"/>
    <x v="107"/>
    <n v="238095"/>
    <n v="952529753121.88"/>
    <n v="87.208728162662098"/>
  </r>
  <r>
    <x v="0"/>
    <x v="108"/>
    <n v="238988"/>
    <n v="962426850688.71997"/>
    <n v="87.207829897462602"/>
  </r>
  <r>
    <x v="0"/>
    <x v="109"/>
    <n v="239791"/>
    <n v="971889246408.43994"/>
    <n v="87.200318656935593"/>
  </r>
  <r>
    <x v="0"/>
    <x v="110"/>
    <n v="240505"/>
    <n v="981397635555.85999"/>
    <n v="87.194903421124906"/>
  </r>
  <r>
    <x v="0"/>
    <x v="111"/>
    <n v="241199"/>
    <n v="998455877100.01001"/>
    <n v="86.822028233947506"/>
  </r>
  <r>
    <x v="0"/>
    <x v="112"/>
    <n v="241528"/>
    <n v="1000338175794.87"/>
    <n v="86.707662911917595"/>
  </r>
  <r>
    <x v="0"/>
    <x v="113"/>
    <n v="242127"/>
    <n v="1015393774840.89"/>
    <n v="86.715386817031998"/>
  </r>
  <r>
    <x v="0"/>
    <x v="114"/>
    <n v="242806"/>
    <n v="1022403673721.74"/>
    <n v="86.7408824390386"/>
  </r>
  <r>
    <x v="0"/>
    <x v="115"/>
    <n v="243055"/>
    <n v="1011345079983.45"/>
    <n v="86.768344664314498"/>
  </r>
  <r>
    <x v="0"/>
    <x v="116"/>
    <n v="243087"/>
    <n v="1018746952300.48"/>
    <n v="86.771986438292302"/>
  </r>
  <r>
    <x v="0"/>
    <x v="117"/>
    <n v="242823"/>
    <n v="1022881900552.3199"/>
    <n v="86.794467093150601"/>
  </r>
  <r>
    <x v="0"/>
    <x v="118"/>
    <n v="242568"/>
    <n v="1029221486063.8"/>
    <n v="86.7832101478364"/>
  </r>
  <r>
    <x v="0"/>
    <x v="119"/>
    <n v="242944"/>
    <n v="1041578015793.9"/>
    <n v="86.666943621310693"/>
  </r>
  <r>
    <x v="0"/>
    <x v="120"/>
    <n v="242958"/>
    <n v="1046154494968.26"/>
    <n v="86.673083350070499"/>
  </r>
  <r>
    <x v="0"/>
    <x v="121"/>
    <n v="243244"/>
    <n v="1054228745365.45"/>
    <n v="86.7574822907156"/>
  </r>
  <r>
    <x v="0"/>
    <x v="122"/>
    <n v="243458"/>
    <n v="1054419241918.8"/>
    <n v="86.829664718295902"/>
  </r>
  <r>
    <x v="0"/>
    <x v="123"/>
    <n v="243458"/>
    <n v="1053489210318.27"/>
    <n v="86.896268672576298"/>
  </r>
  <r>
    <x v="0"/>
    <x v="124"/>
    <n v="243206"/>
    <n v="1042475819587.54"/>
    <n v="86.982280720729406"/>
  </r>
  <r>
    <x v="0"/>
    <x v="125"/>
    <n v="243206"/>
    <n v="1043034371136.61"/>
    <n v="87.086669810072706"/>
  </r>
  <r>
    <x v="0"/>
    <x v="126"/>
    <n v="243079"/>
    <n v="1042526892174.13"/>
    <n v="87.197794988536401"/>
  </r>
  <r>
    <x v="0"/>
    <x v="127"/>
    <n v="243049"/>
    <n v="1043715265049.05"/>
    <n v="87.294954903344902"/>
  </r>
  <r>
    <x v="0"/>
    <x v="128"/>
    <n v="243211"/>
    <n v="1047052334367.59"/>
    <n v="87.398738831630595"/>
  </r>
  <r>
    <x v="0"/>
    <x v="129"/>
    <n v="243358"/>
    <n v="1046559366288.4301"/>
    <n v="87.490573576612306"/>
  </r>
  <r>
    <x v="0"/>
    <x v="130"/>
    <n v="243520"/>
    <n v="1046116620723.4399"/>
    <n v="87.595912266890906"/>
  </r>
  <r>
    <x v="0"/>
    <x v="131"/>
    <n v="243723"/>
    <n v="1045661950289.12"/>
    <n v="87.702255846650701"/>
  </r>
  <r>
    <x v="0"/>
    <x v="132"/>
    <n v="243770"/>
    <n v="1045305106228.61"/>
    <n v="87.782891469925502"/>
  </r>
  <r>
    <x v="0"/>
    <x v="133"/>
    <n v="243919"/>
    <n v="1047019150198.85"/>
    <n v="87.864725341011805"/>
  </r>
  <r>
    <x v="0"/>
    <x v="134"/>
    <n v="244114"/>
    <n v="1048394573900.75"/>
    <n v="87.182146888447804"/>
  </r>
  <r>
    <x v="0"/>
    <x v="135"/>
    <n v="244026"/>
    <n v="1046716620858.74"/>
    <n v="87.242677015284499"/>
  </r>
  <r>
    <x v="0"/>
    <x v="136"/>
    <n v="244112"/>
    <n v="1051148406451.9301"/>
    <n v="87.285375769113003"/>
  </r>
  <r>
    <x v="0"/>
    <x v="137"/>
    <n v="244290"/>
    <n v="1055396152979.1"/>
    <n v="88.158475861105103"/>
  </r>
  <r>
    <x v="0"/>
    <x v="138"/>
    <n v="244376"/>
    <n v="1062568967389.26"/>
    <n v="88.261609674462704"/>
  </r>
  <r>
    <x v="0"/>
    <x v="139"/>
    <n v="244769"/>
    <n v="1071676798504.13"/>
    <n v="88.379755043513299"/>
  </r>
  <r>
    <x v="0"/>
    <x v="140"/>
    <n v="245103"/>
    <n v="1083168990542.87"/>
    <n v="88.485589927773702"/>
  </r>
  <r>
    <x v="0"/>
    <x v="141"/>
    <n v="245417"/>
    <n v="1092258150495.95"/>
    <n v="88.574178978685296"/>
  </r>
  <r>
    <x v="0"/>
    <x v="142"/>
    <n v="245734"/>
    <n v="1101714404588.9399"/>
    <n v="88.642234664174396"/>
  </r>
  <r>
    <x v="0"/>
    <x v="143"/>
    <n v="246265"/>
    <n v="1111269349920.8401"/>
    <n v="88.725811162186204"/>
  </r>
  <r>
    <x v="0"/>
    <x v="144"/>
    <n v="246636"/>
    <n v="1122419326727.3401"/>
    <n v="88.766329729225802"/>
  </r>
  <r>
    <x v="0"/>
    <x v="145"/>
    <n v="247214"/>
    <n v="1132529092295.1799"/>
    <n v="88.831659693506495"/>
  </r>
  <r>
    <x v="0"/>
    <x v="146"/>
    <n v="247639"/>
    <n v="1142036164423.6499"/>
    <n v="88.886252852679306"/>
  </r>
  <r>
    <x v="0"/>
    <x v="147"/>
    <n v="248030"/>
    <n v="1155261788794.02"/>
    <n v="88.956859180533598"/>
  </r>
  <r>
    <x v="0"/>
    <x v="148"/>
    <n v="248548"/>
    <n v="1168142806797.22"/>
    <n v="89.010747427191703"/>
  </r>
  <r>
    <x v="0"/>
    <x v="149"/>
    <n v="248874"/>
    <n v="1181825510252.74"/>
    <n v="89.039442511260305"/>
  </r>
  <r>
    <x v="0"/>
    <x v="150"/>
    <n v="249248"/>
    <n v="1192430186515.3201"/>
    <n v="89.0775214272863"/>
  </r>
  <r>
    <x v="0"/>
    <x v="151"/>
    <n v="249885"/>
    <n v="1206782284664.1699"/>
    <n v="89.102836407577897"/>
  </r>
  <r>
    <x v="0"/>
    <x v="152"/>
    <n v="250428"/>
    <n v="1220415637263.49"/>
    <n v="89.129297411007201"/>
  </r>
  <r>
    <x v="0"/>
    <x v="153"/>
    <n v="250977"/>
    <n v="1240435866291.8799"/>
    <n v="89.154276982801704"/>
  </r>
  <r>
    <x v="0"/>
    <x v="154"/>
    <n v="251536"/>
    <n v="1253159977244.54"/>
    <n v="89.170519162776998"/>
  </r>
  <r>
    <x v="0"/>
    <x v="155"/>
    <n v="252197"/>
    <n v="1267753834052.5601"/>
    <n v="89.179441335163006"/>
  </r>
  <r>
    <x v="0"/>
    <x v="156"/>
    <n v="252755"/>
    <n v="1281899182108.53"/>
    <n v="89.201941488793096"/>
  </r>
  <r>
    <x v="0"/>
    <x v="157"/>
    <n v="253418"/>
    <n v="1297151286163.0601"/>
    <n v="89.246157653823801"/>
  </r>
  <r>
    <x v="0"/>
    <x v="158"/>
    <n v="254121"/>
    <n v="1313547803162.76"/>
    <n v="89.256248179001503"/>
  </r>
  <r>
    <x v="0"/>
    <x v="159"/>
    <n v="254866"/>
    <n v="1329046516438.8999"/>
    <n v="89.257750509301005"/>
  </r>
  <r>
    <x v="0"/>
    <x v="160"/>
    <n v="255714"/>
    <n v="1351361414625.3799"/>
    <n v="89.250428295611101"/>
  </r>
  <r>
    <x v="0"/>
    <x v="161"/>
    <n v="256516"/>
    <n v="1373358197427.46"/>
    <n v="89.206045580815299"/>
  </r>
  <r>
    <x v="0"/>
    <x v="162"/>
    <n v="257355"/>
    <n v="1398518091938.25"/>
    <n v="89.1909846522137"/>
  </r>
  <r>
    <x v="0"/>
    <x v="163"/>
    <n v="258242"/>
    <n v="1423075259258.24"/>
    <n v="89.178131002609703"/>
  </r>
  <r>
    <x v="0"/>
    <x v="164"/>
    <n v="259130"/>
    <n v="1448620805507.53"/>
    <n v="89.105633373318497"/>
  </r>
  <r>
    <x v="0"/>
    <x v="165"/>
    <n v="259997"/>
    <n v="1473008966168.4399"/>
    <n v="89.046230349444997"/>
  </r>
  <r>
    <x v="0"/>
    <x v="166"/>
    <n v="260697"/>
    <n v="1503089126091.8101"/>
    <n v="88.991225932700502"/>
  </r>
  <r>
    <x v="0"/>
    <x v="167"/>
    <n v="261695"/>
    <n v="1536876729700.0601"/>
    <n v="88.935954525777007"/>
  </r>
  <r>
    <x v="0"/>
    <x v="168"/>
    <n v="262505"/>
    <n v="1561574734904.05"/>
    <n v="88.882333577262699"/>
  </r>
  <r>
    <x v="0"/>
    <x v="169"/>
    <n v="264223"/>
    <n v="1598687945829.1299"/>
    <n v="88.875044473337994"/>
  </r>
  <r>
    <x v="0"/>
    <x v="170"/>
    <n v="264813"/>
    <n v="1611864597529.54"/>
    <n v="88.844516276389697"/>
  </r>
  <r>
    <x v="0"/>
    <x v="171"/>
    <n v="265488"/>
    <n v="1627058464695.98"/>
    <n v="88.896442962079306"/>
  </r>
  <r>
    <x v="1"/>
    <x v="172"/>
    <n v="5"/>
    <n v="12238945.18"/>
    <n v="100"/>
  </r>
  <r>
    <x v="0"/>
    <x v="172"/>
    <n v="266516"/>
    <n v="1649023403524.3301"/>
    <n v="88.996708470353298"/>
  </r>
  <r>
    <x v="0"/>
    <x v="173"/>
    <n v="267221"/>
    <n v="1672012270673.77"/>
    <n v="89.124990262253704"/>
  </r>
  <r>
    <x v="1"/>
    <x v="173"/>
    <n v="11"/>
    <n v="431216401.19999999"/>
    <n v="100"/>
  </r>
  <r>
    <x v="0"/>
    <x v="174"/>
    <n v="267777"/>
    <n v="1682374180043.9399"/>
    <n v="89.209233099813304"/>
  </r>
  <r>
    <x v="1"/>
    <x v="174"/>
    <n v="15"/>
    <n v="2102895357.54"/>
    <n v="100"/>
  </r>
  <r>
    <x v="0"/>
    <x v="175"/>
    <n v="268301"/>
    <n v="1690709203256.04"/>
    <n v="89.288186823087401"/>
  </r>
  <r>
    <x v="1"/>
    <x v="175"/>
    <n v="22"/>
    <n v="4048869571.6900001"/>
    <n v="100"/>
  </r>
  <r>
    <x v="1"/>
    <x v="176"/>
    <n v="32"/>
    <n v="6443245156.5"/>
    <n v="100"/>
  </r>
  <r>
    <x v="0"/>
    <x v="176"/>
    <n v="269084"/>
    <n v="1706507798745.03"/>
    <n v="89.404796194973002"/>
  </r>
  <r>
    <x v="1"/>
    <x v="177"/>
    <n v="33"/>
    <n v="7594722445.1199999"/>
    <n v="100"/>
  </r>
  <r>
    <x v="0"/>
    <x v="177"/>
    <n v="269586"/>
    <n v="1715320900515.99"/>
    <n v="89.464850069709101"/>
  </r>
  <r>
    <x v="1"/>
    <x v="178"/>
    <n v="33"/>
    <n v="7455294762.29"/>
    <n v="100"/>
  </r>
  <r>
    <x v="0"/>
    <x v="178"/>
    <n v="269880"/>
    <n v="1722159821907.24"/>
    <n v="89.555952831671206"/>
  </r>
  <r>
    <x v="0"/>
    <x v="179"/>
    <n v="270476"/>
    <n v="1743795423653.5901"/>
    <n v="89.675378124605999"/>
  </r>
  <r>
    <x v="1"/>
    <x v="179"/>
    <n v="37"/>
    <n v="7385915358.9499998"/>
    <n v="100"/>
  </r>
  <r>
    <x v="1"/>
    <x v="180"/>
    <n v="37"/>
    <n v="7186390255.3999996"/>
    <n v="100"/>
  </r>
  <r>
    <x v="0"/>
    <x v="180"/>
    <n v="270820"/>
    <n v="1747958716979.52"/>
    <n v="89.743617780274306"/>
  </r>
  <r>
    <x v="1"/>
    <x v="181"/>
    <n v="57"/>
    <n v="7517545111.1499996"/>
    <n v="100"/>
  </r>
  <r>
    <x v="0"/>
    <x v="181"/>
    <n v="271227"/>
    <n v="1754532172587.8201"/>
    <n v="89.865450047058502"/>
  </r>
  <r>
    <x v="1"/>
    <x v="182"/>
    <n v="80"/>
    <n v="7812894988.0100002"/>
    <n v="100"/>
  </r>
  <r>
    <x v="0"/>
    <x v="182"/>
    <n v="271839"/>
    <n v="1783832899325.1899"/>
    <n v="90.112773689330695"/>
  </r>
  <r>
    <x v="0"/>
    <x v="183"/>
    <n v="272056"/>
    <n v="1788604982272.3999"/>
    <n v="90.269271386782407"/>
  </r>
  <r>
    <x v="1"/>
    <x v="183"/>
    <n v="94"/>
    <n v="7929838117.7600002"/>
    <n v="100"/>
  </r>
  <r>
    <x v="0"/>
    <x v="184"/>
    <n v="272638"/>
    <n v="1851247613799.7"/>
    <n v="90.260357422999604"/>
  </r>
  <r>
    <x v="1"/>
    <x v="184"/>
    <n v="131"/>
    <n v="14236149645.15"/>
    <n v="99.9863015862026"/>
  </r>
  <r>
    <x v="0"/>
    <x v="185"/>
    <n v="273233"/>
    <n v="1892906083080.45"/>
    <n v="90.437052803943502"/>
  </r>
  <r>
    <x v="1"/>
    <x v="185"/>
    <n v="168"/>
    <n v="15653598327.879999"/>
    <n v="99.937551368541705"/>
  </r>
  <r>
    <x v="0"/>
    <x v="186"/>
    <n v="273609"/>
    <n v="1911210202909.05"/>
    <n v="90.620409447195101"/>
  </r>
  <r>
    <x v="1"/>
    <x v="186"/>
    <n v="188"/>
    <n v="16210075077.32"/>
    <n v="99.894471134551495"/>
  </r>
  <r>
    <x v="0"/>
    <x v="187"/>
    <n v="273811"/>
    <n v="1922329055650.49"/>
    <n v="90.739257821878297"/>
  </r>
  <r>
    <x v="1"/>
    <x v="187"/>
    <n v="222"/>
    <n v="17522334402.939999"/>
    <n v="99.9033440776752"/>
  </r>
  <r>
    <x v="0"/>
    <x v="188"/>
    <n v="274246"/>
    <n v="1936230379188.45"/>
    <n v="90.844463902687494"/>
  </r>
  <r>
    <x v="1"/>
    <x v="188"/>
    <n v="266"/>
    <n v="20636621094.560001"/>
    <n v="99.921943686942001"/>
  </r>
  <r>
    <x v="0"/>
    <x v="189"/>
    <n v="274530"/>
    <n v="1935224752959.1399"/>
    <n v="90.929904723608601"/>
  </r>
  <r>
    <x v="2"/>
    <x v="189"/>
    <n v="3"/>
    <n v="15327165.810000001"/>
    <n v="96.701808029489001"/>
  </r>
  <r>
    <x v="1"/>
    <x v="189"/>
    <n v="290"/>
    <n v="24709665353.299999"/>
    <n v="99.934840514003696"/>
  </r>
  <r>
    <x v="0"/>
    <x v="190"/>
    <n v="274807"/>
    <n v="1931516393378.1001"/>
    <n v="91.004763922411996"/>
  </r>
  <r>
    <x v="2"/>
    <x v="190"/>
    <n v="17"/>
    <n v="106566395.2"/>
    <n v="93.7442174268933"/>
  </r>
  <r>
    <x v="1"/>
    <x v="190"/>
    <n v="353"/>
    <n v="27060927127.610001"/>
    <n v="99.925639952495999"/>
  </r>
  <r>
    <x v="0"/>
    <x v="191"/>
    <n v="275195"/>
    <n v="1935480749969.53"/>
    <n v="91.062751989165704"/>
  </r>
  <r>
    <x v="2"/>
    <x v="191"/>
    <n v="35"/>
    <n v="234862672.03"/>
    <n v="94.532650317876801"/>
  </r>
  <r>
    <x v="1"/>
    <x v="191"/>
    <n v="414"/>
    <n v="29069674532.27"/>
    <n v="99.916509509765007"/>
  </r>
  <r>
    <x v="0"/>
    <x v="192"/>
    <n v="275240"/>
    <n v="1926355203139.8799"/>
    <n v="91.1263761815365"/>
  </r>
  <r>
    <x v="2"/>
    <x v="192"/>
    <n v="52"/>
    <n v="406767057.86000001"/>
    <n v="93.734093767396303"/>
  </r>
  <r>
    <x v="1"/>
    <x v="192"/>
    <n v="458"/>
    <n v="30591542409.349998"/>
    <n v="99.914427340347402"/>
  </r>
  <r>
    <x v="0"/>
    <x v="193"/>
    <n v="275437"/>
    <n v="1923031361638.27"/>
    <n v="91.187683050064294"/>
  </r>
  <r>
    <x v="2"/>
    <x v="193"/>
    <n v="66"/>
    <n v="597072260.88"/>
    <n v="92.047350427747801"/>
  </r>
  <r>
    <x v="1"/>
    <x v="193"/>
    <n v="489"/>
    <n v="32188299766.919998"/>
    <n v="99.9091940218471"/>
  </r>
  <r>
    <x v="0"/>
    <x v="194"/>
    <n v="275562"/>
    <n v="1915973684687.22"/>
    <n v="91.308005096963896"/>
  </r>
  <r>
    <x v="2"/>
    <x v="194"/>
    <n v="83"/>
    <n v="810653741.88"/>
    <n v="91.916253102593103"/>
  </r>
  <r>
    <x v="1"/>
    <x v="194"/>
    <n v="523"/>
    <n v="34019181733.130001"/>
    <n v="99.632758822103298"/>
  </r>
  <r>
    <x v="0"/>
    <x v="195"/>
    <n v="274490"/>
    <n v="1886014655841.54"/>
    <n v="91.573987618499501"/>
  </r>
  <r>
    <x v="2"/>
    <x v="195"/>
    <n v="99"/>
    <n v="1028774473.66"/>
    <n v="91.704176086498407"/>
  </r>
  <r>
    <x v="1"/>
    <x v="195"/>
    <n v="565"/>
    <n v="34942230806.919998"/>
    <n v="99.547538316746795"/>
  </r>
  <r>
    <x v="0"/>
    <x v="196"/>
    <n v="274482"/>
    <n v="1851844202005.27"/>
    <n v="91.789428207873996"/>
  </r>
  <r>
    <x v="2"/>
    <x v="196"/>
    <n v="117"/>
    <n v="1283914779.73"/>
    <n v="91.283694439989205"/>
  </r>
  <r>
    <x v="1"/>
    <x v="196"/>
    <n v="596"/>
    <n v="35952137084.459999"/>
    <n v="99.506611399471794"/>
  </r>
  <r>
    <x v="0"/>
    <x v="197"/>
    <n v="274694"/>
    <n v="1823788108779.51"/>
    <n v="91.880024590048706"/>
  </r>
  <r>
    <x v="2"/>
    <x v="197"/>
    <n v="135"/>
    <n v="1489592023.8900001"/>
    <n v="90.986047306770899"/>
  </r>
  <r>
    <x v="1"/>
    <x v="197"/>
    <n v="636"/>
    <n v="36911796753.43"/>
    <n v="99.561238516886505"/>
  </r>
  <r>
    <x v="0"/>
    <x v="198"/>
    <n v="274934"/>
    <n v="1816002763653.8401"/>
    <n v="91.946399438105203"/>
  </r>
  <r>
    <x v="2"/>
    <x v="198"/>
    <n v="156"/>
    <n v="1693098544.05"/>
    <n v="90.792335955246898"/>
  </r>
  <r>
    <x v="1"/>
    <x v="198"/>
    <n v="682"/>
    <n v="39233880521.379997"/>
    <n v="99.589450414066405"/>
  </r>
  <r>
    <x v="0"/>
    <x v="199"/>
    <n v="275265"/>
    <n v="1809160523507.3899"/>
    <n v="92.010377615222794"/>
  </r>
  <r>
    <x v="2"/>
    <x v="199"/>
    <n v="178"/>
    <n v="1929687214.6600001"/>
    <n v="91.052362762282897"/>
  </r>
  <r>
    <x v="1"/>
    <x v="199"/>
    <n v="731"/>
    <n v="41226846111.760002"/>
    <n v="99.619284926501507"/>
  </r>
  <r>
    <x v="0"/>
    <x v="200"/>
    <n v="275759"/>
    <n v="1806620806982.2"/>
    <n v="92.1080853409441"/>
  </r>
  <r>
    <x v="2"/>
    <x v="200"/>
    <n v="196"/>
    <n v="2275609818.98"/>
    <n v="91.001725206505796"/>
  </r>
  <r>
    <x v="1"/>
    <x v="200"/>
    <n v="783"/>
    <n v="43877710701.519997"/>
    <n v="99.640765383274299"/>
  </r>
  <r>
    <x v="0"/>
    <x v="201"/>
    <n v="276421"/>
    <n v="1800298888880.73"/>
    <n v="92.205127782332497"/>
  </r>
  <r>
    <x v="2"/>
    <x v="201"/>
    <n v="217"/>
    <n v="2589769137.29"/>
    <n v="90.948322598251806"/>
  </r>
  <r>
    <x v="1"/>
    <x v="201"/>
    <n v="843"/>
    <n v="46125972276.830002"/>
    <n v="99.667709469403306"/>
  </r>
  <r>
    <x v="0"/>
    <x v="202"/>
    <n v="277266"/>
    <n v="1792464139799.6499"/>
    <n v="92.292483085158295"/>
  </r>
  <r>
    <x v="2"/>
    <x v="202"/>
    <n v="236"/>
    <n v="2951365460.7199998"/>
    <n v="90.755374987605194"/>
  </r>
  <r>
    <x v="1"/>
    <x v="202"/>
    <n v="896"/>
    <n v="48366176627.93"/>
    <n v="99.696614916256905"/>
  </r>
  <r>
    <x v="0"/>
    <x v="203"/>
    <n v="278078"/>
    <n v="1786702401571.8401"/>
    <n v="92.396466917223407"/>
  </r>
  <r>
    <x v="2"/>
    <x v="203"/>
    <n v="259"/>
    <n v="3379401993.3099999"/>
    <n v="90.570755183876898"/>
  </r>
  <r>
    <x v="1"/>
    <x v="203"/>
    <n v="949"/>
    <n v="50759303463"/>
    <n v="99.741260524898806"/>
  </r>
  <r>
    <x v="0"/>
    <x v="204"/>
    <n v="278395"/>
    <n v="1774777092612.05"/>
    <n v="92.483769027590895"/>
  </r>
  <r>
    <x v="2"/>
    <x v="204"/>
    <n v="279"/>
    <n v="3849888136.0700002"/>
    <n v="90.445522303589399"/>
  </r>
  <r>
    <x v="1"/>
    <x v="204"/>
    <n v="1009"/>
    <n v="52653026516.040001"/>
    <n v="99.765315968579102"/>
  </r>
  <r>
    <x v="0"/>
    <x v="205"/>
    <n v="278900"/>
    <n v="1768365158153.76"/>
    <n v="92.557381531138702"/>
  </r>
  <r>
    <x v="2"/>
    <x v="205"/>
    <n v="297"/>
    <n v="4348110845.5"/>
    <n v="90.636338034485306"/>
  </r>
  <r>
    <x v="1"/>
    <x v="205"/>
    <n v="1046"/>
    <n v="54091880308.709999"/>
    <n v="99.773212048521103"/>
  </r>
  <r>
    <x v="0"/>
    <x v="206"/>
    <n v="279791"/>
    <n v="1771693715295.3601"/>
    <n v="92.637593980511497"/>
  </r>
  <r>
    <x v="2"/>
    <x v="206"/>
    <n v="323"/>
    <n v="4929321160.3199997"/>
    <n v="90.401809885767406"/>
  </r>
  <r>
    <x v="1"/>
    <x v="206"/>
    <n v="1107"/>
    <n v="55452548932.449997"/>
    <n v="99.783163312000099"/>
  </r>
  <r>
    <x v="0"/>
    <x v="207"/>
    <n v="280244"/>
    <n v="1762890974623.96"/>
    <n v="92.703232333637999"/>
  </r>
  <r>
    <x v="2"/>
    <x v="207"/>
    <n v="350"/>
    <n v="5479584254.1499996"/>
    <n v="90.178535517066607"/>
  </r>
  <r>
    <x v="1"/>
    <x v="207"/>
    <n v="1145"/>
    <n v="56144173209.129997"/>
    <n v="99.789528760021796"/>
  </r>
  <r>
    <x v="0"/>
    <x v="208"/>
    <n v="280629"/>
    <n v="1756163628422.04"/>
    <n v="92.754966118558301"/>
  </r>
  <r>
    <x v="2"/>
    <x v="208"/>
    <n v="376"/>
    <n v="5898298960.6400003"/>
    <n v="90.176571441853895"/>
  </r>
  <r>
    <x v="1"/>
    <x v="208"/>
    <n v="1174"/>
    <n v="56713020697.900002"/>
    <n v="99.794737608976902"/>
  </r>
  <r>
    <x v="0"/>
    <x v="209"/>
    <n v="281075"/>
    <n v="1752854091034.3601"/>
    <n v="92.808646324190505"/>
  </r>
  <r>
    <x v="2"/>
    <x v="209"/>
    <n v="398"/>
    <n v="6434083171.8299999"/>
    <n v="90.049483285841404"/>
  </r>
  <r>
    <x v="1"/>
    <x v="209"/>
    <n v="1216"/>
    <n v="57606973208.239998"/>
    <n v="99.797180990104707"/>
  </r>
  <r>
    <x v="0"/>
    <x v="210"/>
    <n v="281434"/>
    <n v="1742063298538.3899"/>
    <n v="92.863859149287293"/>
  </r>
  <r>
    <x v="2"/>
    <x v="210"/>
    <n v="417"/>
    <n v="6872090576.5200005"/>
    <n v="89.982362054125204"/>
  </r>
  <r>
    <x v="1"/>
    <x v="210"/>
    <n v="1268"/>
    <n v="58408841241.650002"/>
    <n v="99.810740345950293"/>
  </r>
  <r>
    <x v="0"/>
    <x v="211"/>
    <n v="281942"/>
    <n v="1736000312551.3601"/>
    <n v="92.934018823881104"/>
  </r>
  <r>
    <x v="2"/>
    <x v="211"/>
    <n v="437"/>
    <n v="7393854531.21"/>
    <n v="89.888428988835102"/>
  </r>
  <r>
    <x v="1"/>
    <x v="211"/>
    <n v="1327"/>
    <n v="59412547411.709999"/>
    <n v="99.8189591983718"/>
  </r>
  <r>
    <x v="0"/>
    <x v="212"/>
    <n v="282590"/>
    <n v="1730062143723.8999"/>
    <n v="92.997309214529594"/>
  </r>
  <r>
    <x v="2"/>
    <x v="212"/>
    <n v="461"/>
    <n v="7990816564.1599998"/>
    <n v="89.750605196738206"/>
  </r>
  <r>
    <x v="1"/>
    <x v="212"/>
    <n v="1392"/>
    <n v="60879463797.669998"/>
    <n v="99.827854150992806"/>
  </r>
  <r>
    <x v="0"/>
    <x v="213"/>
    <n v="283012"/>
    <n v="1716111353814.28"/>
    <n v="93.065803089217596"/>
  </r>
  <r>
    <x v="2"/>
    <x v="213"/>
    <n v="487"/>
    <n v="8517165199.3299999"/>
    <n v="89.673632529765598"/>
  </r>
  <r>
    <x v="1"/>
    <x v="213"/>
    <n v="1471"/>
    <n v="61528554510.57"/>
    <n v="99.838874625920994"/>
  </r>
  <r>
    <x v="0"/>
    <x v="214"/>
    <n v="283516"/>
    <n v="1704192012667.5601"/>
    <n v="93.141427067055403"/>
  </r>
  <r>
    <x v="2"/>
    <x v="214"/>
    <n v="514"/>
    <n v="9074021450.3299999"/>
    <n v="89.664991447860103"/>
  </r>
  <r>
    <x v="1"/>
    <x v="214"/>
    <n v="1523"/>
    <n v="63432840444.580002"/>
    <n v="99.648639635694295"/>
  </r>
  <r>
    <x v="0"/>
    <x v="215"/>
    <n v="284179"/>
    <n v="1704718198742.55"/>
    <n v="93.243764657980705"/>
  </r>
  <r>
    <x v="2"/>
    <x v="215"/>
    <n v="537"/>
    <n v="9400322582.2900009"/>
    <n v="89.747897690977197"/>
  </r>
  <r>
    <x v="1"/>
    <x v="215"/>
    <n v="1561"/>
    <n v="63431287348.879997"/>
    <n v="99.654513976809"/>
  </r>
  <r>
    <x v="0"/>
    <x v="216"/>
    <n v="284757"/>
    <n v="1695810438281.72"/>
    <n v="93.297721115623602"/>
  </r>
  <r>
    <x v="2"/>
    <x v="216"/>
    <n v="563"/>
    <n v="10323435733.66"/>
    <n v="89.572942960900406"/>
  </r>
  <r>
    <x v="1"/>
    <x v="216"/>
    <n v="1581"/>
    <n v="63028905485.379997"/>
    <n v="99.662727963628299"/>
  </r>
  <r>
    <x v="0"/>
    <x v="217"/>
    <n v="285377"/>
    <n v="1691373410963.1499"/>
    <n v="93.354232699226301"/>
  </r>
  <r>
    <x v="2"/>
    <x v="217"/>
    <n v="596"/>
    <n v="11215689816.950001"/>
    <n v="89.495992153052498"/>
  </r>
  <r>
    <x v="1"/>
    <x v="217"/>
    <n v="1608"/>
    <n v="62701545672.050003"/>
    <n v="99.665501415522996"/>
  </r>
  <r>
    <x v="0"/>
    <x v="218"/>
    <n v="286478"/>
    <n v="1700883766281.3999"/>
    <n v="93.408729632261398"/>
  </r>
  <r>
    <x v="2"/>
    <x v="218"/>
    <n v="653"/>
    <n v="12887725448.07"/>
    <n v="88.900629172472094"/>
  </r>
  <r>
    <x v="1"/>
    <x v="218"/>
    <n v="1644"/>
    <n v="62862062606.980003"/>
    <n v="99.627127428403597"/>
  </r>
  <r>
    <x v="0"/>
    <x v="219"/>
    <n v="286960"/>
    <n v="1686240153711.4299"/>
    <n v="93.501389412987294"/>
  </r>
  <r>
    <x v="2"/>
    <x v="219"/>
    <n v="701"/>
    <n v="14157505535.01"/>
    <n v="89.042230884812597"/>
  </r>
  <r>
    <x v="1"/>
    <x v="219"/>
    <n v="1667"/>
    <n v="61402153038.43"/>
    <n v="99.631173209738606"/>
  </r>
  <r>
    <x v="0"/>
    <x v="220"/>
    <n v="287883"/>
    <n v="1687594503417.6201"/>
    <n v="93.560369380203099"/>
  </r>
  <r>
    <x v="2"/>
    <x v="220"/>
    <n v="753"/>
    <n v="16332228361.5"/>
    <n v="88.658460700603101"/>
  </r>
  <r>
    <x v="1"/>
    <x v="220"/>
    <n v="1684"/>
    <n v="61117631921.150002"/>
    <n v="99.566825896503403"/>
  </r>
  <r>
    <x v="0"/>
    <x v="221"/>
    <n v="288800"/>
    <n v="1678034216160.9199"/>
    <n v="93.6216860054693"/>
  </r>
  <r>
    <x v="2"/>
    <x v="221"/>
    <n v="818"/>
    <n v="18926538940.299999"/>
    <n v="88.415103738460303"/>
  </r>
  <r>
    <x v="3"/>
    <x v="221"/>
    <n v="91"/>
    <n v="5555695171.1300001"/>
    <n v="86.683060673894005"/>
  </r>
  <r>
    <x v="1"/>
    <x v="221"/>
    <n v="1697"/>
    <n v="61062774148.769997"/>
    <n v="99.576775408775106"/>
  </r>
  <r>
    <x v="0"/>
    <x v="222"/>
    <n v="289667"/>
    <n v="1673253636966.7"/>
    <n v="93.712598658155201"/>
  </r>
  <r>
    <x v="2"/>
    <x v="222"/>
    <n v="877"/>
    <n v="21611125130.189999"/>
    <n v="88.202138814657403"/>
  </r>
  <r>
    <x v="3"/>
    <x v="222"/>
    <n v="156"/>
    <n v="8754398274.3899994"/>
    <n v="86.594732281176604"/>
  </r>
  <r>
    <x v="1"/>
    <x v="222"/>
    <n v="1720"/>
    <n v="61530216630.559998"/>
    <n v="99.590395442546793"/>
  </r>
  <r>
    <x v="0"/>
    <x v="223"/>
    <n v="290751"/>
    <n v="1668901981848.5"/>
    <n v="93.807070748505197"/>
  </r>
  <r>
    <x v="2"/>
    <x v="223"/>
    <n v="932"/>
    <n v="24194119358.029999"/>
    <n v="88.012787754588103"/>
  </r>
  <r>
    <x v="3"/>
    <x v="223"/>
    <n v="210"/>
    <n v="12053254300.4"/>
    <n v="86.331050886758604"/>
  </r>
  <r>
    <x v="1"/>
    <x v="223"/>
    <n v="1748"/>
    <n v="61794453574.470001"/>
    <n v="99.608448727121896"/>
  </r>
  <r>
    <x v="0"/>
    <x v="224"/>
    <n v="292008"/>
    <n v="1663516641773.1899"/>
    <n v="93.901022145489407"/>
  </r>
  <r>
    <x v="2"/>
    <x v="224"/>
    <n v="993"/>
    <n v="26597645245.860001"/>
    <n v="87.810219106182402"/>
  </r>
  <r>
    <x v="3"/>
    <x v="224"/>
    <n v="281"/>
    <n v="15145163161.950001"/>
    <n v="86.284138816658796"/>
  </r>
  <r>
    <x v="1"/>
    <x v="224"/>
    <n v="1779"/>
    <n v="61518645943.379997"/>
    <n v="99.518459649940198"/>
  </r>
  <r>
    <x v="0"/>
    <x v="225"/>
    <n v="292794"/>
    <n v="1648405277502.1699"/>
    <n v="93.966867300089703"/>
  </r>
  <r>
    <x v="2"/>
    <x v="225"/>
    <n v="1047"/>
    <n v="28293094942.189999"/>
    <n v="87.682423390331493"/>
  </r>
  <r>
    <x v="3"/>
    <x v="225"/>
    <n v="339"/>
    <n v="17141506906.68"/>
    <n v="86.175299729055297"/>
  </r>
  <r>
    <x v="1"/>
    <x v="225"/>
    <n v="1797"/>
    <n v="60741144641.419998"/>
    <n v="99.528716229790604"/>
  </r>
  <r>
    <x v="0"/>
    <x v="226"/>
    <n v="294272"/>
    <n v="1656955004649.22"/>
    <n v="94.081794626520505"/>
  </r>
  <r>
    <x v="2"/>
    <x v="226"/>
    <n v="1134"/>
    <n v="31066598637.540001"/>
    <n v="87.583252213226999"/>
  </r>
  <r>
    <x v="3"/>
    <x v="226"/>
    <n v="427"/>
    <n v="20228876583.380001"/>
    <n v="86.183125762431999"/>
  </r>
  <r>
    <x v="1"/>
    <x v="226"/>
    <n v="1849"/>
    <n v="61181393447.510002"/>
    <n v="99.5547550301294"/>
  </r>
  <r>
    <x v="0"/>
    <x v="227"/>
    <n v="294972"/>
    <n v="1645019670084.6001"/>
    <n v="94.145853447733302"/>
  </r>
  <r>
    <x v="2"/>
    <x v="227"/>
    <n v="1194"/>
    <n v="33051971704.52"/>
    <n v="87.441906887647505"/>
  </r>
  <r>
    <x v="3"/>
    <x v="227"/>
    <n v="493"/>
    <n v="22634123601.41"/>
    <n v="86.057768050996998"/>
  </r>
  <r>
    <x v="1"/>
    <x v="227"/>
    <n v="1864"/>
    <n v="59324750524.360001"/>
    <n v="99.561954202389899"/>
  </r>
  <r>
    <x v="0"/>
    <x v="228"/>
    <n v="293805"/>
    <n v="1593918573766.71"/>
    <n v="94.162941557010001"/>
  </r>
  <r>
    <x v="2"/>
    <x v="228"/>
    <n v="1195"/>
    <n v="32960778812.59"/>
    <n v="87.436723819610705"/>
  </r>
  <r>
    <x v="3"/>
    <x v="228"/>
    <n v="496"/>
    <n v="22755806298"/>
    <n v="86.0225692191799"/>
  </r>
  <r>
    <x v="1"/>
    <x v="228"/>
    <n v="1860"/>
    <n v="56268171623.830002"/>
    <n v="99.561831809667794"/>
  </r>
  <r>
    <x v="0"/>
    <x v="229"/>
    <n v="292500"/>
    <n v="1544182611784.7"/>
    <n v="94.179770843223494"/>
  </r>
  <r>
    <x v="2"/>
    <x v="229"/>
    <n v="1195"/>
    <n v="32818086591.290001"/>
    <n v="87.435774189383906"/>
  </r>
  <r>
    <x v="3"/>
    <x v="229"/>
    <n v="496"/>
    <n v="22696342928.810001"/>
    <n v="86.034601723669496"/>
  </r>
  <r>
    <x v="1"/>
    <x v="229"/>
    <n v="1849"/>
    <n v="53226742579.720001"/>
    <n v="99.564842309395502"/>
  </r>
  <r>
    <x v="0"/>
    <x v="230"/>
    <n v="291212"/>
    <n v="1501039005781.6699"/>
    <n v="94.201892944476896"/>
  </r>
  <r>
    <x v="2"/>
    <x v="230"/>
    <n v="1195"/>
    <n v="32670823574.41"/>
    <n v="87.438164347311996"/>
  </r>
  <r>
    <x v="3"/>
    <x v="230"/>
    <n v="496"/>
    <n v="22633756843.860001"/>
    <n v="86.041062267038896"/>
  </r>
  <r>
    <x v="1"/>
    <x v="230"/>
    <n v="1845"/>
    <n v="50816706140.699997"/>
    <n v="99.565662786584397"/>
  </r>
  <r>
    <x v="0"/>
    <x v="231"/>
    <n v="289794"/>
    <n v="1457876992717.3601"/>
    <n v="94.224834494805606"/>
  </r>
  <r>
    <x v="2"/>
    <x v="231"/>
    <n v="1195"/>
    <n v="32483480029.419998"/>
    <n v="87.436861683141998"/>
  </r>
  <r>
    <x v="3"/>
    <x v="231"/>
    <n v="496"/>
    <n v="22564192446.619999"/>
    <n v="86.0435791643107"/>
  </r>
  <r>
    <x v="1"/>
    <x v="231"/>
    <n v="1837"/>
    <n v="48502477251.690002"/>
    <n v="99.564715566749101"/>
  </r>
  <r>
    <x v="0"/>
    <x v="232"/>
    <n v="288296"/>
    <n v="1415455339275.74"/>
    <n v="94.253443709133506"/>
  </r>
  <r>
    <x v="2"/>
    <x v="232"/>
    <n v="1195"/>
    <n v="32291989386.939999"/>
    <n v="87.440117470618503"/>
  </r>
  <r>
    <x v="3"/>
    <x v="232"/>
    <n v="496"/>
    <n v="22486136614.290001"/>
    <n v="86.0460051180129"/>
  </r>
  <r>
    <x v="1"/>
    <x v="232"/>
    <n v="1831"/>
    <n v="46348865815.5"/>
    <n v="99.573369120009602"/>
  </r>
  <r>
    <x v="0"/>
    <x v="233"/>
    <n v="286830"/>
    <n v="1371409940975.9199"/>
    <n v="94.282933916013903"/>
  </r>
  <r>
    <x v="2"/>
    <x v="233"/>
    <n v="1195"/>
    <n v="32053367156.580002"/>
    <n v="87.438156005908098"/>
  </r>
  <r>
    <x v="3"/>
    <x v="233"/>
    <n v="496"/>
    <n v="22395180315.139999"/>
    <n v="86.044090274821301"/>
  </r>
  <r>
    <x v="1"/>
    <x v="233"/>
    <n v="1827"/>
    <n v="43864139456.93"/>
    <n v="99.575818426802897"/>
  </r>
  <r>
    <x v="0"/>
    <x v="234"/>
    <n v="285428"/>
    <n v="1332054250504.99"/>
    <n v="94.310904509305203"/>
  </r>
  <r>
    <x v="2"/>
    <x v="234"/>
    <n v="1195"/>
    <n v="31814985625.080002"/>
    <n v="87.433625946131102"/>
  </r>
  <r>
    <x v="3"/>
    <x v="234"/>
    <n v="496"/>
    <n v="22296370266.130001"/>
    <n v="86.041305813454898"/>
  </r>
  <r>
    <x v="1"/>
    <x v="234"/>
    <n v="1822"/>
    <n v="41840158225.949997"/>
    <n v="99.576947890051599"/>
  </r>
  <r>
    <x v="0"/>
    <x v="235"/>
    <n v="284002"/>
    <n v="1296569883839.74"/>
    <n v="94.352516660948098"/>
  </r>
  <r>
    <x v="2"/>
    <x v="235"/>
    <n v="1195"/>
    <n v="31558366987.900002"/>
    <n v="87.438796126168"/>
  </r>
  <r>
    <x v="3"/>
    <x v="235"/>
    <n v="496"/>
    <n v="22195770971.369999"/>
    <n v="86.049800951700504"/>
  </r>
  <r>
    <x v="1"/>
    <x v="235"/>
    <n v="1811"/>
    <n v="40366663482.400002"/>
    <n v="99.579086378360799"/>
  </r>
  <r>
    <x v="0"/>
    <x v="236"/>
    <n v="282597"/>
    <n v="1268689430655.28"/>
    <n v="94.396536566089594"/>
  </r>
  <r>
    <x v="2"/>
    <x v="236"/>
    <n v="1195"/>
    <n v="31319406079.02"/>
    <n v="87.439662002545603"/>
  </r>
  <r>
    <x v="3"/>
    <x v="236"/>
    <n v="496"/>
    <n v="22090057788.029999"/>
    <n v="86.070945907264999"/>
  </r>
  <r>
    <x v="1"/>
    <x v="236"/>
    <n v="1806"/>
    <n v="39450013611.269997"/>
    <n v="99.577400382331604"/>
  </r>
  <r>
    <x v="0"/>
    <x v="237"/>
    <n v="281361"/>
    <n v="1247792305111.01"/>
    <n v="94.434716270369904"/>
  </r>
  <r>
    <x v="2"/>
    <x v="237"/>
    <n v="1195"/>
    <n v="31108966960.700001"/>
    <n v="87.443964867088596"/>
  </r>
  <r>
    <x v="3"/>
    <x v="237"/>
    <n v="496"/>
    <n v="21988821585.540001"/>
    <n v="86.071428188992499"/>
  </r>
  <r>
    <x v="1"/>
    <x v="237"/>
    <n v="1803"/>
    <n v="38846275765.690002"/>
    <n v="99.577876938329297"/>
  </r>
  <r>
    <x v="0"/>
    <x v="238"/>
    <n v="280077"/>
    <n v="1228298418833.77"/>
    <n v="94.479875659281802"/>
  </r>
  <r>
    <x v="2"/>
    <x v="238"/>
    <n v="1195"/>
    <n v="30889034344.639999"/>
    <n v="87.450279003516798"/>
  </r>
  <r>
    <x v="3"/>
    <x v="238"/>
    <n v="496"/>
    <n v="21883996586.419998"/>
    <n v="86.080651613829403"/>
  </r>
  <r>
    <x v="1"/>
    <x v="238"/>
    <n v="1794"/>
    <n v="38308672802.160004"/>
    <n v="99.5791015004082"/>
  </r>
  <r>
    <x v="0"/>
    <x v="239"/>
    <n v="279020"/>
    <n v="1210829341859.24"/>
    <n v="94.512977252690803"/>
  </r>
  <r>
    <x v="2"/>
    <x v="239"/>
    <n v="1195"/>
    <n v="30674689752.029999"/>
    <n v="87.452766575898593"/>
  </r>
  <r>
    <x v="3"/>
    <x v="239"/>
    <n v="496"/>
    <n v="21781367314.950001"/>
    <n v="86.081805614075805"/>
  </r>
  <r>
    <x v="1"/>
    <x v="239"/>
    <n v="1790"/>
    <n v="37797059321.029999"/>
    <n v="99.577155739720695"/>
  </r>
  <r>
    <x v="0"/>
    <x v="240"/>
    <n v="277912"/>
    <n v="1193262681853.46"/>
    <n v="94.543730206308098"/>
  </r>
  <r>
    <x v="2"/>
    <x v="240"/>
    <n v="1195"/>
    <n v="30445109531.380001"/>
    <n v="87.457081849157007"/>
  </r>
  <r>
    <x v="3"/>
    <x v="240"/>
    <n v="496"/>
    <n v="21671662492.029999"/>
    <n v="86.085679872917297"/>
  </r>
  <r>
    <x v="1"/>
    <x v="240"/>
    <n v="1787"/>
    <n v="37282003361.370003"/>
    <n v="99.575157453006995"/>
  </r>
  <r>
    <x v="0"/>
    <x v="241"/>
    <n v="276894"/>
    <n v="1179010135310.21"/>
    <n v="94.5707894416432"/>
  </r>
  <r>
    <x v="2"/>
    <x v="241"/>
    <n v="1195"/>
    <n v="30262957262.98"/>
    <n v="87.4546794232796"/>
  </r>
  <r>
    <x v="3"/>
    <x v="241"/>
    <n v="496"/>
    <n v="21559749183.57"/>
    <n v="86.086918919994204"/>
  </r>
  <r>
    <x v="1"/>
    <x v="241"/>
    <n v="1783"/>
    <n v="36872424467.589996"/>
    <n v="99.573885234381507"/>
  </r>
  <r>
    <x v="0"/>
    <x v="242"/>
    <n v="276053"/>
    <n v="1165998675774.8799"/>
    <n v="94.595555952406897"/>
  </r>
  <r>
    <x v="2"/>
    <x v="242"/>
    <n v="1195"/>
    <n v="30068635932.790001"/>
    <n v="87.460092256364703"/>
  </r>
  <r>
    <x v="3"/>
    <x v="242"/>
    <n v="496"/>
    <n v="21457264420.27"/>
    <n v="86.092180281097995"/>
  </r>
  <r>
    <x v="1"/>
    <x v="242"/>
    <n v="1778"/>
    <n v="36515713627.650002"/>
    <n v="99.573323291350903"/>
  </r>
  <r>
    <x v="0"/>
    <x v="243"/>
    <n v="275069"/>
    <n v="1151333882978.53"/>
    <n v="94.623150275185907"/>
  </r>
  <r>
    <x v="2"/>
    <x v="243"/>
    <n v="1195"/>
    <n v="29839931683.549999"/>
    <n v="87.459122460767801"/>
  </r>
  <r>
    <x v="3"/>
    <x v="243"/>
    <n v="496"/>
    <n v="21348657546.43"/>
    <n v="86.095430056142206"/>
  </r>
  <r>
    <x v="1"/>
    <x v="243"/>
    <n v="1776"/>
    <n v="36109119798.709999"/>
    <n v="99.572565804013095"/>
  </r>
  <r>
    <x v="0"/>
    <x v="244"/>
    <n v="274090"/>
    <n v="1136170473804.5"/>
    <n v="94.653873259857505"/>
  </r>
  <r>
    <x v="2"/>
    <x v="244"/>
    <n v="1195"/>
    <n v="29611652211.400002"/>
    <n v="87.457552535331899"/>
  </r>
  <r>
    <x v="3"/>
    <x v="244"/>
    <n v="496"/>
    <n v="21236397730.439999"/>
    <n v="86.094828589455901"/>
  </r>
  <r>
    <x v="1"/>
    <x v="244"/>
    <n v="1772"/>
    <n v="35658515168.970001"/>
    <n v="99.574367173284102"/>
  </r>
  <r>
    <x v="0"/>
    <x v="245"/>
    <n v="273148"/>
    <n v="1120599011939.9199"/>
    <n v="94.680404329064302"/>
  </r>
  <r>
    <x v="2"/>
    <x v="245"/>
    <n v="1195"/>
    <n v="29346812273.549999"/>
    <n v="87.4660851881018"/>
  </r>
  <r>
    <x v="3"/>
    <x v="245"/>
    <n v="496"/>
    <n v="21112582041.34"/>
    <n v="86.099293062201099"/>
  </r>
  <r>
    <x v="1"/>
    <x v="245"/>
    <n v="1766"/>
    <n v="35188822219.169998"/>
    <n v="99.574005637544502"/>
  </r>
  <r>
    <x v="0"/>
    <x v="246"/>
    <n v="272139"/>
    <n v="1103952731649.8799"/>
    <n v="94.715952580970296"/>
  </r>
  <r>
    <x v="2"/>
    <x v="246"/>
    <n v="1195"/>
    <n v="29071288097.939999"/>
    <n v="87.456376483972804"/>
  </r>
  <r>
    <x v="3"/>
    <x v="246"/>
    <n v="496"/>
    <n v="20985646914.299999"/>
    <n v="86.100068860633897"/>
  </r>
  <r>
    <x v="1"/>
    <x v="246"/>
    <n v="1762"/>
    <n v="34683121474.349998"/>
    <n v="99.686973706929393"/>
  </r>
  <r>
    <x v="0"/>
    <x v="247"/>
    <n v="271190"/>
    <n v="1087070695178.72"/>
    <n v="94.743650334846194"/>
  </r>
  <r>
    <x v="2"/>
    <x v="247"/>
    <n v="1195"/>
    <n v="28757048524.950001"/>
    <n v="87.453642781259802"/>
  </r>
  <r>
    <x v="3"/>
    <x v="247"/>
    <n v="496"/>
    <n v="20857901529.080002"/>
    <n v="86.096509380710302"/>
  </r>
  <r>
    <x v="1"/>
    <x v="247"/>
    <n v="1758"/>
    <n v="34090058995"/>
    <n v="99.686781867560896"/>
  </r>
  <r>
    <x v="0"/>
    <x v="248"/>
    <n v="270202"/>
    <n v="1071076433216.85"/>
    <n v="94.768032188296999"/>
  </r>
  <r>
    <x v="2"/>
    <x v="248"/>
    <n v="1195"/>
    <n v="28466717853.959999"/>
    <n v="87.449476461231697"/>
  </r>
  <r>
    <x v="3"/>
    <x v="248"/>
    <n v="496"/>
    <n v="20733072494.529999"/>
    <n v="86.101567619260095"/>
  </r>
  <r>
    <x v="1"/>
    <x v="248"/>
    <n v="1751"/>
    <n v="33562843897.220001"/>
    <n v="99.684573138986806"/>
  </r>
  <r>
    <x v="0"/>
    <x v="249"/>
    <n v="269285"/>
    <n v="1055465580593.22"/>
    <n v="94.800108102504794"/>
  </r>
  <r>
    <x v="2"/>
    <x v="249"/>
    <n v="1195"/>
    <n v="28179143083.470001"/>
    <n v="87.467560271309395"/>
  </r>
  <r>
    <x v="3"/>
    <x v="249"/>
    <n v="496"/>
    <n v="20610436891.09"/>
    <n v="86.101399716713104"/>
  </r>
  <r>
    <x v="1"/>
    <x v="249"/>
    <n v="1743"/>
    <n v="33039906711.09"/>
    <n v="99.684070729626498"/>
  </r>
  <r>
    <x v="0"/>
    <x v="250"/>
    <n v="268324"/>
    <n v="1040114439091.11"/>
    <n v="94.822967566256494"/>
  </r>
  <r>
    <x v="2"/>
    <x v="250"/>
    <n v="1195"/>
    <n v="27886882675.049999"/>
    <n v="87.460008028475201"/>
  </r>
  <r>
    <x v="3"/>
    <x v="250"/>
    <n v="496"/>
    <n v="20480382271.369999"/>
    <n v="86.0982944817098"/>
  </r>
  <r>
    <x v="1"/>
    <x v="250"/>
    <n v="1739"/>
    <n v="32500730053.279999"/>
    <n v="99.683767980662196"/>
  </r>
  <r>
    <x v="0"/>
    <x v="251"/>
    <n v="267506"/>
    <n v="1026510759118.4301"/>
    <n v="94.850521875906097"/>
  </r>
  <r>
    <x v="2"/>
    <x v="251"/>
    <n v="1195"/>
    <n v="27648074021.360001"/>
    <n v="87.466394290074803"/>
  </r>
  <r>
    <x v="3"/>
    <x v="251"/>
    <n v="496"/>
    <n v="20370244255.73"/>
    <n v="86.097834160517905"/>
  </r>
  <r>
    <x v="1"/>
    <x v="251"/>
    <n v="1736"/>
    <n v="31996804318.02"/>
    <n v="99.681600244377407"/>
  </r>
  <r>
    <x v="0"/>
    <x v="252"/>
    <n v="266584"/>
    <n v="1010771667195.53"/>
    <n v="94.8712172635352"/>
  </r>
  <r>
    <x v="2"/>
    <x v="252"/>
    <n v="1195"/>
    <n v="27366490680.580002"/>
    <n v="87.468014146988907"/>
  </r>
  <r>
    <x v="3"/>
    <x v="252"/>
    <n v="496"/>
    <n v="20246588849.189999"/>
    <n v="86.108718454989699"/>
  </r>
  <r>
    <x v="1"/>
    <x v="252"/>
    <n v="1729"/>
    <n v="31362929911.860001"/>
    <n v="99.679642057167399"/>
  </r>
  <r>
    <x v="0"/>
    <x v="253"/>
    <n v="265744"/>
    <n v="997579735088.81006"/>
    <n v="94.894233213169201"/>
  </r>
  <r>
    <x v="2"/>
    <x v="253"/>
    <n v="1195"/>
    <n v="27130584478.950001"/>
    <n v="87.464297332017793"/>
  </r>
  <r>
    <x v="3"/>
    <x v="253"/>
    <n v="496"/>
    <n v="20127147338.52"/>
    <n v="86.118176154263097"/>
  </r>
  <r>
    <x v="1"/>
    <x v="253"/>
    <n v="1726"/>
    <n v="30847484982.68"/>
    <n v="99.679656208034302"/>
  </r>
  <r>
    <x v="0"/>
    <x v="254"/>
    <n v="264906"/>
    <n v="981966084992.71997"/>
    <n v="94.911210699303894"/>
  </r>
  <r>
    <x v="2"/>
    <x v="254"/>
    <n v="1195"/>
    <n v="26839489879.040001"/>
    <n v="87.460862189243798"/>
  </r>
  <r>
    <x v="3"/>
    <x v="254"/>
    <n v="496"/>
    <n v="19997497193.939999"/>
    <n v="86.114782678429904"/>
  </r>
  <r>
    <x v="1"/>
    <x v="254"/>
    <n v="1717"/>
    <n v="30115242749.939999"/>
    <n v="99.679572166251106"/>
  </r>
  <r>
    <x v="0"/>
    <x v="255"/>
    <n v="263905"/>
    <n v="962003499851.59998"/>
    <n v="94.923302541654394"/>
  </r>
  <r>
    <x v="2"/>
    <x v="255"/>
    <n v="1195"/>
    <n v="26456302129.82"/>
    <n v="87.438963732543499"/>
  </r>
  <r>
    <x v="3"/>
    <x v="255"/>
    <n v="496"/>
    <n v="19851128274.27"/>
    <n v="86.112560383017694"/>
  </r>
  <r>
    <x v="1"/>
    <x v="255"/>
    <n v="1707"/>
    <n v="29103187228.470001"/>
    <n v="99.677775908313706"/>
  </r>
  <r>
    <x v="0"/>
    <x v="256"/>
    <n v="262915"/>
    <n v="943644175071.18005"/>
    <n v="94.958885315591601"/>
  </r>
  <r>
    <x v="2"/>
    <x v="256"/>
    <n v="1195"/>
    <n v="26092566190.060001"/>
    <n v="87.427771636187302"/>
  </r>
  <r>
    <x v="3"/>
    <x v="256"/>
    <n v="496"/>
    <n v="19691325215.810001"/>
    <n v="86.109773996870999"/>
  </r>
  <r>
    <x v="1"/>
    <x v="256"/>
    <n v="1701"/>
    <n v="28312507375.060001"/>
    <n v="99.680174056730095"/>
  </r>
  <r>
    <x v="0"/>
    <x v="257"/>
    <n v="261971"/>
    <n v="926095966043.35999"/>
    <n v="94.972885642549699"/>
  </r>
  <r>
    <x v="2"/>
    <x v="257"/>
    <n v="1195"/>
    <n v="25730206673.16"/>
    <n v="87.422797023089601"/>
  </r>
  <r>
    <x v="3"/>
    <x v="257"/>
    <n v="496"/>
    <n v="19529821585.919998"/>
    <n v="86.094029181502506"/>
  </r>
  <r>
    <x v="1"/>
    <x v="257"/>
    <n v="1692"/>
    <n v="27565848718.32"/>
    <n v="99.679077771905497"/>
  </r>
  <r>
    <x v="0"/>
    <x v="258"/>
    <n v="260930"/>
    <n v="907878375172.38"/>
    <n v="94.990009733039699"/>
  </r>
  <r>
    <x v="2"/>
    <x v="258"/>
    <n v="1195"/>
    <n v="25336027319.709999"/>
    <n v="87.406653692914006"/>
  </r>
  <r>
    <x v="3"/>
    <x v="258"/>
    <n v="496"/>
    <n v="19352017344.07"/>
    <n v="86.103579693401102"/>
  </r>
  <r>
    <x v="1"/>
    <x v="258"/>
    <n v="1686"/>
    <n v="26815959088.799999"/>
    <n v="99.671485392520594"/>
  </r>
  <r>
    <x v="0"/>
    <x v="259"/>
    <n v="259942"/>
    <n v="891398078153.15002"/>
    <n v="95.006918838558207"/>
  </r>
  <r>
    <x v="2"/>
    <x v="259"/>
    <n v="1195"/>
    <n v="24951095776.91"/>
    <n v="87.411409186653799"/>
  </r>
  <r>
    <x v="3"/>
    <x v="259"/>
    <n v="496"/>
    <n v="19180964228.900002"/>
    <n v="86.102212024870099"/>
  </r>
  <r>
    <x v="1"/>
    <x v="259"/>
    <n v="1682"/>
    <n v="26211211368.099998"/>
    <n v="99.678124507621007"/>
  </r>
  <r>
    <x v="0"/>
    <x v="260"/>
    <n v="258992"/>
    <n v="876856964827.66003"/>
    <n v="95.023497061942507"/>
  </r>
  <r>
    <x v="2"/>
    <x v="260"/>
    <n v="1195"/>
    <n v="24616909249.880001"/>
    <n v="87.399122085768198"/>
  </r>
  <r>
    <x v="3"/>
    <x v="260"/>
    <n v="496"/>
    <n v="19023700634.209999"/>
    <n v="86.114098967910095"/>
  </r>
  <r>
    <x v="1"/>
    <x v="260"/>
    <n v="1675"/>
    <n v="25739829475.099998"/>
    <n v="99.677574784013004"/>
  </r>
  <r>
    <x v="0"/>
    <x v="261"/>
    <n v="258019"/>
    <n v="863003108958.91003"/>
    <n v="95.044348410933296"/>
  </r>
  <r>
    <x v="2"/>
    <x v="261"/>
    <n v="1194"/>
    <n v="24293193625.18"/>
    <n v="87.417854084948303"/>
  </r>
  <r>
    <x v="3"/>
    <x v="261"/>
    <n v="496"/>
    <n v="18857507829.299999"/>
    <n v="86.106893510562699"/>
  </r>
  <r>
    <x v="1"/>
    <x v="261"/>
    <n v="1671"/>
    <n v="25303458751.34"/>
    <n v="99.675392176377301"/>
  </r>
  <r>
    <x v="0"/>
    <x v="262"/>
    <n v="257048"/>
    <n v="849321542668.58997"/>
    <n v="95.065749337480995"/>
  </r>
  <r>
    <x v="2"/>
    <x v="262"/>
    <n v="1193"/>
    <n v="23952255599.810001"/>
    <n v="87.412019137907606"/>
  </r>
  <r>
    <x v="3"/>
    <x v="262"/>
    <n v="496"/>
    <n v="18697802426.990002"/>
    <n v="86.1071013288676"/>
  </r>
  <r>
    <x v="1"/>
    <x v="262"/>
    <n v="1664"/>
    <n v="24860979506.41"/>
    <n v="99.676271006142898"/>
  </r>
  <r>
    <x v="0"/>
    <x v="263"/>
    <n v="256230"/>
    <n v="837712374144.58997"/>
    <n v="95.091694581618995"/>
  </r>
  <r>
    <x v="2"/>
    <x v="263"/>
    <n v="1193"/>
    <n v="23689785801.380001"/>
    <n v="87.407576378653403"/>
  </r>
  <r>
    <x v="3"/>
    <x v="263"/>
    <n v="496"/>
    <n v="18558374415.43"/>
    <n v="86.115762982366405"/>
  </r>
  <r>
    <x v="1"/>
    <x v="263"/>
    <n v="1661"/>
    <n v="24464164926.700001"/>
    <n v="99.676663908791994"/>
  </r>
  <r>
    <x v="0"/>
    <x v="264"/>
    <n v="255257"/>
    <n v="824745260157.21997"/>
    <n v="95.114801743876299"/>
  </r>
  <r>
    <x v="2"/>
    <x v="264"/>
    <n v="1193"/>
    <n v="23374699234.650002"/>
    <n v="87.403806058422305"/>
  </r>
  <r>
    <x v="3"/>
    <x v="264"/>
    <n v="496"/>
    <n v="18395978455.130001"/>
    <n v="86.1316586424592"/>
  </r>
  <r>
    <x v="1"/>
    <x v="264"/>
    <n v="1657"/>
    <n v="24021257848.57"/>
    <n v="99.678241715552304"/>
  </r>
  <r>
    <x v="0"/>
    <x v="265"/>
    <n v="254446"/>
    <n v="814211551730.77002"/>
    <n v="95.142827724214897"/>
  </r>
  <r>
    <x v="2"/>
    <x v="265"/>
    <n v="1193"/>
    <n v="23139091976.619999"/>
    <n v="87.418648932924597"/>
  </r>
  <r>
    <x v="3"/>
    <x v="265"/>
    <n v="496"/>
    <n v="18262645831.369999"/>
    <n v="86.129432388819893"/>
  </r>
  <r>
    <x v="1"/>
    <x v="265"/>
    <n v="1652"/>
    <n v="23667737064.48"/>
    <n v="99.678097892058503"/>
  </r>
  <r>
    <x v="0"/>
    <x v="266"/>
    <n v="253549"/>
    <n v="803384464403.09998"/>
    <n v="95.165268755363797"/>
  </r>
  <r>
    <x v="2"/>
    <x v="266"/>
    <n v="1193"/>
    <n v="22881797033.189999"/>
    <n v="87.400907801640997"/>
  </r>
  <r>
    <x v="3"/>
    <x v="266"/>
    <n v="496"/>
    <n v="18121629984.77"/>
    <n v="86.144566222326603"/>
  </r>
  <r>
    <x v="1"/>
    <x v="266"/>
    <n v="1646"/>
    <n v="23320581362.169998"/>
    <n v="99.678115399074002"/>
  </r>
  <r>
    <x v="0"/>
    <x v="267"/>
    <n v="252507"/>
    <n v="790074289111.14001"/>
    <n v="95.183290229626294"/>
  </r>
  <r>
    <x v="2"/>
    <x v="267"/>
    <n v="1192"/>
    <n v="22551456121.150002"/>
    <n v="87.398923149541105"/>
  </r>
  <r>
    <x v="3"/>
    <x v="267"/>
    <n v="496"/>
    <n v="17926399569.900002"/>
    <n v="86.136843831270895"/>
  </r>
  <r>
    <x v="1"/>
    <x v="267"/>
    <n v="1642"/>
    <n v="22821552483.279999"/>
    <n v="99.679430047791001"/>
  </r>
  <r>
    <x v="0"/>
    <x v="268"/>
    <n v="251547"/>
    <n v="776873649838.94995"/>
    <n v="95.200371237798606"/>
  </r>
  <r>
    <x v="2"/>
    <x v="268"/>
    <n v="1192"/>
    <n v="22200242666.790001"/>
    <n v="87.408696896946793"/>
  </r>
  <r>
    <x v="3"/>
    <x v="268"/>
    <n v="496"/>
    <n v="17741309740.84"/>
    <n v="86.126824603724103"/>
  </r>
  <r>
    <x v="1"/>
    <x v="268"/>
    <n v="1638"/>
    <n v="22339254538.459999"/>
    <n v="99.677681643834404"/>
  </r>
  <r>
    <x v="0"/>
    <x v="269"/>
    <n v="250596"/>
    <n v="762899368515.43005"/>
    <n v="95.239080189480703"/>
  </r>
  <r>
    <x v="2"/>
    <x v="269"/>
    <n v="1192"/>
    <n v="21845252875.240002"/>
    <n v="87.412690236005602"/>
  </r>
  <r>
    <x v="3"/>
    <x v="269"/>
    <n v="496"/>
    <n v="17528181651.639999"/>
    <n v="86.129092952326005"/>
  </r>
  <r>
    <x v="1"/>
    <x v="269"/>
    <n v="1631"/>
    <n v="21833795563.580002"/>
    <n v="99.678666460294593"/>
  </r>
  <r>
    <x v="1"/>
    <x v="270"/>
    <n v="1627"/>
    <n v="21323731631.68"/>
    <n v="99.677162783921204"/>
  </r>
  <r>
    <x v="2"/>
    <x v="270"/>
    <n v="1192"/>
    <n v="21434245152.689999"/>
    <n v="87.398228621283494"/>
  </r>
  <r>
    <x v="3"/>
    <x v="270"/>
    <n v="496"/>
    <n v="17294382109.880001"/>
    <n v="86.120782705931902"/>
  </r>
  <r>
    <x v="0"/>
    <x v="270"/>
    <n v="249589"/>
    <n v="747889718887.93005"/>
    <n v="95.251513231904397"/>
  </r>
  <r>
    <x v="2"/>
    <x v="271"/>
    <n v="1191"/>
    <n v="21063288987.139999"/>
    <n v="87.367806960609997"/>
  </r>
  <r>
    <x v="1"/>
    <x v="271"/>
    <n v="1622"/>
    <n v="20847457917.540001"/>
    <n v="99.722337043988503"/>
  </r>
  <r>
    <x v="0"/>
    <x v="271"/>
    <n v="248738"/>
    <n v="734329387961.16003"/>
    <n v="95.268236501274103"/>
  </r>
  <r>
    <x v="3"/>
    <x v="271"/>
    <n v="496"/>
    <n v="17073103946.85"/>
    <n v="86.1186586188729"/>
  </r>
  <r>
    <x v="0"/>
    <x v="272"/>
    <n v="247737"/>
    <n v="717836854091.09998"/>
    <n v="95.280323870553204"/>
  </r>
  <r>
    <x v="2"/>
    <x v="272"/>
    <n v="1191"/>
    <n v="20623415085.450001"/>
    <n v="87.370403395638405"/>
  </r>
  <r>
    <x v="1"/>
    <x v="272"/>
    <n v="1613"/>
    <n v="20183945564.099998"/>
    <n v="99.722894812539195"/>
  </r>
  <r>
    <x v="3"/>
    <x v="272"/>
    <n v="496"/>
    <n v="16813191728.379999"/>
    <n v="86.10288859793939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0"/>
  </r>
  <r>
    <x v="0"/>
    <x v="1"/>
    <n v="128266"/>
    <n v="282050828421.97998"/>
    <n v="100"/>
  </r>
  <r>
    <x v="0"/>
    <x v="2"/>
    <n v="129601"/>
    <n v="283874201256.09003"/>
    <n v="100"/>
  </r>
  <r>
    <x v="0"/>
    <x v="3"/>
    <n v="130768"/>
    <n v="284752896061.91998"/>
    <n v="100"/>
  </r>
  <r>
    <x v="0"/>
    <x v="4"/>
    <n v="131996"/>
    <n v="287122056681.57001"/>
    <n v="100"/>
  </r>
  <r>
    <x v="0"/>
    <x v="5"/>
    <n v="133140"/>
    <n v="288919754101.73999"/>
    <n v="100"/>
  </r>
  <r>
    <x v="0"/>
    <x v="6"/>
    <n v="134153"/>
    <n v="290640645437.90997"/>
    <n v="100"/>
  </r>
  <r>
    <x v="0"/>
    <x v="7"/>
    <n v="135077"/>
    <n v="292026246657.69"/>
    <n v="100"/>
  </r>
  <r>
    <x v="0"/>
    <x v="8"/>
    <n v="135888"/>
    <n v="293395992453.21002"/>
    <n v="100"/>
  </r>
  <r>
    <x v="0"/>
    <x v="9"/>
    <n v="136567"/>
    <n v="294791998506.56"/>
    <n v="100"/>
  </r>
  <r>
    <x v="0"/>
    <x v="10"/>
    <n v="137384"/>
    <n v="297022730158.53998"/>
    <n v="100"/>
  </r>
  <r>
    <x v="0"/>
    <x v="11"/>
    <n v="138175"/>
    <n v="299534791311.60999"/>
    <n v="100"/>
  </r>
  <r>
    <x v="0"/>
    <x v="12"/>
    <n v="138749"/>
    <n v="300578062603.90997"/>
    <n v="100"/>
  </r>
  <r>
    <x v="0"/>
    <x v="13"/>
    <n v="139252"/>
    <n v="301515518476.67999"/>
    <n v="100"/>
  </r>
  <r>
    <x v="0"/>
    <x v="14"/>
    <n v="139640"/>
    <n v="302130802958.65002"/>
    <n v="100"/>
  </r>
  <r>
    <x v="0"/>
    <x v="15"/>
    <n v="140171"/>
    <n v="303193167019.19"/>
    <n v="100"/>
  </r>
  <r>
    <x v="0"/>
    <x v="16"/>
    <n v="140845"/>
    <n v="305276200958.66998"/>
    <n v="100"/>
  </r>
  <r>
    <x v="0"/>
    <x v="17"/>
    <n v="141735"/>
    <n v="308579513635.09003"/>
    <n v="100"/>
  </r>
  <r>
    <x v="0"/>
    <x v="18"/>
    <n v="142847"/>
    <n v="313306085244.25"/>
    <n v="100"/>
  </r>
  <r>
    <x v="0"/>
    <x v="19"/>
    <n v="143912"/>
    <n v="317855864434.04999"/>
    <n v="100"/>
  </r>
  <r>
    <x v="0"/>
    <x v="20"/>
    <n v="144902"/>
    <n v="321938074374.90002"/>
    <n v="100"/>
  </r>
  <r>
    <x v="0"/>
    <x v="21"/>
    <n v="145867"/>
    <n v="326586660235.34998"/>
    <n v="100"/>
  </r>
  <r>
    <x v="0"/>
    <x v="22"/>
    <n v="146882"/>
    <n v="331964887053.32001"/>
    <n v="100"/>
  </r>
  <r>
    <x v="0"/>
    <x v="23"/>
    <n v="147919"/>
    <n v="337304062600.06"/>
    <n v="85.398188146785799"/>
  </r>
  <r>
    <x v="0"/>
    <x v="24"/>
    <n v="148833"/>
    <n v="341672418203.37"/>
    <n v="85.367416564993107"/>
  </r>
  <r>
    <x v="0"/>
    <x v="25"/>
    <n v="149785"/>
    <n v="346545445220.38"/>
    <n v="85.323128344773707"/>
  </r>
  <r>
    <x v="0"/>
    <x v="26"/>
    <n v="150727"/>
    <n v="350465555808.21997"/>
    <n v="85.277198271761193"/>
  </r>
  <r>
    <x v="0"/>
    <x v="27"/>
    <n v="151726"/>
    <n v="354683248452.60999"/>
    <n v="85.227894513916993"/>
  </r>
  <r>
    <x v="0"/>
    <x v="28"/>
    <n v="152681"/>
    <n v="359153508694.62"/>
    <n v="85.123493005363002"/>
  </r>
  <r>
    <x v="0"/>
    <x v="29"/>
    <n v="153592"/>
    <n v="364145909105.21997"/>
    <n v="85.115304417680406"/>
  </r>
  <r>
    <x v="0"/>
    <x v="30"/>
    <n v="154353"/>
    <n v="367843583423.22998"/>
    <n v="85.090213561029401"/>
  </r>
  <r>
    <x v="0"/>
    <x v="31"/>
    <n v="155081"/>
    <n v="370513413856.09998"/>
    <n v="85.065683938407702"/>
  </r>
  <r>
    <x v="0"/>
    <x v="32"/>
    <n v="155900"/>
    <n v="375154945459.59998"/>
    <n v="85.049785664362005"/>
  </r>
  <r>
    <x v="0"/>
    <x v="33"/>
    <n v="156553"/>
    <n v="378164550622.22998"/>
    <n v="85.031746146743203"/>
  </r>
  <r>
    <x v="0"/>
    <x v="34"/>
    <n v="157183"/>
    <n v="380573155397.19"/>
    <n v="85.021581954396794"/>
  </r>
  <r>
    <x v="0"/>
    <x v="35"/>
    <n v="157961"/>
    <n v="383579286284.32001"/>
    <n v="84.975630028931903"/>
  </r>
  <r>
    <x v="0"/>
    <x v="36"/>
    <n v="158587"/>
    <n v="385622880966.02002"/>
    <n v="84.987375605359304"/>
  </r>
  <r>
    <x v="0"/>
    <x v="37"/>
    <n v="159328"/>
    <n v="388944585913.88"/>
    <n v="85.017014713065194"/>
  </r>
  <r>
    <x v="0"/>
    <x v="38"/>
    <n v="160031"/>
    <n v="391996345649.14001"/>
    <n v="85.018521121929197"/>
  </r>
  <r>
    <x v="0"/>
    <x v="39"/>
    <n v="160667"/>
    <n v="394401986179.65997"/>
    <n v="85.031249116135797"/>
  </r>
  <r>
    <x v="0"/>
    <x v="40"/>
    <n v="161332"/>
    <n v="397650299517.78003"/>
    <n v="85.051576814105005"/>
  </r>
  <r>
    <x v="0"/>
    <x v="41"/>
    <n v="161858"/>
    <n v="399661358461.85999"/>
    <n v="85.072438711800601"/>
  </r>
  <r>
    <x v="0"/>
    <x v="42"/>
    <n v="162531"/>
    <n v="402473247826.06"/>
    <n v="85.092997721214502"/>
  </r>
  <r>
    <x v="0"/>
    <x v="43"/>
    <n v="163328"/>
    <n v="407135000510.78003"/>
    <n v="85.117596803057396"/>
  </r>
  <r>
    <x v="0"/>
    <x v="44"/>
    <n v="164171"/>
    <n v="410957899203.09998"/>
    <n v="85.180281615290696"/>
  </r>
  <r>
    <x v="0"/>
    <x v="45"/>
    <n v="164998"/>
    <n v="415578143387.42999"/>
    <n v="85.251269570987802"/>
  </r>
  <r>
    <x v="0"/>
    <x v="46"/>
    <n v="165889"/>
    <n v="420442181020.82001"/>
    <n v="85.328379474545301"/>
  </r>
  <r>
    <x v="0"/>
    <x v="47"/>
    <n v="166964"/>
    <n v="425507008058.42999"/>
    <n v="84.423868929203906"/>
  </r>
  <r>
    <x v="0"/>
    <x v="48"/>
    <n v="167888"/>
    <n v="430133364045.90002"/>
    <n v="84.507200993171097"/>
  </r>
  <r>
    <x v="0"/>
    <x v="49"/>
    <n v="169006"/>
    <n v="436014643807.73999"/>
    <n v="84.631263745095396"/>
  </r>
  <r>
    <x v="0"/>
    <x v="50"/>
    <n v="170201"/>
    <n v="440572182741.69"/>
    <n v="84.824801991033098"/>
  </r>
  <r>
    <x v="0"/>
    <x v="51"/>
    <n v="171456"/>
    <n v="447378001346.06"/>
    <n v="85.046419530858699"/>
  </r>
  <r>
    <x v="0"/>
    <x v="52"/>
    <n v="172582"/>
    <n v="454600787180.84998"/>
    <n v="85.257912344987702"/>
  </r>
  <r>
    <x v="0"/>
    <x v="53"/>
    <n v="173773"/>
    <n v="463337515393.27002"/>
    <n v="85.458462769099398"/>
  </r>
  <r>
    <x v="0"/>
    <x v="54"/>
    <n v="174901"/>
    <n v="473963930458.06"/>
    <n v="85.639128400546397"/>
  </r>
  <r>
    <x v="0"/>
    <x v="55"/>
    <n v="175971"/>
    <n v="482637195788"/>
    <n v="85.832889718116306"/>
  </r>
  <r>
    <x v="0"/>
    <x v="56"/>
    <n v="177221"/>
    <n v="492759677673.42999"/>
    <n v="86.028890208598696"/>
  </r>
  <r>
    <x v="0"/>
    <x v="57"/>
    <n v="178640"/>
    <n v="502211629634.06"/>
    <n v="86.182398649150699"/>
  </r>
  <r>
    <x v="0"/>
    <x v="58"/>
    <n v="179937"/>
    <n v="508860817728.65997"/>
    <n v="86.375357034348397"/>
  </r>
  <r>
    <x v="0"/>
    <x v="59"/>
    <n v="181535"/>
    <n v="519181595242.40002"/>
    <n v="86.797613083821005"/>
  </r>
  <r>
    <x v="0"/>
    <x v="60"/>
    <n v="183021"/>
    <n v="529266546073.46997"/>
    <n v="86.981511578858601"/>
  </r>
  <r>
    <x v="0"/>
    <x v="61"/>
    <n v="184355"/>
    <n v="540755542094.21002"/>
    <n v="87.135860133492599"/>
  </r>
  <r>
    <x v="0"/>
    <x v="62"/>
    <n v="185605"/>
    <n v="549750472653.34998"/>
    <n v="87.278736237552593"/>
  </r>
  <r>
    <x v="0"/>
    <x v="63"/>
    <n v="186717"/>
    <n v="556506175459.81006"/>
    <n v="87.397098980000607"/>
  </r>
  <r>
    <x v="0"/>
    <x v="64"/>
    <n v="187662"/>
    <n v="563458838273"/>
    <n v="87.518777177683006"/>
  </r>
  <r>
    <x v="0"/>
    <x v="65"/>
    <n v="188811"/>
    <n v="572204607933.89001"/>
    <n v="87.635572587978999"/>
  </r>
  <r>
    <x v="0"/>
    <x v="66"/>
    <n v="189841"/>
    <n v="579291469300.42004"/>
    <n v="87.756523108860705"/>
  </r>
  <r>
    <x v="0"/>
    <x v="67"/>
    <n v="190764"/>
    <n v="587347551657.76001"/>
    <n v="87.836460714123206"/>
  </r>
  <r>
    <x v="0"/>
    <x v="68"/>
    <n v="191769"/>
    <n v="595358056585.48999"/>
    <n v="87.907396838027793"/>
  </r>
  <r>
    <x v="0"/>
    <x v="69"/>
    <n v="192676"/>
    <n v="603335784202.89001"/>
    <n v="87.946661240542298"/>
  </r>
  <r>
    <x v="0"/>
    <x v="70"/>
    <n v="193594"/>
    <n v="608661813729.64001"/>
    <n v="87.990659973096996"/>
  </r>
  <r>
    <x v="0"/>
    <x v="71"/>
    <n v="194574"/>
    <n v="614730545023.56995"/>
    <n v="87.992440062314301"/>
  </r>
  <r>
    <x v="0"/>
    <x v="72"/>
    <n v="195521"/>
    <n v="620175920606.63"/>
    <n v="88.035856673759099"/>
  </r>
  <r>
    <x v="0"/>
    <x v="73"/>
    <n v="196302"/>
    <n v="625373224000.52002"/>
    <n v="88.0376784942803"/>
  </r>
  <r>
    <x v="0"/>
    <x v="74"/>
    <n v="197211"/>
    <n v="628789317108.88"/>
    <n v="88.045912723318807"/>
  </r>
  <r>
    <x v="0"/>
    <x v="75"/>
    <n v="198200"/>
    <n v="633466085432.80005"/>
    <n v="88.0475593315509"/>
  </r>
  <r>
    <x v="0"/>
    <x v="76"/>
    <n v="199277"/>
    <n v="638637756539.06006"/>
    <n v="88.064195946144906"/>
  </r>
  <r>
    <x v="0"/>
    <x v="77"/>
    <n v="200318"/>
    <n v="644319934151.05005"/>
    <n v="88.077303963713007"/>
  </r>
  <r>
    <x v="0"/>
    <x v="78"/>
    <n v="201523"/>
    <n v="650241592057.52002"/>
    <n v="88.0945800623727"/>
  </r>
  <r>
    <x v="0"/>
    <x v="79"/>
    <n v="202877"/>
    <n v="659140528287.64001"/>
    <n v="88.118485347577206"/>
  </r>
  <r>
    <x v="0"/>
    <x v="80"/>
    <n v="204126"/>
    <n v="667771708329.09998"/>
    <n v="88.134848831409698"/>
  </r>
  <r>
    <x v="0"/>
    <x v="81"/>
    <n v="205336"/>
    <n v="678145982258.65002"/>
    <n v="88.145251162775494"/>
  </r>
  <r>
    <x v="0"/>
    <x v="82"/>
    <n v="206553"/>
    <n v="688667464062.68005"/>
    <n v="88.164003689355098"/>
  </r>
  <r>
    <x v="0"/>
    <x v="83"/>
    <n v="207893"/>
    <n v="700106336980.84998"/>
    <n v="87.929854307737102"/>
  </r>
  <r>
    <x v="0"/>
    <x v="84"/>
    <n v="209121"/>
    <n v="711936410692.26001"/>
    <n v="87.940197112439606"/>
  </r>
  <r>
    <x v="0"/>
    <x v="85"/>
    <n v="210670"/>
    <n v="724159427993.80005"/>
    <n v="87.958897233354193"/>
  </r>
  <r>
    <x v="0"/>
    <x v="86"/>
    <n v="212403"/>
    <n v="737131621054.80005"/>
    <n v="87.929143562290704"/>
  </r>
  <r>
    <x v="0"/>
    <x v="87"/>
    <n v="214231"/>
    <n v="752556214855.22998"/>
    <n v="87.9198891700416"/>
  </r>
  <r>
    <x v="0"/>
    <x v="88"/>
    <n v="216060"/>
    <n v="768634381863"/>
    <n v="87.910135333837601"/>
  </r>
  <r>
    <x v="0"/>
    <x v="89"/>
    <n v="217775"/>
    <n v="783899597190.81006"/>
    <n v="87.892238120732699"/>
  </r>
  <r>
    <x v="0"/>
    <x v="90"/>
    <n v="219337"/>
    <n v="800219895172"/>
    <n v="87.842713852357207"/>
  </r>
  <r>
    <x v="0"/>
    <x v="91"/>
    <n v="220863"/>
    <n v="816276961683.10999"/>
    <n v="87.819843808710999"/>
  </r>
  <r>
    <x v="0"/>
    <x v="92"/>
    <n v="222193"/>
    <n v="829340407712.87"/>
    <n v="87.756428124854096"/>
  </r>
  <r>
    <x v="0"/>
    <x v="93"/>
    <n v="223572"/>
    <n v="841081375122.14001"/>
    <n v="87.701700196658294"/>
  </r>
  <r>
    <x v="0"/>
    <x v="94"/>
    <n v="225055"/>
    <n v="853354387292.38"/>
    <n v="87.650833632251803"/>
  </r>
  <r>
    <x v="0"/>
    <x v="95"/>
    <n v="226605"/>
    <n v="865009341307.27002"/>
    <n v="87.580274599794194"/>
  </r>
  <r>
    <x v="0"/>
    <x v="96"/>
    <n v="227719"/>
    <n v="868002653952.68994"/>
    <n v="87.527309642186694"/>
  </r>
  <r>
    <x v="0"/>
    <x v="97"/>
    <n v="228962"/>
    <n v="879696484692.43994"/>
    <n v="87.479152289957298"/>
  </r>
  <r>
    <x v="0"/>
    <x v="98"/>
    <n v="229290"/>
    <n v="891137066963.31006"/>
    <n v="87.426462502252804"/>
  </r>
  <r>
    <x v="0"/>
    <x v="99"/>
    <n v="230242"/>
    <n v="898079497234.46997"/>
    <n v="87.343507698249496"/>
  </r>
  <r>
    <x v="0"/>
    <x v="100"/>
    <n v="231200"/>
    <n v="906196770233.09998"/>
    <n v="87.272234567957796"/>
  </r>
  <r>
    <x v="0"/>
    <x v="101"/>
    <n v="232155"/>
    <n v="915306614991.16003"/>
    <n v="87.1986365929843"/>
  </r>
  <r>
    <x v="0"/>
    <x v="102"/>
    <n v="232988"/>
    <n v="924210879564.21997"/>
    <n v="87.129750783057204"/>
  </r>
  <r>
    <x v="0"/>
    <x v="103"/>
    <n v="234029"/>
    <n v="933451662668.81006"/>
    <n v="87.042951449257998"/>
  </r>
  <r>
    <x v="0"/>
    <x v="104"/>
    <n v="235250"/>
    <n v="939163115315.12"/>
    <n v="86.966693562002902"/>
  </r>
  <r>
    <x v="0"/>
    <x v="105"/>
    <n v="236280"/>
    <n v="950835871010.5"/>
    <n v="86.898728500470895"/>
  </r>
  <r>
    <x v="0"/>
    <x v="106"/>
    <n v="237080"/>
    <n v="948704633830.25"/>
    <n v="86.843043570663397"/>
  </r>
  <r>
    <x v="0"/>
    <x v="107"/>
    <n v="238095"/>
    <n v="952529753121.88"/>
    <n v="86.519314272264495"/>
  </r>
  <r>
    <x v="0"/>
    <x v="108"/>
    <n v="238988"/>
    <n v="962426850688.71997"/>
    <n v="86.553567454331301"/>
  </r>
  <r>
    <x v="0"/>
    <x v="109"/>
    <n v="239791"/>
    <n v="971889246408.43994"/>
    <n v="86.570871949713904"/>
  </r>
  <r>
    <x v="0"/>
    <x v="110"/>
    <n v="240505"/>
    <n v="981397635555.85999"/>
    <n v="86.6033796931398"/>
  </r>
  <r>
    <x v="0"/>
    <x v="111"/>
    <n v="241199"/>
    <n v="998455877100.01001"/>
    <n v="86.278524311725207"/>
  </r>
  <r>
    <x v="0"/>
    <x v="112"/>
    <n v="241528"/>
    <n v="1000338175794.87"/>
    <n v="86.131547732522606"/>
  </r>
  <r>
    <x v="0"/>
    <x v="113"/>
    <n v="242127"/>
    <n v="1015393774840.89"/>
    <n v="86.253182013842505"/>
  </r>
  <r>
    <x v="0"/>
    <x v="114"/>
    <n v="242806"/>
    <n v="1022403673721.74"/>
    <n v="86.310341165058503"/>
  </r>
  <r>
    <x v="0"/>
    <x v="115"/>
    <n v="243055"/>
    <n v="1011345079983.45"/>
    <n v="86.358852907814097"/>
  </r>
  <r>
    <x v="0"/>
    <x v="116"/>
    <n v="243087"/>
    <n v="1018746952300.48"/>
    <n v="86.411646338958704"/>
  </r>
  <r>
    <x v="0"/>
    <x v="117"/>
    <n v="242823"/>
    <n v="1022881900552.3199"/>
    <n v="86.427376919920704"/>
  </r>
  <r>
    <x v="0"/>
    <x v="118"/>
    <n v="242568"/>
    <n v="1029221486063.8"/>
    <n v="86.438797997750697"/>
  </r>
  <r>
    <x v="0"/>
    <x v="119"/>
    <n v="242944"/>
    <n v="1041578015793.9"/>
    <n v="86.021915928482002"/>
  </r>
  <r>
    <x v="0"/>
    <x v="120"/>
    <n v="242958"/>
    <n v="1046154494968.26"/>
    <n v="86.059511461558699"/>
  </r>
  <r>
    <x v="0"/>
    <x v="121"/>
    <n v="243244"/>
    <n v="1054228745365.45"/>
    <n v="86.172703246053203"/>
  </r>
  <r>
    <x v="0"/>
    <x v="122"/>
    <n v="243458"/>
    <n v="1054419241918.8"/>
    <n v="86.296508151989102"/>
  </r>
  <r>
    <x v="0"/>
    <x v="123"/>
    <n v="243458"/>
    <n v="1053489210318.27"/>
    <n v="86.387442258172499"/>
  </r>
  <r>
    <x v="0"/>
    <x v="124"/>
    <n v="243206"/>
    <n v="1042475819587.54"/>
    <n v="86.483700303748705"/>
  </r>
  <r>
    <x v="0"/>
    <x v="125"/>
    <n v="243206"/>
    <n v="1043034371136.61"/>
    <n v="86.609759468148894"/>
  </r>
  <r>
    <x v="0"/>
    <x v="126"/>
    <n v="243079"/>
    <n v="1042526892174.13"/>
    <n v="86.7372488696179"/>
  </r>
  <r>
    <x v="0"/>
    <x v="127"/>
    <n v="243049"/>
    <n v="1043715265049.05"/>
    <n v="86.833254500440106"/>
  </r>
  <r>
    <x v="0"/>
    <x v="128"/>
    <n v="243211"/>
    <n v="1047052334367.59"/>
    <n v="86.908806046348403"/>
  </r>
  <r>
    <x v="0"/>
    <x v="129"/>
    <n v="243358"/>
    <n v="1046559366288.4301"/>
    <n v="86.980749185444395"/>
  </r>
  <r>
    <x v="0"/>
    <x v="130"/>
    <n v="243520"/>
    <n v="1046116620723.4399"/>
    <n v="87.088881500310904"/>
  </r>
  <r>
    <x v="0"/>
    <x v="131"/>
    <n v="243723"/>
    <n v="1045661950289.12"/>
    <n v="87.184716225823706"/>
  </r>
  <r>
    <x v="0"/>
    <x v="132"/>
    <n v="243770"/>
    <n v="1045305106228.61"/>
    <n v="87.283520642775102"/>
  </r>
  <r>
    <x v="0"/>
    <x v="133"/>
    <n v="243919"/>
    <n v="1047019150198.85"/>
    <n v="87.391416932476403"/>
  </r>
  <r>
    <x v="0"/>
    <x v="134"/>
    <n v="244114"/>
    <n v="1048394573900.75"/>
    <n v="86.7584490050059"/>
  </r>
  <r>
    <x v="0"/>
    <x v="135"/>
    <n v="244026"/>
    <n v="1046716620858.74"/>
    <n v="86.839366521468506"/>
  </r>
  <r>
    <x v="0"/>
    <x v="136"/>
    <n v="244112"/>
    <n v="1051148406451.9301"/>
    <n v="86.8801292821895"/>
  </r>
  <r>
    <x v="0"/>
    <x v="137"/>
    <n v="244290"/>
    <n v="1055396152979.1"/>
    <n v="87.738287108303496"/>
  </r>
  <r>
    <x v="0"/>
    <x v="138"/>
    <n v="244376"/>
    <n v="1062568967389.26"/>
    <n v="87.827629813755294"/>
  </r>
  <r>
    <x v="0"/>
    <x v="139"/>
    <n v="244769"/>
    <n v="1071676798504.13"/>
    <n v="87.940516666839997"/>
  </r>
  <r>
    <x v="0"/>
    <x v="140"/>
    <n v="245103"/>
    <n v="1083168990542.87"/>
    <n v="88.014724974424297"/>
  </r>
  <r>
    <x v="0"/>
    <x v="141"/>
    <n v="245417"/>
    <n v="1092258150495.95"/>
    <n v="88.094734517886593"/>
  </r>
  <r>
    <x v="0"/>
    <x v="142"/>
    <n v="245734"/>
    <n v="1101714404588.9399"/>
    <n v="88.156644994456599"/>
  </r>
  <r>
    <x v="0"/>
    <x v="143"/>
    <n v="246265"/>
    <n v="1111269349920.8401"/>
    <n v="88.234910409272899"/>
  </r>
  <r>
    <x v="0"/>
    <x v="144"/>
    <n v="246636"/>
    <n v="1122419326727.3401"/>
    <n v="88.277112719028594"/>
  </r>
  <r>
    <x v="0"/>
    <x v="145"/>
    <n v="247214"/>
    <n v="1132529092295.1799"/>
    <n v="88.354041088570398"/>
  </r>
  <r>
    <x v="0"/>
    <x v="146"/>
    <n v="247639"/>
    <n v="1142036164423.6499"/>
    <n v="88.430319515153201"/>
  </r>
  <r>
    <x v="0"/>
    <x v="147"/>
    <n v="248030"/>
    <n v="1155261788794.02"/>
    <n v="88.525516093720896"/>
  </r>
  <r>
    <x v="0"/>
    <x v="148"/>
    <n v="248548"/>
    <n v="1168142806797.22"/>
    <n v="88.588345200561804"/>
  </r>
  <r>
    <x v="0"/>
    <x v="149"/>
    <n v="248874"/>
    <n v="1181825510252.74"/>
    <n v="88.572302388836604"/>
  </r>
  <r>
    <x v="0"/>
    <x v="150"/>
    <n v="249248"/>
    <n v="1192430186515.3201"/>
    <n v="88.554762170737305"/>
  </r>
  <r>
    <x v="0"/>
    <x v="151"/>
    <n v="249885"/>
    <n v="1206782284664.1699"/>
    <n v="88.506151504193099"/>
  </r>
  <r>
    <x v="0"/>
    <x v="152"/>
    <n v="250428"/>
    <n v="1220415637263.49"/>
    <n v="88.434482414608198"/>
  </r>
  <r>
    <x v="0"/>
    <x v="153"/>
    <n v="250977"/>
    <n v="1240435866291.8799"/>
    <n v="88.368472255347001"/>
  </r>
  <r>
    <x v="0"/>
    <x v="154"/>
    <n v="251536"/>
    <n v="1253159977244.54"/>
    <n v="88.2634230868332"/>
  </r>
  <r>
    <x v="0"/>
    <x v="155"/>
    <n v="252197"/>
    <n v="1267753834052.5601"/>
    <n v="88.221430776331601"/>
  </r>
  <r>
    <x v="0"/>
    <x v="156"/>
    <n v="252755"/>
    <n v="1281899182108.53"/>
    <n v="88.1992860890727"/>
  </r>
  <r>
    <x v="0"/>
    <x v="157"/>
    <n v="253418"/>
    <n v="1297151286163.0601"/>
    <n v="88.167815931151196"/>
  </r>
  <r>
    <x v="0"/>
    <x v="158"/>
    <n v="254121"/>
    <n v="1313547803162.76"/>
    <n v="88.220458541025096"/>
  </r>
  <r>
    <x v="0"/>
    <x v="159"/>
    <n v="254866"/>
    <n v="1329046516438.8999"/>
    <n v="88.234309531475901"/>
  </r>
  <r>
    <x v="0"/>
    <x v="160"/>
    <n v="255714"/>
    <n v="1351361414625.3799"/>
    <n v="88.218484513572093"/>
  </r>
  <r>
    <x v="0"/>
    <x v="161"/>
    <n v="256516"/>
    <n v="1373358197427.46"/>
    <n v="87.852125047685007"/>
  </r>
  <r>
    <x v="0"/>
    <x v="162"/>
    <n v="257355"/>
    <n v="1398518091938.25"/>
    <n v="87.476714962681896"/>
  </r>
  <r>
    <x v="0"/>
    <x v="163"/>
    <n v="258242"/>
    <n v="1423075259258.24"/>
    <n v="87.132095603106293"/>
  </r>
  <r>
    <x v="0"/>
    <x v="164"/>
    <n v="259130"/>
    <n v="1448620805507.53"/>
    <n v="86.501419825766803"/>
  </r>
  <r>
    <x v="0"/>
    <x v="165"/>
    <n v="259997"/>
    <n v="1473008966168.4399"/>
    <n v="85.824827190076306"/>
  </r>
  <r>
    <x v="0"/>
    <x v="166"/>
    <n v="260697"/>
    <n v="1503089126091.8101"/>
    <n v="85.079752872599599"/>
  </r>
  <r>
    <x v="0"/>
    <x v="167"/>
    <n v="261695"/>
    <n v="1536876729700.0601"/>
    <n v="84.301051683406698"/>
  </r>
  <r>
    <x v="0"/>
    <x v="168"/>
    <n v="262505"/>
    <n v="1561574734904.05"/>
    <n v="83.465455893873695"/>
  </r>
  <r>
    <x v="0"/>
    <x v="169"/>
    <n v="264223"/>
    <n v="1598687945829.1299"/>
    <n v="82.678324592241594"/>
  </r>
  <r>
    <x v="0"/>
    <x v="170"/>
    <n v="264813"/>
    <n v="1611864597529.54"/>
    <n v="82.169943397364506"/>
  </r>
  <r>
    <x v="0"/>
    <x v="171"/>
    <n v="265488"/>
    <n v="1627058464695.98"/>
    <n v="81.672404137590902"/>
  </r>
  <r>
    <x v="1"/>
    <x v="172"/>
    <n v="5"/>
    <n v="12238945.18"/>
    <n v="100"/>
  </r>
  <r>
    <x v="0"/>
    <x v="172"/>
    <n v="266516"/>
    <n v="1649023403524.3301"/>
    <n v="81.217214564690394"/>
  </r>
  <r>
    <x v="0"/>
    <x v="173"/>
    <n v="267221"/>
    <n v="1672012270673.77"/>
    <n v="80.759698186908494"/>
  </r>
  <r>
    <x v="1"/>
    <x v="173"/>
    <n v="11"/>
    <n v="431216401.19999999"/>
    <n v="100"/>
  </r>
  <r>
    <x v="0"/>
    <x v="174"/>
    <n v="267777"/>
    <n v="1682374180043.9399"/>
    <n v="80.177044372655303"/>
  </r>
  <r>
    <x v="1"/>
    <x v="174"/>
    <n v="15"/>
    <n v="2102895357.54"/>
    <n v="100"/>
  </r>
  <r>
    <x v="0"/>
    <x v="175"/>
    <n v="268301"/>
    <n v="1690709203256.04"/>
    <n v="79.537763129339197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46046153816405"/>
  </r>
  <r>
    <x v="1"/>
    <x v="177"/>
    <n v="33"/>
    <n v="7594722445.1199999"/>
    <n v="99.905810201199898"/>
  </r>
  <r>
    <x v="0"/>
    <x v="177"/>
    <n v="269586"/>
    <n v="1715320900515.99"/>
    <n v="77.359723674513305"/>
  </r>
  <r>
    <x v="1"/>
    <x v="178"/>
    <n v="33"/>
    <n v="7455294762.29"/>
    <n v="99.003374509470504"/>
  </r>
  <r>
    <x v="0"/>
    <x v="178"/>
    <n v="269880"/>
    <n v="1722159821907.24"/>
    <n v="76.066917884915995"/>
  </r>
  <r>
    <x v="0"/>
    <x v="179"/>
    <n v="270476"/>
    <n v="1743795423653.5901"/>
    <n v="75.841148106686504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3482489508199"/>
  </r>
  <r>
    <x v="1"/>
    <x v="181"/>
    <n v="57"/>
    <n v="7517545111.1499996"/>
    <n v="94.6088299083424"/>
  </r>
  <r>
    <x v="0"/>
    <x v="181"/>
    <n v="271227"/>
    <n v="1754532172587.8201"/>
    <n v="75.031617221025002"/>
  </r>
  <r>
    <x v="1"/>
    <x v="182"/>
    <n v="80"/>
    <n v="7812894988.0100002"/>
    <n v="95.333617221941296"/>
  </r>
  <r>
    <x v="0"/>
    <x v="182"/>
    <n v="271839"/>
    <n v="1783832899325.1899"/>
    <n v="75.642553516881705"/>
  </r>
  <r>
    <x v="0"/>
    <x v="183"/>
    <n v="272056"/>
    <n v="1788604982272.3999"/>
    <n v="75.9491452348867"/>
  </r>
  <r>
    <x v="1"/>
    <x v="183"/>
    <n v="94"/>
    <n v="7929838117.7600002"/>
    <n v="95.8509551304155"/>
  </r>
  <r>
    <x v="0"/>
    <x v="184"/>
    <n v="272638"/>
    <n v="1851247613799.7"/>
    <n v="76.470272769992704"/>
  </r>
  <r>
    <x v="1"/>
    <x v="184"/>
    <n v="131"/>
    <n v="14236149645.15"/>
    <n v="97.980131804413205"/>
  </r>
  <r>
    <x v="0"/>
    <x v="185"/>
    <n v="273233"/>
    <n v="1892906083080.45"/>
    <n v="76.835115994763498"/>
  </r>
  <r>
    <x v="1"/>
    <x v="185"/>
    <n v="168"/>
    <n v="15653598327.879999"/>
    <n v="98.7253579000879"/>
  </r>
  <r>
    <x v="0"/>
    <x v="186"/>
    <n v="273609"/>
    <n v="1911210202909.05"/>
    <n v="77.091086987098194"/>
  </r>
  <r>
    <x v="1"/>
    <x v="186"/>
    <n v="188"/>
    <n v="16210075077.32"/>
    <n v="98.8230666896728"/>
  </r>
  <r>
    <x v="0"/>
    <x v="187"/>
    <n v="273811"/>
    <n v="1922329055650.49"/>
    <n v="77.364770620654198"/>
  </r>
  <r>
    <x v="1"/>
    <x v="187"/>
    <n v="222"/>
    <n v="17522334402.939999"/>
    <n v="98.695782286409894"/>
  </r>
  <r>
    <x v="0"/>
    <x v="188"/>
    <n v="274246"/>
    <n v="1936230379188.45"/>
    <n v="77.3849162067457"/>
  </r>
  <r>
    <x v="1"/>
    <x v="188"/>
    <n v="266"/>
    <n v="20636621094.560001"/>
    <n v="98.540317138490195"/>
  </r>
  <r>
    <x v="0"/>
    <x v="189"/>
    <n v="274530"/>
    <n v="1935224752959.1399"/>
    <n v="77.330697712814896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199357103120306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239655143397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6497862892793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380394310301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352214965303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06209831603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89967834893898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698439398106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2392449733202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23226036885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93915159835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8933674840305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71122810892695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490361690470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2114966546904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9204546982598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7419969165599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5980575237393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3103948348701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2704304412906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6392177123095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5684310599204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715033378025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40841873983803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859046913859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8174885620693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8120103873104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488715933499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37856855038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6388727555198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12911485187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8663050583099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7181463472995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9417753653094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91988246453204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7375406355296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71020356919601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9.979179531146002"/>
  </r>
  <r>
    <x v="2"/>
    <x v="227"/>
    <n v="1194"/>
    <n v="33051971704.52"/>
    <n v="2.1648676617129001"/>
  </r>
  <r>
    <x v="3"/>
    <x v="227"/>
    <n v="493"/>
    <n v="22634123601.41"/>
    <n v="16.901075314741"/>
  </r>
  <r>
    <x v="1"/>
    <x v="227"/>
    <n v="1864"/>
    <n v="59324750524.360001"/>
    <n v="99.294132324663593"/>
  </r>
  <r>
    <x v="0"/>
    <x v="228"/>
    <n v="295747"/>
    <n v="1641408813705.6101"/>
    <n v="87.849120842201003"/>
  </r>
  <r>
    <x v="2"/>
    <x v="228"/>
    <n v="1265"/>
    <n v="35343557017.519997"/>
    <n v="3.3608537685228201"/>
  </r>
  <r>
    <x v="3"/>
    <x v="228"/>
    <n v="572"/>
    <n v="25710780014.439999"/>
    <n v="14.852601716034901"/>
  </r>
  <r>
    <x v="1"/>
    <x v="228"/>
    <n v="1890"/>
    <n v="59341253640.129997"/>
    <n v="94.246603354553102"/>
  </r>
  <r>
    <x v="0"/>
    <x v="229"/>
    <n v="296480"/>
    <n v="1639099306167.1299"/>
    <n v="85.622471790348001"/>
  </r>
  <r>
    <x v="2"/>
    <x v="229"/>
    <n v="1335"/>
    <n v="37312888521.379997"/>
    <n v="4.5415904074526301"/>
  </r>
  <r>
    <x v="3"/>
    <x v="229"/>
    <n v="639"/>
    <n v="27919269484.799999"/>
    <n v="13.6470971562931"/>
  </r>
  <r>
    <x v="1"/>
    <x v="229"/>
    <n v="1907"/>
    <n v="58273862919.07"/>
    <n v="90.8562420454696"/>
  </r>
  <r>
    <x v="0"/>
    <x v="230"/>
    <n v="296774"/>
    <n v="1632928605681.1299"/>
    <n v="84.384279175000898"/>
  </r>
  <r>
    <x v="2"/>
    <x v="230"/>
    <n v="1395"/>
    <n v="39156032691.959999"/>
    <n v="8.1576534952761008"/>
  </r>
  <r>
    <x v="3"/>
    <x v="230"/>
    <n v="704"/>
    <n v="30041763432.959999"/>
    <n v="12.6532882663273"/>
  </r>
  <r>
    <x v="1"/>
    <x v="230"/>
    <n v="1927"/>
    <n v="57984952680.769997"/>
    <n v="87.242006959368496"/>
  </r>
  <r>
    <x v="0"/>
    <x v="231"/>
    <n v="297206"/>
    <n v="1630926522634.1799"/>
    <n v="82.678321110699102"/>
  </r>
  <r>
    <x v="2"/>
    <x v="231"/>
    <n v="1447"/>
    <n v="41135466403"/>
    <n v="12.370699930371501"/>
  </r>
  <r>
    <x v="3"/>
    <x v="231"/>
    <n v="760"/>
    <n v="32087573394.82"/>
    <n v="11.808332023176099"/>
  </r>
  <r>
    <x v="1"/>
    <x v="231"/>
    <n v="1940"/>
    <n v="57919460773.599998"/>
    <n v="83.372746072587503"/>
  </r>
  <r>
    <x v="0"/>
    <x v="232"/>
    <n v="297478"/>
    <n v="1634172612883.0801"/>
    <n v="80.576301131789407"/>
  </r>
  <r>
    <x v="2"/>
    <x v="232"/>
    <n v="1489"/>
    <n v="42553384727.230003"/>
    <n v="17.480832314631101"/>
  </r>
  <r>
    <x v="3"/>
    <x v="232"/>
    <n v="806"/>
    <n v="33554081959.810001"/>
    <n v="11.2517378647971"/>
  </r>
  <r>
    <x v="1"/>
    <x v="232"/>
    <n v="1951"/>
    <n v="57743623776.370003"/>
    <n v="79.922682239152294"/>
  </r>
  <r>
    <x v="0"/>
    <x v="233"/>
    <n v="297713"/>
    <n v="1630715136837.8301"/>
    <n v="78.432703548004497"/>
  </r>
  <r>
    <x v="2"/>
    <x v="233"/>
    <n v="1527"/>
    <n v="44044353148.919998"/>
    <n v="20.269741256700101"/>
  </r>
  <r>
    <x v="3"/>
    <x v="233"/>
    <n v="846"/>
    <n v="34996952153.550003"/>
    <n v="10.7410741601777"/>
  </r>
  <r>
    <x v="1"/>
    <x v="233"/>
    <n v="1967"/>
    <n v="57562689788.809998"/>
    <n v="75.878918191173895"/>
  </r>
  <r>
    <x v="0"/>
    <x v="234"/>
    <n v="297745"/>
    <n v="1635352864892.78"/>
    <n v="76.128961226637998"/>
  </r>
  <r>
    <x v="2"/>
    <x v="234"/>
    <n v="1571"/>
    <n v="45268306712.739998"/>
    <n v="23.296294011509602"/>
  </r>
  <r>
    <x v="3"/>
    <x v="234"/>
    <n v="890"/>
    <n v="36201078184.980003"/>
    <n v="10.3325509295261"/>
  </r>
  <r>
    <x v="1"/>
    <x v="234"/>
    <n v="1980"/>
    <n v="57358795381.5"/>
    <n v="72.636014508700299"/>
  </r>
  <r>
    <x v="0"/>
    <x v="235"/>
    <n v="297935"/>
    <n v="1638979706834.8101"/>
    <n v="74.083517583914698"/>
  </r>
  <r>
    <x v="2"/>
    <x v="235"/>
    <n v="1617"/>
    <n v="46324942815.470001"/>
    <n v="26.1122966101385"/>
  </r>
  <r>
    <x v="3"/>
    <x v="235"/>
    <n v="939"/>
    <n v="37243354893.68"/>
    <n v="9.9995437676868502"/>
  </r>
  <r>
    <x v="1"/>
    <x v="235"/>
    <n v="2002"/>
    <n v="57378888746.93"/>
    <n v="70.053828937590694"/>
  </r>
  <r>
    <x v="0"/>
    <x v="236"/>
    <n v="298051"/>
    <n v="1644012668533.9099"/>
    <n v="72.333120445077995"/>
  </r>
  <r>
    <x v="2"/>
    <x v="236"/>
    <n v="1660"/>
    <n v="47014770367.400002"/>
    <n v="25.8785292243907"/>
  </r>
  <r>
    <x v="3"/>
    <x v="236"/>
    <n v="980"/>
    <n v="37852364380.050003"/>
    <n v="9.8058320360714397"/>
  </r>
  <r>
    <x v="1"/>
    <x v="236"/>
    <n v="2022"/>
    <n v="57356413673.699997"/>
    <n v="68.487570082774795"/>
  </r>
  <r>
    <x v="0"/>
    <x v="237"/>
    <n v="298245"/>
    <n v="1652973739227.2"/>
    <n v="70.808272464390001"/>
  </r>
  <r>
    <x v="2"/>
    <x v="237"/>
    <n v="1704"/>
    <n v="47554737040.699997"/>
    <n v="25.973004409562598"/>
  </r>
  <r>
    <x v="3"/>
    <x v="237"/>
    <n v="1016"/>
    <n v="38288256348.959999"/>
    <n v="8.2969781559221598"/>
  </r>
  <r>
    <x v="1"/>
    <x v="237"/>
    <n v="2039"/>
    <n v="57531922542.139999"/>
    <n v="67.234365902755002"/>
  </r>
  <r>
    <x v="0"/>
    <x v="238"/>
    <n v="298380"/>
    <n v="1657289777281.8"/>
    <n v="69.581924251244601"/>
  </r>
  <r>
    <x v="2"/>
    <x v="238"/>
    <n v="1735"/>
    <n v="47935165709.389999"/>
    <n v="25.9792525373046"/>
  </r>
  <r>
    <x v="3"/>
    <x v="238"/>
    <n v="1053"/>
    <n v="38615010697.739998"/>
    <n v="8.2011373099446807"/>
  </r>
  <r>
    <x v="1"/>
    <x v="238"/>
    <n v="2050"/>
    <n v="57672150701.269997"/>
    <n v="66.175867700570606"/>
  </r>
  <r>
    <x v="0"/>
    <x v="239"/>
    <n v="298565"/>
    <n v="1661238948532.75"/>
    <n v="95.179940211158296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64722160671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31270434242697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6246239939593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7876987092997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7452801213402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1248283684002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27439564823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798528977002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339749356793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3889442028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6994403938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163793997993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6888092994806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437556330893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031127283195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1219785011405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414705270729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5394011506197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50986789526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17877935099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3938581385097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165852685789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1093872704294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56479589021797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06132523328802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46723163872102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07025819262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48813163737003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0584403677406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37467888119596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2839614082599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18617029481203"/>
  </r>
  <r>
    <x v="3"/>
    <x v="271"/>
    <n v="1385"/>
    <n v="34088680556.189999"/>
    <n v="32.365645146389099"/>
  </r>
  <r>
    <x v="0"/>
    <x v="272"/>
    <n v="311376"/>
    <n v="1794130472303.8501"/>
    <n v="97.3634268220299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38767150864894"/>
  </r>
  <r>
    <x v="0"/>
    <x v="25"/>
    <n v="149785"/>
    <n v="346545445220.38"/>
    <n v="87.594845967040499"/>
  </r>
  <r>
    <x v="0"/>
    <x v="26"/>
    <n v="150727"/>
    <n v="350465555808.21997"/>
    <n v="87.539967592249894"/>
  </r>
  <r>
    <x v="0"/>
    <x v="27"/>
    <n v="151726"/>
    <n v="354683248452.60999"/>
    <n v="87.489480388748106"/>
  </r>
  <r>
    <x v="0"/>
    <x v="28"/>
    <n v="152681"/>
    <n v="359153508694.62"/>
    <n v="87.350495031270199"/>
  </r>
  <r>
    <x v="0"/>
    <x v="29"/>
    <n v="153592"/>
    <n v="364145909105.21997"/>
    <n v="87.267047573837701"/>
  </r>
  <r>
    <x v="0"/>
    <x v="30"/>
    <n v="154353"/>
    <n v="367843583423.22998"/>
    <n v="87.210539200854996"/>
  </r>
  <r>
    <x v="0"/>
    <x v="31"/>
    <n v="155081"/>
    <n v="370513413856.09998"/>
    <n v="87.167279038064095"/>
  </r>
  <r>
    <x v="0"/>
    <x v="32"/>
    <n v="155900"/>
    <n v="375154945459.59998"/>
    <n v="87.123162675638994"/>
  </r>
  <r>
    <x v="0"/>
    <x v="33"/>
    <n v="156553"/>
    <n v="378164550622.22998"/>
    <n v="87.087522316105904"/>
  </r>
  <r>
    <x v="0"/>
    <x v="34"/>
    <n v="157183"/>
    <n v="380573155397.19"/>
    <n v="87.0656198392345"/>
  </r>
  <r>
    <x v="0"/>
    <x v="35"/>
    <n v="157961"/>
    <n v="383579286284.32001"/>
    <n v="87.062966482800604"/>
  </r>
  <r>
    <x v="0"/>
    <x v="36"/>
    <n v="158587"/>
    <n v="385622880966.02002"/>
    <n v="87.059408290327397"/>
  </r>
  <r>
    <x v="0"/>
    <x v="37"/>
    <n v="159328"/>
    <n v="388944585913.88"/>
    <n v="87.054438717454104"/>
  </r>
  <r>
    <x v="0"/>
    <x v="38"/>
    <n v="160031"/>
    <n v="391996345649.14001"/>
    <n v="87.025258187068502"/>
  </r>
  <r>
    <x v="0"/>
    <x v="39"/>
    <n v="160667"/>
    <n v="394401986179.65997"/>
    <n v="87.004006927359995"/>
  </r>
  <r>
    <x v="0"/>
    <x v="40"/>
    <n v="161332"/>
    <n v="397650299517.78003"/>
    <n v="86.986453200166395"/>
  </r>
  <r>
    <x v="0"/>
    <x v="41"/>
    <n v="161858"/>
    <n v="399661358461.85999"/>
    <n v="86.982191542632094"/>
  </r>
  <r>
    <x v="0"/>
    <x v="42"/>
    <n v="162531"/>
    <n v="402473247826.06"/>
    <n v="86.972078296439406"/>
  </r>
  <r>
    <x v="0"/>
    <x v="43"/>
    <n v="163328"/>
    <n v="407135000510.78003"/>
    <n v="86.955910142215103"/>
  </r>
  <r>
    <x v="0"/>
    <x v="44"/>
    <n v="164171"/>
    <n v="410957899203.09998"/>
    <n v="86.984600527235798"/>
  </r>
  <r>
    <x v="0"/>
    <x v="45"/>
    <n v="164998"/>
    <n v="415578143387.42999"/>
    <n v="87.025177185626802"/>
  </r>
  <r>
    <x v="0"/>
    <x v="46"/>
    <n v="165889"/>
    <n v="420442181020.82001"/>
    <n v="87.073142319824697"/>
  </r>
  <r>
    <x v="0"/>
    <x v="47"/>
    <n v="166964"/>
    <n v="425507008058.42999"/>
    <n v="87.1078188133216"/>
  </r>
  <r>
    <x v="0"/>
    <x v="48"/>
    <n v="167888"/>
    <n v="430133364045.90002"/>
    <n v="87.143070069308706"/>
  </r>
  <r>
    <x v="0"/>
    <x v="49"/>
    <n v="169006"/>
    <n v="436014643807.73999"/>
    <n v="87.197946791622797"/>
  </r>
  <r>
    <x v="0"/>
    <x v="50"/>
    <n v="170201"/>
    <n v="440572182741.69"/>
    <n v="87.305434648596503"/>
  </r>
  <r>
    <x v="0"/>
    <x v="51"/>
    <n v="171456"/>
    <n v="447378001346.06"/>
    <n v="87.413509283619604"/>
  </r>
  <r>
    <x v="0"/>
    <x v="52"/>
    <n v="172582"/>
    <n v="454600787180.84998"/>
    <n v="87.526915309829405"/>
  </r>
  <r>
    <x v="0"/>
    <x v="53"/>
    <n v="173773"/>
    <n v="463337515393.27002"/>
    <n v="87.638456668359098"/>
  </r>
  <r>
    <x v="0"/>
    <x v="54"/>
    <n v="174901"/>
    <n v="473963930458.06"/>
    <n v="87.724912237343602"/>
  </r>
  <r>
    <x v="0"/>
    <x v="55"/>
    <n v="175971"/>
    <n v="482637195788"/>
    <n v="87.832739251962806"/>
  </r>
  <r>
    <x v="0"/>
    <x v="56"/>
    <n v="177221"/>
    <n v="492759677673.42999"/>
    <n v="87.942232411340498"/>
  </r>
  <r>
    <x v="0"/>
    <x v="57"/>
    <n v="178640"/>
    <n v="502211629634.06"/>
    <n v="88.017618281853103"/>
  </r>
  <r>
    <x v="0"/>
    <x v="58"/>
    <n v="179937"/>
    <n v="508860817728.65997"/>
    <n v="88.133848620739698"/>
  </r>
  <r>
    <x v="0"/>
    <x v="59"/>
    <n v="181535"/>
    <n v="519181595242.40002"/>
    <n v="88.268845561107099"/>
  </r>
  <r>
    <x v="0"/>
    <x v="60"/>
    <n v="183021"/>
    <n v="529266546073.46997"/>
    <n v="88.371028887467702"/>
  </r>
  <r>
    <x v="0"/>
    <x v="61"/>
    <n v="184355"/>
    <n v="540755542094.21002"/>
    <n v="88.461997150246802"/>
  </r>
  <r>
    <x v="0"/>
    <x v="62"/>
    <n v="185605"/>
    <n v="549750472653.34998"/>
    <n v="88.552277416830094"/>
  </r>
  <r>
    <x v="0"/>
    <x v="63"/>
    <n v="186717"/>
    <n v="556506175459.81006"/>
    <n v="88.616249219703406"/>
  </r>
  <r>
    <x v="0"/>
    <x v="64"/>
    <n v="187662"/>
    <n v="563458838273"/>
    <n v="88.701786724976003"/>
  </r>
  <r>
    <x v="0"/>
    <x v="65"/>
    <n v="188811"/>
    <n v="572204607933.89001"/>
    <n v="88.776666682162897"/>
  </r>
  <r>
    <x v="0"/>
    <x v="66"/>
    <n v="189841"/>
    <n v="579291469300.42004"/>
    <n v="88.858935065052705"/>
  </r>
  <r>
    <x v="0"/>
    <x v="67"/>
    <n v="190764"/>
    <n v="587347551657.76001"/>
    <n v="88.909829601185507"/>
  </r>
  <r>
    <x v="0"/>
    <x v="68"/>
    <n v="191769"/>
    <n v="595358056585.48999"/>
    <n v="88.953006916878294"/>
  </r>
  <r>
    <x v="0"/>
    <x v="69"/>
    <n v="192676"/>
    <n v="603335784202.89001"/>
    <n v="88.969458461210493"/>
  </r>
  <r>
    <x v="0"/>
    <x v="70"/>
    <n v="193594"/>
    <n v="608661813729.64001"/>
    <n v="88.9935458383991"/>
  </r>
  <r>
    <x v="0"/>
    <x v="71"/>
    <n v="194574"/>
    <n v="614730545023.56995"/>
    <n v="89.029423027295195"/>
  </r>
  <r>
    <x v="0"/>
    <x v="72"/>
    <n v="195521"/>
    <n v="620175920606.63"/>
    <n v="89.055375332177803"/>
  </r>
  <r>
    <x v="0"/>
    <x v="73"/>
    <n v="196302"/>
    <n v="625373224000.52002"/>
    <n v="89.044163096928699"/>
  </r>
  <r>
    <x v="0"/>
    <x v="74"/>
    <n v="197211"/>
    <n v="628789317108.88"/>
    <n v="89.039825594486302"/>
  </r>
  <r>
    <x v="0"/>
    <x v="75"/>
    <n v="198200"/>
    <n v="633466085432.80005"/>
    <n v="89.026476151107701"/>
  </r>
  <r>
    <x v="0"/>
    <x v="76"/>
    <n v="199277"/>
    <n v="638637756539.06006"/>
    <n v="89.031220220895094"/>
  </r>
  <r>
    <x v="0"/>
    <x v="77"/>
    <n v="200318"/>
    <n v="644319934151.05005"/>
    <n v="89.029479467077394"/>
  </r>
  <r>
    <x v="0"/>
    <x v="78"/>
    <n v="201523"/>
    <n v="650241592057.52002"/>
    <n v="89.027793769900796"/>
  </r>
  <r>
    <x v="0"/>
    <x v="79"/>
    <n v="202877"/>
    <n v="659140528287.64001"/>
    <n v="89.029976588477396"/>
  </r>
  <r>
    <x v="0"/>
    <x v="80"/>
    <n v="204126"/>
    <n v="667771708329.09998"/>
    <n v="89.028320655818106"/>
  </r>
  <r>
    <x v="0"/>
    <x v="81"/>
    <n v="205336"/>
    <n v="678145982258.65002"/>
    <n v="88.993590812684104"/>
  </r>
  <r>
    <x v="0"/>
    <x v="82"/>
    <n v="206553"/>
    <n v="688667464062.68005"/>
    <n v="89.008163209273107"/>
  </r>
  <r>
    <x v="0"/>
    <x v="83"/>
    <n v="207893"/>
    <n v="700106336980.84998"/>
    <n v="88.942051083775397"/>
  </r>
  <r>
    <x v="0"/>
    <x v="84"/>
    <n v="209121"/>
    <n v="711936410692.26001"/>
    <n v="88.931005343214395"/>
  </r>
  <r>
    <x v="0"/>
    <x v="85"/>
    <n v="210670"/>
    <n v="724159427993.80005"/>
    <n v="88.933954385904102"/>
  </r>
  <r>
    <x v="0"/>
    <x v="86"/>
    <n v="212403"/>
    <n v="737131621054.80005"/>
    <n v="88.886761252337195"/>
  </r>
  <r>
    <x v="0"/>
    <x v="87"/>
    <n v="214231"/>
    <n v="752556214855.22998"/>
    <n v="88.841547746600398"/>
  </r>
  <r>
    <x v="0"/>
    <x v="88"/>
    <n v="216060"/>
    <n v="768634381863"/>
    <n v="88.794389672061001"/>
  </r>
  <r>
    <x v="0"/>
    <x v="89"/>
    <n v="217775"/>
    <n v="783899597190.81006"/>
    <n v="88.744071357624804"/>
  </r>
  <r>
    <x v="0"/>
    <x v="90"/>
    <n v="219337"/>
    <n v="800219895172"/>
    <n v="88.666839367494205"/>
  </r>
  <r>
    <x v="0"/>
    <x v="91"/>
    <n v="220863"/>
    <n v="816276961683.10999"/>
    <n v="88.610441077865104"/>
  </r>
  <r>
    <x v="0"/>
    <x v="92"/>
    <n v="222193"/>
    <n v="829340407712.87"/>
    <n v="88.515355981039605"/>
  </r>
  <r>
    <x v="0"/>
    <x v="93"/>
    <n v="223572"/>
    <n v="841081375122.14001"/>
    <n v="88.4341878741795"/>
  </r>
  <r>
    <x v="0"/>
    <x v="94"/>
    <n v="225055"/>
    <n v="853354387292.38"/>
    <n v="88.351837777550898"/>
  </r>
  <r>
    <x v="0"/>
    <x v="95"/>
    <n v="226605"/>
    <n v="865009341307.27002"/>
    <n v="88.229123870524603"/>
  </r>
  <r>
    <x v="0"/>
    <x v="96"/>
    <n v="227719"/>
    <n v="868002653952.68994"/>
    <n v="88.137161073820906"/>
  </r>
  <r>
    <x v="0"/>
    <x v="97"/>
    <n v="228962"/>
    <n v="879696484692.43994"/>
    <n v="88.053296226191506"/>
  </r>
  <r>
    <x v="0"/>
    <x v="98"/>
    <n v="229290"/>
    <n v="891137066963.31006"/>
    <n v="87.969078988211294"/>
  </r>
  <r>
    <x v="0"/>
    <x v="99"/>
    <n v="230242"/>
    <n v="898079497234.46997"/>
    <n v="87.858926286424307"/>
  </r>
  <r>
    <x v="0"/>
    <x v="100"/>
    <n v="231200"/>
    <n v="906196770233.09998"/>
    <n v="87.757985249224404"/>
  </r>
  <r>
    <x v="0"/>
    <x v="101"/>
    <n v="232155"/>
    <n v="915306614991.16003"/>
    <n v="87.656004456856095"/>
  </r>
  <r>
    <x v="0"/>
    <x v="102"/>
    <n v="232988"/>
    <n v="924210879564.21997"/>
    <n v="87.562530177691499"/>
  </r>
  <r>
    <x v="0"/>
    <x v="103"/>
    <n v="234029"/>
    <n v="933451662668.81006"/>
    <n v="87.452257702126204"/>
  </r>
  <r>
    <x v="0"/>
    <x v="104"/>
    <n v="235250"/>
    <n v="939163115315.12"/>
    <n v="87.353433582665104"/>
  </r>
  <r>
    <x v="0"/>
    <x v="105"/>
    <n v="236280"/>
    <n v="950835871010.5"/>
    <n v="87.257450282460198"/>
  </r>
  <r>
    <x v="0"/>
    <x v="106"/>
    <n v="237080"/>
    <n v="948704633830.25"/>
    <n v="87.172606718407806"/>
  </r>
  <r>
    <x v="0"/>
    <x v="107"/>
    <n v="238095"/>
    <n v="952529753121.88"/>
    <n v="87.129265497458803"/>
  </r>
  <r>
    <x v="0"/>
    <x v="108"/>
    <n v="238988"/>
    <n v="962426850688.71997"/>
    <n v="87.109877746218899"/>
  </r>
  <r>
    <x v="0"/>
    <x v="109"/>
    <n v="239791"/>
    <n v="971889246408.43994"/>
    <n v="87.087420386953795"/>
  </r>
  <r>
    <x v="0"/>
    <x v="110"/>
    <n v="240505"/>
    <n v="981397635555.85999"/>
    <n v="87.084098887905398"/>
  </r>
  <r>
    <x v="0"/>
    <x v="111"/>
    <n v="241199"/>
    <n v="998455877100.01001"/>
    <n v="86.714556900057502"/>
  </r>
  <r>
    <x v="0"/>
    <x v="112"/>
    <n v="241528"/>
    <n v="1000338175794.87"/>
    <n v="86.530358046206302"/>
  </r>
  <r>
    <x v="0"/>
    <x v="113"/>
    <n v="242127"/>
    <n v="1015393774840.89"/>
    <n v="86.599883508001298"/>
  </r>
  <r>
    <x v="0"/>
    <x v="114"/>
    <n v="242806"/>
    <n v="1022403673721.74"/>
    <n v="86.621576475268597"/>
  </r>
  <r>
    <x v="0"/>
    <x v="115"/>
    <n v="243055"/>
    <n v="1011345079983.45"/>
    <n v="86.638988421167994"/>
  </r>
  <r>
    <x v="0"/>
    <x v="116"/>
    <n v="243087"/>
    <n v="1018746952300.48"/>
    <n v="86.6565435457061"/>
  </r>
  <r>
    <x v="0"/>
    <x v="117"/>
    <n v="242823"/>
    <n v="1022881900552.3199"/>
    <n v="86.623627534214194"/>
  </r>
  <r>
    <x v="0"/>
    <x v="118"/>
    <n v="242568"/>
    <n v="1029221486063.8"/>
    <n v="86.610717721113502"/>
  </r>
  <r>
    <x v="0"/>
    <x v="119"/>
    <n v="242944"/>
    <n v="1041578015793.9"/>
    <n v="86.490801222106697"/>
  </r>
  <r>
    <x v="0"/>
    <x v="120"/>
    <n v="242958"/>
    <n v="1046154494968.26"/>
    <n v="86.500345845228196"/>
  </r>
  <r>
    <x v="0"/>
    <x v="121"/>
    <n v="243244"/>
    <n v="1054228745365.45"/>
    <n v="86.591246002301901"/>
  </r>
  <r>
    <x v="0"/>
    <x v="122"/>
    <n v="243458"/>
    <n v="1054419241918.8"/>
    <n v="86.6936382398993"/>
  </r>
  <r>
    <x v="0"/>
    <x v="123"/>
    <n v="243458"/>
    <n v="1053489210318.27"/>
    <n v="86.7638962162914"/>
  </r>
  <r>
    <x v="0"/>
    <x v="124"/>
    <n v="243206"/>
    <n v="1042475819587.54"/>
    <n v="86.843761341058695"/>
  </r>
  <r>
    <x v="0"/>
    <x v="125"/>
    <n v="243206"/>
    <n v="1043034371136.61"/>
    <n v="86.951509448135894"/>
  </r>
  <r>
    <x v="0"/>
    <x v="126"/>
    <n v="243079"/>
    <n v="1042526892174.13"/>
    <n v="87.063014023675905"/>
  </r>
  <r>
    <x v="0"/>
    <x v="127"/>
    <n v="243049"/>
    <n v="1043715265049.05"/>
    <n v="87.146844314777596"/>
  </r>
  <r>
    <x v="0"/>
    <x v="128"/>
    <n v="243211"/>
    <n v="1047052334367.59"/>
    <n v="87.209672701657695"/>
  </r>
  <r>
    <x v="0"/>
    <x v="129"/>
    <n v="243358"/>
    <n v="1046559366288.4301"/>
    <n v="87.268068654338407"/>
  </r>
  <r>
    <x v="0"/>
    <x v="130"/>
    <n v="243520"/>
    <n v="1046116620723.4399"/>
    <n v="87.364569637615503"/>
  </r>
  <r>
    <x v="0"/>
    <x v="131"/>
    <n v="243723"/>
    <n v="1045661950289.12"/>
    <n v="87.456943654591001"/>
  </r>
  <r>
    <x v="0"/>
    <x v="132"/>
    <n v="243770"/>
    <n v="1045305106228.61"/>
    <n v="87.544134636964202"/>
  </r>
  <r>
    <x v="0"/>
    <x v="133"/>
    <n v="243919"/>
    <n v="1047019150198.85"/>
    <n v="87.639782044724896"/>
  </r>
  <r>
    <x v="0"/>
    <x v="134"/>
    <n v="244114"/>
    <n v="1048394573900.75"/>
    <n v="86.998545907648506"/>
  </r>
  <r>
    <x v="0"/>
    <x v="135"/>
    <n v="244026"/>
    <n v="1046716620858.74"/>
    <n v="87.070158300687197"/>
  </r>
  <r>
    <x v="0"/>
    <x v="136"/>
    <n v="244112"/>
    <n v="1051148406451.9301"/>
    <n v="87.098433188484606"/>
  </r>
  <r>
    <x v="0"/>
    <x v="137"/>
    <n v="244290"/>
    <n v="1055396152979.1"/>
    <n v="87.9459395061577"/>
  </r>
  <r>
    <x v="0"/>
    <x v="138"/>
    <n v="244376"/>
    <n v="1062568967389.26"/>
    <n v="88.022032441905296"/>
  </r>
  <r>
    <x v="0"/>
    <x v="139"/>
    <n v="244769"/>
    <n v="1071676798504.13"/>
    <n v="88.124632886633407"/>
  </r>
  <r>
    <x v="0"/>
    <x v="140"/>
    <n v="245103"/>
    <n v="1083168990542.87"/>
    <n v="88.184165619189002"/>
  </r>
  <r>
    <x v="0"/>
    <x v="141"/>
    <n v="245417"/>
    <n v="1092258150495.95"/>
    <n v="88.253865925312297"/>
  </r>
  <r>
    <x v="0"/>
    <x v="142"/>
    <n v="245734"/>
    <n v="1101714404588.9399"/>
    <n v="88.310544229910604"/>
  </r>
  <r>
    <x v="0"/>
    <x v="143"/>
    <n v="246265"/>
    <n v="1111269349920.8401"/>
    <n v="88.375512309580699"/>
  </r>
  <r>
    <x v="0"/>
    <x v="144"/>
    <n v="246636"/>
    <n v="1122419326727.3401"/>
    <n v="88.411336628136198"/>
  </r>
  <r>
    <x v="0"/>
    <x v="145"/>
    <n v="247214"/>
    <n v="1132529092295.1799"/>
    <n v="88.483119825112595"/>
  </r>
  <r>
    <x v="0"/>
    <x v="146"/>
    <n v="247639"/>
    <n v="1142036164423.6499"/>
    <n v="88.552900051835806"/>
  </r>
  <r>
    <x v="0"/>
    <x v="147"/>
    <n v="248030"/>
    <n v="1155261788794.02"/>
    <n v="88.639814557968094"/>
  </r>
  <r>
    <x v="0"/>
    <x v="148"/>
    <n v="248548"/>
    <n v="1168142806797.22"/>
    <n v="88.686965237758798"/>
  </r>
  <r>
    <x v="0"/>
    <x v="149"/>
    <n v="248874"/>
    <n v="1181825510252.74"/>
    <n v="88.662003187691198"/>
  </r>
  <r>
    <x v="0"/>
    <x v="150"/>
    <n v="249248"/>
    <n v="1192430186515.3201"/>
    <n v="88.633184128491806"/>
  </r>
  <r>
    <x v="0"/>
    <x v="151"/>
    <n v="249885"/>
    <n v="1206782284664.1699"/>
    <n v="88.575908177825596"/>
  </r>
  <r>
    <x v="0"/>
    <x v="152"/>
    <n v="250428"/>
    <n v="1220415637263.49"/>
    <n v="88.490973230128603"/>
  </r>
  <r>
    <x v="0"/>
    <x v="153"/>
    <n v="250977"/>
    <n v="1240435866291.8799"/>
    <n v="88.425241161272297"/>
  </r>
  <r>
    <x v="0"/>
    <x v="154"/>
    <n v="251536"/>
    <n v="1253159977244.54"/>
    <n v="88.308333009149194"/>
  </r>
  <r>
    <x v="0"/>
    <x v="155"/>
    <n v="252197"/>
    <n v="1267753834052.5601"/>
    <n v="88.250993556478804"/>
  </r>
  <r>
    <x v="0"/>
    <x v="156"/>
    <n v="252755"/>
    <n v="1281899182108.53"/>
    <n v="88.231156768375001"/>
  </r>
  <r>
    <x v="0"/>
    <x v="157"/>
    <n v="253418"/>
    <n v="1297151286163.0601"/>
    <n v="88.191237844041098"/>
  </r>
  <r>
    <x v="0"/>
    <x v="158"/>
    <n v="254121"/>
    <n v="1313547803162.76"/>
    <n v="88.242387435627606"/>
  </r>
  <r>
    <x v="0"/>
    <x v="159"/>
    <n v="254866"/>
    <n v="1329046516438.8999"/>
    <n v="88.251108461551894"/>
  </r>
  <r>
    <x v="0"/>
    <x v="160"/>
    <n v="255714"/>
    <n v="1351361414625.3799"/>
    <n v="88.230248086247997"/>
  </r>
  <r>
    <x v="0"/>
    <x v="161"/>
    <n v="256516"/>
    <n v="1373358197427.46"/>
    <n v="87.865863801511395"/>
  </r>
  <r>
    <x v="0"/>
    <x v="162"/>
    <n v="257355"/>
    <n v="1398518091938.25"/>
    <n v="87.487743805972798"/>
  </r>
  <r>
    <x v="0"/>
    <x v="163"/>
    <n v="258242"/>
    <n v="1423075259258.24"/>
    <n v="87.140811647425195"/>
  </r>
  <r>
    <x v="0"/>
    <x v="164"/>
    <n v="259130"/>
    <n v="1448620805507.53"/>
    <n v="86.510796921157194"/>
  </r>
  <r>
    <x v="0"/>
    <x v="165"/>
    <n v="259997"/>
    <n v="1473008966168.4399"/>
    <n v="85.833051674316295"/>
  </r>
  <r>
    <x v="0"/>
    <x v="166"/>
    <n v="260697"/>
    <n v="1503089126091.8101"/>
    <n v="85.086742611489598"/>
  </r>
  <r>
    <x v="0"/>
    <x v="167"/>
    <n v="261695"/>
    <n v="1536876729700.0601"/>
    <n v="84.306024365993395"/>
  </r>
  <r>
    <x v="0"/>
    <x v="168"/>
    <n v="262505"/>
    <n v="1561574734904.05"/>
    <n v="83.470443153985002"/>
  </r>
  <r>
    <x v="0"/>
    <x v="169"/>
    <n v="264223"/>
    <n v="1598687945829.1299"/>
    <n v="82.682961297469305"/>
  </r>
  <r>
    <x v="0"/>
    <x v="170"/>
    <n v="264813"/>
    <n v="1611864597529.54"/>
    <n v="82.174662693842194"/>
  </r>
  <r>
    <x v="0"/>
    <x v="171"/>
    <n v="265488"/>
    <n v="1627058464695.98"/>
    <n v="81.676845358394601"/>
  </r>
  <r>
    <x v="1"/>
    <x v="172"/>
    <n v="5"/>
    <n v="12238945.18"/>
    <n v="100"/>
  </r>
  <r>
    <x v="0"/>
    <x v="172"/>
    <n v="266516"/>
    <n v="1649023403524.3301"/>
    <n v="81.222261870160196"/>
  </r>
  <r>
    <x v="0"/>
    <x v="173"/>
    <n v="267221"/>
    <n v="1672012270673.77"/>
    <n v="80.765426662454104"/>
  </r>
  <r>
    <x v="1"/>
    <x v="173"/>
    <n v="11"/>
    <n v="431216401.19999999"/>
    <n v="100"/>
  </r>
  <r>
    <x v="0"/>
    <x v="174"/>
    <n v="267777"/>
    <n v="1682374180043.9399"/>
    <n v="80.184063498883503"/>
  </r>
  <r>
    <x v="1"/>
    <x v="174"/>
    <n v="15"/>
    <n v="2102895357.54"/>
    <n v="100"/>
  </r>
  <r>
    <x v="0"/>
    <x v="175"/>
    <n v="268301"/>
    <n v="1690709203256.04"/>
    <n v="79.547588593466699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52793329877005"/>
  </r>
  <r>
    <x v="1"/>
    <x v="177"/>
    <n v="33"/>
    <n v="7594722445.1199999"/>
    <n v="99.905810201199898"/>
  </r>
  <r>
    <x v="0"/>
    <x v="177"/>
    <n v="269586"/>
    <n v="1715320900515.99"/>
    <n v="77.365069847559795"/>
  </r>
  <r>
    <x v="1"/>
    <x v="178"/>
    <n v="33"/>
    <n v="7455294762.29"/>
    <n v="99.003374509470504"/>
  </r>
  <r>
    <x v="0"/>
    <x v="178"/>
    <n v="269880"/>
    <n v="1722159821907.24"/>
    <n v="76.073411207412406"/>
  </r>
  <r>
    <x v="0"/>
    <x v="179"/>
    <n v="270476"/>
    <n v="1743795423653.5901"/>
    <n v="75.8452530167921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6892030611096"/>
  </r>
  <r>
    <x v="1"/>
    <x v="181"/>
    <n v="57"/>
    <n v="7517545111.1499996"/>
    <n v="94.6088299083424"/>
  </r>
  <r>
    <x v="0"/>
    <x v="181"/>
    <n v="271227"/>
    <n v="1754532172587.8201"/>
    <n v="75.0343936997794"/>
  </r>
  <r>
    <x v="1"/>
    <x v="182"/>
    <n v="80"/>
    <n v="7812894988.0100002"/>
    <n v="95.333617221941296"/>
  </r>
  <r>
    <x v="0"/>
    <x v="182"/>
    <n v="271839"/>
    <n v="1783832899325.1899"/>
    <n v="75.645218218977107"/>
  </r>
  <r>
    <x v="0"/>
    <x v="183"/>
    <n v="272056"/>
    <n v="1788604982272.3999"/>
    <n v="75.952224157883407"/>
  </r>
  <r>
    <x v="1"/>
    <x v="183"/>
    <n v="94"/>
    <n v="7929838117.7600002"/>
    <n v="95.8509551304155"/>
  </r>
  <r>
    <x v="0"/>
    <x v="184"/>
    <n v="272638"/>
    <n v="1851247613799.7"/>
    <n v="76.473711675546596"/>
  </r>
  <r>
    <x v="1"/>
    <x v="184"/>
    <n v="131"/>
    <n v="14236149645.15"/>
    <n v="97.980131804413205"/>
  </r>
  <r>
    <x v="0"/>
    <x v="185"/>
    <n v="273233"/>
    <n v="1892906083080.45"/>
    <n v="76.838599335138198"/>
  </r>
  <r>
    <x v="1"/>
    <x v="185"/>
    <n v="168"/>
    <n v="15653598327.879999"/>
    <n v="98.7253579000879"/>
  </r>
  <r>
    <x v="0"/>
    <x v="186"/>
    <n v="273609"/>
    <n v="1911210202909.05"/>
    <n v="77.094317575543798"/>
  </r>
  <r>
    <x v="1"/>
    <x v="186"/>
    <n v="188"/>
    <n v="16210075077.32"/>
    <n v="98.8230666896728"/>
  </r>
  <r>
    <x v="0"/>
    <x v="187"/>
    <n v="273811"/>
    <n v="1922329055650.49"/>
    <n v="77.3685526850023"/>
  </r>
  <r>
    <x v="1"/>
    <x v="187"/>
    <n v="222"/>
    <n v="17522334402.939999"/>
    <n v="98.695782286409894"/>
  </r>
  <r>
    <x v="0"/>
    <x v="188"/>
    <n v="274246"/>
    <n v="1936230379188.45"/>
    <n v="77.387977553334807"/>
  </r>
  <r>
    <x v="1"/>
    <x v="188"/>
    <n v="266"/>
    <n v="20636621094.560001"/>
    <n v="98.540317138490195"/>
  </r>
  <r>
    <x v="0"/>
    <x v="189"/>
    <n v="274530"/>
    <n v="1935224752959.1399"/>
    <n v="77.333820337888199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202320247602898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635367766699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7007725357304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809359131896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433149746001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76010927095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900343688959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113741626904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1149217187995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1088972242302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8157255191397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7556028125703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69860640407802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368336106199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1094426219103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8197552330795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6412911496002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4996136443401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2134277436204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1557634820504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5137337534796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4317639036896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69991769635993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39500483426602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708694354760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7724271091195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7576049473095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036281162095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29993356071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5092139472702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05412406891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7412037087793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5332346643406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6887782603397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88936208761601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3652330818399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66679674424603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9.974651473287395"/>
  </r>
  <r>
    <x v="2"/>
    <x v="227"/>
    <n v="1194"/>
    <n v="33051971704.52"/>
    <n v="2.1648676617129001"/>
  </r>
  <r>
    <x v="3"/>
    <x v="227"/>
    <n v="493"/>
    <n v="22634123601.41"/>
    <n v="16.901075314741"/>
  </r>
  <r>
    <x v="1"/>
    <x v="227"/>
    <n v="1864"/>
    <n v="59324750524.360001"/>
    <n v="99.294132324663593"/>
  </r>
  <r>
    <x v="0"/>
    <x v="228"/>
    <n v="295747"/>
    <n v="1641408813705.6101"/>
    <n v="87.844728598366004"/>
  </r>
  <r>
    <x v="2"/>
    <x v="228"/>
    <n v="1265"/>
    <n v="35343557017.519997"/>
    <n v="3.3608537685228201"/>
  </r>
  <r>
    <x v="3"/>
    <x v="228"/>
    <n v="572"/>
    <n v="25710780014.439999"/>
    <n v="14.852601716034901"/>
  </r>
  <r>
    <x v="1"/>
    <x v="228"/>
    <n v="1890"/>
    <n v="59341253640.129997"/>
    <n v="94.246603354553102"/>
  </r>
  <r>
    <x v="0"/>
    <x v="229"/>
    <n v="296480"/>
    <n v="1639099306167.1299"/>
    <n v="85.618183557124496"/>
  </r>
  <r>
    <x v="2"/>
    <x v="229"/>
    <n v="1335"/>
    <n v="37312888521.379997"/>
    <n v="4.5415904074526301"/>
  </r>
  <r>
    <x v="3"/>
    <x v="229"/>
    <n v="639"/>
    <n v="27919269484.799999"/>
    <n v="13.6470971562931"/>
  </r>
  <r>
    <x v="1"/>
    <x v="229"/>
    <n v="1907"/>
    <n v="58273862919.07"/>
    <n v="90.8562420454696"/>
  </r>
  <r>
    <x v="0"/>
    <x v="230"/>
    <n v="296774"/>
    <n v="1632928605681.1299"/>
    <n v="84.380104512596802"/>
  </r>
  <r>
    <x v="2"/>
    <x v="230"/>
    <n v="1395"/>
    <n v="39156032691.959999"/>
    <n v="8.1576534952761008"/>
  </r>
  <r>
    <x v="3"/>
    <x v="230"/>
    <n v="704"/>
    <n v="30041763432.959999"/>
    <n v="12.6532882663273"/>
  </r>
  <r>
    <x v="1"/>
    <x v="230"/>
    <n v="1927"/>
    <n v="57984952680.769997"/>
    <n v="87.242006959368496"/>
  </r>
  <r>
    <x v="0"/>
    <x v="231"/>
    <n v="297206"/>
    <n v="1630926522634.1799"/>
    <n v="82.674152145397002"/>
  </r>
  <r>
    <x v="2"/>
    <x v="231"/>
    <n v="1447"/>
    <n v="41135466403"/>
    <n v="12.370699930371501"/>
  </r>
  <r>
    <x v="3"/>
    <x v="231"/>
    <n v="760"/>
    <n v="32087573394.82"/>
    <n v="11.808332023176099"/>
  </r>
  <r>
    <x v="1"/>
    <x v="231"/>
    <n v="1940"/>
    <n v="57919460773.599998"/>
    <n v="83.372746072587503"/>
  </r>
  <r>
    <x v="0"/>
    <x v="232"/>
    <n v="297478"/>
    <n v="1634172612883.0801"/>
    <n v="80.572176750309694"/>
  </r>
  <r>
    <x v="2"/>
    <x v="232"/>
    <n v="1489"/>
    <n v="42553384727.230003"/>
    <n v="17.480832314631101"/>
  </r>
  <r>
    <x v="3"/>
    <x v="232"/>
    <n v="806"/>
    <n v="33554081959.810001"/>
    <n v="11.2517378647971"/>
  </r>
  <r>
    <x v="1"/>
    <x v="232"/>
    <n v="1951"/>
    <n v="57743623776.370003"/>
    <n v="79.922682239152294"/>
  </r>
  <r>
    <x v="0"/>
    <x v="233"/>
    <n v="297713"/>
    <n v="1630715136837.8301"/>
    <n v="78.428680378496296"/>
  </r>
  <r>
    <x v="2"/>
    <x v="233"/>
    <n v="1527"/>
    <n v="44044353148.919998"/>
    <n v="20.269741256700101"/>
  </r>
  <r>
    <x v="3"/>
    <x v="233"/>
    <n v="846"/>
    <n v="34996952153.550003"/>
    <n v="10.7410741601777"/>
  </r>
  <r>
    <x v="1"/>
    <x v="233"/>
    <n v="1967"/>
    <n v="57562689788.809998"/>
    <n v="75.878918191173895"/>
  </r>
  <r>
    <x v="0"/>
    <x v="234"/>
    <n v="297745"/>
    <n v="1635352864892.78"/>
    <n v="76.125049448351305"/>
  </r>
  <r>
    <x v="2"/>
    <x v="234"/>
    <n v="1571"/>
    <n v="45268306712.739998"/>
    <n v="23.296294011509602"/>
  </r>
  <r>
    <x v="3"/>
    <x v="234"/>
    <n v="890"/>
    <n v="36201078184.980003"/>
    <n v="10.3325509295261"/>
  </r>
  <r>
    <x v="1"/>
    <x v="234"/>
    <n v="1980"/>
    <n v="57358795381.5"/>
    <n v="72.636014508700299"/>
  </r>
  <r>
    <x v="0"/>
    <x v="235"/>
    <n v="297935"/>
    <n v="1638979706834.8101"/>
    <n v="74.079782525962401"/>
  </r>
  <r>
    <x v="2"/>
    <x v="235"/>
    <n v="1617"/>
    <n v="46324942815.470001"/>
    <n v="26.1122966101385"/>
  </r>
  <r>
    <x v="3"/>
    <x v="235"/>
    <n v="939"/>
    <n v="37243354893.68"/>
    <n v="9.9995437676868502"/>
  </r>
  <r>
    <x v="1"/>
    <x v="235"/>
    <n v="2002"/>
    <n v="57378888746.93"/>
    <n v="70.053828937590694"/>
  </r>
  <r>
    <x v="0"/>
    <x v="236"/>
    <n v="298051"/>
    <n v="1644012668533.9099"/>
    <n v="72.329571310516798"/>
  </r>
  <r>
    <x v="2"/>
    <x v="236"/>
    <n v="1660"/>
    <n v="47014770367.400002"/>
    <n v="25.8785292243907"/>
  </r>
  <r>
    <x v="3"/>
    <x v="236"/>
    <n v="980"/>
    <n v="37852364380.050003"/>
    <n v="9.8058320360714397"/>
  </r>
  <r>
    <x v="1"/>
    <x v="236"/>
    <n v="2022"/>
    <n v="57356413673.699997"/>
    <n v="68.487570082774795"/>
  </r>
  <r>
    <x v="0"/>
    <x v="237"/>
    <n v="298245"/>
    <n v="1652973739227.2"/>
    <n v="70.8048737579186"/>
  </r>
  <r>
    <x v="2"/>
    <x v="237"/>
    <n v="1704"/>
    <n v="47554737040.699997"/>
    <n v="25.973004409562598"/>
  </r>
  <r>
    <x v="3"/>
    <x v="237"/>
    <n v="1016"/>
    <n v="38288256348.959999"/>
    <n v="8.2969781559221598"/>
  </r>
  <r>
    <x v="1"/>
    <x v="237"/>
    <n v="2039"/>
    <n v="57531922542.139999"/>
    <n v="67.234365902755002"/>
  </r>
  <r>
    <x v="0"/>
    <x v="238"/>
    <n v="298380"/>
    <n v="1657289777281.8"/>
    <n v="69.578707759217593"/>
  </r>
  <r>
    <x v="2"/>
    <x v="238"/>
    <n v="1735"/>
    <n v="47935165709.389999"/>
    <n v="25.9792525373046"/>
  </r>
  <r>
    <x v="3"/>
    <x v="238"/>
    <n v="1053"/>
    <n v="38615010697.739998"/>
    <n v="8.2011373099446807"/>
  </r>
  <r>
    <x v="1"/>
    <x v="238"/>
    <n v="2050"/>
    <n v="57672150701.269997"/>
    <n v="66.175867700570606"/>
  </r>
  <r>
    <x v="0"/>
    <x v="239"/>
    <n v="298565"/>
    <n v="1661238948532.75"/>
    <n v="95.177249318432899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4061528158905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292006393999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4305483368406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6269185181806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6033041890004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0095780891694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1890088667901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214952377506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036768316501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082498600395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5437615180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261485592995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7235313940703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977028511897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862288850998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2778784733398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622612304050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8044783022299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84208940580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5666634220797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8513574756802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686906103770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6750557718397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62339576802606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12240390125399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52895719941105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6816420616695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54882452379994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6680650312899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43503024039299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8876053191496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24472322563096"/>
  </r>
  <r>
    <x v="3"/>
    <x v="271"/>
    <n v="1385"/>
    <n v="34088680556.189999"/>
    <n v="32.365645146389099"/>
  </r>
  <r>
    <x v="0"/>
    <x v="272"/>
    <n v="311376"/>
    <n v="1794130472303.8501"/>
    <n v="97.3691235805151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  <r>
    <x v="4"/>
    <x v="273"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38767150864894"/>
  </r>
  <r>
    <x v="0"/>
    <x v="25"/>
    <n v="149785"/>
    <n v="346545445220.38"/>
    <n v="87.594845967040499"/>
  </r>
  <r>
    <x v="0"/>
    <x v="26"/>
    <n v="150727"/>
    <n v="350465555808.21997"/>
    <n v="87.539967592249894"/>
  </r>
  <r>
    <x v="0"/>
    <x v="27"/>
    <n v="151726"/>
    <n v="354683248452.60999"/>
    <n v="87.489480388748106"/>
  </r>
  <r>
    <x v="0"/>
    <x v="28"/>
    <n v="152681"/>
    <n v="359153508694.62"/>
    <n v="87.350495031270199"/>
  </r>
  <r>
    <x v="0"/>
    <x v="29"/>
    <n v="153592"/>
    <n v="364145909105.21997"/>
    <n v="87.267047573837701"/>
  </r>
  <r>
    <x v="0"/>
    <x v="30"/>
    <n v="154353"/>
    <n v="367843583423.22998"/>
    <n v="87.210539200854996"/>
  </r>
  <r>
    <x v="0"/>
    <x v="31"/>
    <n v="155081"/>
    <n v="370513413856.09998"/>
    <n v="87.167279038064095"/>
  </r>
  <r>
    <x v="0"/>
    <x v="32"/>
    <n v="155900"/>
    <n v="375154945459.59998"/>
    <n v="87.123162675638994"/>
  </r>
  <r>
    <x v="0"/>
    <x v="33"/>
    <n v="156553"/>
    <n v="378164550622.22998"/>
    <n v="87.087522316105904"/>
  </r>
  <r>
    <x v="0"/>
    <x v="34"/>
    <n v="157183"/>
    <n v="380573155397.19"/>
    <n v="87.0656198392345"/>
  </r>
  <r>
    <x v="0"/>
    <x v="35"/>
    <n v="157961"/>
    <n v="383579286284.32001"/>
    <n v="87.062966482800604"/>
  </r>
  <r>
    <x v="0"/>
    <x v="36"/>
    <n v="158587"/>
    <n v="385622880966.02002"/>
    <n v="87.059408290327397"/>
  </r>
  <r>
    <x v="0"/>
    <x v="37"/>
    <n v="159328"/>
    <n v="388944585913.88"/>
    <n v="87.054438717454104"/>
  </r>
  <r>
    <x v="0"/>
    <x v="38"/>
    <n v="160031"/>
    <n v="391996345649.14001"/>
    <n v="87.025258187068502"/>
  </r>
  <r>
    <x v="0"/>
    <x v="39"/>
    <n v="160667"/>
    <n v="394401986179.65997"/>
    <n v="87.004006927359995"/>
  </r>
  <r>
    <x v="0"/>
    <x v="40"/>
    <n v="161332"/>
    <n v="397650299517.78003"/>
    <n v="86.986453200166395"/>
  </r>
  <r>
    <x v="0"/>
    <x v="41"/>
    <n v="161858"/>
    <n v="399661358461.85999"/>
    <n v="86.982191542632094"/>
  </r>
  <r>
    <x v="0"/>
    <x v="42"/>
    <n v="162531"/>
    <n v="402473247826.06"/>
    <n v="86.972078296439406"/>
  </r>
  <r>
    <x v="0"/>
    <x v="43"/>
    <n v="163328"/>
    <n v="407135000510.78003"/>
    <n v="86.955910142215103"/>
  </r>
  <r>
    <x v="0"/>
    <x v="44"/>
    <n v="164171"/>
    <n v="410957899203.09998"/>
    <n v="86.984600527235798"/>
  </r>
  <r>
    <x v="0"/>
    <x v="45"/>
    <n v="164998"/>
    <n v="415578143387.42999"/>
    <n v="87.025177185626802"/>
  </r>
  <r>
    <x v="0"/>
    <x v="46"/>
    <n v="165889"/>
    <n v="420442181020.82001"/>
    <n v="87.073142319824697"/>
  </r>
  <r>
    <x v="0"/>
    <x v="47"/>
    <n v="166964"/>
    <n v="425507008058.42999"/>
    <n v="87.1078188133216"/>
  </r>
  <r>
    <x v="0"/>
    <x v="48"/>
    <n v="167888"/>
    <n v="430133364045.90002"/>
    <n v="87.143070069308706"/>
  </r>
  <r>
    <x v="0"/>
    <x v="49"/>
    <n v="169006"/>
    <n v="436014643807.73999"/>
    <n v="87.197946791622797"/>
  </r>
  <r>
    <x v="0"/>
    <x v="50"/>
    <n v="170201"/>
    <n v="440572182741.69"/>
    <n v="87.305434648596503"/>
  </r>
  <r>
    <x v="0"/>
    <x v="51"/>
    <n v="171456"/>
    <n v="447378001346.06"/>
    <n v="87.413509283619604"/>
  </r>
  <r>
    <x v="0"/>
    <x v="52"/>
    <n v="172582"/>
    <n v="454600787180.84998"/>
    <n v="87.526915309829405"/>
  </r>
  <r>
    <x v="0"/>
    <x v="53"/>
    <n v="173773"/>
    <n v="463337515393.27002"/>
    <n v="87.638456668359098"/>
  </r>
  <r>
    <x v="0"/>
    <x v="54"/>
    <n v="174901"/>
    <n v="473963930458.06"/>
    <n v="87.724912237343602"/>
  </r>
  <r>
    <x v="0"/>
    <x v="55"/>
    <n v="175971"/>
    <n v="482637195788"/>
    <n v="87.832739251962806"/>
  </r>
  <r>
    <x v="0"/>
    <x v="56"/>
    <n v="177221"/>
    <n v="492759677673.42999"/>
    <n v="87.942232411340498"/>
  </r>
  <r>
    <x v="0"/>
    <x v="57"/>
    <n v="178640"/>
    <n v="502211629634.06"/>
    <n v="88.017618281853103"/>
  </r>
  <r>
    <x v="0"/>
    <x v="58"/>
    <n v="179937"/>
    <n v="508860817728.65997"/>
    <n v="88.133848620739698"/>
  </r>
  <r>
    <x v="0"/>
    <x v="59"/>
    <n v="181535"/>
    <n v="519181595242.40002"/>
    <n v="88.268845561107099"/>
  </r>
  <r>
    <x v="0"/>
    <x v="60"/>
    <n v="183021"/>
    <n v="529266546073.46997"/>
    <n v="88.371028887467702"/>
  </r>
  <r>
    <x v="0"/>
    <x v="61"/>
    <n v="184355"/>
    <n v="540755542094.21002"/>
    <n v="88.461997150246802"/>
  </r>
  <r>
    <x v="0"/>
    <x v="62"/>
    <n v="185605"/>
    <n v="549750472653.34998"/>
    <n v="88.552277416830094"/>
  </r>
  <r>
    <x v="0"/>
    <x v="63"/>
    <n v="186717"/>
    <n v="556506175459.81006"/>
    <n v="88.616249219703406"/>
  </r>
  <r>
    <x v="0"/>
    <x v="64"/>
    <n v="187662"/>
    <n v="563458838273"/>
    <n v="88.701786724976003"/>
  </r>
  <r>
    <x v="0"/>
    <x v="65"/>
    <n v="188811"/>
    <n v="572204607933.89001"/>
    <n v="88.776666682162897"/>
  </r>
  <r>
    <x v="0"/>
    <x v="66"/>
    <n v="189841"/>
    <n v="579291469300.42004"/>
    <n v="88.858935065052705"/>
  </r>
  <r>
    <x v="0"/>
    <x v="67"/>
    <n v="190764"/>
    <n v="587347551657.76001"/>
    <n v="88.909829601185507"/>
  </r>
  <r>
    <x v="0"/>
    <x v="68"/>
    <n v="191769"/>
    <n v="595358056585.48999"/>
    <n v="88.953006916878294"/>
  </r>
  <r>
    <x v="0"/>
    <x v="69"/>
    <n v="192676"/>
    <n v="603335784202.89001"/>
    <n v="88.969458461210493"/>
  </r>
  <r>
    <x v="0"/>
    <x v="70"/>
    <n v="193594"/>
    <n v="608661813729.64001"/>
    <n v="88.9935458383991"/>
  </r>
  <r>
    <x v="0"/>
    <x v="71"/>
    <n v="194574"/>
    <n v="614730545023.56995"/>
    <n v="89.029423027295195"/>
  </r>
  <r>
    <x v="0"/>
    <x v="72"/>
    <n v="195521"/>
    <n v="620175920606.63"/>
    <n v="89.055375332177803"/>
  </r>
  <r>
    <x v="0"/>
    <x v="73"/>
    <n v="196302"/>
    <n v="625373224000.52002"/>
    <n v="89.044163096928699"/>
  </r>
  <r>
    <x v="0"/>
    <x v="74"/>
    <n v="197211"/>
    <n v="628789317108.88"/>
    <n v="89.039825594486302"/>
  </r>
  <r>
    <x v="0"/>
    <x v="75"/>
    <n v="198200"/>
    <n v="633466085432.80005"/>
    <n v="89.026476151107701"/>
  </r>
  <r>
    <x v="0"/>
    <x v="76"/>
    <n v="199277"/>
    <n v="638637756539.06006"/>
    <n v="89.031220220895094"/>
  </r>
  <r>
    <x v="0"/>
    <x v="77"/>
    <n v="200318"/>
    <n v="644319934151.05005"/>
    <n v="89.029479467077394"/>
  </r>
  <r>
    <x v="0"/>
    <x v="78"/>
    <n v="201523"/>
    <n v="650241592057.52002"/>
    <n v="89.027793769900796"/>
  </r>
  <r>
    <x v="0"/>
    <x v="79"/>
    <n v="202877"/>
    <n v="659140528287.64001"/>
    <n v="89.029976588477396"/>
  </r>
  <r>
    <x v="0"/>
    <x v="80"/>
    <n v="204126"/>
    <n v="667771708329.09998"/>
    <n v="89.028320655818106"/>
  </r>
  <r>
    <x v="0"/>
    <x v="81"/>
    <n v="205336"/>
    <n v="678145982258.65002"/>
    <n v="88.993590812684104"/>
  </r>
  <r>
    <x v="0"/>
    <x v="82"/>
    <n v="206553"/>
    <n v="688667464062.68005"/>
    <n v="89.008163209273107"/>
  </r>
  <r>
    <x v="0"/>
    <x v="83"/>
    <n v="207893"/>
    <n v="700106336980.84998"/>
    <n v="88.942051083775397"/>
  </r>
  <r>
    <x v="0"/>
    <x v="84"/>
    <n v="209121"/>
    <n v="711936410692.26001"/>
    <n v="88.931005343214395"/>
  </r>
  <r>
    <x v="0"/>
    <x v="85"/>
    <n v="210670"/>
    <n v="724159427993.80005"/>
    <n v="88.933954385904102"/>
  </r>
  <r>
    <x v="0"/>
    <x v="86"/>
    <n v="212403"/>
    <n v="737131621054.80005"/>
    <n v="88.886761252337195"/>
  </r>
  <r>
    <x v="0"/>
    <x v="87"/>
    <n v="214231"/>
    <n v="752556214855.22998"/>
    <n v="88.841547746600398"/>
  </r>
  <r>
    <x v="0"/>
    <x v="88"/>
    <n v="216060"/>
    <n v="768634381863"/>
    <n v="88.794389672061001"/>
  </r>
  <r>
    <x v="0"/>
    <x v="89"/>
    <n v="217775"/>
    <n v="783899597190.81006"/>
    <n v="88.744071357624804"/>
  </r>
  <r>
    <x v="0"/>
    <x v="90"/>
    <n v="219337"/>
    <n v="800219895172"/>
    <n v="88.666839367494205"/>
  </r>
  <r>
    <x v="0"/>
    <x v="91"/>
    <n v="220863"/>
    <n v="816276961683.10999"/>
    <n v="88.610441077865104"/>
  </r>
  <r>
    <x v="0"/>
    <x v="92"/>
    <n v="222193"/>
    <n v="829340407712.87"/>
    <n v="88.515355981039605"/>
  </r>
  <r>
    <x v="0"/>
    <x v="93"/>
    <n v="223572"/>
    <n v="841081375122.14001"/>
    <n v="88.4341878741795"/>
  </r>
  <r>
    <x v="0"/>
    <x v="94"/>
    <n v="225055"/>
    <n v="853354387292.38"/>
    <n v="88.351837777550898"/>
  </r>
  <r>
    <x v="0"/>
    <x v="95"/>
    <n v="226605"/>
    <n v="865009341307.27002"/>
    <n v="88.229123870524603"/>
  </r>
  <r>
    <x v="0"/>
    <x v="96"/>
    <n v="227719"/>
    <n v="868002653952.68994"/>
    <n v="88.137161073820906"/>
  </r>
  <r>
    <x v="0"/>
    <x v="97"/>
    <n v="228962"/>
    <n v="879696484692.43994"/>
    <n v="88.053296226191506"/>
  </r>
  <r>
    <x v="0"/>
    <x v="98"/>
    <n v="229290"/>
    <n v="891137066963.31006"/>
    <n v="87.969078988211294"/>
  </r>
  <r>
    <x v="0"/>
    <x v="99"/>
    <n v="230242"/>
    <n v="898079497234.46997"/>
    <n v="87.858926286424307"/>
  </r>
  <r>
    <x v="0"/>
    <x v="100"/>
    <n v="231200"/>
    <n v="906196770233.09998"/>
    <n v="87.757985249224404"/>
  </r>
  <r>
    <x v="0"/>
    <x v="101"/>
    <n v="232155"/>
    <n v="915306614991.16003"/>
    <n v="87.656004456856095"/>
  </r>
  <r>
    <x v="0"/>
    <x v="102"/>
    <n v="232988"/>
    <n v="924210879564.21997"/>
    <n v="87.562530177691499"/>
  </r>
  <r>
    <x v="0"/>
    <x v="103"/>
    <n v="234029"/>
    <n v="933451662668.81006"/>
    <n v="87.452257702126204"/>
  </r>
  <r>
    <x v="0"/>
    <x v="104"/>
    <n v="235250"/>
    <n v="939163115315.12"/>
    <n v="87.353433582665104"/>
  </r>
  <r>
    <x v="0"/>
    <x v="105"/>
    <n v="236280"/>
    <n v="950835871010.5"/>
    <n v="87.257450282460198"/>
  </r>
  <r>
    <x v="0"/>
    <x v="106"/>
    <n v="237080"/>
    <n v="948704633830.25"/>
    <n v="87.172606718407806"/>
  </r>
  <r>
    <x v="0"/>
    <x v="107"/>
    <n v="238095"/>
    <n v="952529753121.88"/>
    <n v="87.129265497458803"/>
  </r>
  <r>
    <x v="0"/>
    <x v="108"/>
    <n v="238988"/>
    <n v="962426850688.71997"/>
    <n v="87.109877746218899"/>
  </r>
  <r>
    <x v="0"/>
    <x v="109"/>
    <n v="239791"/>
    <n v="971889246408.43994"/>
    <n v="87.087420386953795"/>
  </r>
  <r>
    <x v="0"/>
    <x v="110"/>
    <n v="240505"/>
    <n v="981397635555.85999"/>
    <n v="87.084098887905398"/>
  </r>
  <r>
    <x v="0"/>
    <x v="111"/>
    <n v="241199"/>
    <n v="998455877100.01001"/>
    <n v="86.714556900057502"/>
  </r>
  <r>
    <x v="0"/>
    <x v="112"/>
    <n v="241528"/>
    <n v="1000338175794.87"/>
    <n v="86.530358046206302"/>
  </r>
  <r>
    <x v="0"/>
    <x v="113"/>
    <n v="242127"/>
    <n v="1015393774840.89"/>
    <n v="86.599883508001298"/>
  </r>
  <r>
    <x v="0"/>
    <x v="114"/>
    <n v="242806"/>
    <n v="1022403673721.74"/>
    <n v="86.621576475268597"/>
  </r>
  <r>
    <x v="0"/>
    <x v="115"/>
    <n v="243055"/>
    <n v="1011345079983.45"/>
    <n v="86.638988421167994"/>
  </r>
  <r>
    <x v="0"/>
    <x v="116"/>
    <n v="243087"/>
    <n v="1018746952300.48"/>
    <n v="86.6565435457061"/>
  </r>
  <r>
    <x v="0"/>
    <x v="117"/>
    <n v="242823"/>
    <n v="1022881900552.3199"/>
    <n v="86.623627534214194"/>
  </r>
  <r>
    <x v="0"/>
    <x v="118"/>
    <n v="242568"/>
    <n v="1029221486063.8"/>
    <n v="86.610717721113502"/>
  </r>
  <r>
    <x v="0"/>
    <x v="119"/>
    <n v="242944"/>
    <n v="1041578015793.9"/>
    <n v="86.490801222106697"/>
  </r>
  <r>
    <x v="0"/>
    <x v="120"/>
    <n v="242958"/>
    <n v="1046154494968.26"/>
    <n v="86.500345845228196"/>
  </r>
  <r>
    <x v="0"/>
    <x v="121"/>
    <n v="243244"/>
    <n v="1054228745365.45"/>
    <n v="86.591246002301901"/>
  </r>
  <r>
    <x v="0"/>
    <x v="122"/>
    <n v="243458"/>
    <n v="1054419241918.8"/>
    <n v="86.6936382398993"/>
  </r>
  <r>
    <x v="0"/>
    <x v="123"/>
    <n v="243458"/>
    <n v="1053489210318.27"/>
    <n v="86.7638962162914"/>
  </r>
  <r>
    <x v="0"/>
    <x v="124"/>
    <n v="243206"/>
    <n v="1042475819587.54"/>
    <n v="86.843761341058695"/>
  </r>
  <r>
    <x v="0"/>
    <x v="125"/>
    <n v="243206"/>
    <n v="1043034371136.61"/>
    <n v="86.951509448135894"/>
  </r>
  <r>
    <x v="0"/>
    <x v="126"/>
    <n v="243079"/>
    <n v="1042526892174.13"/>
    <n v="87.063014023675905"/>
  </r>
  <r>
    <x v="0"/>
    <x v="127"/>
    <n v="243049"/>
    <n v="1043715265049.05"/>
    <n v="87.146844314777596"/>
  </r>
  <r>
    <x v="0"/>
    <x v="128"/>
    <n v="243211"/>
    <n v="1047052334367.59"/>
    <n v="87.209672701657695"/>
  </r>
  <r>
    <x v="0"/>
    <x v="129"/>
    <n v="243358"/>
    <n v="1046559366288.4301"/>
    <n v="87.268068654338407"/>
  </r>
  <r>
    <x v="0"/>
    <x v="130"/>
    <n v="243520"/>
    <n v="1046116620723.4399"/>
    <n v="87.364569637615503"/>
  </r>
  <r>
    <x v="0"/>
    <x v="131"/>
    <n v="243723"/>
    <n v="1045661950289.12"/>
    <n v="87.456943654591001"/>
  </r>
  <r>
    <x v="0"/>
    <x v="132"/>
    <n v="243770"/>
    <n v="1045305106228.61"/>
    <n v="87.544134636964202"/>
  </r>
  <r>
    <x v="0"/>
    <x v="133"/>
    <n v="243919"/>
    <n v="1047019150198.85"/>
    <n v="87.639782044724896"/>
  </r>
  <r>
    <x v="0"/>
    <x v="134"/>
    <n v="244114"/>
    <n v="1048394573900.75"/>
    <n v="86.998545907648506"/>
  </r>
  <r>
    <x v="0"/>
    <x v="135"/>
    <n v="244026"/>
    <n v="1046716620858.74"/>
    <n v="87.070158300687197"/>
  </r>
  <r>
    <x v="0"/>
    <x v="136"/>
    <n v="244112"/>
    <n v="1051148406451.9301"/>
    <n v="87.098433188484606"/>
  </r>
  <r>
    <x v="0"/>
    <x v="137"/>
    <n v="244290"/>
    <n v="1055396152979.1"/>
    <n v="87.9459395061577"/>
  </r>
  <r>
    <x v="0"/>
    <x v="138"/>
    <n v="244376"/>
    <n v="1062568967389.26"/>
    <n v="88.022032441905296"/>
  </r>
  <r>
    <x v="0"/>
    <x v="139"/>
    <n v="244769"/>
    <n v="1071676798504.13"/>
    <n v="88.124632886633407"/>
  </r>
  <r>
    <x v="0"/>
    <x v="140"/>
    <n v="245103"/>
    <n v="1083168990542.87"/>
    <n v="88.184165619189002"/>
  </r>
  <r>
    <x v="0"/>
    <x v="141"/>
    <n v="245417"/>
    <n v="1092258150495.95"/>
    <n v="88.253865925312297"/>
  </r>
  <r>
    <x v="0"/>
    <x v="142"/>
    <n v="245734"/>
    <n v="1101714404588.9399"/>
    <n v="88.310544229910604"/>
  </r>
  <r>
    <x v="0"/>
    <x v="143"/>
    <n v="246265"/>
    <n v="1111269349920.8401"/>
    <n v="88.375512309580699"/>
  </r>
  <r>
    <x v="0"/>
    <x v="144"/>
    <n v="246636"/>
    <n v="1122419326727.3401"/>
    <n v="88.411336628136198"/>
  </r>
  <r>
    <x v="0"/>
    <x v="145"/>
    <n v="247214"/>
    <n v="1132529092295.1799"/>
    <n v="88.483119825112595"/>
  </r>
  <r>
    <x v="0"/>
    <x v="146"/>
    <n v="247639"/>
    <n v="1142036164423.6499"/>
    <n v="88.552900051835806"/>
  </r>
  <r>
    <x v="0"/>
    <x v="147"/>
    <n v="248030"/>
    <n v="1155261788794.02"/>
    <n v="88.639814557968094"/>
  </r>
  <r>
    <x v="0"/>
    <x v="148"/>
    <n v="248548"/>
    <n v="1168142806797.22"/>
    <n v="88.686965237758798"/>
  </r>
  <r>
    <x v="0"/>
    <x v="149"/>
    <n v="248874"/>
    <n v="1181825510252.74"/>
    <n v="88.662003187691198"/>
  </r>
  <r>
    <x v="0"/>
    <x v="150"/>
    <n v="249248"/>
    <n v="1192430186515.3201"/>
    <n v="88.633184128491806"/>
  </r>
  <r>
    <x v="0"/>
    <x v="151"/>
    <n v="249885"/>
    <n v="1206782284664.1699"/>
    <n v="88.575908177825596"/>
  </r>
  <r>
    <x v="0"/>
    <x v="152"/>
    <n v="250428"/>
    <n v="1220415637263.49"/>
    <n v="88.490973230128603"/>
  </r>
  <r>
    <x v="0"/>
    <x v="153"/>
    <n v="250977"/>
    <n v="1240435866291.8799"/>
    <n v="88.425241161272297"/>
  </r>
  <r>
    <x v="0"/>
    <x v="154"/>
    <n v="251536"/>
    <n v="1253159977244.54"/>
    <n v="88.308333009149194"/>
  </r>
  <r>
    <x v="0"/>
    <x v="155"/>
    <n v="252197"/>
    <n v="1267753834052.5601"/>
    <n v="88.250993556478804"/>
  </r>
  <r>
    <x v="0"/>
    <x v="156"/>
    <n v="252755"/>
    <n v="1281899182108.53"/>
    <n v="88.231156768375001"/>
  </r>
  <r>
    <x v="0"/>
    <x v="157"/>
    <n v="253418"/>
    <n v="1297151286163.0601"/>
    <n v="88.191237844041098"/>
  </r>
  <r>
    <x v="0"/>
    <x v="158"/>
    <n v="254121"/>
    <n v="1313547803162.76"/>
    <n v="88.242387435627606"/>
  </r>
  <r>
    <x v="0"/>
    <x v="159"/>
    <n v="254866"/>
    <n v="1329046516438.8999"/>
    <n v="88.251108461551894"/>
  </r>
  <r>
    <x v="0"/>
    <x v="160"/>
    <n v="255714"/>
    <n v="1351361414625.3799"/>
    <n v="88.230248086247997"/>
  </r>
  <r>
    <x v="0"/>
    <x v="161"/>
    <n v="256516"/>
    <n v="1373358197427.46"/>
    <n v="87.865863801511395"/>
  </r>
  <r>
    <x v="0"/>
    <x v="162"/>
    <n v="257355"/>
    <n v="1398518091938.25"/>
    <n v="87.487743805972798"/>
  </r>
  <r>
    <x v="0"/>
    <x v="163"/>
    <n v="258242"/>
    <n v="1423075259258.24"/>
    <n v="87.140811647425195"/>
  </r>
  <r>
    <x v="0"/>
    <x v="164"/>
    <n v="259130"/>
    <n v="1448620805507.53"/>
    <n v="86.510796921157194"/>
  </r>
  <r>
    <x v="0"/>
    <x v="165"/>
    <n v="259997"/>
    <n v="1473008966168.4399"/>
    <n v="85.833051674316295"/>
  </r>
  <r>
    <x v="0"/>
    <x v="166"/>
    <n v="260697"/>
    <n v="1503089126091.8101"/>
    <n v="85.086742611489598"/>
  </r>
  <r>
    <x v="0"/>
    <x v="167"/>
    <n v="261695"/>
    <n v="1536876729700.0601"/>
    <n v="84.306024365993395"/>
  </r>
  <r>
    <x v="0"/>
    <x v="168"/>
    <n v="262505"/>
    <n v="1561574734904.05"/>
    <n v="83.470443153985002"/>
  </r>
  <r>
    <x v="0"/>
    <x v="169"/>
    <n v="264223"/>
    <n v="1598687945829.1299"/>
    <n v="82.682961297469305"/>
  </r>
  <r>
    <x v="0"/>
    <x v="170"/>
    <n v="264813"/>
    <n v="1611864597529.54"/>
    <n v="82.174662693842194"/>
  </r>
  <r>
    <x v="0"/>
    <x v="171"/>
    <n v="265488"/>
    <n v="1627058464695.98"/>
    <n v="81.676845358394601"/>
  </r>
  <r>
    <x v="1"/>
    <x v="172"/>
    <n v="5"/>
    <n v="12238945.18"/>
    <n v="100"/>
  </r>
  <r>
    <x v="0"/>
    <x v="172"/>
    <n v="266516"/>
    <n v="1649023403524.3301"/>
    <n v="81.222261870160196"/>
  </r>
  <r>
    <x v="0"/>
    <x v="173"/>
    <n v="267221"/>
    <n v="1672012270673.77"/>
    <n v="80.765426662454104"/>
  </r>
  <r>
    <x v="1"/>
    <x v="173"/>
    <n v="11"/>
    <n v="431216401.19999999"/>
    <n v="100"/>
  </r>
  <r>
    <x v="0"/>
    <x v="174"/>
    <n v="267777"/>
    <n v="1682374180043.9399"/>
    <n v="80.184063498883503"/>
  </r>
  <r>
    <x v="1"/>
    <x v="174"/>
    <n v="15"/>
    <n v="2102895357.54"/>
    <n v="100"/>
  </r>
  <r>
    <x v="0"/>
    <x v="175"/>
    <n v="268301"/>
    <n v="1690709203256.04"/>
    <n v="79.547588593466699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52793329877005"/>
  </r>
  <r>
    <x v="1"/>
    <x v="177"/>
    <n v="33"/>
    <n v="7594722445.1199999"/>
    <n v="99.905810201199898"/>
  </r>
  <r>
    <x v="0"/>
    <x v="177"/>
    <n v="269586"/>
    <n v="1715320900515.99"/>
    <n v="77.365069847559795"/>
  </r>
  <r>
    <x v="1"/>
    <x v="178"/>
    <n v="33"/>
    <n v="7455294762.29"/>
    <n v="99.003374509470504"/>
  </r>
  <r>
    <x v="0"/>
    <x v="178"/>
    <n v="269880"/>
    <n v="1722159821907.24"/>
    <n v="76.073411207412406"/>
  </r>
  <r>
    <x v="0"/>
    <x v="179"/>
    <n v="270476"/>
    <n v="1743795423653.5901"/>
    <n v="75.8452530167921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6892030611096"/>
  </r>
  <r>
    <x v="1"/>
    <x v="181"/>
    <n v="57"/>
    <n v="7517545111.1499996"/>
    <n v="94.6088299083424"/>
  </r>
  <r>
    <x v="0"/>
    <x v="181"/>
    <n v="271227"/>
    <n v="1754532172587.8201"/>
    <n v="75.0343936997794"/>
  </r>
  <r>
    <x v="1"/>
    <x v="182"/>
    <n v="80"/>
    <n v="7812894988.0100002"/>
    <n v="95.333617221941296"/>
  </r>
  <r>
    <x v="0"/>
    <x v="182"/>
    <n v="271839"/>
    <n v="1783832899325.1899"/>
    <n v="75.645218218977107"/>
  </r>
  <r>
    <x v="0"/>
    <x v="183"/>
    <n v="272056"/>
    <n v="1788604982272.3999"/>
    <n v="75.952224157883407"/>
  </r>
  <r>
    <x v="1"/>
    <x v="183"/>
    <n v="94"/>
    <n v="7929838117.7600002"/>
    <n v="95.8509551304155"/>
  </r>
  <r>
    <x v="0"/>
    <x v="184"/>
    <n v="272638"/>
    <n v="1851247613799.7"/>
    <n v="76.473711675546596"/>
  </r>
  <r>
    <x v="1"/>
    <x v="184"/>
    <n v="131"/>
    <n v="14236149645.15"/>
    <n v="97.980131804413205"/>
  </r>
  <r>
    <x v="0"/>
    <x v="185"/>
    <n v="273233"/>
    <n v="1892906083080.45"/>
    <n v="76.838599335138198"/>
  </r>
  <r>
    <x v="1"/>
    <x v="185"/>
    <n v="168"/>
    <n v="15653598327.879999"/>
    <n v="98.7253579000879"/>
  </r>
  <r>
    <x v="0"/>
    <x v="186"/>
    <n v="273609"/>
    <n v="1911210202909.05"/>
    <n v="77.094317575543798"/>
  </r>
  <r>
    <x v="1"/>
    <x v="186"/>
    <n v="188"/>
    <n v="16210075077.32"/>
    <n v="98.8230666896728"/>
  </r>
  <r>
    <x v="0"/>
    <x v="187"/>
    <n v="273811"/>
    <n v="1922329055650.49"/>
    <n v="77.3685526850023"/>
  </r>
  <r>
    <x v="1"/>
    <x v="187"/>
    <n v="222"/>
    <n v="17522334402.939999"/>
    <n v="98.695782286409894"/>
  </r>
  <r>
    <x v="0"/>
    <x v="188"/>
    <n v="274246"/>
    <n v="1936230379188.45"/>
    <n v="77.387977553334807"/>
  </r>
  <r>
    <x v="1"/>
    <x v="188"/>
    <n v="266"/>
    <n v="20636621094.560001"/>
    <n v="98.540317138490195"/>
  </r>
  <r>
    <x v="0"/>
    <x v="189"/>
    <n v="274530"/>
    <n v="1935224752959.1399"/>
    <n v="77.333820337888199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202320247602898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635367766699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7007725357304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809359131896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433149746001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76010927095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900343688959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113741626904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1149217187995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1088972242302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8157255191397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7556028125703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69860640407802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368336106199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1094426219103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8197552330795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6412911496002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4996136443401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2134277436204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1557634820504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5137337534796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4317639036896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69991769635993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39500483426602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708694354760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7724271091195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7576049473095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036281162095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29993356071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5092139472702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05412406891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7412037087793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5332346643406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6887782603397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88936208761601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3652330818399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66679674424603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7.206397262218601"/>
  </r>
  <r>
    <x v="2"/>
    <x v="227"/>
    <n v="1194"/>
    <n v="33051971704.52"/>
    <n v="15.363973920142699"/>
  </r>
  <r>
    <x v="3"/>
    <x v="227"/>
    <n v="493"/>
    <n v="22634123601.41"/>
    <n v="11.217204665673"/>
  </r>
  <r>
    <x v="1"/>
    <x v="227"/>
    <n v="1864"/>
    <n v="59324750524.360001"/>
    <n v="93.090964176680004"/>
  </r>
  <r>
    <x v="0"/>
    <x v="228"/>
    <n v="295747"/>
    <n v="1641408813705.6101"/>
    <n v="87.581728598102302"/>
  </r>
  <r>
    <x v="2"/>
    <x v="228"/>
    <n v="1265"/>
    <n v="35343557017.519997"/>
    <n v="15.944289026983601"/>
  </r>
  <r>
    <x v="3"/>
    <x v="228"/>
    <n v="572"/>
    <n v="25710780014.439999"/>
    <n v="10.989238090088699"/>
  </r>
  <r>
    <x v="1"/>
    <x v="228"/>
    <n v="1890"/>
    <n v="59341253640.129997"/>
    <n v="93.1870653577882"/>
  </r>
  <r>
    <x v="0"/>
    <x v="229"/>
    <n v="296480"/>
    <n v="1639099306167.1299"/>
    <n v="87.890819877352897"/>
  </r>
  <r>
    <x v="2"/>
    <x v="229"/>
    <n v="1335"/>
    <n v="37312888521.379997"/>
    <n v="16.595880482375598"/>
  </r>
  <r>
    <x v="3"/>
    <x v="229"/>
    <n v="639"/>
    <n v="27919269484.799999"/>
    <n v="10.997570363729199"/>
  </r>
  <r>
    <x v="1"/>
    <x v="229"/>
    <n v="1907"/>
    <n v="58273862919.07"/>
    <n v="93.3391821744205"/>
  </r>
  <r>
    <x v="0"/>
    <x v="230"/>
    <n v="296774"/>
    <n v="1632928605681.1299"/>
    <n v="88.636215734976602"/>
  </r>
  <r>
    <x v="2"/>
    <x v="230"/>
    <n v="1395"/>
    <n v="39156032691.959999"/>
    <n v="22.149825403780302"/>
  </r>
  <r>
    <x v="3"/>
    <x v="230"/>
    <n v="704"/>
    <n v="30041763432.959999"/>
    <n v="10.995646755146"/>
  </r>
  <r>
    <x v="1"/>
    <x v="230"/>
    <n v="1927"/>
    <n v="57984952680.769997"/>
    <n v="93.699260355271804"/>
  </r>
  <r>
    <x v="0"/>
    <x v="231"/>
    <n v="297206"/>
    <n v="1630926522634.1799"/>
    <n v="89.303044106109994"/>
  </r>
  <r>
    <x v="2"/>
    <x v="231"/>
    <n v="1447"/>
    <n v="41135466403"/>
    <n v="27.865889498791599"/>
  </r>
  <r>
    <x v="3"/>
    <x v="231"/>
    <n v="760"/>
    <n v="32087573394.82"/>
    <n v="11.0535245788996"/>
  </r>
  <r>
    <x v="1"/>
    <x v="231"/>
    <n v="1940"/>
    <n v="57919460773.599998"/>
    <n v="94.230694789980703"/>
  </r>
  <r>
    <x v="0"/>
    <x v="232"/>
    <n v="297478"/>
    <n v="1634172612883.0801"/>
    <n v="89.905355137437894"/>
  </r>
  <r>
    <x v="2"/>
    <x v="232"/>
    <n v="1489"/>
    <n v="42553384727.230003"/>
    <n v="30.586329837338599"/>
  </r>
  <r>
    <x v="3"/>
    <x v="232"/>
    <n v="806"/>
    <n v="33554081959.810001"/>
    <n v="11.0923804427104"/>
  </r>
  <r>
    <x v="1"/>
    <x v="232"/>
    <n v="1951"/>
    <n v="57743623776.370003"/>
    <n v="94.826526412056893"/>
  </r>
  <r>
    <x v="0"/>
    <x v="233"/>
    <n v="297713"/>
    <n v="1630715136837.8301"/>
    <n v="90.122580548364397"/>
  </r>
  <r>
    <x v="2"/>
    <x v="233"/>
    <n v="1527"/>
    <n v="44044353148.919998"/>
    <n v="31.555297161834101"/>
  </r>
  <r>
    <x v="3"/>
    <x v="233"/>
    <n v="846"/>
    <n v="34996952153.550003"/>
    <n v="10.938698710486401"/>
  </r>
  <r>
    <x v="1"/>
    <x v="233"/>
    <n v="1967"/>
    <n v="57562689788.809998"/>
    <n v="95.221546027759899"/>
  </r>
  <r>
    <x v="0"/>
    <x v="234"/>
    <n v="297745"/>
    <n v="1635352864892.78"/>
    <n v="90.337691241577502"/>
  </r>
  <r>
    <x v="2"/>
    <x v="234"/>
    <n v="1571"/>
    <n v="45268306712.739998"/>
    <n v="33.6951469613415"/>
  </r>
  <r>
    <x v="3"/>
    <x v="234"/>
    <n v="890"/>
    <n v="36201078184.980003"/>
    <n v="11.0689115124714"/>
  </r>
  <r>
    <x v="1"/>
    <x v="234"/>
    <n v="1980"/>
    <n v="57358795381.5"/>
    <n v="95.516188433050601"/>
  </r>
  <r>
    <x v="0"/>
    <x v="235"/>
    <n v="297935"/>
    <n v="1638979706834.8101"/>
    <n v="90.554171247270403"/>
  </r>
  <r>
    <x v="2"/>
    <x v="235"/>
    <n v="1617"/>
    <n v="46324942815.470001"/>
    <n v="35.450795594218498"/>
  </r>
  <r>
    <x v="3"/>
    <x v="235"/>
    <n v="939"/>
    <n v="37243354893.68"/>
    <n v="10.944360186211499"/>
  </r>
  <r>
    <x v="1"/>
    <x v="235"/>
    <n v="2002"/>
    <n v="57378888746.93"/>
    <n v="95.677068208348999"/>
  </r>
  <r>
    <x v="0"/>
    <x v="236"/>
    <n v="298051"/>
    <n v="1644012668533.9099"/>
    <n v="90.536166746404206"/>
  </r>
  <r>
    <x v="2"/>
    <x v="236"/>
    <n v="1660"/>
    <n v="47014770367.400002"/>
    <n v="35.223486253337398"/>
  </r>
  <r>
    <x v="3"/>
    <x v="236"/>
    <n v="980"/>
    <n v="37852364380.050003"/>
    <n v="10.932815381046399"/>
  </r>
  <r>
    <x v="1"/>
    <x v="236"/>
    <n v="2022"/>
    <n v="57356413673.699997"/>
    <n v="95.5972284085138"/>
  </r>
  <r>
    <x v="0"/>
    <x v="237"/>
    <n v="298245"/>
    <n v="1652973739227.2"/>
    <n v="90.485561744629294"/>
  </r>
  <r>
    <x v="2"/>
    <x v="237"/>
    <n v="1704"/>
    <n v="47554737040.699997"/>
    <n v="35.113456704993602"/>
  </r>
  <r>
    <x v="3"/>
    <x v="237"/>
    <n v="1016"/>
    <n v="38288256348.959999"/>
    <n v="10.8361587389706"/>
  </r>
  <r>
    <x v="1"/>
    <x v="237"/>
    <n v="2039"/>
    <n v="57531922542.139999"/>
    <n v="95.520887789484206"/>
  </r>
  <r>
    <x v="0"/>
    <x v="238"/>
    <n v="298380"/>
    <n v="1657289777281.8"/>
    <n v="90.469069760377593"/>
  </r>
  <r>
    <x v="2"/>
    <x v="238"/>
    <n v="1735"/>
    <n v="47935165709.389999"/>
    <n v="35.125282155162999"/>
  </r>
  <r>
    <x v="3"/>
    <x v="238"/>
    <n v="1053"/>
    <n v="38615010697.739998"/>
    <n v="11.0975942187118"/>
  </r>
  <r>
    <x v="1"/>
    <x v="238"/>
    <n v="2050"/>
    <n v="57672150701.269997"/>
    <n v="95.555581834776703"/>
  </r>
  <r>
    <x v="0"/>
    <x v="239"/>
    <n v="298565"/>
    <n v="1661238948532.75"/>
    <n v="95.177249318432899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4061528158905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292006393999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4305483368406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6269185181806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6033041890004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0095780891694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1890088667901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214952377506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036768316501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082498600395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5437615180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261485592995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7235313940703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977028511897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862288850998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2778784733398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622612304050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8044783022299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84208940580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5666634220797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8513574756802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686906103770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6750557718397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62339576802606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12240390125399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52895719941105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6816420616695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54882452379994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6680650312899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43503024039299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8876053191496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24472322563096"/>
  </r>
  <r>
    <x v="3"/>
    <x v="271"/>
    <n v="1385"/>
    <n v="34088680556.189999"/>
    <n v="32.365645146389099"/>
  </r>
  <r>
    <x v="0"/>
    <x v="272"/>
    <n v="311376"/>
    <n v="1794130472303.8501"/>
    <n v="97.3691235805151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  <r>
    <x v="4"/>
    <x v="273"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38767150864894"/>
  </r>
  <r>
    <x v="0"/>
    <x v="25"/>
    <n v="149785"/>
    <n v="346545445220.38"/>
    <n v="87.594845967040499"/>
  </r>
  <r>
    <x v="0"/>
    <x v="26"/>
    <n v="150727"/>
    <n v="350465555808.21997"/>
    <n v="87.539967592249894"/>
  </r>
  <r>
    <x v="0"/>
    <x v="27"/>
    <n v="151726"/>
    <n v="354683248452.60999"/>
    <n v="87.489480388748106"/>
  </r>
  <r>
    <x v="0"/>
    <x v="28"/>
    <n v="152681"/>
    <n v="359153508694.62"/>
    <n v="87.350495031270199"/>
  </r>
  <r>
    <x v="0"/>
    <x v="29"/>
    <n v="153592"/>
    <n v="364145909105.21997"/>
    <n v="87.267047573837701"/>
  </r>
  <r>
    <x v="0"/>
    <x v="30"/>
    <n v="154353"/>
    <n v="367843583423.22998"/>
    <n v="87.210539200854996"/>
  </r>
  <r>
    <x v="0"/>
    <x v="31"/>
    <n v="155081"/>
    <n v="370513413856.09998"/>
    <n v="87.167279038064095"/>
  </r>
  <r>
    <x v="0"/>
    <x v="32"/>
    <n v="155900"/>
    <n v="375154945459.59998"/>
    <n v="87.123162675638994"/>
  </r>
  <r>
    <x v="0"/>
    <x v="33"/>
    <n v="156553"/>
    <n v="378164550622.22998"/>
    <n v="87.087522316105904"/>
  </r>
  <r>
    <x v="0"/>
    <x v="34"/>
    <n v="157183"/>
    <n v="380573155397.19"/>
    <n v="87.0656198392345"/>
  </r>
  <r>
    <x v="0"/>
    <x v="35"/>
    <n v="157961"/>
    <n v="383579286284.32001"/>
    <n v="87.062966482800604"/>
  </r>
  <r>
    <x v="0"/>
    <x v="36"/>
    <n v="158587"/>
    <n v="385622880966.02002"/>
    <n v="87.059408290327397"/>
  </r>
  <r>
    <x v="0"/>
    <x v="37"/>
    <n v="159328"/>
    <n v="388944585913.88"/>
    <n v="87.054438717454104"/>
  </r>
  <r>
    <x v="0"/>
    <x v="38"/>
    <n v="160031"/>
    <n v="391996345649.14001"/>
    <n v="87.025258187068502"/>
  </r>
  <r>
    <x v="0"/>
    <x v="39"/>
    <n v="160667"/>
    <n v="394401986179.65997"/>
    <n v="87.004006927359995"/>
  </r>
  <r>
    <x v="0"/>
    <x v="40"/>
    <n v="161332"/>
    <n v="397650299517.78003"/>
    <n v="86.986453200166395"/>
  </r>
  <r>
    <x v="0"/>
    <x v="41"/>
    <n v="161858"/>
    <n v="399661358461.85999"/>
    <n v="86.982191542632094"/>
  </r>
  <r>
    <x v="0"/>
    <x v="42"/>
    <n v="162531"/>
    <n v="402473247826.06"/>
    <n v="86.972078296439406"/>
  </r>
  <r>
    <x v="0"/>
    <x v="43"/>
    <n v="163328"/>
    <n v="407135000510.78003"/>
    <n v="86.955910142215103"/>
  </r>
  <r>
    <x v="0"/>
    <x v="44"/>
    <n v="164171"/>
    <n v="410957899203.09998"/>
    <n v="86.984600527235798"/>
  </r>
  <r>
    <x v="0"/>
    <x v="45"/>
    <n v="164998"/>
    <n v="415578143387.42999"/>
    <n v="87.025177185626802"/>
  </r>
  <r>
    <x v="0"/>
    <x v="46"/>
    <n v="165889"/>
    <n v="420442181020.82001"/>
    <n v="87.073142319824697"/>
  </r>
  <r>
    <x v="0"/>
    <x v="47"/>
    <n v="166964"/>
    <n v="425507008058.42999"/>
    <n v="87.1078188133216"/>
  </r>
  <r>
    <x v="0"/>
    <x v="48"/>
    <n v="167888"/>
    <n v="430133364045.90002"/>
    <n v="87.143070069308706"/>
  </r>
  <r>
    <x v="0"/>
    <x v="49"/>
    <n v="169006"/>
    <n v="436014643807.73999"/>
    <n v="87.197946791622797"/>
  </r>
  <r>
    <x v="0"/>
    <x v="50"/>
    <n v="170201"/>
    <n v="440572182741.69"/>
    <n v="87.305434648596503"/>
  </r>
  <r>
    <x v="0"/>
    <x v="51"/>
    <n v="171456"/>
    <n v="447378001346.06"/>
    <n v="87.413509283619604"/>
  </r>
  <r>
    <x v="0"/>
    <x v="52"/>
    <n v="172582"/>
    <n v="454600787180.84998"/>
    <n v="87.526915309829405"/>
  </r>
  <r>
    <x v="0"/>
    <x v="53"/>
    <n v="173773"/>
    <n v="463337515393.27002"/>
    <n v="87.638456668359098"/>
  </r>
  <r>
    <x v="0"/>
    <x v="54"/>
    <n v="174901"/>
    <n v="473963930458.06"/>
    <n v="87.724912237343602"/>
  </r>
  <r>
    <x v="0"/>
    <x v="55"/>
    <n v="175971"/>
    <n v="482637195788"/>
    <n v="87.832739251962806"/>
  </r>
  <r>
    <x v="0"/>
    <x v="56"/>
    <n v="177221"/>
    <n v="492759677673.42999"/>
    <n v="87.942232411340498"/>
  </r>
  <r>
    <x v="0"/>
    <x v="57"/>
    <n v="178640"/>
    <n v="502211629634.06"/>
    <n v="88.017618281853103"/>
  </r>
  <r>
    <x v="0"/>
    <x v="58"/>
    <n v="179937"/>
    <n v="508860817728.65997"/>
    <n v="88.133848620739698"/>
  </r>
  <r>
    <x v="0"/>
    <x v="59"/>
    <n v="181535"/>
    <n v="519181595242.40002"/>
    <n v="88.268845561107099"/>
  </r>
  <r>
    <x v="0"/>
    <x v="60"/>
    <n v="183021"/>
    <n v="529266546073.46997"/>
    <n v="88.371028887467702"/>
  </r>
  <r>
    <x v="0"/>
    <x v="61"/>
    <n v="184355"/>
    <n v="540755542094.21002"/>
    <n v="88.461997150246802"/>
  </r>
  <r>
    <x v="0"/>
    <x v="62"/>
    <n v="185605"/>
    <n v="549750472653.34998"/>
    <n v="88.552277416830094"/>
  </r>
  <r>
    <x v="0"/>
    <x v="63"/>
    <n v="186717"/>
    <n v="556506175459.81006"/>
    <n v="88.616249219703406"/>
  </r>
  <r>
    <x v="0"/>
    <x v="64"/>
    <n v="187662"/>
    <n v="563458838273"/>
    <n v="88.701786724976003"/>
  </r>
  <r>
    <x v="0"/>
    <x v="65"/>
    <n v="188811"/>
    <n v="572204607933.89001"/>
    <n v="88.776666682162897"/>
  </r>
  <r>
    <x v="0"/>
    <x v="66"/>
    <n v="189841"/>
    <n v="579291469300.42004"/>
    <n v="88.858935065052705"/>
  </r>
  <r>
    <x v="0"/>
    <x v="67"/>
    <n v="190764"/>
    <n v="587347551657.76001"/>
    <n v="88.909829601185507"/>
  </r>
  <r>
    <x v="0"/>
    <x v="68"/>
    <n v="191769"/>
    <n v="595358056585.48999"/>
    <n v="88.953006916878294"/>
  </r>
  <r>
    <x v="0"/>
    <x v="69"/>
    <n v="192676"/>
    <n v="603335784202.89001"/>
    <n v="88.969458461210493"/>
  </r>
  <r>
    <x v="0"/>
    <x v="70"/>
    <n v="193594"/>
    <n v="608661813729.64001"/>
    <n v="88.9935458383991"/>
  </r>
  <r>
    <x v="0"/>
    <x v="71"/>
    <n v="194574"/>
    <n v="614730545023.56995"/>
    <n v="89.029423027295195"/>
  </r>
  <r>
    <x v="0"/>
    <x v="72"/>
    <n v="195521"/>
    <n v="620175920606.63"/>
    <n v="89.055375332177803"/>
  </r>
  <r>
    <x v="0"/>
    <x v="73"/>
    <n v="196302"/>
    <n v="625373224000.52002"/>
    <n v="89.044163096928699"/>
  </r>
  <r>
    <x v="0"/>
    <x v="74"/>
    <n v="197211"/>
    <n v="628789317108.88"/>
    <n v="89.039825594486302"/>
  </r>
  <r>
    <x v="0"/>
    <x v="75"/>
    <n v="198200"/>
    <n v="633466085432.80005"/>
    <n v="89.026476151107701"/>
  </r>
  <r>
    <x v="0"/>
    <x v="76"/>
    <n v="199277"/>
    <n v="638637756539.06006"/>
    <n v="89.031220220895094"/>
  </r>
  <r>
    <x v="0"/>
    <x v="77"/>
    <n v="200318"/>
    <n v="644319934151.05005"/>
    <n v="89.029479467077394"/>
  </r>
  <r>
    <x v="0"/>
    <x v="78"/>
    <n v="201523"/>
    <n v="650241592057.52002"/>
    <n v="89.027793769900796"/>
  </r>
  <r>
    <x v="0"/>
    <x v="79"/>
    <n v="202877"/>
    <n v="659140528287.64001"/>
    <n v="89.029976588477396"/>
  </r>
  <r>
    <x v="0"/>
    <x v="80"/>
    <n v="204126"/>
    <n v="667771708329.09998"/>
    <n v="89.028320655818106"/>
  </r>
  <r>
    <x v="0"/>
    <x v="81"/>
    <n v="205336"/>
    <n v="678145982258.65002"/>
    <n v="88.993590812684104"/>
  </r>
  <r>
    <x v="0"/>
    <x v="82"/>
    <n v="206553"/>
    <n v="688667464062.68005"/>
    <n v="89.008163209273107"/>
  </r>
  <r>
    <x v="0"/>
    <x v="83"/>
    <n v="207893"/>
    <n v="700106336980.84998"/>
    <n v="88.942051083775397"/>
  </r>
  <r>
    <x v="0"/>
    <x v="84"/>
    <n v="209121"/>
    <n v="711936410692.26001"/>
    <n v="88.931005343214395"/>
  </r>
  <r>
    <x v="0"/>
    <x v="85"/>
    <n v="210670"/>
    <n v="724159427993.80005"/>
    <n v="88.933954385904102"/>
  </r>
  <r>
    <x v="0"/>
    <x v="86"/>
    <n v="212403"/>
    <n v="737131621054.80005"/>
    <n v="88.886761252337195"/>
  </r>
  <r>
    <x v="0"/>
    <x v="87"/>
    <n v="214231"/>
    <n v="752556214855.22998"/>
    <n v="88.841547746600398"/>
  </r>
  <r>
    <x v="0"/>
    <x v="88"/>
    <n v="216060"/>
    <n v="768634381863"/>
    <n v="88.794389672061001"/>
  </r>
  <r>
    <x v="0"/>
    <x v="89"/>
    <n v="217775"/>
    <n v="783899597190.81006"/>
    <n v="88.744071357624804"/>
  </r>
  <r>
    <x v="0"/>
    <x v="90"/>
    <n v="219337"/>
    <n v="800219895172"/>
    <n v="88.666839367494205"/>
  </r>
  <r>
    <x v="0"/>
    <x v="91"/>
    <n v="220863"/>
    <n v="816276961683.10999"/>
    <n v="88.610441077865104"/>
  </r>
  <r>
    <x v="0"/>
    <x v="92"/>
    <n v="222193"/>
    <n v="829340407712.87"/>
    <n v="88.515355981039605"/>
  </r>
  <r>
    <x v="0"/>
    <x v="93"/>
    <n v="223572"/>
    <n v="841081375122.14001"/>
    <n v="88.4341878741795"/>
  </r>
  <r>
    <x v="0"/>
    <x v="94"/>
    <n v="225055"/>
    <n v="853354387292.38"/>
    <n v="88.351837777550898"/>
  </r>
  <r>
    <x v="0"/>
    <x v="95"/>
    <n v="226605"/>
    <n v="865009341307.27002"/>
    <n v="88.229123870524603"/>
  </r>
  <r>
    <x v="0"/>
    <x v="96"/>
    <n v="227719"/>
    <n v="868002653952.68994"/>
    <n v="88.137161073820906"/>
  </r>
  <r>
    <x v="0"/>
    <x v="97"/>
    <n v="228962"/>
    <n v="879696484692.43994"/>
    <n v="88.053296226191506"/>
  </r>
  <r>
    <x v="0"/>
    <x v="98"/>
    <n v="229290"/>
    <n v="891137066963.31006"/>
    <n v="87.969078988211294"/>
  </r>
  <r>
    <x v="0"/>
    <x v="99"/>
    <n v="230242"/>
    <n v="898079497234.46997"/>
    <n v="87.858926286424307"/>
  </r>
  <r>
    <x v="0"/>
    <x v="100"/>
    <n v="231200"/>
    <n v="906196770233.09998"/>
    <n v="87.757985249224404"/>
  </r>
  <r>
    <x v="0"/>
    <x v="101"/>
    <n v="232155"/>
    <n v="915306614991.16003"/>
    <n v="87.656004456856095"/>
  </r>
  <r>
    <x v="0"/>
    <x v="102"/>
    <n v="232988"/>
    <n v="924210879564.21997"/>
    <n v="87.562530177691499"/>
  </r>
  <r>
    <x v="0"/>
    <x v="103"/>
    <n v="234029"/>
    <n v="933451662668.81006"/>
    <n v="87.452257702126204"/>
  </r>
  <r>
    <x v="0"/>
    <x v="104"/>
    <n v="235250"/>
    <n v="939163115315.12"/>
    <n v="87.353433582665104"/>
  </r>
  <r>
    <x v="0"/>
    <x v="105"/>
    <n v="236280"/>
    <n v="950835871010.5"/>
    <n v="87.257450282460198"/>
  </r>
  <r>
    <x v="0"/>
    <x v="106"/>
    <n v="237080"/>
    <n v="948704633830.25"/>
    <n v="87.172606718407806"/>
  </r>
  <r>
    <x v="0"/>
    <x v="107"/>
    <n v="238095"/>
    <n v="952529753121.88"/>
    <n v="87.129265497458803"/>
  </r>
  <r>
    <x v="0"/>
    <x v="108"/>
    <n v="238988"/>
    <n v="962426850688.71997"/>
    <n v="87.109877746218899"/>
  </r>
  <r>
    <x v="0"/>
    <x v="109"/>
    <n v="239791"/>
    <n v="971889246408.43994"/>
    <n v="87.087420386953795"/>
  </r>
  <r>
    <x v="0"/>
    <x v="110"/>
    <n v="240505"/>
    <n v="981397635555.85999"/>
    <n v="87.084098887905398"/>
  </r>
  <r>
    <x v="0"/>
    <x v="111"/>
    <n v="241199"/>
    <n v="998455877100.01001"/>
    <n v="86.714556900057502"/>
  </r>
  <r>
    <x v="0"/>
    <x v="112"/>
    <n v="241528"/>
    <n v="1000338175794.87"/>
    <n v="86.530358046206302"/>
  </r>
  <r>
    <x v="0"/>
    <x v="113"/>
    <n v="242127"/>
    <n v="1015393774840.89"/>
    <n v="86.599883508001298"/>
  </r>
  <r>
    <x v="0"/>
    <x v="114"/>
    <n v="242806"/>
    <n v="1022403673721.74"/>
    <n v="86.621576475268597"/>
  </r>
  <r>
    <x v="0"/>
    <x v="115"/>
    <n v="243055"/>
    <n v="1011345079983.45"/>
    <n v="86.638988421167994"/>
  </r>
  <r>
    <x v="0"/>
    <x v="116"/>
    <n v="243087"/>
    <n v="1018746952300.48"/>
    <n v="86.6565435457061"/>
  </r>
  <r>
    <x v="0"/>
    <x v="117"/>
    <n v="242823"/>
    <n v="1022881900552.3199"/>
    <n v="86.623627534214194"/>
  </r>
  <r>
    <x v="0"/>
    <x v="118"/>
    <n v="242568"/>
    <n v="1029221486063.8"/>
    <n v="86.610717721113502"/>
  </r>
  <r>
    <x v="0"/>
    <x v="119"/>
    <n v="242944"/>
    <n v="1041578015793.9"/>
    <n v="86.490801222106697"/>
  </r>
  <r>
    <x v="0"/>
    <x v="120"/>
    <n v="242958"/>
    <n v="1046154494968.26"/>
    <n v="86.500345845228196"/>
  </r>
  <r>
    <x v="0"/>
    <x v="121"/>
    <n v="243244"/>
    <n v="1054228745365.45"/>
    <n v="86.591246002301901"/>
  </r>
  <r>
    <x v="0"/>
    <x v="122"/>
    <n v="243458"/>
    <n v="1054419241918.8"/>
    <n v="86.6936382398993"/>
  </r>
  <r>
    <x v="0"/>
    <x v="123"/>
    <n v="243458"/>
    <n v="1053489210318.27"/>
    <n v="86.7638962162914"/>
  </r>
  <r>
    <x v="0"/>
    <x v="124"/>
    <n v="243206"/>
    <n v="1042475819587.54"/>
    <n v="86.843761341058695"/>
  </r>
  <r>
    <x v="0"/>
    <x v="125"/>
    <n v="243206"/>
    <n v="1043034371136.61"/>
    <n v="86.951509448135894"/>
  </r>
  <r>
    <x v="0"/>
    <x v="126"/>
    <n v="243079"/>
    <n v="1042526892174.13"/>
    <n v="87.063014023675905"/>
  </r>
  <r>
    <x v="0"/>
    <x v="127"/>
    <n v="243049"/>
    <n v="1043715265049.05"/>
    <n v="87.146844314777596"/>
  </r>
  <r>
    <x v="0"/>
    <x v="128"/>
    <n v="243211"/>
    <n v="1047052334367.59"/>
    <n v="87.209672701657695"/>
  </r>
  <r>
    <x v="0"/>
    <x v="129"/>
    <n v="243358"/>
    <n v="1046559366288.4301"/>
    <n v="87.268068654338407"/>
  </r>
  <r>
    <x v="0"/>
    <x v="130"/>
    <n v="243520"/>
    <n v="1046116620723.4399"/>
    <n v="87.364569637615503"/>
  </r>
  <r>
    <x v="0"/>
    <x v="131"/>
    <n v="243723"/>
    <n v="1045661950289.12"/>
    <n v="87.456943654591001"/>
  </r>
  <r>
    <x v="0"/>
    <x v="132"/>
    <n v="243770"/>
    <n v="1045305106228.61"/>
    <n v="87.544134636964202"/>
  </r>
  <r>
    <x v="0"/>
    <x v="133"/>
    <n v="243919"/>
    <n v="1047019150198.85"/>
    <n v="87.639782044724896"/>
  </r>
  <r>
    <x v="0"/>
    <x v="134"/>
    <n v="244114"/>
    <n v="1048394573900.75"/>
    <n v="86.998545907648506"/>
  </r>
  <r>
    <x v="0"/>
    <x v="135"/>
    <n v="244026"/>
    <n v="1046716620858.74"/>
    <n v="87.070158300687197"/>
  </r>
  <r>
    <x v="0"/>
    <x v="136"/>
    <n v="244112"/>
    <n v="1051148406451.9301"/>
    <n v="87.098433188484606"/>
  </r>
  <r>
    <x v="0"/>
    <x v="137"/>
    <n v="244290"/>
    <n v="1055396152979.1"/>
    <n v="87.9459395061577"/>
  </r>
  <r>
    <x v="0"/>
    <x v="138"/>
    <n v="244376"/>
    <n v="1062568967389.26"/>
    <n v="88.022032441905296"/>
  </r>
  <r>
    <x v="0"/>
    <x v="139"/>
    <n v="244769"/>
    <n v="1071676798504.13"/>
    <n v="88.124632886633407"/>
  </r>
  <r>
    <x v="0"/>
    <x v="140"/>
    <n v="245103"/>
    <n v="1083168990542.87"/>
    <n v="88.184165619189002"/>
  </r>
  <r>
    <x v="0"/>
    <x v="141"/>
    <n v="245417"/>
    <n v="1092258150495.95"/>
    <n v="88.253865925312297"/>
  </r>
  <r>
    <x v="0"/>
    <x v="142"/>
    <n v="245734"/>
    <n v="1101714404588.9399"/>
    <n v="88.310544229910604"/>
  </r>
  <r>
    <x v="0"/>
    <x v="143"/>
    <n v="246265"/>
    <n v="1111269349920.8401"/>
    <n v="88.375512309580699"/>
  </r>
  <r>
    <x v="0"/>
    <x v="144"/>
    <n v="246636"/>
    <n v="1122419326727.3401"/>
    <n v="88.411336628136198"/>
  </r>
  <r>
    <x v="0"/>
    <x v="145"/>
    <n v="247214"/>
    <n v="1132529092295.1799"/>
    <n v="88.483119825112595"/>
  </r>
  <r>
    <x v="0"/>
    <x v="146"/>
    <n v="247639"/>
    <n v="1142036164423.6499"/>
    <n v="88.552900051835806"/>
  </r>
  <r>
    <x v="0"/>
    <x v="147"/>
    <n v="248030"/>
    <n v="1155261788794.02"/>
    <n v="88.639814557968094"/>
  </r>
  <r>
    <x v="0"/>
    <x v="148"/>
    <n v="248548"/>
    <n v="1168142806797.22"/>
    <n v="88.686965237758798"/>
  </r>
  <r>
    <x v="0"/>
    <x v="149"/>
    <n v="248874"/>
    <n v="1181825510252.74"/>
    <n v="88.662003187691198"/>
  </r>
  <r>
    <x v="0"/>
    <x v="150"/>
    <n v="249248"/>
    <n v="1192430186515.3201"/>
    <n v="88.633184128491806"/>
  </r>
  <r>
    <x v="0"/>
    <x v="151"/>
    <n v="249885"/>
    <n v="1206782284664.1699"/>
    <n v="88.575908177825596"/>
  </r>
  <r>
    <x v="0"/>
    <x v="152"/>
    <n v="250428"/>
    <n v="1220415637263.49"/>
    <n v="88.490973230128603"/>
  </r>
  <r>
    <x v="0"/>
    <x v="153"/>
    <n v="250977"/>
    <n v="1240435866291.8799"/>
    <n v="88.425241161272297"/>
  </r>
  <r>
    <x v="0"/>
    <x v="154"/>
    <n v="251536"/>
    <n v="1253159977244.54"/>
    <n v="88.308333009149194"/>
  </r>
  <r>
    <x v="0"/>
    <x v="155"/>
    <n v="252197"/>
    <n v="1267753834052.5601"/>
    <n v="88.250993556478804"/>
  </r>
  <r>
    <x v="0"/>
    <x v="156"/>
    <n v="252755"/>
    <n v="1281899182108.53"/>
    <n v="88.231156768375001"/>
  </r>
  <r>
    <x v="0"/>
    <x v="157"/>
    <n v="253418"/>
    <n v="1297151286163.0601"/>
    <n v="88.191237844041098"/>
  </r>
  <r>
    <x v="0"/>
    <x v="158"/>
    <n v="254121"/>
    <n v="1313547803162.76"/>
    <n v="88.242387435627606"/>
  </r>
  <r>
    <x v="0"/>
    <x v="159"/>
    <n v="254866"/>
    <n v="1329046516438.8999"/>
    <n v="88.251108461551894"/>
  </r>
  <r>
    <x v="0"/>
    <x v="160"/>
    <n v="255714"/>
    <n v="1351361414625.3799"/>
    <n v="88.230248086247997"/>
  </r>
  <r>
    <x v="0"/>
    <x v="161"/>
    <n v="256516"/>
    <n v="1373358197427.46"/>
    <n v="87.865863801511395"/>
  </r>
  <r>
    <x v="0"/>
    <x v="162"/>
    <n v="257355"/>
    <n v="1398518091938.25"/>
    <n v="87.487743805972798"/>
  </r>
  <r>
    <x v="0"/>
    <x v="163"/>
    <n v="258242"/>
    <n v="1423075259258.24"/>
    <n v="87.140811647425195"/>
  </r>
  <r>
    <x v="0"/>
    <x v="164"/>
    <n v="259130"/>
    <n v="1448620805507.53"/>
    <n v="86.510796921157194"/>
  </r>
  <r>
    <x v="0"/>
    <x v="165"/>
    <n v="259997"/>
    <n v="1473008966168.4399"/>
    <n v="85.833051674316295"/>
  </r>
  <r>
    <x v="0"/>
    <x v="166"/>
    <n v="260697"/>
    <n v="1503089126091.8101"/>
    <n v="85.086742611489598"/>
  </r>
  <r>
    <x v="0"/>
    <x v="167"/>
    <n v="261695"/>
    <n v="1536876729700.0601"/>
    <n v="84.306024365993395"/>
  </r>
  <r>
    <x v="0"/>
    <x v="168"/>
    <n v="262505"/>
    <n v="1561574734904.05"/>
    <n v="83.470443153985002"/>
  </r>
  <r>
    <x v="0"/>
    <x v="169"/>
    <n v="264223"/>
    <n v="1598687945829.1299"/>
    <n v="82.682961297469305"/>
  </r>
  <r>
    <x v="0"/>
    <x v="170"/>
    <n v="264813"/>
    <n v="1611864597529.54"/>
    <n v="82.174662693842194"/>
  </r>
  <r>
    <x v="0"/>
    <x v="171"/>
    <n v="265488"/>
    <n v="1627058464695.98"/>
    <n v="81.676845358394601"/>
  </r>
  <r>
    <x v="1"/>
    <x v="172"/>
    <n v="5"/>
    <n v="12238945.18"/>
    <n v="100"/>
  </r>
  <r>
    <x v="0"/>
    <x v="172"/>
    <n v="266516"/>
    <n v="1649023403524.3301"/>
    <n v="81.222261870160196"/>
  </r>
  <r>
    <x v="0"/>
    <x v="173"/>
    <n v="267221"/>
    <n v="1672012270673.77"/>
    <n v="80.765426662454104"/>
  </r>
  <r>
    <x v="1"/>
    <x v="173"/>
    <n v="11"/>
    <n v="431216401.19999999"/>
    <n v="100"/>
  </r>
  <r>
    <x v="0"/>
    <x v="174"/>
    <n v="267777"/>
    <n v="1682374180043.9399"/>
    <n v="80.184063498883503"/>
  </r>
  <r>
    <x v="1"/>
    <x v="174"/>
    <n v="15"/>
    <n v="2102895357.54"/>
    <n v="100"/>
  </r>
  <r>
    <x v="0"/>
    <x v="175"/>
    <n v="268301"/>
    <n v="1690709203256.04"/>
    <n v="79.547588593466699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52793329877005"/>
  </r>
  <r>
    <x v="1"/>
    <x v="177"/>
    <n v="33"/>
    <n v="7594722445.1199999"/>
    <n v="99.905810201199898"/>
  </r>
  <r>
    <x v="0"/>
    <x v="177"/>
    <n v="269586"/>
    <n v="1715320900515.99"/>
    <n v="77.365069847559795"/>
  </r>
  <r>
    <x v="1"/>
    <x v="178"/>
    <n v="33"/>
    <n v="7455294762.29"/>
    <n v="99.003374509470504"/>
  </r>
  <r>
    <x v="0"/>
    <x v="178"/>
    <n v="269880"/>
    <n v="1722159821907.24"/>
    <n v="76.073411207412406"/>
  </r>
  <r>
    <x v="0"/>
    <x v="179"/>
    <n v="270476"/>
    <n v="1743795423653.5901"/>
    <n v="75.8452530167921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6892030611096"/>
  </r>
  <r>
    <x v="1"/>
    <x v="181"/>
    <n v="57"/>
    <n v="7517545111.1499996"/>
    <n v="94.6088299083424"/>
  </r>
  <r>
    <x v="0"/>
    <x v="181"/>
    <n v="271227"/>
    <n v="1754532172587.8201"/>
    <n v="75.0343936997794"/>
  </r>
  <r>
    <x v="1"/>
    <x v="182"/>
    <n v="80"/>
    <n v="7812894988.0100002"/>
    <n v="95.333617221941296"/>
  </r>
  <r>
    <x v="0"/>
    <x v="182"/>
    <n v="271839"/>
    <n v="1783832899325.1899"/>
    <n v="75.645218218977107"/>
  </r>
  <r>
    <x v="0"/>
    <x v="183"/>
    <n v="272056"/>
    <n v="1788604982272.3999"/>
    <n v="75.952224157883407"/>
  </r>
  <r>
    <x v="1"/>
    <x v="183"/>
    <n v="94"/>
    <n v="7929838117.7600002"/>
    <n v="95.8509551304155"/>
  </r>
  <r>
    <x v="0"/>
    <x v="184"/>
    <n v="272638"/>
    <n v="1851247613799.7"/>
    <n v="76.473711675546596"/>
  </r>
  <r>
    <x v="1"/>
    <x v="184"/>
    <n v="131"/>
    <n v="14236149645.15"/>
    <n v="97.980131804413205"/>
  </r>
  <r>
    <x v="0"/>
    <x v="185"/>
    <n v="273233"/>
    <n v="1892906083080.45"/>
    <n v="76.838599335138198"/>
  </r>
  <r>
    <x v="1"/>
    <x v="185"/>
    <n v="168"/>
    <n v="15653598327.879999"/>
    <n v="98.7253579000879"/>
  </r>
  <r>
    <x v="0"/>
    <x v="186"/>
    <n v="273609"/>
    <n v="1911210202909.05"/>
    <n v="77.094317575543798"/>
  </r>
  <r>
    <x v="1"/>
    <x v="186"/>
    <n v="188"/>
    <n v="16210075077.32"/>
    <n v="98.8230666896728"/>
  </r>
  <r>
    <x v="0"/>
    <x v="187"/>
    <n v="273811"/>
    <n v="1922329055650.49"/>
    <n v="77.3685526850023"/>
  </r>
  <r>
    <x v="1"/>
    <x v="187"/>
    <n v="222"/>
    <n v="17522334402.939999"/>
    <n v="98.695782286409894"/>
  </r>
  <r>
    <x v="0"/>
    <x v="188"/>
    <n v="274246"/>
    <n v="1936230379188.45"/>
    <n v="77.387977553334807"/>
  </r>
  <r>
    <x v="1"/>
    <x v="188"/>
    <n v="266"/>
    <n v="20636621094.560001"/>
    <n v="98.540317138490195"/>
  </r>
  <r>
    <x v="0"/>
    <x v="189"/>
    <n v="274530"/>
    <n v="1935224752959.1399"/>
    <n v="77.333820337888199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202320247602898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635367766699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7007725357304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809359131896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433149746001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76010927095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900343688959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113741626904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1149217187995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1088972242302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8157255191397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7556028125703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69860640407802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368336106199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1094426219103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8197552330795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6412911496002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4996136443401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2134277436204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1557634820504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5137337534796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4317639036896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69991769635993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39500483426602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708694354760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7724271091195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7576049473095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036281162095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29993356071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5092139472702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05412406891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7412037087793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5332346643406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6887782603397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88936208761601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3652330818399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66679674424603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7.206397262218601"/>
  </r>
  <r>
    <x v="2"/>
    <x v="227"/>
    <n v="1194"/>
    <n v="33051971704.52"/>
    <n v="15.363973920142699"/>
  </r>
  <r>
    <x v="3"/>
    <x v="227"/>
    <n v="493"/>
    <n v="22634123601.41"/>
    <n v="11.217204665673"/>
  </r>
  <r>
    <x v="1"/>
    <x v="227"/>
    <n v="1864"/>
    <n v="59324750524.360001"/>
    <n v="93.090964176680004"/>
  </r>
  <r>
    <x v="0"/>
    <x v="228"/>
    <n v="295747"/>
    <n v="1641408813705.6101"/>
    <n v="87.581728598102302"/>
  </r>
  <r>
    <x v="2"/>
    <x v="228"/>
    <n v="1265"/>
    <n v="35343557017.519997"/>
    <n v="15.944289026983601"/>
  </r>
  <r>
    <x v="3"/>
    <x v="228"/>
    <n v="572"/>
    <n v="25710780014.439999"/>
    <n v="10.989238090088699"/>
  </r>
  <r>
    <x v="1"/>
    <x v="228"/>
    <n v="1890"/>
    <n v="59341253640.129997"/>
    <n v="93.1870653577882"/>
  </r>
  <r>
    <x v="0"/>
    <x v="229"/>
    <n v="296480"/>
    <n v="1639099306167.1299"/>
    <n v="87.890819877352897"/>
  </r>
  <r>
    <x v="2"/>
    <x v="229"/>
    <n v="1335"/>
    <n v="37312888521.379997"/>
    <n v="16.595880482375598"/>
  </r>
  <r>
    <x v="3"/>
    <x v="229"/>
    <n v="639"/>
    <n v="27919269484.799999"/>
    <n v="10.997570363729199"/>
  </r>
  <r>
    <x v="1"/>
    <x v="229"/>
    <n v="1907"/>
    <n v="58273862919.07"/>
    <n v="93.3391821744205"/>
  </r>
  <r>
    <x v="0"/>
    <x v="230"/>
    <n v="296774"/>
    <n v="1632928605681.1299"/>
    <n v="88.636215734976602"/>
  </r>
  <r>
    <x v="2"/>
    <x v="230"/>
    <n v="1395"/>
    <n v="39156032691.959999"/>
    <n v="22.149825403780302"/>
  </r>
  <r>
    <x v="3"/>
    <x v="230"/>
    <n v="704"/>
    <n v="30041763432.959999"/>
    <n v="10.995646755146"/>
  </r>
  <r>
    <x v="1"/>
    <x v="230"/>
    <n v="1927"/>
    <n v="57984952680.769997"/>
    <n v="93.699260355271804"/>
  </r>
  <r>
    <x v="0"/>
    <x v="231"/>
    <n v="297206"/>
    <n v="1630926522634.1799"/>
    <n v="89.303044106109994"/>
  </r>
  <r>
    <x v="2"/>
    <x v="231"/>
    <n v="1447"/>
    <n v="41135466403"/>
    <n v="27.865889498791599"/>
  </r>
  <r>
    <x v="3"/>
    <x v="231"/>
    <n v="760"/>
    <n v="32087573394.82"/>
    <n v="11.0535245788996"/>
  </r>
  <r>
    <x v="1"/>
    <x v="231"/>
    <n v="1940"/>
    <n v="57919460773.599998"/>
    <n v="94.230694789980703"/>
  </r>
  <r>
    <x v="0"/>
    <x v="232"/>
    <n v="297478"/>
    <n v="1634172612883.0801"/>
    <n v="89.905355137437894"/>
  </r>
  <r>
    <x v="2"/>
    <x v="232"/>
    <n v="1489"/>
    <n v="42553384727.230003"/>
    <n v="30.586329837338599"/>
  </r>
  <r>
    <x v="3"/>
    <x v="232"/>
    <n v="806"/>
    <n v="33554081959.810001"/>
    <n v="11.0923804427104"/>
  </r>
  <r>
    <x v="1"/>
    <x v="232"/>
    <n v="1951"/>
    <n v="57743623776.370003"/>
    <n v="94.826526412056893"/>
  </r>
  <r>
    <x v="0"/>
    <x v="233"/>
    <n v="297713"/>
    <n v="1630715136837.8301"/>
    <n v="90.122580548364397"/>
  </r>
  <r>
    <x v="2"/>
    <x v="233"/>
    <n v="1527"/>
    <n v="44044353148.919998"/>
    <n v="31.555297161834101"/>
  </r>
  <r>
    <x v="3"/>
    <x v="233"/>
    <n v="846"/>
    <n v="34996952153.550003"/>
    <n v="10.938698710486401"/>
  </r>
  <r>
    <x v="1"/>
    <x v="233"/>
    <n v="1967"/>
    <n v="57562689788.809998"/>
    <n v="95.221546027759899"/>
  </r>
  <r>
    <x v="0"/>
    <x v="234"/>
    <n v="297745"/>
    <n v="1635352864892.78"/>
    <n v="90.337691241577502"/>
  </r>
  <r>
    <x v="2"/>
    <x v="234"/>
    <n v="1571"/>
    <n v="45268306712.739998"/>
    <n v="33.6951469613415"/>
  </r>
  <r>
    <x v="3"/>
    <x v="234"/>
    <n v="890"/>
    <n v="36201078184.980003"/>
    <n v="11.0689115124714"/>
  </r>
  <r>
    <x v="1"/>
    <x v="234"/>
    <n v="1980"/>
    <n v="57358795381.5"/>
    <n v="95.516188433050601"/>
  </r>
  <r>
    <x v="0"/>
    <x v="235"/>
    <n v="297935"/>
    <n v="1638979706834.8101"/>
    <n v="90.554171247270403"/>
  </r>
  <r>
    <x v="2"/>
    <x v="235"/>
    <n v="1617"/>
    <n v="46324942815.470001"/>
    <n v="35.450795594218498"/>
  </r>
  <r>
    <x v="3"/>
    <x v="235"/>
    <n v="939"/>
    <n v="37243354893.68"/>
    <n v="10.944360186211499"/>
  </r>
  <r>
    <x v="1"/>
    <x v="235"/>
    <n v="2002"/>
    <n v="57378888746.93"/>
    <n v="95.677068208348999"/>
  </r>
  <r>
    <x v="0"/>
    <x v="236"/>
    <n v="298051"/>
    <n v="1644012668533.9099"/>
    <n v="90.536166746404206"/>
  </r>
  <r>
    <x v="2"/>
    <x v="236"/>
    <n v="1660"/>
    <n v="47014770367.400002"/>
    <n v="35.223486253337398"/>
  </r>
  <r>
    <x v="3"/>
    <x v="236"/>
    <n v="980"/>
    <n v="37852364380.050003"/>
    <n v="10.932815381046399"/>
  </r>
  <r>
    <x v="1"/>
    <x v="236"/>
    <n v="2022"/>
    <n v="57356413673.699997"/>
    <n v="95.5972284085138"/>
  </r>
  <r>
    <x v="0"/>
    <x v="237"/>
    <n v="298245"/>
    <n v="1652973739227.2"/>
    <n v="90.485561744629294"/>
  </r>
  <r>
    <x v="2"/>
    <x v="237"/>
    <n v="1704"/>
    <n v="47554737040.699997"/>
    <n v="35.113456704993602"/>
  </r>
  <r>
    <x v="3"/>
    <x v="237"/>
    <n v="1016"/>
    <n v="38288256348.959999"/>
    <n v="10.8361587389706"/>
  </r>
  <r>
    <x v="1"/>
    <x v="237"/>
    <n v="2039"/>
    <n v="57531922542.139999"/>
    <n v="95.520887789484206"/>
  </r>
  <r>
    <x v="0"/>
    <x v="238"/>
    <n v="298380"/>
    <n v="1657289777281.8"/>
    <n v="90.469069760377593"/>
  </r>
  <r>
    <x v="2"/>
    <x v="238"/>
    <n v="1735"/>
    <n v="47935165709.389999"/>
    <n v="35.125282155162999"/>
  </r>
  <r>
    <x v="3"/>
    <x v="238"/>
    <n v="1053"/>
    <n v="38615010697.739998"/>
    <n v="11.0975942187118"/>
  </r>
  <r>
    <x v="1"/>
    <x v="238"/>
    <n v="2050"/>
    <n v="57672150701.269997"/>
    <n v="95.555581834776703"/>
  </r>
  <r>
    <x v="0"/>
    <x v="239"/>
    <n v="298565"/>
    <n v="1661238948532.75"/>
    <n v="95.177249318432899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4061528158905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292006393999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4305483368406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6269185181806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6033041890004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0095780891694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1890088667901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214952377506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036768316501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082498600395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5437615180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261485592995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7235313940703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977028511897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862288850998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2778784733398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622612304050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8044783022299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84208940580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5666634220797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8513574756802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686906103770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6750557718397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62339576802606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12240390125399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52895719941105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6816420616695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54882452379994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6680650312899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43503024039299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8876053191496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24472322563096"/>
  </r>
  <r>
    <x v="3"/>
    <x v="271"/>
    <n v="1385"/>
    <n v="34088680556.189999"/>
    <n v="32.365645146389099"/>
  </r>
  <r>
    <x v="0"/>
    <x v="272"/>
    <n v="311376"/>
    <n v="1794130472303.8501"/>
    <n v="97.3691235805151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3" cacheId="19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3:AB273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wavg_pct_conventional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9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pct_conventional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30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0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56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3" hier="-1"/>
  </pageFields>
  <dataFields count="1">
    <dataField name="Sum of wavg_pct_conventional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8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9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G3:H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29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G3:H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8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percent_eligible_fico" fld="4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1"/>
  <sheetViews>
    <sheetView topLeftCell="H1" workbookViewId="0">
      <selection activeCell="T31" sqref="T31"/>
    </sheetView>
  </sheetViews>
  <sheetFormatPr defaultRowHeight="15" x14ac:dyDescent="0.25"/>
  <cols>
    <col min="8" max="8" width="13.140625" bestFit="1" customWidth="1"/>
    <col min="9" max="9" width="37" customWidth="1"/>
    <col min="27" max="27" width="13.140625" bestFit="1" customWidth="1"/>
    <col min="28" max="28" width="37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2" t="s">
        <v>0</v>
      </c>
      <c r="I1" t="s">
        <v>5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AA1" s="2" t="s">
        <v>0</v>
      </c>
      <c r="AB1" t="s">
        <v>12</v>
      </c>
    </row>
    <row r="2" spans="1:28" x14ac:dyDescent="0.25">
      <c r="A2" t="s">
        <v>5</v>
      </c>
      <c r="B2" s="1">
        <v>34366</v>
      </c>
      <c r="C2">
        <v>126636</v>
      </c>
      <c r="D2">
        <v>278490248452.07001</v>
      </c>
      <c r="E2">
        <v>100</v>
      </c>
      <c r="U2" t="s">
        <v>12</v>
      </c>
      <c r="V2" s="1">
        <v>34366</v>
      </c>
      <c r="W2">
        <v>47564</v>
      </c>
      <c r="X2">
        <v>179363030607.07999</v>
      </c>
      <c r="Y2">
        <v>99.042895214577996</v>
      </c>
    </row>
    <row r="3" spans="1:28" x14ac:dyDescent="0.25">
      <c r="A3" t="s">
        <v>5</v>
      </c>
      <c r="B3" s="1">
        <v>34394</v>
      </c>
      <c r="C3">
        <v>128266</v>
      </c>
      <c r="D3">
        <v>282050828421.97998</v>
      </c>
      <c r="E3">
        <v>100</v>
      </c>
      <c r="H3" s="2" t="s">
        <v>9</v>
      </c>
      <c r="I3" t="s">
        <v>11</v>
      </c>
      <c r="U3" t="s">
        <v>12</v>
      </c>
      <c r="V3" s="1">
        <v>34394</v>
      </c>
      <c r="W3">
        <v>48770</v>
      </c>
      <c r="X3">
        <v>182676426202.38</v>
      </c>
      <c r="Y3">
        <v>98.728419570533603</v>
      </c>
      <c r="AA3" s="2" t="s">
        <v>9</v>
      </c>
      <c r="AB3" t="s">
        <v>11</v>
      </c>
    </row>
    <row r="4" spans="1:28" x14ac:dyDescent="0.25">
      <c r="A4" t="s">
        <v>5</v>
      </c>
      <c r="B4" s="1">
        <v>34425</v>
      </c>
      <c r="C4">
        <v>129601</v>
      </c>
      <c r="D4">
        <v>283874201256.09003</v>
      </c>
      <c r="E4">
        <v>100</v>
      </c>
      <c r="H4" s="3">
        <v>34366</v>
      </c>
      <c r="I4" s="4">
        <v>100</v>
      </c>
      <c r="U4" t="s">
        <v>12</v>
      </c>
      <c r="V4" s="1">
        <v>34425</v>
      </c>
      <c r="W4">
        <v>50054</v>
      </c>
      <c r="X4">
        <v>187173844372.01001</v>
      </c>
      <c r="Y4">
        <v>98.420927368044502</v>
      </c>
      <c r="AA4" s="3">
        <v>34366</v>
      </c>
      <c r="AB4" s="4">
        <v>99.042895214577996</v>
      </c>
    </row>
    <row r="5" spans="1:28" x14ac:dyDescent="0.25">
      <c r="A5" t="s">
        <v>5</v>
      </c>
      <c r="B5" s="1">
        <v>34455</v>
      </c>
      <c r="C5">
        <v>130768</v>
      </c>
      <c r="D5">
        <v>284752896061.91998</v>
      </c>
      <c r="E5">
        <v>100</v>
      </c>
      <c r="H5" s="3">
        <v>34394</v>
      </c>
      <c r="I5" s="4">
        <v>100</v>
      </c>
      <c r="U5" t="s">
        <v>12</v>
      </c>
      <c r="V5" s="1">
        <v>34516</v>
      </c>
      <c r="W5">
        <v>53319</v>
      </c>
      <c r="X5">
        <v>198257625256.20999</v>
      </c>
      <c r="Y5">
        <v>97.681204158137106</v>
      </c>
      <c r="AA5" s="3">
        <v>34394</v>
      </c>
      <c r="AB5" s="4">
        <v>98.728419570533603</v>
      </c>
    </row>
    <row r="6" spans="1:28" x14ac:dyDescent="0.25">
      <c r="A6" t="s">
        <v>5</v>
      </c>
      <c r="B6" s="1">
        <v>34486</v>
      </c>
      <c r="C6">
        <v>131996</v>
      </c>
      <c r="D6">
        <v>287122056681.57001</v>
      </c>
      <c r="E6">
        <v>100</v>
      </c>
      <c r="H6" s="3">
        <v>34425</v>
      </c>
      <c r="I6" s="4">
        <v>100</v>
      </c>
      <c r="U6" t="s">
        <v>12</v>
      </c>
      <c r="V6" s="1">
        <v>34547</v>
      </c>
      <c r="W6">
        <v>54110</v>
      </c>
      <c r="X6">
        <v>200679192483.73001</v>
      </c>
      <c r="Y6">
        <v>97.503899032269402</v>
      </c>
      <c r="AA6" s="3">
        <v>34425</v>
      </c>
      <c r="AB6" s="4">
        <v>98.420927368044502</v>
      </c>
    </row>
    <row r="7" spans="1:28" x14ac:dyDescent="0.25">
      <c r="A7" t="s">
        <v>5</v>
      </c>
      <c r="B7" s="1">
        <v>34516</v>
      </c>
      <c r="C7">
        <v>133140</v>
      </c>
      <c r="D7">
        <v>288919754101.73999</v>
      </c>
      <c r="E7">
        <v>100</v>
      </c>
      <c r="H7" s="3">
        <v>34455</v>
      </c>
      <c r="I7" s="4">
        <v>100</v>
      </c>
      <c r="U7" t="s">
        <v>12</v>
      </c>
      <c r="V7" s="1">
        <v>34578</v>
      </c>
      <c r="W7">
        <v>54835</v>
      </c>
      <c r="X7">
        <v>202941258365.22</v>
      </c>
      <c r="Y7">
        <v>97.356954680509801</v>
      </c>
      <c r="AA7" s="3">
        <v>34516</v>
      </c>
      <c r="AB7" s="4">
        <v>97.681204158137106</v>
      </c>
    </row>
    <row r="8" spans="1:28" x14ac:dyDescent="0.25">
      <c r="A8" t="s">
        <v>5</v>
      </c>
      <c r="B8" s="1">
        <v>34547</v>
      </c>
      <c r="C8">
        <v>134153</v>
      </c>
      <c r="D8">
        <v>290640645437.90997</v>
      </c>
      <c r="E8">
        <v>100</v>
      </c>
      <c r="H8" s="3">
        <v>34486</v>
      </c>
      <c r="I8" s="4">
        <v>100</v>
      </c>
      <c r="U8" t="s">
        <v>12</v>
      </c>
      <c r="V8" s="1">
        <v>34608</v>
      </c>
      <c r="W8">
        <v>55530</v>
      </c>
      <c r="X8">
        <v>205226671396.57999</v>
      </c>
      <c r="Y8">
        <v>97.202262614290007</v>
      </c>
      <c r="AA8" s="3">
        <v>34547</v>
      </c>
      <c r="AB8" s="4">
        <v>97.503899032269402</v>
      </c>
    </row>
    <row r="9" spans="1:28" x14ac:dyDescent="0.25">
      <c r="A9" t="s">
        <v>5</v>
      </c>
      <c r="B9" s="1">
        <v>34578</v>
      </c>
      <c r="C9">
        <v>135077</v>
      </c>
      <c r="D9">
        <v>292026246657.69</v>
      </c>
      <c r="E9">
        <v>100</v>
      </c>
      <c r="H9" s="3">
        <v>34516</v>
      </c>
      <c r="I9" s="4">
        <v>100</v>
      </c>
      <c r="U9" t="s">
        <v>12</v>
      </c>
      <c r="V9" s="1">
        <v>34639</v>
      </c>
      <c r="W9">
        <v>56108</v>
      </c>
      <c r="X9">
        <v>206975112252.98001</v>
      </c>
      <c r="Y9">
        <v>97.077694471307694</v>
      </c>
      <c r="AA9" s="3">
        <v>34578</v>
      </c>
      <c r="AB9" s="4">
        <v>97.356954680509801</v>
      </c>
    </row>
    <row r="10" spans="1:28" x14ac:dyDescent="0.25">
      <c r="A10" t="s">
        <v>5</v>
      </c>
      <c r="B10" s="1">
        <v>34608</v>
      </c>
      <c r="C10">
        <v>135888</v>
      </c>
      <c r="D10">
        <v>293395992453.21002</v>
      </c>
      <c r="E10">
        <v>100</v>
      </c>
      <c r="H10" s="3">
        <v>34547</v>
      </c>
      <c r="I10" s="4">
        <v>100</v>
      </c>
      <c r="U10" t="s">
        <v>12</v>
      </c>
      <c r="V10" s="1">
        <v>34669</v>
      </c>
      <c r="W10">
        <v>56529</v>
      </c>
      <c r="X10">
        <v>207753709014.57999</v>
      </c>
      <c r="Y10">
        <v>96.978984565132095</v>
      </c>
      <c r="AA10" s="3">
        <v>34608</v>
      </c>
      <c r="AB10" s="4">
        <v>97.202262614290007</v>
      </c>
    </row>
    <row r="11" spans="1:28" x14ac:dyDescent="0.25">
      <c r="A11" t="s">
        <v>5</v>
      </c>
      <c r="B11" s="1">
        <v>34639</v>
      </c>
      <c r="C11">
        <v>136567</v>
      </c>
      <c r="D11">
        <v>294791998506.56</v>
      </c>
      <c r="E11">
        <v>100</v>
      </c>
      <c r="H11" s="3">
        <v>34578</v>
      </c>
      <c r="I11" s="4">
        <v>100</v>
      </c>
      <c r="U11" t="s">
        <v>12</v>
      </c>
      <c r="V11" s="1">
        <v>34700</v>
      </c>
      <c r="W11">
        <v>56894</v>
      </c>
      <c r="X11">
        <v>208406182510.07001</v>
      </c>
      <c r="Y11">
        <v>96.901214384948005</v>
      </c>
      <c r="AA11" s="3">
        <v>34639</v>
      </c>
      <c r="AB11" s="4">
        <v>97.077694471307694</v>
      </c>
    </row>
    <row r="12" spans="1:28" x14ac:dyDescent="0.25">
      <c r="A12" t="s">
        <v>5</v>
      </c>
      <c r="B12" s="1">
        <v>34669</v>
      </c>
      <c r="C12">
        <v>137384</v>
      </c>
      <c r="D12">
        <v>297022730158.53998</v>
      </c>
      <c r="E12">
        <v>100</v>
      </c>
      <c r="H12" s="3">
        <v>34608</v>
      </c>
      <c r="I12" s="4">
        <v>100</v>
      </c>
      <c r="U12" t="s">
        <v>12</v>
      </c>
      <c r="V12" s="1">
        <v>34731</v>
      </c>
      <c r="W12">
        <v>57294</v>
      </c>
      <c r="X12">
        <v>209359181505.28</v>
      </c>
      <c r="Y12">
        <v>96.797930004529704</v>
      </c>
      <c r="AA12" s="3">
        <v>34669</v>
      </c>
      <c r="AB12" s="4">
        <v>96.978984565132095</v>
      </c>
    </row>
    <row r="13" spans="1:28" x14ac:dyDescent="0.25">
      <c r="A13" t="s">
        <v>5</v>
      </c>
      <c r="B13" s="1">
        <v>34700</v>
      </c>
      <c r="C13">
        <v>138175</v>
      </c>
      <c r="D13">
        <v>299534791311.60999</v>
      </c>
      <c r="E13">
        <v>100</v>
      </c>
      <c r="H13" s="3">
        <v>34639</v>
      </c>
      <c r="I13" s="4">
        <v>100</v>
      </c>
      <c r="U13" t="s">
        <v>12</v>
      </c>
      <c r="V13" s="1">
        <v>34759</v>
      </c>
      <c r="W13">
        <v>57702</v>
      </c>
      <c r="X13">
        <v>210444667091.82001</v>
      </c>
      <c r="Y13">
        <v>96.704603715331203</v>
      </c>
      <c r="AA13" s="3">
        <v>34700</v>
      </c>
      <c r="AB13" s="4">
        <v>96.901214384948005</v>
      </c>
    </row>
    <row r="14" spans="1:28" x14ac:dyDescent="0.25">
      <c r="A14" t="s">
        <v>5</v>
      </c>
      <c r="B14" s="1">
        <v>34731</v>
      </c>
      <c r="C14">
        <v>138749</v>
      </c>
      <c r="D14">
        <v>300578062603.90997</v>
      </c>
      <c r="E14">
        <v>100</v>
      </c>
      <c r="H14" s="3">
        <v>34669</v>
      </c>
      <c r="I14" s="4">
        <v>100</v>
      </c>
      <c r="U14" t="s">
        <v>12</v>
      </c>
      <c r="V14" s="1">
        <v>34790</v>
      </c>
      <c r="W14">
        <v>58144</v>
      </c>
      <c r="X14">
        <v>212078601432.42001</v>
      </c>
      <c r="Y14">
        <v>96.580893265796803</v>
      </c>
      <c r="AA14" s="3">
        <v>34731</v>
      </c>
      <c r="AB14" s="4">
        <v>96.797930004529704</v>
      </c>
    </row>
    <row r="15" spans="1:28" x14ac:dyDescent="0.25">
      <c r="A15" t="s">
        <v>5</v>
      </c>
      <c r="B15" s="1">
        <v>34759</v>
      </c>
      <c r="C15">
        <v>139252</v>
      </c>
      <c r="D15">
        <v>301515518476.67999</v>
      </c>
      <c r="E15">
        <v>100</v>
      </c>
      <c r="H15" s="3">
        <v>34700</v>
      </c>
      <c r="I15" s="4">
        <v>100</v>
      </c>
      <c r="U15" t="s">
        <v>12</v>
      </c>
      <c r="V15" s="1">
        <v>34820</v>
      </c>
      <c r="W15">
        <v>58699</v>
      </c>
      <c r="X15">
        <v>214086172771.07001</v>
      </c>
      <c r="Y15">
        <v>96.415450831963796</v>
      </c>
      <c r="AA15" s="3">
        <v>34759</v>
      </c>
      <c r="AB15" s="4">
        <v>96.704603715331203</v>
      </c>
    </row>
    <row r="16" spans="1:28" x14ac:dyDescent="0.25">
      <c r="A16" t="s">
        <v>5</v>
      </c>
      <c r="B16" s="1">
        <v>34790</v>
      </c>
      <c r="C16">
        <v>139640</v>
      </c>
      <c r="D16">
        <v>302130802958.65002</v>
      </c>
      <c r="E16">
        <v>100</v>
      </c>
      <c r="H16" s="3">
        <v>34731</v>
      </c>
      <c r="I16" s="4">
        <v>100</v>
      </c>
      <c r="U16" t="s">
        <v>12</v>
      </c>
      <c r="V16" s="1">
        <v>34851</v>
      </c>
      <c r="W16">
        <v>59299</v>
      </c>
      <c r="X16">
        <v>215985123514.95001</v>
      </c>
      <c r="Y16">
        <v>96.289993664180201</v>
      </c>
      <c r="AA16" s="3">
        <v>34790</v>
      </c>
      <c r="AB16" s="4">
        <v>96.580893265796803</v>
      </c>
    </row>
    <row r="17" spans="1:28" x14ac:dyDescent="0.25">
      <c r="A17" t="s">
        <v>5</v>
      </c>
      <c r="B17" s="1">
        <v>34820</v>
      </c>
      <c r="C17">
        <v>140171</v>
      </c>
      <c r="D17">
        <v>303193167019.19</v>
      </c>
      <c r="E17">
        <v>100</v>
      </c>
      <c r="H17" s="3">
        <v>34759</v>
      </c>
      <c r="I17" s="4">
        <v>100</v>
      </c>
      <c r="U17" t="s">
        <v>12</v>
      </c>
      <c r="V17" s="1">
        <v>34881</v>
      </c>
      <c r="W17">
        <v>59982</v>
      </c>
      <c r="X17">
        <v>218637993872.20999</v>
      </c>
      <c r="Y17">
        <v>96.140167177683495</v>
      </c>
      <c r="AA17" s="3">
        <v>34820</v>
      </c>
      <c r="AB17" s="4">
        <v>96.415450831963796</v>
      </c>
    </row>
    <row r="18" spans="1:28" x14ac:dyDescent="0.25">
      <c r="A18" t="s">
        <v>5</v>
      </c>
      <c r="B18" s="1">
        <v>34851</v>
      </c>
      <c r="C18">
        <v>140845</v>
      </c>
      <c r="D18">
        <v>305276200958.66998</v>
      </c>
      <c r="E18">
        <v>100</v>
      </c>
      <c r="H18" s="3">
        <v>34790</v>
      </c>
      <c r="I18" s="4">
        <v>100</v>
      </c>
      <c r="U18" t="s">
        <v>12</v>
      </c>
      <c r="V18" s="1">
        <v>34912</v>
      </c>
      <c r="W18">
        <v>60798</v>
      </c>
      <c r="X18">
        <v>220537691305.53</v>
      </c>
      <c r="Y18">
        <v>96.0699306058102</v>
      </c>
      <c r="AA18" s="3">
        <v>34851</v>
      </c>
      <c r="AB18" s="4">
        <v>96.289993664180201</v>
      </c>
    </row>
    <row r="19" spans="1:28" x14ac:dyDescent="0.25">
      <c r="A19" t="s">
        <v>5</v>
      </c>
      <c r="B19" s="1">
        <v>34881</v>
      </c>
      <c r="C19">
        <v>141735</v>
      </c>
      <c r="D19">
        <v>308579513635.09003</v>
      </c>
      <c r="E19">
        <v>100</v>
      </c>
      <c r="H19" s="3">
        <v>34820</v>
      </c>
      <c r="I19" s="4">
        <v>100</v>
      </c>
      <c r="U19" t="s">
        <v>12</v>
      </c>
      <c r="V19" s="1">
        <v>34943</v>
      </c>
      <c r="W19">
        <v>61701</v>
      </c>
      <c r="X19">
        <v>223537636405.35001</v>
      </c>
      <c r="Y19">
        <v>95.970004992844295</v>
      </c>
      <c r="AA19" s="3">
        <v>34881</v>
      </c>
      <c r="AB19" s="4">
        <v>96.140167177683495</v>
      </c>
    </row>
    <row r="20" spans="1:28" x14ac:dyDescent="0.25">
      <c r="A20" t="s">
        <v>5</v>
      </c>
      <c r="B20" s="1">
        <v>34912</v>
      </c>
      <c r="C20">
        <v>142847</v>
      </c>
      <c r="D20">
        <v>313306085244.25</v>
      </c>
      <c r="E20">
        <v>100</v>
      </c>
      <c r="H20" s="3">
        <v>34851</v>
      </c>
      <c r="I20" s="4">
        <v>100</v>
      </c>
      <c r="U20" t="s">
        <v>12</v>
      </c>
      <c r="V20" s="1">
        <v>34973</v>
      </c>
      <c r="W20">
        <v>62672</v>
      </c>
      <c r="X20">
        <v>229405456728.67999</v>
      </c>
      <c r="Y20">
        <v>95.719948288162598</v>
      </c>
      <c r="AA20" s="3">
        <v>34912</v>
      </c>
      <c r="AB20" s="4">
        <v>96.0699306058102</v>
      </c>
    </row>
    <row r="21" spans="1:28" x14ac:dyDescent="0.25">
      <c r="A21" t="s">
        <v>5</v>
      </c>
      <c r="B21" s="1">
        <v>34943</v>
      </c>
      <c r="C21">
        <v>143912</v>
      </c>
      <c r="D21">
        <v>317855864434.04999</v>
      </c>
      <c r="E21">
        <v>100</v>
      </c>
      <c r="H21" s="3">
        <v>34881</v>
      </c>
      <c r="I21" s="4">
        <v>100</v>
      </c>
      <c r="U21" t="s">
        <v>12</v>
      </c>
      <c r="V21" s="1">
        <v>35004</v>
      </c>
      <c r="W21">
        <v>63520</v>
      </c>
      <c r="X21">
        <v>235258720640.07999</v>
      </c>
      <c r="Y21">
        <v>95.454564179037803</v>
      </c>
      <c r="AA21" s="3">
        <v>34943</v>
      </c>
      <c r="AB21" s="4">
        <v>95.970004992844295</v>
      </c>
    </row>
    <row r="22" spans="1:28" x14ac:dyDescent="0.25">
      <c r="A22" t="s">
        <v>5</v>
      </c>
      <c r="B22" s="1">
        <v>34973</v>
      </c>
      <c r="C22">
        <v>144902</v>
      </c>
      <c r="D22">
        <v>321938074374.90002</v>
      </c>
      <c r="E22">
        <v>100</v>
      </c>
      <c r="H22" s="3">
        <v>34912</v>
      </c>
      <c r="I22" s="4">
        <v>100</v>
      </c>
      <c r="U22" t="s">
        <v>12</v>
      </c>
      <c r="V22" s="1">
        <v>35034</v>
      </c>
      <c r="W22">
        <v>64356</v>
      </c>
      <c r="X22">
        <v>239238384049.14999</v>
      </c>
      <c r="Y22">
        <v>95.309097276227803</v>
      </c>
      <c r="AA22" s="3">
        <v>34973</v>
      </c>
      <c r="AB22" s="4">
        <v>95.719948288162598</v>
      </c>
    </row>
    <row r="23" spans="1:28" x14ac:dyDescent="0.25">
      <c r="A23" t="s">
        <v>5</v>
      </c>
      <c r="B23" s="1">
        <v>35004</v>
      </c>
      <c r="C23">
        <v>145867</v>
      </c>
      <c r="D23">
        <v>326586660235.34998</v>
      </c>
      <c r="E23">
        <v>100</v>
      </c>
      <c r="H23" s="3">
        <v>34943</v>
      </c>
      <c r="I23" s="4">
        <v>100</v>
      </c>
      <c r="U23" t="s">
        <v>12</v>
      </c>
      <c r="V23" s="1">
        <v>35065</v>
      </c>
      <c r="W23">
        <v>65235</v>
      </c>
      <c r="X23">
        <v>242924225298.66</v>
      </c>
      <c r="Y23">
        <v>95.207580805184193</v>
      </c>
      <c r="AA23" s="3">
        <v>35004</v>
      </c>
      <c r="AB23" s="4">
        <v>95.454564179037803</v>
      </c>
    </row>
    <row r="24" spans="1:28" x14ac:dyDescent="0.25">
      <c r="A24" t="s">
        <v>5</v>
      </c>
      <c r="B24" s="1">
        <v>35034</v>
      </c>
      <c r="C24">
        <v>146882</v>
      </c>
      <c r="D24">
        <v>331964887053.32001</v>
      </c>
      <c r="E24">
        <v>100</v>
      </c>
      <c r="H24" s="3">
        <v>34973</v>
      </c>
      <c r="I24" s="4">
        <v>100</v>
      </c>
      <c r="U24" t="s">
        <v>12</v>
      </c>
      <c r="V24" s="1">
        <v>35096</v>
      </c>
      <c r="W24">
        <v>66160</v>
      </c>
      <c r="X24">
        <v>247706198611.98999</v>
      </c>
      <c r="Y24">
        <v>95.068968282893394</v>
      </c>
      <c r="AA24" s="3">
        <v>35034</v>
      </c>
      <c r="AB24" s="4">
        <v>95.309097276227803</v>
      </c>
    </row>
    <row r="25" spans="1:28" x14ac:dyDescent="0.25">
      <c r="A25" t="s">
        <v>5</v>
      </c>
      <c r="B25" s="1">
        <v>35065</v>
      </c>
      <c r="C25">
        <v>147919</v>
      </c>
      <c r="D25">
        <v>337304062600.06</v>
      </c>
      <c r="E25">
        <v>23.9040337806804</v>
      </c>
      <c r="H25" s="3">
        <v>35004</v>
      </c>
      <c r="I25" s="4">
        <v>100</v>
      </c>
      <c r="U25" t="s">
        <v>12</v>
      </c>
      <c r="V25" s="1">
        <v>35125</v>
      </c>
      <c r="W25">
        <v>67083</v>
      </c>
      <c r="X25">
        <v>252451222078.59</v>
      </c>
      <c r="Y25">
        <v>94.9282536272312</v>
      </c>
      <c r="AA25" s="3">
        <v>35065</v>
      </c>
      <c r="AB25" s="4">
        <v>95.207580805184193</v>
      </c>
    </row>
    <row r="26" spans="1:28" x14ac:dyDescent="0.25">
      <c r="A26" t="s">
        <v>5</v>
      </c>
      <c r="B26" s="1">
        <v>35096</v>
      </c>
      <c r="C26">
        <v>148833</v>
      </c>
      <c r="D26">
        <v>341672418203.37</v>
      </c>
      <c r="E26">
        <v>24.1377362792234</v>
      </c>
      <c r="H26" s="3">
        <v>35034</v>
      </c>
      <c r="I26" s="4">
        <v>100</v>
      </c>
      <c r="U26" t="s">
        <v>12</v>
      </c>
      <c r="V26" s="1">
        <v>35156</v>
      </c>
      <c r="W26">
        <v>68019</v>
      </c>
      <c r="X26">
        <v>258576610453.45001</v>
      </c>
      <c r="Y26">
        <v>94.718777649845606</v>
      </c>
      <c r="AA26" s="3">
        <v>35096</v>
      </c>
      <c r="AB26" s="4">
        <v>95.068968282893394</v>
      </c>
    </row>
    <row r="27" spans="1:28" x14ac:dyDescent="0.25">
      <c r="A27" t="s">
        <v>5</v>
      </c>
      <c r="B27" s="1">
        <v>35125</v>
      </c>
      <c r="C27">
        <v>149785</v>
      </c>
      <c r="D27">
        <v>346545445220.38</v>
      </c>
      <c r="E27">
        <v>24.2468457926296</v>
      </c>
      <c r="H27" s="3">
        <v>35065</v>
      </c>
      <c r="I27" s="4">
        <v>23.9040337806804</v>
      </c>
      <c r="U27" t="s">
        <v>12</v>
      </c>
      <c r="V27" s="1">
        <v>35186</v>
      </c>
      <c r="W27">
        <v>68897</v>
      </c>
      <c r="X27">
        <v>263680566665.75</v>
      </c>
      <c r="Y27">
        <v>94.517617836355498</v>
      </c>
      <c r="AA27" s="3">
        <v>35125</v>
      </c>
      <c r="AB27" s="4">
        <v>94.9282536272312</v>
      </c>
    </row>
    <row r="28" spans="1:28" x14ac:dyDescent="0.25">
      <c r="A28" t="s">
        <v>5</v>
      </c>
      <c r="B28" s="1">
        <v>35156</v>
      </c>
      <c r="C28">
        <v>150727</v>
      </c>
      <c r="D28">
        <v>350465555808.21997</v>
      </c>
      <c r="E28">
        <v>24.264011179889302</v>
      </c>
      <c r="H28" s="3">
        <v>35096</v>
      </c>
      <c r="I28" s="4">
        <v>24.1377362792234</v>
      </c>
      <c r="U28" t="s">
        <v>12</v>
      </c>
      <c r="V28" s="1">
        <v>35217</v>
      </c>
      <c r="W28">
        <v>69782</v>
      </c>
      <c r="X28">
        <v>266531739812.85999</v>
      </c>
      <c r="Y28">
        <v>94.433956535743107</v>
      </c>
      <c r="AA28" s="3">
        <v>35156</v>
      </c>
      <c r="AB28" s="4">
        <v>94.718777649845606</v>
      </c>
    </row>
    <row r="29" spans="1:28" x14ac:dyDescent="0.25">
      <c r="A29" t="s">
        <v>5</v>
      </c>
      <c r="B29" s="1">
        <v>35186</v>
      </c>
      <c r="C29">
        <v>151726</v>
      </c>
      <c r="D29">
        <v>354683248452.60999</v>
      </c>
      <c r="E29">
        <v>24.276981894699802</v>
      </c>
      <c r="H29" s="3">
        <v>35125</v>
      </c>
      <c r="I29" s="4">
        <v>24.2468457926296</v>
      </c>
      <c r="U29" t="s">
        <v>12</v>
      </c>
      <c r="V29" s="1">
        <v>35247</v>
      </c>
      <c r="W29">
        <v>70524</v>
      </c>
      <c r="X29">
        <v>269946338845.72</v>
      </c>
      <c r="Y29">
        <v>94.279860937165907</v>
      </c>
      <c r="AA29" s="3">
        <v>35186</v>
      </c>
      <c r="AB29" s="4">
        <v>94.517617836355498</v>
      </c>
    </row>
    <row r="30" spans="1:28" x14ac:dyDescent="0.25">
      <c r="A30" t="s">
        <v>5</v>
      </c>
      <c r="B30" s="1">
        <v>35217</v>
      </c>
      <c r="C30">
        <v>152681</v>
      </c>
      <c r="D30">
        <v>359153508694.62</v>
      </c>
      <c r="E30">
        <v>24.249599072896402</v>
      </c>
      <c r="H30" s="3">
        <v>35156</v>
      </c>
      <c r="I30" s="4">
        <v>24.264011179889302</v>
      </c>
      <c r="U30" t="s">
        <v>12</v>
      </c>
      <c r="V30" s="1">
        <v>35278</v>
      </c>
      <c r="W30">
        <v>71320</v>
      </c>
      <c r="X30">
        <v>275359751202.96997</v>
      </c>
      <c r="Y30">
        <v>94.046836234387399</v>
      </c>
      <c r="AA30" s="3">
        <v>35217</v>
      </c>
      <c r="AB30" s="4">
        <v>94.433956535743107</v>
      </c>
    </row>
    <row r="31" spans="1:28" x14ac:dyDescent="0.25">
      <c r="A31" t="s">
        <v>5</v>
      </c>
      <c r="B31" s="1">
        <v>35247</v>
      </c>
      <c r="C31">
        <v>153592</v>
      </c>
      <c r="D31">
        <v>364145909105.21997</v>
      </c>
      <c r="E31">
        <v>24.232831860734301</v>
      </c>
      <c r="H31" s="3">
        <v>35186</v>
      </c>
      <c r="I31" s="4">
        <v>24.276981894699802</v>
      </c>
      <c r="U31" t="s">
        <v>12</v>
      </c>
      <c r="V31" s="1">
        <v>35309</v>
      </c>
      <c r="W31">
        <v>72068</v>
      </c>
      <c r="X31">
        <v>279116219901</v>
      </c>
      <c r="Y31">
        <v>93.902239936808499</v>
      </c>
      <c r="AA31" s="3">
        <v>35247</v>
      </c>
      <c r="AB31" s="4">
        <v>94.279860937165907</v>
      </c>
    </row>
    <row r="32" spans="1:28" x14ac:dyDescent="0.25">
      <c r="A32" t="s">
        <v>5</v>
      </c>
      <c r="B32" s="1">
        <v>35278</v>
      </c>
      <c r="C32">
        <v>154353</v>
      </c>
      <c r="D32">
        <v>367843583423.22998</v>
      </c>
      <c r="E32">
        <v>24.241661598891099</v>
      </c>
      <c r="H32" s="3">
        <v>35217</v>
      </c>
      <c r="I32" s="4">
        <v>24.249599072896402</v>
      </c>
      <c r="U32" t="s">
        <v>12</v>
      </c>
      <c r="V32" s="1">
        <v>35339</v>
      </c>
      <c r="W32">
        <v>72680</v>
      </c>
      <c r="X32">
        <v>282696691198.75</v>
      </c>
      <c r="Y32">
        <v>93.747279131194702</v>
      </c>
      <c r="AA32" s="3">
        <v>35278</v>
      </c>
      <c r="AB32" s="4">
        <v>94.046836234387399</v>
      </c>
    </row>
    <row r="33" spans="1:28" x14ac:dyDescent="0.25">
      <c r="A33" t="s">
        <v>5</v>
      </c>
      <c r="B33" s="1">
        <v>35309</v>
      </c>
      <c r="C33">
        <v>155081</v>
      </c>
      <c r="D33">
        <v>370513413856.09998</v>
      </c>
      <c r="E33">
        <v>24.315494830336998</v>
      </c>
      <c r="H33" s="3">
        <v>35247</v>
      </c>
      <c r="I33" s="4">
        <v>24.232831860734301</v>
      </c>
      <c r="U33" t="s">
        <v>12</v>
      </c>
      <c r="V33" s="1">
        <v>35370</v>
      </c>
      <c r="W33">
        <v>73401</v>
      </c>
      <c r="X33">
        <v>286599324454.46997</v>
      </c>
      <c r="Y33">
        <v>93.619053387659307</v>
      </c>
      <c r="AA33" s="3">
        <v>35309</v>
      </c>
      <c r="AB33" s="4">
        <v>93.902239936808499</v>
      </c>
    </row>
    <row r="34" spans="1:28" x14ac:dyDescent="0.25">
      <c r="A34" t="s">
        <v>5</v>
      </c>
      <c r="B34" s="1">
        <v>35339</v>
      </c>
      <c r="C34">
        <v>155900</v>
      </c>
      <c r="D34">
        <v>375154945459.59998</v>
      </c>
      <c r="E34">
        <v>24.366078209419399</v>
      </c>
      <c r="H34" s="3">
        <v>35278</v>
      </c>
      <c r="I34" s="4">
        <v>24.241661598891099</v>
      </c>
      <c r="U34" t="s">
        <v>12</v>
      </c>
      <c r="V34" s="1">
        <v>35400</v>
      </c>
      <c r="W34">
        <v>74137</v>
      </c>
      <c r="X34">
        <v>289245055308.17999</v>
      </c>
      <c r="Y34">
        <v>93.540671648384404</v>
      </c>
      <c r="AA34" s="3">
        <v>35339</v>
      </c>
      <c r="AB34" s="4">
        <v>93.747279131194702</v>
      </c>
    </row>
    <row r="35" spans="1:28" x14ac:dyDescent="0.25">
      <c r="A35" t="s">
        <v>5</v>
      </c>
      <c r="B35" s="1">
        <v>35370</v>
      </c>
      <c r="C35">
        <v>156553</v>
      </c>
      <c r="D35">
        <v>378164550622.22998</v>
      </c>
      <c r="E35">
        <v>24.4214435912955</v>
      </c>
      <c r="H35" s="3">
        <v>35309</v>
      </c>
      <c r="I35" s="4">
        <v>24.315494830336998</v>
      </c>
      <c r="U35" t="s">
        <v>12</v>
      </c>
      <c r="V35" s="1">
        <v>35490</v>
      </c>
      <c r="W35">
        <v>76146</v>
      </c>
      <c r="X35">
        <v>305558806072.76001</v>
      </c>
      <c r="Y35">
        <v>92.993150188481806</v>
      </c>
      <c r="AA35" s="3">
        <v>35370</v>
      </c>
      <c r="AB35" s="4">
        <v>93.619053387659307</v>
      </c>
    </row>
    <row r="36" spans="1:28" x14ac:dyDescent="0.25">
      <c r="A36" t="s">
        <v>5</v>
      </c>
      <c r="B36" s="1">
        <v>35400</v>
      </c>
      <c r="C36">
        <v>157183</v>
      </c>
      <c r="D36">
        <v>380573155397.19</v>
      </c>
      <c r="E36">
        <v>24.5409886947002</v>
      </c>
      <c r="H36" s="3">
        <v>35339</v>
      </c>
      <c r="I36" s="4">
        <v>24.366078209419399</v>
      </c>
      <c r="U36" t="s">
        <v>12</v>
      </c>
      <c r="V36" s="1">
        <v>35521</v>
      </c>
      <c r="W36">
        <v>76726</v>
      </c>
      <c r="X36">
        <v>308203632776.14001</v>
      </c>
      <c r="Y36">
        <v>92.902874572158197</v>
      </c>
      <c r="AA36" s="3">
        <v>35400</v>
      </c>
      <c r="AB36" s="4">
        <v>93.540671648384404</v>
      </c>
    </row>
    <row r="37" spans="1:28" x14ac:dyDescent="0.25">
      <c r="A37" t="s">
        <v>5</v>
      </c>
      <c r="B37" s="1">
        <v>35431</v>
      </c>
      <c r="C37">
        <v>157961</v>
      </c>
      <c r="D37">
        <v>383579286284.32001</v>
      </c>
      <c r="E37">
        <v>25.5759162958479</v>
      </c>
      <c r="H37" s="3">
        <v>35370</v>
      </c>
      <c r="I37" s="4">
        <v>24.4214435912955</v>
      </c>
      <c r="U37" t="s">
        <v>12</v>
      </c>
      <c r="V37" s="1">
        <v>35551</v>
      </c>
      <c r="W37">
        <v>77198</v>
      </c>
      <c r="X37">
        <v>310466649017.64001</v>
      </c>
      <c r="Y37">
        <v>92.824520228906394</v>
      </c>
      <c r="AA37" s="3">
        <v>35490</v>
      </c>
      <c r="AB37" s="4">
        <v>92.993150188481806</v>
      </c>
    </row>
    <row r="38" spans="1:28" x14ac:dyDescent="0.25">
      <c r="A38" t="s">
        <v>5</v>
      </c>
      <c r="B38" s="1">
        <v>35462</v>
      </c>
      <c r="C38">
        <v>158587</v>
      </c>
      <c r="D38">
        <v>385622880966.02002</v>
      </c>
      <c r="E38">
        <v>25.594344150942799</v>
      </c>
      <c r="H38" s="3">
        <v>35400</v>
      </c>
      <c r="I38" s="4">
        <v>24.5409886947002</v>
      </c>
      <c r="U38" t="s">
        <v>12</v>
      </c>
      <c r="V38" s="1">
        <v>35582</v>
      </c>
      <c r="W38">
        <v>77710</v>
      </c>
      <c r="X38">
        <v>312256914058.41998</v>
      </c>
      <c r="Y38">
        <v>92.753503587986103</v>
      </c>
      <c r="AA38" s="3">
        <v>35521</v>
      </c>
      <c r="AB38" s="4">
        <v>92.902874572158197</v>
      </c>
    </row>
    <row r="39" spans="1:28" x14ac:dyDescent="0.25">
      <c r="A39" t="s">
        <v>5</v>
      </c>
      <c r="B39" s="1">
        <v>35490</v>
      </c>
      <c r="C39">
        <v>159328</v>
      </c>
      <c r="D39">
        <v>388944585913.88</v>
      </c>
      <c r="E39">
        <v>25.628449813680199</v>
      </c>
      <c r="H39" s="3">
        <v>35431</v>
      </c>
      <c r="I39" s="4">
        <v>25.5759162958479</v>
      </c>
      <c r="U39" t="s">
        <v>12</v>
      </c>
      <c r="V39" s="1">
        <v>35612</v>
      </c>
      <c r="W39">
        <v>78238</v>
      </c>
      <c r="X39">
        <v>315317531887.77002</v>
      </c>
      <c r="Y39">
        <v>92.644354738794206</v>
      </c>
      <c r="AA39" s="3">
        <v>35551</v>
      </c>
      <c r="AB39" s="4">
        <v>92.824520228906394</v>
      </c>
    </row>
    <row r="40" spans="1:28" x14ac:dyDescent="0.25">
      <c r="A40" t="s">
        <v>5</v>
      </c>
      <c r="B40" s="1">
        <v>35521</v>
      </c>
      <c r="C40">
        <v>160031</v>
      </c>
      <c r="D40">
        <v>391996345649.14001</v>
      </c>
      <c r="E40">
        <v>25.602052686198</v>
      </c>
      <c r="H40" s="3">
        <v>35462</v>
      </c>
      <c r="I40" s="4">
        <v>25.594344150942799</v>
      </c>
      <c r="U40" t="s">
        <v>12</v>
      </c>
      <c r="V40" s="1">
        <v>35643</v>
      </c>
      <c r="W40">
        <v>78728</v>
      </c>
      <c r="X40">
        <v>318968926684.46997</v>
      </c>
      <c r="Y40">
        <v>92.511880458717599</v>
      </c>
      <c r="AA40" s="3">
        <v>35582</v>
      </c>
      <c r="AB40" s="4">
        <v>92.753503587986103</v>
      </c>
    </row>
    <row r="41" spans="1:28" x14ac:dyDescent="0.25">
      <c r="A41" t="s">
        <v>5</v>
      </c>
      <c r="B41" s="1">
        <v>35551</v>
      </c>
      <c r="C41">
        <v>160667</v>
      </c>
      <c r="D41">
        <v>394401986179.65997</v>
      </c>
      <c r="E41">
        <v>25.654788681013599</v>
      </c>
      <c r="H41" s="3">
        <v>35490</v>
      </c>
      <c r="I41" s="4">
        <v>25.628449813680199</v>
      </c>
      <c r="U41" t="s">
        <v>12</v>
      </c>
      <c r="V41" s="1">
        <v>35674</v>
      </c>
      <c r="W41">
        <v>79279</v>
      </c>
      <c r="X41">
        <v>322889944513.82001</v>
      </c>
      <c r="Y41">
        <v>92.416946943406799</v>
      </c>
      <c r="AA41" s="3">
        <v>35612</v>
      </c>
      <c r="AB41" s="4">
        <v>92.644354738794206</v>
      </c>
    </row>
    <row r="42" spans="1:28" x14ac:dyDescent="0.25">
      <c r="A42" t="s">
        <v>5</v>
      </c>
      <c r="B42" s="1">
        <v>35582</v>
      </c>
      <c r="C42">
        <v>161332</v>
      </c>
      <c r="D42">
        <v>397650299517.78003</v>
      </c>
      <c r="E42">
        <v>25.7004559306001</v>
      </c>
      <c r="H42" s="3">
        <v>35521</v>
      </c>
      <c r="I42" s="4">
        <v>25.602052686198</v>
      </c>
      <c r="U42" t="s">
        <v>12</v>
      </c>
      <c r="V42" s="1">
        <v>35704</v>
      </c>
      <c r="W42">
        <v>79818</v>
      </c>
      <c r="X42">
        <v>326223233406.87</v>
      </c>
      <c r="Y42">
        <v>92.332196161286404</v>
      </c>
      <c r="AA42" s="3">
        <v>35643</v>
      </c>
      <c r="AB42" s="4">
        <v>92.511880458717599</v>
      </c>
    </row>
    <row r="43" spans="1:28" x14ac:dyDescent="0.25">
      <c r="A43" t="s">
        <v>5</v>
      </c>
      <c r="B43" s="1">
        <v>35612</v>
      </c>
      <c r="C43">
        <v>161858</v>
      </c>
      <c r="D43">
        <v>399661358461.85999</v>
      </c>
      <c r="E43">
        <v>25.779795489019801</v>
      </c>
      <c r="H43" s="3">
        <v>35551</v>
      </c>
      <c r="I43" s="4">
        <v>25.654788681013599</v>
      </c>
      <c r="U43" t="s">
        <v>12</v>
      </c>
      <c r="V43" s="1">
        <v>35735</v>
      </c>
      <c r="W43">
        <v>80470</v>
      </c>
      <c r="X43">
        <v>331462404329.59998</v>
      </c>
      <c r="Y43">
        <v>92.248022386213506</v>
      </c>
      <c r="AA43" s="3">
        <v>35674</v>
      </c>
      <c r="AB43" s="4">
        <v>92.416946943406799</v>
      </c>
    </row>
    <row r="44" spans="1:28" x14ac:dyDescent="0.25">
      <c r="A44" t="s">
        <v>5</v>
      </c>
      <c r="B44" s="1">
        <v>35643</v>
      </c>
      <c r="C44">
        <v>162531</v>
      </c>
      <c r="D44">
        <v>402473247826.06</v>
      </c>
      <c r="E44">
        <v>25.879236352383799</v>
      </c>
      <c r="H44" s="3">
        <v>35582</v>
      </c>
      <c r="I44" s="4">
        <v>25.7004559306001</v>
      </c>
      <c r="U44" t="s">
        <v>12</v>
      </c>
      <c r="V44" s="1">
        <v>35765</v>
      </c>
      <c r="W44">
        <v>81105</v>
      </c>
      <c r="X44">
        <v>335920440468.38</v>
      </c>
      <c r="Y44">
        <v>92.112657381390605</v>
      </c>
      <c r="AA44" s="3">
        <v>35704</v>
      </c>
      <c r="AB44" s="4">
        <v>92.332196161286404</v>
      </c>
    </row>
    <row r="45" spans="1:28" x14ac:dyDescent="0.25">
      <c r="A45" t="s">
        <v>5</v>
      </c>
      <c r="B45" s="1">
        <v>35674</v>
      </c>
      <c r="C45">
        <v>163328</v>
      </c>
      <c r="D45">
        <v>407135000510.78003</v>
      </c>
      <c r="E45">
        <v>25.839700524105901</v>
      </c>
      <c r="H45" s="3">
        <v>35612</v>
      </c>
      <c r="I45" s="4">
        <v>25.779795489019801</v>
      </c>
      <c r="U45" t="s">
        <v>12</v>
      </c>
      <c r="V45" s="1">
        <v>35796</v>
      </c>
      <c r="W45">
        <v>81826</v>
      </c>
      <c r="X45">
        <v>341078292801.59998</v>
      </c>
      <c r="Y45">
        <v>92.025928040633204</v>
      </c>
      <c r="AA45" s="3">
        <v>35735</v>
      </c>
      <c r="AB45" s="4">
        <v>92.248022386213506</v>
      </c>
    </row>
    <row r="46" spans="1:28" x14ac:dyDescent="0.25">
      <c r="A46" t="s">
        <v>5</v>
      </c>
      <c r="B46" s="1">
        <v>35704</v>
      </c>
      <c r="C46">
        <v>164171</v>
      </c>
      <c r="D46">
        <v>410957899203.09998</v>
      </c>
      <c r="E46">
        <v>25.892714667461298</v>
      </c>
      <c r="H46" s="3">
        <v>35643</v>
      </c>
      <c r="I46" s="4">
        <v>25.879236352383799</v>
      </c>
      <c r="U46" t="s">
        <v>12</v>
      </c>
      <c r="V46" s="1">
        <v>35827</v>
      </c>
      <c r="W46">
        <v>82571</v>
      </c>
      <c r="X46">
        <v>342377531652.5</v>
      </c>
      <c r="Y46">
        <v>92.053310665430601</v>
      </c>
      <c r="AA46" s="3">
        <v>35765</v>
      </c>
      <c r="AB46" s="4">
        <v>92.112657381390605</v>
      </c>
    </row>
    <row r="47" spans="1:28" x14ac:dyDescent="0.25">
      <c r="A47" t="s">
        <v>5</v>
      </c>
      <c r="B47" s="1">
        <v>35735</v>
      </c>
      <c r="C47">
        <v>164998</v>
      </c>
      <c r="D47">
        <v>415578143387.42999</v>
      </c>
      <c r="E47">
        <v>25.918734491286401</v>
      </c>
      <c r="H47" s="3">
        <v>35674</v>
      </c>
      <c r="I47" s="4">
        <v>25.839700524105901</v>
      </c>
      <c r="U47" t="s">
        <v>12</v>
      </c>
      <c r="V47" s="1">
        <v>35855</v>
      </c>
      <c r="W47">
        <v>83367</v>
      </c>
      <c r="X47">
        <v>347235598262.58002</v>
      </c>
      <c r="Y47">
        <v>92.022991506954199</v>
      </c>
      <c r="AA47" s="3">
        <v>35796</v>
      </c>
      <c r="AB47" s="4">
        <v>92.025928040633204</v>
      </c>
    </row>
    <row r="48" spans="1:28" x14ac:dyDescent="0.25">
      <c r="A48" t="s">
        <v>5</v>
      </c>
      <c r="B48" s="1">
        <v>35765</v>
      </c>
      <c r="C48">
        <v>165889</v>
      </c>
      <c r="D48">
        <v>420442181020.82001</v>
      </c>
      <c r="E48">
        <v>25.8684727523957</v>
      </c>
      <c r="H48" s="3">
        <v>35704</v>
      </c>
      <c r="I48" s="4">
        <v>25.892714667461298</v>
      </c>
      <c r="U48" t="s">
        <v>12</v>
      </c>
      <c r="V48" s="1">
        <v>35886</v>
      </c>
      <c r="W48">
        <v>84285</v>
      </c>
      <c r="X48">
        <v>356844623340.15997</v>
      </c>
      <c r="Y48">
        <v>91.853457612590503</v>
      </c>
      <c r="AA48" s="3">
        <v>35827</v>
      </c>
      <c r="AB48" s="4">
        <v>92.053310665430601</v>
      </c>
    </row>
    <row r="49" spans="1:28" x14ac:dyDescent="0.25">
      <c r="A49" t="s">
        <v>5</v>
      </c>
      <c r="B49" s="1">
        <v>35796</v>
      </c>
      <c r="C49">
        <v>166964</v>
      </c>
      <c r="D49">
        <v>425507008058.42999</v>
      </c>
      <c r="E49">
        <v>23.4019153504663</v>
      </c>
      <c r="H49" s="3">
        <v>35735</v>
      </c>
      <c r="I49" s="4">
        <v>25.918734491286401</v>
      </c>
      <c r="U49" t="s">
        <v>12</v>
      </c>
      <c r="V49" s="1">
        <v>35916</v>
      </c>
      <c r="W49">
        <v>85347</v>
      </c>
      <c r="X49">
        <v>363989269831.03998</v>
      </c>
      <c r="Y49">
        <v>91.768115515667404</v>
      </c>
      <c r="AA49" s="3">
        <v>35855</v>
      </c>
      <c r="AB49" s="4">
        <v>92.022991506954199</v>
      </c>
    </row>
    <row r="50" spans="1:28" x14ac:dyDescent="0.25">
      <c r="A50" t="s">
        <v>5</v>
      </c>
      <c r="B50" s="1">
        <v>35827</v>
      </c>
      <c r="C50">
        <v>167888</v>
      </c>
      <c r="D50">
        <v>430133364045.90002</v>
      </c>
      <c r="E50">
        <v>23.430173551169499</v>
      </c>
      <c r="H50" s="3">
        <v>35765</v>
      </c>
      <c r="I50" s="4">
        <v>25.8684727523957</v>
      </c>
      <c r="U50" t="s">
        <v>12</v>
      </c>
      <c r="V50" s="1">
        <v>35947</v>
      </c>
      <c r="W50">
        <v>86333</v>
      </c>
      <c r="X50">
        <v>369967952529.34998</v>
      </c>
      <c r="Y50">
        <v>91.673935599984702</v>
      </c>
      <c r="AA50" s="3">
        <v>35886</v>
      </c>
      <c r="AB50" s="4">
        <v>91.853457612590503</v>
      </c>
    </row>
    <row r="51" spans="1:28" x14ac:dyDescent="0.25">
      <c r="A51" t="s">
        <v>5</v>
      </c>
      <c r="B51" s="1">
        <v>35855</v>
      </c>
      <c r="C51">
        <v>169006</v>
      </c>
      <c r="D51">
        <v>436014643807.73999</v>
      </c>
      <c r="E51">
        <v>23.480647018681399</v>
      </c>
      <c r="H51" s="3">
        <v>35796</v>
      </c>
      <c r="I51" s="4">
        <v>23.4019153504663</v>
      </c>
      <c r="U51" t="s">
        <v>12</v>
      </c>
      <c r="V51" s="1">
        <v>35977</v>
      </c>
      <c r="W51">
        <v>87205</v>
      </c>
      <c r="X51">
        <v>377339687889.40997</v>
      </c>
      <c r="Y51">
        <v>91.570922345367805</v>
      </c>
      <c r="AA51" s="3">
        <v>35916</v>
      </c>
      <c r="AB51" s="4">
        <v>91.768115515667404</v>
      </c>
    </row>
    <row r="52" spans="1:28" x14ac:dyDescent="0.25">
      <c r="A52" t="s">
        <v>5</v>
      </c>
      <c r="B52" s="1">
        <v>35886</v>
      </c>
      <c r="C52">
        <v>170201</v>
      </c>
      <c r="D52">
        <v>440572182741.69</v>
      </c>
      <c r="E52">
        <v>23.571062098696899</v>
      </c>
      <c r="H52" s="3">
        <v>35827</v>
      </c>
      <c r="I52" s="4">
        <v>23.430173551169499</v>
      </c>
      <c r="U52" t="s">
        <v>12</v>
      </c>
      <c r="V52" s="1">
        <v>36008</v>
      </c>
      <c r="W52">
        <v>88347</v>
      </c>
      <c r="X52">
        <v>386367453157.35999</v>
      </c>
      <c r="Y52">
        <v>91.517389801174403</v>
      </c>
      <c r="AA52" s="3">
        <v>35947</v>
      </c>
      <c r="AB52" s="4">
        <v>91.673935599984702</v>
      </c>
    </row>
    <row r="53" spans="1:28" x14ac:dyDescent="0.25">
      <c r="A53" t="s">
        <v>5</v>
      </c>
      <c r="B53" s="1">
        <v>35916</v>
      </c>
      <c r="C53">
        <v>171456</v>
      </c>
      <c r="D53">
        <v>447378001346.06</v>
      </c>
      <c r="E53">
        <v>23.516082028561399</v>
      </c>
      <c r="H53" s="3">
        <v>35855</v>
      </c>
      <c r="I53" s="4">
        <v>23.480647018681399</v>
      </c>
      <c r="U53" t="s">
        <v>12</v>
      </c>
      <c r="V53" s="1">
        <v>36039</v>
      </c>
      <c r="W53">
        <v>89353</v>
      </c>
      <c r="X53">
        <v>391655603963.95001</v>
      </c>
      <c r="Y53">
        <v>91.533661788427906</v>
      </c>
      <c r="AA53" s="3">
        <v>35977</v>
      </c>
      <c r="AB53" s="4">
        <v>91.570922345367805</v>
      </c>
    </row>
    <row r="54" spans="1:28" x14ac:dyDescent="0.25">
      <c r="A54" t="s">
        <v>5</v>
      </c>
      <c r="B54" s="1">
        <v>35947</v>
      </c>
      <c r="C54">
        <v>172582</v>
      </c>
      <c r="D54">
        <v>454600787180.84998</v>
      </c>
      <c r="E54">
        <v>23.517902337879399</v>
      </c>
      <c r="H54" s="3">
        <v>35886</v>
      </c>
      <c r="I54" s="4">
        <v>23.571062098696899</v>
      </c>
      <c r="U54" t="s">
        <v>12</v>
      </c>
      <c r="V54" s="1">
        <v>36069</v>
      </c>
      <c r="W54">
        <v>90394</v>
      </c>
      <c r="X54">
        <v>395905188008.88</v>
      </c>
      <c r="Y54">
        <v>91.556802230438095</v>
      </c>
      <c r="AA54" s="3">
        <v>36008</v>
      </c>
      <c r="AB54" s="4">
        <v>91.517389801174403</v>
      </c>
    </row>
    <row r="55" spans="1:28" x14ac:dyDescent="0.25">
      <c r="A55" t="s">
        <v>5</v>
      </c>
      <c r="B55" s="1">
        <v>35977</v>
      </c>
      <c r="C55">
        <v>173773</v>
      </c>
      <c r="D55">
        <v>463337515393.27002</v>
      </c>
      <c r="E55">
        <v>23.534384688912599</v>
      </c>
      <c r="H55" s="3">
        <v>35916</v>
      </c>
      <c r="I55" s="4">
        <v>23.516082028561399</v>
      </c>
      <c r="U55" t="s">
        <v>12</v>
      </c>
      <c r="V55" s="1">
        <v>36100</v>
      </c>
      <c r="W55">
        <v>91404</v>
      </c>
      <c r="X55">
        <v>405477226088.94</v>
      </c>
      <c r="Y55">
        <v>91.394038464355305</v>
      </c>
      <c r="AA55" s="3">
        <v>36039</v>
      </c>
      <c r="AB55" s="4">
        <v>91.533661788427906</v>
      </c>
    </row>
    <row r="56" spans="1:28" x14ac:dyDescent="0.25">
      <c r="A56" t="s">
        <v>5</v>
      </c>
      <c r="B56" s="1">
        <v>36008</v>
      </c>
      <c r="C56">
        <v>174901</v>
      </c>
      <c r="D56">
        <v>473963930458.06</v>
      </c>
      <c r="E56">
        <v>23.450623678978602</v>
      </c>
      <c r="H56" s="3">
        <v>35947</v>
      </c>
      <c r="I56" s="4">
        <v>23.517902337879399</v>
      </c>
      <c r="U56" t="s">
        <v>12</v>
      </c>
      <c r="V56" s="1">
        <v>36130</v>
      </c>
      <c r="W56">
        <v>92421</v>
      </c>
      <c r="X56">
        <v>415987868538.75</v>
      </c>
      <c r="Y56">
        <v>91.248054735348205</v>
      </c>
      <c r="AA56" s="3">
        <v>36069</v>
      </c>
      <c r="AB56" s="4">
        <v>91.556802230438095</v>
      </c>
    </row>
    <row r="57" spans="1:28" x14ac:dyDescent="0.25">
      <c r="A57" t="s">
        <v>5</v>
      </c>
      <c r="B57" s="1">
        <v>36039</v>
      </c>
      <c r="C57">
        <v>175971</v>
      </c>
      <c r="D57">
        <v>482637195788</v>
      </c>
      <c r="E57">
        <v>23.465814470552999</v>
      </c>
      <c r="H57" s="3">
        <v>35977</v>
      </c>
      <c r="I57" s="4">
        <v>23.534384688912599</v>
      </c>
      <c r="U57" t="s">
        <v>12</v>
      </c>
      <c r="V57" s="1">
        <v>36161</v>
      </c>
      <c r="W57">
        <v>93582</v>
      </c>
      <c r="X57">
        <v>423029711253.54999</v>
      </c>
      <c r="Y57">
        <v>91.173404727319095</v>
      </c>
      <c r="AA57" s="3">
        <v>36100</v>
      </c>
      <c r="AB57" s="4">
        <v>91.394038464355305</v>
      </c>
    </row>
    <row r="58" spans="1:28" x14ac:dyDescent="0.25">
      <c r="A58" t="s">
        <v>5</v>
      </c>
      <c r="B58" s="1">
        <v>36069</v>
      </c>
      <c r="C58">
        <v>177221</v>
      </c>
      <c r="D58">
        <v>492759677673.42999</v>
      </c>
      <c r="E58">
        <v>23.505330083208101</v>
      </c>
      <c r="H58" s="3">
        <v>36008</v>
      </c>
      <c r="I58" s="4">
        <v>23.450623678978602</v>
      </c>
      <c r="U58" t="s">
        <v>12</v>
      </c>
      <c r="V58" s="1">
        <v>36192</v>
      </c>
      <c r="W58">
        <v>94621</v>
      </c>
      <c r="X58">
        <v>428789332116.60999</v>
      </c>
      <c r="Y58">
        <v>91.060510110117306</v>
      </c>
      <c r="AA58" s="3">
        <v>36130</v>
      </c>
      <c r="AB58" s="4">
        <v>91.248054735348205</v>
      </c>
    </row>
    <row r="59" spans="1:28" x14ac:dyDescent="0.25">
      <c r="A59" t="s">
        <v>5</v>
      </c>
      <c r="B59" s="1">
        <v>36100</v>
      </c>
      <c r="C59">
        <v>178640</v>
      </c>
      <c r="D59">
        <v>502211629634.06</v>
      </c>
      <c r="E59">
        <v>23.4553603093931</v>
      </c>
      <c r="H59" s="3">
        <v>36039</v>
      </c>
      <c r="I59" s="4">
        <v>23.465814470552999</v>
      </c>
      <c r="U59" t="s">
        <v>12</v>
      </c>
      <c r="V59" s="1">
        <v>36220</v>
      </c>
      <c r="W59">
        <v>95673</v>
      </c>
      <c r="X59">
        <v>435071002275.32001</v>
      </c>
      <c r="Y59">
        <v>91.029735352678102</v>
      </c>
      <c r="AA59" s="3">
        <v>36161</v>
      </c>
      <c r="AB59" s="4">
        <v>91.173404727319095</v>
      </c>
    </row>
    <row r="60" spans="1:28" x14ac:dyDescent="0.25">
      <c r="A60" t="s">
        <v>5</v>
      </c>
      <c r="B60" s="1">
        <v>36130</v>
      </c>
      <c r="C60">
        <v>179937</v>
      </c>
      <c r="D60">
        <v>508860817728.65997</v>
      </c>
      <c r="E60">
        <v>23.457832225765301</v>
      </c>
      <c r="H60" s="3">
        <v>36069</v>
      </c>
      <c r="I60" s="4">
        <v>23.505330083208101</v>
      </c>
      <c r="U60" t="s">
        <v>12</v>
      </c>
      <c r="V60" s="1">
        <v>36251</v>
      </c>
      <c r="W60">
        <v>96985</v>
      </c>
      <c r="X60">
        <v>445844508849.51001</v>
      </c>
      <c r="Y60">
        <v>90.935961074470796</v>
      </c>
      <c r="AA60" s="3">
        <v>36192</v>
      </c>
      <c r="AB60" s="4">
        <v>91.060510110117306</v>
      </c>
    </row>
    <row r="61" spans="1:28" x14ac:dyDescent="0.25">
      <c r="A61" t="s">
        <v>5</v>
      </c>
      <c r="B61" s="1">
        <v>36161</v>
      </c>
      <c r="C61">
        <v>181535</v>
      </c>
      <c r="D61">
        <v>519181595242.40002</v>
      </c>
      <c r="E61">
        <v>22.859773088248701</v>
      </c>
      <c r="H61" s="3">
        <v>36100</v>
      </c>
      <c r="I61" s="4">
        <v>23.4553603093931</v>
      </c>
      <c r="U61" t="s">
        <v>12</v>
      </c>
      <c r="V61" s="1">
        <v>36281</v>
      </c>
      <c r="W61">
        <v>98319</v>
      </c>
      <c r="X61">
        <v>454861367864.41998</v>
      </c>
      <c r="Y61">
        <v>90.868151897523106</v>
      </c>
      <c r="AA61" s="3">
        <v>36220</v>
      </c>
      <c r="AB61" s="4">
        <v>91.029735352678102</v>
      </c>
    </row>
    <row r="62" spans="1:28" x14ac:dyDescent="0.25">
      <c r="A62" t="s">
        <v>5</v>
      </c>
      <c r="B62" s="1">
        <v>36192</v>
      </c>
      <c r="C62">
        <v>183021</v>
      </c>
      <c r="D62">
        <v>529266546073.46997</v>
      </c>
      <c r="E62">
        <v>22.8647134525621</v>
      </c>
      <c r="H62" s="3">
        <v>36130</v>
      </c>
      <c r="I62" s="4">
        <v>23.457832225765301</v>
      </c>
      <c r="U62" t="s">
        <v>12</v>
      </c>
      <c r="V62" s="1">
        <v>36312</v>
      </c>
      <c r="W62">
        <v>99372</v>
      </c>
      <c r="X62">
        <v>462596813374.56</v>
      </c>
      <c r="Y62">
        <v>90.754331103109195</v>
      </c>
      <c r="AA62" s="3">
        <v>36251</v>
      </c>
      <c r="AB62" s="4">
        <v>90.935961074470796</v>
      </c>
    </row>
    <row r="63" spans="1:28" x14ac:dyDescent="0.25">
      <c r="A63" t="s">
        <v>5</v>
      </c>
      <c r="B63" s="1">
        <v>36220</v>
      </c>
      <c r="C63">
        <v>184355</v>
      </c>
      <c r="D63">
        <v>540755542094.21002</v>
      </c>
      <c r="E63">
        <v>22.8846012847089</v>
      </c>
      <c r="H63" s="3">
        <v>36161</v>
      </c>
      <c r="I63" s="4">
        <v>22.859773088248701</v>
      </c>
      <c r="U63" t="s">
        <v>12</v>
      </c>
      <c r="V63" s="1">
        <v>36342</v>
      </c>
      <c r="W63">
        <v>100290</v>
      </c>
      <c r="X63">
        <v>469015767726</v>
      </c>
      <c r="Y63">
        <v>90.676781769290997</v>
      </c>
      <c r="AA63" s="3">
        <v>36281</v>
      </c>
      <c r="AB63" s="4">
        <v>90.868151897523106</v>
      </c>
    </row>
    <row r="64" spans="1:28" x14ac:dyDescent="0.25">
      <c r="A64" t="s">
        <v>5</v>
      </c>
      <c r="B64" s="1">
        <v>36251</v>
      </c>
      <c r="C64">
        <v>185605</v>
      </c>
      <c r="D64">
        <v>549750472653.34998</v>
      </c>
      <c r="E64">
        <v>22.942006592345301</v>
      </c>
      <c r="H64" s="3">
        <v>36192</v>
      </c>
      <c r="I64" s="4">
        <v>22.8647134525621</v>
      </c>
      <c r="U64" t="s">
        <v>12</v>
      </c>
      <c r="V64" s="1">
        <v>36373</v>
      </c>
      <c r="W64">
        <v>101048</v>
      </c>
      <c r="X64">
        <v>474446604497.37</v>
      </c>
      <c r="Y64">
        <v>90.592704865297094</v>
      </c>
      <c r="AA64" s="3">
        <v>36312</v>
      </c>
      <c r="AB64" s="4">
        <v>90.754331103109195</v>
      </c>
    </row>
    <row r="65" spans="1:28" x14ac:dyDescent="0.25">
      <c r="A65" t="s">
        <v>5</v>
      </c>
      <c r="B65" s="1">
        <v>36281</v>
      </c>
      <c r="C65">
        <v>186717</v>
      </c>
      <c r="D65">
        <v>556506175459.81006</v>
      </c>
      <c r="E65">
        <v>23.003063729522299</v>
      </c>
      <c r="H65" s="3">
        <v>36220</v>
      </c>
      <c r="I65" s="4">
        <v>22.8846012847089</v>
      </c>
      <c r="U65" t="s">
        <v>12</v>
      </c>
      <c r="V65" s="1">
        <v>36404</v>
      </c>
      <c r="W65">
        <v>101791</v>
      </c>
      <c r="X65">
        <v>478953183452.09003</v>
      </c>
      <c r="Y65">
        <v>90.543650668260398</v>
      </c>
      <c r="AA65" s="3">
        <v>36342</v>
      </c>
      <c r="AB65" s="4">
        <v>90.676781769290997</v>
      </c>
    </row>
    <row r="66" spans="1:28" x14ac:dyDescent="0.25">
      <c r="A66" t="s">
        <v>5</v>
      </c>
      <c r="B66" s="1">
        <v>36312</v>
      </c>
      <c r="C66">
        <v>187662</v>
      </c>
      <c r="D66">
        <v>563458838273</v>
      </c>
      <c r="E66">
        <v>23.136635542313901</v>
      </c>
      <c r="H66" s="3">
        <v>36251</v>
      </c>
      <c r="I66" s="4">
        <v>22.942006592345301</v>
      </c>
      <c r="U66" t="s">
        <v>12</v>
      </c>
      <c r="V66" s="1">
        <v>36434</v>
      </c>
      <c r="W66">
        <v>102667</v>
      </c>
      <c r="X66">
        <v>483684933728.44</v>
      </c>
      <c r="Y66">
        <v>90.473341946825997</v>
      </c>
      <c r="AA66" s="3">
        <v>36373</v>
      </c>
      <c r="AB66" s="4">
        <v>90.592704865297094</v>
      </c>
    </row>
    <row r="67" spans="1:28" x14ac:dyDescent="0.25">
      <c r="A67" t="s">
        <v>5</v>
      </c>
      <c r="B67" s="1">
        <v>36342</v>
      </c>
      <c r="C67">
        <v>188811</v>
      </c>
      <c r="D67">
        <v>572204607933.89001</v>
      </c>
      <c r="E67">
        <v>23.258250195434801</v>
      </c>
      <c r="H67" s="3">
        <v>36281</v>
      </c>
      <c r="I67" s="4">
        <v>23.003063729522299</v>
      </c>
      <c r="U67" t="s">
        <v>12</v>
      </c>
      <c r="V67" s="1">
        <v>36465</v>
      </c>
      <c r="W67">
        <v>103263</v>
      </c>
      <c r="X67">
        <v>486113274951.03003</v>
      </c>
      <c r="Y67">
        <v>90.423566343701395</v>
      </c>
      <c r="AA67" s="3">
        <v>36404</v>
      </c>
      <c r="AB67" s="4">
        <v>90.543650668260398</v>
      </c>
    </row>
    <row r="68" spans="1:28" x14ac:dyDescent="0.25">
      <c r="A68" t="s">
        <v>5</v>
      </c>
      <c r="B68" s="1">
        <v>36373</v>
      </c>
      <c r="C68">
        <v>189841</v>
      </c>
      <c r="D68">
        <v>579291469300.42004</v>
      </c>
      <c r="E68">
        <v>23.406705263677502</v>
      </c>
      <c r="H68" s="3">
        <v>36312</v>
      </c>
      <c r="I68" s="4">
        <v>23.136635542313901</v>
      </c>
      <c r="U68" t="s">
        <v>12</v>
      </c>
      <c r="V68" s="1">
        <v>36495</v>
      </c>
      <c r="W68">
        <v>103797</v>
      </c>
      <c r="X68">
        <v>488977501585.98999</v>
      </c>
      <c r="Y68">
        <v>90.377949021028996</v>
      </c>
      <c r="AA68" s="3">
        <v>36434</v>
      </c>
      <c r="AB68" s="4">
        <v>90.473341946825997</v>
      </c>
    </row>
    <row r="69" spans="1:28" x14ac:dyDescent="0.25">
      <c r="A69" t="s">
        <v>5</v>
      </c>
      <c r="B69" s="1">
        <v>36404</v>
      </c>
      <c r="C69">
        <v>190764</v>
      </c>
      <c r="D69">
        <v>587347551657.76001</v>
      </c>
      <c r="E69">
        <v>23.584999679202902</v>
      </c>
      <c r="H69" s="3">
        <v>36342</v>
      </c>
      <c r="I69" s="4">
        <v>23.258250195434801</v>
      </c>
      <c r="U69" t="s">
        <v>12</v>
      </c>
      <c r="V69" s="1">
        <v>36526</v>
      </c>
      <c r="W69">
        <v>104272</v>
      </c>
      <c r="X69">
        <v>490954239429.84998</v>
      </c>
      <c r="Y69">
        <v>90.341587928600504</v>
      </c>
      <c r="AA69" s="3">
        <v>36465</v>
      </c>
      <c r="AB69" s="4">
        <v>90.423566343701395</v>
      </c>
    </row>
    <row r="70" spans="1:28" x14ac:dyDescent="0.25">
      <c r="A70" t="s">
        <v>5</v>
      </c>
      <c r="B70" s="1">
        <v>36434</v>
      </c>
      <c r="C70">
        <v>191769</v>
      </c>
      <c r="D70">
        <v>595358056585.48999</v>
      </c>
      <c r="E70">
        <v>23.836196796233502</v>
      </c>
      <c r="H70" s="3">
        <v>36373</v>
      </c>
      <c r="I70" s="4">
        <v>23.406705263677502</v>
      </c>
      <c r="U70" t="s">
        <v>12</v>
      </c>
      <c r="V70" s="1">
        <v>36557</v>
      </c>
      <c r="W70">
        <v>105024</v>
      </c>
      <c r="X70">
        <v>496915801152.44</v>
      </c>
      <c r="Y70">
        <v>90.2613194844985</v>
      </c>
      <c r="AA70" s="3">
        <v>36495</v>
      </c>
      <c r="AB70" s="4">
        <v>90.377949021028996</v>
      </c>
    </row>
    <row r="71" spans="1:28" x14ac:dyDescent="0.25">
      <c r="A71" t="s">
        <v>5</v>
      </c>
      <c r="B71" s="1">
        <v>36465</v>
      </c>
      <c r="C71">
        <v>192676</v>
      </c>
      <c r="D71">
        <v>603335784202.89001</v>
      </c>
      <c r="E71">
        <v>23.960501905306099</v>
      </c>
      <c r="H71" s="3">
        <v>36404</v>
      </c>
      <c r="I71" s="4">
        <v>23.584999679202902</v>
      </c>
      <c r="U71" t="s">
        <v>12</v>
      </c>
      <c r="V71" s="1">
        <v>36586</v>
      </c>
      <c r="W71">
        <v>105571</v>
      </c>
      <c r="X71">
        <v>498826947779.83002</v>
      </c>
      <c r="Y71">
        <v>90.239260897534606</v>
      </c>
      <c r="AA71" s="3">
        <v>36526</v>
      </c>
      <c r="AB71" s="4">
        <v>90.341587928600504</v>
      </c>
    </row>
    <row r="72" spans="1:28" x14ac:dyDescent="0.25">
      <c r="A72" t="s">
        <v>5</v>
      </c>
      <c r="B72" s="1">
        <v>36495</v>
      </c>
      <c r="C72">
        <v>193594</v>
      </c>
      <c r="D72">
        <v>608661813729.64001</v>
      </c>
      <c r="E72">
        <v>24.1511939597363</v>
      </c>
      <c r="H72" s="3">
        <v>36434</v>
      </c>
      <c r="I72" s="4">
        <v>23.836196796233502</v>
      </c>
      <c r="U72" t="s">
        <v>12</v>
      </c>
      <c r="V72" s="1">
        <v>36617</v>
      </c>
      <c r="W72">
        <v>106181</v>
      </c>
      <c r="X72">
        <v>501711977650.15002</v>
      </c>
      <c r="Y72">
        <v>90.216704589250398</v>
      </c>
      <c r="AA72" s="3">
        <v>36557</v>
      </c>
      <c r="AB72" s="4">
        <v>90.2613194844985</v>
      </c>
    </row>
    <row r="73" spans="1:28" x14ac:dyDescent="0.25">
      <c r="A73" t="s">
        <v>5</v>
      </c>
      <c r="B73" s="1">
        <v>36526</v>
      </c>
      <c r="C73">
        <v>194574</v>
      </c>
      <c r="D73">
        <v>614730545023.56995</v>
      </c>
      <c r="E73">
        <v>23.9569807903029</v>
      </c>
      <c r="H73" s="3">
        <v>36465</v>
      </c>
      <c r="I73" s="4">
        <v>23.960501905306099</v>
      </c>
      <c r="U73" t="s">
        <v>12</v>
      </c>
      <c r="V73" s="1">
        <v>36647</v>
      </c>
      <c r="W73">
        <v>106663</v>
      </c>
      <c r="X73">
        <v>503601588836.79999</v>
      </c>
      <c r="Y73">
        <v>90.1989728595277</v>
      </c>
      <c r="AA73" s="3">
        <v>36586</v>
      </c>
      <c r="AB73" s="4">
        <v>90.239260897534606</v>
      </c>
    </row>
    <row r="74" spans="1:28" x14ac:dyDescent="0.25">
      <c r="A74" t="s">
        <v>5</v>
      </c>
      <c r="B74" s="1">
        <v>36557</v>
      </c>
      <c r="C74">
        <v>195521</v>
      </c>
      <c r="D74">
        <v>620175920606.63</v>
      </c>
      <c r="E74">
        <v>24.132556362769002</v>
      </c>
      <c r="H74" s="3">
        <v>36495</v>
      </c>
      <c r="I74" s="4">
        <v>24.1511939597363</v>
      </c>
      <c r="U74" t="s">
        <v>12</v>
      </c>
      <c r="V74" s="1">
        <v>36678</v>
      </c>
      <c r="W74">
        <v>107411</v>
      </c>
      <c r="X74">
        <v>509012244894.96002</v>
      </c>
      <c r="Y74">
        <v>90.135844691138104</v>
      </c>
      <c r="AA74" s="3">
        <v>36617</v>
      </c>
      <c r="AB74" s="4">
        <v>90.216704589250398</v>
      </c>
    </row>
    <row r="75" spans="1:28" x14ac:dyDescent="0.25">
      <c r="A75" t="s">
        <v>5</v>
      </c>
      <c r="B75" s="1">
        <v>36586</v>
      </c>
      <c r="C75">
        <v>196302</v>
      </c>
      <c r="D75">
        <v>625373224000.52002</v>
      </c>
      <c r="E75">
        <v>24.220089336597901</v>
      </c>
      <c r="H75" s="3">
        <v>36526</v>
      </c>
      <c r="I75" s="4">
        <v>23.9569807903029</v>
      </c>
      <c r="U75" t="s">
        <v>12</v>
      </c>
      <c r="V75" s="1">
        <v>36708</v>
      </c>
      <c r="W75">
        <v>108179</v>
      </c>
      <c r="X75">
        <v>513375798865.76001</v>
      </c>
      <c r="Y75">
        <v>90.0693507160873</v>
      </c>
      <c r="AA75" s="3">
        <v>36647</v>
      </c>
      <c r="AB75" s="4">
        <v>90.1989728595277</v>
      </c>
    </row>
    <row r="76" spans="1:28" x14ac:dyDescent="0.25">
      <c r="A76" t="s">
        <v>5</v>
      </c>
      <c r="B76" s="1">
        <v>36617</v>
      </c>
      <c r="C76">
        <v>197211</v>
      </c>
      <c r="D76">
        <v>628789317108.88</v>
      </c>
      <c r="E76">
        <v>24.371443077002301</v>
      </c>
      <c r="H76" s="3">
        <v>36557</v>
      </c>
      <c r="I76" s="4">
        <v>24.132556362769002</v>
      </c>
      <c r="U76" t="s">
        <v>12</v>
      </c>
      <c r="V76" s="1">
        <v>36739</v>
      </c>
      <c r="W76">
        <v>108954</v>
      </c>
      <c r="X76">
        <v>516317525107.78998</v>
      </c>
      <c r="Y76">
        <v>90.038224217183696</v>
      </c>
      <c r="AA76" s="3">
        <v>36678</v>
      </c>
      <c r="AB76" s="4">
        <v>90.135844691138104</v>
      </c>
    </row>
    <row r="77" spans="1:28" x14ac:dyDescent="0.25">
      <c r="A77" t="s">
        <v>5</v>
      </c>
      <c r="B77" s="1">
        <v>36647</v>
      </c>
      <c r="C77">
        <v>198200</v>
      </c>
      <c r="D77">
        <v>633466085432.80005</v>
      </c>
      <c r="E77">
        <v>24.5660130506622</v>
      </c>
      <c r="H77" s="3">
        <v>36586</v>
      </c>
      <c r="I77" s="4">
        <v>24.220089336597901</v>
      </c>
      <c r="U77" t="s">
        <v>12</v>
      </c>
      <c r="V77" s="1">
        <v>36770</v>
      </c>
      <c r="W77">
        <v>109821</v>
      </c>
      <c r="X77">
        <v>523779386580.96997</v>
      </c>
      <c r="Y77">
        <v>89.960264842197205</v>
      </c>
      <c r="AA77" s="3">
        <v>36708</v>
      </c>
      <c r="AB77" s="4">
        <v>90.0693507160873</v>
      </c>
    </row>
    <row r="78" spans="1:28" x14ac:dyDescent="0.25">
      <c r="A78" t="s">
        <v>5</v>
      </c>
      <c r="B78" s="1">
        <v>36678</v>
      </c>
      <c r="C78">
        <v>199277</v>
      </c>
      <c r="D78">
        <v>638637756539.06006</v>
      </c>
      <c r="E78">
        <v>24.759377424572701</v>
      </c>
      <c r="H78" s="3">
        <v>36617</v>
      </c>
      <c r="I78" s="4">
        <v>24.371443077002301</v>
      </c>
      <c r="U78" t="s">
        <v>12</v>
      </c>
      <c r="V78" s="1">
        <v>36800</v>
      </c>
      <c r="W78">
        <v>110829</v>
      </c>
      <c r="X78">
        <v>531358236787.52002</v>
      </c>
      <c r="Y78">
        <v>89.896320553078198</v>
      </c>
      <c r="AA78" s="3">
        <v>36739</v>
      </c>
      <c r="AB78" s="4">
        <v>90.038224217183696</v>
      </c>
    </row>
    <row r="79" spans="1:28" x14ac:dyDescent="0.25">
      <c r="A79" t="s">
        <v>5</v>
      </c>
      <c r="B79" s="1">
        <v>36708</v>
      </c>
      <c r="C79">
        <v>200318</v>
      </c>
      <c r="D79">
        <v>644319934151.05005</v>
      </c>
      <c r="E79">
        <v>25.014631288793499</v>
      </c>
      <c r="H79" s="3">
        <v>36647</v>
      </c>
      <c r="I79" s="4">
        <v>24.5660130506622</v>
      </c>
      <c r="U79" t="s">
        <v>12</v>
      </c>
      <c r="V79" s="1">
        <v>36831</v>
      </c>
      <c r="W79">
        <v>111769</v>
      </c>
      <c r="X79">
        <v>538792043173.23999</v>
      </c>
      <c r="Y79">
        <v>89.815054683417799</v>
      </c>
      <c r="AA79" s="3">
        <v>36770</v>
      </c>
      <c r="AB79" s="4">
        <v>89.960264842197205</v>
      </c>
    </row>
    <row r="80" spans="1:28" x14ac:dyDescent="0.25">
      <c r="A80" t="s">
        <v>5</v>
      </c>
      <c r="B80" s="1">
        <v>36739</v>
      </c>
      <c r="C80">
        <v>201523</v>
      </c>
      <c r="D80">
        <v>650241592057.52002</v>
      </c>
      <c r="E80">
        <v>25.302403828018701</v>
      </c>
      <c r="H80" s="3">
        <v>36678</v>
      </c>
      <c r="I80" s="4">
        <v>24.759377424572701</v>
      </c>
      <c r="U80" t="s">
        <v>12</v>
      </c>
      <c r="V80" s="1">
        <v>36861</v>
      </c>
      <c r="W80">
        <v>112641</v>
      </c>
      <c r="X80">
        <v>546830986491.85999</v>
      </c>
      <c r="Y80">
        <v>89.729976201419205</v>
      </c>
      <c r="AA80" s="3">
        <v>36800</v>
      </c>
      <c r="AB80" s="4">
        <v>89.896320553078198</v>
      </c>
    </row>
    <row r="81" spans="1:28" x14ac:dyDescent="0.25">
      <c r="A81" t="s">
        <v>5</v>
      </c>
      <c r="B81" s="1">
        <v>36770</v>
      </c>
      <c r="C81">
        <v>202877</v>
      </c>
      <c r="D81">
        <v>659140528287.64001</v>
      </c>
      <c r="E81">
        <v>25.578896569007799</v>
      </c>
      <c r="H81" s="3">
        <v>36708</v>
      </c>
      <c r="I81" s="4">
        <v>25.014631288793499</v>
      </c>
      <c r="U81" t="s">
        <v>12</v>
      </c>
      <c r="V81" s="1">
        <v>36892</v>
      </c>
      <c r="W81">
        <v>113547</v>
      </c>
      <c r="X81">
        <v>556066207294.38</v>
      </c>
      <c r="Y81">
        <v>89.657215563622103</v>
      </c>
      <c r="AA81" s="3">
        <v>36831</v>
      </c>
      <c r="AB81" s="4">
        <v>89.815054683417799</v>
      </c>
    </row>
    <row r="82" spans="1:28" x14ac:dyDescent="0.25">
      <c r="A82" t="s">
        <v>5</v>
      </c>
      <c r="B82" s="1">
        <v>36800</v>
      </c>
      <c r="C82">
        <v>204126</v>
      </c>
      <c r="D82">
        <v>667771708329.09998</v>
      </c>
      <c r="E82">
        <v>25.75168433883</v>
      </c>
      <c r="H82" s="3">
        <v>36739</v>
      </c>
      <c r="I82" s="4">
        <v>25.302403828018701</v>
      </c>
      <c r="U82" t="s">
        <v>12</v>
      </c>
      <c r="V82" s="1">
        <v>36923</v>
      </c>
      <c r="W82">
        <v>114381</v>
      </c>
      <c r="X82">
        <v>562845782479.48999</v>
      </c>
      <c r="Y82">
        <v>89.581547750311501</v>
      </c>
      <c r="AA82" s="3">
        <v>36861</v>
      </c>
      <c r="AB82" s="4">
        <v>89.729976201419205</v>
      </c>
    </row>
    <row r="83" spans="1:28" x14ac:dyDescent="0.25">
      <c r="A83" t="s">
        <v>5</v>
      </c>
      <c r="B83" s="1">
        <v>36831</v>
      </c>
      <c r="C83">
        <v>205336</v>
      </c>
      <c r="D83">
        <v>678145982258.65002</v>
      </c>
      <c r="E83">
        <v>25.965688275597</v>
      </c>
      <c r="H83" s="3">
        <v>36770</v>
      </c>
      <c r="I83" s="4">
        <v>25.578896569007799</v>
      </c>
      <c r="U83" t="s">
        <v>12</v>
      </c>
      <c r="V83" s="1">
        <v>36951</v>
      </c>
      <c r="W83">
        <v>115151</v>
      </c>
      <c r="X83">
        <v>569916218919.31006</v>
      </c>
      <c r="Y83">
        <v>89.512842821269302</v>
      </c>
      <c r="AA83" s="3">
        <v>36892</v>
      </c>
      <c r="AB83" s="4">
        <v>89.657215563622103</v>
      </c>
    </row>
    <row r="84" spans="1:28" x14ac:dyDescent="0.25">
      <c r="A84" t="s">
        <v>5</v>
      </c>
      <c r="B84" s="1">
        <v>36861</v>
      </c>
      <c r="C84">
        <v>206553</v>
      </c>
      <c r="D84">
        <v>688667464062.68005</v>
      </c>
      <c r="E84">
        <v>26.084698277235201</v>
      </c>
      <c r="H84" s="3">
        <v>36800</v>
      </c>
      <c r="I84" s="4">
        <v>25.75168433883</v>
      </c>
      <c r="U84" t="s">
        <v>12</v>
      </c>
      <c r="V84" s="1">
        <v>36982</v>
      </c>
      <c r="W84">
        <v>116096</v>
      </c>
      <c r="X84">
        <v>575572661918.26001</v>
      </c>
      <c r="Y84">
        <v>89.472957018569602</v>
      </c>
      <c r="AA84" s="3">
        <v>36923</v>
      </c>
      <c r="AB84" s="4">
        <v>89.581547750311501</v>
      </c>
    </row>
    <row r="85" spans="1:28" x14ac:dyDescent="0.25">
      <c r="A85" t="s">
        <v>5</v>
      </c>
      <c r="B85" s="1">
        <v>36892</v>
      </c>
      <c r="C85">
        <v>207893</v>
      </c>
      <c r="D85">
        <v>700106336980.84998</v>
      </c>
      <c r="E85">
        <v>24.869792938541298</v>
      </c>
      <c r="H85" s="3">
        <v>36831</v>
      </c>
      <c r="I85" s="4">
        <v>25.965688275597</v>
      </c>
      <c r="U85" t="s">
        <v>12</v>
      </c>
      <c r="V85" s="1">
        <v>37012</v>
      </c>
      <c r="W85">
        <v>117279</v>
      </c>
      <c r="X85">
        <v>583145358940.57996</v>
      </c>
      <c r="Y85">
        <v>89.407079481689493</v>
      </c>
      <c r="AA85" s="3">
        <v>36951</v>
      </c>
      <c r="AB85" s="4">
        <v>89.512842821269302</v>
      </c>
    </row>
    <row r="86" spans="1:28" x14ac:dyDescent="0.25">
      <c r="A86" t="s">
        <v>5</v>
      </c>
      <c r="B86" s="1">
        <v>36923</v>
      </c>
      <c r="C86">
        <v>209121</v>
      </c>
      <c r="D86">
        <v>711936410692.26001</v>
      </c>
      <c r="E86">
        <v>24.940877683184802</v>
      </c>
      <c r="H86" s="3">
        <v>36861</v>
      </c>
      <c r="I86" s="4">
        <v>26.084698277235201</v>
      </c>
      <c r="U86" t="s">
        <v>12</v>
      </c>
      <c r="V86" s="1">
        <v>37043</v>
      </c>
      <c r="W86">
        <v>118507</v>
      </c>
      <c r="X86">
        <v>593312179640.43005</v>
      </c>
      <c r="Y86">
        <v>89.316474945363396</v>
      </c>
      <c r="AA86" s="3">
        <v>36982</v>
      </c>
      <c r="AB86" s="4">
        <v>89.472957018569602</v>
      </c>
    </row>
    <row r="87" spans="1:28" x14ac:dyDescent="0.25">
      <c r="A87" t="s">
        <v>5</v>
      </c>
      <c r="B87" s="1">
        <v>36951</v>
      </c>
      <c r="C87">
        <v>210670</v>
      </c>
      <c r="D87">
        <v>724159427993.80005</v>
      </c>
      <c r="E87">
        <v>24.979186789700901</v>
      </c>
      <c r="H87" s="3">
        <v>36892</v>
      </c>
      <c r="I87" s="4">
        <v>24.869792938541298</v>
      </c>
      <c r="U87" t="s">
        <v>12</v>
      </c>
      <c r="V87" s="1">
        <v>37073</v>
      </c>
      <c r="W87">
        <v>119874</v>
      </c>
      <c r="X87">
        <v>606812462774.06006</v>
      </c>
      <c r="Y87">
        <v>89.195932581922193</v>
      </c>
      <c r="AA87" s="3">
        <v>37012</v>
      </c>
      <c r="AB87" s="4">
        <v>89.407079481689493</v>
      </c>
    </row>
    <row r="88" spans="1:28" x14ac:dyDescent="0.25">
      <c r="A88" t="s">
        <v>5</v>
      </c>
      <c r="B88" s="1">
        <v>36982</v>
      </c>
      <c r="C88">
        <v>212403</v>
      </c>
      <c r="D88">
        <v>737131621054.80005</v>
      </c>
      <c r="E88">
        <v>24.762891418315</v>
      </c>
      <c r="H88" s="3">
        <v>36923</v>
      </c>
      <c r="I88" s="4">
        <v>24.940877683184802</v>
      </c>
      <c r="U88" t="s">
        <v>12</v>
      </c>
      <c r="V88" s="1">
        <v>37104</v>
      </c>
      <c r="W88">
        <v>121171</v>
      </c>
      <c r="X88">
        <v>618799228411.14001</v>
      </c>
      <c r="Y88">
        <v>89.046337871782796</v>
      </c>
      <c r="AA88" s="3">
        <v>37043</v>
      </c>
      <c r="AB88" s="4">
        <v>89.316474945363396</v>
      </c>
    </row>
    <row r="89" spans="1:28" x14ac:dyDescent="0.25">
      <c r="A89" t="s">
        <v>5</v>
      </c>
      <c r="B89" s="1">
        <v>37012</v>
      </c>
      <c r="C89">
        <v>214231</v>
      </c>
      <c r="D89">
        <v>752556214855.22998</v>
      </c>
      <c r="E89">
        <v>24.408407919627798</v>
      </c>
      <c r="H89" s="3">
        <v>36951</v>
      </c>
      <c r="I89" s="4">
        <v>24.979186789700901</v>
      </c>
      <c r="U89" t="s">
        <v>12</v>
      </c>
      <c r="V89" s="1">
        <v>37135</v>
      </c>
      <c r="W89">
        <v>122185</v>
      </c>
      <c r="X89">
        <v>628849014233.57996</v>
      </c>
      <c r="Y89">
        <v>88.943319036077895</v>
      </c>
      <c r="AA89" s="3">
        <v>37073</v>
      </c>
      <c r="AB89" s="4">
        <v>89.195932581922193</v>
      </c>
    </row>
    <row r="90" spans="1:28" x14ac:dyDescent="0.25">
      <c r="A90" t="s">
        <v>5</v>
      </c>
      <c r="B90" s="1">
        <v>37043</v>
      </c>
      <c r="C90">
        <v>216060</v>
      </c>
      <c r="D90">
        <v>768634381863</v>
      </c>
      <c r="E90">
        <v>24.114759182766601</v>
      </c>
      <c r="H90" s="3">
        <v>36982</v>
      </c>
      <c r="I90" s="4">
        <v>24.762891418315</v>
      </c>
      <c r="U90" t="s">
        <v>12</v>
      </c>
      <c r="V90" s="1">
        <v>37165</v>
      </c>
      <c r="W90">
        <v>123147</v>
      </c>
      <c r="X90">
        <v>638526972099.47998</v>
      </c>
      <c r="Y90">
        <v>88.838842962308107</v>
      </c>
      <c r="AA90" s="3">
        <v>37104</v>
      </c>
      <c r="AB90" s="4">
        <v>89.046337871782796</v>
      </c>
    </row>
    <row r="91" spans="1:28" x14ac:dyDescent="0.25">
      <c r="A91" t="s">
        <v>5</v>
      </c>
      <c r="B91" s="1">
        <v>37073</v>
      </c>
      <c r="C91">
        <v>217775</v>
      </c>
      <c r="D91">
        <v>783899597190.81006</v>
      </c>
      <c r="E91">
        <v>23.723726843129398</v>
      </c>
      <c r="H91" s="3">
        <v>37012</v>
      </c>
      <c r="I91" s="4">
        <v>24.408407919627798</v>
      </c>
      <c r="U91" t="s">
        <v>12</v>
      </c>
      <c r="V91" s="1">
        <v>37196</v>
      </c>
      <c r="W91">
        <v>124010</v>
      </c>
      <c r="X91">
        <v>646314044955.62</v>
      </c>
      <c r="Y91">
        <v>88.759627121752104</v>
      </c>
      <c r="AA91" s="3">
        <v>37135</v>
      </c>
      <c r="AB91" s="4">
        <v>88.943319036077895</v>
      </c>
    </row>
    <row r="92" spans="1:28" x14ac:dyDescent="0.25">
      <c r="A92" t="s">
        <v>5</v>
      </c>
      <c r="B92" s="1">
        <v>37104</v>
      </c>
      <c r="C92">
        <v>219337</v>
      </c>
      <c r="D92">
        <v>800219895172</v>
      </c>
      <c r="E92">
        <v>23.3948622273473</v>
      </c>
      <c r="H92" s="3">
        <v>37043</v>
      </c>
      <c r="I92" s="4">
        <v>24.114759182766601</v>
      </c>
      <c r="U92" t="s">
        <v>12</v>
      </c>
      <c r="V92" s="1">
        <v>37226</v>
      </c>
      <c r="W92">
        <v>124916</v>
      </c>
      <c r="X92">
        <v>652589172511.04004</v>
      </c>
      <c r="Y92">
        <v>88.672003146288404</v>
      </c>
      <c r="AA92" s="3">
        <v>37165</v>
      </c>
      <c r="AB92" s="4">
        <v>88.838842962308107</v>
      </c>
    </row>
    <row r="93" spans="1:28" x14ac:dyDescent="0.25">
      <c r="A93" t="s">
        <v>5</v>
      </c>
      <c r="B93" s="1">
        <v>37135</v>
      </c>
      <c r="C93">
        <v>220863</v>
      </c>
      <c r="D93">
        <v>816276961683.10999</v>
      </c>
      <c r="E93">
        <v>23.153475809562199</v>
      </c>
      <c r="H93" s="3">
        <v>37073</v>
      </c>
      <c r="I93" s="4">
        <v>23.723726843129398</v>
      </c>
      <c r="U93" t="s">
        <v>12</v>
      </c>
      <c r="V93" s="1">
        <v>37257</v>
      </c>
      <c r="W93">
        <v>125971</v>
      </c>
      <c r="X93">
        <v>656492839778.71997</v>
      </c>
      <c r="Y93">
        <v>88.573531157356697</v>
      </c>
      <c r="AA93" s="3">
        <v>37196</v>
      </c>
      <c r="AB93" s="4">
        <v>88.759627121752104</v>
      </c>
    </row>
    <row r="94" spans="1:28" x14ac:dyDescent="0.25">
      <c r="A94" t="s">
        <v>5</v>
      </c>
      <c r="B94" s="1">
        <v>37165</v>
      </c>
      <c r="C94">
        <v>222193</v>
      </c>
      <c r="D94">
        <v>829340407712.87</v>
      </c>
      <c r="E94">
        <v>22.803888421185999</v>
      </c>
      <c r="H94" s="3">
        <v>37104</v>
      </c>
      <c r="I94" s="4">
        <v>23.3948622273473</v>
      </c>
      <c r="U94" t="s">
        <v>12</v>
      </c>
      <c r="V94" s="1">
        <v>37288</v>
      </c>
      <c r="W94">
        <v>126553</v>
      </c>
      <c r="X94">
        <v>656259616015.84998</v>
      </c>
      <c r="Y94">
        <v>88.466004535635307</v>
      </c>
      <c r="AA94" s="3">
        <v>37226</v>
      </c>
      <c r="AB94" s="4">
        <v>88.672003146288404</v>
      </c>
    </row>
    <row r="95" spans="1:28" x14ac:dyDescent="0.25">
      <c r="A95" t="s">
        <v>5</v>
      </c>
      <c r="B95" s="1">
        <v>37196</v>
      </c>
      <c r="C95">
        <v>223572</v>
      </c>
      <c r="D95">
        <v>841081375122.14001</v>
      </c>
      <c r="E95">
        <v>22.425302448481599</v>
      </c>
      <c r="H95" s="3">
        <v>37135</v>
      </c>
      <c r="I95" s="4">
        <v>23.153475809562199</v>
      </c>
      <c r="U95" t="s">
        <v>12</v>
      </c>
      <c r="V95" s="1">
        <v>37316</v>
      </c>
      <c r="W95">
        <v>127090</v>
      </c>
      <c r="X95">
        <v>662583566000.98999</v>
      </c>
      <c r="Y95">
        <v>88.306155213092495</v>
      </c>
      <c r="AA95" s="3">
        <v>37257</v>
      </c>
      <c r="AB95" s="4">
        <v>88.573531157356697</v>
      </c>
    </row>
    <row r="96" spans="1:28" x14ac:dyDescent="0.25">
      <c r="A96" t="s">
        <v>5</v>
      </c>
      <c r="B96" s="1">
        <v>37226</v>
      </c>
      <c r="C96">
        <v>225055</v>
      </c>
      <c r="D96">
        <v>853354387292.38</v>
      </c>
      <c r="E96">
        <v>21.978756017775201</v>
      </c>
      <c r="H96" s="3">
        <v>37165</v>
      </c>
      <c r="I96" s="4">
        <v>22.803888421185999</v>
      </c>
      <c r="U96" t="s">
        <v>12</v>
      </c>
      <c r="V96" s="1">
        <v>37347</v>
      </c>
      <c r="W96">
        <v>127653</v>
      </c>
      <c r="X96">
        <v>667885573629.41003</v>
      </c>
      <c r="Y96">
        <v>88.165854670543595</v>
      </c>
      <c r="AA96" s="3">
        <v>37288</v>
      </c>
      <c r="AB96" s="4">
        <v>88.466004535635307</v>
      </c>
    </row>
    <row r="97" spans="1:28" x14ac:dyDescent="0.25">
      <c r="A97" t="s">
        <v>5</v>
      </c>
      <c r="B97" s="1">
        <v>37257</v>
      </c>
      <c r="C97">
        <v>226605</v>
      </c>
      <c r="D97">
        <v>865009341307.27002</v>
      </c>
      <c r="E97">
        <v>21.259699842792099</v>
      </c>
      <c r="H97" s="3">
        <v>37196</v>
      </c>
      <c r="I97" s="4">
        <v>22.425302448481599</v>
      </c>
      <c r="U97" t="s">
        <v>12</v>
      </c>
      <c r="V97" s="1">
        <v>37377</v>
      </c>
      <c r="W97">
        <v>128365</v>
      </c>
      <c r="X97">
        <v>674912607661.43994</v>
      </c>
      <c r="Y97">
        <v>88.038684248769897</v>
      </c>
      <c r="AA97" s="3">
        <v>37316</v>
      </c>
      <c r="AB97" s="4">
        <v>88.306155213092495</v>
      </c>
    </row>
    <row r="98" spans="1:28" x14ac:dyDescent="0.25">
      <c r="A98" t="s">
        <v>5</v>
      </c>
      <c r="B98" s="1">
        <v>37288</v>
      </c>
      <c r="C98">
        <v>227719</v>
      </c>
      <c r="D98">
        <v>868002653952.68994</v>
      </c>
      <c r="E98">
        <v>20.780934690909099</v>
      </c>
      <c r="H98" s="3">
        <v>37226</v>
      </c>
      <c r="I98" s="4">
        <v>21.978756017775201</v>
      </c>
      <c r="U98" t="s">
        <v>12</v>
      </c>
      <c r="V98" s="1">
        <v>37408</v>
      </c>
      <c r="W98">
        <v>128864</v>
      </c>
      <c r="X98">
        <v>678135240839.68994</v>
      </c>
      <c r="Y98">
        <v>87.917018505683401</v>
      </c>
      <c r="AA98" s="3">
        <v>37347</v>
      </c>
      <c r="AB98" s="4">
        <v>88.165854670543595</v>
      </c>
    </row>
    <row r="99" spans="1:28" x14ac:dyDescent="0.25">
      <c r="A99" t="s">
        <v>5</v>
      </c>
      <c r="B99" s="1">
        <v>37316</v>
      </c>
      <c r="C99">
        <v>228962</v>
      </c>
      <c r="D99">
        <v>879696484692.43994</v>
      </c>
      <c r="E99">
        <v>20.473315161029198</v>
      </c>
      <c r="H99" s="3">
        <v>37257</v>
      </c>
      <c r="I99" s="4">
        <v>21.259699842792099</v>
      </c>
      <c r="U99" t="s">
        <v>12</v>
      </c>
      <c r="V99" s="1">
        <v>37438</v>
      </c>
      <c r="W99">
        <v>129402</v>
      </c>
      <c r="X99">
        <v>683021748027.76001</v>
      </c>
      <c r="Y99">
        <v>87.796318491509297</v>
      </c>
      <c r="AA99" s="3">
        <v>37377</v>
      </c>
      <c r="AB99" s="4">
        <v>88.038684248769897</v>
      </c>
    </row>
    <row r="100" spans="1:2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20.161805833904399</v>
      </c>
      <c r="H100" s="3">
        <v>37288</v>
      </c>
      <c r="I100" s="4">
        <v>20.780934690909099</v>
      </c>
      <c r="U100" t="s">
        <v>12</v>
      </c>
      <c r="V100" s="1">
        <v>37469</v>
      </c>
      <c r="W100">
        <v>129983</v>
      </c>
      <c r="X100">
        <v>688071679304.38</v>
      </c>
      <c r="Y100">
        <v>87.677245123366006</v>
      </c>
      <c r="AA100" s="3">
        <v>37408</v>
      </c>
      <c r="AB100" s="4">
        <v>87.917018505683401</v>
      </c>
    </row>
    <row r="101" spans="1:2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19.7723024133706</v>
      </c>
      <c r="H101" s="3">
        <v>37316</v>
      </c>
      <c r="I101" s="4">
        <v>20.473315161029198</v>
      </c>
      <c r="U101" t="s">
        <v>12</v>
      </c>
      <c r="V101" s="1">
        <v>37500</v>
      </c>
      <c r="W101">
        <v>130654</v>
      </c>
      <c r="X101">
        <v>691163348256.39001</v>
      </c>
      <c r="Y101">
        <v>87.582967421811901</v>
      </c>
      <c r="AA101" s="3">
        <v>37438</v>
      </c>
      <c r="AB101" s="4">
        <v>87.796318491509297</v>
      </c>
    </row>
    <row r="102" spans="1:2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19.422776608062499</v>
      </c>
      <c r="H102" s="3">
        <v>37347</v>
      </c>
      <c r="I102" s="4">
        <v>20.161805833904399</v>
      </c>
      <c r="U102" t="s">
        <v>12</v>
      </c>
      <c r="V102" s="1">
        <v>37530</v>
      </c>
      <c r="W102">
        <v>131312</v>
      </c>
      <c r="X102">
        <v>688880072829.19995</v>
      </c>
      <c r="Y102">
        <v>87.512331924893999</v>
      </c>
      <c r="AA102" s="3">
        <v>37469</v>
      </c>
      <c r="AB102" s="4">
        <v>87.677245123366006</v>
      </c>
    </row>
    <row r="103" spans="1:2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19.140262564632</v>
      </c>
      <c r="H103" s="3">
        <v>37377</v>
      </c>
      <c r="I103" s="4">
        <v>19.7723024133706</v>
      </c>
      <c r="U103" t="s">
        <v>12</v>
      </c>
      <c r="V103" s="1">
        <v>37561</v>
      </c>
      <c r="W103">
        <v>131946</v>
      </c>
      <c r="X103">
        <v>689252606557.81006</v>
      </c>
      <c r="Y103">
        <v>87.485744139592001</v>
      </c>
      <c r="AA103" s="3">
        <v>37500</v>
      </c>
      <c r="AB103" s="4">
        <v>87.582967421811901</v>
      </c>
    </row>
    <row r="104" spans="1:2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18.832170637243902</v>
      </c>
      <c r="H104" s="3">
        <v>37408</v>
      </c>
      <c r="I104" s="4">
        <v>19.422776608062499</v>
      </c>
      <c r="U104" t="s">
        <v>12</v>
      </c>
      <c r="V104" s="1">
        <v>37591</v>
      </c>
      <c r="W104">
        <v>132496</v>
      </c>
      <c r="X104">
        <v>678097657626.62</v>
      </c>
      <c r="Y104">
        <v>87.445232638571099</v>
      </c>
      <c r="AA104" s="3">
        <v>37530</v>
      </c>
      <c r="AB104" s="4">
        <v>87.512331924893999</v>
      </c>
    </row>
    <row r="105" spans="1:2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18.503879820902601</v>
      </c>
      <c r="H105" s="3">
        <v>37438</v>
      </c>
      <c r="I105" s="4">
        <v>19.140262564632</v>
      </c>
      <c r="U105" t="s">
        <v>12</v>
      </c>
      <c r="V105" s="1">
        <v>37622</v>
      </c>
      <c r="W105">
        <v>133145</v>
      </c>
      <c r="X105">
        <v>672793627639.87</v>
      </c>
      <c r="Y105">
        <v>87.370538177379203</v>
      </c>
      <c r="AA105" s="3">
        <v>37561</v>
      </c>
      <c r="AB105" s="4">
        <v>87.485744139592001</v>
      </c>
    </row>
    <row r="106" spans="1:2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18.117689806171001</v>
      </c>
      <c r="H106" s="3">
        <v>37469</v>
      </c>
      <c r="I106" s="4">
        <v>18.832170637243902</v>
      </c>
      <c r="U106" t="s">
        <v>12</v>
      </c>
      <c r="V106" s="1">
        <v>37653</v>
      </c>
      <c r="W106">
        <v>133403</v>
      </c>
      <c r="X106">
        <v>656324799128.56006</v>
      </c>
      <c r="Y106">
        <v>87.3587896847515</v>
      </c>
      <c r="AA106" s="3">
        <v>37591</v>
      </c>
      <c r="AB106" s="4">
        <v>87.445232638571099</v>
      </c>
    </row>
    <row r="107" spans="1:28" x14ac:dyDescent="0.25">
      <c r="A107" t="s">
        <v>5</v>
      </c>
      <c r="B107" s="1">
        <v>37561</v>
      </c>
      <c r="C107">
        <v>236280</v>
      </c>
      <c r="D107">
        <v>950835871010.5</v>
      </c>
      <c r="E107">
        <v>17.510332276808001</v>
      </c>
      <c r="H107" s="3">
        <v>37500</v>
      </c>
      <c r="I107" s="4">
        <v>18.503879820902601</v>
      </c>
      <c r="U107" t="s">
        <v>12</v>
      </c>
      <c r="V107" s="1">
        <v>37681</v>
      </c>
      <c r="W107">
        <v>133505</v>
      </c>
      <c r="X107">
        <v>640698935655.10999</v>
      </c>
      <c r="Y107">
        <v>87.366862250795293</v>
      </c>
      <c r="AA107" s="3">
        <v>37622</v>
      </c>
      <c r="AB107" s="4">
        <v>87.370538177379203</v>
      </c>
    </row>
    <row r="108" spans="1:2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16.914919850637599</v>
      </c>
      <c r="H108" s="3">
        <v>37530</v>
      </c>
      <c r="I108" s="4">
        <v>18.117689806171001</v>
      </c>
      <c r="U108" t="s">
        <v>12</v>
      </c>
      <c r="V108" s="1">
        <v>37712</v>
      </c>
      <c r="W108">
        <v>133637</v>
      </c>
      <c r="X108">
        <v>636174006378.37</v>
      </c>
      <c r="Y108">
        <v>87.3665003726084</v>
      </c>
      <c r="AA108" s="3">
        <v>37653</v>
      </c>
      <c r="AB108" s="4">
        <v>87.3587896847515</v>
      </c>
    </row>
    <row r="109" spans="1:2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16.315177485432901</v>
      </c>
      <c r="H109" s="3">
        <v>37561</v>
      </c>
      <c r="I109" s="4">
        <v>17.510332276808001</v>
      </c>
      <c r="U109" t="s">
        <v>12</v>
      </c>
      <c r="V109" s="1">
        <v>37742</v>
      </c>
      <c r="W109">
        <v>133620</v>
      </c>
      <c r="X109">
        <v>622260662224.34998</v>
      </c>
      <c r="Y109">
        <v>87.440175577590793</v>
      </c>
      <c r="AA109" s="3">
        <v>37681</v>
      </c>
      <c r="AB109" s="4">
        <v>87.366862250795293</v>
      </c>
    </row>
    <row r="110" spans="1:2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15.6896265498711</v>
      </c>
      <c r="H110" s="3">
        <v>37591</v>
      </c>
      <c r="I110" s="4">
        <v>16.914919850637599</v>
      </c>
      <c r="U110" t="s">
        <v>12</v>
      </c>
      <c r="V110" s="1">
        <v>37773</v>
      </c>
      <c r="W110">
        <v>133473</v>
      </c>
      <c r="X110">
        <v>605904419338.96997</v>
      </c>
      <c r="Y110">
        <v>87.534653803241099</v>
      </c>
      <c r="AA110" s="3">
        <v>37712</v>
      </c>
      <c r="AB110" s="4">
        <v>87.3665003726084</v>
      </c>
    </row>
    <row r="111" spans="1:2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15.153973556269399</v>
      </c>
      <c r="H111" s="3">
        <v>37622</v>
      </c>
      <c r="I111" s="4">
        <v>16.315177485432901</v>
      </c>
      <c r="U111" t="s">
        <v>12</v>
      </c>
      <c r="V111" s="1">
        <v>37803</v>
      </c>
      <c r="W111">
        <v>133321</v>
      </c>
      <c r="X111">
        <v>593661864481.67004</v>
      </c>
      <c r="Y111">
        <v>87.5949123058287</v>
      </c>
      <c r="AA111" s="3">
        <v>37742</v>
      </c>
      <c r="AB111" s="4">
        <v>87.440175577590793</v>
      </c>
    </row>
    <row r="112" spans="1:2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14.647521295140701</v>
      </c>
      <c r="H112" s="3">
        <v>37653</v>
      </c>
      <c r="I112" s="4">
        <v>15.6896265498711</v>
      </c>
      <c r="U112" t="s">
        <v>12</v>
      </c>
      <c r="V112" s="1">
        <v>37834</v>
      </c>
      <c r="W112">
        <v>133256</v>
      </c>
      <c r="X112">
        <v>585595617223.56995</v>
      </c>
      <c r="Y112">
        <v>87.705258310248198</v>
      </c>
      <c r="AA112" s="3">
        <v>37773</v>
      </c>
      <c r="AB112" s="4">
        <v>87.534653803241099</v>
      </c>
    </row>
    <row r="113" spans="1:2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14.1500870310718</v>
      </c>
      <c r="H113" s="3">
        <v>37681</v>
      </c>
      <c r="I113" s="4">
        <v>15.153973556269399</v>
      </c>
      <c r="U113" t="s">
        <v>12</v>
      </c>
      <c r="V113" s="1">
        <v>37865</v>
      </c>
      <c r="W113">
        <v>133073</v>
      </c>
      <c r="X113">
        <v>578187329736.79004</v>
      </c>
      <c r="Y113">
        <v>87.755743416356694</v>
      </c>
      <c r="AA113" s="3">
        <v>37803</v>
      </c>
      <c r="AB113" s="4">
        <v>87.5949123058287</v>
      </c>
    </row>
    <row r="114" spans="1:2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13.8993751674187</v>
      </c>
      <c r="H114" s="3">
        <v>37712</v>
      </c>
      <c r="I114" s="4">
        <v>14.647521295140701</v>
      </c>
      <c r="U114" t="s">
        <v>12</v>
      </c>
      <c r="V114" s="1">
        <v>37895</v>
      </c>
      <c r="W114">
        <v>132622</v>
      </c>
      <c r="X114">
        <v>572848994581.45996</v>
      </c>
      <c r="Y114">
        <v>87.868978262737997</v>
      </c>
      <c r="AA114" s="3">
        <v>37834</v>
      </c>
      <c r="AB114" s="4">
        <v>87.705258310248198</v>
      </c>
    </row>
    <row r="115" spans="1:2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14.392143484176801</v>
      </c>
      <c r="H115" s="3">
        <v>37742</v>
      </c>
      <c r="I115" s="4">
        <v>14.1500870310718</v>
      </c>
      <c r="U115" t="s">
        <v>12</v>
      </c>
      <c r="V115" s="1">
        <v>37926</v>
      </c>
      <c r="W115">
        <v>132115</v>
      </c>
      <c r="X115">
        <v>579944340289.91003</v>
      </c>
      <c r="Y115">
        <v>87.942381246075001</v>
      </c>
      <c r="AA115" s="3">
        <v>37865</v>
      </c>
      <c r="AB115" s="4">
        <v>87.755743416356694</v>
      </c>
    </row>
    <row r="116" spans="1:2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15.0511352239203</v>
      </c>
      <c r="H116" s="3">
        <v>37773</v>
      </c>
      <c r="I116" s="4">
        <v>13.8993751674187</v>
      </c>
      <c r="U116" t="s">
        <v>12</v>
      </c>
      <c r="V116" s="1">
        <v>37956</v>
      </c>
      <c r="W116">
        <v>131772</v>
      </c>
      <c r="X116">
        <v>581881065707.89001</v>
      </c>
      <c r="Y116">
        <v>88.050881062194804</v>
      </c>
      <c r="AA116" s="3">
        <v>37895</v>
      </c>
      <c r="AB116" s="4">
        <v>87.868978262737997</v>
      </c>
    </row>
    <row r="117" spans="1:2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15.4388178387363</v>
      </c>
      <c r="H117" s="3">
        <v>37803</v>
      </c>
      <c r="I117" s="4">
        <v>14.392143484176801</v>
      </c>
      <c r="U117" t="s">
        <v>12</v>
      </c>
      <c r="V117" s="1">
        <v>37987</v>
      </c>
      <c r="W117">
        <v>131683</v>
      </c>
      <c r="X117">
        <v>587420024491.28003</v>
      </c>
      <c r="Y117">
        <v>88.084074147928803</v>
      </c>
      <c r="AA117" s="3">
        <v>37926</v>
      </c>
      <c r="AB117" s="4">
        <v>87.942381246075001</v>
      </c>
    </row>
    <row r="118" spans="1:2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15.712538869975001</v>
      </c>
      <c r="H118" s="3">
        <v>37834</v>
      </c>
      <c r="I118" s="4">
        <v>15.0511352239203</v>
      </c>
      <c r="U118" t="s">
        <v>12</v>
      </c>
      <c r="V118" s="1">
        <v>38018</v>
      </c>
      <c r="W118">
        <v>131603</v>
      </c>
      <c r="X118">
        <v>590492237003.89001</v>
      </c>
      <c r="Y118">
        <v>88.105767536891705</v>
      </c>
      <c r="AA118" s="3">
        <v>37956</v>
      </c>
      <c r="AB118" s="4">
        <v>88.050881062194804</v>
      </c>
    </row>
    <row r="119" spans="1:2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15.7367836343841</v>
      </c>
      <c r="H119" s="3">
        <v>37865</v>
      </c>
      <c r="I119" s="4">
        <v>15.4388178387363</v>
      </c>
      <c r="U119" t="s">
        <v>12</v>
      </c>
      <c r="V119" s="1">
        <v>38047</v>
      </c>
      <c r="W119">
        <v>131664</v>
      </c>
      <c r="X119">
        <v>593861198662.73999</v>
      </c>
      <c r="Y119">
        <v>88.134375617136001</v>
      </c>
      <c r="AA119" s="3">
        <v>37987</v>
      </c>
      <c r="AB119" s="4">
        <v>88.084074147928803</v>
      </c>
    </row>
    <row r="120" spans="1:2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15.6078351372489</v>
      </c>
      <c r="H120" s="3">
        <v>37895</v>
      </c>
      <c r="I120" s="4">
        <v>15.712538869975001</v>
      </c>
      <c r="U120" t="s">
        <v>12</v>
      </c>
      <c r="V120" s="1">
        <v>38078</v>
      </c>
      <c r="W120">
        <v>131886</v>
      </c>
      <c r="X120">
        <v>596477677222.82996</v>
      </c>
      <c r="Y120">
        <v>88.221138612025896</v>
      </c>
      <c r="AA120" s="3">
        <v>38018</v>
      </c>
      <c r="AB120" s="4">
        <v>88.105767536891705</v>
      </c>
    </row>
    <row r="121" spans="1:2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15.632002137203299</v>
      </c>
      <c r="H121" s="3">
        <v>37926</v>
      </c>
      <c r="I121" s="4">
        <v>15.7367836343841</v>
      </c>
      <c r="U121" t="s">
        <v>12</v>
      </c>
      <c r="V121" s="1">
        <v>38108</v>
      </c>
      <c r="W121">
        <v>132088</v>
      </c>
      <c r="X121">
        <v>597338404698.09998</v>
      </c>
      <c r="Y121">
        <v>88.2796976810329</v>
      </c>
      <c r="AA121" s="3">
        <v>38047</v>
      </c>
      <c r="AB121" s="4">
        <v>88.134375617136001</v>
      </c>
    </row>
    <row r="122" spans="1:2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15.6991634367233</v>
      </c>
      <c r="H122" s="3">
        <v>37956</v>
      </c>
      <c r="I122" s="4">
        <v>15.6078351372489</v>
      </c>
      <c r="U122" t="s">
        <v>12</v>
      </c>
      <c r="V122" s="1">
        <v>38139</v>
      </c>
      <c r="W122">
        <v>132101</v>
      </c>
      <c r="X122">
        <v>596273856729.08997</v>
      </c>
      <c r="Y122">
        <v>88.359195659260095</v>
      </c>
      <c r="AA122" s="3">
        <v>38078</v>
      </c>
      <c r="AB122" s="4">
        <v>88.221138612025896</v>
      </c>
    </row>
    <row r="123" spans="1:2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15.7541313694003</v>
      </c>
      <c r="H123" s="3">
        <v>37987</v>
      </c>
      <c r="I123" s="4">
        <v>15.632002137203299</v>
      </c>
      <c r="U123" t="s">
        <v>12</v>
      </c>
      <c r="V123" s="1">
        <v>38169</v>
      </c>
      <c r="W123">
        <v>131952</v>
      </c>
      <c r="X123">
        <v>601439464147.39001</v>
      </c>
      <c r="Y123">
        <v>88.386130968417604</v>
      </c>
      <c r="AA123" s="3">
        <v>38108</v>
      </c>
      <c r="AB123" s="4">
        <v>88.2796976810329</v>
      </c>
    </row>
    <row r="124" spans="1:2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15.935376975898899</v>
      </c>
      <c r="H124" s="3">
        <v>38018</v>
      </c>
      <c r="I124" s="4">
        <v>15.6991634367233</v>
      </c>
      <c r="U124" t="s">
        <v>12</v>
      </c>
      <c r="V124" s="1">
        <v>38200</v>
      </c>
      <c r="W124">
        <v>131955</v>
      </c>
      <c r="X124">
        <v>605197029837.21997</v>
      </c>
      <c r="Y124">
        <v>88.444880925534704</v>
      </c>
      <c r="AA124" s="3">
        <v>38139</v>
      </c>
      <c r="AB124" s="4">
        <v>88.359195659260095</v>
      </c>
    </row>
    <row r="125" spans="1:2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16.152149923341899</v>
      </c>
      <c r="H125" s="3">
        <v>38047</v>
      </c>
      <c r="I125" s="4">
        <v>15.7541313694003</v>
      </c>
      <c r="U125" t="s">
        <v>12</v>
      </c>
      <c r="V125" s="1">
        <v>38231</v>
      </c>
      <c r="W125">
        <v>132161</v>
      </c>
      <c r="X125">
        <v>608460652302.93994</v>
      </c>
      <c r="Y125">
        <v>88.531840576166104</v>
      </c>
      <c r="AA125" s="3">
        <v>38169</v>
      </c>
      <c r="AB125" s="4">
        <v>88.386130968417604</v>
      </c>
    </row>
    <row r="126" spans="1:2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16.253329516238299</v>
      </c>
      <c r="H126" s="3">
        <v>38078</v>
      </c>
      <c r="I126" s="4">
        <v>15.935376975898899</v>
      </c>
      <c r="U126" t="s">
        <v>12</v>
      </c>
      <c r="V126" s="1">
        <v>38261</v>
      </c>
      <c r="W126">
        <v>132303</v>
      </c>
      <c r="X126">
        <v>611155921112.51001</v>
      </c>
      <c r="Y126">
        <v>88.591423485742794</v>
      </c>
      <c r="AA126" s="3">
        <v>38200</v>
      </c>
      <c r="AB126" s="4">
        <v>88.444880925534704</v>
      </c>
    </row>
    <row r="127" spans="1:2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16.407424120837401</v>
      </c>
      <c r="H127" s="3">
        <v>38108</v>
      </c>
      <c r="I127" s="4">
        <v>16.152149923341899</v>
      </c>
      <c r="U127" t="s">
        <v>12</v>
      </c>
      <c r="V127" s="1">
        <v>38292</v>
      </c>
      <c r="W127">
        <v>132433</v>
      </c>
      <c r="X127">
        <v>614809241512.60999</v>
      </c>
      <c r="Y127">
        <v>88.652693025769906</v>
      </c>
      <c r="AA127" s="3">
        <v>38231</v>
      </c>
      <c r="AB127" s="4">
        <v>88.531840576166104</v>
      </c>
    </row>
    <row r="128" spans="1:2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16.6026934019865</v>
      </c>
      <c r="H128" s="3">
        <v>38139</v>
      </c>
      <c r="I128" s="4">
        <v>16.253329516238299</v>
      </c>
      <c r="U128" t="s">
        <v>12</v>
      </c>
      <c r="V128" s="1">
        <v>38322</v>
      </c>
      <c r="W128">
        <v>132687</v>
      </c>
      <c r="X128">
        <v>617441892380.83997</v>
      </c>
      <c r="Y128">
        <v>88.723270104119905</v>
      </c>
      <c r="AA128" s="3">
        <v>38261</v>
      </c>
      <c r="AB128" s="4">
        <v>88.591423485742794</v>
      </c>
    </row>
    <row r="129" spans="1:2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16.734934455602001</v>
      </c>
      <c r="H129" s="3">
        <v>38169</v>
      </c>
      <c r="I129" s="4">
        <v>16.407424120837401</v>
      </c>
      <c r="U129" t="s">
        <v>12</v>
      </c>
      <c r="V129" s="1">
        <v>38353</v>
      </c>
      <c r="W129">
        <v>133092</v>
      </c>
      <c r="X129">
        <v>623960122239.18994</v>
      </c>
      <c r="Y129">
        <v>88.829845686075501</v>
      </c>
      <c r="AA129" s="3">
        <v>38292</v>
      </c>
      <c r="AB129" s="4">
        <v>88.652693025769906</v>
      </c>
    </row>
    <row r="130" spans="1:2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16.910177197623</v>
      </c>
      <c r="H130" s="3">
        <v>38200</v>
      </c>
      <c r="I130" s="4">
        <v>16.6026934019865</v>
      </c>
      <c r="U130" t="s">
        <v>12</v>
      </c>
      <c r="V130" s="1">
        <v>38384</v>
      </c>
      <c r="W130">
        <v>133292</v>
      </c>
      <c r="X130">
        <v>627455382401.26001</v>
      </c>
      <c r="Y130">
        <v>88.875416801239993</v>
      </c>
      <c r="AA130" s="3">
        <v>38322</v>
      </c>
      <c r="AB130" s="4">
        <v>88.723270104119905</v>
      </c>
    </row>
    <row r="131" spans="1:2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17.103542773184898</v>
      </c>
      <c r="H131" s="3">
        <v>38231</v>
      </c>
      <c r="I131" s="4">
        <v>16.734934455602001</v>
      </c>
      <c r="U131" t="s">
        <v>12</v>
      </c>
      <c r="V131" s="1">
        <v>38412</v>
      </c>
      <c r="W131">
        <v>133606</v>
      </c>
      <c r="X131">
        <v>630345840465.95996</v>
      </c>
      <c r="Y131">
        <v>88.930022726333107</v>
      </c>
      <c r="AA131" s="3">
        <v>38353</v>
      </c>
      <c r="AB131" s="4">
        <v>88.829845686075501</v>
      </c>
    </row>
    <row r="132" spans="1:2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17.321215293521</v>
      </c>
      <c r="H132" s="3">
        <v>38261</v>
      </c>
      <c r="I132" s="4">
        <v>16.910177197623</v>
      </c>
      <c r="U132" t="s">
        <v>12</v>
      </c>
      <c r="V132" s="1">
        <v>38443</v>
      </c>
      <c r="W132">
        <v>133977</v>
      </c>
      <c r="X132">
        <v>636404653411.88</v>
      </c>
      <c r="Y132">
        <v>89.072123444957199</v>
      </c>
      <c r="AA132" s="3">
        <v>38384</v>
      </c>
      <c r="AB132" s="4">
        <v>88.875416801239993</v>
      </c>
    </row>
    <row r="133" spans="1:2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17.576631455242701</v>
      </c>
      <c r="H133" s="3">
        <v>38292</v>
      </c>
      <c r="I133" s="4">
        <v>17.103542773184898</v>
      </c>
      <c r="U133" t="s">
        <v>12</v>
      </c>
      <c r="V133" s="1">
        <v>38473</v>
      </c>
      <c r="W133">
        <v>134400</v>
      </c>
      <c r="X133">
        <v>643943974637.40002</v>
      </c>
      <c r="Y133">
        <v>89.125361401376196</v>
      </c>
      <c r="AA133" s="3">
        <v>38412</v>
      </c>
      <c r="AB133" s="4">
        <v>88.930022726333107</v>
      </c>
    </row>
    <row r="134" spans="1:2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17.690183783761601</v>
      </c>
      <c r="H134" s="3">
        <v>38322</v>
      </c>
      <c r="I134" s="4">
        <v>17.321215293521</v>
      </c>
      <c r="U134" t="s">
        <v>12</v>
      </c>
      <c r="V134" s="1">
        <v>38504</v>
      </c>
      <c r="W134">
        <v>134739</v>
      </c>
      <c r="X134">
        <v>653230277414.80005</v>
      </c>
      <c r="Y134">
        <v>89.198205762551396</v>
      </c>
      <c r="AA134" s="3">
        <v>38443</v>
      </c>
      <c r="AB134" s="4">
        <v>89.072123444957199</v>
      </c>
    </row>
    <row r="135" spans="1:2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17.9380464244949</v>
      </c>
      <c r="H135" s="3">
        <v>38353</v>
      </c>
      <c r="I135" s="4">
        <v>17.576631455242701</v>
      </c>
      <c r="U135" t="s">
        <v>12</v>
      </c>
      <c r="V135" s="1">
        <v>38534</v>
      </c>
      <c r="W135">
        <v>135194</v>
      </c>
      <c r="X135">
        <v>662672623504.70996</v>
      </c>
      <c r="Y135">
        <v>89.254039252913302</v>
      </c>
      <c r="AA135" s="3">
        <v>38473</v>
      </c>
      <c r="AB135" s="4">
        <v>89.125361401376196</v>
      </c>
    </row>
    <row r="136" spans="1:2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15.217267334447699</v>
      </c>
      <c r="H136" s="3">
        <v>38384</v>
      </c>
      <c r="I136" s="4">
        <v>17.690183783761601</v>
      </c>
      <c r="U136" t="s">
        <v>12</v>
      </c>
      <c r="V136" s="1">
        <v>38565</v>
      </c>
      <c r="W136">
        <v>135445</v>
      </c>
      <c r="X136">
        <v>669529147077.09998</v>
      </c>
      <c r="Y136">
        <v>89.285574490843004</v>
      </c>
      <c r="AA136" s="3">
        <v>38504</v>
      </c>
      <c r="AB136" s="4">
        <v>89.198205762551396</v>
      </c>
    </row>
    <row r="137" spans="1:2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15.3209729937092</v>
      </c>
      <c r="H137" s="3">
        <v>38412</v>
      </c>
      <c r="I137" s="4">
        <v>17.9380464244949</v>
      </c>
      <c r="U137" t="s">
        <v>12</v>
      </c>
      <c r="V137" s="1">
        <v>38596</v>
      </c>
      <c r="W137">
        <v>135930</v>
      </c>
      <c r="X137">
        <v>681084316958.28003</v>
      </c>
      <c r="Y137">
        <v>89.348688696911395</v>
      </c>
      <c r="AA137" s="3">
        <v>38534</v>
      </c>
      <c r="AB137" s="4">
        <v>89.254039252913302</v>
      </c>
    </row>
    <row r="138" spans="1:2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15.407947488</v>
      </c>
      <c r="H138" s="3">
        <v>38443</v>
      </c>
      <c r="I138" s="4">
        <v>15.217267334447699</v>
      </c>
      <c r="U138" t="s">
        <v>12</v>
      </c>
      <c r="V138" s="1">
        <v>38626</v>
      </c>
      <c r="W138">
        <v>136354</v>
      </c>
      <c r="X138">
        <v>696083136095.84998</v>
      </c>
      <c r="Y138">
        <v>89.338391137991394</v>
      </c>
      <c r="AA138" s="3">
        <v>38565</v>
      </c>
      <c r="AB138" s="4">
        <v>89.285574490843004</v>
      </c>
    </row>
    <row r="139" spans="1:2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18.4636805417645</v>
      </c>
      <c r="H139" s="3">
        <v>38473</v>
      </c>
      <c r="I139" s="4">
        <v>15.3209729937092</v>
      </c>
      <c r="U139" t="s">
        <v>12</v>
      </c>
      <c r="V139" s="1">
        <v>38657</v>
      </c>
      <c r="W139">
        <v>136807</v>
      </c>
      <c r="X139">
        <v>709909508509.60999</v>
      </c>
      <c r="Y139">
        <v>89.370147218990098</v>
      </c>
      <c r="AA139" s="3">
        <v>38596</v>
      </c>
      <c r="AB139" s="4">
        <v>89.348688696911395</v>
      </c>
    </row>
    <row r="140" spans="1:2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18.656002221477902</v>
      </c>
      <c r="H140" s="3">
        <v>38504</v>
      </c>
      <c r="I140" s="4">
        <v>15.407947488</v>
      </c>
      <c r="U140" t="s">
        <v>12</v>
      </c>
      <c r="V140" s="1">
        <v>38687</v>
      </c>
      <c r="W140">
        <v>137306</v>
      </c>
      <c r="X140">
        <v>723313661090.52002</v>
      </c>
      <c r="Y140">
        <v>89.395771016600804</v>
      </c>
      <c r="AA140" s="3">
        <v>38626</v>
      </c>
      <c r="AB140" s="4">
        <v>89.338391137991394</v>
      </c>
    </row>
    <row r="141" spans="1:2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18.955787144097901</v>
      </c>
      <c r="H141" s="3">
        <v>38534</v>
      </c>
      <c r="I141" s="4">
        <v>18.4636805417645</v>
      </c>
      <c r="U141" t="s">
        <v>12</v>
      </c>
      <c r="V141" s="1">
        <v>38718</v>
      </c>
      <c r="W141">
        <v>137944</v>
      </c>
      <c r="X141">
        <v>737066180148.85999</v>
      </c>
      <c r="Y141">
        <v>89.406108931294</v>
      </c>
      <c r="AA141" s="3">
        <v>38657</v>
      </c>
      <c r="AB141" s="4">
        <v>89.370147218990098</v>
      </c>
    </row>
    <row r="142" spans="1:2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19.147463437467501</v>
      </c>
      <c r="H142" s="3">
        <v>38565</v>
      </c>
      <c r="I142" s="4">
        <v>18.656002221477902</v>
      </c>
      <c r="U142" t="s">
        <v>12</v>
      </c>
      <c r="V142" s="1">
        <v>38749</v>
      </c>
      <c r="W142">
        <v>138515</v>
      </c>
      <c r="X142">
        <v>750813136411.38</v>
      </c>
      <c r="Y142">
        <v>89.475207292258503</v>
      </c>
      <c r="AA142" s="3">
        <v>38687</v>
      </c>
      <c r="AB142" s="4">
        <v>89.395771016600804</v>
      </c>
    </row>
    <row r="143" spans="1:2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19.351711971212598</v>
      </c>
      <c r="H143" s="3">
        <v>38596</v>
      </c>
      <c r="I143" s="4">
        <v>18.955787144097901</v>
      </c>
      <c r="U143" t="s">
        <v>12</v>
      </c>
      <c r="V143" s="1">
        <v>38777</v>
      </c>
      <c r="W143">
        <v>139200</v>
      </c>
      <c r="X143">
        <v>762936156844.35999</v>
      </c>
      <c r="Y143">
        <v>89.538278655785604</v>
      </c>
      <c r="AA143" s="3">
        <v>38718</v>
      </c>
      <c r="AB143" s="4">
        <v>89.406108931294</v>
      </c>
    </row>
    <row r="144" spans="1:2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19.388590947095</v>
      </c>
      <c r="H144" s="3">
        <v>38626</v>
      </c>
      <c r="I144" s="4">
        <v>19.147463437467501</v>
      </c>
      <c r="U144" t="s">
        <v>12</v>
      </c>
      <c r="V144" s="1">
        <v>38808</v>
      </c>
      <c r="W144">
        <v>139672</v>
      </c>
      <c r="X144">
        <v>773774501099.78003</v>
      </c>
      <c r="Y144">
        <v>89.622606212205895</v>
      </c>
      <c r="AA144" s="3">
        <v>38749</v>
      </c>
      <c r="AB144" s="4">
        <v>89.475207292258503</v>
      </c>
    </row>
    <row r="145" spans="1:2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19.621624068600301</v>
      </c>
      <c r="H145" s="3">
        <v>38657</v>
      </c>
      <c r="I145" s="4">
        <v>19.351711971212598</v>
      </c>
      <c r="U145" t="s">
        <v>12</v>
      </c>
      <c r="V145" s="1">
        <v>38838</v>
      </c>
      <c r="W145">
        <v>140122</v>
      </c>
      <c r="X145">
        <v>784425698830.51001</v>
      </c>
      <c r="Y145">
        <v>89.707410139325304</v>
      </c>
      <c r="AA145" s="3">
        <v>38777</v>
      </c>
      <c r="AB145" s="4">
        <v>89.538278655785604</v>
      </c>
    </row>
    <row r="146" spans="1:2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19.7527965231486</v>
      </c>
      <c r="H146" s="3">
        <v>38687</v>
      </c>
      <c r="I146" s="4">
        <v>19.388590947095</v>
      </c>
      <c r="U146" t="s">
        <v>12</v>
      </c>
      <c r="V146" s="1">
        <v>38869</v>
      </c>
      <c r="W146">
        <v>140435</v>
      </c>
      <c r="X146">
        <v>793859723461.93005</v>
      </c>
      <c r="Y146">
        <v>89.775199167466297</v>
      </c>
      <c r="AA146" s="3">
        <v>38808</v>
      </c>
      <c r="AB146" s="4">
        <v>89.622606212205895</v>
      </c>
    </row>
    <row r="147" spans="1:2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19.9893848782813</v>
      </c>
      <c r="H147" s="3">
        <v>38718</v>
      </c>
      <c r="I147" s="4">
        <v>19.621624068600301</v>
      </c>
      <c r="U147" t="s">
        <v>12</v>
      </c>
      <c r="V147" s="1">
        <v>38899</v>
      </c>
      <c r="W147">
        <v>140872</v>
      </c>
      <c r="X147">
        <v>804148796324.16003</v>
      </c>
      <c r="Y147">
        <v>89.784352669818205</v>
      </c>
      <c r="AA147" s="3">
        <v>38838</v>
      </c>
      <c r="AB147" s="4">
        <v>89.707410139325304</v>
      </c>
    </row>
    <row r="148" spans="1:2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20.134828364334201</v>
      </c>
      <c r="H148" s="3">
        <v>38749</v>
      </c>
      <c r="I148" s="4">
        <v>19.7527965231486</v>
      </c>
      <c r="U148" t="s">
        <v>12</v>
      </c>
      <c r="V148" s="1">
        <v>38930</v>
      </c>
      <c r="W148">
        <v>141261</v>
      </c>
      <c r="X148">
        <v>815623297124.84998</v>
      </c>
      <c r="Y148">
        <v>89.808847866585197</v>
      </c>
      <c r="AA148" s="3">
        <v>38869</v>
      </c>
      <c r="AB148" s="4">
        <v>89.775199167466297</v>
      </c>
    </row>
    <row r="149" spans="1:2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20.2937457805462</v>
      </c>
      <c r="H149" s="3">
        <v>38777</v>
      </c>
      <c r="I149" s="4">
        <v>19.9893848782813</v>
      </c>
      <c r="U149" t="s">
        <v>12</v>
      </c>
      <c r="V149" s="1">
        <v>38961</v>
      </c>
      <c r="W149">
        <v>141782</v>
      </c>
      <c r="X149">
        <v>829173302149.54004</v>
      </c>
      <c r="Y149">
        <v>88.564265133633199</v>
      </c>
      <c r="AA149" s="3">
        <v>38899</v>
      </c>
      <c r="AB149" s="4">
        <v>89.784352669818205</v>
      </c>
    </row>
    <row r="150" spans="1:2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20.313213395218</v>
      </c>
      <c r="H150" s="3">
        <v>38808</v>
      </c>
      <c r="I150" s="4">
        <v>20.134828364334201</v>
      </c>
      <c r="U150" t="s">
        <v>12</v>
      </c>
      <c r="V150" s="1">
        <v>38991</v>
      </c>
      <c r="W150">
        <v>142240</v>
      </c>
      <c r="X150">
        <v>841370417123.65002</v>
      </c>
      <c r="Y150">
        <v>88.718118200961499</v>
      </c>
      <c r="AA150" s="3">
        <v>38930</v>
      </c>
      <c r="AB150" s="4">
        <v>89.808847866585197</v>
      </c>
    </row>
    <row r="151" spans="1:2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20.275300139940899</v>
      </c>
      <c r="H151" s="3">
        <v>38838</v>
      </c>
      <c r="I151" s="4">
        <v>20.2937457805462</v>
      </c>
      <c r="U151" t="s">
        <v>12</v>
      </c>
      <c r="V151" s="1">
        <v>39022</v>
      </c>
      <c r="W151">
        <v>142710</v>
      </c>
      <c r="X151">
        <v>852239587713.02002</v>
      </c>
      <c r="Y151">
        <v>89.030330750412503</v>
      </c>
      <c r="AA151" s="3">
        <v>38961</v>
      </c>
      <c r="AB151" s="4">
        <v>88.564265133633199</v>
      </c>
    </row>
    <row r="152" spans="1:2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20.271480961853499</v>
      </c>
      <c r="H152" s="3">
        <v>38869</v>
      </c>
      <c r="I152" s="4">
        <v>20.313213395218</v>
      </c>
      <c r="U152" t="s">
        <v>12</v>
      </c>
      <c r="V152" s="1">
        <v>39052</v>
      </c>
      <c r="W152">
        <v>143157</v>
      </c>
      <c r="X152">
        <v>860737627696.97998</v>
      </c>
      <c r="Y152">
        <v>89.182762274168795</v>
      </c>
      <c r="AA152" s="3">
        <v>38991</v>
      </c>
      <c r="AB152" s="4">
        <v>88.718118200961499</v>
      </c>
    </row>
    <row r="153" spans="1:2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20.2195203451585</v>
      </c>
      <c r="H153" s="3">
        <v>38899</v>
      </c>
      <c r="I153" s="4">
        <v>20.275300139940899</v>
      </c>
      <c r="U153" t="s">
        <v>12</v>
      </c>
      <c r="V153" s="1">
        <v>39083</v>
      </c>
      <c r="W153">
        <v>143792</v>
      </c>
      <c r="X153">
        <v>875234917686.55005</v>
      </c>
      <c r="Y153">
        <v>88.634563936587895</v>
      </c>
      <c r="AA153" s="3">
        <v>39022</v>
      </c>
      <c r="AB153" s="4">
        <v>89.030330750412503</v>
      </c>
    </row>
    <row r="154" spans="1:2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20.190238445827401</v>
      </c>
      <c r="H154" s="3">
        <v>38930</v>
      </c>
      <c r="I154" s="4">
        <v>20.271480961853499</v>
      </c>
      <c r="U154" t="s">
        <v>12</v>
      </c>
      <c r="V154" s="1">
        <v>39114</v>
      </c>
      <c r="W154">
        <v>144232</v>
      </c>
      <c r="X154">
        <v>886289398566.56006</v>
      </c>
      <c r="Y154">
        <v>88.964771030614202</v>
      </c>
      <c r="AA154" s="3">
        <v>39052</v>
      </c>
      <c r="AB154" s="4">
        <v>89.182762274168795</v>
      </c>
    </row>
    <row r="155" spans="1:2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20.097366027350098</v>
      </c>
      <c r="H155" s="3">
        <v>38961</v>
      </c>
      <c r="I155" s="4">
        <v>20.2195203451585</v>
      </c>
      <c r="U155" t="s">
        <v>12</v>
      </c>
      <c r="V155" s="1">
        <v>39142</v>
      </c>
      <c r="W155">
        <v>144924</v>
      </c>
      <c r="X155">
        <v>902939742411.02002</v>
      </c>
      <c r="Y155">
        <v>88.573890165799995</v>
      </c>
      <c r="AA155" s="3">
        <v>39083</v>
      </c>
      <c r="AB155" s="4">
        <v>88.634563936587895</v>
      </c>
    </row>
    <row r="156" spans="1:2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20.054032617926101</v>
      </c>
      <c r="H156" s="3">
        <v>38991</v>
      </c>
      <c r="I156" s="4">
        <v>20.190238445827401</v>
      </c>
      <c r="U156" t="s">
        <v>12</v>
      </c>
      <c r="V156" s="1">
        <v>39173</v>
      </c>
      <c r="W156">
        <v>145734</v>
      </c>
      <c r="X156">
        <v>918275700682.27002</v>
      </c>
      <c r="Y156">
        <v>88.946012579693601</v>
      </c>
      <c r="AA156" s="3">
        <v>39114</v>
      </c>
      <c r="AB156" s="4">
        <v>88.964771030614202</v>
      </c>
    </row>
    <row r="157" spans="1:2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20.021928971829301</v>
      </c>
      <c r="H157" s="3">
        <v>39022</v>
      </c>
      <c r="I157" s="4">
        <v>20.097366027350098</v>
      </c>
      <c r="U157" t="s">
        <v>12</v>
      </c>
      <c r="V157" s="1">
        <v>39203</v>
      </c>
      <c r="W157">
        <v>146420</v>
      </c>
      <c r="X157">
        <v>931301394201.87</v>
      </c>
      <c r="Y157">
        <v>89.210969925319404</v>
      </c>
      <c r="AA157" s="3">
        <v>39142</v>
      </c>
      <c r="AB157" s="4">
        <v>88.573890165799995</v>
      </c>
    </row>
    <row r="158" spans="1:2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19.981894696635301</v>
      </c>
      <c r="H158" s="3">
        <v>39052</v>
      </c>
      <c r="I158" s="4">
        <v>20.054032617926101</v>
      </c>
      <c r="U158" t="s">
        <v>12</v>
      </c>
      <c r="V158" s="1">
        <v>39234</v>
      </c>
      <c r="W158">
        <v>147268</v>
      </c>
      <c r="X158">
        <v>945955296949.02002</v>
      </c>
      <c r="Y158">
        <v>89.130691751235801</v>
      </c>
      <c r="AA158" s="3">
        <v>39173</v>
      </c>
      <c r="AB158" s="4">
        <v>88.946012579693601</v>
      </c>
    </row>
    <row r="159" spans="1:2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20.033413413481199</v>
      </c>
      <c r="H159" s="3">
        <v>39083</v>
      </c>
      <c r="I159" s="4">
        <v>20.021928971829301</v>
      </c>
      <c r="U159" t="s">
        <v>12</v>
      </c>
      <c r="V159" s="1">
        <v>39264</v>
      </c>
      <c r="W159">
        <v>147991</v>
      </c>
      <c r="X159">
        <v>959167890179.53003</v>
      </c>
      <c r="Y159">
        <v>89.148915748873307</v>
      </c>
      <c r="AA159" s="3">
        <v>39203</v>
      </c>
      <c r="AB159" s="4">
        <v>89.210969925319404</v>
      </c>
    </row>
    <row r="160" spans="1:2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20.0065591444652</v>
      </c>
      <c r="H160" s="3">
        <v>39114</v>
      </c>
      <c r="I160" s="4">
        <v>19.981894696635301</v>
      </c>
      <c r="U160" t="s">
        <v>12</v>
      </c>
      <c r="V160" s="1">
        <v>39295</v>
      </c>
      <c r="W160">
        <v>148654</v>
      </c>
      <c r="X160">
        <v>970630930715.02002</v>
      </c>
      <c r="Y160">
        <v>89.2053193621758</v>
      </c>
      <c r="AA160" s="3">
        <v>39234</v>
      </c>
      <c r="AB160" s="4">
        <v>89.130691751235801</v>
      </c>
    </row>
    <row r="161" spans="1:2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19.994139302062099</v>
      </c>
      <c r="H161" s="3">
        <v>39142</v>
      </c>
      <c r="I161" s="4">
        <v>20.033413413481199</v>
      </c>
      <c r="U161" t="s">
        <v>12</v>
      </c>
      <c r="V161" s="1">
        <v>39326</v>
      </c>
      <c r="W161">
        <v>149639</v>
      </c>
      <c r="X161">
        <v>986147711440.53003</v>
      </c>
      <c r="Y161">
        <v>88.788227667979001</v>
      </c>
      <c r="AA161" s="3">
        <v>39264</v>
      </c>
      <c r="AB161" s="4">
        <v>89.148915748873307</v>
      </c>
    </row>
    <row r="162" spans="1:2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19.991168318051699</v>
      </c>
      <c r="H162" s="3">
        <v>39173</v>
      </c>
      <c r="I162" s="4">
        <v>20.0065591444652</v>
      </c>
      <c r="U162" t="s">
        <v>12</v>
      </c>
      <c r="V162" s="1">
        <v>39356</v>
      </c>
      <c r="W162">
        <v>150721</v>
      </c>
      <c r="X162">
        <v>1004291168943.65</v>
      </c>
      <c r="Y162">
        <v>88.179894004947499</v>
      </c>
      <c r="AA162" s="3">
        <v>39295</v>
      </c>
      <c r="AB162" s="4">
        <v>89.2053193621758</v>
      </c>
    </row>
    <row r="163" spans="1:2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19.8040452527868</v>
      </c>
      <c r="H163" s="3">
        <v>39203</v>
      </c>
      <c r="I163" s="4">
        <v>19.994139302062099</v>
      </c>
      <c r="U163" t="s">
        <v>12</v>
      </c>
      <c r="V163" s="1">
        <v>39387</v>
      </c>
      <c r="W163">
        <v>151639</v>
      </c>
      <c r="X163">
        <v>1018333619421.8199</v>
      </c>
      <c r="Y163">
        <v>88.304705206090802</v>
      </c>
      <c r="AA163" s="3">
        <v>39326</v>
      </c>
      <c r="AB163" s="4">
        <v>88.788227667979001</v>
      </c>
    </row>
    <row r="164" spans="1:2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19.8230717211365</v>
      </c>
      <c r="H164" s="3">
        <v>39234</v>
      </c>
      <c r="I164" s="4">
        <v>19.991168318051699</v>
      </c>
      <c r="U164" t="s">
        <v>12</v>
      </c>
      <c r="V164" s="1">
        <v>39417</v>
      </c>
      <c r="W164">
        <v>152735</v>
      </c>
      <c r="X164">
        <v>1036838440902.78</v>
      </c>
      <c r="Y164">
        <v>87.372890547298596</v>
      </c>
      <c r="AA164" s="3">
        <v>39356</v>
      </c>
      <c r="AB164" s="4">
        <v>88.179894004947499</v>
      </c>
    </row>
    <row r="165" spans="1:2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19.757166953734401</v>
      </c>
      <c r="H165" s="3">
        <v>39264</v>
      </c>
      <c r="I165" s="4">
        <v>19.8040452527868</v>
      </c>
      <c r="U165" t="s">
        <v>12</v>
      </c>
      <c r="V165" s="1">
        <v>39448</v>
      </c>
      <c r="W165">
        <v>153907</v>
      </c>
      <c r="X165">
        <v>1052366455361.34</v>
      </c>
      <c r="Y165">
        <v>86.832632177839699</v>
      </c>
      <c r="AA165" s="3">
        <v>39387</v>
      </c>
      <c r="AB165" s="4">
        <v>88.304705206090802</v>
      </c>
    </row>
    <row r="166" spans="1:2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19.470007229199901</v>
      </c>
      <c r="H166" s="3">
        <v>39295</v>
      </c>
      <c r="I166" s="4">
        <v>19.8230717211365</v>
      </c>
      <c r="U166" t="s">
        <v>12</v>
      </c>
      <c r="V166" s="1">
        <v>39479</v>
      </c>
      <c r="W166">
        <v>155038</v>
      </c>
      <c r="X166">
        <v>1067631591501.37</v>
      </c>
      <c r="Y166">
        <v>85.933940565323198</v>
      </c>
      <c r="AA166" s="3">
        <v>39417</v>
      </c>
      <c r="AB166" s="4">
        <v>87.372890547298596</v>
      </c>
    </row>
    <row r="167" spans="1:2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19.190160090800202</v>
      </c>
      <c r="H167" s="3">
        <v>39326</v>
      </c>
      <c r="I167" s="4">
        <v>19.757166953734401</v>
      </c>
      <c r="U167" t="s">
        <v>12</v>
      </c>
      <c r="V167" s="1">
        <v>39508</v>
      </c>
      <c r="W167">
        <v>156626</v>
      </c>
      <c r="X167">
        <v>1090932032300.9399</v>
      </c>
      <c r="Y167">
        <v>84.496594313225401</v>
      </c>
      <c r="AA167" s="3">
        <v>39448</v>
      </c>
      <c r="AB167" s="4">
        <v>86.832632177839699</v>
      </c>
    </row>
    <row r="168" spans="1:2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18.848461028118201</v>
      </c>
      <c r="H168" s="3">
        <v>39356</v>
      </c>
      <c r="I168" s="4">
        <v>19.470007229199901</v>
      </c>
      <c r="U168" t="s">
        <v>12</v>
      </c>
      <c r="V168" s="1">
        <v>39539</v>
      </c>
      <c r="W168">
        <v>157658</v>
      </c>
      <c r="X168">
        <v>1107233950410.77</v>
      </c>
      <c r="Y168">
        <v>83.974665526216796</v>
      </c>
      <c r="AA168" s="3">
        <v>39479</v>
      </c>
      <c r="AB168" s="4">
        <v>85.933940565323198</v>
      </c>
    </row>
    <row r="169" spans="1:2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18.559699687475302</v>
      </c>
      <c r="H169" s="3">
        <v>39387</v>
      </c>
      <c r="I169" s="4">
        <v>19.190160090800202</v>
      </c>
      <c r="U169" t="s">
        <v>12</v>
      </c>
      <c r="V169" s="1">
        <v>39569</v>
      </c>
      <c r="W169">
        <v>158547</v>
      </c>
      <c r="X169">
        <v>1121120060633.95</v>
      </c>
      <c r="Y169">
        <v>83.610002496999201</v>
      </c>
      <c r="AA169" s="3">
        <v>39508</v>
      </c>
      <c r="AB169" s="4">
        <v>84.496594313225401</v>
      </c>
    </row>
    <row r="170" spans="1:2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18.2620717884874</v>
      </c>
      <c r="H170" s="3">
        <v>39417</v>
      </c>
      <c r="I170" s="4">
        <v>18.848461028118201</v>
      </c>
      <c r="U170" t="s">
        <v>13</v>
      </c>
      <c r="V170" s="1">
        <v>39600</v>
      </c>
      <c r="W170">
        <v>19</v>
      </c>
      <c r="X170">
        <v>159670015.94</v>
      </c>
      <c r="Y170">
        <v>0</v>
      </c>
      <c r="AA170" s="3">
        <v>39539</v>
      </c>
      <c r="AB170" s="4">
        <v>83.974665526216796</v>
      </c>
    </row>
    <row r="171" spans="1:2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18.0338363373913</v>
      </c>
      <c r="H171" s="3">
        <v>39448</v>
      </c>
      <c r="I171" s="4">
        <v>18.559699687475302</v>
      </c>
      <c r="U171" t="s">
        <v>12</v>
      </c>
      <c r="V171" s="1">
        <v>39600</v>
      </c>
      <c r="W171">
        <v>159524</v>
      </c>
      <c r="X171">
        <v>1139760532494.3999</v>
      </c>
      <c r="Y171">
        <v>83.097793218180598</v>
      </c>
      <c r="AA171" s="3">
        <v>39569</v>
      </c>
      <c r="AB171" s="4">
        <v>83.610002496999201</v>
      </c>
    </row>
    <row r="172" spans="1:2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17.9733906693798</v>
      </c>
      <c r="H172" s="3">
        <v>39479</v>
      </c>
      <c r="I172" s="4">
        <v>18.2620717884874</v>
      </c>
      <c r="U172" t="s">
        <v>12</v>
      </c>
      <c r="V172" s="1">
        <v>39630</v>
      </c>
      <c r="W172">
        <v>160395</v>
      </c>
      <c r="X172">
        <v>1155479201809.6499</v>
      </c>
      <c r="Y172">
        <v>82.942590170169595</v>
      </c>
      <c r="AA172" s="3">
        <v>39600</v>
      </c>
      <c r="AB172" s="4">
        <v>83.097793218180598</v>
      </c>
    </row>
    <row r="173" spans="1:2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17.8877952256803</v>
      </c>
      <c r="H173" s="3">
        <v>39508</v>
      </c>
      <c r="I173" s="4">
        <v>18.0338363373913</v>
      </c>
      <c r="U173" t="s">
        <v>13</v>
      </c>
      <c r="V173" s="1">
        <v>39630</v>
      </c>
      <c r="W173">
        <v>45</v>
      </c>
      <c r="X173">
        <v>377180050.56</v>
      </c>
      <c r="Y173">
        <v>42.119929599864598</v>
      </c>
      <c r="AA173" s="3">
        <v>39630</v>
      </c>
      <c r="AB173" s="4">
        <v>82.942590170169595</v>
      </c>
    </row>
    <row r="174" spans="1:2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H174" s="3">
        <v>39539</v>
      </c>
      <c r="I174" s="4">
        <v>17.9733906693798</v>
      </c>
      <c r="U174" t="s">
        <v>12</v>
      </c>
      <c r="V174" s="1">
        <v>39661</v>
      </c>
      <c r="W174">
        <v>160920</v>
      </c>
      <c r="X174">
        <v>1162237411975.8501</v>
      </c>
      <c r="Y174">
        <v>83.144668466178601</v>
      </c>
      <c r="AA174" s="3">
        <v>39661</v>
      </c>
      <c r="AB174" s="4">
        <v>83.144668466178601</v>
      </c>
    </row>
    <row r="175" spans="1:2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18.050740292528602</v>
      </c>
      <c r="H175" s="3">
        <v>39569</v>
      </c>
      <c r="I175" s="4">
        <v>17.8877952256803</v>
      </c>
      <c r="U175" t="s">
        <v>13</v>
      </c>
      <c r="V175" s="1">
        <v>39661</v>
      </c>
      <c r="W175">
        <v>64</v>
      </c>
      <c r="X175">
        <v>621719851.95000005</v>
      </c>
      <c r="Y175">
        <v>60.122757490694902</v>
      </c>
      <c r="AA175" s="3">
        <v>39692</v>
      </c>
      <c r="AB175" s="4">
        <v>82.566955120590407</v>
      </c>
    </row>
    <row r="176" spans="1:2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18.158329864500999</v>
      </c>
      <c r="H176" s="3">
        <v>39600</v>
      </c>
      <c r="I176" s="4">
        <v>18.050740292528602</v>
      </c>
      <c r="U176" t="s">
        <v>12</v>
      </c>
      <c r="V176" s="1">
        <v>39692</v>
      </c>
      <c r="W176">
        <v>161444</v>
      </c>
      <c r="X176">
        <v>1169648700447.6899</v>
      </c>
      <c r="Y176">
        <v>82.566955120590407</v>
      </c>
      <c r="AA176" s="3">
        <v>39722</v>
      </c>
      <c r="AB176" s="4">
        <v>81.530228230536295</v>
      </c>
    </row>
    <row r="177" spans="1:2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H177" s="3">
        <v>39630</v>
      </c>
      <c r="I177" s="4">
        <v>18.158329864500999</v>
      </c>
      <c r="U177" t="s">
        <v>13</v>
      </c>
      <c r="V177" s="1">
        <v>39692</v>
      </c>
      <c r="W177">
        <v>67</v>
      </c>
      <c r="X177">
        <v>763960929.25999999</v>
      </c>
      <c r="Y177">
        <v>79.783714081361495</v>
      </c>
      <c r="AA177" s="3">
        <v>39753</v>
      </c>
      <c r="AB177" s="4">
        <v>80.856974699732703</v>
      </c>
    </row>
    <row r="178" spans="1:2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18.175177167928599</v>
      </c>
      <c r="H178" s="3">
        <v>39661</v>
      </c>
      <c r="I178" s="4">
        <v>18.175177167928599</v>
      </c>
      <c r="U178" t="s">
        <v>13</v>
      </c>
      <c r="V178" s="1">
        <v>39722</v>
      </c>
      <c r="W178">
        <v>70</v>
      </c>
      <c r="X178">
        <v>816348629.33000004</v>
      </c>
      <c r="Y178">
        <v>91.771076836217702</v>
      </c>
      <c r="AA178" s="3">
        <v>39783</v>
      </c>
      <c r="AB178" s="4">
        <v>79.525922663337795</v>
      </c>
    </row>
    <row r="179" spans="1:2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H179" s="3">
        <v>39692</v>
      </c>
      <c r="I179" s="4">
        <v>18.1116989790692</v>
      </c>
      <c r="U179" t="s">
        <v>12</v>
      </c>
      <c r="V179" s="1">
        <v>39722</v>
      </c>
      <c r="W179">
        <v>161942</v>
      </c>
      <c r="X179">
        <v>1177642747130.49</v>
      </c>
      <c r="Y179">
        <v>81.530228230536295</v>
      </c>
      <c r="AA179" s="3">
        <v>39814</v>
      </c>
      <c r="AB179" s="4">
        <v>79.398809719351206</v>
      </c>
    </row>
    <row r="180" spans="1:2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18.1116989790692</v>
      </c>
      <c r="H180" s="3">
        <v>39722</v>
      </c>
      <c r="I180" s="4">
        <v>17.947216184410099</v>
      </c>
      <c r="U180" t="s">
        <v>13</v>
      </c>
      <c r="V180" s="1">
        <v>39753</v>
      </c>
      <c r="W180">
        <v>77</v>
      </c>
      <c r="X180">
        <v>962156457.99000001</v>
      </c>
      <c r="Y180">
        <v>82.232448724014404</v>
      </c>
      <c r="AA180" s="3">
        <v>39845</v>
      </c>
      <c r="AB180" s="4">
        <v>79.286047607884299</v>
      </c>
    </row>
    <row r="181" spans="1:28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99.999971295103904</v>
      </c>
      <c r="H181" s="3">
        <v>39753</v>
      </c>
      <c r="I181" s="4">
        <v>17.7739165148956</v>
      </c>
      <c r="U181" t="s">
        <v>12</v>
      </c>
      <c r="V181" s="1">
        <v>39753</v>
      </c>
      <c r="W181">
        <v>162223</v>
      </c>
      <c r="X181">
        <v>1179818682767.8101</v>
      </c>
      <c r="Y181">
        <v>80.856974699732703</v>
      </c>
      <c r="AA181" s="3">
        <v>39873</v>
      </c>
      <c r="AB181" s="4">
        <v>78.1909227294354</v>
      </c>
    </row>
    <row r="182" spans="1:28" x14ac:dyDescent="0.25">
      <c r="A182" t="s">
        <v>6</v>
      </c>
      <c r="B182" s="1">
        <v>39722</v>
      </c>
      <c r="C182">
        <v>32</v>
      </c>
      <c r="D182">
        <v>6443245156.5</v>
      </c>
      <c r="E182">
        <v>99.996369494521701</v>
      </c>
      <c r="H182" s="3">
        <v>39783</v>
      </c>
      <c r="I182" s="4">
        <v>17.6772094379834</v>
      </c>
      <c r="U182" t="s">
        <v>13</v>
      </c>
      <c r="V182" s="1">
        <v>39783</v>
      </c>
      <c r="W182">
        <v>81</v>
      </c>
      <c r="X182">
        <v>1017133767.9</v>
      </c>
      <c r="Y182">
        <v>89.066136226014095</v>
      </c>
      <c r="AA182" s="3">
        <v>39904</v>
      </c>
      <c r="AB182" s="4">
        <v>77.135811256494094</v>
      </c>
    </row>
    <row r="183" spans="1:2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17.947216184410099</v>
      </c>
      <c r="H183" s="3">
        <v>39814</v>
      </c>
      <c r="I183" s="4">
        <v>17.876036115989699</v>
      </c>
      <c r="U183" t="s">
        <v>12</v>
      </c>
      <c r="V183" s="1">
        <v>39783</v>
      </c>
      <c r="W183">
        <v>162431</v>
      </c>
      <c r="X183">
        <v>1183521139367</v>
      </c>
      <c r="Y183">
        <v>79.525922663337795</v>
      </c>
      <c r="AA183" s="3">
        <v>39934</v>
      </c>
      <c r="AB183" s="4">
        <v>81.529181186328401</v>
      </c>
    </row>
    <row r="184" spans="1:2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99.905470795979198</v>
      </c>
      <c r="H184" s="3">
        <v>39845</v>
      </c>
      <c r="I184" s="4">
        <v>17.970776019752901</v>
      </c>
      <c r="U184" t="s">
        <v>12</v>
      </c>
      <c r="V184" s="1">
        <v>39814</v>
      </c>
      <c r="W184">
        <v>162775</v>
      </c>
      <c r="X184">
        <v>1188990414254.24</v>
      </c>
      <c r="Y184">
        <v>79.398809719351206</v>
      </c>
      <c r="AA184" s="3">
        <v>39965</v>
      </c>
      <c r="AB184" s="4">
        <v>81.829110816029598</v>
      </c>
    </row>
    <row r="185" spans="1:2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17.7739165148956</v>
      </c>
      <c r="H185" s="3">
        <v>39873</v>
      </c>
      <c r="I185" s="4">
        <v>18.156749921141699</v>
      </c>
      <c r="U185" t="s">
        <v>13</v>
      </c>
      <c r="V185" s="1">
        <v>39814</v>
      </c>
      <c r="W185">
        <v>85</v>
      </c>
      <c r="X185">
        <v>1108598255.4400001</v>
      </c>
      <c r="Y185">
        <v>85.808275657088402</v>
      </c>
      <c r="AA185" s="3">
        <v>39995</v>
      </c>
      <c r="AB185" s="4">
        <v>82.089385010872107</v>
      </c>
    </row>
    <row r="186" spans="1:28" x14ac:dyDescent="0.25">
      <c r="A186" t="s">
        <v>6</v>
      </c>
      <c r="B186" s="1">
        <v>39783</v>
      </c>
      <c r="C186">
        <v>33</v>
      </c>
      <c r="D186">
        <v>7455294762.29</v>
      </c>
      <c r="E186">
        <v>99.002169333213999</v>
      </c>
      <c r="H186" s="3">
        <v>39904</v>
      </c>
      <c r="I186" s="4">
        <v>18.7978712660653</v>
      </c>
      <c r="U186" t="s">
        <v>13</v>
      </c>
      <c r="V186" s="1">
        <v>39845</v>
      </c>
      <c r="W186">
        <v>91</v>
      </c>
      <c r="X186">
        <v>1144655203.8699999</v>
      </c>
      <c r="Y186">
        <v>90.794467484456206</v>
      </c>
      <c r="AA186" s="3">
        <v>40026</v>
      </c>
      <c r="AB186" s="4">
        <v>80.710360837649702</v>
      </c>
    </row>
    <row r="187" spans="1:2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17.6772094379834</v>
      </c>
      <c r="H187" s="3">
        <v>39934</v>
      </c>
      <c r="I187" s="4">
        <v>19.331783614157398</v>
      </c>
      <c r="U187" t="s">
        <v>12</v>
      </c>
      <c r="V187" s="1">
        <v>39845</v>
      </c>
      <c r="W187">
        <v>162938</v>
      </c>
      <c r="X187">
        <v>1191848545477.6299</v>
      </c>
      <c r="Y187">
        <v>79.286047607884299</v>
      </c>
      <c r="AA187" s="3">
        <v>40057</v>
      </c>
      <c r="AB187" s="4">
        <v>80.355194371457799</v>
      </c>
    </row>
    <row r="188" spans="1:2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17.876036115989699</v>
      </c>
      <c r="H188" s="3">
        <v>39965</v>
      </c>
      <c r="I188" s="4">
        <v>19.559587332612601</v>
      </c>
      <c r="U188" t="s">
        <v>13</v>
      </c>
      <c r="V188" s="1">
        <v>39873</v>
      </c>
      <c r="W188">
        <v>96</v>
      </c>
      <c r="X188">
        <v>1143216587.29</v>
      </c>
      <c r="Y188">
        <v>87.700123203874099</v>
      </c>
      <c r="AA188" s="3">
        <v>40087</v>
      </c>
      <c r="AB188" s="4">
        <v>81.121073009494395</v>
      </c>
    </row>
    <row r="189" spans="1:2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98.235140986056294</v>
      </c>
      <c r="H189" s="3">
        <v>39995</v>
      </c>
      <c r="I189" s="4">
        <v>20.122303454843699</v>
      </c>
      <c r="U189" t="s">
        <v>12</v>
      </c>
      <c r="V189" s="1">
        <v>39873</v>
      </c>
      <c r="W189">
        <v>163109</v>
      </c>
      <c r="X189">
        <v>1197686583453.0601</v>
      </c>
      <c r="Y189">
        <v>78.1909227294354</v>
      </c>
      <c r="AA189" s="3">
        <v>40118</v>
      </c>
      <c r="AB189" s="4">
        <v>81.405729345510593</v>
      </c>
    </row>
    <row r="190" spans="1:2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96.743797485540199</v>
      </c>
      <c r="H190" s="3">
        <v>40026</v>
      </c>
      <c r="I190" s="4">
        <v>20.887860532312299</v>
      </c>
      <c r="U190" t="s">
        <v>13</v>
      </c>
      <c r="V190" s="1">
        <v>39904</v>
      </c>
      <c r="W190">
        <v>98</v>
      </c>
      <c r="X190">
        <v>1120084797.3399999</v>
      </c>
      <c r="Y190">
        <v>89.949782080477902</v>
      </c>
      <c r="AA190" s="3">
        <v>40148</v>
      </c>
      <c r="AB190" s="4">
        <v>81.256492700093105</v>
      </c>
    </row>
    <row r="191" spans="1:2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17.970776019752901</v>
      </c>
      <c r="H191" s="3">
        <v>40057</v>
      </c>
      <c r="I191" s="4">
        <v>21.166289495229801</v>
      </c>
      <c r="U191" t="s">
        <v>12</v>
      </c>
      <c r="V191" s="1">
        <v>39904</v>
      </c>
      <c r="W191">
        <v>163376</v>
      </c>
      <c r="X191">
        <v>1214626480567.3601</v>
      </c>
      <c r="Y191">
        <v>77.135811256494094</v>
      </c>
      <c r="AA191" s="3">
        <v>40179</v>
      </c>
      <c r="AB191" s="4">
        <v>80.607655597803699</v>
      </c>
    </row>
    <row r="192" spans="1:2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94.602963171774903</v>
      </c>
      <c r="H192" s="3">
        <v>40087</v>
      </c>
      <c r="I192" s="4">
        <v>21.389357643231499</v>
      </c>
      <c r="U192" t="s">
        <v>12</v>
      </c>
      <c r="V192" s="1">
        <v>39934</v>
      </c>
      <c r="W192">
        <v>163443</v>
      </c>
      <c r="X192">
        <v>1227123431334.01</v>
      </c>
      <c r="Y192">
        <v>81.529181186328401</v>
      </c>
      <c r="AA192" s="3">
        <v>40210</v>
      </c>
      <c r="AB192" s="4">
        <v>80.858173325298793</v>
      </c>
    </row>
    <row r="193" spans="1:2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18.156749921141699</v>
      </c>
      <c r="H193" s="3">
        <v>40118</v>
      </c>
      <c r="I193" s="4">
        <v>21.632780952057999</v>
      </c>
      <c r="U193" t="s">
        <v>13</v>
      </c>
      <c r="V193" s="1">
        <v>39934</v>
      </c>
      <c r="W193">
        <v>98</v>
      </c>
      <c r="X193">
        <v>1078894527.97</v>
      </c>
      <c r="Y193">
        <v>93.309958174271202</v>
      </c>
      <c r="AA193" s="3">
        <v>40238</v>
      </c>
      <c r="AB193" s="4">
        <v>80.688325183506706</v>
      </c>
    </row>
    <row r="194" spans="1:2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95.329730179879107</v>
      </c>
      <c r="H194" s="3">
        <v>40148</v>
      </c>
      <c r="I194" s="4">
        <v>21.7390151154177</v>
      </c>
      <c r="U194" t="s">
        <v>12</v>
      </c>
      <c r="V194" s="1">
        <v>39965</v>
      </c>
      <c r="W194">
        <v>163569</v>
      </c>
      <c r="X194">
        <v>1234260438018.73</v>
      </c>
      <c r="Y194">
        <v>81.829110816029598</v>
      </c>
      <c r="AA194" s="3">
        <v>40269</v>
      </c>
      <c r="AB194" s="4">
        <v>82.712785590828005</v>
      </c>
    </row>
    <row r="195" spans="1:2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18.7978712660653</v>
      </c>
      <c r="H195" s="3">
        <v>40179</v>
      </c>
      <c r="I195" s="4">
        <v>21.893798263131</v>
      </c>
      <c r="U195" t="s">
        <v>13</v>
      </c>
      <c r="V195" s="1">
        <v>39965</v>
      </c>
      <c r="W195">
        <v>97</v>
      </c>
      <c r="X195">
        <v>1032952441.29</v>
      </c>
      <c r="Y195">
        <v>94.329684344444303</v>
      </c>
      <c r="AA195" s="3">
        <v>40299</v>
      </c>
      <c r="AB195" s="4">
        <v>83.669291888756803</v>
      </c>
    </row>
    <row r="196" spans="1:2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19.331783614157398</v>
      </c>
      <c r="H196" s="3">
        <v>40210</v>
      </c>
      <c r="I196" s="4">
        <v>22.0515850600585</v>
      </c>
      <c r="U196" t="s">
        <v>12</v>
      </c>
      <c r="V196" s="1">
        <v>39995</v>
      </c>
      <c r="W196">
        <v>163728</v>
      </c>
      <c r="X196">
        <v>1252730272086.4099</v>
      </c>
      <c r="Y196">
        <v>82.089385010872107</v>
      </c>
      <c r="AA196" s="3">
        <v>40330</v>
      </c>
      <c r="AB196" s="4">
        <v>84.256320909696697</v>
      </c>
    </row>
    <row r="197" spans="1:2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95.846423187750403</v>
      </c>
      <c r="H197" s="3">
        <v>40238</v>
      </c>
      <c r="I197" s="4">
        <v>22.157977961681201</v>
      </c>
      <c r="U197" t="s">
        <v>13</v>
      </c>
      <c r="V197" s="1">
        <v>39995</v>
      </c>
      <c r="W197">
        <v>97</v>
      </c>
      <c r="X197">
        <v>993378509.11000001</v>
      </c>
      <c r="Y197">
        <v>94.500896259131295</v>
      </c>
      <c r="AA197" s="3">
        <v>40360</v>
      </c>
      <c r="AB197" s="4">
        <v>84.2012687282716</v>
      </c>
    </row>
    <row r="198" spans="1:2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19.559587332612601</v>
      </c>
      <c r="H198" s="3">
        <v>40269</v>
      </c>
      <c r="I198" s="4">
        <v>22.769215809280499</v>
      </c>
      <c r="U198" t="s">
        <v>12</v>
      </c>
      <c r="V198" s="1">
        <v>40026</v>
      </c>
      <c r="W198">
        <v>163836</v>
      </c>
      <c r="X198">
        <v>1257643264164.9099</v>
      </c>
      <c r="Y198">
        <v>80.710360837649702</v>
      </c>
      <c r="AA198" s="3">
        <v>40391</v>
      </c>
      <c r="AB198" s="4">
        <v>85.217780490202998</v>
      </c>
    </row>
    <row r="199" spans="1:28" x14ac:dyDescent="0.25">
      <c r="A199" t="s">
        <v>6</v>
      </c>
      <c r="B199" s="1">
        <v>39965</v>
      </c>
      <c r="C199">
        <v>131</v>
      </c>
      <c r="D199">
        <v>14236149645.15</v>
      </c>
      <c r="E199">
        <v>96.659397127963302</v>
      </c>
      <c r="H199" s="3">
        <v>40299</v>
      </c>
      <c r="I199" s="4">
        <v>23.467879612931501</v>
      </c>
      <c r="U199" t="s">
        <v>13</v>
      </c>
      <c r="V199" s="1">
        <v>40026</v>
      </c>
      <c r="W199">
        <v>96</v>
      </c>
      <c r="X199">
        <v>946099456.75999999</v>
      </c>
      <c r="Y199">
        <v>94.600701479889807</v>
      </c>
      <c r="AA199" s="3">
        <v>40422</v>
      </c>
      <c r="AB199" s="4">
        <v>84.960859500027794</v>
      </c>
    </row>
    <row r="200" spans="1:2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20.122303454843699</v>
      </c>
      <c r="H200" s="3">
        <v>40330</v>
      </c>
      <c r="I200" s="4">
        <v>24.296061738777301</v>
      </c>
      <c r="U200" t="s">
        <v>12</v>
      </c>
      <c r="V200" s="1">
        <v>40057</v>
      </c>
      <c r="W200">
        <v>163936</v>
      </c>
      <c r="X200">
        <v>1270454083140.21</v>
      </c>
      <c r="Y200">
        <v>80.355194371457799</v>
      </c>
      <c r="AA200" s="3">
        <v>40452</v>
      </c>
      <c r="AB200" s="4">
        <v>84.494608585388306</v>
      </c>
    </row>
    <row r="201" spans="1:2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96.553189521327397</v>
      </c>
      <c r="H201" s="3">
        <v>40360</v>
      </c>
      <c r="I201" s="4">
        <v>24.679231553656599</v>
      </c>
      <c r="U201" t="s">
        <v>13</v>
      </c>
      <c r="V201" s="1">
        <v>40057</v>
      </c>
      <c r="W201">
        <v>95</v>
      </c>
      <c r="X201">
        <v>886300040.11000001</v>
      </c>
      <c r="Y201">
        <v>94.631190531473493</v>
      </c>
      <c r="AA201" s="3">
        <v>40483</v>
      </c>
      <c r="AB201" s="4">
        <v>83.969399568588898</v>
      </c>
    </row>
    <row r="202" spans="1:2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20.887860532312299</v>
      </c>
      <c r="H202" s="3">
        <v>40391</v>
      </c>
      <c r="I202" s="4">
        <v>25.074806388667099</v>
      </c>
      <c r="U202" t="s">
        <v>12</v>
      </c>
      <c r="V202" s="1">
        <v>40087</v>
      </c>
      <c r="W202">
        <v>164180</v>
      </c>
      <c r="X202">
        <v>1279191968274.55</v>
      </c>
      <c r="Y202">
        <v>81.121073009494395</v>
      </c>
      <c r="AA202" s="3">
        <v>40513</v>
      </c>
      <c r="AB202" s="4">
        <v>83.401335674412394</v>
      </c>
    </row>
    <row r="203" spans="1:28" x14ac:dyDescent="0.25">
      <c r="A203" t="s">
        <v>6</v>
      </c>
      <c r="B203" s="1">
        <v>40026</v>
      </c>
      <c r="C203">
        <v>188</v>
      </c>
      <c r="D203">
        <v>16210075077.32</v>
      </c>
      <c r="E203">
        <v>95.732564739531497</v>
      </c>
      <c r="H203" s="3">
        <v>40422</v>
      </c>
      <c r="I203" s="4">
        <v>25.479164948948501</v>
      </c>
      <c r="U203" t="s">
        <v>13</v>
      </c>
      <c r="V203" s="1">
        <v>40087</v>
      </c>
      <c r="W203">
        <v>95</v>
      </c>
      <c r="X203">
        <v>853173864.62</v>
      </c>
      <c r="Y203">
        <v>94.861776775081296</v>
      </c>
      <c r="AA203" s="3">
        <v>40544</v>
      </c>
      <c r="AB203" s="4">
        <v>82.546708914877399</v>
      </c>
    </row>
    <row r="204" spans="1:2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21.166289495229801</v>
      </c>
      <c r="H204" s="3">
        <v>40452</v>
      </c>
      <c r="I204" s="4">
        <v>26.254151150396599</v>
      </c>
      <c r="U204" t="s">
        <v>12</v>
      </c>
      <c r="V204" s="1">
        <v>40118</v>
      </c>
      <c r="W204">
        <v>164194</v>
      </c>
      <c r="X204">
        <v>1284380337007.78</v>
      </c>
      <c r="Y204">
        <v>81.405729345510593</v>
      </c>
      <c r="AA204" s="3">
        <v>40575</v>
      </c>
      <c r="AB204" s="4">
        <v>81.626731721387301</v>
      </c>
    </row>
    <row r="205" spans="1:2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95.858158196988498</v>
      </c>
      <c r="H205" s="3">
        <v>40483</v>
      </c>
      <c r="I205" s="4">
        <v>26.919084340095601</v>
      </c>
      <c r="U205" t="s">
        <v>13</v>
      </c>
      <c r="V205" s="1">
        <v>40118</v>
      </c>
      <c r="W205">
        <v>95</v>
      </c>
      <c r="X205">
        <v>819680231.34000003</v>
      </c>
      <c r="Y205">
        <v>94.761692442637198</v>
      </c>
      <c r="AA205" s="3">
        <v>40603</v>
      </c>
      <c r="AB205" s="4">
        <v>80.591345183582206</v>
      </c>
    </row>
    <row r="206" spans="1:2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21.389357643231499</v>
      </c>
      <c r="H206" s="3">
        <v>40513</v>
      </c>
      <c r="I206" s="4">
        <v>27.561355875409902</v>
      </c>
      <c r="U206" t="s">
        <v>12</v>
      </c>
      <c r="V206" s="1">
        <v>40148</v>
      </c>
      <c r="W206">
        <v>164264</v>
      </c>
      <c r="X206">
        <v>1288288962785.8999</v>
      </c>
      <c r="Y206">
        <v>81.256492700093105</v>
      </c>
      <c r="AA206" s="3">
        <v>40634</v>
      </c>
      <c r="AB206" s="4">
        <v>81.383451680802295</v>
      </c>
    </row>
    <row r="207" spans="1:2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96.117849796173502</v>
      </c>
      <c r="H207" s="3">
        <v>40544</v>
      </c>
      <c r="I207" s="4">
        <v>28.114059016780899</v>
      </c>
      <c r="U207" t="s">
        <v>13</v>
      </c>
      <c r="V207" s="1">
        <v>40148</v>
      </c>
      <c r="W207">
        <v>94</v>
      </c>
      <c r="X207">
        <v>778771901.41999996</v>
      </c>
      <c r="Y207">
        <v>95.311391113334693</v>
      </c>
      <c r="AA207" s="3">
        <v>40664</v>
      </c>
      <c r="AB207" s="4">
        <v>82.112441943039499</v>
      </c>
    </row>
    <row r="208" spans="1:2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21.632780952057999</v>
      </c>
      <c r="H208" s="3">
        <v>40575</v>
      </c>
      <c r="I208" s="4">
        <v>28.4827066461051</v>
      </c>
      <c r="U208" t="s">
        <v>14</v>
      </c>
      <c r="V208" s="1">
        <v>40148</v>
      </c>
      <c r="W208">
        <v>10</v>
      </c>
      <c r="X208">
        <v>45118402.759999998</v>
      </c>
      <c r="Y208">
        <v>0</v>
      </c>
      <c r="AA208" s="3">
        <v>40695</v>
      </c>
      <c r="AB208" s="4">
        <v>82.773563669638705</v>
      </c>
    </row>
    <row r="209" spans="1:2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H209" s="3">
        <v>40603</v>
      </c>
      <c r="I209" s="4">
        <v>28.698769715346401</v>
      </c>
      <c r="U209" t="s">
        <v>12</v>
      </c>
      <c r="V209" s="1">
        <v>40179</v>
      </c>
      <c r="W209">
        <v>164394</v>
      </c>
      <c r="X209">
        <v>1297203353258.1899</v>
      </c>
      <c r="Y209">
        <v>80.607655597803699</v>
      </c>
      <c r="AA209" s="3">
        <v>40725</v>
      </c>
      <c r="AB209" s="4">
        <v>83.256781286364301</v>
      </c>
    </row>
    <row r="210" spans="1:2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96.565180466139495</v>
      </c>
      <c r="H210" s="3">
        <v>40634</v>
      </c>
      <c r="I210" s="4">
        <v>29.493983639499898</v>
      </c>
      <c r="U210" t="s">
        <v>13</v>
      </c>
      <c r="V210" s="1">
        <v>40179</v>
      </c>
      <c r="W210">
        <v>94</v>
      </c>
      <c r="X210">
        <v>730740246.76999998</v>
      </c>
      <c r="Y210">
        <v>94.441780561717707</v>
      </c>
      <c r="AA210" s="3">
        <v>40756</v>
      </c>
      <c r="AB210" s="4">
        <v>81.746691137754596</v>
      </c>
    </row>
    <row r="211" spans="1:2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21.7390151154177</v>
      </c>
      <c r="H211" s="3">
        <v>40664</v>
      </c>
      <c r="I211" s="4">
        <v>30.230464357825301</v>
      </c>
      <c r="U211" t="s">
        <v>14</v>
      </c>
      <c r="V211" s="1">
        <v>40179</v>
      </c>
      <c r="W211">
        <v>26</v>
      </c>
      <c r="X211">
        <v>140467044.28999999</v>
      </c>
      <c r="Y211">
        <v>0</v>
      </c>
      <c r="AA211" s="3">
        <v>40787</v>
      </c>
      <c r="AB211" s="4">
        <v>82.2390613467539</v>
      </c>
    </row>
    <row r="212" spans="1:2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H212" s="3">
        <v>40695</v>
      </c>
      <c r="I212" s="4">
        <v>30.833870224867901</v>
      </c>
      <c r="U212" t="s">
        <v>12</v>
      </c>
      <c r="V212" s="1">
        <v>40210</v>
      </c>
      <c r="W212">
        <v>164392</v>
      </c>
      <c r="X212">
        <v>1297037709626.45</v>
      </c>
      <c r="Y212">
        <v>80.858173325298793</v>
      </c>
      <c r="AA212" s="3">
        <v>40817</v>
      </c>
      <c r="AB212" s="4">
        <v>82.080864733743397</v>
      </c>
    </row>
    <row r="213" spans="1:2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96.284884797717098</v>
      </c>
      <c r="H213" s="3">
        <v>40725</v>
      </c>
      <c r="I213" s="4">
        <v>31.3769351322135</v>
      </c>
      <c r="U213" t="s">
        <v>13</v>
      </c>
      <c r="V213" s="1">
        <v>40210</v>
      </c>
      <c r="W213">
        <v>93</v>
      </c>
      <c r="X213">
        <v>671519986.54999995</v>
      </c>
      <c r="Y213">
        <v>94.091863495437096</v>
      </c>
      <c r="AA213" s="3">
        <v>40848</v>
      </c>
      <c r="AB213" s="4">
        <v>81.852423434348395</v>
      </c>
    </row>
    <row r="214" spans="1:2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21.893798263131</v>
      </c>
      <c r="H214" s="3">
        <v>40756</v>
      </c>
      <c r="I214" s="4">
        <v>32.020227802674</v>
      </c>
      <c r="U214" t="s">
        <v>14</v>
      </c>
      <c r="V214" s="1">
        <v>40210</v>
      </c>
      <c r="W214">
        <v>44</v>
      </c>
      <c r="X214">
        <v>281456661.47000003</v>
      </c>
      <c r="Y214">
        <v>0</v>
      </c>
      <c r="AA214" s="3">
        <v>40878</v>
      </c>
      <c r="AB214" s="4">
        <v>81.548157829458106</v>
      </c>
    </row>
    <row r="215" spans="1:2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H215" s="3">
        <v>40787</v>
      </c>
      <c r="I215" s="4">
        <v>32.764034340849499</v>
      </c>
      <c r="U215" t="s">
        <v>12</v>
      </c>
      <c r="V215" s="1">
        <v>40238</v>
      </c>
      <c r="W215">
        <v>164479</v>
      </c>
      <c r="X215">
        <v>1301137589406.99</v>
      </c>
      <c r="Y215">
        <v>80.688325183506706</v>
      </c>
      <c r="AA215" s="3">
        <v>40909</v>
      </c>
      <c r="AB215" s="4">
        <v>81.498799908147802</v>
      </c>
    </row>
    <row r="216" spans="1:28" x14ac:dyDescent="0.25">
      <c r="A216" t="s">
        <v>6</v>
      </c>
      <c r="B216" s="1">
        <v>40179</v>
      </c>
      <c r="C216">
        <v>414</v>
      </c>
      <c r="D216">
        <v>29069674532.27</v>
      </c>
      <c r="E216">
        <v>96.022785515384101</v>
      </c>
      <c r="H216" s="3">
        <v>40817</v>
      </c>
      <c r="I216" s="4">
        <v>33.3142618399052</v>
      </c>
      <c r="U216" t="s">
        <v>13</v>
      </c>
      <c r="V216" s="1">
        <v>40238</v>
      </c>
      <c r="W216">
        <v>91</v>
      </c>
      <c r="X216">
        <v>636390695.32000005</v>
      </c>
      <c r="Y216">
        <v>93.286035674223299</v>
      </c>
      <c r="AA216" s="3">
        <v>40940</v>
      </c>
      <c r="AB216" s="4">
        <v>81.497876487721797</v>
      </c>
    </row>
    <row r="217" spans="1:2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22.0515850600585</v>
      </c>
      <c r="H217" s="3">
        <v>40848</v>
      </c>
      <c r="I217" s="4">
        <v>33.857405249820197</v>
      </c>
      <c r="U217" t="s">
        <v>14</v>
      </c>
      <c r="V217" s="1">
        <v>40238</v>
      </c>
      <c r="W217">
        <v>70</v>
      </c>
      <c r="X217">
        <v>451475286.89999998</v>
      </c>
      <c r="Y217">
        <v>0</v>
      </c>
      <c r="AA217" s="3">
        <v>40969</v>
      </c>
      <c r="AB217" s="4">
        <v>83.555137426507002</v>
      </c>
    </row>
    <row r="218" spans="1:2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H218" s="3">
        <v>40878</v>
      </c>
      <c r="I218" s="4">
        <v>34.479220645670502</v>
      </c>
      <c r="U218" t="s">
        <v>12</v>
      </c>
      <c r="V218" s="1">
        <v>40269</v>
      </c>
      <c r="W218">
        <v>163886</v>
      </c>
      <c r="X218">
        <v>1262938911927.99</v>
      </c>
      <c r="Y218">
        <v>82.712785590828005</v>
      </c>
      <c r="AA218" s="3">
        <v>41000</v>
      </c>
      <c r="AB218" s="4">
        <v>85.274448613203703</v>
      </c>
    </row>
    <row r="219" spans="1:2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95.896573049206694</v>
      </c>
      <c r="H219" s="3">
        <v>40909</v>
      </c>
      <c r="I219" s="4">
        <v>35.260333102000203</v>
      </c>
      <c r="U219" t="s">
        <v>13</v>
      </c>
      <c r="V219" s="1">
        <v>40269</v>
      </c>
      <c r="W219">
        <v>91</v>
      </c>
      <c r="X219">
        <v>595742034.61000001</v>
      </c>
      <c r="Y219">
        <v>94.439038778371398</v>
      </c>
      <c r="AA219" s="3">
        <v>41030</v>
      </c>
      <c r="AB219" s="4">
        <v>86.899179529213797</v>
      </c>
    </row>
    <row r="220" spans="1:2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22.157977961681201</v>
      </c>
      <c r="H220" s="3">
        <v>40940</v>
      </c>
      <c r="I220" s="4">
        <v>35.859227713706403</v>
      </c>
      <c r="U220" t="s">
        <v>14</v>
      </c>
      <c r="V220" s="1">
        <v>40269</v>
      </c>
      <c r="W220">
        <v>91</v>
      </c>
      <c r="X220">
        <v>640592685.88999999</v>
      </c>
      <c r="Y220">
        <v>0</v>
      </c>
      <c r="AA220" s="3">
        <v>41061</v>
      </c>
      <c r="AB220" s="4">
        <v>88.358118430418102</v>
      </c>
    </row>
    <row r="221" spans="1:2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H221" s="3">
        <v>40969</v>
      </c>
      <c r="I221" s="4">
        <v>36.476579772451899</v>
      </c>
      <c r="U221" t="s">
        <v>12</v>
      </c>
      <c r="V221" s="1">
        <v>40299</v>
      </c>
      <c r="W221">
        <v>163874</v>
      </c>
      <c r="X221">
        <v>1257357437789.02</v>
      </c>
      <c r="Y221">
        <v>83.669291888756803</v>
      </c>
      <c r="AA221" s="3">
        <v>41091</v>
      </c>
      <c r="AB221" s="4">
        <v>89.075442212496498</v>
      </c>
    </row>
    <row r="222" spans="1:2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94.574821399057896</v>
      </c>
      <c r="H222" s="3">
        <v>41000</v>
      </c>
      <c r="I222" s="4">
        <v>37.768925971632299</v>
      </c>
      <c r="U222" t="s">
        <v>13</v>
      </c>
      <c r="V222" s="1">
        <v>40299</v>
      </c>
      <c r="W222">
        <v>89</v>
      </c>
      <c r="X222">
        <v>561587271.51999998</v>
      </c>
      <c r="Y222">
        <v>95.412627845836298</v>
      </c>
      <c r="AA222" s="3">
        <v>41122</v>
      </c>
      <c r="AB222" s="4">
        <v>89.648544080684104</v>
      </c>
    </row>
    <row r="223" spans="1:2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22.769215809280499</v>
      </c>
      <c r="H223" s="3">
        <v>41030</v>
      </c>
      <c r="I223" s="4">
        <v>38.913633204536097</v>
      </c>
      <c r="U223" t="s">
        <v>14</v>
      </c>
      <c r="V223" s="1">
        <v>40299</v>
      </c>
      <c r="W223">
        <v>116</v>
      </c>
      <c r="X223">
        <v>873082912.89999998</v>
      </c>
      <c r="Y223">
        <v>0</v>
      </c>
      <c r="AA223" s="3">
        <v>41153</v>
      </c>
      <c r="AB223" s="4">
        <v>90.203891343680894</v>
      </c>
    </row>
    <row r="224" spans="1:28" x14ac:dyDescent="0.25">
      <c r="A224" t="s">
        <v>7</v>
      </c>
      <c r="B224" s="1">
        <v>40269</v>
      </c>
      <c r="C224">
        <v>83</v>
      </c>
      <c r="D224">
        <v>810653741.88</v>
      </c>
      <c r="E224">
        <v>8.5604948813981493E-2</v>
      </c>
      <c r="H224" s="3">
        <v>41061</v>
      </c>
      <c r="I224" s="4">
        <v>39.879421249693401</v>
      </c>
      <c r="U224" t="s">
        <v>12</v>
      </c>
      <c r="V224" s="1">
        <v>40330</v>
      </c>
      <c r="W224">
        <v>163779</v>
      </c>
      <c r="X224">
        <v>1253270914369.1101</v>
      </c>
      <c r="Y224">
        <v>84.256320909696697</v>
      </c>
      <c r="AA224" s="3">
        <v>41183</v>
      </c>
      <c r="AB224" s="4">
        <v>90.464662328033796</v>
      </c>
    </row>
    <row r="225" spans="1:2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91.511896079864201</v>
      </c>
      <c r="H225" s="3">
        <v>41091</v>
      </c>
      <c r="I225" s="4">
        <v>40.895726492699801</v>
      </c>
      <c r="U225" t="s">
        <v>13</v>
      </c>
      <c r="V225" s="1">
        <v>40330</v>
      </c>
      <c r="W225">
        <v>88</v>
      </c>
      <c r="X225">
        <v>531420686.00999999</v>
      </c>
      <c r="Y225">
        <v>95.882148713498395</v>
      </c>
      <c r="AA225" s="3">
        <v>41214</v>
      </c>
      <c r="AB225" s="4">
        <v>90.760062693991202</v>
      </c>
    </row>
    <row r="226" spans="1:2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23.467879612931501</v>
      </c>
      <c r="H226" s="3">
        <v>41122</v>
      </c>
      <c r="I226" s="4">
        <v>41.967628869863503</v>
      </c>
      <c r="U226" t="s">
        <v>14</v>
      </c>
      <c r="V226" s="1">
        <v>40330</v>
      </c>
      <c r="W226">
        <v>138</v>
      </c>
      <c r="X226">
        <v>1088381162.51</v>
      </c>
      <c r="Y226">
        <v>0</v>
      </c>
      <c r="AA226" s="3">
        <v>41244</v>
      </c>
      <c r="AB226" s="4">
        <v>90.930084526706196</v>
      </c>
    </row>
    <row r="227" spans="1:2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H227" s="3">
        <v>41153</v>
      </c>
      <c r="I227" s="4">
        <v>43.013764711682398</v>
      </c>
      <c r="U227" t="s">
        <v>12</v>
      </c>
      <c r="V227" s="1">
        <v>40360</v>
      </c>
      <c r="W227">
        <v>163766</v>
      </c>
      <c r="X227">
        <v>1254208414913.27</v>
      </c>
      <c r="Y227">
        <v>84.2012687282716</v>
      </c>
      <c r="AA227" s="3">
        <v>41275</v>
      </c>
      <c r="AB227" s="4">
        <v>91.4027863902608</v>
      </c>
    </row>
    <row r="228" spans="1:2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91.278909369653107</v>
      </c>
      <c r="H228" s="3">
        <v>41183</v>
      </c>
      <c r="I228" s="4">
        <v>44.115106090754999</v>
      </c>
      <c r="U228" t="s">
        <v>13</v>
      </c>
      <c r="V228" s="1">
        <v>40360</v>
      </c>
      <c r="W228">
        <v>88</v>
      </c>
      <c r="X228">
        <v>501401912.05000001</v>
      </c>
      <c r="Y228">
        <v>95.791473480934201</v>
      </c>
      <c r="AA228" s="3">
        <v>41306</v>
      </c>
      <c r="AB228" s="4">
        <v>91.794949555672005</v>
      </c>
    </row>
    <row r="229" spans="1:2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24.296061738777301</v>
      </c>
      <c r="H229" s="3">
        <v>41214</v>
      </c>
      <c r="I229" s="4">
        <v>44.964628282645997</v>
      </c>
      <c r="U229" t="s">
        <v>14</v>
      </c>
      <c r="V229" s="1">
        <v>40360</v>
      </c>
      <c r="W229">
        <v>164</v>
      </c>
      <c r="X229">
        <v>1322702870.9300001</v>
      </c>
      <c r="Y229">
        <v>1.4680136810656099E-2</v>
      </c>
      <c r="AA229" s="3">
        <v>41334</v>
      </c>
      <c r="AB229" s="4">
        <v>92.152731135910003</v>
      </c>
    </row>
    <row r="230" spans="1:2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H230" s="3">
        <v>41244</v>
      </c>
      <c r="I230" s="4">
        <v>46.152031785063897</v>
      </c>
      <c r="U230" t="s">
        <v>12</v>
      </c>
      <c r="V230" s="1">
        <v>40391</v>
      </c>
      <c r="W230">
        <v>163753</v>
      </c>
      <c r="X230">
        <v>1251134507397.9399</v>
      </c>
      <c r="Y230">
        <v>85.217780490202998</v>
      </c>
      <c r="AA230" s="3">
        <v>41365</v>
      </c>
      <c r="AB230" s="4">
        <v>93.148803996602297</v>
      </c>
    </row>
    <row r="231" spans="1:2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90.506043941901893</v>
      </c>
      <c r="H231" s="3">
        <v>41275</v>
      </c>
      <c r="I231" s="4">
        <v>46.931075904828099</v>
      </c>
      <c r="U231" t="s">
        <v>13</v>
      </c>
      <c r="V231" s="1">
        <v>40391</v>
      </c>
      <c r="W231">
        <v>87</v>
      </c>
      <c r="X231">
        <v>476695460.79000002</v>
      </c>
      <c r="Y231">
        <v>95.088699859153493</v>
      </c>
      <c r="AA231" s="3">
        <v>41395</v>
      </c>
      <c r="AB231" s="4">
        <v>94.001875479032904</v>
      </c>
    </row>
    <row r="232" spans="1:2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24.679231553656599</v>
      </c>
      <c r="H232" s="3">
        <v>41306</v>
      </c>
      <c r="I232" s="4">
        <v>46.011159321965799</v>
      </c>
      <c r="U232" t="s">
        <v>14</v>
      </c>
      <c r="V232" s="1">
        <v>40391</v>
      </c>
      <c r="W232">
        <v>188</v>
      </c>
      <c r="X232">
        <v>1562566788.21</v>
      </c>
      <c r="Y232">
        <v>1.23682262757799E-2</v>
      </c>
      <c r="AA232" s="3">
        <v>41426</v>
      </c>
      <c r="AB232" s="4">
        <v>94.681483937041904</v>
      </c>
    </row>
    <row r="233" spans="1:2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H233" s="3">
        <v>41334</v>
      </c>
      <c r="I233" s="4">
        <v>45.048120682990202</v>
      </c>
      <c r="U233" t="s">
        <v>12</v>
      </c>
      <c r="V233" s="1">
        <v>40422</v>
      </c>
      <c r="W233">
        <v>163755</v>
      </c>
      <c r="X233">
        <v>1244762156873.8799</v>
      </c>
      <c r="Y233">
        <v>84.960859500027794</v>
      </c>
      <c r="AA233" s="3">
        <v>41456</v>
      </c>
      <c r="AB233" s="4">
        <v>94.998094867418104</v>
      </c>
    </row>
    <row r="234" spans="1:28" x14ac:dyDescent="0.25">
      <c r="A234" t="s">
        <v>6</v>
      </c>
      <c r="B234" s="1">
        <v>40360</v>
      </c>
      <c r="C234">
        <v>636</v>
      </c>
      <c r="D234">
        <v>36911796753.43</v>
      </c>
      <c r="E234">
        <v>90.682354033352297</v>
      </c>
      <c r="H234" s="3">
        <v>41365</v>
      </c>
      <c r="I234" s="4">
        <v>44.488422647869101</v>
      </c>
      <c r="U234" t="s">
        <v>13</v>
      </c>
      <c r="V234" s="1">
        <v>40422</v>
      </c>
      <c r="W234">
        <v>86</v>
      </c>
      <c r="X234">
        <v>436910763.93000001</v>
      </c>
      <c r="Y234">
        <v>94.495036628756594</v>
      </c>
      <c r="AA234" s="3">
        <v>41487</v>
      </c>
      <c r="AB234" s="4">
        <v>95.421835011427206</v>
      </c>
    </row>
    <row r="235" spans="1:2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25.074806388667099</v>
      </c>
      <c r="H235" s="3">
        <v>41395</v>
      </c>
      <c r="I235" s="4">
        <v>43.763809562722599</v>
      </c>
      <c r="U235" t="s">
        <v>14</v>
      </c>
      <c r="V235" s="1">
        <v>40422</v>
      </c>
      <c r="W235">
        <v>209</v>
      </c>
      <c r="X235">
        <v>1800028459.5</v>
      </c>
      <c r="Y235">
        <v>1.0690036488948E-2</v>
      </c>
      <c r="AA235" s="3">
        <v>41518</v>
      </c>
      <c r="AB235" s="4">
        <v>95.705986953763102</v>
      </c>
    </row>
    <row r="236" spans="1:2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H236" s="3">
        <v>41426</v>
      </c>
      <c r="I236" s="4">
        <v>42.861924668996899</v>
      </c>
      <c r="U236" t="s">
        <v>12</v>
      </c>
      <c r="V236" s="1">
        <v>40452</v>
      </c>
      <c r="W236">
        <v>163816</v>
      </c>
      <c r="X236">
        <v>1235982569471.3701</v>
      </c>
      <c r="Y236">
        <v>84.494608585388306</v>
      </c>
      <c r="AA236" s="3">
        <v>41548</v>
      </c>
      <c r="AB236" s="4">
        <v>95.754656189581098</v>
      </c>
    </row>
    <row r="237" spans="1:2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90.9531107213692</v>
      </c>
      <c r="H237" s="3">
        <v>41456</v>
      </c>
      <c r="I237" s="4">
        <v>41.9460692805077</v>
      </c>
      <c r="U237" t="s">
        <v>13</v>
      </c>
      <c r="V237" s="1">
        <v>40452</v>
      </c>
      <c r="W237">
        <v>86</v>
      </c>
      <c r="X237">
        <v>406964949.51999998</v>
      </c>
      <c r="Y237">
        <v>94.237925825942696</v>
      </c>
      <c r="AA237" s="3">
        <v>41579</v>
      </c>
      <c r="AB237" s="4">
        <v>95.768588634014506</v>
      </c>
    </row>
    <row r="238" spans="1:2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25.479164948948501</v>
      </c>
      <c r="H238" s="3">
        <v>41487</v>
      </c>
      <c r="I238" s="4">
        <v>40.914936341350703</v>
      </c>
      <c r="U238" t="s">
        <v>14</v>
      </c>
      <c r="V238" s="1">
        <v>40452</v>
      </c>
      <c r="W238">
        <v>241</v>
      </c>
      <c r="X238">
        <v>2289490119.9400001</v>
      </c>
      <c r="Y238">
        <v>8.3949060120441493E-3</v>
      </c>
      <c r="AA238" s="3">
        <v>41609</v>
      </c>
      <c r="AB238" s="4">
        <v>95.789714767199797</v>
      </c>
    </row>
    <row r="239" spans="1:2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H239" s="3">
        <v>41518</v>
      </c>
      <c r="I239" s="4">
        <v>40.063351774054603</v>
      </c>
      <c r="U239" t="s">
        <v>12</v>
      </c>
      <c r="V239" s="1">
        <v>40483</v>
      </c>
      <c r="W239">
        <v>163859</v>
      </c>
      <c r="X239">
        <v>1222216237246.51</v>
      </c>
      <c r="Y239">
        <v>83.969399568588898</v>
      </c>
      <c r="AA239" s="3">
        <v>41640</v>
      </c>
      <c r="AB239" s="4">
        <v>95.890659660073794</v>
      </c>
    </row>
    <row r="240" spans="1:2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91.576724790228695</v>
      </c>
      <c r="H240" s="3">
        <v>41548</v>
      </c>
      <c r="I240" s="4">
        <v>39.368113116509498</v>
      </c>
      <c r="U240" t="s">
        <v>13</v>
      </c>
      <c r="V240" s="1">
        <v>40483</v>
      </c>
      <c r="W240">
        <v>84</v>
      </c>
      <c r="X240">
        <v>376322526.51999998</v>
      </c>
      <c r="Y240">
        <v>93.467704644358406</v>
      </c>
      <c r="AA240" s="3">
        <v>41671</v>
      </c>
      <c r="AB240" s="4">
        <v>95.955284016383601</v>
      </c>
    </row>
    <row r="241" spans="1:2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26.254151150396599</v>
      </c>
      <c r="H241" s="3">
        <v>41579</v>
      </c>
      <c r="I241" s="4">
        <v>38.745289380312897</v>
      </c>
      <c r="U241" t="s">
        <v>14</v>
      </c>
      <c r="V241" s="1">
        <v>40483</v>
      </c>
      <c r="W241">
        <v>276</v>
      </c>
      <c r="X241">
        <v>2545033047.27</v>
      </c>
      <c r="Y241">
        <v>0</v>
      </c>
      <c r="AA241" s="3">
        <v>41699</v>
      </c>
      <c r="AB241" s="4">
        <v>96.013424182271393</v>
      </c>
    </row>
    <row r="242" spans="1:2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H242" s="3">
        <v>41609</v>
      </c>
      <c r="I242" s="4">
        <v>38.313655040066202</v>
      </c>
      <c r="U242" t="s">
        <v>12</v>
      </c>
      <c r="V242" s="1">
        <v>40513</v>
      </c>
      <c r="W242">
        <v>164017</v>
      </c>
      <c r="X242">
        <v>1208603766164.51</v>
      </c>
      <c r="Y242">
        <v>83.401335674412394</v>
      </c>
      <c r="AA242" s="3">
        <v>41730</v>
      </c>
      <c r="AB242" s="4">
        <v>96.395536887807793</v>
      </c>
    </row>
    <row r="243" spans="1:2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91.781190890948594</v>
      </c>
      <c r="H243" s="3">
        <v>41640</v>
      </c>
      <c r="I243" s="4">
        <v>64.5410801708923</v>
      </c>
      <c r="U243" t="s">
        <v>13</v>
      </c>
      <c r="V243" s="1">
        <v>40513</v>
      </c>
      <c r="W243">
        <v>83</v>
      </c>
      <c r="X243">
        <v>351522994.73000002</v>
      </c>
      <c r="Y243">
        <v>89.871677552961899</v>
      </c>
      <c r="AA243" s="3">
        <v>41760</v>
      </c>
      <c r="AB243" s="4">
        <v>96.712625289075504</v>
      </c>
    </row>
    <row r="244" spans="1:2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26.919084340095601</v>
      </c>
      <c r="H244" s="3">
        <v>41671</v>
      </c>
      <c r="I244" s="4">
        <v>65.1529561913744</v>
      </c>
      <c r="U244" t="s">
        <v>14</v>
      </c>
      <c r="V244" s="1">
        <v>40513</v>
      </c>
      <c r="W244">
        <v>306</v>
      </c>
      <c r="X244">
        <v>3126217292.7199998</v>
      </c>
      <c r="Y244">
        <v>1.7304933075535E-2</v>
      </c>
      <c r="AA244" s="3">
        <v>41791</v>
      </c>
      <c r="AB244" s="4">
        <v>96.972864504413906</v>
      </c>
    </row>
    <row r="245" spans="1:2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H245" s="3">
        <v>41699</v>
      </c>
      <c r="I245" s="4">
        <v>65.698548727677107</v>
      </c>
      <c r="U245" t="s">
        <v>12</v>
      </c>
      <c r="V245" s="1">
        <v>40544</v>
      </c>
      <c r="W245">
        <v>164228</v>
      </c>
      <c r="X245">
        <v>1194423645357.02</v>
      </c>
      <c r="Y245">
        <v>82.546708914877399</v>
      </c>
      <c r="AA245" s="3">
        <v>41821</v>
      </c>
      <c r="AB245" s="4">
        <v>97.070316869230595</v>
      </c>
    </row>
    <row r="246" spans="1:2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92.247902141779406</v>
      </c>
      <c r="H246" s="3">
        <v>41730</v>
      </c>
      <c r="I246" s="4">
        <v>66.226575915065396</v>
      </c>
      <c r="U246" t="s">
        <v>13</v>
      </c>
      <c r="V246" s="1">
        <v>40544</v>
      </c>
      <c r="W246">
        <v>103</v>
      </c>
      <c r="X246">
        <v>929665401.02999997</v>
      </c>
      <c r="Y246">
        <v>95.710697481386205</v>
      </c>
      <c r="AA246" s="3">
        <v>41852</v>
      </c>
      <c r="AB246" s="4">
        <v>97.162631168494798</v>
      </c>
    </row>
    <row r="247" spans="1:2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27.561355875409902</v>
      </c>
      <c r="H247" s="3">
        <v>41760</v>
      </c>
      <c r="I247" s="4">
        <v>66.793099752939199</v>
      </c>
      <c r="U247" t="s">
        <v>14</v>
      </c>
      <c r="V247" s="1">
        <v>40544</v>
      </c>
      <c r="W247">
        <v>342</v>
      </c>
      <c r="X247">
        <v>3903977995.2800002</v>
      </c>
      <c r="Y247">
        <v>1.9992912662357799E-2</v>
      </c>
      <c r="AA247" s="3">
        <v>41883</v>
      </c>
      <c r="AB247" s="4">
        <v>97.260917064417598</v>
      </c>
    </row>
    <row r="248" spans="1:2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H248" s="3">
        <v>41791</v>
      </c>
      <c r="I248" s="4">
        <v>67.369973739029504</v>
      </c>
      <c r="U248" t="s">
        <v>12</v>
      </c>
      <c r="V248" s="1">
        <v>40575</v>
      </c>
      <c r="W248">
        <v>164247</v>
      </c>
      <c r="X248">
        <v>1182814575891.2</v>
      </c>
      <c r="Y248">
        <v>81.626731721387301</v>
      </c>
      <c r="AA248" s="3">
        <v>41913</v>
      </c>
      <c r="AB248" s="4">
        <v>97.313079385708704</v>
      </c>
    </row>
    <row r="249" spans="1:28" x14ac:dyDescent="0.25">
      <c r="A249" t="s">
        <v>6</v>
      </c>
      <c r="B249" s="1">
        <v>40513</v>
      </c>
      <c r="C249">
        <v>896</v>
      </c>
      <c r="D249">
        <v>48366176627.93</v>
      </c>
      <c r="E249">
        <v>92.6500964399021</v>
      </c>
      <c r="H249" s="3">
        <v>41821</v>
      </c>
      <c r="I249" s="4">
        <v>67.985172384694295</v>
      </c>
      <c r="U249" t="s">
        <v>13</v>
      </c>
      <c r="V249" s="1">
        <v>40575</v>
      </c>
      <c r="W249">
        <v>118</v>
      </c>
      <c r="X249">
        <v>1352151537.6500001</v>
      </c>
      <c r="Y249">
        <v>96.987320397503197</v>
      </c>
      <c r="AA249" s="3">
        <v>41944</v>
      </c>
      <c r="AB249" s="4">
        <v>97.362800299053504</v>
      </c>
    </row>
    <row r="250" spans="1:2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28.114059016780899</v>
      </c>
      <c r="H250" s="3">
        <v>41852</v>
      </c>
      <c r="I250" s="4">
        <v>68.670091266985494</v>
      </c>
      <c r="U250" t="s">
        <v>14</v>
      </c>
      <c r="V250" s="1">
        <v>40575</v>
      </c>
      <c r="W250">
        <v>383</v>
      </c>
      <c r="X250">
        <v>4392867761.4399996</v>
      </c>
      <c r="Y250">
        <v>2.2008446972259298E-2</v>
      </c>
      <c r="AA250" s="3">
        <v>41974</v>
      </c>
      <c r="AB250" s="4">
        <v>97.4069476351807</v>
      </c>
    </row>
    <row r="251" spans="1:2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H251" s="3">
        <v>41883</v>
      </c>
      <c r="I251" s="4">
        <v>69.286293806997094</v>
      </c>
      <c r="U251" t="s">
        <v>12</v>
      </c>
      <c r="V251" s="1">
        <v>40603</v>
      </c>
      <c r="W251">
        <v>164474</v>
      </c>
      <c r="X251">
        <v>1179826829308.1899</v>
      </c>
      <c r="Y251">
        <v>80.591345183582206</v>
      </c>
      <c r="AA251" s="3">
        <v>42005</v>
      </c>
      <c r="AB251" s="4">
        <v>97.459263236000496</v>
      </c>
    </row>
    <row r="252" spans="1:28" x14ac:dyDescent="0.25">
      <c r="A252" t="s">
        <v>6</v>
      </c>
      <c r="B252" s="1">
        <v>40544</v>
      </c>
      <c r="C252">
        <v>949</v>
      </c>
      <c r="D252">
        <v>50759303463</v>
      </c>
      <c r="E252">
        <v>93.029569676275401</v>
      </c>
      <c r="H252" s="3">
        <v>41913</v>
      </c>
      <c r="I252" s="4">
        <v>69.969237534556797</v>
      </c>
      <c r="U252" t="s">
        <v>13</v>
      </c>
      <c r="V252" s="1">
        <v>40603</v>
      </c>
      <c r="W252">
        <v>150</v>
      </c>
      <c r="X252">
        <v>2662811185.9000001</v>
      </c>
      <c r="Y252">
        <v>98.021235874893904</v>
      </c>
      <c r="AA252" s="3">
        <v>42036</v>
      </c>
      <c r="AB252" s="4">
        <v>97.508340981836298</v>
      </c>
    </row>
    <row r="253" spans="1:2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28.4827066461051</v>
      </c>
      <c r="H253" s="3">
        <v>41944</v>
      </c>
      <c r="I253" s="4">
        <v>70.684647527310801</v>
      </c>
      <c r="U253" t="s">
        <v>14</v>
      </c>
      <c r="V253" s="1">
        <v>40603</v>
      </c>
      <c r="W253">
        <v>430</v>
      </c>
      <c r="X253">
        <v>5236503457.5500002</v>
      </c>
      <c r="Y253">
        <v>1.8180671735303799E-2</v>
      </c>
      <c r="AA253" s="3">
        <v>42064</v>
      </c>
      <c r="AB253" s="4">
        <v>97.557577733267294</v>
      </c>
    </row>
    <row r="254" spans="1:2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H254" s="3">
        <v>41974</v>
      </c>
      <c r="I254" s="4">
        <v>71.328493353395004</v>
      </c>
      <c r="U254" t="s">
        <v>12</v>
      </c>
      <c r="V254" s="1">
        <v>40634</v>
      </c>
      <c r="W254">
        <v>164558</v>
      </c>
      <c r="X254">
        <v>1171068568311.46</v>
      </c>
      <c r="Y254">
        <v>81.383451680802295</v>
      </c>
      <c r="AA254" s="3">
        <v>42095</v>
      </c>
      <c r="AB254" s="4">
        <v>97.717907648615196</v>
      </c>
    </row>
    <row r="255" spans="1:2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93.092009247940695</v>
      </c>
      <c r="H255" s="3">
        <v>42005</v>
      </c>
      <c r="I255" s="4">
        <v>72.007485194197201</v>
      </c>
      <c r="U255" t="s">
        <v>13</v>
      </c>
      <c r="V255" s="1">
        <v>40634</v>
      </c>
      <c r="W255">
        <v>171</v>
      </c>
      <c r="X255">
        <v>3016647647.4899998</v>
      </c>
      <c r="Y255">
        <v>98.332384305455307</v>
      </c>
      <c r="AA255" s="3">
        <v>42125</v>
      </c>
      <c r="AB255" s="4">
        <v>97.839102148951895</v>
      </c>
    </row>
    <row r="256" spans="1:2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28.698769715346401</v>
      </c>
      <c r="H256" s="3">
        <v>42036</v>
      </c>
      <c r="I256" s="4">
        <v>72.555987703310095</v>
      </c>
      <c r="U256" t="s">
        <v>14</v>
      </c>
      <c r="V256" s="1">
        <v>40634</v>
      </c>
      <c r="W256">
        <v>478</v>
      </c>
      <c r="X256">
        <v>6136502654.7399998</v>
      </c>
      <c r="Y256">
        <v>9.9651305326601998E-3</v>
      </c>
      <c r="AA256" s="3">
        <v>42156</v>
      </c>
      <c r="AB256" s="4">
        <v>97.949432118323799</v>
      </c>
    </row>
    <row r="257" spans="1:2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H257" s="3">
        <v>42064</v>
      </c>
      <c r="I257" s="4">
        <v>73.045635510559904</v>
      </c>
      <c r="U257" t="s">
        <v>12</v>
      </c>
      <c r="V257" s="1">
        <v>40664</v>
      </c>
      <c r="W257">
        <v>164675</v>
      </c>
      <c r="X257">
        <v>1165480717909.74</v>
      </c>
      <c r="Y257">
        <v>82.112441943039499</v>
      </c>
      <c r="AA257" s="3">
        <v>42186</v>
      </c>
      <c r="AB257" s="4">
        <v>98.012457331367401</v>
      </c>
    </row>
    <row r="258" spans="1:2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92.542599416511294</v>
      </c>
      <c r="H258" s="3">
        <v>42095</v>
      </c>
      <c r="I258" s="4">
        <v>73.616152819916806</v>
      </c>
      <c r="U258" t="s">
        <v>13</v>
      </c>
      <c r="V258" s="1">
        <v>40664</v>
      </c>
      <c r="W258">
        <v>202</v>
      </c>
      <c r="X258">
        <v>3576642912.5300002</v>
      </c>
      <c r="Y258">
        <v>98.541443984282097</v>
      </c>
      <c r="AA258" s="3">
        <v>42217</v>
      </c>
      <c r="AB258" s="4">
        <v>98.069886492152705</v>
      </c>
    </row>
    <row r="259" spans="1:2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29.493983639499898</v>
      </c>
      <c r="H259" s="3">
        <v>42125</v>
      </c>
      <c r="I259" s="4">
        <v>74.248964262480101</v>
      </c>
      <c r="U259" t="s">
        <v>14</v>
      </c>
      <c r="V259" s="1">
        <v>40664</v>
      </c>
      <c r="W259">
        <v>523</v>
      </c>
      <c r="X259">
        <v>6826056441.3299999</v>
      </c>
      <c r="Y259">
        <v>1.3204468597089101E-2</v>
      </c>
      <c r="AA259" s="3">
        <v>42248</v>
      </c>
      <c r="AB259" s="4">
        <v>98.116112407945494</v>
      </c>
    </row>
    <row r="260" spans="1:2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H260" s="3">
        <v>42156</v>
      </c>
      <c r="I260" s="4">
        <v>74.888798378427694</v>
      </c>
      <c r="U260" t="s">
        <v>12</v>
      </c>
      <c r="V260" s="1">
        <v>40695</v>
      </c>
      <c r="W260">
        <v>164807</v>
      </c>
      <c r="X260">
        <v>1160574203603.98</v>
      </c>
      <c r="Y260">
        <v>82.773563669638705</v>
      </c>
      <c r="AA260" s="3">
        <v>42278</v>
      </c>
      <c r="AB260" s="4">
        <v>98.136100837653004</v>
      </c>
    </row>
    <row r="261" spans="1:2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93.071271748604104</v>
      </c>
      <c r="H261" s="3">
        <v>42186</v>
      </c>
      <c r="I261" s="4">
        <v>75.490144388644794</v>
      </c>
      <c r="U261" t="s">
        <v>13</v>
      </c>
      <c r="V261" s="1">
        <v>40695</v>
      </c>
      <c r="W261">
        <v>231</v>
      </c>
      <c r="X261">
        <v>4235834937.54</v>
      </c>
      <c r="Y261">
        <v>98.8479244664654</v>
      </c>
      <c r="AA261" s="3">
        <v>42309</v>
      </c>
      <c r="AB261" s="4">
        <v>98.148635600370397</v>
      </c>
    </row>
    <row r="262" spans="1:2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30.230464357825301</v>
      </c>
      <c r="H262" s="3">
        <v>42217</v>
      </c>
      <c r="I262" s="4">
        <v>76.145670945880596</v>
      </c>
      <c r="U262" t="s">
        <v>14</v>
      </c>
      <c r="V262" s="1">
        <v>40695</v>
      </c>
      <c r="W262">
        <v>560</v>
      </c>
      <c r="X262">
        <v>7337956247.75</v>
      </c>
      <c r="Y262">
        <v>1.5240157963477901E-2</v>
      </c>
      <c r="AA262" s="3">
        <v>42339</v>
      </c>
      <c r="AB262" s="4">
        <v>98.155106018828604</v>
      </c>
    </row>
    <row r="263" spans="1:2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H263" s="3">
        <v>42248</v>
      </c>
      <c r="I263" s="4">
        <v>76.694797636807607</v>
      </c>
      <c r="U263" t="s">
        <v>12</v>
      </c>
      <c r="V263" s="1">
        <v>40725</v>
      </c>
      <c r="W263">
        <v>164963</v>
      </c>
      <c r="X263">
        <v>1157445015074.0801</v>
      </c>
      <c r="Y263">
        <v>83.256781286364301</v>
      </c>
      <c r="AA263" s="3">
        <v>42370</v>
      </c>
      <c r="AB263" s="4">
        <v>98.190860334399801</v>
      </c>
    </row>
    <row r="264" spans="1:2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93.418456796549904</v>
      </c>
      <c r="H264" s="3">
        <v>42278</v>
      </c>
      <c r="I264" s="4">
        <v>77.286756458319601</v>
      </c>
      <c r="U264" t="s">
        <v>13</v>
      </c>
      <c r="V264" s="1">
        <v>40725</v>
      </c>
      <c r="W264">
        <v>269</v>
      </c>
      <c r="X264">
        <v>5049498835.8699999</v>
      </c>
      <c r="Y264">
        <v>99.074400019917803</v>
      </c>
      <c r="AA264" s="3">
        <v>42401</v>
      </c>
      <c r="AB264" s="4">
        <v>98.217212301027104</v>
      </c>
    </row>
    <row r="265" spans="1:2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30.833870224867901</v>
      </c>
      <c r="H265" s="3">
        <v>42309</v>
      </c>
      <c r="I265" s="4">
        <v>77.809977180303306</v>
      </c>
      <c r="U265" t="s">
        <v>14</v>
      </c>
      <c r="V265" s="1">
        <v>40725</v>
      </c>
      <c r="W265">
        <v>593</v>
      </c>
      <c r="X265">
        <v>7947724964.54</v>
      </c>
      <c r="Y265">
        <v>1.5796638449210101E-2</v>
      </c>
      <c r="AA265" s="3">
        <v>42430</v>
      </c>
      <c r="AB265" s="4">
        <v>98.238521837558693</v>
      </c>
    </row>
    <row r="266" spans="1:2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H266" s="3">
        <v>42339</v>
      </c>
      <c r="I266" s="4">
        <v>78.223861507295794</v>
      </c>
      <c r="U266" t="s">
        <v>12</v>
      </c>
      <c r="V266" s="1">
        <v>40756</v>
      </c>
      <c r="W266">
        <v>165116</v>
      </c>
      <c r="X266">
        <v>1150165536380.5701</v>
      </c>
      <c r="Y266">
        <v>81.746691137754596</v>
      </c>
      <c r="AA266" s="3">
        <v>42461</v>
      </c>
      <c r="AB266" s="4">
        <v>98.339157457570707</v>
      </c>
    </row>
    <row r="267" spans="1:2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93.7292336174132</v>
      </c>
      <c r="H267" s="3">
        <v>42370</v>
      </c>
      <c r="I267" s="4">
        <v>78.698575103590102</v>
      </c>
      <c r="U267" t="s">
        <v>13</v>
      </c>
      <c r="V267" s="1">
        <v>40756</v>
      </c>
      <c r="W267">
        <v>308</v>
      </c>
      <c r="X267">
        <v>5555396980.3400002</v>
      </c>
      <c r="Y267">
        <v>99.0462778090981</v>
      </c>
      <c r="AA267" s="3">
        <v>42491</v>
      </c>
      <c r="AB267" s="4">
        <v>98.408884157195104</v>
      </c>
    </row>
    <row r="268" spans="1:2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31.3769351322135</v>
      </c>
      <c r="H268" s="3">
        <v>42401</v>
      </c>
      <c r="I268" s="4">
        <v>79.139613750983898</v>
      </c>
      <c r="U268" t="s">
        <v>14</v>
      </c>
      <c r="V268" s="1">
        <v>40756</v>
      </c>
      <c r="W268">
        <v>626</v>
      </c>
      <c r="X268">
        <v>8459759606.9799995</v>
      </c>
      <c r="Y268">
        <v>2.3799698636280099E-2</v>
      </c>
      <c r="AA268" s="3">
        <v>42522</v>
      </c>
      <c r="AB268" s="4">
        <v>98.466552861347594</v>
      </c>
    </row>
    <row r="269" spans="1:2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H269" s="3">
        <v>42430</v>
      </c>
      <c r="I269" s="4">
        <v>79.537146474007699</v>
      </c>
      <c r="U269" t="s">
        <v>12</v>
      </c>
      <c r="V269" s="1">
        <v>40787</v>
      </c>
      <c r="W269">
        <v>165297</v>
      </c>
      <c r="X269">
        <v>1145704754479.45</v>
      </c>
      <c r="Y269">
        <v>82.2390613467539</v>
      </c>
      <c r="AA269" s="3">
        <v>42552</v>
      </c>
      <c r="AB269" s="4">
        <v>98.478279535481093</v>
      </c>
    </row>
    <row r="270" spans="1:2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93.874245196546696</v>
      </c>
      <c r="H270" s="3">
        <v>42461</v>
      </c>
      <c r="I270" s="4">
        <v>79.976392216874601</v>
      </c>
      <c r="U270" t="s">
        <v>13</v>
      </c>
      <c r="V270" s="1">
        <v>40787</v>
      </c>
      <c r="W270">
        <v>347</v>
      </c>
      <c r="X270">
        <v>6013908013.3299999</v>
      </c>
      <c r="Y270">
        <v>99.174238525608999</v>
      </c>
      <c r="AA270" s="3">
        <v>42583</v>
      </c>
      <c r="AB270" s="4">
        <v>98.488463016285905</v>
      </c>
    </row>
    <row r="271" spans="1:2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32.020227802674</v>
      </c>
      <c r="H271" s="3">
        <v>42491</v>
      </c>
      <c r="I271" s="4">
        <v>80.4145498233582</v>
      </c>
      <c r="U271" t="s">
        <v>14</v>
      </c>
      <c r="V271" s="1">
        <v>40787</v>
      </c>
      <c r="W271">
        <v>659</v>
      </c>
      <c r="X271">
        <v>9001686735.1800003</v>
      </c>
      <c r="Y271">
        <v>2.86317346310592E-2</v>
      </c>
      <c r="AA271" s="3">
        <v>42614</v>
      </c>
      <c r="AB271" s="4">
        <v>98.500416951640702</v>
      </c>
    </row>
    <row r="272" spans="1:2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H272" s="3">
        <v>42522</v>
      </c>
      <c r="I272" s="4">
        <v>80.844711587004198</v>
      </c>
      <c r="U272" t="s">
        <v>12</v>
      </c>
      <c r="V272" s="1">
        <v>40817</v>
      </c>
      <c r="W272">
        <v>165496</v>
      </c>
      <c r="X272">
        <v>1139539896703.1399</v>
      </c>
      <c r="Y272">
        <v>82.080864733743397</v>
      </c>
      <c r="AA272" s="3">
        <v>42644</v>
      </c>
      <c r="AB272" s="4">
        <v>98.5077209696301</v>
      </c>
    </row>
    <row r="273" spans="1:2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94.408599606642795</v>
      </c>
      <c r="H273" s="3">
        <v>42552</v>
      </c>
      <c r="I273" s="4">
        <v>81.316631050407196</v>
      </c>
      <c r="U273" t="s">
        <v>13</v>
      </c>
      <c r="V273" s="1">
        <v>40817</v>
      </c>
      <c r="W273">
        <v>375</v>
      </c>
      <c r="X273">
        <v>6542546587.2600002</v>
      </c>
      <c r="Y273">
        <v>99.115497436838098</v>
      </c>
      <c r="AA273" s="3" t="s">
        <v>10</v>
      </c>
      <c r="AB273" s="4">
        <v>24250.897127212113</v>
      </c>
    </row>
    <row r="274" spans="1:2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32.764034340849499</v>
      </c>
      <c r="H274" s="3">
        <v>42583</v>
      </c>
      <c r="I274" s="4">
        <v>81.746914203326497</v>
      </c>
      <c r="U274" t="s">
        <v>14</v>
      </c>
      <c r="V274" s="1">
        <v>40817</v>
      </c>
      <c r="W274">
        <v>691</v>
      </c>
      <c r="X274">
        <v>9553441938.6800003</v>
      </c>
      <c r="Y274">
        <v>2.6814300966882101E-2</v>
      </c>
    </row>
    <row r="275" spans="1:2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H275" s="3">
        <v>42614</v>
      </c>
      <c r="I275" s="4">
        <v>82.263256847061498</v>
      </c>
      <c r="U275" t="s">
        <v>12</v>
      </c>
      <c r="V275" s="1">
        <v>40848</v>
      </c>
      <c r="W275">
        <v>165673</v>
      </c>
      <c r="X275">
        <v>1128758317047.3601</v>
      </c>
      <c r="Y275">
        <v>81.852423434348395</v>
      </c>
    </row>
    <row r="276" spans="1:2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94.733557979809106</v>
      </c>
      <c r="H276" s="3">
        <v>42644</v>
      </c>
      <c r="I276" s="4">
        <v>82.742465754093104</v>
      </c>
      <c r="U276" t="s">
        <v>13</v>
      </c>
      <c r="V276" s="1">
        <v>40848</v>
      </c>
      <c r="W276">
        <v>420</v>
      </c>
      <c r="X276">
        <v>7247325924.1400003</v>
      </c>
      <c r="Y276">
        <v>99.004683441545197</v>
      </c>
    </row>
    <row r="277" spans="1:2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33.3142618399052</v>
      </c>
      <c r="H277" s="3" t="s">
        <v>10</v>
      </c>
      <c r="I277" s="4">
        <v>9985.144946129627</v>
      </c>
      <c r="U277" t="s">
        <v>14</v>
      </c>
      <c r="V277" s="1">
        <v>40848</v>
      </c>
      <c r="W277">
        <v>724</v>
      </c>
      <c r="X277">
        <v>10014880248.950001</v>
      </c>
      <c r="Y277">
        <v>2.83866331939721E-2</v>
      </c>
    </row>
    <row r="278" spans="1:2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  <c r="U278" t="s">
        <v>12</v>
      </c>
      <c r="V278" s="1">
        <v>40878</v>
      </c>
      <c r="W278">
        <v>165738</v>
      </c>
      <c r="X278">
        <v>1112728336442.3301</v>
      </c>
      <c r="Y278">
        <v>81.548157829458106</v>
      </c>
    </row>
    <row r="279" spans="1:2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94.955293352606802</v>
      </c>
      <c r="U279" t="s">
        <v>13</v>
      </c>
      <c r="V279" s="1">
        <v>40878</v>
      </c>
      <c r="W279">
        <v>454</v>
      </c>
      <c r="X279">
        <v>7904105803.1999998</v>
      </c>
      <c r="Y279">
        <v>99.007416197473106</v>
      </c>
    </row>
    <row r="280" spans="1:2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33.857405249820197</v>
      </c>
      <c r="U280" t="s">
        <v>14</v>
      </c>
      <c r="V280" s="1">
        <v>40878</v>
      </c>
      <c r="W280">
        <v>767</v>
      </c>
      <c r="X280">
        <v>10531876819.25</v>
      </c>
      <c r="Y280">
        <v>3.58339762192618E-2</v>
      </c>
    </row>
    <row r="281" spans="1:2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  <c r="U281" t="s">
        <v>12</v>
      </c>
      <c r="V281" s="1">
        <v>40909</v>
      </c>
      <c r="W281">
        <v>165766</v>
      </c>
      <c r="X281">
        <v>1093080187579.58</v>
      </c>
      <c r="Y281">
        <v>81.498799908147802</v>
      </c>
    </row>
    <row r="282" spans="1:28" x14ac:dyDescent="0.25">
      <c r="A282" t="s">
        <v>6</v>
      </c>
      <c r="B282" s="1">
        <v>40848</v>
      </c>
      <c r="C282">
        <v>1471</v>
      </c>
      <c r="D282">
        <v>61528554510.57</v>
      </c>
      <c r="E282">
        <v>95.068088278651999</v>
      </c>
      <c r="U282" t="s">
        <v>13</v>
      </c>
      <c r="V282" s="1">
        <v>40909</v>
      </c>
      <c r="W282">
        <v>477</v>
      </c>
      <c r="X282">
        <v>8280081942.8999996</v>
      </c>
      <c r="Y282">
        <v>99.0759692780737</v>
      </c>
    </row>
    <row r="283" spans="1:2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34.479220645670502</v>
      </c>
      <c r="U283" t="s">
        <v>14</v>
      </c>
      <c r="V283" s="1">
        <v>40909</v>
      </c>
      <c r="W283">
        <v>787</v>
      </c>
      <c r="X283">
        <v>10704727601.450001</v>
      </c>
      <c r="Y283">
        <v>4.1563006489528299E-2</v>
      </c>
    </row>
    <row r="284" spans="1:2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  <c r="U284" t="s">
        <v>12</v>
      </c>
      <c r="V284" s="1">
        <v>40940</v>
      </c>
      <c r="W284">
        <v>165773</v>
      </c>
      <c r="X284">
        <v>1081410722063.79</v>
      </c>
      <c r="Y284">
        <v>81.497876487721797</v>
      </c>
    </row>
    <row r="285" spans="1:2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93.392117535137501</v>
      </c>
      <c r="U285" t="s">
        <v>13</v>
      </c>
      <c r="V285" s="1">
        <v>40940</v>
      </c>
      <c r="W285">
        <v>506</v>
      </c>
      <c r="X285">
        <v>9177240853.75</v>
      </c>
      <c r="Y285">
        <v>99.282855673337707</v>
      </c>
    </row>
    <row r="286" spans="1:2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35.260333102000203</v>
      </c>
      <c r="U286" t="s">
        <v>14</v>
      </c>
      <c r="V286" s="1">
        <v>40940</v>
      </c>
      <c r="W286">
        <v>834</v>
      </c>
      <c r="X286">
        <v>11647194164.32</v>
      </c>
      <c r="Y286">
        <v>4.1739207691561801E-2</v>
      </c>
    </row>
    <row r="287" spans="1:2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  <c r="U287" t="s">
        <v>12</v>
      </c>
      <c r="V287" s="1">
        <v>40969</v>
      </c>
      <c r="W287">
        <v>165846</v>
      </c>
      <c r="X287">
        <v>1078176456162.38</v>
      </c>
      <c r="Y287">
        <v>83.555137426507002</v>
      </c>
    </row>
    <row r="288" spans="1:2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93.607801099372907</v>
      </c>
      <c r="U288" t="s">
        <v>13</v>
      </c>
      <c r="V288" s="1">
        <v>40969</v>
      </c>
      <c r="W288">
        <v>540</v>
      </c>
      <c r="X288">
        <v>9860695193.4599991</v>
      </c>
      <c r="Y288">
        <v>99.530770946316494</v>
      </c>
    </row>
    <row r="289" spans="1:2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35.859227713706403</v>
      </c>
      <c r="U289" t="s">
        <v>14</v>
      </c>
      <c r="V289" s="1">
        <v>40969</v>
      </c>
      <c r="W289">
        <v>875</v>
      </c>
      <c r="X289">
        <v>12353958514.68</v>
      </c>
      <c r="Y289">
        <v>5.8641665689093903E-2</v>
      </c>
    </row>
    <row r="290" spans="1:2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  <c r="U290" t="s">
        <v>12</v>
      </c>
      <c r="V290" s="1">
        <v>41000</v>
      </c>
      <c r="W290">
        <v>166147</v>
      </c>
      <c r="X290">
        <v>1067086710288.16</v>
      </c>
      <c r="Y290">
        <v>85.274448613203703</v>
      </c>
    </row>
    <row r="291" spans="1:2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93.972596520649006</v>
      </c>
      <c r="U291" t="s">
        <v>13</v>
      </c>
      <c r="V291" s="1">
        <v>41000</v>
      </c>
      <c r="W291">
        <v>588</v>
      </c>
      <c r="X291">
        <v>10790895341.790001</v>
      </c>
      <c r="Y291">
        <v>99.620032202120498</v>
      </c>
    </row>
    <row r="292" spans="1:2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36.476579772451899</v>
      </c>
      <c r="U292" t="s">
        <v>14</v>
      </c>
      <c r="V292" s="1">
        <v>41000</v>
      </c>
      <c r="W292">
        <v>946</v>
      </c>
      <c r="X292">
        <v>13940030057.889999</v>
      </c>
      <c r="Y292">
        <v>7.8093842029927293E-2</v>
      </c>
    </row>
    <row r="293" spans="1:2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  <c r="U293" t="s">
        <v>12</v>
      </c>
      <c r="V293" s="1">
        <v>41030</v>
      </c>
      <c r="W293">
        <v>166315</v>
      </c>
      <c r="X293">
        <v>1052985823369.1899</v>
      </c>
      <c r="Y293">
        <v>86.899179529213797</v>
      </c>
    </row>
    <row r="294" spans="1:2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94.153704043908903</v>
      </c>
      <c r="U294" t="s">
        <v>13</v>
      </c>
      <c r="V294" s="1">
        <v>41030</v>
      </c>
      <c r="W294">
        <v>623</v>
      </c>
      <c r="X294">
        <v>11097007614.959999</v>
      </c>
      <c r="Y294">
        <v>99.765181577287606</v>
      </c>
    </row>
    <row r="295" spans="1:2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37.768925971632299</v>
      </c>
      <c r="U295" t="s">
        <v>14</v>
      </c>
      <c r="V295" s="1">
        <v>41030</v>
      </c>
      <c r="W295">
        <v>1017</v>
      </c>
      <c r="X295">
        <v>15124010719.23</v>
      </c>
      <c r="Y295">
        <v>0.21524919697116099</v>
      </c>
    </row>
    <row r="296" spans="1:2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  <c r="U296" t="s">
        <v>12</v>
      </c>
      <c r="V296" s="1">
        <v>41061</v>
      </c>
      <c r="W296">
        <v>166481</v>
      </c>
      <c r="X296">
        <v>1037553728529.5699</v>
      </c>
      <c r="Y296">
        <v>88.358118430418102</v>
      </c>
    </row>
    <row r="297" spans="1:2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93.294487956953404</v>
      </c>
      <c r="U297" t="s">
        <v>13</v>
      </c>
      <c r="V297" s="1">
        <v>41061</v>
      </c>
      <c r="W297">
        <v>657</v>
      </c>
      <c r="X297">
        <v>11616731956.02</v>
      </c>
      <c r="Y297">
        <v>99.821838612894197</v>
      </c>
    </row>
    <row r="298" spans="1:2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38.913633204536097</v>
      </c>
      <c r="U298" t="s">
        <v>14</v>
      </c>
      <c r="V298" s="1">
        <v>41061</v>
      </c>
      <c r="W298">
        <v>1083</v>
      </c>
      <c r="X298">
        <v>16232317795.49</v>
      </c>
      <c r="Y298">
        <v>0.62135935628817096</v>
      </c>
    </row>
    <row r="299" spans="1:25" x14ac:dyDescent="0.25">
      <c r="A299" t="s">
        <v>7</v>
      </c>
      <c r="B299" s="1">
        <v>41030</v>
      </c>
      <c r="C299">
        <v>701</v>
      </c>
      <c r="D299">
        <v>14157505535.01</v>
      </c>
      <c r="E299">
        <v>2.7638643301418499E-4</v>
      </c>
      <c r="U299" t="s">
        <v>12</v>
      </c>
      <c r="V299" s="1">
        <v>41091</v>
      </c>
      <c r="W299">
        <v>166552</v>
      </c>
      <c r="X299">
        <v>1030696048023.48</v>
      </c>
      <c r="Y299">
        <v>89.075442212496498</v>
      </c>
    </row>
    <row r="300" spans="1:25" x14ac:dyDescent="0.25">
      <c r="A300" t="s">
        <v>6</v>
      </c>
      <c r="B300" s="1">
        <v>41030</v>
      </c>
      <c r="C300">
        <v>1667</v>
      </c>
      <c r="D300">
        <v>61402153038.43</v>
      </c>
      <c r="E300">
        <v>93.759777888823706</v>
      </c>
      <c r="U300" t="s">
        <v>13</v>
      </c>
      <c r="V300" s="1">
        <v>41091</v>
      </c>
      <c r="W300">
        <v>691</v>
      </c>
      <c r="X300">
        <v>12319469687.950001</v>
      </c>
      <c r="Y300">
        <v>99.834356583507599</v>
      </c>
    </row>
    <row r="301" spans="1:2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39.879421249693401</v>
      </c>
      <c r="U301" t="s">
        <v>14</v>
      </c>
      <c r="V301" s="1">
        <v>41091</v>
      </c>
      <c r="W301">
        <v>1172</v>
      </c>
      <c r="X301">
        <v>18410677468.970001</v>
      </c>
      <c r="Y301">
        <v>0.99215652199243698</v>
      </c>
    </row>
    <row r="302" spans="1:2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1.6715492669913E-3</v>
      </c>
      <c r="U302" t="s">
        <v>15</v>
      </c>
      <c r="V302" s="1">
        <v>41091</v>
      </c>
      <c r="W302">
        <v>127</v>
      </c>
      <c r="X302">
        <v>6599126495.5600004</v>
      </c>
      <c r="Y302">
        <v>7.5902247083308003E-4</v>
      </c>
    </row>
    <row r="303" spans="1:2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92.923947552831706</v>
      </c>
      <c r="U303" t="s">
        <v>12</v>
      </c>
      <c r="V303" s="1">
        <v>41122</v>
      </c>
      <c r="W303">
        <v>166715</v>
      </c>
      <c r="X303">
        <v>1017753718361.05</v>
      </c>
      <c r="Y303">
        <v>89.648544080684104</v>
      </c>
    </row>
    <row r="304" spans="1:2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40.895726492699801</v>
      </c>
      <c r="U304" t="s">
        <v>13</v>
      </c>
      <c r="V304" s="1">
        <v>41122</v>
      </c>
      <c r="W304">
        <v>712</v>
      </c>
      <c r="X304">
        <v>12593084313.99</v>
      </c>
      <c r="Y304">
        <v>99.8234773032394</v>
      </c>
    </row>
    <row r="305" spans="1:2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3.3699093696995301E-2</v>
      </c>
      <c r="U305" t="s">
        <v>14</v>
      </c>
      <c r="V305" s="1">
        <v>41122</v>
      </c>
      <c r="W305">
        <v>1275</v>
      </c>
      <c r="X305">
        <v>20102928824.52</v>
      </c>
      <c r="Y305">
        <v>1.4186933588192701</v>
      </c>
    </row>
    <row r="306" spans="1:2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  <c r="U306" t="s">
        <v>15</v>
      </c>
      <c r="V306" s="1">
        <v>41122</v>
      </c>
      <c r="W306">
        <v>218</v>
      </c>
      <c r="X306">
        <v>8799458195.2600002</v>
      </c>
      <c r="Y306">
        <v>1.2254000044921299E-3</v>
      </c>
    </row>
    <row r="307" spans="1:2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93.104318079525598</v>
      </c>
      <c r="U307" t="s">
        <v>12</v>
      </c>
      <c r="V307" s="1">
        <v>41153</v>
      </c>
      <c r="W307">
        <v>166950</v>
      </c>
      <c r="X307">
        <v>1009008459381.01</v>
      </c>
      <c r="Y307">
        <v>90.203891343680894</v>
      </c>
    </row>
    <row r="308" spans="1:2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41.967628869863503</v>
      </c>
      <c r="U308" t="s">
        <v>13</v>
      </c>
      <c r="V308" s="1">
        <v>41153</v>
      </c>
      <c r="W308">
        <v>739</v>
      </c>
      <c r="X308">
        <v>12913045386.299999</v>
      </c>
      <c r="Y308">
        <v>99.846309453692697</v>
      </c>
    </row>
    <row r="309" spans="1:2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2.8433221428476201E-2</v>
      </c>
      <c r="U309" t="s">
        <v>14</v>
      </c>
      <c r="V309" s="1">
        <v>41153</v>
      </c>
      <c r="W309">
        <v>1363</v>
      </c>
      <c r="X309">
        <v>21601411805.599998</v>
      </c>
      <c r="Y309">
        <v>2.0007786388856599</v>
      </c>
    </row>
    <row r="310" spans="1:2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0.28642325152493903</v>
      </c>
      <c r="U310" t="s">
        <v>15</v>
      </c>
      <c r="V310" s="1">
        <v>41153</v>
      </c>
      <c r="W310">
        <v>315</v>
      </c>
      <c r="X310">
        <v>10777885227.879999</v>
      </c>
      <c r="Y310">
        <v>9.8666237685402793E-4</v>
      </c>
    </row>
    <row r="311" spans="1:2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92.990305587438101</v>
      </c>
      <c r="U311" t="s">
        <v>12</v>
      </c>
      <c r="V311" s="1">
        <v>41183</v>
      </c>
      <c r="W311">
        <v>167134</v>
      </c>
      <c r="X311">
        <v>993395215390.30005</v>
      </c>
      <c r="Y311">
        <v>90.464662328033796</v>
      </c>
    </row>
    <row r="312" spans="1:2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43.013764711682398</v>
      </c>
      <c r="U312" t="s">
        <v>13</v>
      </c>
      <c r="V312" s="1">
        <v>41183</v>
      </c>
      <c r="W312">
        <v>773</v>
      </c>
      <c r="X312">
        <v>13621608844.34</v>
      </c>
      <c r="Y312">
        <v>99.858533560154797</v>
      </c>
    </row>
    <row r="313" spans="1:2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6.3695969825837903E-2</v>
      </c>
      <c r="U313" t="s">
        <v>14</v>
      </c>
      <c r="V313" s="1">
        <v>41183</v>
      </c>
      <c r="W313">
        <v>1462</v>
      </c>
      <c r="X313">
        <v>23066669892.529999</v>
      </c>
      <c r="Y313">
        <v>2.4697225959722302</v>
      </c>
    </row>
    <row r="314" spans="1:25" x14ac:dyDescent="0.25">
      <c r="A314" t="s">
        <v>8</v>
      </c>
      <c r="B314" s="1">
        <v>41153</v>
      </c>
      <c r="C314">
        <v>210</v>
      </c>
      <c r="D314">
        <v>12053254300.4</v>
      </c>
      <c r="E314">
        <v>0.59020151200586701</v>
      </c>
      <c r="U314" t="s">
        <v>15</v>
      </c>
      <c r="V314" s="1">
        <v>41183</v>
      </c>
      <c r="W314">
        <v>415</v>
      </c>
      <c r="X314">
        <v>12488997687</v>
      </c>
      <c r="Y314">
        <v>1.2671578661570999E-3</v>
      </c>
    </row>
    <row r="315" spans="1:2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93.218697315590802</v>
      </c>
      <c r="U315" t="s">
        <v>12</v>
      </c>
      <c r="V315" s="1">
        <v>41214</v>
      </c>
      <c r="W315">
        <v>167513</v>
      </c>
      <c r="X315">
        <v>988480773477.10999</v>
      </c>
      <c r="Y315">
        <v>90.760062693991202</v>
      </c>
    </row>
    <row r="316" spans="1:2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44.115106090754999</v>
      </c>
      <c r="U316" t="s">
        <v>13</v>
      </c>
      <c r="V316" s="1">
        <v>41214</v>
      </c>
      <c r="W316">
        <v>804</v>
      </c>
      <c r="X316">
        <v>14812827435.530001</v>
      </c>
      <c r="Y316">
        <v>99.872045172383906</v>
      </c>
    </row>
    <row r="317" spans="1:2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0.108314972200447</v>
      </c>
      <c r="U317" t="s">
        <v>14</v>
      </c>
      <c r="V317" s="1">
        <v>41214</v>
      </c>
      <c r="W317">
        <v>1557</v>
      </c>
      <c r="X317">
        <v>24335750350.360001</v>
      </c>
      <c r="Y317">
        <v>3.1372779561452599</v>
      </c>
    </row>
    <row r="318" spans="1:2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0.59644746243445701</v>
      </c>
      <c r="U318" t="s">
        <v>15</v>
      </c>
      <c r="V318" s="1">
        <v>41214</v>
      </c>
      <c r="W318">
        <v>509</v>
      </c>
      <c r="X318">
        <v>13991619224.620001</v>
      </c>
      <c r="Y318">
        <v>1.04823838835553E-3</v>
      </c>
    </row>
    <row r="319" spans="1:2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92.564933799540398</v>
      </c>
      <c r="U319" t="s">
        <v>12</v>
      </c>
      <c r="V319" s="1">
        <v>41244</v>
      </c>
      <c r="W319">
        <v>168029</v>
      </c>
      <c r="X319">
        <v>987833006284.93005</v>
      </c>
      <c r="Y319">
        <v>90.930084526706196</v>
      </c>
    </row>
    <row r="320" spans="1:2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44.964628282645997</v>
      </c>
      <c r="U320" t="s">
        <v>13</v>
      </c>
      <c r="V320" s="1">
        <v>41244</v>
      </c>
      <c r="W320">
        <v>842</v>
      </c>
      <c r="X320">
        <v>16035308040.73</v>
      </c>
      <c r="Y320">
        <v>99.483287310120403</v>
      </c>
    </row>
    <row r="321" spans="1:2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0.180548098169386</v>
      </c>
      <c r="U321" t="s">
        <v>14</v>
      </c>
      <c r="V321" s="1">
        <v>41244</v>
      </c>
      <c r="W321">
        <v>1683</v>
      </c>
      <c r="X321">
        <v>26041761003.119999</v>
      </c>
      <c r="Y321">
        <v>3.8210535686917102</v>
      </c>
    </row>
    <row r="322" spans="1:25" x14ac:dyDescent="0.25">
      <c r="A322" t="s">
        <v>8</v>
      </c>
      <c r="B322" s="1">
        <v>41214</v>
      </c>
      <c r="C322">
        <v>339</v>
      </c>
      <c r="D322">
        <v>17141506906.68</v>
      </c>
      <c r="E322">
        <v>0.52613380433115398</v>
      </c>
      <c r="U322" t="s">
        <v>15</v>
      </c>
      <c r="V322" s="1">
        <v>41244</v>
      </c>
      <c r="W322">
        <v>623</v>
      </c>
      <c r="X322">
        <v>15791782055.450001</v>
      </c>
      <c r="Y322">
        <v>9.0953935019911201E-4</v>
      </c>
    </row>
    <row r="323" spans="1:2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92.693385725285196</v>
      </c>
      <c r="U323" t="s">
        <v>12</v>
      </c>
      <c r="V323" s="1">
        <v>41275</v>
      </c>
      <c r="W323">
        <v>167997</v>
      </c>
      <c r="X323">
        <v>972565007892.05005</v>
      </c>
      <c r="Y323">
        <v>91.4027863902608</v>
      </c>
    </row>
    <row r="324" spans="1:2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46.152031785063897</v>
      </c>
      <c r="U324" t="s">
        <v>13</v>
      </c>
      <c r="V324" s="1">
        <v>41275</v>
      </c>
      <c r="W324">
        <v>864</v>
      </c>
      <c r="X324">
        <v>15909947419.549999</v>
      </c>
      <c r="Y324">
        <v>99.9016990863811</v>
      </c>
    </row>
    <row r="325" spans="1:2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0.21996523522453101</v>
      </c>
      <c r="U325" t="s">
        <v>14</v>
      </c>
      <c r="V325" s="1">
        <v>41275</v>
      </c>
      <c r="W325">
        <v>1772</v>
      </c>
      <c r="X325">
        <v>26882479097.080002</v>
      </c>
      <c r="Y325">
        <v>5.1989391776952401</v>
      </c>
    </row>
    <row r="326" spans="1:2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0.650233595853423</v>
      </c>
      <c r="U326" t="s">
        <v>15</v>
      </c>
      <c r="V326" s="1">
        <v>41275</v>
      </c>
      <c r="W326">
        <v>707</v>
      </c>
      <c r="X326">
        <v>16754712174.48</v>
      </c>
      <c r="Y326">
        <v>1.86682847089677E-3</v>
      </c>
    </row>
    <row r="327" spans="1:2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93.211131985948199</v>
      </c>
      <c r="U327" t="s">
        <v>12</v>
      </c>
      <c r="V327" s="1">
        <v>41306</v>
      </c>
      <c r="W327">
        <v>168243</v>
      </c>
      <c r="X327">
        <v>964648010655.91003</v>
      </c>
      <c r="Y327">
        <v>91.794949555672005</v>
      </c>
    </row>
    <row r="328" spans="1:2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46.931075904828099</v>
      </c>
      <c r="U328" t="s">
        <v>13</v>
      </c>
      <c r="V328" s="1">
        <v>41306</v>
      </c>
      <c r="W328">
        <v>887</v>
      </c>
      <c r="X328">
        <v>16552519980.950001</v>
      </c>
      <c r="Y328">
        <v>99.904648277784503</v>
      </c>
    </row>
    <row r="329" spans="1:25" x14ac:dyDescent="0.25">
      <c r="A329" t="s">
        <v>7</v>
      </c>
      <c r="B329" s="1">
        <v>41275</v>
      </c>
      <c r="C329">
        <v>1194</v>
      </c>
      <c r="D329">
        <v>33051971704.52</v>
      </c>
      <c r="E329">
        <v>0.39684822933108499</v>
      </c>
      <c r="U329" t="s">
        <v>14</v>
      </c>
      <c r="V329" s="1">
        <v>41306</v>
      </c>
      <c r="W329">
        <v>1884</v>
      </c>
      <c r="X329">
        <v>28077568751.43</v>
      </c>
      <c r="Y329">
        <v>6.5347751439853496</v>
      </c>
    </row>
    <row r="330" spans="1:25" x14ac:dyDescent="0.25">
      <c r="A330" t="s">
        <v>8</v>
      </c>
      <c r="B330" s="1">
        <v>41275</v>
      </c>
      <c r="C330">
        <v>493</v>
      </c>
      <c r="D330">
        <v>22634123601.41</v>
      </c>
      <c r="E330">
        <v>0.58012425874940898</v>
      </c>
      <c r="U330" t="s">
        <v>15</v>
      </c>
      <c r="V330" s="1">
        <v>41306</v>
      </c>
      <c r="W330">
        <v>803</v>
      </c>
      <c r="X330">
        <v>17947136377.009998</v>
      </c>
      <c r="Y330">
        <v>2.7639721077421398E-3</v>
      </c>
    </row>
    <row r="331" spans="1:2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93.409988052090497</v>
      </c>
      <c r="U331" t="s">
        <v>12</v>
      </c>
      <c r="V331" s="1">
        <v>41334</v>
      </c>
      <c r="W331">
        <v>168444</v>
      </c>
      <c r="X331">
        <v>958178399344.89001</v>
      </c>
      <c r="Y331">
        <v>92.152731135910003</v>
      </c>
    </row>
    <row r="332" spans="1:2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46.011159321965799</v>
      </c>
      <c r="U332" t="s">
        <v>13</v>
      </c>
      <c r="V332" s="1">
        <v>41334</v>
      </c>
      <c r="W332">
        <v>912</v>
      </c>
      <c r="X332">
        <v>16936331787.6</v>
      </c>
      <c r="Y332">
        <v>99.909325158720605</v>
      </c>
    </row>
    <row r="333" spans="1:2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0.58437254044512499</v>
      </c>
      <c r="U333" t="s">
        <v>14</v>
      </c>
      <c r="V333" s="1">
        <v>41334</v>
      </c>
      <c r="W333">
        <v>2008</v>
      </c>
      <c r="X333">
        <v>29255937245.25</v>
      </c>
      <c r="Y333">
        <v>8.1088326942774902</v>
      </c>
    </row>
    <row r="334" spans="1:2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0.509810975562205</v>
      </c>
      <c r="U334" t="s">
        <v>15</v>
      </c>
      <c r="V334" s="1">
        <v>41334</v>
      </c>
      <c r="W334">
        <v>924</v>
      </c>
      <c r="X334">
        <v>19179632548.990002</v>
      </c>
      <c r="Y334">
        <v>5.57034157771839E-3</v>
      </c>
    </row>
    <row r="335" spans="1:2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88.673454618998406</v>
      </c>
      <c r="U335" t="s">
        <v>12</v>
      </c>
      <c r="V335" s="1">
        <v>41365</v>
      </c>
      <c r="W335">
        <v>168554</v>
      </c>
      <c r="X335">
        <v>958767138252.81006</v>
      </c>
      <c r="Y335">
        <v>93.148803996602297</v>
      </c>
    </row>
    <row r="336" spans="1:2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45.048120682990202</v>
      </c>
      <c r="U336" t="s">
        <v>13</v>
      </c>
      <c r="V336" s="1">
        <v>41365</v>
      </c>
      <c r="W336">
        <v>934</v>
      </c>
      <c r="X336">
        <v>17827951977.950001</v>
      </c>
      <c r="Y336">
        <v>99.919267982206307</v>
      </c>
    </row>
    <row r="337" spans="1:2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0.77455825967073599</v>
      </c>
      <c r="U337" t="s">
        <v>14</v>
      </c>
      <c r="V337" s="1">
        <v>41365</v>
      </c>
      <c r="W337">
        <v>2143</v>
      </c>
      <c r="X337">
        <v>30765495579.349998</v>
      </c>
      <c r="Y337">
        <v>12.035785241876599</v>
      </c>
    </row>
    <row r="338" spans="1:2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0.468433910506311</v>
      </c>
      <c r="U338" t="s">
        <v>15</v>
      </c>
      <c r="V338" s="1">
        <v>41365</v>
      </c>
      <c r="W338">
        <v>1042</v>
      </c>
      <c r="X338">
        <v>20590650800.080002</v>
      </c>
      <c r="Y338">
        <v>7.9561244432139796E-3</v>
      </c>
    </row>
    <row r="339" spans="1:25" x14ac:dyDescent="0.25">
      <c r="A339" t="s">
        <v>6</v>
      </c>
      <c r="B339" s="1">
        <v>41334</v>
      </c>
      <c r="C339">
        <v>1907</v>
      </c>
      <c r="D339">
        <v>58273862919.07</v>
      </c>
      <c r="E339">
        <v>85.499290083496902</v>
      </c>
      <c r="U339" t="s">
        <v>12</v>
      </c>
      <c r="V339" s="1">
        <v>41395</v>
      </c>
      <c r="W339">
        <v>168497</v>
      </c>
      <c r="X339">
        <v>956989567273.20996</v>
      </c>
      <c r="Y339">
        <v>94.001875479032904</v>
      </c>
    </row>
    <row r="340" spans="1:2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44.488422647869101</v>
      </c>
      <c r="U340" t="s">
        <v>13</v>
      </c>
      <c r="V340" s="1">
        <v>41395</v>
      </c>
      <c r="W340">
        <v>954</v>
      </c>
      <c r="X340">
        <v>17960790708.68</v>
      </c>
      <c r="Y340">
        <v>99.915426090496098</v>
      </c>
    </row>
    <row r="341" spans="1:2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1.37673593689199</v>
      </c>
      <c r="U341" t="s">
        <v>14</v>
      </c>
      <c r="V341" s="1">
        <v>41395</v>
      </c>
      <c r="W341">
        <v>2261</v>
      </c>
      <c r="X341">
        <v>32051219221.419998</v>
      </c>
      <c r="Y341">
        <v>16.115570723038498</v>
      </c>
    </row>
    <row r="342" spans="1:2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0.43432264293509798</v>
      </c>
      <c r="U342" t="s">
        <v>15</v>
      </c>
      <c r="V342" s="1">
        <v>41395</v>
      </c>
      <c r="W342">
        <v>1149</v>
      </c>
      <c r="X342">
        <v>21763931987.459999</v>
      </c>
      <c r="Y342">
        <v>1.1839593648145399E-2</v>
      </c>
    </row>
    <row r="343" spans="1:2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82.145929183285006</v>
      </c>
      <c r="U343" t="s">
        <v>12</v>
      </c>
      <c r="V343" s="1">
        <v>41426</v>
      </c>
      <c r="W343">
        <v>168650</v>
      </c>
      <c r="X343">
        <v>951379532622</v>
      </c>
      <c r="Y343">
        <v>94.681483937041904</v>
      </c>
    </row>
    <row r="344" spans="1:2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43.763809562722599</v>
      </c>
      <c r="U344" t="s">
        <v>13</v>
      </c>
      <c r="V344" s="1">
        <v>41426</v>
      </c>
      <c r="W344">
        <v>976</v>
      </c>
      <c r="X344">
        <v>18268825613.709999</v>
      </c>
      <c r="Y344">
        <v>99.927167128601397</v>
      </c>
    </row>
    <row r="345" spans="1:25" x14ac:dyDescent="0.25">
      <c r="A345" t="s">
        <v>7</v>
      </c>
      <c r="B345" s="1">
        <v>41395</v>
      </c>
      <c r="C345">
        <v>1447</v>
      </c>
      <c r="D345">
        <v>41135466403</v>
      </c>
      <c r="E345">
        <v>2.0356482648239602</v>
      </c>
      <c r="U345" t="s">
        <v>14</v>
      </c>
      <c r="V345" s="1">
        <v>41426</v>
      </c>
      <c r="W345">
        <v>2381</v>
      </c>
      <c r="X345">
        <v>33234605901.299999</v>
      </c>
      <c r="Y345">
        <v>20.6655918285533</v>
      </c>
    </row>
    <row r="346" spans="1:25" x14ac:dyDescent="0.25">
      <c r="A346" t="s">
        <v>8</v>
      </c>
      <c r="B346" s="1">
        <v>41395</v>
      </c>
      <c r="C346">
        <v>760</v>
      </c>
      <c r="D346">
        <v>32087573394.82</v>
      </c>
      <c r="E346">
        <v>0.40532035450785903</v>
      </c>
      <c r="U346" t="s">
        <v>15</v>
      </c>
      <c r="V346" s="1">
        <v>41426</v>
      </c>
      <c r="W346">
        <v>1253</v>
      </c>
      <c r="X346">
        <v>22743332810.720001</v>
      </c>
      <c r="Y346">
        <v>2.61122383869824E-2</v>
      </c>
    </row>
    <row r="347" spans="1:2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78.474717751326807</v>
      </c>
      <c r="U347" t="s">
        <v>12</v>
      </c>
      <c r="V347" s="1">
        <v>41456</v>
      </c>
      <c r="W347">
        <v>168793</v>
      </c>
      <c r="X347">
        <v>951112315863.43994</v>
      </c>
      <c r="Y347">
        <v>94.998094867418104</v>
      </c>
    </row>
    <row r="348" spans="1:2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42.861924668996899</v>
      </c>
      <c r="U348" t="s">
        <v>13</v>
      </c>
      <c r="V348" s="1">
        <v>41456</v>
      </c>
      <c r="W348">
        <v>998</v>
      </c>
      <c r="X348">
        <v>18453239115.400002</v>
      </c>
      <c r="Y348">
        <v>99.930263601348599</v>
      </c>
    </row>
    <row r="349" spans="1:2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2.7554132216970801</v>
      </c>
      <c r="U349" t="s">
        <v>14</v>
      </c>
      <c r="V349" s="1">
        <v>41456</v>
      </c>
      <c r="W349">
        <v>2498</v>
      </c>
      <c r="X349">
        <v>34235158583.599998</v>
      </c>
      <c r="Y349">
        <v>23.492984329188701</v>
      </c>
    </row>
    <row r="350" spans="1:2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0.38620404138166298</v>
      </c>
      <c r="U350" t="s">
        <v>15</v>
      </c>
      <c r="V350" s="1">
        <v>41456</v>
      </c>
      <c r="W350">
        <v>1350</v>
      </c>
      <c r="X350">
        <v>23549228231.41</v>
      </c>
      <c r="Y350">
        <v>6.1808963335124499E-2</v>
      </c>
    </row>
    <row r="351" spans="1:2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75.205493622159906</v>
      </c>
      <c r="U351" t="s">
        <v>12</v>
      </c>
      <c r="V351" s="1">
        <v>41487</v>
      </c>
      <c r="W351">
        <v>168702</v>
      </c>
      <c r="X351">
        <v>948978277212.25</v>
      </c>
      <c r="Y351">
        <v>95.421835011427206</v>
      </c>
    </row>
    <row r="352" spans="1:2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41.9460692805077</v>
      </c>
      <c r="U352" t="s">
        <v>13</v>
      </c>
      <c r="V352" s="1">
        <v>41487</v>
      </c>
      <c r="W352">
        <v>1021</v>
      </c>
      <c r="X352">
        <v>18743874307.419998</v>
      </c>
      <c r="Y352">
        <v>99.933736360560502</v>
      </c>
    </row>
    <row r="353" spans="1:2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3.1743047808765499</v>
      </c>
      <c r="U353" t="s">
        <v>14</v>
      </c>
      <c r="V353" s="1">
        <v>41487</v>
      </c>
      <c r="W353">
        <v>2594</v>
      </c>
      <c r="X353">
        <v>34899645243.050003</v>
      </c>
      <c r="Y353">
        <v>26.652697614746401</v>
      </c>
    </row>
    <row r="354" spans="1:2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0.36867697622229301</v>
      </c>
      <c r="U354" t="s">
        <v>15</v>
      </c>
      <c r="V354" s="1">
        <v>41487</v>
      </c>
      <c r="W354">
        <v>1432</v>
      </c>
      <c r="X354">
        <v>24174777291.66</v>
      </c>
      <c r="Y354">
        <v>0.12817337400319101</v>
      </c>
    </row>
    <row r="355" spans="1:2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71.4254640932417</v>
      </c>
      <c r="U355" t="s">
        <v>12</v>
      </c>
      <c r="V355" s="1">
        <v>41518</v>
      </c>
      <c r="W355">
        <v>168665</v>
      </c>
      <c r="X355">
        <v>948811579876.78003</v>
      </c>
      <c r="Y355">
        <v>95.705986953763102</v>
      </c>
    </row>
    <row r="356" spans="1:2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40.914936341350703</v>
      </c>
      <c r="U356" t="s">
        <v>13</v>
      </c>
      <c r="V356" s="1">
        <v>41518</v>
      </c>
      <c r="W356">
        <v>1045</v>
      </c>
      <c r="X356">
        <v>19092526206.200001</v>
      </c>
      <c r="Y356">
        <v>99.932755172886203</v>
      </c>
    </row>
    <row r="357" spans="1:2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3.5801909551984501</v>
      </c>
      <c r="U357" t="s">
        <v>14</v>
      </c>
      <c r="V357" s="1">
        <v>41518</v>
      </c>
      <c r="W357">
        <v>2695</v>
      </c>
      <c r="X357">
        <v>35367128013.260002</v>
      </c>
      <c r="Y357">
        <v>29.227767350739001</v>
      </c>
    </row>
    <row r="358" spans="1:2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0.35469539388473798</v>
      </c>
      <c r="U358" t="s">
        <v>15</v>
      </c>
      <c r="V358" s="1">
        <v>41518</v>
      </c>
      <c r="W358">
        <v>1517</v>
      </c>
      <c r="X358">
        <v>24578473067.509998</v>
      </c>
      <c r="Y358">
        <v>0.26705394021178902</v>
      </c>
    </row>
    <row r="359" spans="1:25" x14ac:dyDescent="0.25">
      <c r="A359" t="s">
        <v>6</v>
      </c>
      <c r="B359" s="1">
        <v>41487</v>
      </c>
      <c r="C359">
        <v>1980</v>
      </c>
      <c r="D359">
        <v>57358795381.5</v>
      </c>
      <c r="E359">
        <v>68.360680789217895</v>
      </c>
      <c r="U359" t="s">
        <v>12</v>
      </c>
      <c r="V359" s="1">
        <v>41548</v>
      </c>
      <c r="W359">
        <v>168535</v>
      </c>
      <c r="X359">
        <v>946698650327.43005</v>
      </c>
      <c r="Y359">
        <v>95.754656189581098</v>
      </c>
    </row>
    <row r="360" spans="1:2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40.063351774054603</v>
      </c>
      <c r="U360" t="s">
        <v>13</v>
      </c>
      <c r="V360" s="1">
        <v>41548</v>
      </c>
      <c r="W360">
        <v>1073</v>
      </c>
      <c r="X360">
        <v>19336227803.259998</v>
      </c>
      <c r="Y360">
        <v>99.929417803111605</v>
      </c>
    </row>
    <row r="361" spans="1:2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3.9005726161388101</v>
      </c>
      <c r="U361" t="s">
        <v>14</v>
      </c>
      <c r="V361" s="1">
        <v>41548</v>
      </c>
      <c r="W361">
        <v>2780</v>
      </c>
      <c r="X361">
        <v>35804756803.43</v>
      </c>
      <c r="Y361">
        <v>29.053839725265199</v>
      </c>
    </row>
    <row r="362" spans="1:25" x14ac:dyDescent="0.25">
      <c r="A362" t="s">
        <v>8</v>
      </c>
      <c r="B362" s="1">
        <v>41518</v>
      </c>
      <c r="C362">
        <v>939</v>
      </c>
      <c r="D362">
        <v>37243354893.68</v>
      </c>
      <c r="E362">
        <v>0.34324562332754499</v>
      </c>
      <c r="U362" t="s">
        <v>15</v>
      </c>
      <c r="V362" s="1">
        <v>41548</v>
      </c>
      <c r="W362">
        <v>1605</v>
      </c>
      <c r="X362">
        <v>24975426851.080002</v>
      </c>
      <c r="Y362">
        <v>0.32851858909662601</v>
      </c>
    </row>
    <row r="363" spans="1:25" x14ac:dyDescent="0.25">
      <c r="A363" t="s">
        <v>6</v>
      </c>
      <c r="B363" s="1">
        <v>41518</v>
      </c>
      <c r="C363">
        <v>2002</v>
      </c>
      <c r="D363">
        <v>57378888746.93</v>
      </c>
      <c r="E363">
        <v>65.9799081378968</v>
      </c>
      <c r="U363" t="s">
        <v>12</v>
      </c>
      <c r="V363" s="1">
        <v>41579</v>
      </c>
      <c r="W363">
        <v>168454</v>
      </c>
      <c r="X363">
        <v>945526028023.66003</v>
      </c>
      <c r="Y363">
        <v>95.768588634014506</v>
      </c>
    </row>
    <row r="364" spans="1:2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39.368113116509498</v>
      </c>
      <c r="U364" t="s">
        <v>13</v>
      </c>
      <c r="V364" s="1">
        <v>41579</v>
      </c>
      <c r="W364">
        <v>1088</v>
      </c>
      <c r="X364">
        <v>19613126291.07</v>
      </c>
      <c r="Y364">
        <v>99.927927428621899</v>
      </c>
    </row>
    <row r="365" spans="1:2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3.8585986982427198</v>
      </c>
      <c r="U365" t="s">
        <v>14</v>
      </c>
      <c r="V365" s="1">
        <v>41579</v>
      </c>
      <c r="W365">
        <v>2875</v>
      </c>
      <c r="X365">
        <v>36128097823.209999</v>
      </c>
      <c r="Y365">
        <v>29.152736375215799</v>
      </c>
    </row>
    <row r="366" spans="1:2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0.33653414092405898</v>
      </c>
      <c r="U366" t="s">
        <v>15</v>
      </c>
      <c r="V366" s="1">
        <v>41579</v>
      </c>
      <c r="W366">
        <v>1688</v>
      </c>
      <c r="X366">
        <v>25218431194.439999</v>
      </c>
      <c r="Y366">
        <v>0.424525705678446</v>
      </c>
    </row>
    <row r="367" spans="1:2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64.499036856386596</v>
      </c>
      <c r="U367" t="s">
        <v>12</v>
      </c>
      <c r="V367" s="1">
        <v>41609</v>
      </c>
      <c r="W367">
        <v>168526</v>
      </c>
      <c r="X367">
        <v>947567336728.01001</v>
      </c>
      <c r="Y367">
        <v>95.789714767199797</v>
      </c>
    </row>
    <row r="368" spans="1:2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38.745289380312897</v>
      </c>
      <c r="U368" t="s">
        <v>13</v>
      </c>
      <c r="V368" s="1">
        <v>41609</v>
      </c>
      <c r="W368">
        <v>1109</v>
      </c>
      <c r="X368">
        <v>19868500672.32</v>
      </c>
      <c r="Y368">
        <v>99.928980285590399</v>
      </c>
    </row>
    <row r="369" spans="1:2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3.85369333856374</v>
      </c>
      <c r="U369" t="s">
        <v>14</v>
      </c>
      <c r="V369" s="1">
        <v>41609</v>
      </c>
      <c r="W369">
        <v>2973</v>
      </c>
      <c r="X369">
        <v>36388443717.019997</v>
      </c>
      <c r="Y369">
        <v>29.200024729895901</v>
      </c>
    </row>
    <row r="370" spans="1:2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0.28394930984035999</v>
      </c>
      <c r="U370" t="s">
        <v>15</v>
      </c>
      <c r="V370" s="1">
        <v>41609</v>
      </c>
      <c r="W370">
        <v>1747</v>
      </c>
      <c r="X370">
        <v>25372731243.630001</v>
      </c>
      <c r="Y370">
        <v>0.52790115035540397</v>
      </c>
    </row>
    <row r="371" spans="1:2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63.329042538696498</v>
      </c>
      <c r="U371" t="s">
        <v>12</v>
      </c>
      <c r="V371" s="1">
        <v>41640</v>
      </c>
      <c r="W371">
        <v>168522</v>
      </c>
      <c r="X371">
        <v>950558420406.93994</v>
      </c>
      <c r="Y371">
        <v>95.890659660073794</v>
      </c>
    </row>
    <row r="372" spans="1:2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38.313655040066202</v>
      </c>
      <c r="U372" t="s">
        <v>13</v>
      </c>
      <c r="V372" s="1">
        <v>41640</v>
      </c>
      <c r="W372">
        <v>1122</v>
      </c>
      <c r="X372">
        <v>20235778716.240002</v>
      </c>
      <c r="Y372">
        <v>99.930421498885906</v>
      </c>
    </row>
    <row r="373" spans="1:2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3.8425952953231999</v>
      </c>
      <c r="U373" t="s">
        <v>14</v>
      </c>
      <c r="V373" s="1">
        <v>41640</v>
      </c>
      <c r="W373">
        <v>3038</v>
      </c>
      <c r="X373">
        <v>36429713513.779999</v>
      </c>
      <c r="Y373">
        <v>30.273625571001599</v>
      </c>
    </row>
    <row r="374" spans="1:2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0.28095358355811201</v>
      </c>
      <c r="U374" t="s">
        <v>15</v>
      </c>
      <c r="V374" s="1">
        <v>41640</v>
      </c>
      <c r="W374">
        <v>1805</v>
      </c>
      <c r="X374">
        <v>25476399173.720001</v>
      </c>
      <c r="Y374">
        <v>0.670394530761806</v>
      </c>
    </row>
    <row r="375" spans="1:2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62.330440113395703</v>
      </c>
      <c r="U375" t="s">
        <v>12</v>
      </c>
      <c r="V375" s="1">
        <v>41671</v>
      </c>
      <c r="W375">
        <v>168389</v>
      </c>
      <c r="X375">
        <v>951961756683.73999</v>
      </c>
      <c r="Y375">
        <v>95.955284016383601</v>
      </c>
    </row>
    <row r="376" spans="1:2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64.5410801708923</v>
      </c>
      <c r="U376" t="s">
        <v>13</v>
      </c>
      <c r="V376" s="1">
        <v>41671</v>
      </c>
      <c r="W376">
        <v>1130</v>
      </c>
      <c r="X376">
        <v>20424379265.459999</v>
      </c>
      <c r="Y376">
        <v>99.928496092370395</v>
      </c>
    </row>
    <row r="377" spans="1:2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24.401878175384699</v>
      </c>
      <c r="U377" t="s">
        <v>14</v>
      </c>
      <c r="V377" s="1">
        <v>41671</v>
      </c>
      <c r="W377">
        <v>3094</v>
      </c>
      <c r="X377">
        <v>36534296456.949997</v>
      </c>
      <c r="Y377">
        <v>31.159887379157201</v>
      </c>
    </row>
    <row r="378" spans="1:2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4.3499419773287</v>
      </c>
      <c r="U378" t="s">
        <v>15</v>
      </c>
      <c r="V378" s="1">
        <v>41671</v>
      </c>
      <c r="W378">
        <v>1854</v>
      </c>
      <c r="X378">
        <v>25558725588.619999</v>
      </c>
      <c r="Y378">
        <v>0.87207321232917001</v>
      </c>
    </row>
    <row r="379" spans="1:2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95.913404213029494</v>
      </c>
      <c r="U379" t="s">
        <v>12</v>
      </c>
      <c r="V379" s="1">
        <v>41699</v>
      </c>
      <c r="W379">
        <v>168241</v>
      </c>
      <c r="X379">
        <v>954383832976.22998</v>
      </c>
      <c r="Y379">
        <v>96.013424182271393</v>
      </c>
    </row>
    <row r="380" spans="1:2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65.1529561913744</v>
      </c>
      <c r="U380" t="s">
        <v>13</v>
      </c>
      <c r="V380" s="1">
        <v>41699</v>
      </c>
      <c r="W380">
        <v>1144</v>
      </c>
      <c r="X380">
        <v>20512776387.459999</v>
      </c>
      <c r="Y380">
        <v>99.926668025100994</v>
      </c>
    </row>
    <row r="381" spans="1:2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24.8032201499149</v>
      </c>
      <c r="U381" t="s">
        <v>14</v>
      </c>
      <c r="V381" s="1">
        <v>41699</v>
      </c>
      <c r="W381">
        <v>3164</v>
      </c>
      <c r="X381">
        <v>36655105321.75</v>
      </c>
      <c r="Y381">
        <v>32.052739824693703</v>
      </c>
    </row>
    <row r="382" spans="1:2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4.4205861866805103</v>
      </c>
      <c r="U382" t="s">
        <v>15</v>
      </c>
      <c r="V382" s="1">
        <v>41699</v>
      </c>
      <c r="W382">
        <v>1900</v>
      </c>
      <c r="X382">
        <v>25637606597.049999</v>
      </c>
      <c r="Y382">
        <v>1.1120367220182601</v>
      </c>
    </row>
    <row r="383" spans="1:2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95.936815614835396</v>
      </c>
      <c r="U383" t="s">
        <v>12</v>
      </c>
      <c r="V383" s="1">
        <v>41730</v>
      </c>
      <c r="W383">
        <v>168138</v>
      </c>
      <c r="X383">
        <v>954656179373.09998</v>
      </c>
      <c r="Y383">
        <v>96.395536887807793</v>
      </c>
    </row>
    <row r="384" spans="1:25" x14ac:dyDescent="0.25">
      <c r="A384" t="s">
        <v>5</v>
      </c>
      <c r="B384" s="1">
        <v>41699</v>
      </c>
      <c r="C384">
        <v>298590</v>
      </c>
      <c r="D384">
        <v>1661124798886</v>
      </c>
      <c r="E384">
        <v>65.698548727677107</v>
      </c>
      <c r="U384" t="s">
        <v>13</v>
      </c>
      <c r="V384" s="1">
        <v>41730</v>
      </c>
      <c r="W384">
        <v>1155</v>
      </c>
      <c r="X384">
        <v>20701049462.849998</v>
      </c>
      <c r="Y384">
        <v>99.939206026362896</v>
      </c>
    </row>
    <row r="385" spans="1:25" x14ac:dyDescent="0.25">
      <c r="A385" t="s">
        <v>7</v>
      </c>
      <c r="B385" s="1">
        <v>41699</v>
      </c>
      <c r="C385">
        <v>1826</v>
      </c>
      <c r="D385">
        <v>48717365807.82</v>
      </c>
      <c r="E385">
        <v>25.206949411499199</v>
      </c>
      <c r="U385" t="s">
        <v>14</v>
      </c>
      <c r="V385" s="1">
        <v>41730</v>
      </c>
      <c r="W385">
        <v>3214</v>
      </c>
      <c r="X385">
        <v>36681497623.199997</v>
      </c>
      <c r="Y385">
        <v>35.3552598683548</v>
      </c>
    </row>
    <row r="386" spans="1:2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4.5173603366722297</v>
      </c>
      <c r="U386" t="s">
        <v>15</v>
      </c>
      <c r="V386" s="1">
        <v>41730</v>
      </c>
      <c r="W386">
        <v>1945</v>
      </c>
      <c r="X386">
        <v>25659837687.27</v>
      </c>
      <c r="Y386">
        <v>1.62325884682552</v>
      </c>
    </row>
    <row r="387" spans="1:2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95.966744557283704</v>
      </c>
      <c r="U387" t="s">
        <v>12</v>
      </c>
      <c r="V387" s="1">
        <v>41760</v>
      </c>
      <c r="W387">
        <v>168113</v>
      </c>
      <c r="X387">
        <v>956139225086.04004</v>
      </c>
      <c r="Y387">
        <v>96.712625289075504</v>
      </c>
    </row>
    <row r="388" spans="1:2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66.226575915065396</v>
      </c>
      <c r="U388" t="s">
        <v>13</v>
      </c>
      <c r="V388" s="1">
        <v>41760</v>
      </c>
      <c r="W388">
        <v>1161</v>
      </c>
      <c r="X388">
        <v>20937825815.509998</v>
      </c>
      <c r="Y388">
        <v>99.939813298226298</v>
      </c>
    </row>
    <row r="389" spans="1:2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25.966123327484301</v>
      </c>
      <c r="U389" t="s">
        <v>14</v>
      </c>
      <c r="V389" s="1">
        <v>41760</v>
      </c>
      <c r="W389">
        <v>3259</v>
      </c>
      <c r="X389">
        <v>36636435212.349998</v>
      </c>
      <c r="Y389">
        <v>39.111403372874499</v>
      </c>
    </row>
    <row r="390" spans="1:2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4.6267390023333501</v>
      </c>
      <c r="U390" t="s">
        <v>15</v>
      </c>
      <c r="V390" s="1">
        <v>41760</v>
      </c>
      <c r="W390">
        <v>1977</v>
      </c>
      <c r="X390">
        <v>25645418956.459999</v>
      </c>
      <c r="Y390">
        <v>2.1858762598405299</v>
      </c>
    </row>
    <row r="391" spans="1:2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95.983406905461706</v>
      </c>
      <c r="U391" t="s">
        <v>12</v>
      </c>
      <c r="V391" s="1">
        <v>41791</v>
      </c>
      <c r="W391">
        <v>168001</v>
      </c>
      <c r="X391">
        <v>957828328319.79004</v>
      </c>
      <c r="Y391">
        <v>96.972864504413906</v>
      </c>
    </row>
    <row r="392" spans="1:2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66.793099752939199</v>
      </c>
      <c r="U392" t="s">
        <v>13</v>
      </c>
      <c r="V392" s="1">
        <v>41791</v>
      </c>
      <c r="W392">
        <v>1165</v>
      </c>
      <c r="X392">
        <v>21143780863.959999</v>
      </c>
      <c r="Y392">
        <v>99.942634486229096</v>
      </c>
    </row>
    <row r="393" spans="1:2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26.639756513747301</v>
      </c>
      <c r="U393" t="s">
        <v>14</v>
      </c>
      <c r="V393" s="1">
        <v>41791</v>
      </c>
      <c r="W393">
        <v>3302</v>
      </c>
      <c r="X393">
        <v>36550076567.910004</v>
      </c>
      <c r="Y393">
        <v>43.1663777570608</v>
      </c>
    </row>
    <row r="394" spans="1:2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4.7125626471805298</v>
      </c>
      <c r="U394" t="s">
        <v>15</v>
      </c>
      <c r="V394" s="1">
        <v>41791</v>
      </c>
      <c r="W394">
        <v>2006</v>
      </c>
      <c r="X394">
        <v>25616594460.360001</v>
      </c>
      <c r="Y394">
        <v>2.8589539487478701</v>
      </c>
    </row>
    <row r="395" spans="1:25" x14ac:dyDescent="0.25">
      <c r="A395" t="s">
        <v>6</v>
      </c>
      <c r="B395" s="1">
        <v>41760</v>
      </c>
      <c r="C395">
        <v>2078</v>
      </c>
      <c r="D395">
        <v>56845766696.43</v>
      </c>
      <c r="E395">
        <v>96.008475797051602</v>
      </c>
      <c r="U395" t="s">
        <v>12</v>
      </c>
      <c r="V395" s="1">
        <v>41821</v>
      </c>
      <c r="W395">
        <v>167932</v>
      </c>
      <c r="X395">
        <v>961134113453.43994</v>
      </c>
      <c r="Y395">
        <v>97.070316869230595</v>
      </c>
    </row>
    <row r="396" spans="1:2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67.369973739029504</v>
      </c>
      <c r="U396" t="s">
        <v>13</v>
      </c>
      <c r="V396" s="1">
        <v>41821</v>
      </c>
      <c r="W396">
        <v>1168</v>
      </c>
      <c r="X396">
        <v>21346094720.060001</v>
      </c>
      <c r="Y396">
        <v>99.939118260015803</v>
      </c>
    </row>
    <row r="397" spans="1:2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27.2972460753953</v>
      </c>
      <c r="U397" t="s">
        <v>14</v>
      </c>
      <c r="V397" s="1">
        <v>41821</v>
      </c>
      <c r="W397">
        <v>3342</v>
      </c>
      <c r="X397">
        <v>36429625540.220001</v>
      </c>
      <c r="Y397">
        <v>44.6127082672051</v>
      </c>
    </row>
    <row r="398" spans="1:2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4.8095068211444998</v>
      </c>
      <c r="U398" t="s">
        <v>15</v>
      </c>
      <c r="V398" s="1">
        <v>41821</v>
      </c>
      <c r="W398">
        <v>2033</v>
      </c>
      <c r="X398">
        <v>25567285813.18</v>
      </c>
      <c r="Y398">
        <v>3.3875861110530199</v>
      </c>
    </row>
    <row r="399" spans="1:2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96.039232794439201</v>
      </c>
      <c r="U399" t="s">
        <v>12</v>
      </c>
      <c r="V399" s="1">
        <v>41852</v>
      </c>
      <c r="W399">
        <v>167848</v>
      </c>
      <c r="X399">
        <v>963933164722.85999</v>
      </c>
      <c r="Y399">
        <v>97.162631168494798</v>
      </c>
    </row>
    <row r="400" spans="1:2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67.985172384694295</v>
      </c>
      <c r="U400" t="s">
        <v>13</v>
      </c>
      <c r="V400" s="1">
        <v>41852</v>
      </c>
      <c r="W400">
        <v>1172</v>
      </c>
      <c r="X400">
        <v>21598307257.459999</v>
      </c>
      <c r="Y400">
        <v>99.943900573180997</v>
      </c>
    </row>
    <row r="401" spans="1:2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27.6176508986504</v>
      </c>
      <c r="U401" t="s">
        <v>14</v>
      </c>
      <c r="V401" s="1">
        <v>41852</v>
      </c>
      <c r="W401">
        <v>3381</v>
      </c>
      <c r="X401">
        <v>36252840693.470001</v>
      </c>
      <c r="Y401">
        <v>46.067884378713998</v>
      </c>
    </row>
    <row r="402" spans="1:2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4.9404129600645899</v>
      </c>
      <c r="U402" t="s">
        <v>15</v>
      </c>
      <c r="V402" s="1">
        <v>41852</v>
      </c>
      <c r="W402">
        <v>2058</v>
      </c>
      <c r="X402">
        <v>25497572102.110001</v>
      </c>
      <c r="Y402">
        <v>3.9880318419038399</v>
      </c>
    </row>
    <row r="403" spans="1:2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96.0716417398734</v>
      </c>
      <c r="U403" t="s">
        <v>12</v>
      </c>
      <c r="V403" s="1">
        <v>41883</v>
      </c>
      <c r="W403">
        <v>167817</v>
      </c>
      <c r="X403">
        <v>971985480145.08997</v>
      </c>
      <c r="Y403">
        <v>97.260917064417598</v>
      </c>
    </row>
    <row r="404" spans="1:2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68.670091266985494</v>
      </c>
      <c r="U404" t="s">
        <v>13</v>
      </c>
      <c r="V404" s="1">
        <v>41883</v>
      </c>
      <c r="W404">
        <v>1181</v>
      </c>
      <c r="X404">
        <v>21876660696.240002</v>
      </c>
      <c r="Y404">
        <v>99.941857431079995</v>
      </c>
    </row>
    <row r="405" spans="1:2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27.9789480054968</v>
      </c>
      <c r="U405" t="s">
        <v>14</v>
      </c>
      <c r="V405" s="1">
        <v>41883</v>
      </c>
      <c r="W405">
        <v>3414</v>
      </c>
      <c r="X405">
        <v>36064929252.449997</v>
      </c>
      <c r="Y405">
        <v>47.462258877851703</v>
      </c>
    </row>
    <row r="406" spans="1:2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5.0499400009735202</v>
      </c>
      <c r="U406" t="s">
        <v>15</v>
      </c>
      <c r="V406" s="1">
        <v>41883</v>
      </c>
      <c r="W406">
        <v>2081</v>
      </c>
      <c r="X406">
        <v>25426007923.25</v>
      </c>
      <c r="Y406">
        <v>4.5839215338390904</v>
      </c>
    </row>
    <row r="407" spans="1:2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96.758596272387805</v>
      </c>
      <c r="U407" t="s">
        <v>12</v>
      </c>
      <c r="V407" s="1">
        <v>41913</v>
      </c>
      <c r="W407">
        <v>167776</v>
      </c>
      <c r="X407">
        <v>977830257289.84998</v>
      </c>
      <c r="Y407">
        <v>97.313079385708704</v>
      </c>
    </row>
    <row r="408" spans="1:25" x14ac:dyDescent="0.25">
      <c r="A408" t="s">
        <v>5</v>
      </c>
      <c r="B408" s="1">
        <v>41883</v>
      </c>
      <c r="C408">
        <v>299871</v>
      </c>
      <c r="D408">
        <v>1670343938037</v>
      </c>
      <c r="E408">
        <v>69.286293806997094</v>
      </c>
      <c r="U408" t="s">
        <v>13</v>
      </c>
      <c r="V408" s="1">
        <v>41913</v>
      </c>
      <c r="W408">
        <v>1195</v>
      </c>
      <c r="X408">
        <v>22145863654.419998</v>
      </c>
      <c r="Y408">
        <v>99.942685428887302</v>
      </c>
    </row>
    <row r="409" spans="1:25" x14ac:dyDescent="0.25">
      <c r="A409" t="s">
        <v>7</v>
      </c>
      <c r="B409" s="1">
        <v>41883</v>
      </c>
      <c r="C409">
        <v>1915</v>
      </c>
      <c r="D409">
        <v>48102232418.32</v>
      </c>
      <c r="E409">
        <v>28.301291529890602</v>
      </c>
      <c r="U409" t="s">
        <v>14</v>
      </c>
      <c r="V409" s="1">
        <v>41913</v>
      </c>
      <c r="W409">
        <v>3450</v>
      </c>
      <c r="X409">
        <v>35877576846.68</v>
      </c>
      <c r="Y409">
        <v>47.649433962779199</v>
      </c>
    </row>
    <row r="410" spans="1:2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5.19995240626029</v>
      </c>
      <c r="U410" t="s">
        <v>15</v>
      </c>
      <c r="V410" s="1">
        <v>41913</v>
      </c>
      <c r="W410">
        <v>2099</v>
      </c>
      <c r="X410">
        <v>25334386957.700001</v>
      </c>
      <c r="Y410">
        <v>4.87028834953722</v>
      </c>
    </row>
    <row r="411" spans="1:2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96.775324185716201</v>
      </c>
      <c r="U411" t="s">
        <v>12</v>
      </c>
      <c r="V411" s="1">
        <v>41944</v>
      </c>
      <c r="W411">
        <v>167725</v>
      </c>
      <c r="X411">
        <v>984220465218.06006</v>
      </c>
      <c r="Y411">
        <v>97.362800299053504</v>
      </c>
    </row>
    <row r="412" spans="1:2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69.969237534556797</v>
      </c>
      <c r="U412" t="s">
        <v>13</v>
      </c>
      <c r="V412" s="1">
        <v>41944</v>
      </c>
      <c r="W412">
        <v>1204</v>
      </c>
      <c r="X412">
        <v>22469954705.310001</v>
      </c>
      <c r="Y412">
        <v>99.943635626411293</v>
      </c>
    </row>
    <row r="413" spans="1:2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28.5370952458264</v>
      </c>
      <c r="U413" t="s">
        <v>14</v>
      </c>
      <c r="V413" s="1">
        <v>41944</v>
      </c>
      <c r="W413">
        <v>3481</v>
      </c>
      <c r="X413">
        <v>35684652551.809998</v>
      </c>
      <c r="Y413">
        <v>47.842325903900601</v>
      </c>
    </row>
    <row r="414" spans="1:2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5.2919441939809699</v>
      </c>
      <c r="U414" t="s">
        <v>15</v>
      </c>
      <c r="V414" s="1">
        <v>41944</v>
      </c>
      <c r="W414">
        <v>2118</v>
      </c>
      <c r="X414">
        <v>25256586100.18</v>
      </c>
      <c r="Y414">
        <v>5.1525948173989997</v>
      </c>
    </row>
    <row r="415" spans="1:2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96.807592945280106</v>
      </c>
      <c r="U415" t="s">
        <v>12</v>
      </c>
      <c r="V415" s="1">
        <v>41974</v>
      </c>
      <c r="W415">
        <v>167748</v>
      </c>
      <c r="X415">
        <v>988907164368.56995</v>
      </c>
      <c r="Y415">
        <v>97.4069476351807</v>
      </c>
    </row>
    <row r="416" spans="1:2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70.684647527310801</v>
      </c>
      <c r="U416" t="s">
        <v>13</v>
      </c>
      <c r="V416" s="1">
        <v>41974</v>
      </c>
      <c r="W416">
        <v>1215</v>
      </c>
      <c r="X416">
        <v>22783477587.259998</v>
      </c>
      <c r="Y416">
        <v>99.944510052426395</v>
      </c>
    </row>
    <row r="417" spans="1:2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28.8662006486576</v>
      </c>
      <c r="U417" t="s">
        <v>14</v>
      </c>
      <c r="V417" s="1">
        <v>41974</v>
      </c>
      <c r="W417">
        <v>3515</v>
      </c>
      <c r="X417">
        <v>35503193244.68</v>
      </c>
      <c r="Y417">
        <v>47.993599586719299</v>
      </c>
    </row>
    <row r="418" spans="1:2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5.41824001126332</v>
      </c>
      <c r="U418" t="s">
        <v>15</v>
      </c>
      <c r="V418" s="1">
        <v>41974</v>
      </c>
      <c r="W418">
        <v>2137</v>
      </c>
      <c r="X418">
        <v>25157857048.23</v>
      </c>
      <c r="Y418">
        <v>5.5083070402107799</v>
      </c>
    </row>
    <row r="419" spans="1:2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96.835577602651398</v>
      </c>
      <c r="U419" t="s">
        <v>12</v>
      </c>
      <c r="V419" s="1">
        <v>42005</v>
      </c>
      <c r="W419">
        <v>167726</v>
      </c>
      <c r="X419">
        <v>991733333950.96997</v>
      </c>
      <c r="Y419">
        <v>97.459263236000496</v>
      </c>
    </row>
    <row r="420" spans="1:2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71.328493353395004</v>
      </c>
      <c r="U420" t="s">
        <v>13</v>
      </c>
      <c r="V420" s="1">
        <v>42005</v>
      </c>
      <c r="W420">
        <v>1231</v>
      </c>
      <c r="X420">
        <v>23102138271.23</v>
      </c>
      <c r="Y420">
        <v>99.941149649370701</v>
      </c>
    </row>
    <row r="421" spans="1:25" x14ac:dyDescent="0.25">
      <c r="A421" t="s">
        <v>7</v>
      </c>
      <c r="B421" s="1">
        <v>41974</v>
      </c>
      <c r="C421">
        <v>1943</v>
      </c>
      <c r="D421">
        <v>47405248626.07</v>
      </c>
      <c r="E421">
        <v>29.071162486283299</v>
      </c>
      <c r="U421" t="s">
        <v>14</v>
      </c>
      <c r="V421" s="1">
        <v>42005</v>
      </c>
      <c r="W421">
        <v>3548</v>
      </c>
      <c r="X421">
        <v>35322618934.839996</v>
      </c>
      <c r="Y421">
        <v>48.894516318705897</v>
      </c>
    </row>
    <row r="422" spans="1:2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5.5587643467466004</v>
      </c>
      <c r="U422" t="s">
        <v>15</v>
      </c>
      <c r="V422" s="1">
        <v>42005</v>
      </c>
      <c r="W422">
        <v>2158</v>
      </c>
      <c r="X422">
        <v>25084444553.189999</v>
      </c>
      <c r="Y422">
        <v>6.1894198388010802</v>
      </c>
    </row>
    <row r="423" spans="1:25" x14ac:dyDescent="0.25">
      <c r="A423" t="s">
        <v>6</v>
      </c>
      <c r="B423" s="1">
        <v>41974</v>
      </c>
      <c r="C423">
        <v>2093</v>
      </c>
      <c r="D423">
        <v>55101250894.25</v>
      </c>
      <c r="E423">
        <v>96.867106185353094</v>
      </c>
      <c r="U423" t="s">
        <v>12</v>
      </c>
      <c r="V423" s="1">
        <v>42036</v>
      </c>
      <c r="W423">
        <v>167645</v>
      </c>
      <c r="X423">
        <v>993598228853.71997</v>
      </c>
      <c r="Y423">
        <v>97.508340981836298</v>
      </c>
    </row>
    <row r="424" spans="1:2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72.007485194197201</v>
      </c>
      <c r="U424" t="s">
        <v>13</v>
      </c>
      <c r="V424" s="1">
        <v>42036</v>
      </c>
      <c r="W424">
        <v>1242</v>
      </c>
      <c r="X424">
        <v>23306814326.459999</v>
      </c>
      <c r="Y424">
        <v>99.938936784661195</v>
      </c>
    </row>
    <row r="425" spans="1:2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29.3754811380884</v>
      </c>
      <c r="U425" t="s">
        <v>14</v>
      </c>
      <c r="V425" s="1">
        <v>42036</v>
      </c>
      <c r="W425">
        <v>3575</v>
      </c>
      <c r="X425">
        <v>35091353776.059998</v>
      </c>
      <c r="Y425">
        <v>49.659557977227202</v>
      </c>
    </row>
    <row r="426" spans="1:2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5.7175467114933696</v>
      </c>
      <c r="U426" t="s">
        <v>15</v>
      </c>
      <c r="V426" s="1">
        <v>42036</v>
      </c>
      <c r="W426">
        <v>2177</v>
      </c>
      <c r="X426">
        <v>24979796045.34</v>
      </c>
      <c r="Y426">
        <v>7.0214865963644604</v>
      </c>
    </row>
    <row r="427" spans="1:2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96.895661896547495</v>
      </c>
      <c r="U427" t="s">
        <v>12</v>
      </c>
      <c r="V427" s="1">
        <v>42064</v>
      </c>
      <c r="W427">
        <v>167745</v>
      </c>
      <c r="X427">
        <v>1002901485619.77</v>
      </c>
      <c r="Y427">
        <v>97.557577733267294</v>
      </c>
    </row>
    <row r="428" spans="1:2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72.555987703310095</v>
      </c>
      <c r="U428" t="s">
        <v>13</v>
      </c>
      <c r="V428" s="1">
        <v>42064</v>
      </c>
      <c r="W428">
        <v>1254</v>
      </c>
      <c r="X428">
        <v>23969868419.959999</v>
      </c>
      <c r="Y428">
        <v>99.940767324307501</v>
      </c>
    </row>
    <row r="429" spans="1:2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29.7020569426825</v>
      </c>
      <c r="U429" t="s">
        <v>14</v>
      </c>
      <c r="V429" s="1">
        <v>42064</v>
      </c>
      <c r="W429">
        <v>3608</v>
      </c>
      <c r="X429">
        <v>34926354082.489998</v>
      </c>
      <c r="Y429">
        <v>50.4808861933179</v>
      </c>
    </row>
    <row r="430" spans="1:2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5.8836791282393399</v>
      </c>
      <c r="U430" t="s">
        <v>15</v>
      </c>
      <c r="V430" s="1">
        <v>42064</v>
      </c>
      <c r="W430">
        <v>2196</v>
      </c>
      <c r="X430">
        <v>24896056870.400002</v>
      </c>
      <c r="Y430">
        <v>7.8255373872755696</v>
      </c>
    </row>
    <row r="431" spans="1:2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96.918391140360796</v>
      </c>
      <c r="U431" t="s">
        <v>12</v>
      </c>
      <c r="V431" s="1">
        <v>42095</v>
      </c>
      <c r="W431">
        <v>167791</v>
      </c>
      <c r="X431">
        <v>1003389102237.77</v>
      </c>
      <c r="Y431">
        <v>97.717907648615196</v>
      </c>
    </row>
    <row r="432" spans="1:2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73.045635510559904</v>
      </c>
      <c r="U432" t="s">
        <v>13</v>
      </c>
      <c r="V432" s="1">
        <v>42095</v>
      </c>
      <c r="W432">
        <v>1268</v>
      </c>
      <c r="X432">
        <v>24432622348.700001</v>
      </c>
      <c r="Y432">
        <v>99.9424740858408</v>
      </c>
    </row>
    <row r="433" spans="1:2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29.970287281750402</v>
      </c>
      <c r="U433" t="s">
        <v>14</v>
      </c>
      <c r="V433" s="1">
        <v>42095</v>
      </c>
      <c r="W433">
        <v>3636</v>
      </c>
      <c r="X433">
        <v>34721259988.510002</v>
      </c>
      <c r="Y433">
        <v>54.601328107803297</v>
      </c>
    </row>
    <row r="434" spans="1:2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6.0505836574912504</v>
      </c>
      <c r="U434" t="s">
        <v>15</v>
      </c>
      <c r="V434" s="1">
        <v>42095</v>
      </c>
      <c r="W434">
        <v>2218</v>
      </c>
      <c r="X434">
        <v>24790138675.59</v>
      </c>
      <c r="Y434">
        <v>9.3493921625588499</v>
      </c>
    </row>
    <row r="435" spans="1:2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96.951525130830504</v>
      </c>
      <c r="U435" t="s">
        <v>12</v>
      </c>
      <c r="V435" s="1">
        <v>42125</v>
      </c>
      <c r="W435">
        <v>167754</v>
      </c>
      <c r="X435">
        <v>1005967140686.14</v>
      </c>
      <c r="Y435">
        <v>97.839102148951895</v>
      </c>
    </row>
    <row r="436" spans="1:2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73.616152819916806</v>
      </c>
      <c r="U436" t="s">
        <v>13</v>
      </c>
      <c r="V436" s="1">
        <v>42125</v>
      </c>
      <c r="W436">
        <v>1281</v>
      </c>
      <c r="X436">
        <v>24516848923.099998</v>
      </c>
      <c r="Y436">
        <v>99.940329210014994</v>
      </c>
    </row>
    <row r="437" spans="1:2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30.4748051534262</v>
      </c>
      <c r="U437" t="s">
        <v>14</v>
      </c>
      <c r="V437" s="1">
        <v>42125</v>
      </c>
      <c r="W437">
        <v>3670</v>
      </c>
      <c r="X437">
        <v>34432613377.599998</v>
      </c>
      <c r="Y437">
        <v>58.398873141377003</v>
      </c>
    </row>
    <row r="438" spans="1:2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6.2931213628845004</v>
      </c>
      <c r="U438" t="s">
        <v>15</v>
      </c>
      <c r="V438" s="1">
        <v>42125</v>
      </c>
      <c r="W438">
        <v>2238</v>
      </c>
      <c r="X438">
        <v>24665061611.119999</v>
      </c>
      <c r="Y438">
        <v>11.0462726180141</v>
      </c>
    </row>
    <row r="439" spans="1:2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97.000430103227302</v>
      </c>
      <c r="U439" t="s">
        <v>12</v>
      </c>
      <c r="V439" s="1">
        <v>42156</v>
      </c>
      <c r="W439">
        <v>167761</v>
      </c>
      <c r="X439">
        <v>1011353959842.98</v>
      </c>
      <c r="Y439">
        <v>97.949432118323799</v>
      </c>
    </row>
    <row r="440" spans="1:2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74.248964262480101</v>
      </c>
      <c r="U440" t="s">
        <v>13</v>
      </c>
      <c r="V440" s="1">
        <v>42156</v>
      </c>
      <c r="W440">
        <v>1295</v>
      </c>
      <c r="X440">
        <v>25168406921.459999</v>
      </c>
      <c r="Y440">
        <v>99.941896614051203</v>
      </c>
    </row>
    <row r="441" spans="1:2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30.8735998189116</v>
      </c>
      <c r="U441" t="s">
        <v>14</v>
      </c>
      <c r="V441" s="1">
        <v>42156</v>
      </c>
      <c r="W441">
        <v>3696</v>
      </c>
      <c r="X441">
        <v>34121910893.049999</v>
      </c>
      <c r="Y441">
        <v>61.952523366849199</v>
      </c>
    </row>
    <row r="442" spans="1:2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6.5700054838579396</v>
      </c>
      <c r="U442" t="s">
        <v>15</v>
      </c>
      <c r="V442" s="1">
        <v>42156</v>
      </c>
      <c r="W442">
        <v>2253</v>
      </c>
      <c r="X442">
        <v>24529470414.07</v>
      </c>
      <c r="Y442">
        <v>13.0491460854591</v>
      </c>
    </row>
    <row r="443" spans="1:25" x14ac:dyDescent="0.25">
      <c r="A443" t="s">
        <v>6</v>
      </c>
      <c r="B443" s="1">
        <v>42125</v>
      </c>
      <c r="C443">
        <v>2130</v>
      </c>
      <c r="D443">
        <v>53334300236</v>
      </c>
      <c r="E443">
        <v>97.045293686170595</v>
      </c>
      <c r="U443" t="s">
        <v>12</v>
      </c>
      <c r="V443" s="1">
        <v>42186</v>
      </c>
      <c r="W443">
        <v>167798</v>
      </c>
      <c r="X443">
        <v>1019562376098.83</v>
      </c>
      <c r="Y443">
        <v>98.012457331367401</v>
      </c>
    </row>
    <row r="444" spans="1:2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74.888798378427694</v>
      </c>
      <c r="U444" t="s">
        <v>13</v>
      </c>
      <c r="V444" s="1">
        <v>42186</v>
      </c>
      <c r="W444">
        <v>1310</v>
      </c>
      <c r="X444">
        <v>25818891940.32</v>
      </c>
      <c r="Y444">
        <v>99.941468167959599</v>
      </c>
    </row>
    <row r="445" spans="1:2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31.208473277370299</v>
      </c>
      <c r="U445" t="s">
        <v>14</v>
      </c>
      <c r="V445" s="1">
        <v>42186</v>
      </c>
      <c r="W445">
        <v>3719</v>
      </c>
      <c r="X445">
        <v>33796473274.419998</v>
      </c>
      <c r="Y445">
        <v>63.173530995505203</v>
      </c>
    </row>
    <row r="446" spans="1:2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6.8217150975549403</v>
      </c>
      <c r="U446" t="s">
        <v>15</v>
      </c>
      <c r="V446" s="1">
        <v>42186</v>
      </c>
      <c r="W446">
        <v>2270</v>
      </c>
      <c r="X446">
        <v>24378497038.580002</v>
      </c>
      <c r="Y446">
        <v>14.353407428304999</v>
      </c>
    </row>
    <row r="447" spans="1:2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97.088880914664003</v>
      </c>
      <c r="U447" t="s">
        <v>12</v>
      </c>
      <c r="V447" s="1">
        <v>42217</v>
      </c>
      <c r="W447">
        <v>167714</v>
      </c>
      <c r="X447">
        <v>1026217511319.16</v>
      </c>
      <c r="Y447">
        <v>98.069886492152705</v>
      </c>
    </row>
    <row r="448" spans="1:2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75.490144388644794</v>
      </c>
      <c r="U448" t="s">
        <v>13</v>
      </c>
      <c r="V448" s="1">
        <v>42217</v>
      </c>
      <c r="W448">
        <v>1325</v>
      </c>
      <c r="X448">
        <v>26605889107.439999</v>
      </c>
      <c r="Y448">
        <v>99.941289604496902</v>
      </c>
    </row>
    <row r="449" spans="1:2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31.385451516979199</v>
      </c>
      <c r="U449" t="s">
        <v>14</v>
      </c>
      <c r="V449" s="1">
        <v>42217</v>
      </c>
      <c r="W449">
        <v>3743</v>
      </c>
      <c r="X449">
        <v>33433534762.73</v>
      </c>
      <c r="Y449">
        <v>64.329696629020802</v>
      </c>
    </row>
    <row r="450" spans="1:2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7.0030837089418903</v>
      </c>
      <c r="U450" t="s">
        <v>15</v>
      </c>
      <c r="V450" s="1">
        <v>42217</v>
      </c>
      <c r="W450">
        <v>2283</v>
      </c>
      <c r="X450">
        <v>24214652965.389999</v>
      </c>
      <c r="Y450">
        <v>15.733803883853399</v>
      </c>
    </row>
    <row r="451" spans="1:2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97.163753131580904</v>
      </c>
      <c r="U451" t="s">
        <v>12</v>
      </c>
      <c r="V451" s="1">
        <v>42248</v>
      </c>
      <c r="W451">
        <v>167792</v>
      </c>
      <c r="X451">
        <v>1030442115796.87</v>
      </c>
      <c r="Y451">
        <v>98.116112407945494</v>
      </c>
    </row>
    <row r="452" spans="1:2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76.145670945880596</v>
      </c>
      <c r="U452" t="s">
        <v>13</v>
      </c>
      <c r="V452" s="1">
        <v>42248</v>
      </c>
      <c r="W452">
        <v>1343</v>
      </c>
      <c r="X452">
        <v>27200307893.240002</v>
      </c>
      <c r="Y452">
        <v>99.935607108064502</v>
      </c>
    </row>
    <row r="453" spans="1:2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31.583205587285399</v>
      </c>
      <c r="U453" t="s">
        <v>14</v>
      </c>
      <c r="V453" s="1">
        <v>42248</v>
      </c>
      <c r="W453">
        <v>3765</v>
      </c>
      <c r="X453">
        <v>33062256579.619999</v>
      </c>
      <c r="Y453">
        <v>65.450862454607602</v>
      </c>
    </row>
    <row r="454" spans="1:2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7.2036185389848404</v>
      </c>
      <c r="U454" t="s">
        <v>15</v>
      </c>
      <c r="V454" s="1">
        <v>42248</v>
      </c>
      <c r="W454">
        <v>2300</v>
      </c>
      <c r="X454">
        <v>24053767752.169998</v>
      </c>
      <c r="Y454">
        <v>17.133098658146402</v>
      </c>
    </row>
    <row r="455" spans="1:25" x14ac:dyDescent="0.25">
      <c r="A455" t="s">
        <v>6</v>
      </c>
      <c r="B455" s="1">
        <v>42217</v>
      </c>
      <c r="C455">
        <v>2149</v>
      </c>
      <c r="D455">
        <v>52795398936.43</v>
      </c>
      <c r="E455">
        <v>97.230845896412404</v>
      </c>
      <c r="U455" t="s">
        <v>12</v>
      </c>
      <c r="V455" s="1">
        <v>42278</v>
      </c>
      <c r="W455">
        <v>167839</v>
      </c>
      <c r="X455">
        <v>1038047281338.8101</v>
      </c>
      <c r="Y455">
        <v>98.136100837653004</v>
      </c>
    </row>
    <row r="456" spans="1:2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76.694797636807607</v>
      </c>
      <c r="U456" t="s">
        <v>13</v>
      </c>
      <c r="V456" s="1">
        <v>42278</v>
      </c>
      <c r="W456">
        <v>1349</v>
      </c>
      <c r="X456">
        <v>27438877892.049999</v>
      </c>
      <c r="Y456">
        <v>99.8948440968786</v>
      </c>
    </row>
    <row r="457" spans="1:2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31.804533067467901</v>
      </c>
      <c r="U457" t="s">
        <v>14</v>
      </c>
      <c r="V457" s="1">
        <v>42278</v>
      </c>
      <c r="W457">
        <v>3785</v>
      </c>
      <c r="X457">
        <v>32745329977.57</v>
      </c>
      <c r="Y457">
        <v>65.461812320447507</v>
      </c>
    </row>
    <row r="458" spans="1:2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7.3796693653164498</v>
      </c>
      <c r="U458" t="s">
        <v>15</v>
      </c>
      <c r="V458" s="1">
        <v>42278</v>
      </c>
      <c r="W458">
        <v>2317</v>
      </c>
      <c r="X458">
        <v>23899278644.869999</v>
      </c>
      <c r="Y458">
        <v>17.968544305716101</v>
      </c>
    </row>
    <row r="459" spans="1:2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97.386401204147603</v>
      </c>
      <c r="U459" t="s">
        <v>12</v>
      </c>
      <c r="V459" s="1">
        <v>42309</v>
      </c>
      <c r="W459">
        <v>167892</v>
      </c>
      <c r="X459">
        <v>1044720986839.0699</v>
      </c>
      <c r="Y459">
        <v>98.148635600370397</v>
      </c>
    </row>
    <row r="460" spans="1:2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77.286756458319601</v>
      </c>
      <c r="U460" t="s">
        <v>13</v>
      </c>
      <c r="V460" s="1">
        <v>42309</v>
      </c>
      <c r="W460">
        <v>1359</v>
      </c>
      <c r="X460">
        <v>27643915578</v>
      </c>
      <c r="Y460">
        <v>99.821272186470793</v>
      </c>
    </row>
    <row r="461" spans="1:2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31.9799320305832</v>
      </c>
      <c r="U461" t="s">
        <v>14</v>
      </c>
      <c r="V461" s="1">
        <v>42309</v>
      </c>
      <c r="W461">
        <v>3805</v>
      </c>
      <c r="X461">
        <v>32422189268.450001</v>
      </c>
      <c r="Y461">
        <v>65.429581640332003</v>
      </c>
    </row>
    <row r="462" spans="1:2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7.5459953674298301</v>
      </c>
      <c r="U462" t="s">
        <v>15</v>
      </c>
      <c r="V462" s="1">
        <v>42309</v>
      </c>
      <c r="W462">
        <v>2330</v>
      </c>
      <c r="X462">
        <v>23731834948.119999</v>
      </c>
      <c r="Y462">
        <v>18.802167529158101</v>
      </c>
    </row>
    <row r="463" spans="1:2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97.420328810181701</v>
      </c>
      <c r="U463" t="s">
        <v>12</v>
      </c>
      <c r="V463" s="1">
        <v>42339</v>
      </c>
      <c r="W463">
        <v>167821</v>
      </c>
      <c r="X463">
        <v>1048282599235.3199</v>
      </c>
      <c r="Y463">
        <v>98.155106018828604</v>
      </c>
    </row>
    <row r="464" spans="1:2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77.809977180303306</v>
      </c>
      <c r="U464" t="s">
        <v>13</v>
      </c>
      <c r="V464" s="1">
        <v>42339</v>
      </c>
      <c r="W464">
        <v>1370</v>
      </c>
      <c r="X464">
        <v>27590487841.060001</v>
      </c>
      <c r="Y464">
        <v>99.795877925316304</v>
      </c>
    </row>
    <row r="465" spans="1:2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32.215801828629402</v>
      </c>
      <c r="U465" t="s">
        <v>14</v>
      </c>
      <c r="V465" s="1">
        <v>42339</v>
      </c>
      <c r="W465">
        <v>3826</v>
      </c>
      <c r="X465">
        <v>32128512653.16</v>
      </c>
      <c r="Y465">
        <v>65.411839488882705</v>
      </c>
    </row>
    <row r="466" spans="1:25" x14ac:dyDescent="0.25">
      <c r="A466" t="s">
        <v>8</v>
      </c>
      <c r="B466" s="1">
        <v>42309</v>
      </c>
      <c r="C466">
        <v>1328</v>
      </c>
      <c r="D466">
        <v>36789617512.57</v>
      </c>
      <c r="E466">
        <v>7.7309701604460299</v>
      </c>
      <c r="U466" t="s">
        <v>15</v>
      </c>
      <c r="V466" s="1">
        <v>42339</v>
      </c>
      <c r="W466">
        <v>2346</v>
      </c>
      <c r="X466">
        <v>23575272898.580002</v>
      </c>
      <c r="Y466">
        <v>19.606830982218</v>
      </c>
    </row>
    <row r="467" spans="1:25" x14ac:dyDescent="0.25">
      <c r="A467" t="s">
        <v>6</v>
      </c>
      <c r="B467" s="1">
        <v>42309</v>
      </c>
      <c r="C467">
        <v>2186</v>
      </c>
      <c r="D467">
        <v>52506624208.32</v>
      </c>
      <c r="E467">
        <v>97.447588496298707</v>
      </c>
      <c r="U467" t="s">
        <v>12</v>
      </c>
      <c r="V467" s="1">
        <v>42370</v>
      </c>
      <c r="W467">
        <v>167786</v>
      </c>
      <c r="X467">
        <v>1053135408462.49</v>
      </c>
      <c r="Y467">
        <v>98.190860334399801</v>
      </c>
    </row>
    <row r="468" spans="1:2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78.223861507295794</v>
      </c>
      <c r="U468" t="s">
        <v>13</v>
      </c>
      <c r="V468" s="1">
        <v>42370</v>
      </c>
      <c r="W468">
        <v>1381</v>
      </c>
      <c r="X468">
        <v>27568864683.950001</v>
      </c>
      <c r="Y468">
        <v>99.817967180143697</v>
      </c>
    </row>
    <row r="469" spans="1:2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32.403109277534099</v>
      </c>
      <c r="U469" t="s">
        <v>14</v>
      </c>
      <c r="V469" s="1">
        <v>42370</v>
      </c>
      <c r="W469">
        <v>3844</v>
      </c>
      <c r="X469">
        <v>31855645561.09</v>
      </c>
      <c r="Y469">
        <v>66.1000692558098</v>
      </c>
    </row>
    <row r="470" spans="1:25" x14ac:dyDescent="0.25">
      <c r="A470" t="s">
        <v>8</v>
      </c>
      <c r="B470" s="1">
        <v>42339</v>
      </c>
      <c r="C470">
        <v>1332</v>
      </c>
      <c r="D470">
        <v>36550588239.07</v>
      </c>
      <c r="E470">
        <v>7.91770065574757</v>
      </c>
      <c r="U470" t="s">
        <v>15</v>
      </c>
      <c r="V470" s="1">
        <v>42370</v>
      </c>
      <c r="W470">
        <v>2356</v>
      </c>
      <c r="X470">
        <v>23422747348.59</v>
      </c>
      <c r="Y470">
        <v>20.8688722407462</v>
      </c>
    </row>
    <row r="471" spans="1:2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97.481550674402698</v>
      </c>
      <c r="U471" t="s">
        <v>12</v>
      </c>
      <c r="V471" s="1">
        <v>42401</v>
      </c>
      <c r="W471">
        <v>167674</v>
      </c>
      <c r="X471">
        <v>1056501759559.97</v>
      </c>
      <c r="Y471">
        <v>98.217212301027104</v>
      </c>
    </row>
    <row r="472" spans="1:2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78.698575103590102</v>
      </c>
      <c r="U472" t="s">
        <v>13</v>
      </c>
      <c r="V472" s="1">
        <v>42401</v>
      </c>
      <c r="W472">
        <v>1390</v>
      </c>
      <c r="X472">
        <v>27574289474.23</v>
      </c>
      <c r="Y472">
        <v>99.804571752803398</v>
      </c>
    </row>
    <row r="473" spans="1:2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32.614643425506699</v>
      </c>
      <c r="U473" t="s">
        <v>14</v>
      </c>
      <c r="V473" s="1">
        <v>42401</v>
      </c>
      <c r="W473">
        <v>3860</v>
      </c>
      <c r="X473">
        <v>31546738579.189999</v>
      </c>
      <c r="Y473">
        <v>66.727957703787098</v>
      </c>
    </row>
    <row r="474" spans="1:2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8.1026686798636796</v>
      </c>
      <c r="U474" t="s">
        <v>15</v>
      </c>
      <c r="V474" s="1">
        <v>42401</v>
      </c>
      <c r="W474">
        <v>2368</v>
      </c>
      <c r="X474">
        <v>23264052426.27</v>
      </c>
      <c r="Y474">
        <v>22.254622291399102</v>
      </c>
    </row>
    <row r="475" spans="1:25" x14ac:dyDescent="0.25">
      <c r="A475" t="s">
        <v>6</v>
      </c>
      <c r="B475" s="1">
        <v>42370</v>
      </c>
      <c r="C475">
        <v>2212</v>
      </c>
      <c r="D475">
        <v>52451800097.93</v>
      </c>
      <c r="E475">
        <v>97.532202517764304</v>
      </c>
      <c r="U475" t="s">
        <v>12</v>
      </c>
      <c r="V475" s="1">
        <v>42430</v>
      </c>
      <c r="W475">
        <v>167654</v>
      </c>
      <c r="X475">
        <v>1061253383982.33</v>
      </c>
      <c r="Y475">
        <v>98.238521837558693</v>
      </c>
    </row>
    <row r="476" spans="1:2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79.139613750983898</v>
      </c>
      <c r="U476" t="s">
        <v>13</v>
      </c>
      <c r="V476" s="1">
        <v>42430</v>
      </c>
      <c r="W476">
        <v>1399</v>
      </c>
      <c r="X476">
        <v>27584171144.939999</v>
      </c>
      <c r="Y476">
        <v>99.776717183512204</v>
      </c>
    </row>
    <row r="477" spans="1:2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32.841514829619399</v>
      </c>
      <c r="U477" t="s">
        <v>14</v>
      </c>
      <c r="V477" s="1">
        <v>42430</v>
      </c>
      <c r="W477">
        <v>3880</v>
      </c>
      <c r="X477">
        <v>31316354843.400002</v>
      </c>
      <c r="Y477">
        <v>67.346561007210198</v>
      </c>
    </row>
    <row r="478" spans="1:2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8.3498058002966697</v>
      </c>
      <c r="U478" t="s">
        <v>15</v>
      </c>
      <c r="V478" s="1">
        <v>42430</v>
      </c>
      <c r="W478">
        <v>2380</v>
      </c>
      <c r="X478">
        <v>23130415817.330002</v>
      </c>
      <c r="Y478">
        <v>23.5353059972682</v>
      </c>
    </row>
    <row r="479" spans="1:2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97.563207494764796</v>
      </c>
      <c r="U479" t="s">
        <v>12</v>
      </c>
      <c r="V479" s="1">
        <v>42461</v>
      </c>
      <c r="W479">
        <v>167751</v>
      </c>
      <c r="X479">
        <v>1067579655967.17</v>
      </c>
      <c r="Y479">
        <v>98.339157457570707</v>
      </c>
    </row>
    <row r="480" spans="1:2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79.537146474007699</v>
      </c>
      <c r="U480" t="s">
        <v>13</v>
      </c>
      <c r="V480" s="1">
        <v>42461</v>
      </c>
      <c r="W480">
        <v>1410</v>
      </c>
      <c r="X480">
        <v>27476452096.830002</v>
      </c>
      <c r="Y480">
        <v>99.918691346786801</v>
      </c>
    </row>
    <row r="481" spans="1:2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33.102948847218798</v>
      </c>
      <c r="U481" t="s">
        <v>14</v>
      </c>
      <c r="V481" s="1">
        <v>42461</v>
      </c>
      <c r="W481">
        <v>3899</v>
      </c>
      <c r="X481">
        <v>31082070181.849998</v>
      </c>
      <c r="Y481">
        <v>70.150595470593203</v>
      </c>
    </row>
    <row r="482" spans="1:2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8.5581032266119106</v>
      </c>
      <c r="U482" t="s">
        <v>15</v>
      </c>
      <c r="V482" s="1">
        <v>42461</v>
      </c>
      <c r="W482">
        <v>2389</v>
      </c>
      <c r="X482">
        <v>22980966819.959999</v>
      </c>
      <c r="Y482">
        <v>25.778037988561799</v>
      </c>
    </row>
    <row r="483" spans="1:2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97.578582653695506</v>
      </c>
      <c r="U483" t="s">
        <v>12</v>
      </c>
      <c r="V483" s="1">
        <v>42491</v>
      </c>
      <c r="W483">
        <v>167864</v>
      </c>
      <c r="X483">
        <v>1070487060722.62</v>
      </c>
      <c r="Y483">
        <v>98.408884157195104</v>
      </c>
    </row>
    <row r="484" spans="1:2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79.976392216874601</v>
      </c>
      <c r="U484" t="s">
        <v>13</v>
      </c>
      <c r="V484" s="1">
        <v>42491</v>
      </c>
      <c r="W484">
        <v>1421</v>
      </c>
      <c r="X484">
        <v>27342767829.869999</v>
      </c>
      <c r="Y484">
        <v>99.883180525438306</v>
      </c>
    </row>
    <row r="485" spans="1:2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33.2855459903991</v>
      </c>
      <c r="U485" t="s">
        <v>14</v>
      </c>
      <c r="V485" s="1">
        <v>42491</v>
      </c>
      <c r="W485">
        <v>3913</v>
      </c>
      <c r="X485">
        <v>30768767902.790001</v>
      </c>
      <c r="Y485">
        <v>72.833920010226905</v>
      </c>
    </row>
    <row r="486" spans="1:2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8.8172442769691806</v>
      </c>
      <c r="U486" t="s">
        <v>15</v>
      </c>
      <c r="V486" s="1">
        <v>42491</v>
      </c>
      <c r="W486">
        <v>2400</v>
      </c>
      <c r="X486">
        <v>22785497201.860001</v>
      </c>
      <c r="Y486">
        <v>27.975537947347199</v>
      </c>
    </row>
    <row r="487" spans="1:25" x14ac:dyDescent="0.25">
      <c r="A487" t="s">
        <v>6</v>
      </c>
      <c r="B487" s="1">
        <v>42461</v>
      </c>
      <c r="C487">
        <v>2236</v>
      </c>
      <c r="D487">
        <v>52408156377.43</v>
      </c>
      <c r="E487">
        <v>97.534655404274204</v>
      </c>
      <c r="U487" t="s">
        <v>12</v>
      </c>
      <c r="V487" s="1">
        <v>42522</v>
      </c>
      <c r="W487">
        <v>167910</v>
      </c>
      <c r="X487">
        <v>1077001935757.76</v>
      </c>
      <c r="Y487">
        <v>98.466552861347594</v>
      </c>
    </row>
    <row r="488" spans="1:2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80.4145498233582</v>
      </c>
      <c r="U488" t="s">
        <v>13</v>
      </c>
      <c r="V488" s="1">
        <v>42522</v>
      </c>
      <c r="W488">
        <v>1438</v>
      </c>
      <c r="X488">
        <v>27468235077.57</v>
      </c>
      <c r="Y488">
        <v>99.7678080483402</v>
      </c>
    </row>
    <row r="489" spans="1:2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33.486199421027997</v>
      </c>
      <c r="U489" t="s">
        <v>14</v>
      </c>
      <c r="V489" s="1">
        <v>42522</v>
      </c>
      <c r="W489">
        <v>3929</v>
      </c>
      <c r="X489">
        <v>30396299066.889999</v>
      </c>
      <c r="Y489">
        <v>75.240820536184401</v>
      </c>
    </row>
    <row r="490" spans="1:25" x14ac:dyDescent="0.25">
      <c r="A490" t="s">
        <v>8</v>
      </c>
      <c r="B490" s="1">
        <v>42491</v>
      </c>
      <c r="C490">
        <v>1361</v>
      </c>
      <c r="D490">
        <v>35410457427.75</v>
      </c>
      <c r="E490">
        <v>9.06543635263853</v>
      </c>
      <c r="U490" t="s">
        <v>15</v>
      </c>
      <c r="V490" s="1">
        <v>42522</v>
      </c>
      <c r="W490">
        <v>2409</v>
      </c>
      <c r="X490">
        <v>22590823732.130001</v>
      </c>
      <c r="Y490">
        <v>30.101379995639299</v>
      </c>
    </row>
    <row r="491" spans="1:2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97.467223502482895</v>
      </c>
      <c r="U491" t="s">
        <v>12</v>
      </c>
      <c r="V491" s="1">
        <v>42552</v>
      </c>
      <c r="W491">
        <v>167921</v>
      </c>
      <c r="X491">
        <v>1083261344979.64</v>
      </c>
      <c r="Y491">
        <v>98.478279535481093</v>
      </c>
    </row>
    <row r="492" spans="1:2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80.844711587004198</v>
      </c>
      <c r="U492" t="s">
        <v>13</v>
      </c>
      <c r="V492" s="1">
        <v>42552</v>
      </c>
      <c r="W492">
        <v>1451</v>
      </c>
      <c r="X492">
        <v>27606640319.299999</v>
      </c>
      <c r="Y492">
        <v>99.595158089862494</v>
      </c>
    </row>
    <row r="493" spans="1:25" x14ac:dyDescent="0.25">
      <c r="A493" t="s">
        <v>7</v>
      </c>
      <c r="B493" s="1">
        <v>42522</v>
      </c>
      <c r="C493">
        <v>2130</v>
      </c>
      <c r="D493">
        <v>41147928671</v>
      </c>
      <c r="E493">
        <v>33.774570343896301</v>
      </c>
      <c r="U493" t="s">
        <v>14</v>
      </c>
      <c r="V493" s="1">
        <v>42552</v>
      </c>
      <c r="W493">
        <v>3942</v>
      </c>
      <c r="X493">
        <v>30003341063.389999</v>
      </c>
      <c r="Y493">
        <v>75.330644213084</v>
      </c>
    </row>
    <row r="494" spans="1:2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9.3104718624542802</v>
      </c>
      <c r="U494" t="s">
        <v>15</v>
      </c>
      <c r="V494" s="1">
        <v>42552</v>
      </c>
      <c r="W494">
        <v>2418</v>
      </c>
      <c r="X494">
        <v>22369714888.02</v>
      </c>
      <c r="Y494">
        <v>30.328754874361</v>
      </c>
    </row>
    <row r="495" spans="1:2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97.351804466586898</v>
      </c>
      <c r="U495" t="s">
        <v>15</v>
      </c>
      <c r="V495" s="1">
        <v>42583</v>
      </c>
      <c r="W495">
        <v>2424</v>
      </c>
      <c r="X495">
        <v>22125367840.490002</v>
      </c>
      <c r="Y495">
        <v>30.543767940153799</v>
      </c>
    </row>
    <row r="496" spans="1:2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81.316631050407196</v>
      </c>
      <c r="U496" t="s">
        <v>13</v>
      </c>
      <c r="V496" s="1">
        <v>42583</v>
      </c>
      <c r="W496">
        <v>1457</v>
      </c>
      <c r="X496">
        <v>27900162682.830002</v>
      </c>
      <c r="Y496">
        <v>99.313414219797295</v>
      </c>
    </row>
    <row r="497" spans="1:2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33.946688090067703</v>
      </c>
      <c r="U497" t="s">
        <v>14</v>
      </c>
      <c r="V497" s="1">
        <v>42583</v>
      </c>
      <c r="W497">
        <v>3956</v>
      </c>
      <c r="X497">
        <v>29549554388.610001</v>
      </c>
      <c r="Y497">
        <v>75.418484304013504</v>
      </c>
    </row>
    <row r="498" spans="1:2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9.4538048744505598</v>
      </c>
      <c r="U498" t="s">
        <v>12</v>
      </c>
      <c r="V498" s="1">
        <v>42583</v>
      </c>
      <c r="W498">
        <v>168004</v>
      </c>
      <c r="X498">
        <v>1092091052362.51</v>
      </c>
      <c r="Y498">
        <v>98.488463016285905</v>
      </c>
    </row>
    <row r="499" spans="1:2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97.240238976823505</v>
      </c>
      <c r="U499" t="s">
        <v>13</v>
      </c>
      <c r="V499" s="1">
        <v>42614</v>
      </c>
      <c r="W499">
        <v>1466</v>
      </c>
      <c r="X499">
        <v>27971451412.84</v>
      </c>
      <c r="Y499">
        <v>99.112596639668695</v>
      </c>
    </row>
    <row r="500" spans="1:25" x14ac:dyDescent="0.25">
      <c r="A500" t="s">
        <v>6</v>
      </c>
      <c r="B500" s="1">
        <v>42583</v>
      </c>
      <c r="C500">
        <v>2278</v>
      </c>
      <c r="D500">
        <v>54334948049.68</v>
      </c>
      <c r="E500">
        <v>97.157399208931395</v>
      </c>
      <c r="U500" t="s">
        <v>15</v>
      </c>
      <c r="V500" s="1">
        <v>42614</v>
      </c>
      <c r="W500">
        <v>2433</v>
      </c>
      <c r="X500">
        <v>21895878252.380001</v>
      </c>
      <c r="Y500">
        <v>30.737524756742602</v>
      </c>
    </row>
    <row r="501" spans="1:2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34.108510747769202</v>
      </c>
      <c r="U501" t="s">
        <v>12</v>
      </c>
      <c r="V501" s="1">
        <v>42614</v>
      </c>
      <c r="W501">
        <v>168203</v>
      </c>
      <c r="X501">
        <v>1104025679684.96</v>
      </c>
      <c r="Y501">
        <v>98.500416951640702</v>
      </c>
    </row>
    <row r="502" spans="1:2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9.5910145493460401</v>
      </c>
      <c r="U502" t="s">
        <v>14</v>
      </c>
      <c r="V502" s="1">
        <v>42614</v>
      </c>
      <c r="W502">
        <v>3969</v>
      </c>
      <c r="X502">
        <v>29142169991.91</v>
      </c>
      <c r="Y502">
        <v>75.535747602466898</v>
      </c>
    </row>
    <row r="503" spans="1:2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81.746914203326497</v>
      </c>
      <c r="U503" t="s">
        <v>12</v>
      </c>
      <c r="V503" s="1">
        <v>42644</v>
      </c>
      <c r="W503">
        <v>168323</v>
      </c>
      <c r="X503">
        <v>1112361826284.4299</v>
      </c>
      <c r="Y503">
        <v>98.5077209696301</v>
      </c>
    </row>
    <row r="504" spans="1:2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34.271596886114601</v>
      </c>
      <c r="U504" t="s">
        <v>13</v>
      </c>
      <c r="V504" s="1">
        <v>42644</v>
      </c>
      <c r="W504">
        <v>1480</v>
      </c>
      <c r="X504">
        <v>28869997063.16</v>
      </c>
      <c r="Y504">
        <v>98.656892507132198</v>
      </c>
    </row>
    <row r="505" spans="1:2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96.961159338553799</v>
      </c>
      <c r="U505" t="s">
        <v>15</v>
      </c>
      <c r="V505" s="1">
        <v>42644</v>
      </c>
      <c r="W505">
        <v>2450</v>
      </c>
      <c r="X505">
        <v>21624654083.630001</v>
      </c>
      <c r="Y505">
        <v>30.897751417085299</v>
      </c>
    </row>
    <row r="506" spans="1:2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82.263256847061498</v>
      </c>
      <c r="U506" t="s">
        <v>14</v>
      </c>
      <c r="V506" s="1">
        <v>42644</v>
      </c>
      <c r="W506">
        <v>4021</v>
      </c>
      <c r="X506">
        <v>28689194494.099998</v>
      </c>
      <c r="Y506">
        <v>75.577791672125798</v>
      </c>
    </row>
    <row r="507" spans="1:2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9.7493767200397006</v>
      </c>
    </row>
    <row r="508" spans="1:2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82.742465754093104</v>
      </c>
    </row>
    <row r="509" spans="1:2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34.506460992277802</v>
      </c>
    </row>
    <row r="510" spans="1:25" x14ac:dyDescent="0.25">
      <c r="A510" t="s">
        <v>6</v>
      </c>
      <c r="B510" s="1">
        <v>42644</v>
      </c>
      <c r="C510">
        <v>2303</v>
      </c>
      <c r="D510">
        <v>56641834722.18</v>
      </c>
      <c r="E510">
        <v>96.843677028821702</v>
      </c>
    </row>
    <row r="511" spans="1:25" x14ac:dyDescent="0.25">
      <c r="A511" t="s">
        <v>8</v>
      </c>
      <c r="B511" s="1">
        <v>42644</v>
      </c>
      <c r="C511">
        <v>1390</v>
      </c>
      <c r="D511">
        <v>33686513650.32</v>
      </c>
      <c r="E511">
        <v>9.9036505909670698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1"/>
  <sheetViews>
    <sheetView workbookViewId="0">
      <selection activeCell="P57" sqref="P57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V1" t="s">
        <v>5</v>
      </c>
      <c r="W1" t="s">
        <v>12</v>
      </c>
      <c r="X1" t="s">
        <v>19</v>
      </c>
    </row>
    <row r="2" spans="1:24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  <c r="U2" s="3">
        <v>34366</v>
      </c>
      <c r="V2" s="4">
        <v>100</v>
      </c>
      <c r="W2" s="4">
        <f>VLOOKUP(U2,'conventional_refi_elig-old'!AA:AB,2,0)</f>
        <v>99.042895214577996</v>
      </c>
      <c r="X2" s="4">
        <v>87.519490323604401</v>
      </c>
    </row>
    <row r="3" spans="1:24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18</v>
      </c>
      <c r="U3" s="3">
        <v>34394</v>
      </c>
      <c r="V3" s="4">
        <v>100</v>
      </c>
      <c r="W3" s="4">
        <f>VLOOKUP(U3,'conventional_refi_elig-old'!AA:AB,2,0)</f>
        <v>98.728419570533603</v>
      </c>
      <c r="X3" s="4">
        <v>87.536094738731293</v>
      </c>
    </row>
    <row r="4" spans="1:24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  <c r="U4" s="3">
        <v>34425</v>
      </c>
      <c r="V4" s="4">
        <v>100</v>
      </c>
      <c r="W4" s="4">
        <f>VLOOKUP(U4,'conventional_refi_elig-old'!AA:AB,2,0)</f>
        <v>98.420927368044502</v>
      </c>
      <c r="X4" s="4">
        <v>87.4824601965081</v>
      </c>
    </row>
    <row r="5" spans="1:24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  <c r="U5" s="3">
        <v>34455</v>
      </c>
      <c r="V5" s="4">
        <v>100</v>
      </c>
      <c r="W5" s="4" t="e">
        <f>VLOOKUP(U5,'conventional_refi_elig-old'!AA:AB,2,0)</f>
        <v>#N/A</v>
      </c>
      <c r="X5" s="4">
        <v>87.493191771761204</v>
      </c>
    </row>
    <row r="6" spans="1:24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  <c r="U6" s="3">
        <v>34486</v>
      </c>
      <c r="V6" s="4">
        <v>100</v>
      </c>
      <c r="W6" s="4" t="e">
        <f>VLOOKUP(U6,'conventional_refi_elig-old'!AA:AB,2,0)</f>
        <v>#N/A</v>
      </c>
      <c r="X6" s="4">
        <v>87.523950553114801</v>
      </c>
    </row>
    <row r="7" spans="1:24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  <c r="U7" s="3">
        <v>34516</v>
      </c>
      <c r="V7" s="4">
        <v>100</v>
      </c>
      <c r="W7" s="4">
        <f>VLOOKUP(U7,'conventional_refi_elig-old'!AA:AB,2,0)</f>
        <v>97.681204158137106</v>
      </c>
      <c r="X7" s="4">
        <v>87.555959631317194</v>
      </c>
    </row>
    <row r="8" spans="1:24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  <c r="U8" s="3">
        <v>34547</v>
      </c>
      <c r="V8" s="4">
        <v>100</v>
      </c>
      <c r="W8" s="4">
        <f>VLOOKUP(U8,'conventional_refi_elig-old'!AA:AB,2,0)</f>
        <v>97.503899032269402</v>
      </c>
      <c r="X8" s="4">
        <v>87.584157139349799</v>
      </c>
    </row>
    <row r="9" spans="1:24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  <c r="U9" s="3">
        <v>34578</v>
      </c>
      <c r="V9" s="4">
        <v>100</v>
      </c>
      <c r="W9" s="4">
        <f>VLOOKUP(U9,'conventional_refi_elig-old'!AA:AB,2,0)</f>
        <v>97.356954680509801</v>
      </c>
      <c r="X9" s="4">
        <v>87.609210056630005</v>
      </c>
    </row>
    <row r="10" spans="1:24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  <c r="U10" s="3">
        <v>34608</v>
      </c>
      <c r="V10" s="4">
        <v>100</v>
      </c>
      <c r="W10" s="4">
        <f>VLOOKUP(U10,'conventional_refi_elig-old'!AA:AB,2,0)</f>
        <v>97.202262614290007</v>
      </c>
      <c r="X10" s="4">
        <v>87.640087377331199</v>
      </c>
    </row>
    <row r="11" spans="1:24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  <c r="U11" s="3">
        <v>34639</v>
      </c>
      <c r="V11" s="4">
        <v>100</v>
      </c>
      <c r="W11" s="4">
        <f>VLOOKUP(U11,'conventional_refi_elig-old'!AA:AB,2,0)</f>
        <v>97.077694471307694</v>
      </c>
      <c r="X11" s="4">
        <v>87.596137376755706</v>
      </c>
    </row>
    <row r="12" spans="1:24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  <c r="U12" s="3">
        <v>34669</v>
      </c>
      <c r="V12" s="4">
        <v>100</v>
      </c>
      <c r="W12" s="4">
        <f>VLOOKUP(U12,'conventional_refi_elig-old'!AA:AB,2,0)</f>
        <v>96.978984565132095</v>
      </c>
      <c r="X12" s="4">
        <v>87.621295681221795</v>
      </c>
    </row>
    <row r="13" spans="1:24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  <c r="U13" s="3">
        <v>34700</v>
      </c>
      <c r="V13" s="4">
        <v>100</v>
      </c>
      <c r="W13" s="4">
        <f>VLOOKUP(U13,'conventional_refi_elig-old'!AA:AB,2,0)</f>
        <v>96.901214384948005</v>
      </c>
      <c r="X13" s="4">
        <v>87.604003429191707</v>
      </c>
    </row>
    <row r="14" spans="1:24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  <c r="U14" s="3">
        <v>34731</v>
      </c>
      <c r="V14" s="4">
        <v>100</v>
      </c>
      <c r="W14" s="4">
        <f>VLOOKUP(U14,'conventional_refi_elig-old'!AA:AB,2,0)</f>
        <v>96.797930004529704</v>
      </c>
      <c r="X14" s="4">
        <v>87.597082921867596</v>
      </c>
    </row>
    <row r="15" spans="1:24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  <c r="U15" s="3">
        <v>34759</v>
      </c>
      <c r="V15" s="4">
        <v>100</v>
      </c>
      <c r="W15" s="4">
        <f>VLOOKUP(U15,'conventional_refi_elig-old'!AA:AB,2,0)</f>
        <v>96.704603715331203</v>
      </c>
      <c r="X15" s="4">
        <v>87.621204136702502</v>
      </c>
    </row>
    <row r="16" spans="1:24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  <c r="U16" s="3">
        <v>34790</v>
      </c>
      <c r="V16" s="4">
        <v>100</v>
      </c>
      <c r="W16" s="4">
        <f>VLOOKUP(U16,'conventional_refi_elig-old'!AA:AB,2,0)</f>
        <v>96.580893265796803</v>
      </c>
      <c r="X16" s="4">
        <v>87.634010044346397</v>
      </c>
    </row>
    <row r="17" spans="1:24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s="3">
        <v>34820</v>
      </c>
      <c r="V17" s="4">
        <v>100</v>
      </c>
      <c r="W17" s="4">
        <f>VLOOKUP(U17,'conventional_refi_elig-old'!AA:AB,2,0)</f>
        <v>96.415450831963796</v>
      </c>
      <c r="X17" s="4">
        <v>87.640007064010504</v>
      </c>
    </row>
    <row r="18" spans="1:24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  <c r="U18" s="3">
        <v>34851</v>
      </c>
      <c r="V18" s="4">
        <v>100</v>
      </c>
      <c r="W18" s="4">
        <f>VLOOKUP(U18,'conventional_refi_elig-old'!AA:AB,2,0)</f>
        <v>96.289993664180201</v>
      </c>
      <c r="X18" s="4">
        <v>87.677953306820697</v>
      </c>
    </row>
    <row r="19" spans="1:24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  <c r="U19" s="3">
        <v>34881</v>
      </c>
      <c r="V19" s="4">
        <v>100</v>
      </c>
      <c r="W19" s="4">
        <f>VLOOKUP(U19,'conventional_refi_elig-old'!AA:AB,2,0)</f>
        <v>96.140167177683495</v>
      </c>
      <c r="X19" s="4">
        <v>87.676236048205993</v>
      </c>
    </row>
    <row r="20" spans="1:24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  <c r="U20" s="3">
        <v>34912</v>
      </c>
      <c r="V20" s="4">
        <v>100</v>
      </c>
      <c r="W20" s="4">
        <f>VLOOKUP(U20,'conventional_refi_elig-old'!AA:AB,2,0)</f>
        <v>96.0699306058102</v>
      </c>
      <c r="X20" s="4">
        <v>87.689905495482506</v>
      </c>
    </row>
    <row r="21" spans="1:24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  <c r="U21" s="3">
        <v>34943</v>
      </c>
      <c r="V21" s="4">
        <v>100</v>
      </c>
      <c r="W21" s="4">
        <f>VLOOKUP(U21,'conventional_refi_elig-old'!AA:AB,2,0)</f>
        <v>95.970004992844295</v>
      </c>
      <c r="X21" s="4">
        <v>87.687611201367801</v>
      </c>
    </row>
    <row r="22" spans="1:24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  <c r="U22" s="3">
        <v>34973</v>
      </c>
      <c r="V22" s="4">
        <v>100</v>
      </c>
      <c r="W22" s="4">
        <f>VLOOKUP(U22,'conventional_refi_elig-old'!AA:AB,2,0)</f>
        <v>95.719948288162598</v>
      </c>
      <c r="X22" s="4">
        <v>87.6714789917838</v>
      </c>
    </row>
    <row r="23" spans="1:24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  <c r="U23" s="3">
        <v>35004</v>
      </c>
      <c r="V23" s="4">
        <v>100</v>
      </c>
      <c r="W23" s="4">
        <f>VLOOKUP(U23,'conventional_refi_elig-old'!AA:AB,2,0)</f>
        <v>95.454564179037803</v>
      </c>
      <c r="X23" s="4">
        <v>87.657272506747603</v>
      </c>
    </row>
    <row r="24" spans="1:24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  <c r="U24" s="3">
        <v>35034</v>
      </c>
      <c r="V24" s="4">
        <v>100</v>
      </c>
      <c r="W24" s="4">
        <f>VLOOKUP(U24,'conventional_refi_elig-old'!AA:AB,2,0)</f>
        <v>95.309097276227803</v>
      </c>
      <c r="X24" s="4">
        <v>87.650829326129795</v>
      </c>
    </row>
    <row r="25" spans="1:24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  <c r="U25" s="3">
        <v>35065</v>
      </c>
      <c r="V25" s="4">
        <v>23.9040337806804</v>
      </c>
      <c r="W25" s="4">
        <f>VLOOKUP(U25,'conventional_refi_elig-old'!AA:AB,2,0)</f>
        <v>95.207580805184193</v>
      </c>
      <c r="X25" s="4">
        <v>87.651441150506002</v>
      </c>
    </row>
    <row r="26" spans="1:24" x14ac:dyDescent="0.25">
      <c r="A26" t="s">
        <v>5</v>
      </c>
      <c r="B26" s="1">
        <v>35096</v>
      </c>
      <c r="C26">
        <v>148833</v>
      </c>
      <c r="D26">
        <v>341672418203.37</v>
      </c>
      <c r="E26">
        <v>87.638767150864894</v>
      </c>
      <c r="G26" s="3">
        <v>35034</v>
      </c>
      <c r="H26" s="4">
        <v>87.650829326129795</v>
      </c>
      <c r="U26" s="3">
        <v>35096</v>
      </c>
      <c r="V26" s="4">
        <v>24.1377362792234</v>
      </c>
      <c r="W26" s="4">
        <f>VLOOKUP(U26,'conventional_refi_elig-old'!AA:AB,2,0)</f>
        <v>95.068968282893394</v>
      </c>
      <c r="X26" s="4">
        <v>87.638767150864894</v>
      </c>
    </row>
    <row r="27" spans="1:24" x14ac:dyDescent="0.25">
      <c r="A27" t="s">
        <v>5</v>
      </c>
      <c r="B27" s="1">
        <v>35125</v>
      </c>
      <c r="C27">
        <v>149785</v>
      </c>
      <c r="D27">
        <v>346545445220.38</v>
      </c>
      <c r="E27">
        <v>87.594845967040499</v>
      </c>
      <c r="G27" s="3">
        <v>35065</v>
      </c>
      <c r="H27" s="4">
        <v>87.651441150506002</v>
      </c>
      <c r="U27" s="3">
        <v>35125</v>
      </c>
      <c r="V27" s="4">
        <v>24.2468457926296</v>
      </c>
      <c r="W27" s="4">
        <f>VLOOKUP(U27,'conventional_refi_elig-old'!AA:AB,2,0)</f>
        <v>94.9282536272312</v>
      </c>
      <c r="X27" s="4">
        <v>87.594845967040499</v>
      </c>
    </row>
    <row r="28" spans="1:24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87.539967592249894</v>
      </c>
      <c r="G28" s="3">
        <v>35096</v>
      </c>
      <c r="H28" s="4">
        <v>87.638767150864894</v>
      </c>
      <c r="U28" s="3">
        <v>35156</v>
      </c>
      <c r="V28" s="4">
        <v>24.264011179889302</v>
      </c>
      <c r="W28" s="4">
        <f>VLOOKUP(U28,'conventional_refi_elig-old'!AA:AB,2,0)</f>
        <v>94.718777649845606</v>
      </c>
      <c r="X28" s="4">
        <v>87.539967592249894</v>
      </c>
    </row>
    <row r="29" spans="1:24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87.489480388748106</v>
      </c>
      <c r="G29" s="3">
        <v>35125</v>
      </c>
      <c r="H29" s="4">
        <v>87.594845967040499</v>
      </c>
      <c r="U29" s="3">
        <v>35186</v>
      </c>
      <c r="V29" s="4">
        <v>24.276981894699802</v>
      </c>
      <c r="W29" s="4">
        <f>VLOOKUP(U29,'conventional_refi_elig-old'!AA:AB,2,0)</f>
        <v>94.517617836355498</v>
      </c>
      <c r="X29" s="4">
        <v>87.489480388748106</v>
      </c>
    </row>
    <row r="30" spans="1:24" x14ac:dyDescent="0.25">
      <c r="A30" t="s">
        <v>5</v>
      </c>
      <c r="B30" s="1">
        <v>35217</v>
      </c>
      <c r="C30">
        <v>152681</v>
      </c>
      <c r="D30">
        <v>359153508694.62</v>
      </c>
      <c r="E30">
        <v>87.350495031270199</v>
      </c>
      <c r="G30" s="3">
        <v>35156</v>
      </c>
      <c r="H30" s="4">
        <v>87.539967592249894</v>
      </c>
      <c r="U30" s="3">
        <v>35217</v>
      </c>
      <c r="V30" s="4">
        <v>24.249599072896402</v>
      </c>
      <c r="W30" s="4">
        <f>VLOOKUP(U30,'conventional_refi_elig-old'!AA:AB,2,0)</f>
        <v>94.433956535743107</v>
      </c>
      <c r="X30" s="4">
        <v>87.350495031270199</v>
      </c>
    </row>
    <row r="31" spans="1:24" x14ac:dyDescent="0.25">
      <c r="A31" t="s">
        <v>5</v>
      </c>
      <c r="B31" s="1">
        <v>35247</v>
      </c>
      <c r="C31">
        <v>153592</v>
      </c>
      <c r="D31">
        <v>364145909105.21997</v>
      </c>
      <c r="E31">
        <v>87.267047573837701</v>
      </c>
      <c r="G31" s="3">
        <v>35186</v>
      </c>
      <c r="H31" s="4">
        <v>87.489480388748106</v>
      </c>
      <c r="U31" s="3">
        <v>35247</v>
      </c>
      <c r="V31" s="4">
        <v>24.232831860734301</v>
      </c>
      <c r="W31" s="4">
        <f>VLOOKUP(U31,'conventional_refi_elig-old'!AA:AB,2,0)</f>
        <v>94.279860937165907</v>
      </c>
      <c r="X31" s="4">
        <v>87.267047573837701</v>
      </c>
    </row>
    <row r="32" spans="1:24" x14ac:dyDescent="0.25">
      <c r="A32" t="s">
        <v>5</v>
      </c>
      <c r="B32" s="1">
        <v>35278</v>
      </c>
      <c r="C32">
        <v>154353</v>
      </c>
      <c r="D32">
        <v>367843583423.22998</v>
      </c>
      <c r="E32">
        <v>87.210539200854996</v>
      </c>
      <c r="G32" s="3">
        <v>35217</v>
      </c>
      <c r="H32" s="4">
        <v>87.350495031270199</v>
      </c>
      <c r="U32" s="3">
        <v>35278</v>
      </c>
      <c r="V32" s="4">
        <v>24.241661598891099</v>
      </c>
      <c r="W32" s="4">
        <f>VLOOKUP(U32,'conventional_refi_elig-old'!AA:AB,2,0)</f>
        <v>94.046836234387399</v>
      </c>
      <c r="X32" s="4">
        <v>87.210539200854996</v>
      </c>
    </row>
    <row r="33" spans="1:24" x14ac:dyDescent="0.25">
      <c r="A33" t="s">
        <v>5</v>
      </c>
      <c r="B33" s="1">
        <v>35309</v>
      </c>
      <c r="C33">
        <v>155081</v>
      </c>
      <c r="D33">
        <v>370513413856.09998</v>
      </c>
      <c r="E33">
        <v>87.167279038064095</v>
      </c>
      <c r="G33" s="3">
        <v>35247</v>
      </c>
      <c r="H33" s="4">
        <v>87.267047573837701</v>
      </c>
      <c r="U33" s="3">
        <v>35309</v>
      </c>
      <c r="V33" s="4">
        <v>24.315494830336998</v>
      </c>
      <c r="W33" s="4">
        <f>VLOOKUP(U33,'conventional_refi_elig-old'!AA:AB,2,0)</f>
        <v>93.902239936808499</v>
      </c>
      <c r="X33" s="4">
        <v>87.167279038064095</v>
      </c>
    </row>
    <row r="34" spans="1:24" x14ac:dyDescent="0.25">
      <c r="A34" t="s">
        <v>5</v>
      </c>
      <c r="B34" s="1">
        <v>35339</v>
      </c>
      <c r="C34">
        <v>155900</v>
      </c>
      <c r="D34">
        <v>375154945459.59998</v>
      </c>
      <c r="E34">
        <v>87.123162675638994</v>
      </c>
      <c r="G34" s="3">
        <v>35278</v>
      </c>
      <c r="H34" s="4">
        <v>87.210539200854996</v>
      </c>
      <c r="U34" s="3">
        <v>35339</v>
      </c>
      <c r="V34" s="4">
        <v>24.366078209419399</v>
      </c>
      <c r="W34" s="4">
        <f>VLOOKUP(U34,'conventional_refi_elig-old'!AA:AB,2,0)</f>
        <v>93.747279131194702</v>
      </c>
      <c r="X34" s="4">
        <v>87.123162675638994</v>
      </c>
    </row>
    <row r="35" spans="1:24" x14ac:dyDescent="0.25">
      <c r="A35" t="s">
        <v>5</v>
      </c>
      <c r="B35" s="1">
        <v>35370</v>
      </c>
      <c r="C35">
        <v>156553</v>
      </c>
      <c r="D35">
        <v>378164550622.22998</v>
      </c>
      <c r="E35">
        <v>87.087522316105904</v>
      </c>
      <c r="G35" s="3">
        <v>35309</v>
      </c>
      <c r="H35" s="4">
        <v>87.167279038064095</v>
      </c>
      <c r="U35" s="3">
        <v>35370</v>
      </c>
      <c r="V35" s="4">
        <v>24.4214435912955</v>
      </c>
      <c r="W35" s="4">
        <f>VLOOKUP(U35,'conventional_refi_elig-old'!AA:AB,2,0)</f>
        <v>93.619053387659307</v>
      </c>
      <c r="X35" s="4">
        <v>87.087522316105904</v>
      </c>
    </row>
    <row r="36" spans="1:24" x14ac:dyDescent="0.25">
      <c r="A36" t="s">
        <v>5</v>
      </c>
      <c r="B36" s="1">
        <v>35400</v>
      </c>
      <c r="C36">
        <v>157183</v>
      </c>
      <c r="D36">
        <v>380573155397.19</v>
      </c>
      <c r="E36">
        <v>87.0656198392345</v>
      </c>
      <c r="G36" s="3">
        <v>35339</v>
      </c>
      <c r="H36" s="4">
        <v>87.123162675638994</v>
      </c>
      <c r="U36" s="3">
        <v>35400</v>
      </c>
      <c r="V36" s="4">
        <v>24.5409886947002</v>
      </c>
      <c r="W36" s="4">
        <f>VLOOKUP(U36,'conventional_refi_elig-old'!AA:AB,2,0)</f>
        <v>93.540671648384404</v>
      </c>
      <c r="X36" s="4">
        <v>87.0656198392345</v>
      </c>
    </row>
    <row r="37" spans="1:24" x14ac:dyDescent="0.25">
      <c r="A37" t="s">
        <v>5</v>
      </c>
      <c r="B37" s="1">
        <v>35431</v>
      </c>
      <c r="C37">
        <v>157961</v>
      </c>
      <c r="D37">
        <v>383579286284.32001</v>
      </c>
      <c r="E37">
        <v>87.062966482800604</v>
      </c>
      <c r="G37" s="3">
        <v>35370</v>
      </c>
      <c r="H37" s="4">
        <v>87.087522316105904</v>
      </c>
      <c r="U37" s="3">
        <v>35431</v>
      </c>
      <c r="V37" s="4">
        <v>25.5759162958479</v>
      </c>
      <c r="W37" s="4" t="e">
        <f>VLOOKUP(U37,'conventional_refi_elig-old'!AA:AB,2,0)</f>
        <v>#N/A</v>
      </c>
      <c r="X37" s="4">
        <v>87.062966482800604</v>
      </c>
    </row>
    <row r="38" spans="1:24" x14ac:dyDescent="0.25">
      <c r="A38" t="s">
        <v>5</v>
      </c>
      <c r="B38" s="1">
        <v>35462</v>
      </c>
      <c r="C38">
        <v>158587</v>
      </c>
      <c r="D38">
        <v>385622880966.02002</v>
      </c>
      <c r="E38">
        <v>87.059408290327397</v>
      </c>
      <c r="G38" s="3">
        <v>35400</v>
      </c>
      <c r="H38" s="4">
        <v>87.0656198392345</v>
      </c>
      <c r="U38" s="3">
        <v>35462</v>
      </c>
      <c r="V38" s="4">
        <v>25.594344150942799</v>
      </c>
      <c r="W38" s="4" t="e">
        <f>VLOOKUP(U38,'conventional_refi_elig-old'!AA:AB,2,0)</f>
        <v>#N/A</v>
      </c>
      <c r="X38" s="4">
        <v>87.059408290327397</v>
      </c>
    </row>
    <row r="39" spans="1:24" x14ac:dyDescent="0.25">
      <c r="A39" t="s">
        <v>5</v>
      </c>
      <c r="B39" s="1">
        <v>35490</v>
      </c>
      <c r="C39">
        <v>159328</v>
      </c>
      <c r="D39">
        <v>388944585913.88</v>
      </c>
      <c r="E39">
        <v>87.054438717454104</v>
      </c>
      <c r="G39" s="3">
        <v>35431</v>
      </c>
      <c r="H39" s="4">
        <v>87.062966482800604</v>
      </c>
      <c r="U39" s="3">
        <v>35490</v>
      </c>
      <c r="V39" s="4">
        <v>25.628449813680199</v>
      </c>
      <c r="W39" s="4">
        <f>VLOOKUP(U39,'conventional_refi_elig-old'!AA:AB,2,0)</f>
        <v>92.993150188481806</v>
      </c>
      <c r="X39" s="4">
        <v>87.054438717454104</v>
      </c>
    </row>
    <row r="40" spans="1:24" x14ac:dyDescent="0.25">
      <c r="A40" t="s">
        <v>5</v>
      </c>
      <c r="B40" s="1">
        <v>35521</v>
      </c>
      <c r="C40">
        <v>160031</v>
      </c>
      <c r="D40">
        <v>391996345649.14001</v>
      </c>
      <c r="E40">
        <v>87.025258187068502</v>
      </c>
      <c r="G40" s="3">
        <v>35462</v>
      </c>
      <c r="H40" s="4">
        <v>87.059408290327397</v>
      </c>
      <c r="U40" s="3">
        <v>35521</v>
      </c>
      <c r="V40" s="4">
        <v>25.602052686198</v>
      </c>
      <c r="W40" s="4">
        <f>VLOOKUP(U40,'conventional_refi_elig-old'!AA:AB,2,0)</f>
        <v>92.902874572158197</v>
      </c>
      <c r="X40" s="4">
        <v>87.025258187068502</v>
      </c>
    </row>
    <row r="41" spans="1:24" x14ac:dyDescent="0.25">
      <c r="A41" t="s">
        <v>5</v>
      </c>
      <c r="B41" s="1">
        <v>35551</v>
      </c>
      <c r="C41">
        <v>160667</v>
      </c>
      <c r="D41">
        <v>394401986179.65997</v>
      </c>
      <c r="E41">
        <v>87.004006927359995</v>
      </c>
      <c r="G41" s="3">
        <v>35490</v>
      </c>
      <c r="H41" s="4">
        <v>87.054438717454104</v>
      </c>
      <c r="U41" s="3">
        <v>35551</v>
      </c>
      <c r="V41" s="4">
        <v>25.654788681013599</v>
      </c>
      <c r="W41" s="4">
        <f>VLOOKUP(U41,'conventional_refi_elig-old'!AA:AB,2,0)</f>
        <v>92.824520228906394</v>
      </c>
      <c r="X41" s="4">
        <v>87.004006927359995</v>
      </c>
    </row>
    <row r="42" spans="1:24" x14ac:dyDescent="0.25">
      <c r="A42" t="s">
        <v>5</v>
      </c>
      <c r="B42" s="1">
        <v>35582</v>
      </c>
      <c r="C42">
        <v>161332</v>
      </c>
      <c r="D42">
        <v>397650299517.78003</v>
      </c>
      <c r="E42">
        <v>86.986453200166395</v>
      </c>
      <c r="G42" s="3">
        <v>35521</v>
      </c>
      <c r="H42" s="4">
        <v>87.025258187068502</v>
      </c>
      <c r="U42" s="3">
        <v>35582</v>
      </c>
      <c r="V42" s="4">
        <v>25.7004559306001</v>
      </c>
      <c r="W42" s="4">
        <f>VLOOKUP(U42,'conventional_refi_elig-old'!AA:AB,2,0)</f>
        <v>92.753503587986103</v>
      </c>
      <c r="X42" s="4">
        <v>86.986453200166395</v>
      </c>
    </row>
    <row r="43" spans="1:24" x14ac:dyDescent="0.25">
      <c r="A43" t="s">
        <v>5</v>
      </c>
      <c r="B43" s="1">
        <v>35612</v>
      </c>
      <c r="C43">
        <v>161858</v>
      </c>
      <c r="D43">
        <v>399661358461.85999</v>
      </c>
      <c r="E43">
        <v>86.982191542632094</v>
      </c>
      <c r="G43" s="3">
        <v>35551</v>
      </c>
      <c r="H43" s="4">
        <v>87.004006927359995</v>
      </c>
      <c r="U43" s="3">
        <v>35612</v>
      </c>
      <c r="V43" s="4">
        <v>25.779795489019801</v>
      </c>
      <c r="W43" s="4">
        <f>VLOOKUP(U43,'conventional_refi_elig-old'!AA:AB,2,0)</f>
        <v>92.644354738794206</v>
      </c>
      <c r="X43" s="4">
        <v>86.982191542632094</v>
      </c>
    </row>
    <row r="44" spans="1:24" x14ac:dyDescent="0.25">
      <c r="A44" t="s">
        <v>5</v>
      </c>
      <c r="B44" s="1">
        <v>35643</v>
      </c>
      <c r="C44">
        <v>162531</v>
      </c>
      <c r="D44">
        <v>402473247826.06</v>
      </c>
      <c r="E44">
        <v>86.972078296439406</v>
      </c>
      <c r="G44" s="3">
        <v>35582</v>
      </c>
      <c r="H44" s="4">
        <v>86.986453200166395</v>
      </c>
      <c r="U44" s="3">
        <v>35643</v>
      </c>
      <c r="V44" s="4">
        <v>25.879236352383799</v>
      </c>
      <c r="W44" s="4">
        <f>VLOOKUP(U44,'conventional_refi_elig-old'!AA:AB,2,0)</f>
        <v>92.511880458717599</v>
      </c>
      <c r="X44" s="4">
        <v>86.972078296439406</v>
      </c>
    </row>
    <row r="45" spans="1:24" x14ac:dyDescent="0.25">
      <c r="A45" t="s">
        <v>5</v>
      </c>
      <c r="B45" s="1">
        <v>35674</v>
      </c>
      <c r="C45">
        <v>163328</v>
      </c>
      <c r="D45">
        <v>407135000510.78003</v>
      </c>
      <c r="E45">
        <v>86.955910142215103</v>
      </c>
      <c r="G45" s="3">
        <v>35612</v>
      </c>
      <c r="H45" s="4">
        <v>86.982191542632094</v>
      </c>
      <c r="U45" s="3">
        <v>35674</v>
      </c>
      <c r="V45" s="4">
        <v>25.839700524105901</v>
      </c>
      <c r="W45" s="4">
        <f>VLOOKUP(U45,'conventional_refi_elig-old'!AA:AB,2,0)</f>
        <v>92.416946943406799</v>
      </c>
      <c r="X45" s="4">
        <v>86.955910142215103</v>
      </c>
    </row>
    <row r="46" spans="1:24" x14ac:dyDescent="0.25">
      <c r="A46" t="s">
        <v>5</v>
      </c>
      <c r="B46" s="1">
        <v>35704</v>
      </c>
      <c r="C46">
        <v>164171</v>
      </c>
      <c r="D46">
        <v>410957899203.09998</v>
      </c>
      <c r="E46">
        <v>86.984600527235798</v>
      </c>
      <c r="G46" s="3">
        <v>35643</v>
      </c>
      <c r="H46" s="4">
        <v>86.972078296439406</v>
      </c>
      <c r="U46" s="3">
        <v>35704</v>
      </c>
      <c r="V46" s="4">
        <v>25.892714667461298</v>
      </c>
      <c r="W46" s="4">
        <f>VLOOKUP(U46,'conventional_refi_elig-old'!AA:AB,2,0)</f>
        <v>92.332196161286404</v>
      </c>
      <c r="X46" s="4">
        <v>86.984600527235798</v>
      </c>
    </row>
    <row r="47" spans="1:24" x14ac:dyDescent="0.25">
      <c r="A47" t="s">
        <v>5</v>
      </c>
      <c r="B47" s="1">
        <v>35735</v>
      </c>
      <c r="C47">
        <v>164998</v>
      </c>
      <c r="D47">
        <v>415578143387.42999</v>
      </c>
      <c r="E47">
        <v>87.025177185626802</v>
      </c>
      <c r="G47" s="3">
        <v>35674</v>
      </c>
      <c r="H47" s="4">
        <v>86.955910142215103</v>
      </c>
      <c r="U47" s="3">
        <v>35735</v>
      </c>
      <c r="V47" s="4">
        <v>25.918734491286401</v>
      </c>
      <c r="W47" s="4">
        <f>VLOOKUP(U47,'conventional_refi_elig-old'!AA:AB,2,0)</f>
        <v>92.248022386213506</v>
      </c>
      <c r="X47" s="4">
        <v>87.025177185626802</v>
      </c>
    </row>
    <row r="48" spans="1:24" x14ac:dyDescent="0.25">
      <c r="A48" t="s">
        <v>5</v>
      </c>
      <c r="B48" s="1">
        <v>35765</v>
      </c>
      <c r="C48">
        <v>165889</v>
      </c>
      <c r="D48">
        <v>420442181020.82001</v>
      </c>
      <c r="E48">
        <v>87.073142319824697</v>
      </c>
      <c r="G48" s="3">
        <v>35704</v>
      </c>
      <c r="H48" s="4">
        <v>86.984600527235798</v>
      </c>
      <c r="U48" s="3">
        <v>35765</v>
      </c>
      <c r="V48" s="4">
        <v>25.8684727523957</v>
      </c>
      <c r="W48" s="4">
        <f>VLOOKUP(U48,'conventional_refi_elig-old'!AA:AB,2,0)</f>
        <v>92.112657381390605</v>
      </c>
      <c r="X48" s="4">
        <v>87.073142319824697</v>
      </c>
    </row>
    <row r="49" spans="1:24" x14ac:dyDescent="0.25">
      <c r="A49" t="s">
        <v>5</v>
      </c>
      <c r="B49" s="1">
        <v>35796</v>
      </c>
      <c r="C49">
        <v>166964</v>
      </c>
      <c r="D49">
        <v>425507008058.42999</v>
      </c>
      <c r="E49">
        <v>87.1078188133216</v>
      </c>
      <c r="G49" s="3">
        <v>35735</v>
      </c>
      <c r="H49" s="4">
        <v>87.025177185626802</v>
      </c>
      <c r="U49" s="3">
        <v>35796</v>
      </c>
      <c r="V49" s="4">
        <v>23.4019153504663</v>
      </c>
      <c r="W49" s="4">
        <f>VLOOKUP(U49,'conventional_refi_elig-old'!AA:AB,2,0)</f>
        <v>92.025928040633204</v>
      </c>
      <c r="X49" s="4">
        <v>87.1078188133216</v>
      </c>
    </row>
    <row r="50" spans="1:24" x14ac:dyDescent="0.25">
      <c r="A50" t="s">
        <v>5</v>
      </c>
      <c r="B50" s="1">
        <v>35827</v>
      </c>
      <c r="C50">
        <v>167888</v>
      </c>
      <c r="D50">
        <v>430133364045.90002</v>
      </c>
      <c r="E50">
        <v>87.143070069308706</v>
      </c>
      <c r="G50" s="3">
        <v>35765</v>
      </c>
      <c r="H50" s="4">
        <v>87.073142319824697</v>
      </c>
      <c r="U50" s="3">
        <v>35827</v>
      </c>
      <c r="V50" s="4">
        <v>23.430173551169499</v>
      </c>
      <c r="W50" s="4">
        <f>VLOOKUP(U50,'conventional_refi_elig-old'!AA:AB,2,0)</f>
        <v>92.053310665430601</v>
      </c>
      <c r="X50" s="4">
        <v>87.143070069308706</v>
      </c>
    </row>
    <row r="51" spans="1:24" x14ac:dyDescent="0.25">
      <c r="A51" t="s">
        <v>5</v>
      </c>
      <c r="B51" s="1">
        <v>35855</v>
      </c>
      <c r="C51">
        <v>169006</v>
      </c>
      <c r="D51">
        <v>436014643807.73999</v>
      </c>
      <c r="E51">
        <v>87.197946791622797</v>
      </c>
      <c r="G51" s="3">
        <v>35796</v>
      </c>
      <c r="H51" s="4">
        <v>87.1078188133216</v>
      </c>
      <c r="U51" s="3">
        <v>35855</v>
      </c>
      <c r="V51" s="4">
        <v>23.480647018681399</v>
      </c>
      <c r="W51" s="4">
        <f>VLOOKUP(U51,'conventional_refi_elig-old'!AA:AB,2,0)</f>
        <v>92.022991506954199</v>
      </c>
      <c r="X51" s="4">
        <v>87.197946791622797</v>
      </c>
    </row>
    <row r="52" spans="1:24" x14ac:dyDescent="0.25">
      <c r="A52" t="s">
        <v>5</v>
      </c>
      <c r="B52" s="1">
        <v>35886</v>
      </c>
      <c r="C52">
        <v>170201</v>
      </c>
      <c r="D52">
        <v>440572182741.69</v>
      </c>
      <c r="E52">
        <v>87.305434648596503</v>
      </c>
      <c r="G52" s="3">
        <v>35827</v>
      </c>
      <c r="H52" s="4">
        <v>87.143070069308706</v>
      </c>
      <c r="U52" s="3">
        <v>35886</v>
      </c>
      <c r="V52" s="4">
        <v>23.571062098696899</v>
      </c>
      <c r="W52" s="4">
        <f>VLOOKUP(U52,'conventional_refi_elig-old'!AA:AB,2,0)</f>
        <v>91.853457612590503</v>
      </c>
      <c r="X52" s="4">
        <v>87.305434648596503</v>
      </c>
    </row>
    <row r="53" spans="1:24" x14ac:dyDescent="0.25">
      <c r="A53" t="s">
        <v>5</v>
      </c>
      <c r="B53" s="1">
        <v>35916</v>
      </c>
      <c r="C53">
        <v>171456</v>
      </c>
      <c r="D53">
        <v>447378001346.06</v>
      </c>
      <c r="E53">
        <v>87.413509283619604</v>
      </c>
      <c r="G53" s="3">
        <v>35855</v>
      </c>
      <c r="H53" s="4">
        <v>87.197946791622797</v>
      </c>
      <c r="U53" s="3">
        <v>35916</v>
      </c>
      <c r="V53" s="4">
        <v>23.516082028561399</v>
      </c>
      <c r="W53" s="4">
        <f>VLOOKUP(U53,'conventional_refi_elig-old'!AA:AB,2,0)</f>
        <v>91.768115515667404</v>
      </c>
      <c r="X53" s="4">
        <v>87.413509283619604</v>
      </c>
    </row>
    <row r="54" spans="1:24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87.526915309829405</v>
      </c>
      <c r="G54" s="3">
        <v>35886</v>
      </c>
      <c r="H54" s="4">
        <v>87.305434648596503</v>
      </c>
      <c r="U54" s="3">
        <v>35947</v>
      </c>
      <c r="V54" s="4">
        <v>23.517902337879399</v>
      </c>
      <c r="W54" s="4">
        <f>VLOOKUP(U54,'conventional_refi_elig-old'!AA:AB,2,0)</f>
        <v>91.673935599984702</v>
      </c>
      <c r="X54" s="4">
        <v>87.526915309829405</v>
      </c>
    </row>
    <row r="55" spans="1:24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87.638456668359098</v>
      </c>
      <c r="G55" s="3">
        <v>35916</v>
      </c>
      <c r="H55" s="4">
        <v>87.413509283619604</v>
      </c>
      <c r="U55" s="3">
        <v>35977</v>
      </c>
      <c r="V55" s="4">
        <v>23.534384688912599</v>
      </c>
      <c r="W55" s="4">
        <f>VLOOKUP(U55,'conventional_refi_elig-old'!AA:AB,2,0)</f>
        <v>91.570922345367805</v>
      </c>
      <c r="X55" s="4">
        <v>87.638456668359098</v>
      </c>
    </row>
    <row r="56" spans="1:24" x14ac:dyDescent="0.25">
      <c r="A56" t="s">
        <v>5</v>
      </c>
      <c r="B56" s="1">
        <v>36008</v>
      </c>
      <c r="C56">
        <v>174901</v>
      </c>
      <c r="D56">
        <v>473963930458.06</v>
      </c>
      <c r="E56">
        <v>87.724912237343602</v>
      </c>
      <c r="G56" s="3">
        <v>35947</v>
      </c>
      <c r="H56" s="4">
        <v>87.526915309829405</v>
      </c>
      <c r="U56" s="3">
        <v>36008</v>
      </c>
      <c r="V56" s="4">
        <v>23.450623678978602</v>
      </c>
      <c r="W56" s="4">
        <f>VLOOKUP(U56,'conventional_refi_elig-old'!AA:AB,2,0)</f>
        <v>91.517389801174403</v>
      </c>
      <c r="X56" s="4">
        <v>87.724912237343602</v>
      </c>
    </row>
    <row r="57" spans="1:24" x14ac:dyDescent="0.25">
      <c r="A57" t="s">
        <v>5</v>
      </c>
      <c r="B57" s="1">
        <v>36039</v>
      </c>
      <c r="C57">
        <v>175971</v>
      </c>
      <c r="D57">
        <v>482637195788</v>
      </c>
      <c r="E57">
        <v>87.832739251962806</v>
      </c>
      <c r="G57" s="3">
        <v>35977</v>
      </c>
      <c r="H57" s="4">
        <v>87.638456668359098</v>
      </c>
      <c r="U57" s="3">
        <v>36039</v>
      </c>
      <c r="V57" s="4">
        <v>23.465814470552999</v>
      </c>
      <c r="W57" s="4">
        <f>VLOOKUP(U57,'conventional_refi_elig-old'!AA:AB,2,0)</f>
        <v>91.533661788427906</v>
      </c>
      <c r="X57" s="4">
        <v>87.832739251962806</v>
      </c>
    </row>
    <row r="58" spans="1:24" x14ac:dyDescent="0.25">
      <c r="A58" t="s">
        <v>5</v>
      </c>
      <c r="B58" s="1">
        <v>36069</v>
      </c>
      <c r="C58">
        <v>177221</v>
      </c>
      <c r="D58">
        <v>492759677673.42999</v>
      </c>
      <c r="E58">
        <v>87.942232411340498</v>
      </c>
      <c r="G58" s="3">
        <v>36008</v>
      </c>
      <c r="H58" s="4">
        <v>87.724912237343602</v>
      </c>
      <c r="U58" s="3">
        <v>36069</v>
      </c>
      <c r="V58" s="4">
        <v>23.505330083208101</v>
      </c>
      <c r="W58" s="4">
        <f>VLOOKUP(U58,'conventional_refi_elig-old'!AA:AB,2,0)</f>
        <v>91.556802230438095</v>
      </c>
      <c r="X58" s="4">
        <v>87.942232411340498</v>
      </c>
    </row>
    <row r="59" spans="1:24" x14ac:dyDescent="0.25">
      <c r="A59" t="s">
        <v>5</v>
      </c>
      <c r="B59" s="1">
        <v>36100</v>
      </c>
      <c r="C59">
        <v>178640</v>
      </c>
      <c r="D59">
        <v>502211629634.06</v>
      </c>
      <c r="E59">
        <v>88.017618281853103</v>
      </c>
      <c r="G59" s="3">
        <v>36039</v>
      </c>
      <c r="H59" s="4">
        <v>87.832739251962806</v>
      </c>
      <c r="U59" s="3">
        <v>36100</v>
      </c>
      <c r="V59" s="4">
        <v>23.4553603093931</v>
      </c>
      <c r="W59" s="4">
        <f>VLOOKUP(U59,'conventional_refi_elig-old'!AA:AB,2,0)</f>
        <v>91.394038464355305</v>
      </c>
      <c r="X59" s="4">
        <v>88.017618281853103</v>
      </c>
    </row>
    <row r="60" spans="1:24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88.133848620739698</v>
      </c>
      <c r="G60" s="3">
        <v>36069</v>
      </c>
      <c r="H60" s="4">
        <v>87.942232411340498</v>
      </c>
      <c r="U60" s="3">
        <v>36130</v>
      </c>
      <c r="V60" s="4">
        <v>23.457832225765301</v>
      </c>
      <c r="W60" s="4">
        <f>VLOOKUP(U60,'conventional_refi_elig-old'!AA:AB,2,0)</f>
        <v>91.248054735348205</v>
      </c>
      <c r="X60" s="4">
        <v>88.133848620739698</v>
      </c>
    </row>
    <row r="61" spans="1:24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88.268845561107099</v>
      </c>
      <c r="G61" s="3">
        <v>36100</v>
      </c>
      <c r="H61" s="4">
        <v>88.017618281853103</v>
      </c>
      <c r="U61" s="3">
        <v>36161</v>
      </c>
      <c r="V61" s="4">
        <v>22.859773088248701</v>
      </c>
      <c r="W61" s="4">
        <f>VLOOKUP(U61,'conventional_refi_elig-old'!AA:AB,2,0)</f>
        <v>91.173404727319095</v>
      </c>
      <c r="X61" s="4">
        <v>88.268845561107099</v>
      </c>
    </row>
    <row r="62" spans="1:24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88.371028887467702</v>
      </c>
      <c r="G62" s="3">
        <v>36130</v>
      </c>
      <c r="H62" s="4">
        <v>88.133848620739698</v>
      </c>
      <c r="U62" s="3">
        <v>36192</v>
      </c>
      <c r="V62" s="4">
        <v>22.8647134525621</v>
      </c>
      <c r="W62" s="4">
        <f>VLOOKUP(U62,'conventional_refi_elig-old'!AA:AB,2,0)</f>
        <v>91.060510110117306</v>
      </c>
      <c r="X62" s="4">
        <v>88.371028887467702</v>
      </c>
    </row>
    <row r="63" spans="1:24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88.461997150246802</v>
      </c>
      <c r="G63" s="3">
        <v>36161</v>
      </c>
      <c r="H63" s="4">
        <v>88.268845561107099</v>
      </c>
      <c r="U63" s="3">
        <v>36220</v>
      </c>
      <c r="V63" s="4">
        <v>22.8846012847089</v>
      </c>
      <c r="W63" s="4">
        <f>VLOOKUP(U63,'conventional_refi_elig-old'!AA:AB,2,0)</f>
        <v>91.029735352678102</v>
      </c>
      <c r="X63" s="4">
        <v>88.461997150246802</v>
      </c>
    </row>
    <row r="64" spans="1:24" x14ac:dyDescent="0.25">
      <c r="A64" t="s">
        <v>5</v>
      </c>
      <c r="B64" s="1">
        <v>36251</v>
      </c>
      <c r="C64">
        <v>185605</v>
      </c>
      <c r="D64">
        <v>549750472653.34998</v>
      </c>
      <c r="E64">
        <v>88.552277416830094</v>
      </c>
      <c r="G64" s="3">
        <v>36192</v>
      </c>
      <c r="H64" s="4">
        <v>88.371028887467702</v>
      </c>
      <c r="U64" s="3">
        <v>36251</v>
      </c>
      <c r="V64" s="4">
        <v>22.942006592345301</v>
      </c>
      <c r="W64" s="4">
        <f>VLOOKUP(U64,'conventional_refi_elig-old'!AA:AB,2,0)</f>
        <v>90.935961074470796</v>
      </c>
      <c r="X64" s="4">
        <v>88.552277416830094</v>
      </c>
    </row>
    <row r="65" spans="1:24" x14ac:dyDescent="0.25">
      <c r="A65" t="s">
        <v>5</v>
      </c>
      <c r="B65" s="1">
        <v>36281</v>
      </c>
      <c r="C65">
        <v>186717</v>
      </c>
      <c r="D65">
        <v>556506175459.81006</v>
      </c>
      <c r="E65">
        <v>88.616249219703406</v>
      </c>
      <c r="G65" s="3">
        <v>36220</v>
      </c>
      <c r="H65" s="4">
        <v>88.461997150246802</v>
      </c>
      <c r="U65" s="3">
        <v>36281</v>
      </c>
      <c r="V65" s="4">
        <v>23.003063729522299</v>
      </c>
      <c r="W65" s="4">
        <f>VLOOKUP(U65,'conventional_refi_elig-old'!AA:AB,2,0)</f>
        <v>90.868151897523106</v>
      </c>
      <c r="X65" s="4">
        <v>88.616249219703406</v>
      </c>
    </row>
    <row r="66" spans="1:24" x14ac:dyDescent="0.25">
      <c r="A66" t="s">
        <v>5</v>
      </c>
      <c r="B66" s="1">
        <v>36312</v>
      </c>
      <c r="C66">
        <v>187662</v>
      </c>
      <c r="D66">
        <v>563458838273</v>
      </c>
      <c r="E66">
        <v>88.701786724976003</v>
      </c>
      <c r="G66" s="3">
        <v>36251</v>
      </c>
      <c r="H66" s="4">
        <v>88.552277416830094</v>
      </c>
      <c r="U66" s="3">
        <v>36312</v>
      </c>
      <c r="V66" s="4">
        <v>23.136635542313901</v>
      </c>
      <c r="W66" s="4">
        <f>VLOOKUP(U66,'conventional_refi_elig-old'!AA:AB,2,0)</f>
        <v>90.754331103109195</v>
      </c>
      <c r="X66" s="4">
        <v>88.701786724976003</v>
      </c>
    </row>
    <row r="67" spans="1:24" x14ac:dyDescent="0.25">
      <c r="A67" t="s">
        <v>5</v>
      </c>
      <c r="B67" s="1">
        <v>36342</v>
      </c>
      <c r="C67">
        <v>188811</v>
      </c>
      <c r="D67">
        <v>572204607933.89001</v>
      </c>
      <c r="E67">
        <v>88.776666682162897</v>
      </c>
      <c r="G67" s="3">
        <v>36281</v>
      </c>
      <c r="H67" s="4">
        <v>88.616249219703406</v>
      </c>
      <c r="U67" s="3">
        <v>36342</v>
      </c>
      <c r="V67" s="4">
        <v>23.258250195434801</v>
      </c>
      <c r="W67" s="4">
        <f>VLOOKUP(U67,'conventional_refi_elig-old'!AA:AB,2,0)</f>
        <v>90.676781769290997</v>
      </c>
      <c r="X67" s="4">
        <v>88.776666682162897</v>
      </c>
    </row>
    <row r="68" spans="1:24" x14ac:dyDescent="0.25">
      <c r="A68" t="s">
        <v>5</v>
      </c>
      <c r="B68" s="1">
        <v>36373</v>
      </c>
      <c r="C68">
        <v>189841</v>
      </c>
      <c r="D68">
        <v>579291469300.42004</v>
      </c>
      <c r="E68">
        <v>88.858935065052705</v>
      </c>
      <c r="G68" s="3">
        <v>36312</v>
      </c>
      <c r="H68" s="4">
        <v>88.701786724976003</v>
      </c>
      <c r="U68" s="3">
        <v>36373</v>
      </c>
      <c r="V68" s="4">
        <v>23.406705263677502</v>
      </c>
      <c r="W68" s="4">
        <f>VLOOKUP(U68,'conventional_refi_elig-old'!AA:AB,2,0)</f>
        <v>90.592704865297094</v>
      </c>
      <c r="X68" s="4">
        <v>88.858935065052705</v>
      </c>
    </row>
    <row r="69" spans="1:24" x14ac:dyDescent="0.25">
      <c r="A69" t="s">
        <v>5</v>
      </c>
      <c r="B69" s="1">
        <v>36404</v>
      </c>
      <c r="C69">
        <v>190764</v>
      </c>
      <c r="D69">
        <v>587347551657.76001</v>
      </c>
      <c r="E69">
        <v>88.909829601185507</v>
      </c>
      <c r="G69" s="3">
        <v>36342</v>
      </c>
      <c r="H69" s="4">
        <v>88.776666682162897</v>
      </c>
      <c r="U69" s="3">
        <v>36404</v>
      </c>
      <c r="V69" s="4">
        <v>23.584999679202902</v>
      </c>
      <c r="W69" s="4">
        <f>VLOOKUP(U69,'conventional_refi_elig-old'!AA:AB,2,0)</f>
        <v>90.543650668260398</v>
      </c>
      <c r="X69" s="4">
        <v>88.909829601185507</v>
      </c>
    </row>
    <row r="70" spans="1:24" x14ac:dyDescent="0.25">
      <c r="A70" t="s">
        <v>5</v>
      </c>
      <c r="B70" s="1">
        <v>36434</v>
      </c>
      <c r="C70">
        <v>191769</v>
      </c>
      <c r="D70">
        <v>595358056585.48999</v>
      </c>
      <c r="E70">
        <v>88.953006916878294</v>
      </c>
      <c r="G70" s="3">
        <v>36373</v>
      </c>
      <c r="H70" s="4">
        <v>88.858935065052705</v>
      </c>
      <c r="U70" s="3">
        <v>36434</v>
      </c>
      <c r="V70" s="4">
        <v>23.836196796233502</v>
      </c>
      <c r="W70" s="4">
        <f>VLOOKUP(U70,'conventional_refi_elig-old'!AA:AB,2,0)</f>
        <v>90.473341946825997</v>
      </c>
      <c r="X70" s="4">
        <v>88.953006916878294</v>
      </c>
    </row>
    <row r="71" spans="1:24" x14ac:dyDescent="0.25">
      <c r="A71" t="s">
        <v>5</v>
      </c>
      <c r="B71" s="1">
        <v>36465</v>
      </c>
      <c r="C71">
        <v>192676</v>
      </c>
      <c r="D71">
        <v>603335784202.89001</v>
      </c>
      <c r="E71">
        <v>88.969458461210493</v>
      </c>
      <c r="G71" s="3">
        <v>36404</v>
      </c>
      <c r="H71" s="4">
        <v>88.909829601185507</v>
      </c>
      <c r="U71" s="3">
        <v>36465</v>
      </c>
      <c r="V71" s="4">
        <v>23.960501905306099</v>
      </c>
      <c r="W71" s="4">
        <f>VLOOKUP(U71,'conventional_refi_elig-old'!AA:AB,2,0)</f>
        <v>90.423566343701395</v>
      </c>
      <c r="X71" s="4">
        <v>88.969458461210493</v>
      </c>
    </row>
    <row r="72" spans="1:24" x14ac:dyDescent="0.25">
      <c r="A72" t="s">
        <v>5</v>
      </c>
      <c r="B72" s="1">
        <v>36495</v>
      </c>
      <c r="C72">
        <v>193594</v>
      </c>
      <c r="D72">
        <v>608661813729.64001</v>
      </c>
      <c r="E72">
        <v>88.9935458383991</v>
      </c>
      <c r="G72" s="3">
        <v>36434</v>
      </c>
      <c r="H72" s="4">
        <v>88.953006916878294</v>
      </c>
      <c r="U72" s="3">
        <v>36495</v>
      </c>
      <c r="V72" s="4">
        <v>24.1511939597363</v>
      </c>
      <c r="W72" s="4">
        <f>VLOOKUP(U72,'conventional_refi_elig-old'!AA:AB,2,0)</f>
        <v>90.377949021028996</v>
      </c>
      <c r="X72" s="4">
        <v>88.9935458383991</v>
      </c>
    </row>
    <row r="73" spans="1:24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89.029423027295195</v>
      </c>
      <c r="G73" s="3">
        <v>36465</v>
      </c>
      <c r="H73" s="4">
        <v>88.969458461210493</v>
      </c>
      <c r="U73" s="3">
        <v>36526</v>
      </c>
      <c r="V73" s="4">
        <v>23.9569807903029</v>
      </c>
      <c r="W73" s="4">
        <f>VLOOKUP(U73,'conventional_refi_elig-old'!AA:AB,2,0)</f>
        <v>90.341587928600504</v>
      </c>
      <c r="X73" s="4">
        <v>89.029423027295195</v>
      </c>
    </row>
    <row r="74" spans="1:24" x14ac:dyDescent="0.25">
      <c r="A74" t="s">
        <v>5</v>
      </c>
      <c r="B74" s="1">
        <v>36557</v>
      </c>
      <c r="C74">
        <v>195521</v>
      </c>
      <c r="D74">
        <v>620175920606.63</v>
      </c>
      <c r="E74">
        <v>89.055375332177803</v>
      </c>
      <c r="G74" s="3">
        <v>36495</v>
      </c>
      <c r="H74" s="4">
        <v>88.9935458383991</v>
      </c>
      <c r="U74" s="3">
        <v>36557</v>
      </c>
      <c r="V74" s="4">
        <v>24.132556362769002</v>
      </c>
      <c r="W74" s="4">
        <f>VLOOKUP(U74,'conventional_refi_elig-old'!AA:AB,2,0)</f>
        <v>90.2613194844985</v>
      </c>
      <c r="X74" s="4">
        <v>89.055375332177803</v>
      </c>
    </row>
    <row r="75" spans="1:24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89.044163096928699</v>
      </c>
      <c r="G75" s="3">
        <v>36526</v>
      </c>
      <c r="H75" s="4">
        <v>89.029423027295195</v>
      </c>
      <c r="U75" s="3">
        <v>36586</v>
      </c>
      <c r="V75" s="4">
        <v>24.220089336597901</v>
      </c>
      <c r="W75" s="4">
        <f>VLOOKUP(U75,'conventional_refi_elig-old'!AA:AB,2,0)</f>
        <v>90.239260897534606</v>
      </c>
      <c r="X75" s="4">
        <v>89.044163096928699</v>
      </c>
    </row>
    <row r="76" spans="1:24" x14ac:dyDescent="0.25">
      <c r="A76" t="s">
        <v>5</v>
      </c>
      <c r="B76" s="1">
        <v>36617</v>
      </c>
      <c r="C76">
        <v>197211</v>
      </c>
      <c r="D76">
        <v>628789317108.88</v>
      </c>
      <c r="E76">
        <v>89.039825594486302</v>
      </c>
      <c r="G76" s="3">
        <v>36557</v>
      </c>
      <c r="H76" s="4">
        <v>89.055375332177803</v>
      </c>
      <c r="U76" s="3">
        <v>36617</v>
      </c>
      <c r="V76" s="4">
        <v>24.371443077002301</v>
      </c>
      <c r="W76" s="4">
        <f>VLOOKUP(U76,'conventional_refi_elig-old'!AA:AB,2,0)</f>
        <v>90.216704589250398</v>
      </c>
      <c r="X76" s="4">
        <v>89.039825594486302</v>
      </c>
    </row>
    <row r="77" spans="1:24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89.026476151107701</v>
      </c>
      <c r="G77" s="3">
        <v>36586</v>
      </c>
      <c r="H77" s="4">
        <v>89.044163096928699</v>
      </c>
      <c r="U77" s="3">
        <v>36647</v>
      </c>
      <c r="V77" s="4">
        <v>24.5660130506622</v>
      </c>
      <c r="W77" s="4">
        <f>VLOOKUP(U77,'conventional_refi_elig-old'!AA:AB,2,0)</f>
        <v>90.1989728595277</v>
      </c>
      <c r="X77" s="4">
        <v>89.026476151107701</v>
      </c>
    </row>
    <row r="78" spans="1:24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89.031220220895094</v>
      </c>
      <c r="G78" s="3">
        <v>36617</v>
      </c>
      <c r="H78" s="4">
        <v>89.039825594486302</v>
      </c>
      <c r="U78" s="3">
        <v>36678</v>
      </c>
      <c r="V78" s="4">
        <v>24.759377424572701</v>
      </c>
      <c r="W78" s="4">
        <f>VLOOKUP(U78,'conventional_refi_elig-old'!AA:AB,2,0)</f>
        <v>90.135844691138104</v>
      </c>
      <c r="X78" s="4">
        <v>89.031220220895094</v>
      </c>
    </row>
    <row r="79" spans="1:24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89.029479467077394</v>
      </c>
      <c r="G79" s="3">
        <v>36647</v>
      </c>
      <c r="H79" s="4">
        <v>89.026476151107701</v>
      </c>
      <c r="U79" s="3">
        <v>36708</v>
      </c>
      <c r="V79" s="4">
        <v>25.014631288793499</v>
      </c>
      <c r="W79" s="4">
        <f>VLOOKUP(U79,'conventional_refi_elig-old'!AA:AB,2,0)</f>
        <v>90.0693507160873</v>
      </c>
      <c r="X79" s="4">
        <v>89.029479467077394</v>
      </c>
    </row>
    <row r="80" spans="1:24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89.027793769900796</v>
      </c>
      <c r="G80" s="3">
        <v>36678</v>
      </c>
      <c r="H80" s="4">
        <v>89.031220220895094</v>
      </c>
      <c r="U80" s="3">
        <v>36739</v>
      </c>
      <c r="V80" s="4">
        <v>25.302403828018701</v>
      </c>
      <c r="W80" s="4">
        <f>VLOOKUP(U80,'conventional_refi_elig-old'!AA:AB,2,0)</f>
        <v>90.038224217183696</v>
      </c>
      <c r="X80" s="4">
        <v>89.027793769900796</v>
      </c>
    </row>
    <row r="81" spans="1:24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89.029976588477396</v>
      </c>
      <c r="G81" s="3">
        <v>36708</v>
      </c>
      <c r="H81" s="4">
        <v>89.029479467077394</v>
      </c>
      <c r="U81" s="3">
        <v>36770</v>
      </c>
      <c r="V81" s="4">
        <v>25.578896569007799</v>
      </c>
      <c r="W81" s="4">
        <f>VLOOKUP(U81,'conventional_refi_elig-old'!AA:AB,2,0)</f>
        <v>89.960264842197205</v>
      </c>
      <c r="X81" s="4">
        <v>89.029976588477396</v>
      </c>
    </row>
    <row r="82" spans="1:24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89.028320655818106</v>
      </c>
      <c r="G82" s="3">
        <v>36739</v>
      </c>
      <c r="H82" s="4">
        <v>89.027793769900796</v>
      </c>
      <c r="U82" s="3">
        <v>36800</v>
      </c>
      <c r="V82" s="4">
        <v>25.75168433883</v>
      </c>
      <c r="W82" s="4">
        <f>VLOOKUP(U82,'conventional_refi_elig-old'!AA:AB,2,0)</f>
        <v>89.896320553078198</v>
      </c>
      <c r="X82" s="4">
        <v>89.028320655818106</v>
      </c>
    </row>
    <row r="83" spans="1:24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88.993590812684104</v>
      </c>
      <c r="G83" s="3">
        <v>36770</v>
      </c>
      <c r="H83" s="4">
        <v>89.029976588477396</v>
      </c>
      <c r="U83" s="3">
        <v>36831</v>
      </c>
      <c r="V83" s="4">
        <v>25.965688275597</v>
      </c>
      <c r="W83" s="4">
        <f>VLOOKUP(U83,'conventional_refi_elig-old'!AA:AB,2,0)</f>
        <v>89.815054683417799</v>
      </c>
      <c r="X83" s="4">
        <v>88.993590812684104</v>
      </c>
    </row>
    <row r="84" spans="1:24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89.008163209273107</v>
      </c>
      <c r="G84" s="3">
        <v>36800</v>
      </c>
      <c r="H84" s="4">
        <v>89.028320655818106</v>
      </c>
      <c r="U84" s="3">
        <v>36861</v>
      </c>
      <c r="V84" s="4">
        <v>26.084698277235201</v>
      </c>
      <c r="W84" s="4">
        <f>VLOOKUP(U84,'conventional_refi_elig-old'!AA:AB,2,0)</f>
        <v>89.729976201419205</v>
      </c>
      <c r="X84" s="4">
        <v>89.008163209273107</v>
      </c>
    </row>
    <row r="85" spans="1:24" x14ac:dyDescent="0.25">
      <c r="A85" t="s">
        <v>5</v>
      </c>
      <c r="B85" s="1">
        <v>36892</v>
      </c>
      <c r="C85">
        <v>207893</v>
      </c>
      <c r="D85">
        <v>700106336980.84998</v>
      </c>
      <c r="E85">
        <v>88.942051083775397</v>
      </c>
      <c r="G85" s="3">
        <v>36831</v>
      </c>
      <c r="H85" s="4">
        <v>88.993590812684104</v>
      </c>
      <c r="U85" s="3">
        <v>36892</v>
      </c>
      <c r="V85" s="4">
        <v>24.869792938541298</v>
      </c>
      <c r="W85" s="4">
        <f>VLOOKUP(U85,'conventional_refi_elig-old'!AA:AB,2,0)</f>
        <v>89.657215563622103</v>
      </c>
      <c r="X85" s="4">
        <v>88.942051083775397</v>
      </c>
    </row>
    <row r="86" spans="1:24" x14ac:dyDescent="0.25">
      <c r="A86" t="s">
        <v>5</v>
      </c>
      <c r="B86" s="1">
        <v>36923</v>
      </c>
      <c r="C86">
        <v>209121</v>
      </c>
      <c r="D86">
        <v>711936410692.26001</v>
      </c>
      <c r="E86">
        <v>88.931005343214395</v>
      </c>
      <c r="G86" s="3">
        <v>36861</v>
      </c>
      <c r="H86" s="4">
        <v>89.008163209273107</v>
      </c>
      <c r="U86" s="3">
        <v>36923</v>
      </c>
      <c r="V86" s="4">
        <v>24.940877683184802</v>
      </c>
      <c r="W86" s="4">
        <f>VLOOKUP(U86,'conventional_refi_elig-old'!AA:AB,2,0)</f>
        <v>89.581547750311501</v>
      </c>
      <c r="X86" s="4">
        <v>88.931005343214395</v>
      </c>
    </row>
    <row r="87" spans="1:24" x14ac:dyDescent="0.25">
      <c r="A87" t="s">
        <v>5</v>
      </c>
      <c r="B87" s="1">
        <v>36951</v>
      </c>
      <c r="C87">
        <v>210670</v>
      </c>
      <c r="D87">
        <v>724159427993.80005</v>
      </c>
      <c r="E87">
        <v>88.933954385904102</v>
      </c>
      <c r="G87" s="3">
        <v>36892</v>
      </c>
      <c r="H87" s="4">
        <v>88.942051083775397</v>
      </c>
      <c r="U87" s="3">
        <v>36951</v>
      </c>
      <c r="V87" s="4">
        <v>24.979186789700901</v>
      </c>
      <c r="W87" s="4">
        <f>VLOOKUP(U87,'conventional_refi_elig-old'!AA:AB,2,0)</f>
        <v>89.512842821269302</v>
      </c>
      <c r="X87" s="4">
        <v>88.933954385904102</v>
      </c>
    </row>
    <row r="88" spans="1:24" x14ac:dyDescent="0.25">
      <c r="A88" t="s">
        <v>5</v>
      </c>
      <c r="B88" s="1">
        <v>36982</v>
      </c>
      <c r="C88">
        <v>212403</v>
      </c>
      <c r="D88">
        <v>737131621054.80005</v>
      </c>
      <c r="E88">
        <v>88.886761252337195</v>
      </c>
      <c r="G88" s="3">
        <v>36923</v>
      </c>
      <c r="H88" s="4">
        <v>88.931005343214395</v>
      </c>
      <c r="U88" s="3">
        <v>36982</v>
      </c>
      <c r="V88" s="4">
        <v>24.762891418315</v>
      </c>
      <c r="W88" s="4">
        <f>VLOOKUP(U88,'conventional_refi_elig-old'!AA:AB,2,0)</f>
        <v>89.472957018569602</v>
      </c>
      <c r="X88" s="4">
        <v>88.886761252337195</v>
      </c>
    </row>
    <row r="89" spans="1:24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88.841547746600398</v>
      </c>
      <c r="G89" s="3">
        <v>36951</v>
      </c>
      <c r="H89" s="4">
        <v>88.933954385904102</v>
      </c>
      <c r="U89" s="3">
        <v>37012</v>
      </c>
      <c r="V89" s="4">
        <v>24.408407919627798</v>
      </c>
      <c r="W89" s="4">
        <f>VLOOKUP(U89,'conventional_refi_elig-old'!AA:AB,2,0)</f>
        <v>89.407079481689493</v>
      </c>
      <c r="X89" s="4">
        <v>88.841547746600398</v>
      </c>
    </row>
    <row r="90" spans="1:24" x14ac:dyDescent="0.25">
      <c r="A90" t="s">
        <v>5</v>
      </c>
      <c r="B90" s="1">
        <v>37043</v>
      </c>
      <c r="C90">
        <v>216060</v>
      </c>
      <c r="D90">
        <v>768634381863</v>
      </c>
      <c r="E90">
        <v>88.794389672061001</v>
      </c>
      <c r="G90" s="3">
        <v>36982</v>
      </c>
      <c r="H90" s="4">
        <v>88.886761252337195</v>
      </c>
      <c r="U90" s="3">
        <v>37043</v>
      </c>
      <c r="V90" s="4">
        <v>24.114759182766601</v>
      </c>
      <c r="W90" s="4">
        <f>VLOOKUP(U90,'conventional_refi_elig-old'!AA:AB,2,0)</f>
        <v>89.316474945363396</v>
      </c>
      <c r="X90" s="4">
        <v>88.794389672061001</v>
      </c>
    </row>
    <row r="91" spans="1:24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88.744071357624804</v>
      </c>
      <c r="G91" s="3">
        <v>37012</v>
      </c>
      <c r="H91" s="4">
        <v>88.841547746600398</v>
      </c>
      <c r="U91" s="3">
        <v>37073</v>
      </c>
      <c r="V91" s="4">
        <v>23.723726843129398</v>
      </c>
      <c r="W91" s="4">
        <f>VLOOKUP(U91,'conventional_refi_elig-old'!AA:AB,2,0)</f>
        <v>89.195932581922193</v>
      </c>
      <c r="X91" s="4">
        <v>88.744071357624804</v>
      </c>
    </row>
    <row r="92" spans="1:24" x14ac:dyDescent="0.25">
      <c r="A92" t="s">
        <v>5</v>
      </c>
      <c r="B92" s="1">
        <v>37104</v>
      </c>
      <c r="C92">
        <v>219337</v>
      </c>
      <c r="D92">
        <v>800219895172</v>
      </c>
      <c r="E92">
        <v>88.666839367494205</v>
      </c>
      <c r="G92" s="3">
        <v>37043</v>
      </c>
      <c r="H92" s="4">
        <v>88.794389672061001</v>
      </c>
      <c r="U92" s="3">
        <v>37104</v>
      </c>
      <c r="V92" s="4">
        <v>23.3948622273473</v>
      </c>
      <c r="W92" s="4">
        <f>VLOOKUP(U92,'conventional_refi_elig-old'!AA:AB,2,0)</f>
        <v>89.046337871782796</v>
      </c>
      <c r="X92" s="4">
        <v>88.666839367494205</v>
      </c>
    </row>
    <row r="93" spans="1:24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88.610441077865104</v>
      </c>
      <c r="G93" s="3">
        <v>37073</v>
      </c>
      <c r="H93" s="4">
        <v>88.744071357624804</v>
      </c>
      <c r="U93" s="3">
        <v>37135</v>
      </c>
      <c r="V93" s="4">
        <v>23.153475809562199</v>
      </c>
      <c r="W93" s="4">
        <f>VLOOKUP(U93,'conventional_refi_elig-old'!AA:AB,2,0)</f>
        <v>88.943319036077895</v>
      </c>
      <c r="X93" s="4">
        <v>88.610441077865104</v>
      </c>
    </row>
    <row r="94" spans="1:24" x14ac:dyDescent="0.25">
      <c r="A94" t="s">
        <v>5</v>
      </c>
      <c r="B94" s="1">
        <v>37165</v>
      </c>
      <c r="C94">
        <v>222193</v>
      </c>
      <c r="D94">
        <v>829340407712.87</v>
      </c>
      <c r="E94">
        <v>88.515355981039605</v>
      </c>
      <c r="G94" s="3">
        <v>37104</v>
      </c>
      <c r="H94" s="4">
        <v>88.666839367494205</v>
      </c>
      <c r="U94" s="3">
        <v>37165</v>
      </c>
      <c r="V94" s="4">
        <v>22.803888421185999</v>
      </c>
      <c r="W94" s="4">
        <f>VLOOKUP(U94,'conventional_refi_elig-old'!AA:AB,2,0)</f>
        <v>88.838842962308107</v>
      </c>
      <c r="X94" s="4">
        <v>88.515355981039605</v>
      </c>
    </row>
    <row r="95" spans="1:24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88.4341878741795</v>
      </c>
      <c r="G95" s="3">
        <v>37135</v>
      </c>
      <c r="H95" s="4">
        <v>88.610441077865104</v>
      </c>
      <c r="U95" s="3">
        <v>37196</v>
      </c>
      <c r="V95" s="4">
        <v>22.425302448481599</v>
      </c>
      <c r="W95" s="4">
        <f>VLOOKUP(U95,'conventional_refi_elig-old'!AA:AB,2,0)</f>
        <v>88.759627121752104</v>
      </c>
      <c r="X95" s="4">
        <v>88.4341878741795</v>
      </c>
    </row>
    <row r="96" spans="1:24" x14ac:dyDescent="0.25">
      <c r="A96" t="s">
        <v>5</v>
      </c>
      <c r="B96" s="1">
        <v>37226</v>
      </c>
      <c r="C96">
        <v>225055</v>
      </c>
      <c r="D96">
        <v>853354387292.38</v>
      </c>
      <c r="E96">
        <v>88.351837777550898</v>
      </c>
      <c r="G96" s="3">
        <v>37165</v>
      </c>
      <c r="H96" s="4">
        <v>88.515355981039605</v>
      </c>
      <c r="U96" s="3">
        <v>37226</v>
      </c>
      <c r="V96" s="4">
        <v>21.978756017775201</v>
      </c>
      <c r="W96" s="4">
        <f>VLOOKUP(U96,'conventional_refi_elig-old'!AA:AB,2,0)</f>
        <v>88.672003146288404</v>
      </c>
      <c r="X96" s="4">
        <v>88.351837777550898</v>
      </c>
    </row>
    <row r="97" spans="1:24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88.229123870524603</v>
      </c>
      <c r="G97" s="3">
        <v>37196</v>
      </c>
      <c r="H97" s="4">
        <v>88.4341878741795</v>
      </c>
      <c r="U97" s="3">
        <v>37257</v>
      </c>
      <c r="V97" s="4">
        <v>21.259699842792099</v>
      </c>
      <c r="W97" s="4">
        <f>VLOOKUP(U97,'conventional_refi_elig-old'!AA:AB,2,0)</f>
        <v>88.573531157356697</v>
      </c>
      <c r="X97" s="4">
        <v>88.229123870524603</v>
      </c>
    </row>
    <row r="98" spans="1:24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88.137161073820906</v>
      </c>
      <c r="G98" s="3">
        <v>37226</v>
      </c>
      <c r="H98" s="4">
        <v>88.351837777550898</v>
      </c>
      <c r="U98" s="3">
        <v>37288</v>
      </c>
      <c r="V98" s="4">
        <v>20.780934690909099</v>
      </c>
      <c r="W98" s="4">
        <f>VLOOKUP(U98,'conventional_refi_elig-old'!AA:AB,2,0)</f>
        <v>88.466004535635307</v>
      </c>
      <c r="X98" s="4">
        <v>88.137161073820906</v>
      </c>
    </row>
    <row r="99" spans="1:24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88.053296226191506</v>
      </c>
      <c r="G99" s="3">
        <v>37257</v>
      </c>
      <c r="H99" s="4">
        <v>88.229123870524603</v>
      </c>
      <c r="U99" s="3">
        <v>37316</v>
      </c>
      <c r="V99" s="4">
        <v>20.473315161029198</v>
      </c>
      <c r="W99" s="4">
        <f>VLOOKUP(U99,'conventional_refi_elig-old'!AA:AB,2,0)</f>
        <v>88.306155213092495</v>
      </c>
      <c r="X99" s="4">
        <v>88.053296226191506</v>
      </c>
    </row>
    <row r="100" spans="1:24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87.969078988211294</v>
      </c>
      <c r="G100" s="3">
        <v>37288</v>
      </c>
      <c r="H100" s="4">
        <v>88.137161073820906</v>
      </c>
      <c r="U100" s="3">
        <v>37347</v>
      </c>
      <c r="V100" s="4">
        <v>20.161805833904399</v>
      </c>
      <c r="W100" s="4">
        <f>VLOOKUP(U100,'conventional_refi_elig-old'!AA:AB,2,0)</f>
        <v>88.165854670543595</v>
      </c>
      <c r="X100" s="4">
        <v>87.969078988211294</v>
      </c>
    </row>
    <row r="101" spans="1:24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87.858926286424307</v>
      </c>
      <c r="G101" s="3">
        <v>37316</v>
      </c>
      <c r="H101" s="4">
        <v>88.053296226191506</v>
      </c>
      <c r="U101" s="3">
        <v>37377</v>
      </c>
      <c r="V101" s="4">
        <v>19.7723024133706</v>
      </c>
      <c r="W101" s="4">
        <f>VLOOKUP(U101,'conventional_refi_elig-old'!AA:AB,2,0)</f>
        <v>88.038684248769897</v>
      </c>
      <c r="X101" s="4">
        <v>87.858926286424307</v>
      </c>
    </row>
    <row r="102" spans="1:24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87.757985249224404</v>
      </c>
      <c r="G102" s="3">
        <v>37347</v>
      </c>
      <c r="H102" s="4">
        <v>87.969078988211294</v>
      </c>
      <c r="U102" s="3">
        <v>37408</v>
      </c>
      <c r="V102" s="4">
        <v>19.422776608062499</v>
      </c>
      <c r="W102" s="4">
        <f>VLOOKUP(U102,'conventional_refi_elig-old'!AA:AB,2,0)</f>
        <v>87.917018505683401</v>
      </c>
      <c r="X102" s="4">
        <v>87.757985249224404</v>
      </c>
    </row>
    <row r="103" spans="1:24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87.656004456856095</v>
      </c>
      <c r="G103" s="3">
        <v>37377</v>
      </c>
      <c r="H103" s="4">
        <v>87.858926286424307</v>
      </c>
      <c r="U103" s="3">
        <v>37438</v>
      </c>
      <c r="V103" s="4">
        <v>19.140262564632</v>
      </c>
      <c r="W103" s="4">
        <f>VLOOKUP(U103,'conventional_refi_elig-old'!AA:AB,2,0)</f>
        <v>87.796318491509297</v>
      </c>
      <c r="X103" s="4">
        <v>87.656004456856095</v>
      </c>
    </row>
    <row r="104" spans="1:24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87.562530177691499</v>
      </c>
      <c r="G104" s="3">
        <v>37408</v>
      </c>
      <c r="H104" s="4">
        <v>87.757985249224404</v>
      </c>
      <c r="U104" s="3">
        <v>37469</v>
      </c>
      <c r="V104" s="4">
        <v>18.832170637243902</v>
      </c>
      <c r="W104" s="4">
        <f>VLOOKUP(U104,'conventional_refi_elig-old'!AA:AB,2,0)</f>
        <v>87.677245123366006</v>
      </c>
      <c r="X104" s="4">
        <v>87.562530177691499</v>
      </c>
    </row>
    <row r="105" spans="1:24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87.452257702126204</v>
      </c>
      <c r="G105" s="3">
        <v>37438</v>
      </c>
      <c r="H105" s="4">
        <v>87.656004456856095</v>
      </c>
      <c r="U105" s="3">
        <v>37500</v>
      </c>
      <c r="V105" s="4">
        <v>18.503879820902601</v>
      </c>
      <c r="W105" s="4">
        <f>VLOOKUP(U105,'conventional_refi_elig-old'!AA:AB,2,0)</f>
        <v>87.582967421811901</v>
      </c>
      <c r="X105" s="4">
        <v>87.452257702126204</v>
      </c>
    </row>
    <row r="106" spans="1:24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87.353433582665104</v>
      </c>
      <c r="G106" s="3">
        <v>37469</v>
      </c>
      <c r="H106" s="4">
        <v>87.562530177691499</v>
      </c>
      <c r="U106" s="3">
        <v>37530</v>
      </c>
      <c r="V106" s="4">
        <v>18.117689806171001</v>
      </c>
      <c r="W106" s="4">
        <f>VLOOKUP(U106,'conventional_refi_elig-old'!AA:AB,2,0)</f>
        <v>87.512331924893999</v>
      </c>
      <c r="X106" s="4">
        <v>87.353433582665104</v>
      </c>
    </row>
    <row r="107" spans="1:24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87.257450282460198</v>
      </c>
      <c r="G107" s="3">
        <v>37500</v>
      </c>
      <c r="H107" s="4">
        <v>87.452257702126204</v>
      </c>
      <c r="U107" s="3">
        <v>37561</v>
      </c>
      <c r="V107" s="4">
        <v>17.510332276808001</v>
      </c>
      <c r="W107" s="4">
        <f>VLOOKUP(U107,'conventional_refi_elig-old'!AA:AB,2,0)</f>
        <v>87.485744139592001</v>
      </c>
      <c r="X107" s="4">
        <v>87.257450282460198</v>
      </c>
    </row>
    <row r="108" spans="1:24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87.172606718407806</v>
      </c>
      <c r="G108" s="3">
        <v>37530</v>
      </c>
      <c r="H108" s="4">
        <v>87.353433582665104</v>
      </c>
      <c r="U108" s="3">
        <v>37591</v>
      </c>
      <c r="V108" s="4">
        <v>16.914919850637599</v>
      </c>
      <c r="W108" s="4">
        <f>VLOOKUP(U108,'conventional_refi_elig-old'!AA:AB,2,0)</f>
        <v>87.445232638571099</v>
      </c>
      <c r="X108" s="4">
        <v>87.172606718407806</v>
      </c>
    </row>
    <row r="109" spans="1:24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87.129265497458803</v>
      </c>
      <c r="G109" s="3">
        <v>37561</v>
      </c>
      <c r="H109" s="4">
        <v>87.257450282460198</v>
      </c>
      <c r="U109" s="3">
        <v>37622</v>
      </c>
      <c r="V109" s="4">
        <v>16.315177485432901</v>
      </c>
      <c r="W109" s="4">
        <f>VLOOKUP(U109,'conventional_refi_elig-old'!AA:AB,2,0)</f>
        <v>87.370538177379203</v>
      </c>
      <c r="X109" s="4">
        <v>87.129265497458803</v>
      </c>
    </row>
    <row r="110" spans="1:24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87.109877746218899</v>
      </c>
      <c r="G110" s="3">
        <v>37591</v>
      </c>
      <c r="H110" s="4">
        <v>87.172606718407806</v>
      </c>
      <c r="U110" s="3">
        <v>37653</v>
      </c>
      <c r="V110" s="4">
        <v>15.6896265498711</v>
      </c>
      <c r="W110" s="4">
        <f>VLOOKUP(U110,'conventional_refi_elig-old'!AA:AB,2,0)</f>
        <v>87.3587896847515</v>
      </c>
      <c r="X110" s="4">
        <v>87.109877746218899</v>
      </c>
    </row>
    <row r="111" spans="1:24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87.087420386953795</v>
      </c>
      <c r="G111" s="3">
        <v>37622</v>
      </c>
      <c r="H111" s="4">
        <v>87.129265497458803</v>
      </c>
      <c r="U111" s="3">
        <v>37681</v>
      </c>
      <c r="V111" s="4">
        <v>15.153973556269399</v>
      </c>
      <c r="W111" s="4">
        <f>VLOOKUP(U111,'conventional_refi_elig-old'!AA:AB,2,0)</f>
        <v>87.366862250795293</v>
      </c>
      <c r="X111" s="4">
        <v>87.087420386953795</v>
      </c>
    </row>
    <row r="112" spans="1:24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87.084098887905398</v>
      </c>
      <c r="G112" s="3">
        <v>37653</v>
      </c>
      <c r="H112" s="4">
        <v>87.109877746218899</v>
      </c>
      <c r="U112" s="3">
        <v>37712</v>
      </c>
      <c r="V112" s="4">
        <v>14.647521295140701</v>
      </c>
      <c r="W112" s="4">
        <f>VLOOKUP(U112,'conventional_refi_elig-old'!AA:AB,2,0)</f>
        <v>87.3665003726084</v>
      </c>
      <c r="X112" s="4">
        <v>87.084098887905398</v>
      </c>
    </row>
    <row r="113" spans="1:24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86.714556900057502</v>
      </c>
      <c r="G113" s="3">
        <v>37681</v>
      </c>
      <c r="H113" s="4">
        <v>87.087420386953795</v>
      </c>
      <c r="U113" s="3">
        <v>37742</v>
      </c>
      <c r="V113" s="4">
        <v>14.1500870310718</v>
      </c>
      <c r="W113" s="4">
        <f>VLOOKUP(U113,'conventional_refi_elig-old'!AA:AB,2,0)</f>
        <v>87.440175577590793</v>
      </c>
      <c r="X113" s="4">
        <v>86.714556900057502</v>
      </c>
    </row>
    <row r="114" spans="1:24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86.530358046206302</v>
      </c>
      <c r="G114" s="3">
        <v>37712</v>
      </c>
      <c r="H114" s="4">
        <v>87.084098887905398</v>
      </c>
      <c r="U114" s="3">
        <v>37773</v>
      </c>
      <c r="V114" s="4">
        <v>13.8993751674187</v>
      </c>
      <c r="W114" s="4">
        <f>VLOOKUP(U114,'conventional_refi_elig-old'!AA:AB,2,0)</f>
        <v>87.534653803241099</v>
      </c>
      <c r="X114" s="4">
        <v>86.530358046206302</v>
      </c>
    </row>
    <row r="115" spans="1:24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86.599883508001298</v>
      </c>
      <c r="G115" s="3">
        <v>37742</v>
      </c>
      <c r="H115" s="4">
        <v>86.714556900057502</v>
      </c>
      <c r="U115" s="3">
        <v>37803</v>
      </c>
      <c r="V115" s="4">
        <v>14.392143484176801</v>
      </c>
      <c r="W115" s="4">
        <f>VLOOKUP(U115,'conventional_refi_elig-old'!AA:AB,2,0)</f>
        <v>87.5949123058287</v>
      </c>
      <c r="X115" s="4">
        <v>86.599883508001298</v>
      </c>
    </row>
    <row r="116" spans="1:24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86.621576475268597</v>
      </c>
      <c r="G116" s="3">
        <v>37773</v>
      </c>
      <c r="H116" s="4">
        <v>86.530358046206302</v>
      </c>
      <c r="U116" s="3">
        <v>37834</v>
      </c>
      <c r="V116" s="4">
        <v>15.0511352239203</v>
      </c>
      <c r="W116" s="4">
        <f>VLOOKUP(U116,'conventional_refi_elig-old'!AA:AB,2,0)</f>
        <v>87.705258310248198</v>
      </c>
      <c r="X116" s="4">
        <v>86.621576475268597</v>
      </c>
    </row>
    <row r="117" spans="1:24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86.638988421167994</v>
      </c>
      <c r="G117" s="3">
        <v>37803</v>
      </c>
      <c r="H117" s="4">
        <v>86.599883508001298</v>
      </c>
      <c r="U117" s="3">
        <v>37865</v>
      </c>
      <c r="V117" s="4">
        <v>15.4388178387363</v>
      </c>
      <c r="W117" s="4">
        <f>VLOOKUP(U117,'conventional_refi_elig-old'!AA:AB,2,0)</f>
        <v>87.755743416356694</v>
      </c>
      <c r="X117" s="4">
        <v>86.638988421167994</v>
      </c>
    </row>
    <row r="118" spans="1:24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86.6565435457061</v>
      </c>
      <c r="G118" s="3">
        <v>37834</v>
      </c>
      <c r="H118" s="4">
        <v>86.621576475268597</v>
      </c>
      <c r="U118" s="3">
        <v>37895</v>
      </c>
      <c r="V118" s="4">
        <v>15.712538869975001</v>
      </c>
      <c r="W118" s="4">
        <f>VLOOKUP(U118,'conventional_refi_elig-old'!AA:AB,2,0)</f>
        <v>87.868978262737997</v>
      </c>
      <c r="X118" s="4">
        <v>86.6565435457061</v>
      </c>
    </row>
    <row r="119" spans="1:24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86.623627534214194</v>
      </c>
      <c r="G119" s="3">
        <v>37865</v>
      </c>
      <c r="H119" s="4">
        <v>86.638988421167994</v>
      </c>
      <c r="U119" s="3">
        <v>37926</v>
      </c>
      <c r="V119" s="4">
        <v>15.7367836343841</v>
      </c>
      <c r="W119" s="4">
        <f>VLOOKUP(U119,'conventional_refi_elig-old'!AA:AB,2,0)</f>
        <v>87.942381246075001</v>
      </c>
      <c r="X119" s="4">
        <v>86.623627534214194</v>
      </c>
    </row>
    <row r="120" spans="1:24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86.610717721113502</v>
      </c>
      <c r="G120" s="3">
        <v>37895</v>
      </c>
      <c r="H120" s="4">
        <v>86.6565435457061</v>
      </c>
      <c r="U120" s="3">
        <v>37956</v>
      </c>
      <c r="V120" s="4">
        <v>15.6078351372489</v>
      </c>
      <c r="W120" s="4">
        <f>VLOOKUP(U120,'conventional_refi_elig-old'!AA:AB,2,0)</f>
        <v>88.050881062194804</v>
      </c>
      <c r="X120" s="4">
        <v>86.610717721113502</v>
      </c>
    </row>
    <row r="121" spans="1:24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86.490801222106697</v>
      </c>
      <c r="G121" s="3">
        <v>37926</v>
      </c>
      <c r="H121" s="4">
        <v>86.623627534214194</v>
      </c>
      <c r="U121" s="3">
        <v>37987</v>
      </c>
      <c r="V121" s="4">
        <v>15.632002137203299</v>
      </c>
      <c r="W121" s="4">
        <f>VLOOKUP(U121,'conventional_refi_elig-old'!AA:AB,2,0)</f>
        <v>88.084074147928803</v>
      </c>
      <c r="X121" s="4">
        <v>86.490801222106697</v>
      </c>
    </row>
    <row r="122" spans="1:24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86.500345845228196</v>
      </c>
      <c r="G122" s="3">
        <v>37956</v>
      </c>
      <c r="H122" s="4">
        <v>86.610717721113502</v>
      </c>
      <c r="U122" s="3">
        <v>38018</v>
      </c>
      <c r="V122" s="4">
        <v>15.6991634367233</v>
      </c>
      <c r="W122" s="4">
        <f>VLOOKUP(U122,'conventional_refi_elig-old'!AA:AB,2,0)</f>
        <v>88.105767536891705</v>
      </c>
      <c r="X122" s="4">
        <v>86.500345845228196</v>
      </c>
    </row>
    <row r="123" spans="1:24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86.591246002301901</v>
      </c>
      <c r="G123" s="3">
        <v>37987</v>
      </c>
      <c r="H123" s="4">
        <v>86.490801222106697</v>
      </c>
      <c r="U123" s="3">
        <v>38047</v>
      </c>
      <c r="V123" s="4">
        <v>15.7541313694003</v>
      </c>
      <c r="W123" s="4">
        <f>VLOOKUP(U123,'conventional_refi_elig-old'!AA:AB,2,0)</f>
        <v>88.134375617136001</v>
      </c>
      <c r="X123" s="4">
        <v>86.591246002301901</v>
      </c>
    </row>
    <row r="124" spans="1:24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86.6936382398993</v>
      </c>
      <c r="G124" s="3">
        <v>38018</v>
      </c>
      <c r="H124" s="4">
        <v>86.500345845228196</v>
      </c>
      <c r="U124" s="3">
        <v>38078</v>
      </c>
      <c r="V124" s="4">
        <v>15.935376975898899</v>
      </c>
      <c r="W124" s="4">
        <f>VLOOKUP(U124,'conventional_refi_elig-old'!AA:AB,2,0)</f>
        <v>88.221138612025896</v>
      </c>
      <c r="X124" s="4">
        <v>86.6936382398993</v>
      </c>
    </row>
    <row r="125" spans="1:24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86.7638962162914</v>
      </c>
      <c r="G125" s="3">
        <v>38047</v>
      </c>
      <c r="H125" s="4">
        <v>86.591246002301901</v>
      </c>
      <c r="U125" s="3">
        <v>38108</v>
      </c>
      <c r="V125" s="4">
        <v>16.152149923341899</v>
      </c>
      <c r="W125" s="4">
        <f>VLOOKUP(U125,'conventional_refi_elig-old'!AA:AB,2,0)</f>
        <v>88.2796976810329</v>
      </c>
      <c r="X125" s="4">
        <v>86.7638962162914</v>
      </c>
    </row>
    <row r="126" spans="1:24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86.843761341058695</v>
      </c>
      <c r="G126" s="3">
        <v>38078</v>
      </c>
      <c r="H126" s="4">
        <v>86.6936382398993</v>
      </c>
      <c r="U126" s="3">
        <v>38139</v>
      </c>
      <c r="V126" s="4">
        <v>16.253329516238299</v>
      </c>
      <c r="W126" s="4">
        <f>VLOOKUP(U126,'conventional_refi_elig-old'!AA:AB,2,0)</f>
        <v>88.359195659260095</v>
      </c>
      <c r="X126" s="4">
        <v>86.843761341058695</v>
      </c>
    </row>
    <row r="127" spans="1:24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86.951509448135894</v>
      </c>
      <c r="G127" s="3">
        <v>38108</v>
      </c>
      <c r="H127" s="4">
        <v>86.7638962162914</v>
      </c>
      <c r="U127" s="3">
        <v>38169</v>
      </c>
      <c r="V127" s="4">
        <v>16.407424120837401</v>
      </c>
      <c r="W127" s="4">
        <f>VLOOKUP(U127,'conventional_refi_elig-old'!AA:AB,2,0)</f>
        <v>88.386130968417604</v>
      </c>
      <c r="X127" s="4">
        <v>86.951509448135894</v>
      </c>
    </row>
    <row r="128" spans="1:24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87.063014023675905</v>
      </c>
      <c r="G128" s="3">
        <v>38139</v>
      </c>
      <c r="H128" s="4">
        <v>86.843761341058695</v>
      </c>
      <c r="U128" s="3">
        <v>38200</v>
      </c>
      <c r="V128" s="4">
        <v>16.6026934019865</v>
      </c>
      <c r="W128" s="4">
        <f>VLOOKUP(U128,'conventional_refi_elig-old'!AA:AB,2,0)</f>
        <v>88.444880925534704</v>
      </c>
      <c r="X128" s="4">
        <v>87.063014023675905</v>
      </c>
    </row>
    <row r="129" spans="1:24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87.146844314777596</v>
      </c>
      <c r="G129" s="3">
        <v>38169</v>
      </c>
      <c r="H129" s="4">
        <v>86.951509448135894</v>
      </c>
      <c r="U129" s="3">
        <v>38231</v>
      </c>
      <c r="V129" s="4">
        <v>16.734934455602001</v>
      </c>
      <c r="W129" s="4">
        <f>VLOOKUP(U129,'conventional_refi_elig-old'!AA:AB,2,0)</f>
        <v>88.531840576166104</v>
      </c>
      <c r="X129" s="4">
        <v>87.146844314777596</v>
      </c>
    </row>
    <row r="130" spans="1:24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87.209672701657695</v>
      </c>
      <c r="G130" s="3">
        <v>38200</v>
      </c>
      <c r="H130" s="4">
        <v>87.063014023675905</v>
      </c>
      <c r="U130" s="3">
        <v>38261</v>
      </c>
      <c r="V130" s="4">
        <v>16.910177197623</v>
      </c>
      <c r="W130" s="4">
        <f>VLOOKUP(U130,'conventional_refi_elig-old'!AA:AB,2,0)</f>
        <v>88.591423485742794</v>
      </c>
      <c r="X130" s="4">
        <v>87.209672701657695</v>
      </c>
    </row>
    <row r="131" spans="1:24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87.268068654338407</v>
      </c>
      <c r="G131" s="3">
        <v>38231</v>
      </c>
      <c r="H131" s="4">
        <v>87.146844314777596</v>
      </c>
      <c r="U131" s="3">
        <v>38292</v>
      </c>
      <c r="V131" s="4">
        <v>17.103542773184898</v>
      </c>
      <c r="W131" s="4">
        <f>VLOOKUP(U131,'conventional_refi_elig-old'!AA:AB,2,0)</f>
        <v>88.652693025769906</v>
      </c>
      <c r="X131" s="4">
        <v>87.268068654338407</v>
      </c>
    </row>
    <row r="132" spans="1:24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87.364569637615503</v>
      </c>
      <c r="G132" s="3">
        <v>38261</v>
      </c>
      <c r="H132" s="4">
        <v>87.209672701657695</v>
      </c>
      <c r="U132" s="3">
        <v>38322</v>
      </c>
      <c r="V132" s="4">
        <v>17.321215293521</v>
      </c>
      <c r="W132" s="4">
        <f>VLOOKUP(U132,'conventional_refi_elig-old'!AA:AB,2,0)</f>
        <v>88.723270104119905</v>
      </c>
      <c r="X132" s="4">
        <v>87.364569637615503</v>
      </c>
    </row>
    <row r="133" spans="1:24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87.456943654591001</v>
      </c>
      <c r="G133" s="3">
        <v>38292</v>
      </c>
      <c r="H133" s="4">
        <v>87.268068654338407</v>
      </c>
      <c r="U133" s="3">
        <v>38353</v>
      </c>
      <c r="V133" s="4">
        <v>17.576631455242701</v>
      </c>
      <c r="W133" s="4">
        <f>VLOOKUP(U133,'conventional_refi_elig-old'!AA:AB,2,0)</f>
        <v>88.829845686075501</v>
      </c>
      <c r="X133" s="4">
        <v>87.456943654591001</v>
      </c>
    </row>
    <row r="134" spans="1:24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87.544134636964202</v>
      </c>
      <c r="G134" s="3">
        <v>38322</v>
      </c>
      <c r="H134" s="4">
        <v>87.364569637615503</v>
      </c>
      <c r="U134" s="3">
        <v>38384</v>
      </c>
      <c r="V134" s="4">
        <v>17.690183783761601</v>
      </c>
      <c r="W134" s="4">
        <f>VLOOKUP(U134,'conventional_refi_elig-old'!AA:AB,2,0)</f>
        <v>88.875416801239993</v>
      </c>
      <c r="X134" s="4">
        <v>87.544134636964202</v>
      </c>
    </row>
    <row r="135" spans="1:24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87.639782044724896</v>
      </c>
      <c r="G135" s="3">
        <v>38353</v>
      </c>
      <c r="H135" s="4">
        <v>87.456943654591001</v>
      </c>
      <c r="U135" s="3">
        <v>38412</v>
      </c>
      <c r="V135" s="4">
        <v>17.9380464244949</v>
      </c>
      <c r="W135" s="4">
        <f>VLOOKUP(U135,'conventional_refi_elig-old'!AA:AB,2,0)</f>
        <v>88.930022726333107</v>
      </c>
      <c r="X135" s="4">
        <v>87.639782044724896</v>
      </c>
    </row>
    <row r="136" spans="1:24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86.998545907648506</v>
      </c>
      <c r="G136" s="3">
        <v>38384</v>
      </c>
      <c r="H136" s="4">
        <v>87.544134636964202</v>
      </c>
      <c r="U136" s="3">
        <v>38443</v>
      </c>
      <c r="V136" s="4">
        <v>15.217267334447699</v>
      </c>
      <c r="W136" s="4">
        <f>VLOOKUP(U136,'conventional_refi_elig-old'!AA:AB,2,0)</f>
        <v>89.072123444957199</v>
      </c>
      <c r="X136" s="4">
        <v>86.998545907648506</v>
      </c>
    </row>
    <row r="137" spans="1:24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87.070158300687197</v>
      </c>
      <c r="G137" s="3">
        <v>38412</v>
      </c>
      <c r="H137" s="4">
        <v>87.639782044724896</v>
      </c>
      <c r="U137" s="3">
        <v>38473</v>
      </c>
      <c r="V137" s="4">
        <v>15.3209729937092</v>
      </c>
      <c r="W137" s="4">
        <f>VLOOKUP(U137,'conventional_refi_elig-old'!AA:AB,2,0)</f>
        <v>89.125361401376196</v>
      </c>
      <c r="X137" s="4">
        <v>87.070158300687197</v>
      </c>
    </row>
    <row r="138" spans="1:24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87.098433188484606</v>
      </c>
      <c r="G138" s="3">
        <v>38443</v>
      </c>
      <c r="H138" s="4">
        <v>86.998545907648506</v>
      </c>
      <c r="U138" s="3">
        <v>38504</v>
      </c>
      <c r="V138" s="4">
        <v>15.407947488</v>
      </c>
      <c r="W138" s="4">
        <f>VLOOKUP(U138,'conventional_refi_elig-old'!AA:AB,2,0)</f>
        <v>89.198205762551396</v>
      </c>
      <c r="X138" s="4">
        <v>87.098433188484606</v>
      </c>
    </row>
    <row r="139" spans="1:24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87.9459395061577</v>
      </c>
      <c r="G139" s="3">
        <v>38473</v>
      </c>
      <c r="H139" s="4">
        <v>87.070158300687197</v>
      </c>
      <c r="U139" s="3">
        <v>38534</v>
      </c>
      <c r="V139" s="4">
        <v>18.4636805417645</v>
      </c>
      <c r="W139" s="4">
        <f>VLOOKUP(U139,'conventional_refi_elig-old'!AA:AB,2,0)</f>
        <v>89.254039252913302</v>
      </c>
      <c r="X139" s="4">
        <v>87.9459395061577</v>
      </c>
    </row>
    <row r="140" spans="1:24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88.022032441905296</v>
      </c>
      <c r="G140" s="3">
        <v>38504</v>
      </c>
      <c r="H140" s="4">
        <v>87.098433188484606</v>
      </c>
      <c r="U140" s="3">
        <v>38565</v>
      </c>
      <c r="V140" s="4">
        <v>18.656002221477902</v>
      </c>
      <c r="W140" s="4">
        <f>VLOOKUP(U140,'conventional_refi_elig-old'!AA:AB,2,0)</f>
        <v>89.285574490843004</v>
      </c>
      <c r="X140" s="4">
        <v>88.022032441905296</v>
      </c>
    </row>
    <row r="141" spans="1:24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88.124632886633407</v>
      </c>
      <c r="G141" s="3">
        <v>38534</v>
      </c>
      <c r="H141" s="4">
        <v>87.9459395061577</v>
      </c>
      <c r="U141" s="3">
        <v>38596</v>
      </c>
      <c r="V141" s="4">
        <v>18.955787144097901</v>
      </c>
      <c r="W141" s="4">
        <f>VLOOKUP(U141,'conventional_refi_elig-old'!AA:AB,2,0)</f>
        <v>89.348688696911395</v>
      </c>
      <c r="X141" s="4">
        <v>88.124632886633407</v>
      </c>
    </row>
    <row r="142" spans="1:24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88.184165619189002</v>
      </c>
      <c r="G142" s="3">
        <v>38565</v>
      </c>
      <c r="H142" s="4">
        <v>88.022032441905296</v>
      </c>
      <c r="U142" s="3">
        <v>38626</v>
      </c>
      <c r="V142" s="4">
        <v>19.147463437467501</v>
      </c>
      <c r="W142" s="4">
        <f>VLOOKUP(U142,'conventional_refi_elig-old'!AA:AB,2,0)</f>
        <v>89.338391137991394</v>
      </c>
      <c r="X142" s="4">
        <v>88.184165619189002</v>
      </c>
    </row>
    <row r="143" spans="1:24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88.253865925312297</v>
      </c>
      <c r="G143" s="3">
        <v>38596</v>
      </c>
      <c r="H143" s="4">
        <v>88.124632886633407</v>
      </c>
      <c r="U143" s="3">
        <v>38657</v>
      </c>
      <c r="V143" s="4">
        <v>19.351711971212598</v>
      </c>
      <c r="W143" s="4">
        <f>VLOOKUP(U143,'conventional_refi_elig-old'!AA:AB,2,0)</f>
        <v>89.370147218990098</v>
      </c>
      <c r="X143" s="4">
        <v>88.253865925312297</v>
      </c>
    </row>
    <row r="144" spans="1:24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88.310544229910604</v>
      </c>
      <c r="G144" s="3">
        <v>38626</v>
      </c>
      <c r="H144" s="4">
        <v>88.184165619189002</v>
      </c>
      <c r="U144" s="3">
        <v>38687</v>
      </c>
      <c r="V144" s="4">
        <v>19.388590947095</v>
      </c>
      <c r="W144" s="4">
        <f>VLOOKUP(U144,'conventional_refi_elig-old'!AA:AB,2,0)</f>
        <v>89.395771016600804</v>
      </c>
      <c r="X144" s="4">
        <v>88.310544229910604</v>
      </c>
    </row>
    <row r="145" spans="1:24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88.375512309580699</v>
      </c>
      <c r="G145" s="3">
        <v>38657</v>
      </c>
      <c r="H145" s="4">
        <v>88.253865925312297</v>
      </c>
      <c r="U145" s="3">
        <v>38718</v>
      </c>
      <c r="V145" s="4">
        <v>19.621624068600301</v>
      </c>
      <c r="W145" s="4">
        <f>VLOOKUP(U145,'conventional_refi_elig-old'!AA:AB,2,0)</f>
        <v>89.406108931294</v>
      </c>
      <c r="X145" s="4">
        <v>88.375512309580699</v>
      </c>
    </row>
    <row r="146" spans="1:24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88.411336628136198</v>
      </c>
      <c r="G146" s="3">
        <v>38687</v>
      </c>
      <c r="H146" s="4">
        <v>88.310544229910604</v>
      </c>
      <c r="U146" s="3">
        <v>38749</v>
      </c>
      <c r="V146" s="4">
        <v>19.7527965231486</v>
      </c>
      <c r="W146" s="4">
        <f>VLOOKUP(U146,'conventional_refi_elig-old'!AA:AB,2,0)</f>
        <v>89.475207292258503</v>
      </c>
      <c r="X146" s="4">
        <v>88.411336628136198</v>
      </c>
    </row>
    <row r="147" spans="1:24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88.483119825112595</v>
      </c>
      <c r="G147" s="3">
        <v>38718</v>
      </c>
      <c r="H147" s="4">
        <v>88.375512309580699</v>
      </c>
      <c r="U147" s="3">
        <v>38777</v>
      </c>
      <c r="V147" s="4">
        <v>19.9893848782813</v>
      </c>
      <c r="W147" s="4">
        <f>VLOOKUP(U147,'conventional_refi_elig-old'!AA:AB,2,0)</f>
        <v>89.538278655785604</v>
      </c>
      <c r="X147" s="4">
        <v>88.483119825112595</v>
      </c>
    </row>
    <row r="148" spans="1:24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88.552900051835806</v>
      </c>
      <c r="G148" s="3">
        <v>38749</v>
      </c>
      <c r="H148" s="4">
        <v>88.411336628136198</v>
      </c>
      <c r="U148" s="3">
        <v>38808</v>
      </c>
      <c r="V148" s="4">
        <v>20.134828364334201</v>
      </c>
      <c r="W148" s="4">
        <f>VLOOKUP(U148,'conventional_refi_elig-old'!AA:AB,2,0)</f>
        <v>89.622606212205895</v>
      </c>
      <c r="X148" s="4">
        <v>88.552900051835806</v>
      </c>
    </row>
    <row r="149" spans="1:24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88.639814557968094</v>
      </c>
      <c r="G149" s="3">
        <v>38777</v>
      </c>
      <c r="H149" s="4">
        <v>88.483119825112595</v>
      </c>
      <c r="U149" s="3">
        <v>38838</v>
      </c>
      <c r="V149" s="4">
        <v>20.2937457805462</v>
      </c>
      <c r="W149" s="4">
        <f>VLOOKUP(U149,'conventional_refi_elig-old'!AA:AB,2,0)</f>
        <v>89.707410139325304</v>
      </c>
      <c r="X149" s="4">
        <v>88.639814557968094</v>
      </c>
    </row>
    <row r="150" spans="1:24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88.686965237758798</v>
      </c>
      <c r="G150" s="3">
        <v>38808</v>
      </c>
      <c r="H150" s="4">
        <v>88.552900051835806</v>
      </c>
      <c r="U150" s="3">
        <v>38869</v>
      </c>
      <c r="V150" s="4">
        <v>20.313213395218</v>
      </c>
      <c r="W150" s="4">
        <f>VLOOKUP(U150,'conventional_refi_elig-old'!AA:AB,2,0)</f>
        <v>89.775199167466297</v>
      </c>
      <c r="X150" s="4">
        <v>88.686965237758798</v>
      </c>
    </row>
    <row r="151" spans="1:24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88.662003187691198</v>
      </c>
      <c r="G151" s="3">
        <v>38838</v>
      </c>
      <c r="H151" s="4">
        <v>88.639814557968094</v>
      </c>
      <c r="U151" s="3">
        <v>38899</v>
      </c>
      <c r="V151" s="4">
        <v>20.275300139940899</v>
      </c>
      <c r="W151" s="4">
        <f>VLOOKUP(U151,'conventional_refi_elig-old'!AA:AB,2,0)</f>
        <v>89.784352669818205</v>
      </c>
      <c r="X151" s="4">
        <v>88.662003187691198</v>
      </c>
    </row>
    <row r="152" spans="1:24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88.633184128491806</v>
      </c>
      <c r="G152" s="3">
        <v>38869</v>
      </c>
      <c r="H152" s="4">
        <v>88.686965237758798</v>
      </c>
      <c r="U152" s="3">
        <v>38930</v>
      </c>
      <c r="V152" s="4">
        <v>20.271480961853499</v>
      </c>
      <c r="W152" s="4">
        <f>VLOOKUP(U152,'conventional_refi_elig-old'!AA:AB,2,0)</f>
        <v>89.808847866585197</v>
      </c>
      <c r="X152" s="4">
        <v>88.633184128491806</v>
      </c>
    </row>
    <row r="153" spans="1:24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88.575908177825596</v>
      </c>
      <c r="G153" s="3">
        <v>38899</v>
      </c>
      <c r="H153" s="4">
        <v>88.662003187691198</v>
      </c>
      <c r="U153" s="3">
        <v>38961</v>
      </c>
      <c r="V153" s="4">
        <v>20.2195203451585</v>
      </c>
      <c r="W153" s="4">
        <f>VLOOKUP(U153,'conventional_refi_elig-old'!AA:AB,2,0)</f>
        <v>88.564265133633199</v>
      </c>
      <c r="X153" s="4">
        <v>88.575908177825596</v>
      </c>
    </row>
    <row r="154" spans="1:24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88.490973230128603</v>
      </c>
      <c r="G154" s="3">
        <v>38930</v>
      </c>
      <c r="H154" s="4">
        <v>88.633184128491806</v>
      </c>
      <c r="U154" s="3">
        <v>38991</v>
      </c>
      <c r="V154" s="4">
        <v>20.190238445827401</v>
      </c>
      <c r="W154" s="4">
        <f>VLOOKUP(U154,'conventional_refi_elig-old'!AA:AB,2,0)</f>
        <v>88.718118200961499</v>
      </c>
      <c r="X154" s="4">
        <v>88.490973230128603</v>
      </c>
    </row>
    <row r="155" spans="1:24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88.425241161272297</v>
      </c>
      <c r="G155" s="3">
        <v>38961</v>
      </c>
      <c r="H155" s="4">
        <v>88.575908177825596</v>
      </c>
      <c r="U155" s="3">
        <v>39022</v>
      </c>
      <c r="V155" s="4">
        <v>20.097366027350098</v>
      </c>
      <c r="W155" s="4">
        <f>VLOOKUP(U155,'conventional_refi_elig-old'!AA:AB,2,0)</f>
        <v>89.030330750412503</v>
      </c>
      <c r="X155" s="4">
        <v>88.425241161272297</v>
      </c>
    </row>
    <row r="156" spans="1:24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88.308333009149194</v>
      </c>
      <c r="G156" s="3">
        <v>38991</v>
      </c>
      <c r="H156" s="4">
        <v>88.490973230128603</v>
      </c>
      <c r="U156" s="3">
        <v>39052</v>
      </c>
      <c r="V156" s="4">
        <v>20.054032617926101</v>
      </c>
      <c r="W156" s="4">
        <f>VLOOKUP(U156,'conventional_refi_elig-old'!AA:AB,2,0)</f>
        <v>89.182762274168795</v>
      </c>
      <c r="X156" s="4">
        <v>88.308333009149194</v>
      </c>
    </row>
    <row r="157" spans="1:24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88.250993556478804</v>
      </c>
      <c r="G157" s="3">
        <v>39022</v>
      </c>
      <c r="H157" s="4">
        <v>88.425241161272297</v>
      </c>
      <c r="U157" s="3">
        <v>39083</v>
      </c>
      <c r="V157" s="4">
        <v>20.021928971829301</v>
      </c>
      <c r="W157" s="4">
        <f>VLOOKUP(U157,'conventional_refi_elig-old'!AA:AB,2,0)</f>
        <v>88.634563936587895</v>
      </c>
      <c r="X157" s="4">
        <v>88.250993556478804</v>
      </c>
    </row>
    <row r="158" spans="1:24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88.231156768375001</v>
      </c>
      <c r="G158" s="3">
        <v>39052</v>
      </c>
      <c r="H158" s="4">
        <v>88.308333009149194</v>
      </c>
      <c r="U158" s="3">
        <v>39114</v>
      </c>
      <c r="V158" s="4">
        <v>19.981894696635301</v>
      </c>
      <c r="W158" s="4">
        <f>VLOOKUP(U158,'conventional_refi_elig-old'!AA:AB,2,0)</f>
        <v>88.964771030614202</v>
      </c>
      <c r="X158" s="4">
        <v>88.231156768375001</v>
      </c>
    </row>
    <row r="159" spans="1:24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88.191237844041098</v>
      </c>
      <c r="G159" s="3">
        <v>39083</v>
      </c>
      <c r="H159" s="4">
        <v>88.250993556478804</v>
      </c>
      <c r="U159" s="3">
        <v>39142</v>
      </c>
      <c r="V159" s="4">
        <v>20.033413413481199</v>
      </c>
      <c r="W159" s="4">
        <f>VLOOKUP(U159,'conventional_refi_elig-old'!AA:AB,2,0)</f>
        <v>88.573890165799995</v>
      </c>
      <c r="X159" s="4">
        <v>88.191237844041098</v>
      </c>
    </row>
    <row r="160" spans="1:24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88.242387435627606</v>
      </c>
      <c r="G160" s="3">
        <v>39114</v>
      </c>
      <c r="H160" s="4">
        <v>88.231156768375001</v>
      </c>
      <c r="U160" s="3">
        <v>39173</v>
      </c>
      <c r="V160" s="4">
        <v>20.0065591444652</v>
      </c>
      <c r="W160" s="4">
        <f>VLOOKUP(U160,'conventional_refi_elig-old'!AA:AB,2,0)</f>
        <v>88.946012579693601</v>
      </c>
      <c r="X160" s="4">
        <v>88.242387435627606</v>
      </c>
    </row>
    <row r="161" spans="1:24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88.251108461551894</v>
      </c>
      <c r="G161" s="3">
        <v>39142</v>
      </c>
      <c r="H161" s="4">
        <v>88.191237844041098</v>
      </c>
      <c r="U161" s="3">
        <v>39203</v>
      </c>
      <c r="V161" s="4">
        <v>19.994139302062099</v>
      </c>
      <c r="W161" s="4">
        <f>VLOOKUP(U161,'conventional_refi_elig-old'!AA:AB,2,0)</f>
        <v>89.210969925319404</v>
      </c>
      <c r="X161" s="4">
        <v>88.251108461551894</v>
      </c>
    </row>
    <row r="162" spans="1:24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88.230248086247997</v>
      </c>
      <c r="G162" s="3">
        <v>39173</v>
      </c>
      <c r="H162" s="4">
        <v>88.242387435627606</v>
      </c>
      <c r="U162" s="3">
        <v>39234</v>
      </c>
      <c r="V162" s="4">
        <v>19.991168318051699</v>
      </c>
      <c r="W162" s="4">
        <f>VLOOKUP(U162,'conventional_refi_elig-old'!AA:AB,2,0)</f>
        <v>89.130691751235801</v>
      </c>
      <c r="X162" s="4">
        <v>88.230248086247997</v>
      </c>
    </row>
    <row r="163" spans="1:24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87.865863801511395</v>
      </c>
      <c r="G163" s="3">
        <v>39203</v>
      </c>
      <c r="H163" s="4">
        <v>88.251108461551894</v>
      </c>
      <c r="U163" s="3">
        <v>39264</v>
      </c>
      <c r="V163" s="4">
        <v>19.8040452527868</v>
      </c>
      <c r="W163" s="4">
        <f>VLOOKUP(U163,'conventional_refi_elig-old'!AA:AB,2,0)</f>
        <v>89.148915748873307</v>
      </c>
      <c r="X163" s="4">
        <v>87.865863801511395</v>
      </c>
    </row>
    <row r="164" spans="1:24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87.487743805972798</v>
      </c>
      <c r="G164" s="3">
        <v>39234</v>
      </c>
      <c r="H164" s="4">
        <v>88.230248086247997</v>
      </c>
      <c r="U164" s="3">
        <v>39295</v>
      </c>
      <c r="V164" s="4">
        <v>19.8230717211365</v>
      </c>
      <c r="W164" s="4">
        <f>VLOOKUP(U164,'conventional_refi_elig-old'!AA:AB,2,0)</f>
        <v>89.2053193621758</v>
      </c>
      <c r="X164" s="4">
        <v>87.487743805972798</v>
      </c>
    </row>
    <row r="165" spans="1:24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87.140811647425195</v>
      </c>
      <c r="G165" s="3">
        <v>39264</v>
      </c>
      <c r="H165" s="4">
        <v>87.865863801511395</v>
      </c>
      <c r="U165" s="3">
        <v>39326</v>
      </c>
      <c r="V165" s="4">
        <v>19.757166953734401</v>
      </c>
      <c r="W165" s="4">
        <f>VLOOKUP(U165,'conventional_refi_elig-old'!AA:AB,2,0)</f>
        <v>88.788227667979001</v>
      </c>
      <c r="X165" s="4">
        <v>87.140811647425195</v>
      </c>
    </row>
    <row r="166" spans="1:24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86.510796921157194</v>
      </c>
      <c r="G166" s="3">
        <v>39295</v>
      </c>
      <c r="H166" s="4">
        <v>87.487743805972798</v>
      </c>
      <c r="U166" s="3">
        <v>39356</v>
      </c>
      <c r="V166" s="4">
        <v>19.470007229199901</v>
      </c>
      <c r="W166" s="4">
        <f>VLOOKUP(U166,'conventional_refi_elig-old'!AA:AB,2,0)</f>
        <v>88.179894004947499</v>
      </c>
      <c r="X166" s="4">
        <v>86.510796921157194</v>
      </c>
    </row>
    <row r="167" spans="1:24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85.833051674316295</v>
      </c>
      <c r="G167" s="3">
        <v>39326</v>
      </c>
      <c r="H167" s="4">
        <v>87.140811647425195</v>
      </c>
      <c r="U167" s="3">
        <v>39387</v>
      </c>
      <c r="V167" s="4">
        <v>19.190160090800202</v>
      </c>
      <c r="W167" s="4">
        <f>VLOOKUP(U167,'conventional_refi_elig-old'!AA:AB,2,0)</f>
        <v>88.304705206090802</v>
      </c>
      <c r="X167" s="4">
        <v>85.833051674316295</v>
      </c>
    </row>
    <row r="168" spans="1:24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85.086742611489598</v>
      </c>
      <c r="G168" s="3">
        <v>39356</v>
      </c>
      <c r="H168" s="4">
        <v>86.510796921157194</v>
      </c>
      <c r="U168" s="3">
        <v>39417</v>
      </c>
      <c r="V168" s="4">
        <v>18.848461028118201</v>
      </c>
      <c r="W168" s="4">
        <f>VLOOKUP(U168,'conventional_refi_elig-old'!AA:AB,2,0)</f>
        <v>87.372890547298596</v>
      </c>
      <c r="X168" s="4">
        <v>85.086742611489598</v>
      </c>
    </row>
    <row r="169" spans="1:24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84.306024365993395</v>
      </c>
      <c r="G169" s="3">
        <v>39387</v>
      </c>
      <c r="H169" s="4">
        <v>85.833051674316295</v>
      </c>
      <c r="U169" s="3">
        <v>39448</v>
      </c>
      <c r="V169" s="4">
        <v>18.559699687475302</v>
      </c>
      <c r="W169" s="4">
        <f>VLOOKUP(U169,'conventional_refi_elig-old'!AA:AB,2,0)</f>
        <v>86.832632177839699</v>
      </c>
      <c r="X169" s="4">
        <v>84.306024365993395</v>
      </c>
    </row>
    <row r="170" spans="1:24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83.470443153985002</v>
      </c>
      <c r="G170" s="3">
        <v>39417</v>
      </c>
      <c r="H170" s="4">
        <v>85.086742611489598</v>
      </c>
      <c r="U170" s="3">
        <v>39479</v>
      </c>
      <c r="V170" s="4">
        <v>18.2620717884874</v>
      </c>
      <c r="W170" s="4">
        <f>VLOOKUP(U170,'conventional_refi_elig-old'!AA:AB,2,0)</f>
        <v>85.933940565323198</v>
      </c>
      <c r="X170" s="4">
        <v>83.470443153985002</v>
      </c>
    </row>
    <row r="171" spans="1:24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82.682961297469305</v>
      </c>
      <c r="G171" s="3">
        <v>39448</v>
      </c>
      <c r="H171" s="4">
        <v>84.306024365993395</v>
      </c>
      <c r="U171" s="3">
        <v>39508</v>
      </c>
      <c r="V171" s="4">
        <v>18.0338363373913</v>
      </c>
      <c r="W171" s="4">
        <f>VLOOKUP(U171,'conventional_refi_elig-old'!AA:AB,2,0)</f>
        <v>84.496594313225401</v>
      </c>
      <c r="X171" s="4">
        <v>82.682961297469305</v>
      </c>
    </row>
    <row r="172" spans="1:24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82.174662693842194</v>
      </c>
      <c r="G172" s="3">
        <v>39479</v>
      </c>
      <c r="H172" s="4">
        <v>83.470443153985002</v>
      </c>
      <c r="U172" s="3">
        <v>39539</v>
      </c>
      <c r="V172" s="4">
        <v>17.9733906693798</v>
      </c>
      <c r="W172" s="4">
        <f>VLOOKUP(U172,'conventional_refi_elig-old'!AA:AB,2,0)</f>
        <v>83.974665526216796</v>
      </c>
      <c r="X172" s="4">
        <v>82.174662693842194</v>
      </c>
    </row>
    <row r="173" spans="1:24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81.676845358394601</v>
      </c>
      <c r="G173" s="3">
        <v>39508</v>
      </c>
      <c r="H173" s="4">
        <v>82.682961297469305</v>
      </c>
      <c r="U173" s="3">
        <v>39569</v>
      </c>
      <c r="V173" s="4">
        <v>17.8877952256803</v>
      </c>
      <c r="W173" s="4">
        <f>VLOOKUP(U173,'conventional_refi_elig-old'!AA:AB,2,0)</f>
        <v>83.610002496999201</v>
      </c>
      <c r="X173" s="4">
        <v>81.676845358394601</v>
      </c>
    </row>
    <row r="174" spans="1:24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82.174662693842194</v>
      </c>
      <c r="U174" s="3">
        <v>39600</v>
      </c>
      <c r="V174" s="4">
        <v>18.050740292528602</v>
      </c>
      <c r="W174" s="4">
        <f>VLOOKUP(U174,'conventional_refi_elig-old'!AA:AB,2,0)</f>
        <v>83.097793218180598</v>
      </c>
      <c r="X174" s="4">
        <v>81.222261870160196</v>
      </c>
    </row>
    <row r="175" spans="1:24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81.222261870160196</v>
      </c>
      <c r="G175" s="3">
        <v>39569</v>
      </c>
      <c r="H175" s="4">
        <v>81.676845358394601</v>
      </c>
      <c r="U175" s="3">
        <v>39630</v>
      </c>
      <c r="V175" s="4">
        <v>18.158329864500999</v>
      </c>
      <c r="W175" s="4">
        <f>VLOOKUP(U175,'conventional_refi_elig-old'!AA:AB,2,0)</f>
        <v>82.942590170169595</v>
      </c>
      <c r="X175" s="4">
        <v>80.765426662454104</v>
      </c>
    </row>
    <row r="176" spans="1:24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80.765426662454104</v>
      </c>
      <c r="G176" s="3">
        <v>39600</v>
      </c>
      <c r="H176" s="4">
        <v>81.222261870160196</v>
      </c>
      <c r="U176" s="3">
        <v>39661</v>
      </c>
      <c r="V176" s="4">
        <v>18.175177167928599</v>
      </c>
      <c r="W176" s="4">
        <f>VLOOKUP(U176,'conventional_refi_elig-old'!AA:AB,2,0)</f>
        <v>83.144668466178601</v>
      </c>
      <c r="X176" s="4">
        <v>80.184063498883503</v>
      </c>
    </row>
    <row r="177" spans="1:24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80.765426662454104</v>
      </c>
      <c r="U177" s="3">
        <v>39692</v>
      </c>
      <c r="V177" s="4">
        <v>18.1116989790692</v>
      </c>
      <c r="W177" s="4">
        <f>VLOOKUP(U177,'conventional_refi_elig-old'!AA:AB,2,0)</f>
        <v>82.566955120590407</v>
      </c>
      <c r="X177" s="4">
        <v>79.547588593466699</v>
      </c>
    </row>
    <row r="178" spans="1:24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80.184063498883503</v>
      </c>
      <c r="G178" s="3">
        <v>39661</v>
      </c>
      <c r="H178" s="4">
        <v>80.184063498883503</v>
      </c>
      <c r="U178" s="3">
        <v>39722</v>
      </c>
      <c r="V178" s="4">
        <v>17.947216184410099</v>
      </c>
      <c r="W178" s="4">
        <f>VLOOKUP(U178,'conventional_refi_elig-old'!AA:AB,2,0)</f>
        <v>81.530228230536295</v>
      </c>
      <c r="X178" s="4">
        <v>78.552793329877005</v>
      </c>
    </row>
    <row r="179" spans="1:24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79.547588593466699</v>
      </c>
      <c r="U179" s="3">
        <v>39753</v>
      </c>
      <c r="V179" s="4">
        <v>17.7739165148956</v>
      </c>
      <c r="W179" s="4">
        <f>VLOOKUP(U179,'conventional_refi_elig-old'!AA:AB,2,0)</f>
        <v>80.856974699732703</v>
      </c>
      <c r="X179" s="4">
        <v>77.365069847559795</v>
      </c>
    </row>
    <row r="180" spans="1:24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79.547588593466699</v>
      </c>
      <c r="G180" s="3">
        <v>39722</v>
      </c>
      <c r="H180" s="4">
        <v>78.552793329877005</v>
      </c>
      <c r="U180" s="3">
        <v>39783</v>
      </c>
      <c r="V180" s="4">
        <v>17.6772094379834</v>
      </c>
      <c r="W180" s="4">
        <f>VLOOKUP(U180,'conventional_refi_elig-old'!AA:AB,2,0)</f>
        <v>79.525922663337795</v>
      </c>
      <c r="X180" s="4">
        <v>76.073411207412406</v>
      </c>
    </row>
    <row r="181" spans="1:24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77.365069847559795</v>
      </c>
      <c r="U181" s="3">
        <v>39814</v>
      </c>
      <c r="V181" s="4">
        <v>17.876036115989699</v>
      </c>
      <c r="W181" s="4">
        <f>VLOOKUP(U181,'conventional_refi_elig-old'!AA:AB,2,0)</f>
        <v>79.398809719351206</v>
      </c>
      <c r="X181" s="4">
        <v>75.8452530167921</v>
      </c>
    </row>
    <row r="182" spans="1:24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76.073411207412406</v>
      </c>
      <c r="U182" s="3">
        <v>39845</v>
      </c>
      <c r="V182" s="4">
        <v>17.970776019752901</v>
      </c>
      <c r="W182" s="4">
        <f>VLOOKUP(U182,'conventional_refi_elig-old'!AA:AB,2,0)</f>
        <v>79.286047607884299</v>
      </c>
      <c r="X182" s="4">
        <v>75.446892030611096</v>
      </c>
    </row>
    <row r="183" spans="1:24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78.552793329877005</v>
      </c>
      <c r="G183" s="3">
        <v>39814</v>
      </c>
      <c r="H183" s="4">
        <v>75.8452530167921</v>
      </c>
      <c r="U183" s="3">
        <v>39873</v>
      </c>
      <c r="V183" s="4">
        <v>18.156749921141699</v>
      </c>
      <c r="W183" s="4">
        <f>VLOOKUP(U183,'conventional_refi_elig-old'!AA:AB,2,0)</f>
        <v>78.1909227294354</v>
      </c>
      <c r="X183" s="4">
        <v>75.0343936997794</v>
      </c>
    </row>
    <row r="184" spans="1:24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75.446892030611096</v>
      </c>
      <c r="U184" s="3">
        <v>39904</v>
      </c>
      <c r="V184" s="4">
        <v>18.7978712660653</v>
      </c>
      <c r="W184" s="4">
        <f>VLOOKUP(U184,'conventional_refi_elig-old'!AA:AB,2,0)</f>
        <v>77.135811256494094</v>
      </c>
      <c r="X184" s="4">
        <v>75.645218218977107</v>
      </c>
    </row>
    <row r="185" spans="1:24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77.365069847559795</v>
      </c>
      <c r="G185" s="3">
        <v>39873</v>
      </c>
      <c r="H185" s="4">
        <v>75.0343936997794</v>
      </c>
      <c r="U185" s="3">
        <v>39934</v>
      </c>
      <c r="V185" s="4">
        <v>19.331783614157398</v>
      </c>
      <c r="W185" s="4">
        <f>VLOOKUP(U185,'conventional_refi_elig-old'!AA:AB,2,0)</f>
        <v>81.529181186328401</v>
      </c>
      <c r="X185" s="4">
        <v>75.952224157883407</v>
      </c>
    </row>
    <row r="186" spans="1:24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75.645218218977107</v>
      </c>
      <c r="U186" s="3">
        <v>39965</v>
      </c>
      <c r="V186" s="4">
        <v>19.559587332612601</v>
      </c>
      <c r="W186" s="4">
        <f>VLOOKUP(U186,'conventional_refi_elig-old'!AA:AB,2,0)</f>
        <v>81.829110816029598</v>
      </c>
      <c r="X186" s="4">
        <v>76.473711675546596</v>
      </c>
    </row>
    <row r="187" spans="1:24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76.073411207412406</v>
      </c>
      <c r="G187" s="3">
        <v>39934</v>
      </c>
      <c r="H187" s="4">
        <v>75.952224157883407</v>
      </c>
      <c r="U187" s="3">
        <v>39995</v>
      </c>
      <c r="V187" s="4">
        <v>20.122303454843699</v>
      </c>
      <c r="W187" s="4">
        <f>VLOOKUP(U187,'conventional_refi_elig-old'!AA:AB,2,0)</f>
        <v>82.089385010872107</v>
      </c>
      <c r="X187" s="4">
        <v>76.838599335138198</v>
      </c>
    </row>
    <row r="188" spans="1:24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75.8452530167921</v>
      </c>
      <c r="G188" s="3">
        <v>39965</v>
      </c>
      <c r="H188" s="4">
        <v>76.473711675546596</v>
      </c>
      <c r="U188" s="3">
        <v>40026</v>
      </c>
      <c r="V188" s="4">
        <v>20.887860532312299</v>
      </c>
      <c r="W188" s="4">
        <f>VLOOKUP(U188,'conventional_refi_elig-old'!AA:AB,2,0)</f>
        <v>80.710360837649702</v>
      </c>
      <c r="X188" s="4">
        <v>77.094317575543798</v>
      </c>
    </row>
    <row r="189" spans="1:24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76.838599335138198</v>
      </c>
      <c r="U189" s="3">
        <v>40057</v>
      </c>
      <c r="V189" s="4">
        <v>21.166289495229801</v>
      </c>
      <c r="W189" s="4">
        <f>VLOOKUP(U189,'conventional_refi_elig-old'!AA:AB,2,0)</f>
        <v>80.355194371457799</v>
      </c>
      <c r="X189" s="4">
        <v>77.3685526850023</v>
      </c>
    </row>
    <row r="190" spans="1:24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77.094317575543798</v>
      </c>
      <c r="U190" s="3">
        <v>40087</v>
      </c>
      <c r="V190" s="4">
        <v>21.389357643231499</v>
      </c>
      <c r="W190" s="4">
        <f>VLOOKUP(U190,'conventional_refi_elig-old'!AA:AB,2,0)</f>
        <v>81.121073009494395</v>
      </c>
      <c r="X190" s="4">
        <v>77.387977553334807</v>
      </c>
    </row>
    <row r="191" spans="1:24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75.446892030611096</v>
      </c>
      <c r="G191" s="3">
        <v>40057</v>
      </c>
      <c r="H191" s="4">
        <v>77.3685526850023</v>
      </c>
      <c r="U191" s="3">
        <v>40118</v>
      </c>
      <c r="V191" s="4">
        <v>21.632780952057999</v>
      </c>
      <c r="W191" s="4">
        <f>VLOOKUP(U191,'conventional_refi_elig-old'!AA:AB,2,0)</f>
        <v>81.405729345510593</v>
      </c>
      <c r="X191" s="4">
        <v>77.333820337888199</v>
      </c>
    </row>
    <row r="192" spans="1:24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77.387977553334807</v>
      </c>
      <c r="U192" s="3">
        <v>40148</v>
      </c>
      <c r="V192" s="4">
        <v>21.7390151154177</v>
      </c>
      <c r="W192" s="4">
        <f>VLOOKUP(U192,'conventional_refi_elig-old'!AA:AB,2,0)</f>
        <v>81.256492700093105</v>
      </c>
      <c r="X192" s="4">
        <v>77.202320247602898</v>
      </c>
    </row>
    <row r="193" spans="1:24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75.0343936997794</v>
      </c>
      <c r="G193" s="3">
        <v>40118</v>
      </c>
      <c r="H193" s="4">
        <v>77.333820337888199</v>
      </c>
      <c r="U193" s="3">
        <v>40179</v>
      </c>
      <c r="V193" s="4">
        <v>21.893798263131</v>
      </c>
      <c r="W193" s="4">
        <f>VLOOKUP(U193,'conventional_refi_elig-old'!AA:AB,2,0)</f>
        <v>80.607655597803699</v>
      </c>
      <c r="X193" s="4">
        <v>76.960635367766699</v>
      </c>
    </row>
    <row r="194" spans="1:24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77.202320247602898</v>
      </c>
      <c r="U194" s="3">
        <v>40210</v>
      </c>
      <c r="V194" s="4">
        <v>22.0515850600585</v>
      </c>
      <c r="W194" s="4">
        <f>VLOOKUP(U194,'conventional_refi_elig-old'!AA:AB,2,0)</f>
        <v>80.858173325298793</v>
      </c>
      <c r="X194" s="4">
        <v>76.687007725357304</v>
      </c>
    </row>
    <row r="195" spans="1:24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75.645218218977107</v>
      </c>
      <c r="G195" s="3">
        <v>40179</v>
      </c>
      <c r="H195" s="4">
        <v>76.960635367766699</v>
      </c>
      <c r="U195" s="3">
        <v>40238</v>
      </c>
      <c r="V195" s="4">
        <v>22.157977961681201</v>
      </c>
      <c r="W195" s="4">
        <f>VLOOKUP(U195,'conventional_refi_elig-old'!AA:AB,2,0)</f>
        <v>80.688325183506706</v>
      </c>
      <c r="X195" s="4">
        <v>76.462809359131896</v>
      </c>
    </row>
    <row r="196" spans="1:24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75.952224157883407</v>
      </c>
      <c r="G196" s="3">
        <v>40210</v>
      </c>
      <c r="H196" s="4">
        <v>76.687007725357304</v>
      </c>
      <c r="U196" s="3">
        <v>40269</v>
      </c>
      <c r="V196" s="4">
        <v>22.769215809280499</v>
      </c>
      <c r="W196" s="4">
        <f>VLOOKUP(U196,'conventional_refi_elig-old'!AA:AB,2,0)</f>
        <v>82.712785590828005</v>
      </c>
      <c r="X196" s="4">
        <v>77.738433149746001</v>
      </c>
    </row>
    <row r="197" spans="1:24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76.462809359131896</v>
      </c>
      <c r="U197" s="3">
        <v>40299</v>
      </c>
      <c r="V197" s="4">
        <v>23.467879612931501</v>
      </c>
      <c r="W197" s="4">
        <f>VLOOKUP(U197,'conventional_refi_elig-old'!AA:AB,2,0)</f>
        <v>83.669291888756803</v>
      </c>
      <c r="X197" s="4">
        <v>79.268676010927095</v>
      </c>
    </row>
    <row r="198" spans="1:24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76.473711675546596</v>
      </c>
      <c r="G198" s="3">
        <v>40269</v>
      </c>
      <c r="H198" s="4">
        <v>77.738433149746001</v>
      </c>
      <c r="U198" s="3">
        <v>40330</v>
      </c>
      <c r="V198" s="4">
        <v>24.296061738777301</v>
      </c>
      <c r="W198" s="4">
        <f>VLOOKUP(U198,'conventional_refi_elig-old'!AA:AB,2,0)</f>
        <v>84.256320909696697</v>
      </c>
      <c r="X198" s="4">
        <v>80.5900343688959</v>
      </c>
    </row>
    <row r="199" spans="1:24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79.268676010927095</v>
      </c>
      <c r="U199" s="3">
        <v>40360</v>
      </c>
      <c r="V199" s="4">
        <v>24.679231553656599</v>
      </c>
      <c r="W199" s="4">
        <f>VLOOKUP(U199,'conventional_refi_elig-old'!AA:AB,2,0)</f>
        <v>84.2012687282716</v>
      </c>
      <c r="X199" s="4">
        <v>80.348113741626904</v>
      </c>
    </row>
    <row r="200" spans="1:24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76.838599335138198</v>
      </c>
      <c r="G200" s="3">
        <v>40330</v>
      </c>
      <c r="H200" s="4">
        <v>80.5900343688959</v>
      </c>
      <c r="U200" s="3">
        <v>40391</v>
      </c>
      <c r="V200" s="4">
        <v>25.074806388667099</v>
      </c>
      <c r="W200" s="4">
        <f>VLOOKUP(U200,'conventional_refi_elig-old'!AA:AB,2,0)</f>
        <v>85.217780490202998</v>
      </c>
      <c r="X200" s="4">
        <v>80.101149217187995</v>
      </c>
    </row>
    <row r="201" spans="1:24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80.348113741626904</v>
      </c>
      <c r="U201" s="3">
        <v>40422</v>
      </c>
      <c r="V201" s="4">
        <v>25.479164948948501</v>
      </c>
      <c r="W201" s="4">
        <f>VLOOKUP(U201,'conventional_refi_elig-old'!AA:AB,2,0)</f>
        <v>84.960859500027794</v>
      </c>
      <c r="X201" s="4">
        <v>79.811088972242302</v>
      </c>
    </row>
    <row r="202" spans="1:24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77.094317575543798</v>
      </c>
      <c r="G202" s="3">
        <v>40391</v>
      </c>
      <c r="H202" s="4">
        <v>80.101149217187995</v>
      </c>
      <c r="U202" s="3">
        <v>40452</v>
      </c>
      <c r="V202" s="4">
        <v>26.254151150396599</v>
      </c>
      <c r="W202" s="4">
        <f>VLOOKUP(U202,'conventional_refi_elig-old'!AA:AB,2,0)</f>
        <v>84.494608585388306</v>
      </c>
      <c r="X202" s="4">
        <v>79.378157255191397</v>
      </c>
    </row>
    <row r="203" spans="1:24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79.811088972242302</v>
      </c>
      <c r="U203" s="3">
        <v>40483</v>
      </c>
      <c r="V203" s="4">
        <v>26.919084340095601</v>
      </c>
      <c r="W203" s="4">
        <f>VLOOKUP(U203,'conventional_refi_elig-old'!AA:AB,2,0)</f>
        <v>83.969399568588898</v>
      </c>
      <c r="X203" s="4">
        <v>78.947556028125703</v>
      </c>
    </row>
    <row r="204" spans="1:24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77.3685526850023</v>
      </c>
      <c r="G204" s="3">
        <v>40452</v>
      </c>
      <c r="H204" s="4">
        <v>79.378157255191397</v>
      </c>
      <c r="U204" s="3">
        <v>40513</v>
      </c>
      <c r="V204" s="4">
        <v>27.561355875409902</v>
      </c>
      <c r="W204" s="4">
        <f>VLOOKUP(U204,'conventional_refi_elig-old'!AA:AB,2,0)</f>
        <v>83.401335674412394</v>
      </c>
      <c r="X204" s="4">
        <v>78.469860640407802</v>
      </c>
    </row>
    <row r="205" spans="1:24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78.947556028125703</v>
      </c>
      <c r="U205" s="3">
        <v>40544</v>
      </c>
      <c r="V205" s="4">
        <v>28.114059016780899</v>
      </c>
      <c r="W205" s="4">
        <f>VLOOKUP(U205,'conventional_refi_elig-old'!AA:AB,2,0)</f>
        <v>82.546708914877399</v>
      </c>
      <c r="X205" s="4">
        <v>77.653683361061994</v>
      </c>
    </row>
    <row r="206" spans="1:24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77.387977553334807</v>
      </c>
      <c r="G206" s="3">
        <v>40513</v>
      </c>
      <c r="H206" s="4">
        <v>78.469860640407802</v>
      </c>
      <c r="U206" s="3">
        <v>40575</v>
      </c>
      <c r="V206" s="4">
        <v>28.4827066461051</v>
      </c>
      <c r="W206" s="4">
        <f>VLOOKUP(U206,'conventional_refi_elig-old'!AA:AB,2,0)</f>
        <v>81.626731721387301</v>
      </c>
      <c r="X206" s="4">
        <v>76.651094426219103</v>
      </c>
    </row>
    <row r="207" spans="1:24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77.653683361061994</v>
      </c>
      <c r="U207" s="3">
        <v>40603</v>
      </c>
      <c r="V207" s="4">
        <v>28.698769715346401</v>
      </c>
      <c r="W207" s="4">
        <f>VLOOKUP(U207,'conventional_refi_elig-old'!AA:AB,2,0)</f>
        <v>80.591345183582206</v>
      </c>
      <c r="X207" s="4">
        <v>75.668197552330795</v>
      </c>
    </row>
    <row r="208" spans="1:24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77.333820337888199</v>
      </c>
      <c r="G208" s="3">
        <v>40575</v>
      </c>
      <c r="H208" s="4">
        <v>76.651094426219103</v>
      </c>
      <c r="U208" s="3">
        <v>40634</v>
      </c>
      <c r="V208" s="4">
        <v>29.493983639499898</v>
      </c>
      <c r="W208" s="4">
        <f>VLOOKUP(U208,'conventional_refi_elig-old'!AA:AB,2,0)</f>
        <v>81.383451680802295</v>
      </c>
      <c r="X208" s="4">
        <v>76.566412911496002</v>
      </c>
    </row>
    <row r="209" spans="1:24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75.668197552330795</v>
      </c>
      <c r="U209" s="3">
        <v>40664</v>
      </c>
      <c r="V209" s="4">
        <v>30.230464357825301</v>
      </c>
      <c r="W209" s="4">
        <f>VLOOKUP(U209,'conventional_refi_elig-old'!AA:AB,2,0)</f>
        <v>82.112441943039499</v>
      </c>
      <c r="X209" s="4">
        <v>77.404996136443401</v>
      </c>
    </row>
    <row r="210" spans="1:24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76.566412911496002</v>
      </c>
      <c r="U210" s="3">
        <v>40695</v>
      </c>
      <c r="V210" s="4">
        <v>30.833870224867901</v>
      </c>
      <c r="W210" s="4">
        <f>VLOOKUP(U210,'conventional_refi_elig-old'!AA:AB,2,0)</f>
        <v>82.773563669638705</v>
      </c>
      <c r="X210" s="4">
        <v>78.152134277436204</v>
      </c>
    </row>
    <row r="211" spans="1:24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77.202320247602898</v>
      </c>
      <c r="G211" s="3">
        <v>40664</v>
      </c>
      <c r="H211" s="4">
        <v>77.404996136443401</v>
      </c>
      <c r="U211" s="3">
        <v>40725</v>
      </c>
      <c r="V211" s="4">
        <v>31.3769351322135</v>
      </c>
      <c r="W211" s="4">
        <f>VLOOKUP(U211,'conventional_refi_elig-old'!AA:AB,2,0)</f>
        <v>83.256781286364301</v>
      </c>
      <c r="X211" s="4">
        <v>78.731557634820504</v>
      </c>
    </row>
    <row r="212" spans="1:24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78.152134277436204</v>
      </c>
      <c r="U212" s="3">
        <v>40756</v>
      </c>
      <c r="V212" s="4">
        <v>32.020227802674</v>
      </c>
      <c r="W212" s="4">
        <f>VLOOKUP(U212,'conventional_refi_elig-old'!AA:AB,2,0)</f>
        <v>81.746691137754596</v>
      </c>
      <c r="X212" s="4">
        <v>79.265137337534796</v>
      </c>
    </row>
    <row r="213" spans="1:24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78.731557634820504</v>
      </c>
      <c r="U213" s="3">
        <v>40787</v>
      </c>
      <c r="V213" s="4">
        <v>32.764034340849499</v>
      </c>
      <c r="W213" s="4">
        <f>VLOOKUP(U213,'conventional_refi_elig-old'!AA:AB,2,0)</f>
        <v>82.2390613467539</v>
      </c>
      <c r="X213" s="4">
        <v>79.804317639036896</v>
      </c>
    </row>
    <row r="214" spans="1:24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76.960635367766699</v>
      </c>
      <c r="G214" s="3">
        <v>40756</v>
      </c>
      <c r="H214" s="4">
        <v>79.265137337534796</v>
      </c>
      <c r="U214" s="3">
        <v>40817</v>
      </c>
      <c r="V214" s="4">
        <v>33.3142618399052</v>
      </c>
      <c r="W214" s="4">
        <f>VLOOKUP(U214,'conventional_refi_elig-old'!AA:AB,2,0)</f>
        <v>82.080864733743397</v>
      </c>
      <c r="X214" s="4">
        <v>79.769991769635993</v>
      </c>
    </row>
    <row r="215" spans="1:24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79.804317639036896</v>
      </c>
      <c r="U215" s="3">
        <v>40848</v>
      </c>
      <c r="V215" s="4">
        <v>33.857405249820197</v>
      </c>
      <c r="W215" s="4">
        <f>VLOOKUP(U215,'conventional_refi_elig-old'!AA:AB,2,0)</f>
        <v>81.852423434348395</v>
      </c>
      <c r="X215" s="4">
        <v>79.639500483426602</v>
      </c>
    </row>
    <row r="216" spans="1:24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79.769991769635993</v>
      </c>
      <c r="U216" s="3">
        <v>40878</v>
      </c>
      <c r="V216" s="4">
        <v>34.479220645670502</v>
      </c>
      <c r="W216" s="4">
        <f>VLOOKUP(U216,'conventional_refi_elig-old'!AA:AB,2,0)</f>
        <v>81.548157829458106</v>
      </c>
      <c r="X216" s="4">
        <v>79.507086943547606</v>
      </c>
    </row>
    <row r="217" spans="1:24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76.687007725357304</v>
      </c>
      <c r="G217" s="3">
        <v>40848</v>
      </c>
      <c r="H217" s="4">
        <v>79.639500483426602</v>
      </c>
      <c r="U217" s="3">
        <v>40909</v>
      </c>
      <c r="V217" s="4">
        <v>35.260333102000203</v>
      </c>
      <c r="W217" s="4">
        <f>VLOOKUP(U217,'conventional_refi_elig-old'!AA:AB,2,0)</f>
        <v>81.498799908147802</v>
      </c>
      <c r="X217" s="4">
        <v>79.847724271091195</v>
      </c>
    </row>
    <row r="218" spans="1:24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79.507086943547606</v>
      </c>
      <c r="U218" s="3">
        <v>40940</v>
      </c>
      <c r="V218" s="4">
        <v>35.859227713706403</v>
      </c>
      <c r="W218" s="4">
        <f>VLOOKUP(U218,'conventional_refi_elig-old'!AA:AB,2,0)</f>
        <v>81.497876487721797</v>
      </c>
      <c r="X218" s="4">
        <v>80.077576049473095</v>
      </c>
    </row>
    <row r="219" spans="1:24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79.847724271091195</v>
      </c>
      <c r="U219" s="3">
        <v>40969</v>
      </c>
      <c r="V219" s="4">
        <v>36.476579772451899</v>
      </c>
      <c r="W219" s="4">
        <f>VLOOKUP(U219,'conventional_refi_elig-old'!AA:AB,2,0)</f>
        <v>83.555137426507002</v>
      </c>
      <c r="X219" s="4">
        <v>80.357036281162095</v>
      </c>
    </row>
    <row r="220" spans="1:24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76.462809359131896</v>
      </c>
      <c r="G220" s="3">
        <v>40940</v>
      </c>
      <c r="H220" s="4">
        <v>80.077576049473095</v>
      </c>
      <c r="U220" s="3">
        <v>41000</v>
      </c>
      <c r="V220" s="4">
        <v>37.768925971632299</v>
      </c>
      <c r="W220" s="4">
        <f>VLOOKUP(U220,'conventional_refi_elig-old'!AA:AB,2,0)</f>
        <v>85.274448613203703</v>
      </c>
      <c r="X220" s="4">
        <v>82.352999335607194</v>
      </c>
    </row>
    <row r="221" spans="1:24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80.357036281162095</v>
      </c>
      <c r="U221" s="3">
        <v>41030</v>
      </c>
      <c r="V221" s="4">
        <v>38.913633204536097</v>
      </c>
      <c r="W221" s="4">
        <f>VLOOKUP(U221,'conventional_refi_elig-old'!AA:AB,2,0)</f>
        <v>86.899179529213797</v>
      </c>
      <c r="X221" s="4">
        <v>84.075092139472702</v>
      </c>
    </row>
    <row r="222" spans="1:24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82.352999335607194</v>
      </c>
      <c r="U222" s="3">
        <v>41061</v>
      </c>
      <c r="V222" s="4">
        <v>39.879421249693401</v>
      </c>
      <c r="W222" s="4">
        <f>VLOOKUP(U222,'conventional_refi_elig-old'!AA:AB,2,0)</f>
        <v>88.358118430418102</v>
      </c>
      <c r="X222" s="4">
        <v>85.660541240689199</v>
      </c>
    </row>
    <row r="223" spans="1:24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77.738433149746001</v>
      </c>
      <c r="G223" s="3">
        <v>41030</v>
      </c>
      <c r="H223" s="4">
        <v>84.075092139472702</v>
      </c>
      <c r="U223" s="3">
        <v>41091</v>
      </c>
      <c r="V223" s="4">
        <v>40.895726492699801</v>
      </c>
      <c r="W223" s="4">
        <f>VLOOKUP(U223,'conventional_refi_elig-old'!AA:AB,2,0)</f>
        <v>89.075442212496498</v>
      </c>
      <c r="X223" s="4">
        <v>86.487412037087793</v>
      </c>
    </row>
    <row r="224" spans="1:24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85.660541240689199</v>
      </c>
      <c r="U224" s="3">
        <v>41122</v>
      </c>
      <c r="V224" s="4">
        <v>41.967628869863503</v>
      </c>
      <c r="W224" s="4">
        <f>VLOOKUP(U224,'conventional_refi_elig-old'!AA:AB,2,0)</f>
        <v>89.648544080684104</v>
      </c>
      <c r="X224" s="4">
        <v>87.295332346643406</v>
      </c>
    </row>
    <row r="225" spans="1:24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86.487412037087793</v>
      </c>
      <c r="U225" s="3">
        <v>41153</v>
      </c>
      <c r="V225" s="4">
        <v>43.013764711682398</v>
      </c>
      <c r="W225" s="4">
        <f>VLOOKUP(U225,'conventional_refi_elig-old'!AA:AB,2,0)</f>
        <v>90.203891343680894</v>
      </c>
      <c r="X225" s="4">
        <v>88.056887782603397</v>
      </c>
    </row>
    <row r="226" spans="1:24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79.268676010927095</v>
      </c>
      <c r="G226" s="3">
        <v>41122</v>
      </c>
      <c r="H226" s="4">
        <v>87.295332346643406</v>
      </c>
      <c r="U226" s="3">
        <v>41183</v>
      </c>
      <c r="V226" s="4">
        <v>44.115106090754999</v>
      </c>
      <c r="W226" s="4">
        <f>VLOOKUP(U226,'conventional_refi_elig-old'!AA:AB,2,0)</f>
        <v>90.464662328033796</v>
      </c>
      <c r="X226" s="4">
        <v>88.488936208761601</v>
      </c>
    </row>
    <row r="227" spans="1:24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88.056887782603397</v>
      </c>
      <c r="U227" s="3">
        <v>41214</v>
      </c>
      <c r="V227" s="4">
        <v>44.964628282645997</v>
      </c>
      <c r="W227" s="4">
        <f>VLOOKUP(U227,'conventional_refi_elig-old'!AA:AB,2,0)</f>
        <v>90.760062693991202</v>
      </c>
      <c r="X227" s="4">
        <v>88.923652330818399</v>
      </c>
    </row>
    <row r="228" spans="1:24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88.488936208761601</v>
      </c>
      <c r="U228" s="3">
        <v>41244</v>
      </c>
      <c r="V228" s="4">
        <v>46.152031785063897</v>
      </c>
      <c r="W228" s="4">
        <f>VLOOKUP(U228,'conventional_refi_elig-old'!AA:AB,2,0)</f>
        <v>90.930084526706196</v>
      </c>
      <c r="X228" s="4">
        <v>89.366679674424603</v>
      </c>
    </row>
    <row r="229" spans="1:24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80.5900343688959</v>
      </c>
      <c r="G229" s="3">
        <v>41214</v>
      </c>
      <c r="H229" s="4">
        <v>88.923652330818399</v>
      </c>
      <c r="U229" s="3">
        <v>41275</v>
      </c>
      <c r="V229" s="4">
        <v>46.931075904828099</v>
      </c>
      <c r="W229" s="4">
        <f>VLOOKUP(U229,'conventional_refi_elig-old'!AA:AB,2,0)</f>
        <v>91.4027863902608</v>
      </c>
      <c r="X229" s="4">
        <v>87.206397262218601</v>
      </c>
    </row>
    <row r="230" spans="1:24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89.366679674424603</v>
      </c>
      <c r="U230" s="3">
        <v>41306</v>
      </c>
      <c r="V230" s="4">
        <v>46.011159321965799</v>
      </c>
      <c r="W230" s="4">
        <f>VLOOKUP(U230,'conventional_refi_elig-old'!AA:AB,2,0)</f>
        <v>91.794949555672005</v>
      </c>
      <c r="X230" s="4">
        <v>87.581728598102302</v>
      </c>
    </row>
    <row r="231" spans="1:24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87.206397262218601</v>
      </c>
      <c r="U231" s="3">
        <v>41334</v>
      </c>
      <c r="V231" s="4">
        <v>45.048120682990202</v>
      </c>
      <c r="W231" s="4">
        <f>VLOOKUP(U231,'conventional_refi_elig-old'!AA:AB,2,0)</f>
        <v>92.152731135910003</v>
      </c>
      <c r="X231" s="4">
        <v>87.890819877352897</v>
      </c>
    </row>
    <row r="232" spans="1:24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80.348113741626904</v>
      </c>
      <c r="G232" s="3">
        <v>41306</v>
      </c>
      <c r="H232" s="4">
        <v>87.581728598102302</v>
      </c>
      <c r="U232" s="3">
        <v>41365</v>
      </c>
      <c r="V232" s="4">
        <v>44.488422647869101</v>
      </c>
      <c r="W232" s="4">
        <f>VLOOKUP(U232,'conventional_refi_elig-old'!AA:AB,2,0)</f>
        <v>93.148803996602297</v>
      </c>
      <c r="X232" s="4">
        <v>88.636215734976602</v>
      </c>
    </row>
    <row r="233" spans="1:24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87.890819877352897</v>
      </c>
      <c r="U233" s="3">
        <v>41395</v>
      </c>
      <c r="V233" s="4">
        <v>43.763809562722599</v>
      </c>
      <c r="W233" s="4">
        <f>VLOOKUP(U233,'conventional_refi_elig-old'!AA:AB,2,0)</f>
        <v>94.001875479032904</v>
      </c>
      <c r="X233" s="4">
        <v>89.303044106109994</v>
      </c>
    </row>
    <row r="234" spans="1:24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88.636215734976602</v>
      </c>
      <c r="U234" s="3">
        <v>41426</v>
      </c>
      <c r="V234" s="4">
        <v>42.861924668996899</v>
      </c>
      <c r="W234" s="4">
        <f>VLOOKUP(U234,'conventional_refi_elig-old'!AA:AB,2,0)</f>
        <v>94.681483937041904</v>
      </c>
      <c r="X234" s="4">
        <v>89.905355137437894</v>
      </c>
    </row>
    <row r="235" spans="1:24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80.101149217187995</v>
      </c>
      <c r="G235" s="3">
        <v>41395</v>
      </c>
      <c r="H235" s="4">
        <v>89.303044106109994</v>
      </c>
      <c r="U235" s="3">
        <v>41456</v>
      </c>
      <c r="V235" s="4">
        <v>41.9460692805077</v>
      </c>
      <c r="W235" s="4">
        <f>VLOOKUP(U235,'conventional_refi_elig-old'!AA:AB,2,0)</f>
        <v>94.998094867418104</v>
      </c>
      <c r="X235" s="4">
        <v>90.122580548364397</v>
      </c>
    </row>
    <row r="236" spans="1:24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89.905355137437894</v>
      </c>
      <c r="U236" s="3">
        <v>41487</v>
      </c>
      <c r="V236" s="4">
        <v>40.914936341350703</v>
      </c>
      <c r="W236" s="4">
        <f>VLOOKUP(U236,'conventional_refi_elig-old'!AA:AB,2,0)</f>
        <v>95.421835011427206</v>
      </c>
      <c r="X236" s="4">
        <v>90.337691241577502</v>
      </c>
    </row>
    <row r="237" spans="1:24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90.122580548364397</v>
      </c>
      <c r="U237" s="3">
        <v>41518</v>
      </c>
      <c r="V237" s="4">
        <v>40.063351774054603</v>
      </c>
      <c r="W237" s="4">
        <f>VLOOKUP(U237,'conventional_refi_elig-old'!AA:AB,2,0)</f>
        <v>95.705986953763102</v>
      </c>
      <c r="X237" s="4">
        <v>90.554171247270403</v>
      </c>
    </row>
    <row r="238" spans="1:24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79.811088972242302</v>
      </c>
      <c r="G238" s="3">
        <v>41487</v>
      </c>
      <c r="H238" s="4">
        <v>90.337691241577502</v>
      </c>
      <c r="U238" s="3">
        <v>41548</v>
      </c>
      <c r="V238" s="4">
        <v>39.368113116509498</v>
      </c>
      <c r="W238" s="4">
        <f>VLOOKUP(U238,'conventional_refi_elig-old'!AA:AB,2,0)</f>
        <v>95.754656189581098</v>
      </c>
      <c r="X238" s="4">
        <v>90.536166746404206</v>
      </c>
    </row>
    <row r="239" spans="1:24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90.554171247270403</v>
      </c>
      <c r="U239" s="3">
        <v>41579</v>
      </c>
      <c r="V239" s="4">
        <v>38.745289380312897</v>
      </c>
      <c r="W239" s="4">
        <f>VLOOKUP(U239,'conventional_refi_elig-old'!AA:AB,2,0)</f>
        <v>95.768588634014506</v>
      </c>
      <c r="X239" s="4">
        <v>90.485561744629294</v>
      </c>
    </row>
    <row r="240" spans="1:24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90.536166746404206</v>
      </c>
      <c r="U240" s="3">
        <v>41609</v>
      </c>
      <c r="V240" s="4">
        <v>38.313655040066202</v>
      </c>
      <c r="W240" s="4">
        <f>VLOOKUP(U240,'conventional_refi_elig-old'!AA:AB,2,0)</f>
        <v>95.789714767199797</v>
      </c>
      <c r="X240" s="4">
        <v>90.469069760377593</v>
      </c>
    </row>
    <row r="241" spans="1:24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79.378157255191397</v>
      </c>
      <c r="G241" s="3">
        <v>41579</v>
      </c>
      <c r="H241" s="4">
        <v>90.485561744629294</v>
      </c>
      <c r="U241" s="3">
        <v>41640</v>
      </c>
      <c r="V241" s="4">
        <v>64.5410801708923</v>
      </c>
      <c r="W241" s="4">
        <f>VLOOKUP(U241,'conventional_refi_elig-old'!AA:AB,2,0)</f>
        <v>95.890659660073794</v>
      </c>
      <c r="X241" s="4">
        <v>95.177249318432899</v>
      </c>
    </row>
    <row r="242" spans="1:24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90.469069760377593</v>
      </c>
      <c r="U242" s="3">
        <v>41671</v>
      </c>
      <c r="V242" s="4">
        <v>65.1529561913744</v>
      </c>
      <c r="W242" s="4">
        <f>VLOOKUP(U242,'conventional_refi_elig-old'!AA:AB,2,0)</f>
        <v>95.955284016383601</v>
      </c>
      <c r="X242" s="4">
        <v>95.264061528158905</v>
      </c>
    </row>
    <row r="243" spans="1:24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95.177249318432899</v>
      </c>
      <c r="U243" s="3">
        <v>41699</v>
      </c>
      <c r="V243" s="4">
        <v>65.698548727677107</v>
      </c>
      <c r="W243" s="4">
        <f>VLOOKUP(U243,'conventional_refi_elig-old'!AA:AB,2,0)</f>
        <v>96.013424182271393</v>
      </c>
      <c r="X243" s="4">
        <v>95.3292006393999</v>
      </c>
    </row>
    <row r="244" spans="1:24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78.947556028125703</v>
      </c>
      <c r="G244" s="3">
        <v>41671</v>
      </c>
      <c r="H244" s="4">
        <v>95.264061528158905</v>
      </c>
      <c r="U244" s="3">
        <v>41730</v>
      </c>
      <c r="V244" s="4">
        <v>66.226575915065396</v>
      </c>
      <c r="W244" s="4">
        <f>VLOOKUP(U244,'conventional_refi_elig-old'!AA:AB,2,0)</f>
        <v>96.395536887807793</v>
      </c>
      <c r="X244" s="4">
        <v>95.464305483368406</v>
      </c>
    </row>
    <row r="245" spans="1:24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95.3292006393999</v>
      </c>
      <c r="U245" s="3">
        <v>41760</v>
      </c>
      <c r="V245" s="4">
        <v>66.793099752939199</v>
      </c>
      <c r="W245" s="4">
        <f>VLOOKUP(U245,'conventional_refi_elig-old'!AA:AB,2,0)</f>
        <v>96.712625289075504</v>
      </c>
      <c r="X245" s="4">
        <v>95.586269185181806</v>
      </c>
    </row>
    <row r="246" spans="1:24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95.464305483368406</v>
      </c>
      <c r="U246" s="3">
        <v>41791</v>
      </c>
      <c r="V246" s="4">
        <v>67.369973739029504</v>
      </c>
      <c r="W246" s="4">
        <f>VLOOKUP(U246,'conventional_refi_elig-old'!AA:AB,2,0)</f>
        <v>96.972864504413906</v>
      </c>
      <c r="X246" s="4">
        <v>95.696033041890004</v>
      </c>
    </row>
    <row r="247" spans="1:24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78.469860640407802</v>
      </c>
      <c r="G247" s="3">
        <v>41760</v>
      </c>
      <c r="H247" s="4">
        <v>95.586269185181806</v>
      </c>
      <c r="U247" s="3">
        <v>41821</v>
      </c>
      <c r="V247" s="4">
        <v>67.985172384694295</v>
      </c>
      <c r="W247" s="4">
        <f>VLOOKUP(U247,'conventional_refi_elig-old'!AA:AB,2,0)</f>
        <v>97.070316869230595</v>
      </c>
      <c r="X247" s="4">
        <v>95.770095780891694</v>
      </c>
    </row>
    <row r="248" spans="1:24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95.696033041890004</v>
      </c>
      <c r="U248" s="3">
        <v>41852</v>
      </c>
      <c r="V248" s="4">
        <v>68.670091266985494</v>
      </c>
      <c r="W248" s="4">
        <f>VLOOKUP(U248,'conventional_refi_elig-old'!AA:AB,2,0)</f>
        <v>97.162631168494798</v>
      </c>
      <c r="X248" s="4">
        <v>95.851890088667901</v>
      </c>
    </row>
    <row r="249" spans="1:24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95.770095780891694</v>
      </c>
      <c r="U249" s="3">
        <v>41883</v>
      </c>
      <c r="V249" s="4">
        <v>69.286293806997094</v>
      </c>
      <c r="W249" s="4">
        <f>VLOOKUP(U249,'conventional_refi_elig-old'!AA:AB,2,0)</f>
        <v>97.260917064417598</v>
      </c>
      <c r="X249" s="4">
        <v>95.923214952377506</v>
      </c>
    </row>
    <row r="250" spans="1:24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77.653683361061994</v>
      </c>
      <c r="G250" s="3">
        <v>41852</v>
      </c>
      <c r="H250" s="4">
        <v>95.851890088667901</v>
      </c>
      <c r="U250" s="3">
        <v>41913</v>
      </c>
      <c r="V250" s="4">
        <v>69.969237534556797</v>
      </c>
      <c r="W250" s="4">
        <f>VLOOKUP(U250,'conventional_refi_elig-old'!AA:AB,2,0)</f>
        <v>97.313079385708704</v>
      </c>
      <c r="X250" s="4">
        <v>96.011036768316501</v>
      </c>
    </row>
    <row r="251" spans="1:24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95.923214952377506</v>
      </c>
      <c r="U251" s="3">
        <v>41944</v>
      </c>
      <c r="V251" s="4">
        <v>70.684647527310801</v>
      </c>
      <c r="W251" s="4">
        <f>VLOOKUP(U251,'conventional_refi_elig-old'!AA:AB,2,0)</f>
        <v>97.362800299053504</v>
      </c>
      <c r="X251" s="4">
        <v>96.090082498600395</v>
      </c>
    </row>
    <row r="252" spans="1:24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96.011036768316501</v>
      </c>
      <c r="U252" s="3">
        <v>41974</v>
      </c>
      <c r="V252" s="4">
        <v>71.328493353395004</v>
      </c>
      <c r="W252" s="4">
        <f>VLOOKUP(U252,'conventional_refi_elig-old'!AA:AB,2,0)</f>
        <v>97.4069476351807</v>
      </c>
      <c r="X252" s="4">
        <v>96.158543761518004</v>
      </c>
    </row>
    <row r="253" spans="1:24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76.651094426219103</v>
      </c>
      <c r="G253" s="3">
        <v>41944</v>
      </c>
      <c r="H253" s="4">
        <v>96.090082498600395</v>
      </c>
      <c r="U253" s="3">
        <v>42005</v>
      </c>
      <c r="V253" s="4">
        <v>72.007485194197201</v>
      </c>
      <c r="W253" s="4">
        <f>VLOOKUP(U253,'conventional_refi_elig-old'!AA:AB,2,0)</f>
        <v>97.459263236000496</v>
      </c>
      <c r="X253" s="4">
        <v>96.234261485592995</v>
      </c>
    </row>
    <row r="254" spans="1:24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96.158543761518004</v>
      </c>
      <c r="U254" s="3">
        <v>42036</v>
      </c>
      <c r="V254" s="4">
        <v>72.555987703310095</v>
      </c>
      <c r="W254" s="4">
        <f>VLOOKUP(U254,'conventional_refi_elig-old'!AA:AB,2,0)</f>
        <v>97.508340981836298</v>
      </c>
      <c r="X254" s="4">
        <v>96.297235313940703</v>
      </c>
    </row>
    <row r="255" spans="1:24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96.234261485592995</v>
      </c>
      <c r="U255" s="3">
        <v>42064</v>
      </c>
      <c r="V255" s="4">
        <v>73.045635510559904</v>
      </c>
      <c r="W255" s="4">
        <f>VLOOKUP(U255,'conventional_refi_elig-old'!AA:AB,2,0)</f>
        <v>97.557577733267294</v>
      </c>
      <c r="X255" s="4">
        <v>96.351977028511897</v>
      </c>
    </row>
    <row r="256" spans="1:24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75.668197552330795</v>
      </c>
      <c r="G256" s="3">
        <v>42036</v>
      </c>
      <c r="H256" s="4">
        <v>96.297235313940703</v>
      </c>
      <c r="U256" s="3">
        <v>42095</v>
      </c>
      <c r="V256" s="4">
        <v>73.616152819916806</v>
      </c>
      <c r="W256" s="4">
        <f>VLOOKUP(U256,'conventional_refi_elig-old'!AA:AB,2,0)</f>
        <v>97.717907648615196</v>
      </c>
      <c r="X256" s="4">
        <v>96.417862288850998</v>
      </c>
    </row>
    <row r="257" spans="1:24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96.351977028511897</v>
      </c>
      <c r="U257" s="3">
        <v>42125</v>
      </c>
      <c r="V257" s="4">
        <v>74.248964262480101</v>
      </c>
      <c r="W257" s="4">
        <f>VLOOKUP(U257,'conventional_refi_elig-old'!AA:AB,2,0)</f>
        <v>97.839102148951895</v>
      </c>
      <c r="X257" s="4">
        <v>96.482778784733398</v>
      </c>
    </row>
    <row r="258" spans="1:24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96.417862288850998</v>
      </c>
      <c r="U258" s="3">
        <v>42156</v>
      </c>
      <c r="V258" s="4">
        <v>74.888798378427694</v>
      </c>
      <c r="W258" s="4">
        <f>VLOOKUP(U258,'conventional_refi_elig-old'!AA:AB,2,0)</f>
        <v>97.949432118323799</v>
      </c>
      <c r="X258" s="4">
        <v>96.556226123040503</v>
      </c>
    </row>
    <row r="259" spans="1:24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76.566412911496002</v>
      </c>
      <c r="G259" s="3">
        <v>42125</v>
      </c>
      <c r="H259" s="4">
        <v>96.482778784733398</v>
      </c>
      <c r="U259" s="3">
        <v>42186</v>
      </c>
      <c r="V259" s="4">
        <v>75.490144388644794</v>
      </c>
      <c r="W259" s="4">
        <f>VLOOKUP(U259,'conventional_refi_elig-old'!AA:AB,2,0)</f>
        <v>98.012457331367401</v>
      </c>
      <c r="X259" s="4">
        <v>96.618044783022299</v>
      </c>
    </row>
    <row r="260" spans="1:24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96.556226123040503</v>
      </c>
      <c r="U260" s="3">
        <v>42217</v>
      </c>
      <c r="V260" s="4">
        <v>76.145670945880596</v>
      </c>
      <c r="W260" s="4">
        <f>VLOOKUP(U260,'conventional_refi_elig-old'!AA:AB,2,0)</f>
        <v>98.069886492152705</v>
      </c>
      <c r="X260" s="4">
        <v>96.688420894058098</v>
      </c>
    </row>
    <row r="261" spans="1:24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96.618044783022299</v>
      </c>
      <c r="U261" s="3">
        <v>42248</v>
      </c>
      <c r="V261" s="4">
        <v>76.694797636807607</v>
      </c>
      <c r="W261" s="4">
        <f>VLOOKUP(U261,'conventional_refi_elig-old'!AA:AB,2,0)</f>
        <v>98.116112407945494</v>
      </c>
      <c r="X261" s="4">
        <v>96.745666634220797</v>
      </c>
    </row>
    <row r="262" spans="1:24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77.404996136443401</v>
      </c>
      <c r="G262" s="3">
        <v>42217</v>
      </c>
      <c r="H262" s="4">
        <v>96.688420894058098</v>
      </c>
      <c r="U262" s="3">
        <v>42278</v>
      </c>
      <c r="V262" s="4">
        <v>77.286756458319601</v>
      </c>
      <c r="W262" s="4">
        <f>VLOOKUP(U262,'conventional_refi_elig-old'!AA:AB,2,0)</f>
        <v>98.136100837653004</v>
      </c>
      <c r="X262" s="4">
        <v>96.808513574756802</v>
      </c>
    </row>
    <row r="263" spans="1:24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96.745666634220797</v>
      </c>
      <c r="U263" s="3">
        <v>42309</v>
      </c>
      <c r="V263" s="4">
        <v>77.809977180303306</v>
      </c>
      <c r="W263" s="4">
        <f>VLOOKUP(U263,'conventional_refi_elig-old'!AA:AB,2,0)</f>
        <v>98.148635600370397</v>
      </c>
      <c r="X263" s="4">
        <v>96.866869061037704</v>
      </c>
    </row>
    <row r="264" spans="1:24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96.808513574756802</v>
      </c>
      <c r="U264" s="3">
        <v>42339</v>
      </c>
      <c r="V264" s="4">
        <v>78.223861507295794</v>
      </c>
      <c r="W264" s="4">
        <f>VLOOKUP(U264,'conventional_refi_elig-old'!AA:AB,2,0)</f>
        <v>98.155106018828604</v>
      </c>
      <c r="X264" s="4">
        <v>96.906750557718397</v>
      </c>
    </row>
    <row r="265" spans="1:24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78.152134277436204</v>
      </c>
      <c r="G265" s="3">
        <v>42309</v>
      </c>
      <c r="H265" s="4">
        <v>96.866869061037704</v>
      </c>
      <c r="U265" s="3">
        <v>42370</v>
      </c>
      <c r="V265" s="4">
        <v>78.698575103590102</v>
      </c>
      <c r="W265" s="4">
        <f>VLOOKUP(U265,'conventional_refi_elig-old'!AA:AB,2,0)</f>
        <v>98.190860334399801</v>
      </c>
      <c r="X265" s="4">
        <v>96.962339576802606</v>
      </c>
    </row>
    <row r="266" spans="1:24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96.906750557718397</v>
      </c>
      <c r="U266" s="3">
        <v>42401</v>
      </c>
      <c r="V266" s="4">
        <v>79.139613750983898</v>
      </c>
      <c r="W266" s="4">
        <f>VLOOKUP(U266,'conventional_refi_elig-old'!AA:AB,2,0)</f>
        <v>98.217212301027104</v>
      </c>
      <c r="X266" s="4">
        <v>97.012240390125399</v>
      </c>
    </row>
    <row r="267" spans="1:24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96.962339576802606</v>
      </c>
      <c r="U267" s="3">
        <v>42430</v>
      </c>
      <c r="V267" s="4">
        <v>79.537146474007699</v>
      </c>
      <c r="W267" s="4">
        <f>VLOOKUP(U267,'conventional_refi_elig-old'!AA:AB,2,0)</f>
        <v>98.238521837558693</v>
      </c>
      <c r="X267" s="4">
        <v>97.052895719941105</v>
      </c>
    </row>
    <row r="268" spans="1:24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78.731557634820504</v>
      </c>
      <c r="G268" s="3">
        <v>42401</v>
      </c>
      <c r="H268" s="4">
        <v>97.012240390125399</v>
      </c>
      <c r="U268" s="3">
        <v>42461</v>
      </c>
      <c r="V268" s="4">
        <v>79.976392216874601</v>
      </c>
      <c r="W268" s="4">
        <f>VLOOKUP(U268,'conventional_refi_elig-old'!AA:AB,2,0)</f>
        <v>98.339157457570707</v>
      </c>
      <c r="X268" s="4">
        <v>97.106816420616695</v>
      </c>
    </row>
    <row r="269" spans="1:24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97.052895719941105</v>
      </c>
      <c r="U269" s="3">
        <v>42491</v>
      </c>
      <c r="V269" s="4">
        <v>80.4145498233582</v>
      </c>
      <c r="W269" s="4">
        <f>VLOOKUP(U269,'conventional_refi_elig-old'!AA:AB,2,0)</f>
        <v>98.408884157195104</v>
      </c>
      <c r="X269" s="4">
        <v>97.154882452379994</v>
      </c>
    </row>
    <row r="270" spans="1:24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97.106816420616695</v>
      </c>
      <c r="U270" s="3">
        <v>42522</v>
      </c>
      <c r="V270" s="4">
        <v>80.844711587004198</v>
      </c>
      <c r="W270" s="4">
        <f>VLOOKUP(U270,'conventional_refi_elig-old'!AA:AB,2,0)</f>
        <v>98.466552861347594</v>
      </c>
      <c r="X270" s="4">
        <v>97.196680650312899</v>
      </c>
    </row>
    <row r="271" spans="1:24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79.265137337534796</v>
      </c>
      <c r="G271" s="3">
        <v>42491</v>
      </c>
      <c r="H271" s="4">
        <v>97.154882452379994</v>
      </c>
      <c r="U271" s="3">
        <v>42552</v>
      </c>
      <c r="V271" s="4">
        <v>81.316631050407196</v>
      </c>
      <c r="W271" s="4">
        <f>VLOOKUP(U271,'conventional_refi_elig-old'!AA:AB,2,0)</f>
        <v>98.478279535481093</v>
      </c>
      <c r="X271" s="4">
        <v>97.243503024039299</v>
      </c>
    </row>
    <row r="272" spans="1:24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97.196680650312899</v>
      </c>
      <c r="U272" s="3">
        <v>42583</v>
      </c>
      <c r="V272" s="4">
        <v>81.746914203326497</v>
      </c>
      <c r="W272" s="4">
        <f>VLOOKUP(U272,'conventional_refi_elig-old'!AA:AB,2,0)</f>
        <v>98.488463016285905</v>
      </c>
      <c r="X272" s="4">
        <v>97.278876053191496</v>
      </c>
    </row>
    <row r="273" spans="1:24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97.243503024039299</v>
      </c>
      <c r="U273" s="3">
        <v>42614</v>
      </c>
      <c r="V273" s="4">
        <v>82.263256847061498</v>
      </c>
      <c r="W273" s="4">
        <f>VLOOKUP(U273,'conventional_refi_elig-old'!AA:AB,2,0)</f>
        <v>98.500416951640702</v>
      </c>
      <c r="X273" s="4">
        <v>97.324472322563096</v>
      </c>
    </row>
    <row r="274" spans="1:24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79.804317639036896</v>
      </c>
      <c r="G274" s="3">
        <v>42583</v>
      </c>
      <c r="H274" s="4">
        <v>97.278876053191496</v>
      </c>
      <c r="U274" s="3">
        <v>42644</v>
      </c>
      <c r="V274" s="4">
        <v>82.742465754093104</v>
      </c>
      <c r="W274" s="4">
        <f>VLOOKUP(U274,'conventional_refi_elig-old'!AA:AB,2,0)</f>
        <v>98.5077209696301</v>
      </c>
      <c r="X274" s="4">
        <v>97.369123580515193</v>
      </c>
    </row>
    <row r="275" spans="1:24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97.324472322563096</v>
      </c>
      <c r="V275" s="4"/>
      <c r="W275" s="4"/>
    </row>
    <row r="276" spans="1:24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97.369123580515193</v>
      </c>
    </row>
    <row r="277" spans="1:24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79.769991769635993</v>
      </c>
      <c r="G277" s="3" t="s">
        <v>10</v>
      </c>
      <c r="H277" s="4">
        <v>23798.966115407387</v>
      </c>
    </row>
    <row r="278" spans="1:24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24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24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79.639500483426602</v>
      </c>
    </row>
    <row r="281" spans="1:24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24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24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79.507086943547606</v>
      </c>
    </row>
    <row r="284" spans="1:24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24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24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79.847724271091195</v>
      </c>
    </row>
    <row r="287" spans="1:24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24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80.077576049473095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80.357036281162095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82.352999335607194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84.075092139472702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85.660541240689199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86.487412037087793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87.295332346643406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88.056887782603397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88.488936208761601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88.923652330818399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89.366679674424603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87.206397262218601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15.363973920142699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11.217204665673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93.090964176680004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87.581728598102302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15.944289026983601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10.989238090088699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93.1870653577882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87.890819877352897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16.595880482375598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10.997570363729199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93.3391821744205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88.636215734976602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22.149825403780302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10.995646755146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93.699260355271804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89.303044106109994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27.865889498791599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11.0535245788996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94.230694789980703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89.905355137437894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30.586329837338599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11.0923804427104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94.826526412056893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90.122580548364397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31.555297161834101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10.938698710486401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95.221546027759899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90.337691241577502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33.6951469613415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11.0689115124714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95.516188433050601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90.554171247270403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35.450795594218498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10.944360186211499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95.677068208348999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90.536166746404206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35.223486253337398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10.932815381046399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95.5972284085138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90.485561744629294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35.113456704993602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10.8361587389706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95.520887789484206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90.469069760377593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35.125282155162999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11.0975942187118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95.555581834776703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95.177249318432899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95.264061528158905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95.3292006393999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95.464305483368406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95.586269185181806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95.696033041890004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95.770095780891694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95.851890088667901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95.923214952377506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96.011036768316501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96.090082498600395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96.158543761518004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96.234261485592995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96.297235313940703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96.351977028511897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96.417862288850998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96.482778784733398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96.556226123040503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96.618044783022299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96.688420894058098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96.745666634220797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96.808513574756802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96.866869061037704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96.906750557718397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96.962339576802606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97.012240390125399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97.052895719941105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97.106816420616695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97.154882452379994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97.196680650312899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97.243503024039299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97.278876053191496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97.324472322563096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97.369123580515193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3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0</v>
      </c>
      <c r="H1" t="s">
        <v>8</v>
      </c>
    </row>
    <row r="2" spans="1:8" x14ac:dyDescent="0.25">
      <c r="A2" t="s">
        <v>5</v>
      </c>
      <c r="B2" s="1">
        <v>34366</v>
      </c>
      <c r="C2">
        <v>126636</v>
      </c>
      <c r="D2">
        <v>278490248452.07001</v>
      </c>
      <c r="E2" t="s">
        <v>16</v>
      </c>
    </row>
    <row r="3" spans="1:8" x14ac:dyDescent="0.25">
      <c r="A3" t="s">
        <v>5</v>
      </c>
      <c r="B3" s="1">
        <v>34394</v>
      </c>
      <c r="C3">
        <v>128266</v>
      </c>
      <c r="D3">
        <v>282050828421.97998</v>
      </c>
      <c r="E3" t="s">
        <v>16</v>
      </c>
      <c r="G3" s="2" t="s">
        <v>9</v>
      </c>
      <c r="H3" t="s">
        <v>11</v>
      </c>
    </row>
    <row r="4" spans="1:8" x14ac:dyDescent="0.25">
      <c r="A4" t="s">
        <v>5</v>
      </c>
      <c r="B4" s="1">
        <v>34425</v>
      </c>
      <c r="C4">
        <v>129601</v>
      </c>
      <c r="D4">
        <v>283874201256.09003</v>
      </c>
      <c r="E4" t="s">
        <v>16</v>
      </c>
      <c r="G4" s="3">
        <v>41091</v>
      </c>
      <c r="H4" s="4">
        <v>0</v>
      </c>
    </row>
    <row r="5" spans="1:8" x14ac:dyDescent="0.25">
      <c r="A5" t="s">
        <v>5</v>
      </c>
      <c r="B5" s="1">
        <v>34455</v>
      </c>
      <c r="C5">
        <v>130768</v>
      </c>
      <c r="D5">
        <v>284752896061.91998</v>
      </c>
      <c r="E5" t="s">
        <v>16</v>
      </c>
      <c r="G5" s="3">
        <v>41122</v>
      </c>
      <c r="H5" s="4">
        <v>0</v>
      </c>
    </row>
    <row r="6" spans="1:8" x14ac:dyDescent="0.25">
      <c r="A6" t="s">
        <v>5</v>
      </c>
      <c r="B6" s="1">
        <v>34486</v>
      </c>
      <c r="C6">
        <v>131996</v>
      </c>
      <c r="D6">
        <v>287122056681.57001</v>
      </c>
      <c r="E6" t="s">
        <v>16</v>
      </c>
      <c r="G6" s="3">
        <v>41153</v>
      </c>
      <c r="H6" s="4">
        <v>0</v>
      </c>
    </row>
    <row r="7" spans="1:8" x14ac:dyDescent="0.25">
      <c r="A7" t="s">
        <v>5</v>
      </c>
      <c r="B7" s="1">
        <v>34516</v>
      </c>
      <c r="C7">
        <v>133140</v>
      </c>
      <c r="D7">
        <v>288919754101.73999</v>
      </c>
      <c r="E7" t="s">
        <v>16</v>
      </c>
      <c r="G7" s="3">
        <v>41183</v>
      </c>
      <c r="H7" s="4">
        <v>0</v>
      </c>
    </row>
    <row r="8" spans="1:8" x14ac:dyDescent="0.25">
      <c r="A8" t="s">
        <v>5</v>
      </c>
      <c r="B8" s="1">
        <v>34547</v>
      </c>
      <c r="C8">
        <v>134153</v>
      </c>
      <c r="D8">
        <v>290640645437.90997</v>
      </c>
      <c r="E8" t="s">
        <v>16</v>
      </c>
      <c r="G8" s="3">
        <v>41214</v>
      </c>
      <c r="H8" s="4">
        <v>0</v>
      </c>
    </row>
    <row r="9" spans="1:8" x14ac:dyDescent="0.25">
      <c r="A9" t="s">
        <v>5</v>
      </c>
      <c r="B9" s="1">
        <v>34578</v>
      </c>
      <c r="C9">
        <v>135077</v>
      </c>
      <c r="D9">
        <v>292026246657.69</v>
      </c>
      <c r="E9" t="s">
        <v>16</v>
      </c>
      <c r="G9" s="3">
        <v>41244</v>
      </c>
      <c r="H9" s="4">
        <v>0</v>
      </c>
    </row>
    <row r="10" spans="1:8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16</v>
      </c>
      <c r="G10" s="3">
        <v>41275</v>
      </c>
      <c r="H10" s="4">
        <v>0</v>
      </c>
    </row>
    <row r="11" spans="1:8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16</v>
      </c>
      <c r="G11" s="3">
        <v>41306</v>
      </c>
      <c r="H11" s="4">
        <v>0</v>
      </c>
    </row>
    <row r="12" spans="1:8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16</v>
      </c>
      <c r="G12" s="3">
        <v>41334</v>
      </c>
      <c r="H12" s="4">
        <v>0</v>
      </c>
    </row>
    <row r="13" spans="1:8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16</v>
      </c>
      <c r="G13" s="3">
        <v>41365</v>
      </c>
      <c r="H13" s="4">
        <v>0</v>
      </c>
    </row>
    <row r="14" spans="1:8" x14ac:dyDescent="0.25">
      <c r="A14" t="s">
        <v>5</v>
      </c>
      <c r="B14" s="1">
        <v>34731</v>
      </c>
      <c r="C14">
        <v>138749</v>
      </c>
      <c r="D14">
        <v>300578062603.90997</v>
      </c>
      <c r="E14" t="s">
        <v>16</v>
      </c>
      <c r="G14" s="3">
        <v>41395</v>
      </c>
      <c r="H14" s="4">
        <v>0</v>
      </c>
    </row>
    <row r="15" spans="1:8" x14ac:dyDescent="0.25">
      <c r="A15" t="s">
        <v>5</v>
      </c>
      <c r="B15" s="1">
        <v>34759</v>
      </c>
      <c r="C15">
        <v>139252</v>
      </c>
      <c r="D15">
        <v>301515518476.67999</v>
      </c>
      <c r="E15" t="s">
        <v>16</v>
      </c>
      <c r="G15" s="3">
        <v>41426</v>
      </c>
      <c r="H15" s="4">
        <v>0</v>
      </c>
    </row>
    <row r="16" spans="1:8" x14ac:dyDescent="0.25">
      <c r="A16" t="s">
        <v>5</v>
      </c>
      <c r="B16" s="1">
        <v>34790</v>
      </c>
      <c r="C16">
        <v>139640</v>
      </c>
      <c r="D16">
        <v>302130802958.65002</v>
      </c>
      <c r="E16" t="s">
        <v>16</v>
      </c>
      <c r="G16" s="3">
        <v>41456</v>
      </c>
      <c r="H16" s="4">
        <v>0</v>
      </c>
    </row>
    <row r="17" spans="1:8" x14ac:dyDescent="0.25">
      <c r="A17" t="s">
        <v>5</v>
      </c>
      <c r="B17" s="1">
        <v>34820</v>
      </c>
      <c r="C17">
        <v>140171</v>
      </c>
      <c r="D17">
        <v>303193167019.19</v>
      </c>
      <c r="E17" t="s">
        <v>16</v>
      </c>
      <c r="G17" s="3">
        <v>41487</v>
      </c>
      <c r="H17" s="4">
        <v>0</v>
      </c>
    </row>
    <row r="18" spans="1:8" x14ac:dyDescent="0.25">
      <c r="A18" t="s">
        <v>5</v>
      </c>
      <c r="B18" s="1">
        <v>34851</v>
      </c>
      <c r="C18">
        <v>140845</v>
      </c>
      <c r="D18">
        <v>305276200958.66998</v>
      </c>
      <c r="E18" t="s">
        <v>16</v>
      </c>
      <c r="G18" s="3">
        <v>41518</v>
      </c>
      <c r="H18" s="4">
        <v>0</v>
      </c>
    </row>
    <row r="19" spans="1:8" x14ac:dyDescent="0.25">
      <c r="A19" t="s">
        <v>5</v>
      </c>
      <c r="B19" s="1">
        <v>34881</v>
      </c>
      <c r="C19">
        <v>141735</v>
      </c>
      <c r="D19">
        <v>308579513635.09003</v>
      </c>
      <c r="E19" t="s">
        <v>16</v>
      </c>
      <c r="G19" s="3">
        <v>41548</v>
      </c>
      <c r="H19" s="4">
        <v>0</v>
      </c>
    </row>
    <row r="20" spans="1:8" x14ac:dyDescent="0.25">
      <c r="A20" t="s">
        <v>5</v>
      </c>
      <c r="B20" s="1">
        <v>34912</v>
      </c>
      <c r="C20">
        <v>142847</v>
      </c>
      <c r="D20">
        <v>313306085244.25</v>
      </c>
      <c r="E20" t="s">
        <v>16</v>
      </c>
      <c r="G20" s="3">
        <v>41579</v>
      </c>
      <c r="H20" s="4">
        <v>0</v>
      </c>
    </row>
    <row r="21" spans="1:8" x14ac:dyDescent="0.25">
      <c r="A21" t="s">
        <v>5</v>
      </c>
      <c r="B21" s="1">
        <v>34943</v>
      </c>
      <c r="C21">
        <v>143912</v>
      </c>
      <c r="D21">
        <v>317855864434.04999</v>
      </c>
      <c r="E21" t="s">
        <v>16</v>
      </c>
      <c r="G21" s="3">
        <v>41609</v>
      </c>
      <c r="H21" s="4">
        <v>0</v>
      </c>
    </row>
    <row r="22" spans="1:8" x14ac:dyDescent="0.25">
      <c r="A22" t="s">
        <v>5</v>
      </c>
      <c r="B22" s="1">
        <v>34973</v>
      </c>
      <c r="C22">
        <v>144902</v>
      </c>
      <c r="D22">
        <v>321938074374.90002</v>
      </c>
      <c r="E22" t="s">
        <v>16</v>
      </c>
      <c r="G22" s="3">
        <v>41640</v>
      </c>
      <c r="H22" s="4">
        <v>9.15462897192619</v>
      </c>
    </row>
    <row r="23" spans="1:8" x14ac:dyDescent="0.25">
      <c r="A23" t="s">
        <v>5</v>
      </c>
      <c r="B23" s="1">
        <v>35004</v>
      </c>
      <c r="C23">
        <v>145867</v>
      </c>
      <c r="D23">
        <v>326586660235.34998</v>
      </c>
      <c r="E23" t="s">
        <v>16</v>
      </c>
      <c r="G23" s="3">
        <v>41671</v>
      </c>
      <c r="H23" s="4">
        <v>9.2142578877614998</v>
      </c>
    </row>
    <row r="24" spans="1:8" x14ac:dyDescent="0.25">
      <c r="A24" t="s">
        <v>5</v>
      </c>
      <c r="B24" s="1">
        <v>35034</v>
      </c>
      <c r="C24">
        <v>146882</v>
      </c>
      <c r="D24">
        <v>331964887053.32001</v>
      </c>
      <c r="E24" t="s">
        <v>16</v>
      </c>
      <c r="G24" s="3">
        <v>41699</v>
      </c>
      <c r="H24" s="4">
        <v>9.3447237862290908</v>
      </c>
    </row>
    <row r="25" spans="1:8" x14ac:dyDescent="0.25">
      <c r="A25" t="s">
        <v>5</v>
      </c>
      <c r="B25" s="1">
        <v>35065</v>
      </c>
      <c r="C25">
        <v>147919</v>
      </c>
      <c r="D25">
        <v>337304062600.06</v>
      </c>
      <c r="E25" t="s">
        <v>16</v>
      </c>
      <c r="G25" s="3">
        <v>41730</v>
      </c>
      <c r="H25" s="4">
        <v>9.51864762197253</v>
      </c>
    </row>
    <row r="26" spans="1:8" x14ac:dyDescent="0.25">
      <c r="A26" t="s">
        <v>5</v>
      </c>
      <c r="B26" s="1">
        <v>35096</v>
      </c>
      <c r="C26">
        <v>148833</v>
      </c>
      <c r="D26">
        <v>341672418203.37</v>
      </c>
      <c r="E26" t="s">
        <v>16</v>
      </c>
      <c r="G26" s="3">
        <v>41760</v>
      </c>
      <c r="H26" s="4">
        <v>9.6486996294005198</v>
      </c>
    </row>
    <row r="27" spans="1:8" x14ac:dyDescent="0.25">
      <c r="A27" t="s">
        <v>5</v>
      </c>
      <c r="B27" s="1">
        <v>35125</v>
      </c>
      <c r="C27">
        <v>149785</v>
      </c>
      <c r="D27">
        <v>346545445220.38</v>
      </c>
      <c r="E27" t="s">
        <v>16</v>
      </c>
      <c r="G27" s="3">
        <v>41791</v>
      </c>
      <c r="H27" s="4">
        <v>9.8010043852704101</v>
      </c>
    </row>
    <row r="28" spans="1:8" x14ac:dyDescent="0.25">
      <c r="A28" t="s">
        <v>5</v>
      </c>
      <c r="B28" s="1">
        <v>35156</v>
      </c>
      <c r="C28">
        <v>150727</v>
      </c>
      <c r="D28">
        <v>350465555808.21997</v>
      </c>
      <c r="E28" t="s">
        <v>16</v>
      </c>
      <c r="G28" s="3">
        <v>41821</v>
      </c>
      <c r="H28" s="4">
        <v>10.0209616725947</v>
      </c>
    </row>
    <row r="29" spans="1:8" x14ac:dyDescent="0.25">
      <c r="A29" t="s">
        <v>5</v>
      </c>
      <c r="B29" s="1">
        <v>35186</v>
      </c>
      <c r="C29">
        <v>151726</v>
      </c>
      <c r="D29">
        <v>354683248452.60999</v>
      </c>
      <c r="E29" t="s">
        <v>16</v>
      </c>
      <c r="G29" s="3">
        <v>41852</v>
      </c>
      <c r="H29" s="4">
        <v>10.171804944185</v>
      </c>
    </row>
    <row r="30" spans="1:8" x14ac:dyDescent="0.25">
      <c r="A30" t="s">
        <v>5</v>
      </c>
      <c r="B30" s="1">
        <v>35217</v>
      </c>
      <c r="C30">
        <v>152681</v>
      </c>
      <c r="D30">
        <v>359153508694.62</v>
      </c>
      <c r="E30" t="s">
        <v>16</v>
      </c>
      <c r="G30" s="3">
        <v>41883</v>
      </c>
      <c r="H30" s="4">
        <v>10.4004255042578</v>
      </c>
    </row>
    <row r="31" spans="1:8" x14ac:dyDescent="0.25">
      <c r="A31" t="s">
        <v>5</v>
      </c>
      <c r="B31" s="1">
        <v>35247</v>
      </c>
      <c r="C31">
        <v>153592</v>
      </c>
      <c r="D31">
        <v>364145909105.21997</v>
      </c>
      <c r="E31" t="s">
        <v>16</v>
      </c>
      <c r="G31" s="3">
        <v>41913</v>
      </c>
      <c r="H31" s="4">
        <v>10.5383591302667</v>
      </c>
    </row>
    <row r="32" spans="1:8" x14ac:dyDescent="0.25">
      <c r="A32" t="s">
        <v>5</v>
      </c>
      <c r="B32" s="1">
        <v>35278</v>
      </c>
      <c r="C32">
        <v>154353</v>
      </c>
      <c r="D32">
        <v>367843583423.22998</v>
      </c>
      <c r="E32" t="s">
        <v>16</v>
      </c>
      <c r="G32" s="3">
        <v>41944</v>
      </c>
      <c r="H32" s="4">
        <v>10.733749094707999</v>
      </c>
    </row>
    <row r="33" spans="1:8" x14ac:dyDescent="0.25">
      <c r="A33" t="s">
        <v>5</v>
      </c>
      <c r="B33" s="1">
        <v>35309</v>
      </c>
      <c r="C33">
        <v>155081</v>
      </c>
      <c r="D33">
        <v>370513413856.09998</v>
      </c>
      <c r="E33" t="s">
        <v>16</v>
      </c>
      <c r="G33" s="3">
        <v>41974</v>
      </c>
      <c r="H33" s="4">
        <v>10.967713028991</v>
      </c>
    </row>
    <row r="34" spans="1:8" x14ac:dyDescent="0.25">
      <c r="A34" t="s">
        <v>5</v>
      </c>
      <c r="B34" s="1">
        <v>35339</v>
      </c>
      <c r="C34">
        <v>155900</v>
      </c>
      <c r="D34">
        <v>375154945459.59998</v>
      </c>
      <c r="E34" t="s">
        <v>16</v>
      </c>
      <c r="G34" s="3">
        <v>42005</v>
      </c>
      <c r="H34" s="4">
        <v>11.1930892418229</v>
      </c>
    </row>
    <row r="35" spans="1:8" x14ac:dyDescent="0.25">
      <c r="A35" t="s">
        <v>5</v>
      </c>
      <c r="B35" s="1">
        <v>35370</v>
      </c>
      <c r="C35">
        <v>156553</v>
      </c>
      <c r="D35">
        <v>378164550622.22998</v>
      </c>
      <c r="E35" t="s">
        <v>16</v>
      </c>
      <c r="G35" s="3">
        <v>42036</v>
      </c>
      <c r="H35" s="4">
        <v>11.426910039845</v>
      </c>
    </row>
    <row r="36" spans="1:8" x14ac:dyDescent="0.25">
      <c r="A36" t="s">
        <v>5</v>
      </c>
      <c r="B36" s="1">
        <v>35400</v>
      </c>
      <c r="C36">
        <v>157183</v>
      </c>
      <c r="D36">
        <v>380573155397.19</v>
      </c>
      <c r="E36" t="s">
        <v>16</v>
      </c>
      <c r="G36" s="3">
        <v>42064</v>
      </c>
      <c r="H36" s="4">
        <v>11.6445759329424</v>
      </c>
    </row>
    <row r="37" spans="1:8" x14ac:dyDescent="0.25">
      <c r="A37" t="s">
        <v>5</v>
      </c>
      <c r="B37" s="1">
        <v>35431</v>
      </c>
      <c r="C37">
        <v>157961</v>
      </c>
      <c r="D37">
        <v>383579286284.32001</v>
      </c>
      <c r="E37" t="s">
        <v>16</v>
      </c>
      <c r="G37" s="3">
        <v>42095</v>
      </c>
      <c r="H37" s="4">
        <v>11.8409284990699</v>
      </c>
    </row>
    <row r="38" spans="1:8" x14ac:dyDescent="0.25">
      <c r="A38" t="s">
        <v>5</v>
      </c>
      <c r="B38" s="1">
        <v>35462</v>
      </c>
      <c r="C38">
        <v>158587</v>
      </c>
      <c r="D38">
        <v>385622880966.02002</v>
      </c>
      <c r="E38" t="s">
        <v>16</v>
      </c>
      <c r="G38" s="3">
        <v>42125</v>
      </c>
      <c r="H38" s="4">
        <v>12.107778125004099</v>
      </c>
    </row>
    <row r="39" spans="1:8" x14ac:dyDescent="0.25">
      <c r="A39" t="s">
        <v>5</v>
      </c>
      <c r="B39" s="1">
        <v>35490</v>
      </c>
      <c r="C39">
        <v>159328</v>
      </c>
      <c r="D39">
        <v>388944585913.88</v>
      </c>
      <c r="E39" t="s">
        <v>16</v>
      </c>
      <c r="G39" s="3">
        <v>42156</v>
      </c>
      <c r="H39" s="4">
        <v>12.308402387739999</v>
      </c>
    </row>
    <row r="40" spans="1:8" x14ac:dyDescent="0.25">
      <c r="A40" t="s">
        <v>5</v>
      </c>
      <c r="B40" s="1">
        <v>35521</v>
      </c>
      <c r="C40">
        <v>160031</v>
      </c>
      <c r="D40">
        <v>391996345649.14001</v>
      </c>
      <c r="E40" t="s">
        <v>16</v>
      </c>
      <c r="G40" s="3">
        <v>42186</v>
      </c>
      <c r="H40" s="4">
        <v>12.482011952338199</v>
      </c>
    </row>
    <row r="41" spans="1:8" x14ac:dyDescent="0.25">
      <c r="A41" t="s">
        <v>5</v>
      </c>
      <c r="B41" s="1">
        <v>35551</v>
      </c>
      <c r="C41">
        <v>160667</v>
      </c>
      <c r="D41">
        <v>394401986179.65997</v>
      </c>
      <c r="E41" t="s">
        <v>16</v>
      </c>
      <c r="G41" s="3">
        <v>42217</v>
      </c>
      <c r="H41" s="4">
        <v>12.6837502802411</v>
      </c>
    </row>
    <row r="42" spans="1:8" x14ac:dyDescent="0.25">
      <c r="A42" t="s">
        <v>5</v>
      </c>
      <c r="B42" s="1">
        <v>35582</v>
      </c>
      <c r="C42">
        <v>161332</v>
      </c>
      <c r="D42">
        <v>397650299517.78003</v>
      </c>
      <c r="E42" t="s">
        <v>16</v>
      </c>
      <c r="G42" s="3">
        <v>42248</v>
      </c>
      <c r="H42" s="4">
        <v>12.8708061921901</v>
      </c>
    </row>
    <row r="43" spans="1:8" x14ac:dyDescent="0.25">
      <c r="A43" t="s">
        <v>5</v>
      </c>
      <c r="B43" s="1">
        <v>35612</v>
      </c>
      <c r="C43">
        <v>161858</v>
      </c>
      <c r="D43">
        <v>399661358461.85999</v>
      </c>
      <c r="E43" t="s">
        <v>16</v>
      </c>
      <c r="G43" s="3">
        <v>42278</v>
      </c>
      <c r="H43" s="4">
        <v>13.1020531743667</v>
      </c>
    </row>
    <row r="44" spans="1:8" x14ac:dyDescent="0.25">
      <c r="A44" t="s">
        <v>5</v>
      </c>
      <c r="B44" s="1">
        <v>35643</v>
      </c>
      <c r="C44">
        <v>162531</v>
      </c>
      <c r="D44">
        <v>402473247826.06</v>
      </c>
      <c r="E44" t="s">
        <v>16</v>
      </c>
      <c r="G44" s="3">
        <v>42309</v>
      </c>
      <c r="H44" s="4">
        <v>13.363645683943099</v>
      </c>
    </row>
    <row r="45" spans="1:8" x14ac:dyDescent="0.25">
      <c r="A45" t="s">
        <v>5</v>
      </c>
      <c r="B45" s="1">
        <v>35674</v>
      </c>
      <c r="C45">
        <v>163328</v>
      </c>
      <c r="D45">
        <v>407135000510.78003</v>
      </c>
      <c r="E45" t="s">
        <v>16</v>
      </c>
      <c r="G45" s="3">
        <v>42339</v>
      </c>
      <c r="H45" s="4">
        <v>13.626512084068899</v>
      </c>
    </row>
    <row r="46" spans="1:8" x14ac:dyDescent="0.25">
      <c r="A46" t="s">
        <v>5</v>
      </c>
      <c r="B46" s="1">
        <v>35704</v>
      </c>
      <c r="C46">
        <v>164171</v>
      </c>
      <c r="D46">
        <v>410957899203.09998</v>
      </c>
      <c r="E46" t="s">
        <v>16</v>
      </c>
      <c r="G46" s="3">
        <v>42370</v>
      </c>
      <c r="H46" s="4">
        <v>13.845163548687299</v>
      </c>
    </row>
    <row r="47" spans="1:8" x14ac:dyDescent="0.25">
      <c r="A47" t="s">
        <v>5</v>
      </c>
      <c r="B47" s="1">
        <v>35735</v>
      </c>
      <c r="C47">
        <v>164998</v>
      </c>
      <c r="D47">
        <v>415578143387.42999</v>
      </c>
      <c r="E47" t="s">
        <v>16</v>
      </c>
      <c r="G47" s="3">
        <v>42401</v>
      </c>
      <c r="H47" s="4">
        <v>14.1208906311434</v>
      </c>
    </row>
    <row r="48" spans="1:8" x14ac:dyDescent="0.25">
      <c r="A48" t="s">
        <v>5</v>
      </c>
      <c r="B48" s="1">
        <v>35765</v>
      </c>
      <c r="C48">
        <v>165889</v>
      </c>
      <c r="D48">
        <v>420442181020.82001</v>
      </c>
      <c r="E48" t="s">
        <v>16</v>
      </c>
      <c r="G48" s="3">
        <v>42430</v>
      </c>
      <c r="H48" s="4">
        <v>14.3970546323851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 t="s">
        <v>16</v>
      </c>
      <c r="G49" s="3">
        <v>42461</v>
      </c>
      <c r="H49" s="4">
        <v>14.640600344812301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 t="s">
        <v>16</v>
      </c>
      <c r="G50" s="3">
        <v>42491</v>
      </c>
      <c r="H50" s="4">
        <v>14.9068126598542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 t="s">
        <v>16</v>
      </c>
      <c r="G51" s="3">
        <v>42522</v>
      </c>
      <c r="H51" s="4">
        <v>15.176470841565401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 t="s">
        <v>16</v>
      </c>
      <c r="G52" s="3">
        <v>42552</v>
      </c>
      <c r="H52" s="4">
        <v>15.399588945845499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 t="s">
        <v>16</v>
      </c>
      <c r="G53" s="3">
        <v>42583</v>
      </c>
      <c r="H53" s="4">
        <v>15.6065555550139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 t="s">
        <v>16</v>
      </c>
      <c r="G54" s="3">
        <v>42614</v>
      </c>
      <c r="H54" s="4">
        <v>15.8451908360269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 t="s">
        <v>16</v>
      </c>
      <c r="G55" s="3">
        <v>42644</v>
      </c>
      <c r="H55" s="4">
        <v>16.083707902563201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 t="s">
        <v>16</v>
      </c>
      <c r="G56" s="5" t="s">
        <v>10</v>
      </c>
      <c r="H56" s="4">
        <v>418.18747514903311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 t="s">
        <v>16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 t="s">
        <v>16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 t="s">
        <v>16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 t="s">
        <v>16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 t="s">
        <v>16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 t="s">
        <v>16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 t="s">
        <v>16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 t="s">
        <v>16</v>
      </c>
    </row>
    <row r="65" spans="1:5" x14ac:dyDescent="0.25">
      <c r="A65" t="s">
        <v>5</v>
      </c>
      <c r="B65" s="1">
        <v>36281</v>
      </c>
      <c r="C65">
        <v>186717</v>
      </c>
      <c r="D65">
        <v>556506175459.81006</v>
      </c>
      <c r="E65" t="s">
        <v>16</v>
      </c>
    </row>
    <row r="66" spans="1:5" x14ac:dyDescent="0.25">
      <c r="A66" t="s">
        <v>5</v>
      </c>
      <c r="B66" s="1">
        <v>36312</v>
      </c>
      <c r="C66">
        <v>187662</v>
      </c>
      <c r="D66">
        <v>563458838273</v>
      </c>
      <c r="E66" t="s">
        <v>16</v>
      </c>
    </row>
    <row r="67" spans="1:5" x14ac:dyDescent="0.25">
      <c r="A67" t="s">
        <v>5</v>
      </c>
      <c r="B67" s="1">
        <v>36342</v>
      </c>
      <c r="C67">
        <v>188811</v>
      </c>
      <c r="D67">
        <v>572204607933.89001</v>
      </c>
      <c r="E67" t="s">
        <v>16</v>
      </c>
    </row>
    <row r="68" spans="1:5" x14ac:dyDescent="0.25">
      <c r="A68" t="s">
        <v>5</v>
      </c>
      <c r="B68" s="1">
        <v>36373</v>
      </c>
      <c r="C68">
        <v>189841</v>
      </c>
      <c r="D68">
        <v>579291469300.42004</v>
      </c>
      <c r="E68" t="s">
        <v>16</v>
      </c>
    </row>
    <row r="69" spans="1:5" x14ac:dyDescent="0.25">
      <c r="A69" t="s">
        <v>5</v>
      </c>
      <c r="B69" s="1">
        <v>36404</v>
      </c>
      <c r="C69">
        <v>190764</v>
      </c>
      <c r="D69">
        <v>587347551657.76001</v>
      </c>
      <c r="E69" t="s">
        <v>16</v>
      </c>
    </row>
    <row r="70" spans="1:5" x14ac:dyDescent="0.25">
      <c r="A70" t="s">
        <v>5</v>
      </c>
      <c r="B70" s="1">
        <v>36434</v>
      </c>
      <c r="C70">
        <v>191769</v>
      </c>
      <c r="D70">
        <v>595358056585.48999</v>
      </c>
      <c r="E70" t="s">
        <v>16</v>
      </c>
    </row>
    <row r="71" spans="1:5" x14ac:dyDescent="0.25">
      <c r="A71" t="s">
        <v>5</v>
      </c>
      <c r="B71" s="1">
        <v>36465</v>
      </c>
      <c r="C71">
        <v>192676</v>
      </c>
      <c r="D71">
        <v>603335784202.89001</v>
      </c>
      <c r="E71" t="s">
        <v>16</v>
      </c>
    </row>
    <row r="72" spans="1:5" x14ac:dyDescent="0.25">
      <c r="A72" t="s">
        <v>5</v>
      </c>
      <c r="B72" s="1">
        <v>36495</v>
      </c>
      <c r="C72">
        <v>193594</v>
      </c>
      <c r="D72">
        <v>608661813729.64001</v>
      </c>
      <c r="E72" t="s">
        <v>16</v>
      </c>
    </row>
    <row r="73" spans="1:5" x14ac:dyDescent="0.25">
      <c r="A73" t="s">
        <v>5</v>
      </c>
      <c r="B73" s="1">
        <v>36526</v>
      </c>
      <c r="C73">
        <v>194574</v>
      </c>
      <c r="D73">
        <v>614730545023.56995</v>
      </c>
      <c r="E73" t="s">
        <v>16</v>
      </c>
    </row>
    <row r="74" spans="1:5" x14ac:dyDescent="0.25">
      <c r="A74" t="s">
        <v>5</v>
      </c>
      <c r="B74" s="1">
        <v>36557</v>
      </c>
      <c r="C74">
        <v>195521</v>
      </c>
      <c r="D74">
        <v>620175920606.63</v>
      </c>
      <c r="E74" t="s">
        <v>16</v>
      </c>
    </row>
    <row r="75" spans="1:5" x14ac:dyDescent="0.25">
      <c r="A75" t="s">
        <v>5</v>
      </c>
      <c r="B75" s="1">
        <v>36586</v>
      </c>
      <c r="C75">
        <v>196302</v>
      </c>
      <c r="D75">
        <v>625373224000.52002</v>
      </c>
      <c r="E75" t="s">
        <v>16</v>
      </c>
    </row>
    <row r="76" spans="1:5" x14ac:dyDescent="0.25">
      <c r="A76" t="s">
        <v>5</v>
      </c>
      <c r="B76" s="1">
        <v>36617</v>
      </c>
      <c r="C76">
        <v>197211</v>
      </c>
      <c r="D76">
        <v>628789317108.88</v>
      </c>
      <c r="E76" t="s">
        <v>16</v>
      </c>
    </row>
    <row r="77" spans="1:5" x14ac:dyDescent="0.25">
      <c r="A77" t="s">
        <v>5</v>
      </c>
      <c r="B77" s="1">
        <v>36647</v>
      </c>
      <c r="C77">
        <v>198200</v>
      </c>
      <c r="D77">
        <v>633466085432.80005</v>
      </c>
      <c r="E77" t="s">
        <v>16</v>
      </c>
    </row>
    <row r="78" spans="1:5" x14ac:dyDescent="0.25">
      <c r="A78" t="s">
        <v>5</v>
      </c>
      <c r="B78" s="1">
        <v>36678</v>
      </c>
      <c r="C78">
        <v>199277</v>
      </c>
      <c r="D78">
        <v>638637756539.06006</v>
      </c>
      <c r="E78" t="s">
        <v>16</v>
      </c>
    </row>
    <row r="79" spans="1:5" x14ac:dyDescent="0.25">
      <c r="A79" t="s">
        <v>5</v>
      </c>
      <c r="B79" s="1">
        <v>36708</v>
      </c>
      <c r="C79">
        <v>200318</v>
      </c>
      <c r="D79">
        <v>644319934151.05005</v>
      </c>
      <c r="E79" t="s">
        <v>16</v>
      </c>
    </row>
    <row r="80" spans="1:5" x14ac:dyDescent="0.25">
      <c r="A80" t="s">
        <v>5</v>
      </c>
      <c r="B80" s="1">
        <v>36739</v>
      </c>
      <c r="C80">
        <v>201523</v>
      </c>
      <c r="D80">
        <v>650241592057.52002</v>
      </c>
      <c r="E80" t="s">
        <v>16</v>
      </c>
    </row>
    <row r="81" spans="1:5" x14ac:dyDescent="0.25">
      <c r="A81" t="s">
        <v>5</v>
      </c>
      <c r="B81" s="1">
        <v>36770</v>
      </c>
      <c r="C81">
        <v>202877</v>
      </c>
      <c r="D81">
        <v>659140528287.64001</v>
      </c>
      <c r="E81" t="s">
        <v>16</v>
      </c>
    </row>
    <row r="82" spans="1:5" x14ac:dyDescent="0.25">
      <c r="A82" t="s">
        <v>5</v>
      </c>
      <c r="B82" s="1">
        <v>36800</v>
      </c>
      <c r="C82">
        <v>204126</v>
      </c>
      <c r="D82">
        <v>667771708329.09998</v>
      </c>
      <c r="E82" t="s">
        <v>16</v>
      </c>
    </row>
    <row r="83" spans="1:5" x14ac:dyDescent="0.25">
      <c r="A83" t="s">
        <v>5</v>
      </c>
      <c r="B83" s="1">
        <v>36831</v>
      </c>
      <c r="C83">
        <v>205336</v>
      </c>
      <c r="D83">
        <v>678145982258.65002</v>
      </c>
      <c r="E83" t="s">
        <v>16</v>
      </c>
    </row>
    <row r="84" spans="1:5" x14ac:dyDescent="0.25">
      <c r="A84" t="s">
        <v>5</v>
      </c>
      <c r="B84" s="1">
        <v>36861</v>
      </c>
      <c r="C84">
        <v>206553</v>
      </c>
      <c r="D84">
        <v>688667464062.68005</v>
      </c>
      <c r="E84" t="s">
        <v>16</v>
      </c>
    </row>
    <row r="85" spans="1:5" x14ac:dyDescent="0.25">
      <c r="A85" t="s">
        <v>5</v>
      </c>
      <c r="B85" s="1">
        <v>36892</v>
      </c>
      <c r="C85">
        <v>207893</v>
      </c>
      <c r="D85">
        <v>700106336980.84998</v>
      </c>
      <c r="E85" t="s">
        <v>16</v>
      </c>
    </row>
    <row r="86" spans="1:5" x14ac:dyDescent="0.25">
      <c r="A86" t="s">
        <v>5</v>
      </c>
      <c r="B86" s="1">
        <v>36923</v>
      </c>
      <c r="C86">
        <v>209121</v>
      </c>
      <c r="D86">
        <v>711936410692.26001</v>
      </c>
      <c r="E86" t="s">
        <v>16</v>
      </c>
    </row>
    <row r="87" spans="1:5" x14ac:dyDescent="0.25">
      <c r="A87" t="s">
        <v>5</v>
      </c>
      <c r="B87" s="1">
        <v>36951</v>
      </c>
      <c r="C87">
        <v>210670</v>
      </c>
      <c r="D87">
        <v>724159427993.80005</v>
      </c>
      <c r="E87" t="s">
        <v>16</v>
      </c>
    </row>
    <row r="88" spans="1:5" x14ac:dyDescent="0.25">
      <c r="A88" t="s">
        <v>5</v>
      </c>
      <c r="B88" s="1">
        <v>36982</v>
      </c>
      <c r="C88">
        <v>212403</v>
      </c>
      <c r="D88">
        <v>737131621054.80005</v>
      </c>
      <c r="E88" t="s">
        <v>16</v>
      </c>
    </row>
    <row r="89" spans="1:5" x14ac:dyDescent="0.25">
      <c r="A89" t="s">
        <v>5</v>
      </c>
      <c r="B89" s="1">
        <v>37012</v>
      </c>
      <c r="C89">
        <v>214231</v>
      </c>
      <c r="D89">
        <v>752556214855.22998</v>
      </c>
      <c r="E89" t="s">
        <v>16</v>
      </c>
    </row>
    <row r="90" spans="1:5" x14ac:dyDescent="0.25">
      <c r="A90" t="s">
        <v>5</v>
      </c>
      <c r="B90" s="1">
        <v>37043</v>
      </c>
      <c r="C90">
        <v>216060</v>
      </c>
      <c r="D90">
        <v>768634381863</v>
      </c>
      <c r="E90" t="s">
        <v>16</v>
      </c>
    </row>
    <row r="91" spans="1:5" x14ac:dyDescent="0.25">
      <c r="A91" t="s">
        <v>5</v>
      </c>
      <c r="B91" s="1">
        <v>37073</v>
      </c>
      <c r="C91">
        <v>217775</v>
      </c>
      <c r="D91">
        <v>783899597190.81006</v>
      </c>
      <c r="E91" t="s">
        <v>16</v>
      </c>
    </row>
    <row r="92" spans="1:5" x14ac:dyDescent="0.25">
      <c r="A92" t="s">
        <v>5</v>
      </c>
      <c r="B92" s="1">
        <v>37104</v>
      </c>
      <c r="C92">
        <v>219337</v>
      </c>
      <c r="D92">
        <v>800219895172</v>
      </c>
      <c r="E92" t="s">
        <v>16</v>
      </c>
    </row>
    <row r="93" spans="1:5" x14ac:dyDescent="0.25">
      <c r="A93" t="s">
        <v>5</v>
      </c>
      <c r="B93" s="1">
        <v>37135</v>
      </c>
      <c r="C93">
        <v>220863</v>
      </c>
      <c r="D93">
        <v>816276961683.10999</v>
      </c>
      <c r="E93" t="s">
        <v>16</v>
      </c>
    </row>
    <row r="94" spans="1:5" x14ac:dyDescent="0.25">
      <c r="A94" t="s">
        <v>5</v>
      </c>
      <c r="B94" s="1">
        <v>37165</v>
      </c>
      <c r="C94">
        <v>222193</v>
      </c>
      <c r="D94">
        <v>829340407712.87</v>
      </c>
      <c r="E94" t="s">
        <v>16</v>
      </c>
    </row>
    <row r="95" spans="1:5" x14ac:dyDescent="0.25">
      <c r="A95" t="s">
        <v>5</v>
      </c>
      <c r="B95" s="1">
        <v>37196</v>
      </c>
      <c r="C95">
        <v>223572</v>
      </c>
      <c r="D95">
        <v>841081375122.14001</v>
      </c>
      <c r="E95" t="s">
        <v>16</v>
      </c>
    </row>
    <row r="96" spans="1:5" x14ac:dyDescent="0.25">
      <c r="A96" t="s">
        <v>5</v>
      </c>
      <c r="B96" s="1">
        <v>37226</v>
      </c>
      <c r="C96">
        <v>225055</v>
      </c>
      <c r="D96">
        <v>853354387292.38</v>
      </c>
      <c r="E96" t="s">
        <v>16</v>
      </c>
    </row>
    <row r="97" spans="1:5" x14ac:dyDescent="0.25">
      <c r="A97" t="s">
        <v>5</v>
      </c>
      <c r="B97" s="1">
        <v>37257</v>
      </c>
      <c r="C97">
        <v>226605</v>
      </c>
      <c r="D97">
        <v>865009341307.27002</v>
      </c>
      <c r="E97" t="s">
        <v>16</v>
      </c>
    </row>
    <row r="98" spans="1:5" x14ac:dyDescent="0.25">
      <c r="A98" t="s">
        <v>5</v>
      </c>
      <c r="B98" s="1">
        <v>37288</v>
      </c>
      <c r="C98">
        <v>227719</v>
      </c>
      <c r="D98">
        <v>868002653952.68994</v>
      </c>
      <c r="E98" t="s">
        <v>16</v>
      </c>
    </row>
    <row r="99" spans="1:5" x14ac:dyDescent="0.25">
      <c r="A99" t="s">
        <v>5</v>
      </c>
      <c r="B99" s="1">
        <v>37316</v>
      </c>
      <c r="C99">
        <v>228962</v>
      </c>
      <c r="D99">
        <v>879696484692.43994</v>
      </c>
      <c r="E99" t="s">
        <v>16</v>
      </c>
    </row>
    <row r="100" spans="1:5" x14ac:dyDescent="0.25">
      <c r="A100" t="s">
        <v>5</v>
      </c>
      <c r="B100" s="1">
        <v>37347</v>
      </c>
      <c r="C100">
        <v>229290</v>
      </c>
      <c r="D100">
        <v>891137066963.31006</v>
      </c>
      <c r="E100" t="s">
        <v>16</v>
      </c>
    </row>
    <row r="101" spans="1:5" x14ac:dyDescent="0.25">
      <c r="A101" t="s">
        <v>5</v>
      </c>
      <c r="B101" s="1">
        <v>37377</v>
      </c>
      <c r="C101">
        <v>230242</v>
      </c>
      <c r="D101">
        <v>898079497234.46997</v>
      </c>
      <c r="E101" t="s">
        <v>16</v>
      </c>
    </row>
    <row r="102" spans="1:5" x14ac:dyDescent="0.25">
      <c r="A102" t="s">
        <v>5</v>
      </c>
      <c r="B102" s="1">
        <v>37408</v>
      </c>
      <c r="C102">
        <v>231200</v>
      </c>
      <c r="D102">
        <v>906196770233.09998</v>
      </c>
      <c r="E102" t="s">
        <v>16</v>
      </c>
    </row>
    <row r="103" spans="1:5" x14ac:dyDescent="0.25">
      <c r="A103" t="s">
        <v>5</v>
      </c>
      <c r="B103" s="1">
        <v>37438</v>
      </c>
      <c r="C103">
        <v>232155</v>
      </c>
      <c r="D103">
        <v>915306614991.16003</v>
      </c>
      <c r="E103" t="s">
        <v>16</v>
      </c>
    </row>
    <row r="104" spans="1:5" x14ac:dyDescent="0.25">
      <c r="A104" t="s">
        <v>5</v>
      </c>
      <c r="B104" s="1">
        <v>37469</v>
      </c>
      <c r="C104">
        <v>232988</v>
      </c>
      <c r="D104">
        <v>924210879564.21997</v>
      </c>
      <c r="E104" t="s">
        <v>16</v>
      </c>
    </row>
    <row r="105" spans="1:5" x14ac:dyDescent="0.25">
      <c r="A105" t="s">
        <v>5</v>
      </c>
      <c r="B105" s="1">
        <v>37500</v>
      </c>
      <c r="C105">
        <v>234029</v>
      </c>
      <c r="D105">
        <v>933451662668.81006</v>
      </c>
      <c r="E105" t="s">
        <v>16</v>
      </c>
    </row>
    <row r="106" spans="1:5" x14ac:dyDescent="0.25">
      <c r="A106" t="s">
        <v>5</v>
      </c>
      <c r="B106" s="1">
        <v>37530</v>
      </c>
      <c r="C106">
        <v>235250</v>
      </c>
      <c r="D106">
        <v>939163115315.12</v>
      </c>
      <c r="E106" t="s">
        <v>16</v>
      </c>
    </row>
    <row r="107" spans="1:5" x14ac:dyDescent="0.25">
      <c r="A107" t="s">
        <v>5</v>
      </c>
      <c r="B107" s="1">
        <v>37561</v>
      </c>
      <c r="C107">
        <v>236280</v>
      </c>
      <c r="D107">
        <v>950835871010.5</v>
      </c>
      <c r="E107" t="s">
        <v>16</v>
      </c>
    </row>
    <row r="108" spans="1:5" x14ac:dyDescent="0.25">
      <c r="A108" t="s">
        <v>5</v>
      </c>
      <c r="B108" s="1">
        <v>37591</v>
      </c>
      <c r="C108">
        <v>237080</v>
      </c>
      <c r="D108">
        <v>948704633830.25</v>
      </c>
      <c r="E108" t="s">
        <v>16</v>
      </c>
    </row>
    <row r="109" spans="1:5" x14ac:dyDescent="0.25">
      <c r="A109" t="s">
        <v>5</v>
      </c>
      <c r="B109" s="1">
        <v>37622</v>
      </c>
      <c r="C109">
        <v>238095</v>
      </c>
      <c r="D109">
        <v>952529753121.88</v>
      </c>
      <c r="E109" t="s">
        <v>16</v>
      </c>
    </row>
    <row r="110" spans="1:5" x14ac:dyDescent="0.25">
      <c r="A110" t="s">
        <v>5</v>
      </c>
      <c r="B110" s="1">
        <v>37653</v>
      </c>
      <c r="C110">
        <v>238988</v>
      </c>
      <c r="D110">
        <v>962426850688.71997</v>
      </c>
      <c r="E110" t="s">
        <v>16</v>
      </c>
    </row>
    <row r="111" spans="1:5" x14ac:dyDescent="0.25">
      <c r="A111" t="s">
        <v>5</v>
      </c>
      <c r="B111" s="1">
        <v>37681</v>
      </c>
      <c r="C111">
        <v>239791</v>
      </c>
      <c r="D111">
        <v>971889246408.43994</v>
      </c>
      <c r="E111" t="s">
        <v>16</v>
      </c>
    </row>
    <row r="112" spans="1:5" x14ac:dyDescent="0.25">
      <c r="A112" t="s">
        <v>5</v>
      </c>
      <c r="B112" s="1">
        <v>37712</v>
      </c>
      <c r="C112">
        <v>240505</v>
      </c>
      <c r="D112">
        <v>981397635555.85999</v>
      </c>
      <c r="E112" t="s">
        <v>16</v>
      </c>
    </row>
    <row r="113" spans="1:5" x14ac:dyDescent="0.25">
      <c r="A113" t="s">
        <v>5</v>
      </c>
      <c r="B113" s="1">
        <v>37742</v>
      </c>
      <c r="C113">
        <v>241199</v>
      </c>
      <c r="D113">
        <v>998455877100.01001</v>
      </c>
      <c r="E113" t="s">
        <v>16</v>
      </c>
    </row>
    <row r="114" spans="1:5" x14ac:dyDescent="0.25">
      <c r="A114" t="s">
        <v>5</v>
      </c>
      <c r="B114" s="1">
        <v>37773</v>
      </c>
      <c r="C114">
        <v>241528</v>
      </c>
      <c r="D114">
        <v>1000338175794.87</v>
      </c>
      <c r="E114" t="s">
        <v>16</v>
      </c>
    </row>
    <row r="115" spans="1:5" x14ac:dyDescent="0.25">
      <c r="A115" t="s">
        <v>5</v>
      </c>
      <c r="B115" s="1">
        <v>37803</v>
      </c>
      <c r="C115">
        <v>242127</v>
      </c>
      <c r="D115">
        <v>1015393774840.89</v>
      </c>
      <c r="E115" t="s">
        <v>16</v>
      </c>
    </row>
    <row r="116" spans="1:5" x14ac:dyDescent="0.25">
      <c r="A116" t="s">
        <v>5</v>
      </c>
      <c r="B116" s="1">
        <v>37834</v>
      </c>
      <c r="C116">
        <v>242806</v>
      </c>
      <c r="D116">
        <v>1022403673721.74</v>
      </c>
      <c r="E116" t="s">
        <v>16</v>
      </c>
    </row>
    <row r="117" spans="1:5" x14ac:dyDescent="0.25">
      <c r="A117" t="s">
        <v>5</v>
      </c>
      <c r="B117" s="1">
        <v>37865</v>
      </c>
      <c r="C117">
        <v>243055</v>
      </c>
      <c r="D117">
        <v>1011345079983.45</v>
      </c>
      <c r="E117" t="s">
        <v>16</v>
      </c>
    </row>
    <row r="118" spans="1:5" x14ac:dyDescent="0.25">
      <c r="A118" t="s">
        <v>5</v>
      </c>
      <c r="B118" s="1">
        <v>37895</v>
      </c>
      <c r="C118">
        <v>243087</v>
      </c>
      <c r="D118">
        <v>1018746952300.48</v>
      </c>
      <c r="E118" t="s">
        <v>16</v>
      </c>
    </row>
    <row r="119" spans="1:5" x14ac:dyDescent="0.25">
      <c r="A119" t="s">
        <v>5</v>
      </c>
      <c r="B119" s="1">
        <v>37926</v>
      </c>
      <c r="C119">
        <v>242823</v>
      </c>
      <c r="D119">
        <v>1022881900552.3199</v>
      </c>
      <c r="E119" t="s">
        <v>16</v>
      </c>
    </row>
    <row r="120" spans="1:5" x14ac:dyDescent="0.25">
      <c r="A120" t="s">
        <v>5</v>
      </c>
      <c r="B120" s="1">
        <v>37956</v>
      </c>
      <c r="C120">
        <v>242568</v>
      </c>
      <c r="D120">
        <v>1029221486063.8</v>
      </c>
      <c r="E120" t="s">
        <v>16</v>
      </c>
    </row>
    <row r="121" spans="1:5" x14ac:dyDescent="0.25">
      <c r="A121" t="s">
        <v>5</v>
      </c>
      <c r="B121" s="1">
        <v>37987</v>
      </c>
      <c r="C121">
        <v>242944</v>
      </c>
      <c r="D121">
        <v>1041578015793.9</v>
      </c>
      <c r="E121" t="s">
        <v>16</v>
      </c>
    </row>
    <row r="122" spans="1:5" x14ac:dyDescent="0.25">
      <c r="A122" t="s">
        <v>5</v>
      </c>
      <c r="B122" s="1">
        <v>38018</v>
      </c>
      <c r="C122">
        <v>242958</v>
      </c>
      <c r="D122">
        <v>1046154494968.26</v>
      </c>
      <c r="E122" t="s">
        <v>16</v>
      </c>
    </row>
    <row r="123" spans="1:5" x14ac:dyDescent="0.25">
      <c r="A123" t="s">
        <v>5</v>
      </c>
      <c r="B123" s="1">
        <v>38047</v>
      </c>
      <c r="C123">
        <v>243244</v>
      </c>
      <c r="D123">
        <v>1054228745365.45</v>
      </c>
      <c r="E123" t="s">
        <v>16</v>
      </c>
    </row>
    <row r="124" spans="1:5" x14ac:dyDescent="0.25">
      <c r="A124" t="s">
        <v>5</v>
      </c>
      <c r="B124" s="1">
        <v>38078</v>
      </c>
      <c r="C124">
        <v>243458</v>
      </c>
      <c r="D124">
        <v>1054419241918.8</v>
      </c>
      <c r="E124" t="s">
        <v>16</v>
      </c>
    </row>
    <row r="125" spans="1:5" x14ac:dyDescent="0.25">
      <c r="A125" t="s">
        <v>5</v>
      </c>
      <c r="B125" s="1">
        <v>38108</v>
      </c>
      <c r="C125">
        <v>243458</v>
      </c>
      <c r="D125">
        <v>1053489210318.27</v>
      </c>
      <c r="E125" t="s">
        <v>16</v>
      </c>
    </row>
    <row r="126" spans="1:5" x14ac:dyDescent="0.25">
      <c r="A126" t="s">
        <v>5</v>
      </c>
      <c r="B126" s="1">
        <v>38139</v>
      </c>
      <c r="C126">
        <v>243206</v>
      </c>
      <c r="D126">
        <v>1042475819587.54</v>
      </c>
      <c r="E126" t="s">
        <v>16</v>
      </c>
    </row>
    <row r="127" spans="1:5" x14ac:dyDescent="0.25">
      <c r="A127" t="s">
        <v>5</v>
      </c>
      <c r="B127" s="1">
        <v>38169</v>
      </c>
      <c r="C127">
        <v>243206</v>
      </c>
      <c r="D127">
        <v>1043034371136.61</v>
      </c>
      <c r="E127" t="s">
        <v>16</v>
      </c>
    </row>
    <row r="128" spans="1:5" x14ac:dyDescent="0.25">
      <c r="A128" t="s">
        <v>5</v>
      </c>
      <c r="B128" s="1">
        <v>38200</v>
      </c>
      <c r="C128">
        <v>243079</v>
      </c>
      <c r="D128">
        <v>1042526892174.13</v>
      </c>
      <c r="E128" t="s">
        <v>16</v>
      </c>
    </row>
    <row r="129" spans="1:5" x14ac:dyDescent="0.25">
      <c r="A129" t="s">
        <v>5</v>
      </c>
      <c r="B129" s="1">
        <v>38231</v>
      </c>
      <c r="C129">
        <v>243049</v>
      </c>
      <c r="D129">
        <v>1043715265049.05</v>
      </c>
      <c r="E129" t="s">
        <v>16</v>
      </c>
    </row>
    <row r="130" spans="1:5" x14ac:dyDescent="0.25">
      <c r="A130" t="s">
        <v>5</v>
      </c>
      <c r="B130" s="1">
        <v>38261</v>
      </c>
      <c r="C130">
        <v>243211</v>
      </c>
      <c r="D130">
        <v>1047052334367.59</v>
      </c>
      <c r="E130" t="s">
        <v>16</v>
      </c>
    </row>
    <row r="131" spans="1:5" x14ac:dyDescent="0.25">
      <c r="A131" t="s">
        <v>5</v>
      </c>
      <c r="B131" s="1">
        <v>38292</v>
      </c>
      <c r="C131">
        <v>243358</v>
      </c>
      <c r="D131">
        <v>1046559366288.4301</v>
      </c>
      <c r="E131" t="s">
        <v>16</v>
      </c>
    </row>
    <row r="132" spans="1:5" x14ac:dyDescent="0.25">
      <c r="A132" t="s">
        <v>5</v>
      </c>
      <c r="B132" s="1">
        <v>38322</v>
      </c>
      <c r="C132">
        <v>243520</v>
      </c>
      <c r="D132">
        <v>1046116620723.4399</v>
      </c>
      <c r="E132" t="s">
        <v>16</v>
      </c>
    </row>
    <row r="133" spans="1:5" x14ac:dyDescent="0.25">
      <c r="A133" t="s">
        <v>5</v>
      </c>
      <c r="B133" s="1">
        <v>38353</v>
      </c>
      <c r="C133">
        <v>243723</v>
      </c>
      <c r="D133">
        <v>1045661950289.12</v>
      </c>
      <c r="E133" t="s">
        <v>16</v>
      </c>
    </row>
    <row r="134" spans="1:5" x14ac:dyDescent="0.25">
      <c r="A134" t="s">
        <v>5</v>
      </c>
      <c r="B134" s="1">
        <v>38384</v>
      </c>
      <c r="C134">
        <v>243770</v>
      </c>
      <c r="D134">
        <v>1045305106228.61</v>
      </c>
      <c r="E134" t="s">
        <v>16</v>
      </c>
    </row>
    <row r="135" spans="1:5" x14ac:dyDescent="0.25">
      <c r="A135" t="s">
        <v>5</v>
      </c>
      <c r="B135" s="1">
        <v>38412</v>
      </c>
      <c r="C135">
        <v>243919</v>
      </c>
      <c r="D135">
        <v>1047019150198.85</v>
      </c>
      <c r="E135" t="s">
        <v>16</v>
      </c>
    </row>
    <row r="136" spans="1:5" x14ac:dyDescent="0.25">
      <c r="A136" t="s">
        <v>5</v>
      </c>
      <c r="B136" s="1">
        <v>38443</v>
      </c>
      <c r="C136">
        <v>244114</v>
      </c>
      <c r="D136">
        <v>1048394573900.75</v>
      </c>
      <c r="E136" t="s">
        <v>16</v>
      </c>
    </row>
    <row r="137" spans="1:5" x14ac:dyDescent="0.25">
      <c r="A137" t="s">
        <v>5</v>
      </c>
      <c r="B137" s="1">
        <v>38473</v>
      </c>
      <c r="C137">
        <v>244026</v>
      </c>
      <c r="D137">
        <v>1046716620858.74</v>
      </c>
      <c r="E137" t="s">
        <v>16</v>
      </c>
    </row>
    <row r="138" spans="1:5" x14ac:dyDescent="0.25">
      <c r="A138" t="s">
        <v>5</v>
      </c>
      <c r="B138" s="1">
        <v>38504</v>
      </c>
      <c r="C138">
        <v>244112</v>
      </c>
      <c r="D138">
        <v>1051148406451.9301</v>
      </c>
      <c r="E138" t="s">
        <v>16</v>
      </c>
    </row>
    <row r="139" spans="1:5" x14ac:dyDescent="0.25">
      <c r="A139" t="s">
        <v>5</v>
      </c>
      <c r="B139" s="1">
        <v>38534</v>
      </c>
      <c r="C139">
        <v>244290</v>
      </c>
      <c r="D139">
        <v>1055396152979.1</v>
      </c>
      <c r="E139" t="s">
        <v>16</v>
      </c>
    </row>
    <row r="140" spans="1:5" x14ac:dyDescent="0.25">
      <c r="A140" t="s">
        <v>5</v>
      </c>
      <c r="B140" s="1">
        <v>38565</v>
      </c>
      <c r="C140">
        <v>244376</v>
      </c>
      <c r="D140">
        <v>1062568967389.26</v>
      </c>
      <c r="E140" t="s">
        <v>16</v>
      </c>
    </row>
    <row r="141" spans="1:5" x14ac:dyDescent="0.25">
      <c r="A141" t="s">
        <v>5</v>
      </c>
      <c r="B141" s="1">
        <v>38596</v>
      </c>
      <c r="C141">
        <v>244769</v>
      </c>
      <c r="D141">
        <v>1071676798504.13</v>
      </c>
      <c r="E141" t="s">
        <v>16</v>
      </c>
    </row>
    <row r="142" spans="1:5" x14ac:dyDescent="0.25">
      <c r="A142" t="s">
        <v>5</v>
      </c>
      <c r="B142" s="1">
        <v>38626</v>
      </c>
      <c r="C142">
        <v>245103</v>
      </c>
      <c r="D142">
        <v>1083168990542.87</v>
      </c>
      <c r="E142" t="s">
        <v>16</v>
      </c>
    </row>
    <row r="143" spans="1:5" x14ac:dyDescent="0.25">
      <c r="A143" t="s">
        <v>5</v>
      </c>
      <c r="B143" s="1">
        <v>38657</v>
      </c>
      <c r="C143">
        <v>245417</v>
      </c>
      <c r="D143">
        <v>1092258150495.95</v>
      </c>
      <c r="E143" t="s">
        <v>16</v>
      </c>
    </row>
    <row r="144" spans="1:5" x14ac:dyDescent="0.25">
      <c r="A144" t="s">
        <v>5</v>
      </c>
      <c r="B144" s="1">
        <v>38687</v>
      </c>
      <c r="C144">
        <v>245734</v>
      </c>
      <c r="D144">
        <v>1101714404588.9399</v>
      </c>
      <c r="E144" t="s">
        <v>16</v>
      </c>
    </row>
    <row r="145" spans="1:5" x14ac:dyDescent="0.25">
      <c r="A145" t="s">
        <v>5</v>
      </c>
      <c r="B145" s="1">
        <v>38718</v>
      </c>
      <c r="C145">
        <v>246265</v>
      </c>
      <c r="D145">
        <v>1111269349920.8401</v>
      </c>
      <c r="E145" t="s">
        <v>16</v>
      </c>
    </row>
    <row r="146" spans="1:5" x14ac:dyDescent="0.25">
      <c r="A146" t="s">
        <v>5</v>
      </c>
      <c r="B146" s="1">
        <v>38749</v>
      </c>
      <c r="C146">
        <v>246636</v>
      </c>
      <c r="D146">
        <v>1122419326727.3401</v>
      </c>
      <c r="E146" t="s">
        <v>16</v>
      </c>
    </row>
    <row r="147" spans="1:5" x14ac:dyDescent="0.25">
      <c r="A147" t="s">
        <v>5</v>
      </c>
      <c r="B147" s="1">
        <v>38777</v>
      </c>
      <c r="C147">
        <v>247214</v>
      </c>
      <c r="D147">
        <v>1132529092295.1799</v>
      </c>
      <c r="E147" t="s">
        <v>16</v>
      </c>
    </row>
    <row r="148" spans="1:5" x14ac:dyDescent="0.25">
      <c r="A148" t="s">
        <v>5</v>
      </c>
      <c r="B148" s="1">
        <v>38808</v>
      </c>
      <c r="C148">
        <v>247639</v>
      </c>
      <c r="D148">
        <v>1142036164423.6499</v>
      </c>
      <c r="E148" t="s">
        <v>16</v>
      </c>
    </row>
    <row r="149" spans="1:5" x14ac:dyDescent="0.25">
      <c r="A149" t="s">
        <v>5</v>
      </c>
      <c r="B149" s="1">
        <v>38838</v>
      </c>
      <c r="C149">
        <v>248030</v>
      </c>
      <c r="D149">
        <v>1155261788794.02</v>
      </c>
      <c r="E149" t="s">
        <v>16</v>
      </c>
    </row>
    <row r="150" spans="1:5" x14ac:dyDescent="0.25">
      <c r="A150" t="s">
        <v>5</v>
      </c>
      <c r="B150" s="1">
        <v>38869</v>
      </c>
      <c r="C150">
        <v>248548</v>
      </c>
      <c r="D150">
        <v>1168142806797.22</v>
      </c>
      <c r="E150" t="s">
        <v>16</v>
      </c>
    </row>
    <row r="151" spans="1:5" x14ac:dyDescent="0.25">
      <c r="A151" t="s">
        <v>5</v>
      </c>
      <c r="B151" s="1">
        <v>38899</v>
      </c>
      <c r="C151">
        <v>248874</v>
      </c>
      <c r="D151">
        <v>1181825510252.74</v>
      </c>
      <c r="E151" t="s">
        <v>16</v>
      </c>
    </row>
    <row r="152" spans="1:5" x14ac:dyDescent="0.25">
      <c r="A152" t="s">
        <v>5</v>
      </c>
      <c r="B152" s="1">
        <v>38930</v>
      </c>
      <c r="C152">
        <v>249248</v>
      </c>
      <c r="D152">
        <v>1192430186515.3201</v>
      </c>
      <c r="E152" t="s">
        <v>16</v>
      </c>
    </row>
    <row r="153" spans="1:5" x14ac:dyDescent="0.25">
      <c r="A153" t="s">
        <v>5</v>
      </c>
      <c r="B153" s="1">
        <v>38961</v>
      </c>
      <c r="C153">
        <v>249885</v>
      </c>
      <c r="D153">
        <v>1206782284664.1699</v>
      </c>
      <c r="E153" t="s">
        <v>16</v>
      </c>
    </row>
    <row r="154" spans="1:5" x14ac:dyDescent="0.25">
      <c r="A154" t="s">
        <v>5</v>
      </c>
      <c r="B154" s="1">
        <v>38991</v>
      </c>
      <c r="C154">
        <v>250428</v>
      </c>
      <c r="D154">
        <v>1220415637263.49</v>
      </c>
      <c r="E154" t="s">
        <v>16</v>
      </c>
    </row>
    <row r="155" spans="1:5" x14ac:dyDescent="0.25">
      <c r="A155" t="s">
        <v>5</v>
      </c>
      <c r="B155" s="1">
        <v>39022</v>
      </c>
      <c r="C155">
        <v>250977</v>
      </c>
      <c r="D155">
        <v>1240435866291.8799</v>
      </c>
      <c r="E155" t="s">
        <v>16</v>
      </c>
    </row>
    <row r="156" spans="1:5" x14ac:dyDescent="0.25">
      <c r="A156" t="s">
        <v>5</v>
      </c>
      <c r="B156" s="1">
        <v>39052</v>
      </c>
      <c r="C156">
        <v>251536</v>
      </c>
      <c r="D156">
        <v>1253159977244.54</v>
      </c>
      <c r="E156" t="s">
        <v>16</v>
      </c>
    </row>
    <row r="157" spans="1:5" x14ac:dyDescent="0.25">
      <c r="A157" t="s">
        <v>5</v>
      </c>
      <c r="B157" s="1">
        <v>39083</v>
      </c>
      <c r="C157">
        <v>252197</v>
      </c>
      <c r="D157">
        <v>1267753834052.5601</v>
      </c>
      <c r="E157" t="s">
        <v>16</v>
      </c>
    </row>
    <row r="158" spans="1:5" x14ac:dyDescent="0.25">
      <c r="A158" t="s">
        <v>5</v>
      </c>
      <c r="B158" s="1">
        <v>39114</v>
      </c>
      <c r="C158">
        <v>252755</v>
      </c>
      <c r="D158">
        <v>1281899182108.53</v>
      </c>
      <c r="E158" t="s">
        <v>16</v>
      </c>
    </row>
    <row r="159" spans="1:5" x14ac:dyDescent="0.25">
      <c r="A159" t="s">
        <v>5</v>
      </c>
      <c r="B159" s="1">
        <v>39142</v>
      </c>
      <c r="C159">
        <v>253418</v>
      </c>
      <c r="D159">
        <v>1297151286163.0601</v>
      </c>
      <c r="E159" t="s">
        <v>16</v>
      </c>
    </row>
    <row r="160" spans="1:5" x14ac:dyDescent="0.25">
      <c r="A160" t="s">
        <v>5</v>
      </c>
      <c r="B160" s="1">
        <v>39173</v>
      </c>
      <c r="C160">
        <v>254121</v>
      </c>
      <c r="D160">
        <v>1313547803162.76</v>
      </c>
      <c r="E160" t="s">
        <v>16</v>
      </c>
    </row>
    <row r="161" spans="1:5" x14ac:dyDescent="0.25">
      <c r="A161" t="s">
        <v>5</v>
      </c>
      <c r="B161" s="1">
        <v>39203</v>
      </c>
      <c r="C161">
        <v>254866</v>
      </c>
      <c r="D161">
        <v>1329046516438.8999</v>
      </c>
      <c r="E161" t="s">
        <v>16</v>
      </c>
    </row>
    <row r="162" spans="1:5" x14ac:dyDescent="0.25">
      <c r="A162" t="s">
        <v>5</v>
      </c>
      <c r="B162" s="1">
        <v>39234</v>
      </c>
      <c r="C162">
        <v>255714</v>
      </c>
      <c r="D162">
        <v>1351361414625.3799</v>
      </c>
      <c r="E162" t="s">
        <v>16</v>
      </c>
    </row>
    <row r="163" spans="1:5" x14ac:dyDescent="0.25">
      <c r="A163" t="s">
        <v>5</v>
      </c>
      <c r="B163" s="1">
        <v>39264</v>
      </c>
      <c r="C163">
        <v>256516</v>
      </c>
      <c r="D163">
        <v>1373358197427.46</v>
      </c>
      <c r="E163" t="s">
        <v>16</v>
      </c>
    </row>
    <row r="164" spans="1:5" x14ac:dyDescent="0.25">
      <c r="A164" t="s">
        <v>5</v>
      </c>
      <c r="B164" s="1">
        <v>39295</v>
      </c>
      <c r="C164">
        <v>257355</v>
      </c>
      <c r="D164">
        <v>1398518091938.25</v>
      </c>
      <c r="E164" t="s">
        <v>16</v>
      </c>
    </row>
    <row r="165" spans="1:5" x14ac:dyDescent="0.25">
      <c r="A165" t="s">
        <v>5</v>
      </c>
      <c r="B165" s="1">
        <v>39326</v>
      </c>
      <c r="C165">
        <v>258242</v>
      </c>
      <c r="D165">
        <v>1423075259258.24</v>
      </c>
      <c r="E165" t="s">
        <v>16</v>
      </c>
    </row>
    <row r="166" spans="1:5" x14ac:dyDescent="0.25">
      <c r="A166" t="s">
        <v>5</v>
      </c>
      <c r="B166" s="1">
        <v>39356</v>
      </c>
      <c r="C166">
        <v>259130</v>
      </c>
      <c r="D166">
        <v>1448620805507.53</v>
      </c>
      <c r="E166" t="s">
        <v>16</v>
      </c>
    </row>
    <row r="167" spans="1:5" x14ac:dyDescent="0.25">
      <c r="A167" t="s">
        <v>5</v>
      </c>
      <c r="B167" s="1">
        <v>39387</v>
      </c>
      <c r="C167">
        <v>259997</v>
      </c>
      <c r="D167">
        <v>1473008966168.4399</v>
      </c>
      <c r="E167" t="s">
        <v>16</v>
      </c>
    </row>
    <row r="168" spans="1:5" x14ac:dyDescent="0.25">
      <c r="A168" t="s">
        <v>5</v>
      </c>
      <c r="B168" s="1">
        <v>39417</v>
      </c>
      <c r="C168">
        <v>260697</v>
      </c>
      <c r="D168">
        <v>1503089126091.8101</v>
      </c>
      <c r="E168" t="s">
        <v>16</v>
      </c>
    </row>
    <row r="169" spans="1:5" x14ac:dyDescent="0.25">
      <c r="A169" t="s">
        <v>5</v>
      </c>
      <c r="B169" s="1">
        <v>39448</v>
      </c>
      <c r="C169">
        <v>261695</v>
      </c>
      <c r="D169">
        <v>1536876729700.0601</v>
      </c>
      <c r="E169" t="s">
        <v>16</v>
      </c>
    </row>
    <row r="170" spans="1:5" x14ac:dyDescent="0.25">
      <c r="A170" t="s">
        <v>5</v>
      </c>
      <c r="B170" s="1">
        <v>39479</v>
      </c>
      <c r="C170">
        <v>262505</v>
      </c>
      <c r="D170">
        <v>1561574734904.05</v>
      </c>
      <c r="E170" t="s">
        <v>16</v>
      </c>
    </row>
    <row r="171" spans="1:5" x14ac:dyDescent="0.25">
      <c r="A171" t="s">
        <v>5</v>
      </c>
      <c r="B171" s="1">
        <v>39508</v>
      </c>
      <c r="C171">
        <v>264223</v>
      </c>
      <c r="D171">
        <v>1598687945829.1299</v>
      </c>
      <c r="E171" t="s">
        <v>16</v>
      </c>
    </row>
    <row r="172" spans="1:5" x14ac:dyDescent="0.25">
      <c r="A172" t="s">
        <v>5</v>
      </c>
      <c r="B172" s="1">
        <v>39539</v>
      </c>
      <c r="C172">
        <v>264813</v>
      </c>
      <c r="D172">
        <v>1611864597529.54</v>
      </c>
      <c r="E172" t="s">
        <v>16</v>
      </c>
    </row>
    <row r="173" spans="1:5" x14ac:dyDescent="0.25">
      <c r="A173" t="s">
        <v>5</v>
      </c>
      <c r="B173" s="1">
        <v>39569</v>
      </c>
      <c r="C173">
        <v>265488</v>
      </c>
      <c r="D173">
        <v>1627058464695.98</v>
      </c>
      <c r="E173" t="s">
        <v>16</v>
      </c>
    </row>
    <row r="174" spans="1:5" x14ac:dyDescent="0.25">
      <c r="A174" t="s">
        <v>6</v>
      </c>
      <c r="B174" s="1">
        <v>39600</v>
      </c>
      <c r="C174">
        <v>5</v>
      </c>
      <c r="D174">
        <v>12238945.18</v>
      </c>
      <c r="E174" t="s">
        <v>16</v>
      </c>
    </row>
    <row r="175" spans="1:5" x14ac:dyDescent="0.25">
      <c r="A175" t="s">
        <v>5</v>
      </c>
      <c r="B175" s="1">
        <v>39600</v>
      </c>
      <c r="C175">
        <v>266516</v>
      </c>
      <c r="D175">
        <v>1649023403524.3301</v>
      </c>
      <c r="E175" t="s">
        <v>16</v>
      </c>
    </row>
    <row r="176" spans="1:5" x14ac:dyDescent="0.25">
      <c r="A176" t="s">
        <v>5</v>
      </c>
      <c r="B176" s="1">
        <v>39630</v>
      </c>
      <c r="C176">
        <v>267221</v>
      </c>
      <c r="D176">
        <v>1672012270673.77</v>
      </c>
      <c r="E176" t="s">
        <v>16</v>
      </c>
    </row>
    <row r="177" spans="1:5" x14ac:dyDescent="0.25">
      <c r="A177" t="s">
        <v>6</v>
      </c>
      <c r="B177" s="1">
        <v>39630</v>
      </c>
      <c r="C177">
        <v>11</v>
      </c>
      <c r="D177">
        <v>431216401.19999999</v>
      </c>
      <c r="E177" t="s">
        <v>16</v>
      </c>
    </row>
    <row r="178" spans="1:5" x14ac:dyDescent="0.25">
      <c r="A178" t="s">
        <v>5</v>
      </c>
      <c r="B178" s="1">
        <v>39661</v>
      </c>
      <c r="C178">
        <v>267777</v>
      </c>
      <c r="D178">
        <v>1682374180043.9399</v>
      </c>
      <c r="E178" t="s">
        <v>16</v>
      </c>
    </row>
    <row r="179" spans="1:5" x14ac:dyDescent="0.25">
      <c r="A179" t="s">
        <v>6</v>
      </c>
      <c r="B179" s="1">
        <v>39661</v>
      </c>
      <c r="C179">
        <v>15</v>
      </c>
      <c r="D179">
        <v>2102895357.54</v>
      </c>
      <c r="E179" t="s">
        <v>16</v>
      </c>
    </row>
    <row r="180" spans="1:5" x14ac:dyDescent="0.25">
      <c r="A180" t="s">
        <v>5</v>
      </c>
      <c r="B180" s="1">
        <v>39692</v>
      </c>
      <c r="C180">
        <v>268301</v>
      </c>
      <c r="D180">
        <v>1690709203256.04</v>
      </c>
      <c r="E180" t="s">
        <v>16</v>
      </c>
    </row>
    <row r="181" spans="1:5" x14ac:dyDescent="0.25">
      <c r="A181" t="s">
        <v>6</v>
      </c>
      <c r="B181" s="1">
        <v>39692</v>
      </c>
      <c r="C181">
        <v>22</v>
      </c>
      <c r="D181">
        <v>4048869571.6900001</v>
      </c>
      <c r="E181" t="s">
        <v>16</v>
      </c>
    </row>
    <row r="182" spans="1:5" x14ac:dyDescent="0.25">
      <c r="A182" t="s">
        <v>6</v>
      </c>
      <c r="B182" s="1">
        <v>39722</v>
      </c>
      <c r="C182">
        <v>32</v>
      </c>
      <c r="D182">
        <v>6443245156.5</v>
      </c>
      <c r="E182" t="s">
        <v>16</v>
      </c>
    </row>
    <row r="183" spans="1:5" x14ac:dyDescent="0.25">
      <c r="A183" t="s">
        <v>5</v>
      </c>
      <c r="B183" s="1">
        <v>39722</v>
      </c>
      <c r="C183">
        <v>269084</v>
      </c>
      <c r="D183">
        <v>1706507798745.03</v>
      </c>
      <c r="E183" t="s">
        <v>16</v>
      </c>
    </row>
    <row r="184" spans="1:5" x14ac:dyDescent="0.25">
      <c r="A184" t="s">
        <v>6</v>
      </c>
      <c r="B184" s="1">
        <v>39753</v>
      </c>
      <c r="C184">
        <v>33</v>
      </c>
      <c r="D184">
        <v>7594722445.1199999</v>
      </c>
      <c r="E184" t="s">
        <v>16</v>
      </c>
    </row>
    <row r="185" spans="1:5" x14ac:dyDescent="0.25">
      <c r="A185" t="s">
        <v>5</v>
      </c>
      <c r="B185" s="1">
        <v>39753</v>
      </c>
      <c r="C185">
        <v>269586</v>
      </c>
      <c r="D185">
        <v>1715320900515.99</v>
      </c>
      <c r="E185" t="s">
        <v>16</v>
      </c>
    </row>
    <row r="186" spans="1:5" x14ac:dyDescent="0.25">
      <c r="A186" t="s">
        <v>6</v>
      </c>
      <c r="B186" s="1">
        <v>39783</v>
      </c>
      <c r="C186">
        <v>33</v>
      </c>
      <c r="D186">
        <v>7455294762.29</v>
      </c>
      <c r="E186" t="s">
        <v>16</v>
      </c>
    </row>
    <row r="187" spans="1:5" x14ac:dyDescent="0.25">
      <c r="A187" t="s">
        <v>5</v>
      </c>
      <c r="B187" s="1">
        <v>39783</v>
      </c>
      <c r="C187">
        <v>269880</v>
      </c>
      <c r="D187">
        <v>1722159821907.24</v>
      </c>
      <c r="E187" t="s">
        <v>16</v>
      </c>
    </row>
    <row r="188" spans="1:5" x14ac:dyDescent="0.25">
      <c r="A188" t="s">
        <v>5</v>
      </c>
      <c r="B188" s="1">
        <v>39814</v>
      </c>
      <c r="C188">
        <v>270476</v>
      </c>
      <c r="D188">
        <v>1743795423653.5901</v>
      </c>
      <c r="E188" t="s">
        <v>16</v>
      </c>
    </row>
    <row r="189" spans="1:5" x14ac:dyDescent="0.25">
      <c r="A189" t="s">
        <v>6</v>
      </c>
      <c r="B189" s="1">
        <v>39814</v>
      </c>
      <c r="C189">
        <v>37</v>
      </c>
      <c r="D189">
        <v>7385915358.9499998</v>
      </c>
      <c r="E189" t="s">
        <v>16</v>
      </c>
    </row>
    <row r="190" spans="1:5" x14ac:dyDescent="0.25">
      <c r="A190" t="s">
        <v>6</v>
      </c>
      <c r="B190" s="1">
        <v>39845</v>
      </c>
      <c r="C190">
        <v>37</v>
      </c>
      <c r="D190">
        <v>7186390255.3999996</v>
      </c>
      <c r="E190" t="s">
        <v>16</v>
      </c>
    </row>
    <row r="191" spans="1:5" x14ac:dyDescent="0.25">
      <c r="A191" t="s">
        <v>5</v>
      </c>
      <c r="B191" s="1">
        <v>39845</v>
      </c>
      <c r="C191">
        <v>270820</v>
      </c>
      <c r="D191">
        <v>1747958716979.52</v>
      </c>
      <c r="E191" t="s">
        <v>16</v>
      </c>
    </row>
    <row r="192" spans="1:5" x14ac:dyDescent="0.25">
      <c r="A192" t="s">
        <v>6</v>
      </c>
      <c r="B192" s="1">
        <v>39873</v>
      </c>
      <c r="C192">
        <v>57</v>
      </c>
      <c r="D192">
        <v>7517545111.1499996</v>
      </c>
      <c r="E192" t="s">
        <v>16</v>
      </c>
    </row>
    <row r="193" spans="1:5" x14ac:dyDescent="0.25">
      <c r="A193" t="s">
        <v>5</v>
      </c>
      <c r="B193" s="1">
        <v>39873</v>
      </c>
      <c r="C193">
        <v>271227</v>
      </c>
      <c r="D193">
        <v>1754532172587.8201</v>
      </c>
      <c r="E193" t="s">
        <v>16</v>
      </c>
    </row>
    <row r="194" spans="1:5" x14ac:dyDescent="0.25">
      <c r="A194" t="s">
        <v>6</v>
      </c>
      <c r="B194" s="1">
        <v>39904</v>
      </c>
      <c r="C194">
        <v>80</v>
      </c>
      <c r="D194">
        <v>7812894988.0100002</v>
      </c>
      <c r="E194" t="s">
        <v>16</v>
      </c>
    </row>
    <row r="195" spans="1:5" x14ac:dyDescent="0.25">
      <c r="A195" t="s">
        <v>5</v>
      </c>
      <c r="B195" s="1">
        <v>39904</v>
      </c>
      <c r="C195">
        <v>271839</v>
      </c>
      <c r="D195">
        <v>1783832899325.1899</v>
      </c>
      <c r="E195" t="s">
        <v>16</v>
      </c>
    </row>
    <row r="196" spans="1:5" x14ac:dyDescent="0.25">
      <c r="A196" t="s">
        <v>5</v>
      </c>
      <c r="B196" s="1">
        <v>39934</v>
      </c>
      <c r="C196">
        <v>272056</v>
      </c>
      <c r="D196">
        <v>1788604982272.3999</v>
      </c>
      <c r="E196" t="s">
        <v>16</v>
      </c>
    </row>
    <row r="197" spans="1:5" x14ac:dyDescent="0.25">
      <c r="A197" t="s">
        <v>6</v>
      </c>
      <c r="B197" s="1">
        <v>39934</v>
      </c>
      <c r="C197">
        <v>94</v>
      </c>
      <c r="D197">
        <v>7929838117.7600002</v>
      </c>
      <c r="E197" t="s">
        <v>16</v>
      </c>
    </row>
    <row r="198" spans="1:5" x14ac:dyDescent="0.25">
      <c r="A198" t="s">
        <v>5</v>
      </c>
      <c r="B198" s="1">
        <v>39965</v>
      </c>
      <c r="C198">
        <v>272638</v>
      </c>
      <c r="D198">
        <v>1851247613799.7</v>
      </c>
      <c r="E198" t="s">
        <v>16</v>
      </c>
    </row>
    <row r="199" spans="1:5" x14ac:dyDescent="0.25">
      <c r="A199" t="s">
        <v>6</v>
      </c>
      <c r="B199" s="1">
        <v>39965</v>
      </c>
      <c r="C199">
        <v>131</v>
      </c>
      <c r="D199">
        <v>14236149645.15</v>
      </c>
      <c r="E199" t="s">
        <v>16</v>
      </c>
    </row>
    <row r="200" spans="1:5" x14ac:dyDescent="0.25">
      <c r="A200" t="s">
        <v>5</v>
      </c>
      <c r="B200" s="1">
        <v>39995</v>
      </c>
      <c r="C200">
        <v>273233</v>
      </c>
      <c r="D200">
        <v>1892906083080.45</v>
      </c>
      <c r="E200" t="s">
        <v>16</v>
      </c>
    </row>
    <row r="201" spans="1:5" x14ac:dyDescent="0.25">
      <c r="A201" t="s">
        <v>6</v>
      </c>
      <c r="B201" s="1">
        <v>39995</v>
      </c>
      <c r="C201">
        <v>168</v>
      </c>
      <c r="D201">
        <v>15653598327.879999</v>
      </c>
      <c r="E201" t="s">
        <v>16</v>
      </c>
    </row>
    <row r="202" spans="1:5" x14ac:dyDescent="0.25">
      <c r="A202" t="s">
        <v>5</v>
      </c>
      <c r="B202" s="1">
        <v>40026</v>
      </c>
      <c r="C202">
        <v>273609</v>
      </c>
      <c r="D202">
        <v>1911210202909.05</v>
      </c>
      <c r="E202" t="s">
        <v>16</v>
      </c>
    </row>
    <row r="203" spans="1:5" x14ac:dyDescent="0.25">
      <c r="A203" t="s">
        <v>6</v>
      </c>
      <c r="B203" s="1">
        <v>40026</v>
      </c>
      <c r="C203">
        <v>188</v>
      </c>
      <c r="D203">
        <v>16210075077.32</v>
      </c>
      <c r="E203" t="s">
        <v>16</v>
      </c>
    </row>
    <row r="204" spans="1:5" x14ac:dyDescent="0.25">
      <c r="A204" t="s">
        <v>5</v>
      </c>
      <c r="B204" s="1">
        <v>40057</v>
      </c>
      <c r="C204">
        <v>273811</v>
      </c>
      <c r="D204">
        <v>1922329055650.49</v>
      </c>
      <c r="E204" t="s">
        <v>16</v>
      </c>
    </row>
    <row r="205" spans="1:5" x14ac:dyDescent="0.25">
      <c r="A205" t="s">
        <v>6</v>
      </c>
      <c r="B205" s="1">
        <v>40057</v>
      </c>
      <c r="C205">
        <v>222</v>
      </c>
      <c r="D205">
        <v>17522334402.939999</v>
      </c>
      <c r="E205" t="s">
        <v>16</v>
      </c>
    </row>
    <row r="206" spans="1:5" x14ac:dyDescent="0.25">
      <c r="A206" t="s">
        <v>5</v>
      </c>
      <c r="B206" s="1">
        <v>40087</v>
      </c>
      <c r="C206">
        <v>274246</v>
      </c>
      <c r="D206">
        <v>1936230379188.45</v>
      </c>
      <c r="E206" t="s">
        <v>16</v>
      </c>
    </row>
    <row r="207" spans="1:5" x14ac:dyDescent="0.25">
      <c r="A207" t="s">
        <v>6</v>
      </c>
      <c r="B207" s="1">
        <v>40087</v>
      </c>
      <c r="C207">
        <v>266</v>
      </c>
      <c r="D207">
        <v>20636621094.560001</v>
      </c>
      <c r="E207" t="s">
        <v>16</v>
      </c>
    </row>
    <row r="208" spans="1:5" x14ac:dyDescent="0.25">
      <c r="A208" t="s">
        <v>5</v>
      </c>
      <c r="B208" s="1">
        <v>40118</v>
      </c>
      <c r="C208">
        <v>274530</v>
      </c>
      <c r="D208">
        <v>1935224752959.1399</v>
      </c>
      <c r="E208" t="s">
        <v>16</v>
      </c>
    </row>
    <row r="209" spans="1:5" x14ac:dyDescent="0.25">
      <c r="A209" t="s">
        <v>7</v>
      </c>
      <c r="B209" s="1">
        <v>40118</v>
      </c>
      <c r="C209">
        <v>3</v>
      </c>
      <c r="D209">
        <v>15327165.810000001</v>
      </c>
      <c r="E209" t="s">
        <v>16</v>
      </c>
    </row>
    <row r="210" spans="1:5" x14ac:dyDescent="0.25">
      <c r="A210" t="s">
        <v>6</v>
      </c>
      <c r="B210" s="1">
        <v>40118</v>
      </c>
      <c r="C210">
        <v>290</v>
      </c>
      <c r="D210">
        <v>24709665353.299999</v>
      </c>
      <c r="E210" t="s">
        <v>16</v>
      </c>
    </row>
    <row r="211" spans="1:5" x14ac:dyDescent="0.25">
      <c r="A211" t="s">
        <v>5</v>
      </c>
      <c r="B211" s="1">
        <v>40148</v>
      </c>
      <c r="C211">
        <v>274807</v>
      </c>
      <c r="D211">
        <v>1931516393378.1001</v>
      </c>
      <c r="E211" t="s">
        <v>16</v>
      </c>
    </row>
    <row r="212" spans="1:5" x14ac:dyDescent="0.25">
      <c r="A212" t="s">
        <v>7</v>
      </c>
      <c r="B212" s="1">
        <v>40148</v>
      </c>
      <c r="C212">
        <v>17</v>
      </c>
      <c r="D212">
        <v>106566395.2</v>
      </c>
      <c r="E212" t="s">
        <v>16</v>
      </c>
    </row>
    <row r="213" spans="1:5" x14ac:dyDescent="0.25">
      <c r="A213" t="s">
        <v>6</v>
      </c>
      <c r="B213" s="1">
        <v>40148</v>
      </c>
      <c r="C213">
        <v>353</v>
      </c>
      <c r="D213">
        <v>27060927127.610001</v>
      </c>
      <c r="E213" t="s">
        <v>16</v>
      </c>
    </row>
    <row r="214" spans="1:5" x14ac:dyDescent="0.25">
      <c r="A214" t="s">
        <v>5</v>
      </c>
      <c r="B214" s="1">
        <v>40179</v>
      </c>
      <c r="C214">
        <v>275195</v>
      </c>
      <c r="D214">
        <v>1935480749969.53</v>
      </c>
      <c r="E214" t="s">
        <v>16</v>
      </c>
    </row>
    <row r="215" spans="1:5" x14ac:dyDescent="0.25">
      <c r="A215" t="s">
        <v>7</v>
      </c>
      <c r="B215" s="1">
        <v>40179</v>
      </c>
      <c r="C215">
        <v>35</v>
      </c>
      <c r="D215">
        <v>234862672.03</v>
      </c>
      <c r="E215" t="s">
        <v>16</v>
      </c>
    </row>
    <row r="216" spans="1:5" x14ac:dyDescent="0.25">
      <c r="A216" t="s">
        <v>6</v>
      </c>
      <c r="B216" s="1">
        <v>40179</v>
      </c>
      <c r="C216">
        <v>414</v>
      </c>
      <c r="D216">
        <v>29069674532.27</v>
      </c>
      <c r="E216" t="s">
        <v>16</v>
      </c>
    </row>
    <row r="217" spans="1:5" x14ac:dyDescent="0.25">
      <c r="A217" t="s">
        <v>5</v>
      </c>
      <c r="B217" s="1">
        <v>40210</v>
      </c>
      <c r="C217">
        <v>275240</v>
      </c>
      <c r="D217">
        <v>1926355203139.8799</v>
      </c>
      <c r="E217" t="s">
        <v>16</v>
      </c>
    </row>
    <row r="218" spans="1:5" x14ac:dyDescent="0.25">
      <c r="A218" t="s">
        <v>7</v>
      </c>
      <c r="B218" s="1">
        <v>40210</v>
      </c>
      <c r="C218">
        <v>52</v>
      </c>
      <c r="D218">
        <v>406767057.86000001</v>
      </c>
      <c r="E218" t="s">
        <v>16</v>
      </c>
    </row>
    <row r="219" spans="1:5" x14ac:dyDescent="0.25">
      <c r="A219" t="s">
        <v>6</v>
      </c>
      <c r="B219" s="1">
        <v>40210</v>
      </c>
      <c r="C219">
        <v>458</v>
      </c>
      <c r="D219">
        <v>30591542409.349998</v>
      </c>
      <c r="E219" t="s">
        <v>16</v>
      </c>
    </row>
    <row r="220" spans="1:5" x14ac:dyDescent="0.25">
      <c r="A220" t="s">
        <v>5</v>
      </c>
      <c r="B220" s="1">
        <v>40238</v>
      </c>
      <c r="C220">
        <v>275437</v>
      </c>
      <c r="D220">
        <v>1923031361638.27</v>
      </c>
      <c r="E220" t="s">
        <v>16</v>
      </c>
    </row>
    <row r="221" spans="1:5" x14ac:dyDescent="0.25">
      <c r="A221" t="s">
        <v>7</v>
      </c>
      <c r="B221" s="1">
        <v>40238</v>
      </c>
      <c r="C221">
        <v>66</v>
      </c>
      <c r="D221">
        <v>597072260.88</v>
      </c>
      <c r="E221" t="s">
        <v>16</v>
      </c>
    </row>
    <row r="222" spans="1:5" x14ac:dyDescent="0.25">
      <c r="A222" t="s">
        <v>6</v>
      </c>
      <c r="B222" s="1">
        <v>40238</v>
      </c>
      <c r="C222">
        <v>489</v>
      </c>
      <c r="D222">
        <v>32188299766.919998</v>
      </c>
      <c r="E222" t="s">
        <v>16</v>
      </c>
    </row>
    <row r="223" spans="1:5" x14ac:dyDescent="0.25">
      <c r="A223" t="s">
        <v>5</v>
      </c>
      <c r="B223" s="1">
        <v>40269</v>
      </c>
      <c r="C223">
        <v>275562</v>
      </c>
      <c r="D223">
        <v>1915973684687.22</v>
      </c>
      <c r="E223" t="s">
        <v>16</v>
      </c>
    </row>
    <row r="224" spans="1:5" x14ac:dyDescent="0.25">
      <c r="A224" t="s">
        <v>7</v>
      </c>
      <c r="B224" s="1">
        <v>40269</v>
      </c>
      <c r="C224">
        <v>83</v>
      </c>
      <c r="D224">
        <v>810653741.88</v>
      </c>
      <c r="E224" t="s">
        <v>16</v>
      </c>
    </row>
    <row r="225" spans="1:5" x14ac:dyDescent="0.25">
      <c r="A225" t="s">
        <v>6</v>
      </c>
      <c r="B225" s="1">
        <v>40269</v>
      </c>
      <c r="C225">
        <v>523</v>
      </c>
      <c r="D225">
        <v>34019181733.130001</v>
      </c>
      <c r="E225" t="s">
        <v>16</v>
      </c>
    </row>
    <row r="226" spans="1:5" x14ac:dyDescent="0.25">
      <c r="A226" t="s">
        <v>5</v>
      </c>
      <c r="B226" s="1">
        <v>40299</v>
      </c>
      <c r="C226">
        <v>274490</v>
      </c>
      <c r="D226">
        <v>1886014655841.54</v>
      </c>
      <c r="E226" t="s">
        <v>16</v>
      </c>
    </row>
    <row r="227" spans="1:5" x14ac:dyDescent="0.25">
      <c r="A227" t="s">
        <v>7</v>
      </c>
      <c r="B227" s="1">
        <v>40299</v>
      </c>
      <c r="C227">
        <v>99</v>
      </c>
      <c r="D227">
        <v>1028774473.66</v>
      </c>
      <c r="E227" t="s">
        <v>16</v>
      </c>
    </row>
    <row r="228" spans="1:5" x14ac:dyDescent="0.25">
      <c r="A228" t="s">
        <v>6</v>
      </c>
      <c r="B228" s="1">
        <v>40299</v>
      </c>
      <c r="C228">
        <v>565</v>
      </c>
      <c r="D228">
        <v>34942230806.919998</v>
      </c>
      <c r="E228" t="s">
        <v>16</v>
      </c>
    </row>
    <row r="229" spans="1:5" x14ac:dyDescent="0.25">
      <c r="A229" t="s">
        <v>5</v>
      </c>
      <c r="B229" s="1">
        <v>40330</v>
      </c>
      <c r="C229">
        <v>274482</v>
      </c>
      <c r="D229">
        <v>1851844202005.27</v>
      </c>
      <c r="E229" t="s">
        <v>16</v>
      </c>
    </row>
    <row r="230" spans="1:5" x14ac:dyDescent="0.25">
      <c r="A230" t="s">
        <v>7</v>
      </c>
      <c r="B230" s="1">
        <v>40330</v>
      </c>
      <c r="C230">
        <v>117</v>
      </c>
      <c r="D230">
        <v>1283914779.73</v>
      </c>
      <c r="E230" t="s">
        <v>16</v>
      </c>
    </row>
    <row r="231" spans="1:5" x14ac:dyDescent="0.25">
      <c r="A231" t="s">
        <v>6</v>
      </c>
      <c r="B231" s="1">
        <v>40330</v>
      </c>
      <c r="C231">
        <v>596</v>
      </c>
      <c r="D231">
        <v>35952137084.459999</v>
      </c>
      <c r="E231" t="s">
        <v>16</v>
      </c>
    </row>
    <row r="232" spans="1:5" x14ac:dyDescent="0.25">
      <c r="A232" t="s">
        <v>5</v>
      </c>
      <c r="B232" s="1">
        <v>40360</v>
      </c>
      <c r="C232">
        <v>274694</v>
      </c>
      <c r="D232">
        <v>1823788108779.51</v>
      </c>
      <c r="E232" t="s">
        <v>16</v>
      </c>
    </row>
    <row r="233" spans="1:5" x14ac:dyDescent="0.25">
      <c r="A233" t="s">
        <v>7</v>
      </c>
      <c r="B233" s="1">
        <v>40360</v>
      </c>
      <c r="C233">
        <v>135</v>
      </c>
      <c r="D233">
        <v>1489592023.8900001</v>
      </c>
      <c r="E233" t="s">
        <v>16</v>
      </c>
    </row>
    <row r="234" spans="1:5" x14ac:dyDescent="0.25">
      <c r="A234" t="s">
        <v>6</v>
      </c>
      <c r="B234" s="1">
        <v>40360</v>
      </c>
      <c r="C234">
        <v>636</v>
      </c>
      <c r="D234">
        <v>36911796753.43</v>
      </c>
      <c r="E234" t="s">
        <v>16</v>
      </c>
    </row>
    <row r="235" spans="1:5" x14ac:dyDescent="0.25">
      <c r="A235" t="s">
        <v>5</v>
      </c>
      <c r="B235" s="1">
        <v>40391</v>
      </c>
      <c r="C235">
        <v>274934</v>
      </c>
      <c r="D235">
        <v>1816002763653.8401</v>
      </c>
      <c r="E235" t="s">
        <v>16</v>
      </c>
    </row>
    <row r="236" spans="1:5" x14ac:dyDescent="0.25">
      <c r="A236" t="s">
        <v>7</v>
      </c>
      <c r="B236" s="1">
        <v>40391</v>
      </c>
      <c r="C236">
        <v>156</v>
      </c>
      <c r="D236">
        <v>1693098544.05</v>
      </c>
      <c r="E236" t="s">
        <v>16</v>
      </c>
    </row>
    <row r="237" spans="1:5" x14ac:dyDescent="0.25">
      <c r="A237" t="s">
        <v>6</v>
      </c>
      <c r="B237" s="1">
        <v>40391</v>
      </c>
      <c r="C237">
        <v>682</v>
      </c>
      <c r="D237">
        <v>39233880521.379997</v>
      </c>
      <c r="E237" t="s">
        <v>16</v>
      </c>
    </row>
    <row r="238" spans="1:5" x14ac:dyDescent="0.25">
      <c r="A238" t="s">
        <v>5</v>
      </c>
      <c r="B238" s="1">
        <v>40422</v>
      </c>
      <c r="C238">
        <v>275265</v>
      </c>
      <c r="D238">
        <v>1809160523507.3899</v>
      </c>
      <c r="E238" t="s">
        <v>16</v>
      </c>
    </row>
    <row r="239" spans="1:5" x14ac:dyDescent="0.25">
      <c r="A239" t="s">
        <v>7</v>
      </c>
      <c r="B239" s="1">
        <v>40422</v>
      </c>
      <c r="C239">
        <v>178</v>
      </c>
      <c r="D239">
        <v>1929687214.6600001</v>
      </c>
      <c r="E239" t="s">
        <v>16</v>
      </c>
    </row>
    <row r="240" spans="1:5" x14ac:dyDescent="0.25">
      <c r="A240" t="s">
        <v>6</v>
      </c>
      <c r="B240" s="1">
        <v>40422</v>
      </c>
      <c r="C240">
        <v>731</v>
      </c>
      <c r="D240">
        <v>41226846111.760002</v>
      </c>
      <c r="E240" t="s">
        <v>16</v>
      </c>
    </row>
    <row r="241" spans="1:5" x14ac:dyDescent="0.25">
      <c r="A241" t="s">
        <v>5</v>
      </c>
      <c r="B241" s="1">
        <v>40452</v>
      </c>
      <c r="C241">
        <v>275759</v>
      </c>
      <c r="D241">
        <v>1806620806982.2</v>
      </c>
      <c r="E241" t="s">
        <v>16</v>
      </c>
    </row>
    <row r="242" spans="1:5" x14ac:dyDescent="0.25">
      <c r="A242" t="s">
        <v>7</v>
      </c>
      <c r="B242" s="1">
        <v>40452</v>
      </c>
      <c r="C242">
        <v>196</v>
      </c>
      <c r="D242">
        <v>2275609818.98</v>
      </c>
      <c r="E242" t="s">
        <v>16</v>
      </c>
    </row>
    <row r="243" spans="1:5" x14ac:dyDescent="0.25">
      <c r="A243" t="s">
        <v>6</v>
      </c>
      <c r="B243" s="1">
        <v>40452</v>
      </c>
      <c r="C243">
        <v>783</v>
      </c>
      <c r="D243">
        <v>43877710701.519997</v>
      </c>
      <c r="E243" t="s">
        <v>16</v>
      </c>
    </row>
    <row r="244" spans="1:5" x14ac:dyDescent="0.25">
      <c r="A244" t="s">
        <v>5</v>
      </c>
      <c r="B244" s="1">
        <v>40483</v>
      </c>
      <c r="C244">
        <v>276421</v>
      </c>
      <c r="D244">
        <v>1800298888880.73</v>
      </c>
      <c r="E244" t="s">
        <v>16</v>
      </c>
    </row>
    <row r="245" spans="1:5" x14ac:dyDescent="0.25">
      <c r="A245" t="s">
        <v>7</v>
      </c>
      <c r="B245" s="1">
        <v>40483</v>
      </c>
      <c r="C245">
        <v>217</v>
      </c>
      <c r="D245">
        <v>2589769137.29</v>
      </c>
      <c r="E245" t="s">
        <v>16</v>
      </c>
    </row>
    <row r="246" spans="1:5" x14ac:dyDescent="0.25">
      <c r="A246" t="s">
        <v>6</v>
      </c>
      <c r="B246" s="1">
        <v>40483</v>
      </c>
      <c r="C246">
        <v>843</v>
      </c>
      <c r="D246">
        <v>46125972276.830002</v>
      </c>
      <c r="E246" t="s">
        <v>16</v>
      </c>
    </row>
    <row r="247" spans="1:5" x14ac:dyDescent="0.25">
      <c r="A247" t="s">
        <v>5</v>
      </c>
      <c r="B247" s="1">
        <v>40513</v>
      </c>
      <c r="C247">
        <v>277266</v>
      </c>
      <c r="D247">
        <v>1792464139799.6499</v>
      </c>
      <c r="E247" t="s">
        <v>16</v>
      </c>
    </row>
    <row r="248" spans="1:5" x14ac:dyDescent="0.25">
      <c r="A248" t="s">
        <v>7</v>
      </c>
      <c r="B248" s="1">
        <v>40513</v>
      </c>
      <c r="C248">
        <v>236</v>
      </c>
      <c r="D248">
        <v>2951365460.7199998</v>
      </c>
      <c r="E248" t="s">
        <v>16</v>
      </c>
    </row>
    <row r="249" spans="1:5" x14ac:dyDescent="0.25">
      <c r="A249" t="s">
        <v>6</v>
      </c>
      <c r="B249" s="1">
        <v>40513</v>
      </c>
      <c r="C249">
        <v>896</v>
      </c>
      <c r="D249">
        <v>48366176627.93</v>
      </c>
      <c r="E249" t="s">
        <v>16</v>
      </c>
    </row>
    <row r="250" spans="1:5" x14ac:dyDescent="0.25">
      <c r="A250" t="s">
        <v>5</v>
      </c>
      <c r="B250" s="1">
        <v>40544</v>
      </c>
      <c r="C250">
        <v>278078</v>
      </c>
      <c r="D250">
        <v>1786702401571.8401</v>
      </c>
      <c r="E250" t="s">
        <v>16</v>
      </c>
    </row>
    <row r="251" spans="1:5" x14ac:dyDescent="0.25">
      <c r="A251" t="s">
        <v>7</v>
      </c>
      <c r="B251" s="1">
        <v>40544</v>
      </c>
      <c r="C251">
        <v>259</v>
      </c>
      <c r="D251">
        <v>3379401993.3099999</v>
      </c>
      <c r="E251" t="s">
        <v>16</v>
      </c>
    </row>
    <row r="252" spans="1:5" x14ac:dyDescent="0.25">
      <c r="A252" t="s">
        <v>6</v>
      </c>
      <c r="B252" s="1">
        <v>40544</v>
      </c>
      <c r="C252">
        <v>949</v>
      </c>
      <c r="D252">
        <v>50759303463</v>
      </c>
      <c r="E252" t="s">
        <v>16</v>
      </c>
    </row>
    <row r="253" spans="1:5" x14ac:dyDescent="0.25">
      <c r="A253" t="s">
        <v>5</v>
      </c>
      <c r="B253" s="1">
        <v>40575</v>
      </c>
      <c r="C253">
        <v>278395</v>
      </c>
      <c r="D253">
        <v>1774777092612.05</v>
      </c>
      <c r="E253" t="s">
        <v>16</v>
      </c>
    </row>
    <row r="254" spans="1:5" x14ac:dyDescent="0.25">
      <c r="A254" t="s">
        <v>7</v>
      </c>
      <c r="B254" s="1">
        <v>40575</v>
      </c>
      <c r="C254">
        <v>279</v>
      </c>
      <c r="D254">
        <v>3849888136.0700002</v>
      </c>
      <c r="E254" t="s">
        <v>16</v>
      </c>
    </row>
    <row r="255" spans="1:5" x14ac:dyDescent="0.25">
      <c r="A255" t="s">
        <v>6</v>
      </c>
      <c r="B255" s="1">
        <v>40575</v>
      </c>
      <c r="C255">
        <v>1009</v>
      </c>
      <c r="D255">
        <v>52653026516.040001</v>
      </c>
      <c r="E255" t="s">
        <v>16</v>
      </c>
    </row>
    <row r="256" spans="1:5" x14ac:dyDescent="0.25">
      <c r="A256" t="s">
        <v>5</v>
      </c>
      <c r="B256" s="1">
        <v>40603</v>
      </c>
      <c r="C256">
        <v>278900</v>
      </c>
      <c r="D256">
        <v>1768365158153.76</v>
      </c>
      <c r="E256" t="s">
        <v>16</v>
      </c>
    </row>
    <row r="257" spans="1:5" x14ac:dyDescent="0.25">
      <c r="A257" t="s">
        <v>7</v>
      </c>
      <c r="B257" s="1">
        <v>40603</v>
      </c>
      <c r="C257">
        <v>297</v>
      </c>
      <c r="D257">
        <v>4348110845.5</v>
      </c>
      <c r="E257" t="s">
        <v>16</v>
      </c>
    </row>
    <row r="258" spans="1:5" x14ac:dyDescent="0.25">
      <c r="A258" t="s">
        <v>6</v>
      </c>
      <c r="B258" s="1">
        <v>40603</v>
      </c>
      <c r="C258">
        <v>1046</v>
      </c>
      <c r="D258">
        <v>54091880308.709999</v>
      </c>
      <c r="E258" t="s">
        <v>16</v>
      </c>
    </row>
    <row r="259" spans="1:5" x14ac:dyDescent="0.25">
      <c r="A259" t="s">
        <v>5</v>
      </c>
      <c r="B259" s="1">
        <v>40634</v>
      </c>
      <c r="C259">
        <v>279791</v>
      </c>
      <c r="D259">
        <v>1771693715295.3601</v>
      </c>
      <c r="E259" t="s">
        <v>16</v>
      </c>
    </row>
    <row r="260" spans="1:5" x14ac:dyDescent="0.25">
      <c r="A260" t="s">
        <v>7</v>
      </c>
      <c r="B260" s="1">
        <v>40634</v>
      </c>
      <c r="C260">
        <v>323</v>
      </c>
      <c r="D260">
        <v>4929321160.3199997</v>
      </c>
      <c r="E260" t="s">
        <v>16</v>
      </c>
    </row>
    <row r="261" spans="1:5" x14ac:dyDescent="0.25">
      <c r="A261" t="s">
        <v>6</v>
      </c>
      <c r="B261" s="1">
        <v>40634</v>
      </c>
      <c r="C261">
        <v>1107</v>
      </c>
      <c r="D261">
        <v>55452548932.449997</v>
      </c>
      <c r="E261" t="s">
        <v>16</v>
      </c>
    </row>
    <row r="262" spans="1:5" x14ac:dyDescent="0.25">
      <c r="A262" t="s">
        <v>5</v>
      </c>
      <c r="B262" s="1">
        <v>40664</v>
      </c>
      <c r="C262">
        <v>280244</v>
      </c>
      <c r="D262">
        <v>1762890974623.96</v>
      </c>
      <c r="E262" t="s">
        <v>16</v>
      </c>
    </row>
    <row r="263" spans="1:5" x14ac:dyDescent="0.25">
      <c r="A263" t="s">
        <v>7</v>
      </c>
      <c r="B263" s="1">
        <v>40664</v>
      </c>
      <c r="C263">
        <v>350</v>
      </c>
      <c r="D263">
        <v>5479584254.1499996</v>
      </c>
      <c r="E263" t="s">
        <v>16</v>
      </c>
    </row>
    <row r="264" spans="1:5" x14ac:dyDescent="0.25">
      <c r="A264" t="s">
        <v>6</v>
      </c>
      <c r="B264" s="1">
        <v>40664</v>
      </c>
      <c r="C264">
        <v>1145</v>
      </c>
      <c r="D264">
        <v>56144173209.129997</v>
      </c>
      <c r="E264" t="s">
        <v>16</v>
      </c>
    </row>
    <row r="265" spans="1:5" x14ac:dyDescent="0.25">
      <c r="A265" t="s">
        <v>5</v>
      </c>
      <c r="B265" s="1">
        <v>40695</v>
      </c>
      <c r="C265">
        <v>280629</v>
      </c>
      <c r="D265">
        <v>1756163628422.04</v>
      </c>
      <c r="E265" t="s">
        <v>16</v>
      </c>
    </row>
    <row r="266" spans="1:5" x14ac:dyDescent="0.25">
      <c r="A266" t="s">
        <v>7</v>
      </c>
      <c r="B266" s="1">
        <v>40695</v>
      </c>
      <c r="C266">
        <v>376</v>
      </c>
      <c r="D266">
        <v>5898298960.6400003</v>
      </c>
      <c r="E266" t="s">
        <v>16</v>
      </c>
    </row>
    <row r="267" spans="1:5" x14ac:dyDescent="0.25">
      <c r="A267" t="s">
        <v>6</v>
      </c>
      <c r="B267" s="1">
        <v>40695</v>
      </c>
      <c r="C267">
        <v>1174</v>
      </c>
      <c r="D267">
        <v>56713020697.900002</v>
      </c>
      <c r="E267" t="s">
        <v>16</v>
      </c>
    </row>
    <row r="268" spans="1:5" x14ac:dyDescent="0.25">
      <c r="A268" t="s">
        <v>5</v>
      </c>
      <c r="B268" s="1">
        <v>40725</v>
      </c>
      <c r="C268">
        <v>281075</v>
      </c>
      <c r="D268">
        <v>1752854091034.3601</v>
      </c>
      <c r="E268" t="s">
        <v>16</v>
      </c>
    </row>
    <row r="269" spans="1:5" x14ac:dyDescent="0.25">
      <c r="A269" t="s">
        <v>7</v>
      </c>
      <c r="B269" s="1">
        <v>40725</v>
      </c>
      <c r="C269">
        <v>398</v>
      </c>
      <c r="D269">
        <v>6434083171.8299999</v>
      </c>
      <c r="E269" t="s">
        <v>16</v>
      </c>
    </row>
    <row r="270" spans="1:5" x14ac:dyDescent="0.25">
      <c r="A270" t="s">
        <v>6</v>
      </c>
      <c r="B270" s="1">
        <v>40725</v>
      </c>
      <c r="C270">
        <v>1216</v>
      </c>
      <c r="D270">
        <v>57606973208.239998</v>
      </c>
      <c r="E270" t="s">
        <v>16</v>
      </c>
    </row>
    <row r="271" spans="1:5" x14ac:dyDescent="0.25">
      <c r="A271" t="s">
        <v>5</v>
      </c>
      <c r="B271" s="1">
        <v>40756</v>
      </c>
      <c r="C271">
        <v>281434</v>
      </c>
      <c r="D271">
        <v>1742063298538.3899</v>
      </c>
      <c r="E271" t="s">
        <v>16</v>
      </c>
    </row>
    <row r="272" spans="1:5" x14ac:dyDescent="0.25">
      <c r="A272" t="s">
        <v>7</v>
      </c>
      <c r="B272" s="1">
        <v>40756</v>
      </c>
      <c r="C272">
        <v>417</v>
      </c>
      <c r="D272">
        <v>6872090576.5200005</v>
      </c>
      <c r="E272" t="s">
        <v>16</v>
      </c>
    </row>
    <row r="273" spans="1:5" x14ac:dyDescent="0.25">
      <c r="A273" t="s">
        <v>6</v>
      </c>
      <c r="B273" s="1">
        <v>40756</v>
      </c>
      <c r="C273">
        <v>1268</v>
      </c>
      <c r="D273">
        <v>58408841241.650002</v>
      </c>
      <c r="E273" t="s">
        <v>16</v>
      </c>
    </row>
    <row r="274" spans="1:5" x14ac:dyDescent="0.25">
      <c r="A274" t="s">
        <v>5</v>
      </c>
      <c r="B274" s="1">
        <v>40787</v>
      </c>
      <c r="C274">
        <v>281942</v>
      </c>
      <c r="D274">
        <v>1736000312551.3601</v>
      </c>
      <c r="E274" t="s">
        <v>16</v>
      </c>
    </row>
    <row r="275" spans="1:5" x14ac:dyDescent="0.25">
      <c r="A275" t="s">
        <v>7</v>
      </c>
      <c r="B275" s="1">
        <v>40787</v>
      </c>
      <c r="C275">
        <v>437</v>
      </c>
      <c r="D275">
        <v>7393854531.21</v>
      </c>
      <c r="E275" t="s">
        <v>16</v>
      </c>
    </row>
    <row r="276" spans="1:5" x14ac:dyDescent="0.25">
      <c r="A276" t="s">
        <v>6</v>
      </c>
      <c r="B276" s="1">
        <v>40787</v>
      </c>
      <c r="C276">
        <v>1327</v>
      </c>
      <c r="D276">
        <v>59412547411.709999</v>
      </c>
      <c r="E276" t="s">
        <v>16</v>
      </c>
    </row>
    <row r="277" spans="1:5" x14ac:dyDescent="0.25">
      <c r="A277" t="s">
        <v>5</v>
      </c>
      <c r="B277" s="1">
        <v>40817</v>
      </c>
      <c r="C277">
        <v>282590</v>
      </c>
      <c r="D277">
        <v>1730062143723.8999</v>
      </c>
      <c r="E277" t="s">
        <v>16</v>
      </c>
    </row>
    <row r="278" spans="1:5" x14ac:dyDescent="0.25">
      <c r="A278" t="s">
        <v>7</v>
      </c>
      <c r="B278" s="1">
        <v>40817</v>
      </c>
      <c r="C278">
        <v>461</v>
      </c>
      <c r="D278">
        <v>7990816564.1599998</v>
      </c>
      <c r="E278" t="s">
        <v>16</v>
      </c>
    </row>
    <row r="279" spans="1:5" x14ac:dyDescent="0.25">
      <c r="A279" t="s">
        <v>6</v>
      </c>
      <c r="B279" s="1">
        <v>40817</v>
      </c>
      <c r="C279">
        <v>1392</v>
      </c>
      <c r="D279">
        <v>60879463797.669998</v>
      </c>
      <c r="E279" t="s">
        <v>16</v>
      </c>
    </row>
    <row r="280" spans="1:5" x14ac:dyDescent="0.25">
      <c r="A280" t="s">
        <v>5</v>
      </c>
      <c r="B280" s="1">
        <v>40848</v>
      </c>
      <c r="C280">
        <v>283012</v>
      </c>
      <c r="D280">
        <v>1716111353814.28</v>
      </c>
      <c r="E280" t="s">
        <v>16</v>
      </c>
    </row>
    <row r="281" spans="1:5" x14ac:dyDescent="0.25">
      <c r="A281" t="s">
        <v>7</v>
      </c>
      <c r="B281" s="1">
        <v>40848</v>
      </c>
      <c r="C281">
        <v>487</v>
      </c>
      <c r="D281">
        <v>8517165199.3299999</v>
      </c>
      <c r="E281" t="s">
        <v>16</v>
      </c>
    </row>
    <row r="282" spans="1:5" x14ac:dyDescent="0.25">
      <c r="A282" t="s">
        <v>6</v>
      </c>
      <c r="B282" s="1">
        <v>40848</v>
      </c>
      <c r="C282">
        <v>1471</v>
      </c>
      <c r="D282">
        <v>61528554510.57</v>
      </c>
      <c r="E282" t="s">
        <v>16</v>
      </c>
    </row>
    <row r="283" spans="1:5" x14ac:dyDescent="0.25">
      <c r="A283" t="s">
        <v>5</v>
      </c>
      <c r="B283" s="1">
        <v>40878</v>
      </c>
      <c r="C283">
        <v>283516</v>
      </c>
      <c r="D283">
        <v>1704192012667.5601</v>
      </c>
      <c r="E283" t="s">
        <v>16</v>
      </c>
    </row>
    <row r="284" spans="1:5" x14ac:dyDescent="0.25">
      <c r="A284" t="s">
        <v>7</v>
      </c>
      <c r="B284" s="1">
        <v>40878</v>
      </c>
      <c r="C284">
        <v>514</v>
      </c>
      <c r="D284">
        <v>9074021450.3299999</v>
      </c>
      <c r="E284" t="s">
        <v>16</v>
      </c>
    </row>
    <row r="285" spans="1:5" x14ac:dyDescent="0.25">
      <c r="A285" t="s">
        <v>6</v>
      </c>
      <c r="B285" s="1">
        <v>40878</v>
      </c>
      <c r="C285">
        <v>1523</v>
      </c>
      <c r="D285">
        <v>63432840444.580002</v>
      </c>
      <c r="E285" t="s">
        <v>16</v>
      </c>
    </row>
    <row r="286" spans="1:5" x14ac:dyDescent="0.25">
      <c r="A286" t="s">
        <v>5</v>
      </c>
      <c r="B286" s="1">
        <v>40909</v>
      </c>
      <c r="C286">
        <v>284179</v>
      </c>
      <c r="D286">
        <v>1704718198742.55</v>
      </c>
      <c r="E286" t="s">
        <v>16</v>
      </c>
    </row>
    <row r="287" spans="1:5" x14ac:dyDescent="0.25">
      <c r="A287" t="s">
        <v>7</v>
      </c>
      <c r="B287" s="1">
        <v>40909</v>
      </c>
      <c r="C287">
        <v>537</v>
      </c>
      <c r="D287">
        <v>9400322582.2900009</v>
      </c>
      <c r="E287" t="s">
        <v>16</v>
      </c>
    </row>
    <row r="288" spans="1:5" x14ac:dyDescent="0.25">
      <c r="A288" t="s">
        <v>6</v>
      </c>
      <c r="B288" s="1">
        <v>40909</v>
      </c>
      <c r="C288">
        <v>1561</v>
      </c>
      <c r="D288">
        <v>63431287348.879997</v>
      </c>
      <c r="E288" t="s">
        <v>16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 t="s">
        <v>16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 t="s">
        <v>16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 t="s">
        <v>16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 t="s">
        <v>16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 t="s">
        <v>16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 t="s">
        <v>16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 t="s">
        <v>16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 t="s">
        <v>16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 t="s">
        <v>16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 t="s">
        <v>16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 t="s">
        <v>16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 t="s">
        <v>16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 t="s">
        <v>16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 t="s">
        <v>16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 t="s">
        <v>16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 t="s">
        <v>16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 t="s">
        <v>16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 t="s">
        <v>16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 t="s">
        <v>16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 t="s">
        <v>16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 t="s">
        <v>16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 t="s">
        <v>16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 t="s">
        <v>16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 t="s">
        <v>16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 t="s">
        <v>16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 t="s">
        <v>16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 t="s">
        <v>16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 t="s">
        <v>16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 t="s">
        <v>16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 t="s">
        <v>16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 t="s">
        <v>16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 t="s">
        <v>16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 t="s">
        <v>16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 t="s">
        <v>16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 t="s">
        <v>16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 t="s">
        <v>16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 t="s">
        <v>16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 t="s">
        <v>16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 t="s">
        <v>16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 t="s">
        <v>16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 t="s">
        <v>16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 t="s">
        <v>16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 t="s">
        <v>16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9.4182360947883993E-3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0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0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0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4.6861780136149096E-3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0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0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0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3.7037714723961298E-3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0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0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0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4.1664471574863202E-3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0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0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0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3.2786050499537399E-3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0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0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0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3.9971556742755604E-3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0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0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0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4.5108329674601903E-3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0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0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0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4.4499055157430304E-3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0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0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0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4.1216469606503896E-3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0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0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0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9.4598361591215208E-3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0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0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0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1.3665274541779401E-2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0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0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9.1013777802850193E-2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98.499793227059101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55.8808727679762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9.15462897192619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99.9813853971703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98.4748294845419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55.733442590655002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9.2142578877614998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99.981694335068099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98.459749748858201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55.650331081330101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9.3447237862290908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99.984335884448697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98.458961782232507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55.688250626427298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9.51864762197253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99.981647860707994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98.462540229573094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55.666022246484403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9.6486996294005198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99.984535662680003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98.474803426987094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55.835503409547499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9.8010043852704101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99.984708275611197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98.486776756002001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55.818761321829797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10.0209616725947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99.984826621775298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98.503769859076598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55.862158595608101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10.171804944185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99.9850801267945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98.521490242425799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55.904367910394399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10.4004255042578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99.985187344389502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98.545697089350099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56.016686256443499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10.5383591302667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99.9855363260518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98.532552810980306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56.166941449956397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10.733749094707999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99.985752362134505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98.548376212541996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56.286256930319503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10.967713028991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99.983222398516006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98.580067775437399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56.4450612307133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11.1930892418229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99.983483457883295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98.604453043628695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56.6262832060862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11.426910039845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99.983701529860994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98.621126787346398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56.7911402162283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11.6445759329424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99.984002003662297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98.646459695878207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57.007917293231699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11.8409284990699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99.982145948469693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98.670625021772693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57.151863084692202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12.107778125004099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99.982459763307205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98.692683342853698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57.314891816172697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12.308402387739999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99.982646039367395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98.713034990208897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57.393093608420898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12.482011952338199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99.981334832354193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98.738678431127695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57.513227247867903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12.6837502802411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99.981711499568306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98.752906512081495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57.600434908390397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12.8708061921901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99.978377902686901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98.772352297209096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57.691388669351902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13.1020531743667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99.979557887488895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98.791030767151994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57.830384249534099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13.363645683943099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99.979850321795993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98.797727257987006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58.006522111563001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13.626512084068899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99.984275691747797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98.8160088623181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58.196419395652597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13.845163548687299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99.986063681132293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98.830112395212694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58.384659755223097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14.1208906311434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99.985741068282806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98.836368963903297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58.574637961075503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14.3970546323851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99.949975088656501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98.838386572068302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58.722121975663697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14.640600344812301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99.806629983423505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98.831803569617705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58.843192996504897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14.9068126598542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99.576376903435502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98.821026318429801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59.036710851180203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15.176470841565401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99.293281893011397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98.812529703003406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59.201737181836499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15.399588945845499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98.9835592185092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98.753215964179901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59.256955629221899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15.6065555550139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98.805421701131294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59.390565721700199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98.326245211456694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98.807292818224298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15.8451908360269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98.809379617246606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59.463260607432296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98.039009557294804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16.083707902563201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X511"/>
  <sheetViews>
    <sheetView workbookViewId="0">
      <selection activeCell="N59" sqref="N59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V1" t="s">
        <v>5</v>
      </c>
      <c r="W1" t="s">
        <v>12</v>
      </c>
      <c r="X1" t="s">
        <v>19</v>
      </c>
    </row>
    <row r="2" spans="1:24" x14ac:dyDescent="0.25">
      <c r="A2" t="s">
        <v>5</v>
      </c>
      <c r="B2" s="1">
        <v>34366</v>
      </c>
      <c r="C2">
        <v>126636</v>
      </c>
      <c r="D2">
        <v>278490248452.07001</v>
      </c>
      <c r="E2">
        <v>100</v>
      </c>
      <c r="U2" s="3">
        <v>34366</v>
      </c>
      <c r="V2" s="4">
        <v>100</v>
      </c>
      <c r="W2" s="4">
        <f>VLOOKUP(U2,'conventional_refi_elig-old'!AA:AB,2,0)</f>
        <v>99.042895214577996</v>
      </c>
      <c r="X2">
        <f>VLOOKUP(U2,G:H,2,0)</f>
        <v>100</v>
      </c>
    </row>
    <row r="3" spans="1:24" x14ac:dyDescent="0.25">
      <c r="A3" t="s">
        <v>5</v>
      </c>
      <c r="B3" s="1">
        <v>34394</v>
      </c>
      <c r="C3">
        <v>128266</v>
      </c>
      <c r="D3">
        <v>282050828421.97998</v>
      </c>
      <c r="E3">
        <v>100</v>
      </c>
      <c r="G3" s="2" t="s">
        <v>9</v>
      </c>
      <c r="H3" t="s">
        <v>18</v>
      </c>
      <c r="U3" s="3">
        <v>34394</v>
      </c>
      <c r="V3" s="4">
        <v>100</v>
      </c>
      <c r="W3" s="4">
        <f>VLOOKUP(U3,'conventional_refi_elig-old'!AA:AB,2,0)</f>
        <v>98.728419570533603</v>
      </c>
      <c r="X3">
        <f t="shared" ref="X3:X66" si="0">VLOOKUP(U3,G:H,2,0)</f>
        <v>100</v>
      </c>
    </row>
    <row r="4" spans="1:24" x14ac:dyDescent="0.25">
      <c r="A4" t="s">
        <v>5</v>
      </c>
      <c r="B4" s="1">
        <v>34425</v>
      </c>
      <c r="C4">
        <v>129601</v>
      </c>
      <c r="D4">
        <v>283874201256.09003</v>
      </c>
      <c r="E4">
        <v>100</v>
      </c>
      <c r="G4" s="3">
        <v>34366</v>
      </c>
      <c r="H4" s="4">
        <v>100</v>
      </c>
      <c r="U4" s="3">
        <v>34425</v>
      </c>
      <c r="V4" s="4">
        <v>100</v>
      </c>
      <c r="W4" s="4">
        <f>VLOOKUP(U4,'conventional_refi_elig-old'!AA:AB,2,0)</f>
        <v>98.420927368044502</v>
      </c>
      <c r="X4">
        <f t="shared" si="0"/>
        <v>100</v>
      </c>
    </row>
    <row r="5" spans="1:24" x14ac:dyDescent="0.25">
      <c r="A5" t="s">
        <v>5</v>
      </c>
      <c r="B5" s="1">
        <v>34455</v>
      </c>
      <c r="C5">
        <v>130768</v>
      </c>
      <c r="D5">
        <v>284752896061.91998</v>
      </c>
      <c r="E5">
        <v>100</v>
      </c>
      <c r="G5" s="3">
        <v>34394</v>
      </c>
      <c r="H5" s="4">
        <v>100</v>
      </c>
      <c r="U5" s="3">
        <v>34455</v>
      </c>
      <c r="V5" s="4">
        <v>100</v>
      </c>
      <c r="W5" s="4" t="e">
        <f>VLOOKUP(U5,'conventional_refi_elig-old'!AA:AB,2,0)</f>
        <v>#N/A</v>
      </c>
      <c r="X5">
        <f t="shared" si="0"/>
        <v>100</v>
      </c>
    </row>
    <row r="6" spans="1:24" x14ac:dyDescent="0.25">
      <c r="A6" t="s">
        <v>5</v>
      </c>
      <c r="B6" s="1">
        <v>34486</v>
      </c>
      <c r="C6">
        <v>131996</v>
      </c>
      <c r="D6">
        <v>287122056681.57001</v>
      </c>
      <c r="E6">
        <v>100</v>
      </c>
      <c r="G6" s="3">
        <v>34425</v>
      </c>
      <c r="H6" s="4">
        <v>100</v>
      </c>
      <c r="U6" s="3">
        <v>34486</v>
      </c>
      <c r="V6" s="4">
        <v>100</v>
      </c>
      <c r="W6" s="4" t="e">
        <f>VLOOKUP(U6,'conventional_refi_elig-old'!AA:AB,2,0)</f>
        <v>#N/A</v>
      </c>
      <c r="X6">
        <f t="shared" si="0"/>
        <v>100</v>
      </c>
    </row>
    <row r="7" spans="1:24" x14ac:dyDescent="0.25">
      <c r="A7" t="s">
        <v>5</v>
      </c>
      <c r="B7" s="1">
        <v>34516</v>
      </c>
      <c r="C7">
        <v>133140</v>
      </c>
      <c r="D7">
        <v>288919754101.73999</v>
      </c>
      <c r="E7">
        <v>100</v>
      </c>
      <c r="G7" s="3">
        <v>34455</v>
      </c>
      <c r="H7" s="4">
        <v>100</v>
      </c>
      <c r="U7" s="3">
        <v>34516</v>
      </c>
      <c r="V7" s="4">
        <v>100</v>
      </c>
      <c r="W7" s="4">
        <f>VLOOKUP(U7,'conventional_refi_elig-old'!AA:AB,2,0)</f>
        <v>97.681204158137106</v>
      </c>
      <c r="X7">
        <f t="shared" si="0"/>
        <v>100</v>
      </c>
    </row>
    <row r="8" spans="1:24" x14ac:dyDescent="0.25">
      <c r="A8" t="s">
        <v>5</v>
      </c>
      <c r="B8" s="1">
        <v>34547</v>
      </c>
      <c r="C8">
        <v>134153</v>
      </c>
      <c r="D8">
        <v>290640645437.90997</v>
      </c>
      <c r="E8">
        <v>100</v>
      </c>
      <c r="G8" s="3">
        <v>34486</v>
      </c>
      <c r="H8" s="4">
        <v>100</v>
      </c>
      <c r="U8" s="3">
        <v>34547</v>
      </c>
      <c r="V8" s="4">
        <v>100</v>
      </c>
      <c r="W8" s="4">
        <f>VLOOKUP(U8,'conventional_refi_elig-old'!AA:AB,2,0)</f>
        <v>97.503899032269402</v>
      </c>
      <c r="X8">
        <f t="shared" si="0"/>
        <v>100</v>
      </c>
    </row>
    <row r="9" spans="1:24" x14ac:dyDescent="0.25">
      <c r="A9" t="s">
        <v>5</v>
      </c>
      <c r="B9" s="1">
        <v>34578</v>
      </c>
      <c r="C9">
        <v>135077</v>
      </c>
      <c r="D9">
        <v>292026246657.69</v>
      </c>
      <c r="E9">
        <v>100</v>
      </c>
      <c r="G9" s="3">
        <v>34516</v>
      </c>
      <c r="H9" s="4">
        <v>100</v>
      </c>
      <c r="U9" s="3">
        <v>34578</v>
      </c>
      <c r="V9" s="4">
        <v>100</v>
      </c>
      <c r="W9" s="4">
        <f>VLOOKUP(U9,'conventional_refi_elig-old'!AA:AB,2,0)</f>
        <v>97.356954680509801</v>
      </c>
      <c r="X9">
        <f t="shared" si="0"/>
        <v>100</v>
      </c>
    </row>
    <row r="10" spans="1:24" x14ac:dyDescent="0.25">
      <c r="A10" t="s">
        <v>5</v>
      </c>
      <c r="B10" s="1">
        <v>34608</v>
      </c>
      <c r="C10">
        <v>135888</v>
      </c>
      <c r="D10">
        <v>293395992453.21002</v>
      </c>
      <c r="E10">
        <v>100</v>
      </c>
      <c r="G10" s="3">
        <v>34547</v>
      </c>
      <c r="H10" s="4">
        <v>100</v>
      </c>
      <c r="U10" s="3">
        <v>34608</v>
      </c>
      <c r="V10" s="4">
        <v>100</v>
      </c>
      <c r="W10" s="4">
        <f>VLOOKUP(U10,'conventional_refi_elig-old'!AA:AB,2,0)</f>
        <v>97.202262614290007</v>
      </c>
      <c r="X10">
        <f t="shared" si="0"/>
        <v>100</v>
      </c>
    </row>
    <row r="11" spans="1:24" x14ac:dyDescent="0.25">
      <c r="A11" t="s">
        <v>5</v>
      </c>
      <c r="B11" s="1">
        <v>34639</v>
      </c>
      <c r="C11">
        <v>136567</v>
      </c>
      <c r="D11">
        <v>294791998506.56</v>
      </c>
      <c r="E11">
        <v>100</v>
      </c>
      <c r="G11" s="3">
        <v>34578</v>
      </c>
      <c r="H11" s="4">
        <v>100</v>
      </c>
      <c r="U11" s="3">
        <v>34639</v>
      </c>
      <c r="V11" s="4">
        <v>100</v>
      </c>
      <c r="W11" s="4">
        <f>VLOOKUP(U11,'conventional_refi_elig-old'!AA:AB,2,0)</f>
        <v>97.077694471307694</v>
      </c>
      <c r="X11">
        <f t="shared" si="0"/>
        <v>100</v>
      </c>
    </row>
    <row r="12" spans="1:24" x14ac:dyDescent="0.25">
      <c r="A12" t="s">
        <v>5</v>
      </c>
      <c r="B12" s="1">
        <v>34669</v>
      </c>
      <c r="C12">
        <v>137384</v>
      </c>
      <c r="D12">
        <v>297022730158.53998</v>
      </c>
      <c r="E12">
        <v>100</v>
      </c>
      <c r="G12" s="3">
        <v>34608</v>
      </c>
      <c r="H12" s="4">
        <v>100</v>
      </c>
      <c r="U12" s="3">
        <v>34669</v>
      </c>
      <c r="V12" s="4">
        <v>100</v>
      </c>
      <c r="W12" s="4">
        <f>VLOOKUP(U12,'conventional_refi_elig-old'!AA:AB,2,0)</f>
        <v>96.978984565132095</v>
      </c>
      <c r="X12">
        <f t="shared" si="0"/>
        <v>100</v>
      </c>
    </row>
    <row r="13" spans="1:24" x14ac:dyDescent="0.25">
      <c r="A13" t="s">
        <v>5</v>
      </c>
      <c r="B13" s="1">
        <v>34700</v>
      </c>
      <c r="C13">
        <v>138175</v>
      </c>
      <c r="D13">
        <v>299534791311.60999</v>
      </c>
      <c r="E13">
        <v>100</v>
      </c>
      <c r="G13" s="3">
        <v>34639</v>
      </c>
      <c r="H13" s="4">
        <v>100</v>
      </c>
      <c r="U13" s="3">
        <v>34700</v>
      </c>
      <c r="V13" s="4">
        <v>100</v>
      </c>
      <c r="W13" s="4">
        <f>VLOOKUP(U13,'conventional_refi_elig-old'!AA:AB,2,0)</f>
        <v>96.901214384948005</v>
      </c>
      <c r="X13">
        <f t="shared" si="0"/>
        <v>100</v>
      </c>
    </row>
    <row r="14" spans="1:24" x14ac:dyDescent="0.25">
      <c r="A14" t="s">
        <v>5</v>
      </c>
      <c r="B14" s="1">
        <v>34731</v>
      </c>
      <c r="C14">
        <v>138749</v>
      </c>
      <c r="D14">
        <v>300578062603.90997</v>
      </c>
      <c r="E14">
        <v>100</v>
      </c>
      <c r="G14" s="3">
        <v>34669</v>
      </c>
      <c r="H14" s="4">
        <v>100</v>
      </c>
      <c r="U14" s="3">
        <v>34731</v>
      </c>
      <c r="V14" s="4">
        <v>100</v>
      </c>
      <c r="W14" s="4">
        <f>VLOOKUP(U14,'conventional_refi_elig-old'!AA:AB,2,0)</f>
        <v>96.797930004529704</v>
      </c>
      <c r="X14">
        <f t="shared" si="0"/>
        <v>100</v>
      </c>
    </row>
    <row r="15" spans="1:24" x14ac:dyDescent="0.25">
      <c r="A15" t="s">
        <v>5</v>
      </c>
      <c r="B15" s="1">
        <v>34759</v>
      </c>
      <c r="C15">
        <v>139252</v>
      </c>
      <c r="D15">
        <v>301515518476.67999</v>
      </c>
      <c r="E15">
        <v>100</v>
      </c>
      <c r="G15" s="3">
        <v>34700</v>
      </c>
      <c r="H15" s="4">
        <v>100</v>
      </c>
      <c r="U15" s="3">
        <v>34759</v>
      </c>
      <c r="V15" s="4">
        <v>100</v>
      </c>
      <c r="W15" s="4">
        <f>VLOOKUP(U15,'conventional_refi_elig-old'!AA:AB,2,0)</f>
        <v>96.704603715331203</v>
      </c>
      <c r="X15">
        <f t="shared" si="0"/>
        <v>100</v>
      </c>
    </row>
    <row r="16" spans="1:24" x14ac:dyDescent="0.25">
      <c r="A16" t="s">
        <v>5</v>
      </c>
      <c r="B16" s="1">
        <v>34790</v>
      </c>
      <c r="C16">
        <v>139640</v>
      </c>
      <c r="D16">
        <v>302130802958.65002</v>
      </c>
      <c r="E16">
        <v>100</v>
      </c>
      <c r="G16" s="3">
        <v>34731</v>
      </c>
      <c r="H16" s="4">
        <v>100</v>
      </c>
      <c r="U16" s="3">
        <v>34790</v>
      </c>
      <c r="V16" s="4">
        <v>100</v>
      </c>
      <c r="W16" s="4">
        <f>VLOOKUP(U16,'conventional_refi_elig-old'!AA:AB,2,0)</f>
        <v>96.580893265796803</v>
      </c>
      <c r="X16">
        <f t="shared" si="0"/>
        <v>100</v>
      </c>
    </row>
    <row r="17" spans="1:24" x14ac:dyDescent="0.25">
      <c r="A17" t="s">
        <v>5</v>
      </c>
      <c r="B17" s="1">
        <v>34820</v>
      </c>
      <c r="C17">
        <v>140171</v>
      </c>
      <c r="D17">
        <v>303193167019.19</v>
      </c>
      <c r="E17">
        <v>100</v>
      </c>
      <c r="G17" s="3">
        <v>34759</v>
      </c>
      <c r="H17" s="4">
        <v>100</v>
      </c>
      <c r="U17" s="3">
        <v>34820</v>
      </c>
      <c r="V17" s="4">
        <v>100</v>
      </c>
      <c r="W17" s="4">
        <f>VLOOKUP(U17,'conventional_refi_elig-old'!AA:AB,2,0)</f>
        <v>96.415450831963796</v>
      </c>
      <c r="X17">
        <f t="shared" si="0"/>
        <v>100</v>
      </c>
    </row>
    <row r="18" spans="1:24" x14ac:dyDescent="0.25">
      <c r="A18" t="s">
        <v>5</v>
      </c>
      <c r="B18" s="1">
        <v>34851</v>
      </c>
      <c r="C18">
        <v>140845</v>
      </c>
      <c r="D18">
        <v>305276200958.66998</v>
      </c>
      <c r="E18">
        <v>100</v>
      </c>
      <c r="G18" s="3">
        <v>34790</v>
      </c>
      <c r="H18" s="4">
        <v>100</v>
      </c>
      <c r="U18" s="3">
        <v>34851</v>
      </c>
      <c r="V18" s="4">
        <v>100</v>
      </c>
      <c r="W18" s="4">
        <f>VLOOKUP(U18,'conventional_refi_elig-old'!AA:AB,2,0)</f>
        <v>96.289993664180201</v>
      </c>
      <c r="X18">
        <f t="shared" si="0"/>
        <v>100</v>
      </c>
    </row>
    <row r="19" spans="1:24" x14ac:dyDescent="0.25">
      <c r="A19" t="s">
        <v>5</v>
      </c>
      <c r="B19" s="1">
        <v>34881</v>
      </c>
      <c r="C19">
        <v>141735</v>
      </c>
      <c r="D19">
        <v>308579513635.09003</v>
      </c>
      <c r="E19">
        <v>100</v>
      </c>
      <c r="G19" s="3">
        <v>34820</v>
      </c>
      <c r="H19" s="4">
        <v>100</v>
      </c>
      <c r="U19" s="3">
        <v>34881</v>
      </c>
      <c r="V19" s="4">
        <v>100</v>
      </c>
      <c r="W19" s="4">
        <f>VLOOKUP(U19,'conventional_refi_elig-old'!AA:AB,2,0)</f>
        <v>96.140167177683495</v>
      </c>
      <c r="X19">
        <f t="shared" si="0"/>
        <v>100</v>
      </c>
    </row>
    <row r="20" spans="1:24" x14ac:dyDescent="0.25">
      <c r="A20" t="s">
        <v>5</v>
      </c>
      <c r="B20" s="1">
        <v>34912</v>
      </c>
      <c r="C20">
        <v>142847</v>
      </c>
      <c r="D20">
        <v>313306085244.25</v>
      </c>
      <c r="E20">
        <v>100</v>
      </c>
      <c r="G20" s="3">
        <v>34851</v>
      </c>
      <c r="H20" s="4">
        <v>100</v>
      </c>
      <c r="U20" s="3">
        <v>34912</v>
      </c>
      <c r="V20" s="4">
        <v>100</v>
      </c>
      <c r="W20" s="4">
        <f>VLOOKUP(U20,'conventional_refi_elig-old'!AA:AB,2,0)</f>
        <v>96.0699306058102</v>
      </c>
      <c r="X20">
        <f t="shared" si="0"/>
        <v>100</v>
      </c>
    </row>
    <row r="21" spans="1:24" x14ac:dyDescent="0.25">
      <c r="A21" t="s">
        <v>5</v>
      </c>
      <c r="B21" s="1">
        <v>34943</v>
      </c>
      <c r="C21">
        <v>143912</v>
      </c>
      <c r="D21">
        <v>317855864434.04999</v>
      </c>
      <c r="E21">
        <v>100</v>
      </c>
      <c r="G21" s="3">
        <v>34881</v>
      </c>
      <c r="H21" s="4">
        <v>100</v>
      </c>
      <c r="U21" s="3">
        <v>34943</v>
      </c>
      <c r="V21" s="4">
        <v>100</v>
      </c>
      <c r="W21" s="4">
        <f>VLOOKUP(U21,'conventional_refi_elig-old'!AA:AB,2,0)</f>
        <v>95.970004992844295</v>
      </c>
      <c r="X21">
        <f t="shared" si="0"/>
        <v>100</v>
      </c>
    </row>
    <row r="22" spans="1:24" x14ac:dyDescent="0.25">
      <c r="A22" t="s">
        <v>5</v>
      </c>
      <c r="B22" s="1">
        <v>34973</v>
      </c>
      <c r="C22">
        <v>144902</v>
      </c>
      <c r="D22">
        <v>321938074374.90002</v>
      </c>
      <c r="E22">
        <v>100</v>
      </c>
      <c r="G22" s="3">
        <v>34912</v>
      </c>
      <c r="H22" s="4">
        <v>100</v>
      </c>
      <c r="U22" s="3">
        <v>34973</v>
      </c>
      <c r="V22" s="4">
        <v>100</v>
      </c>
      <c r="W22" s="4">
        <f>VLOOKUP(U22,'conventional_refi_elig-old'!AA:AB,2,0)</f>
        <v>95.719948288162598</v>
      </c>
      <c r="X22">
        <f t="shared" si="0"/>
        <v>100</v>
      </c>
    </row>
    <row r="23" spans="1:24" x14ac:dyDescent="0.25">
      <c r="A23" t="s">
        <v>5</v>
      </c>
      <c r="B23" s="1">
        <v>35004</v>
      </c>
      <c r="C23">
        <v>145867</v>
      </c>
      <c r="D23">
        <v>326586660235.34998</v>
      </c>
      <c r="E23">
        <v>100</v>
      </c>
      <c r="G23" s="3">
        <v>34943</v>
      </c>
      <c r="H23" s="4">
        <v>100</v>
      </c>
      <c r="U23" s="3">
        <v>35004</v>
      </c>
      <c r="V23" s="4">
        <v>100</v>
      </c>
      <c r="W23" s="4">
        <f>VLOOKUP(U23,'conventional_refi_elig-old'!AA:AB,2,0)</f>
        <v>95.454564179037803</v>
      </c>
      <c r="X23">
        <f t="shared" si="0"/>
        <v>100</v>
      </c>
    </row>
    <row r="24" spans="1:24" x14ac:dyDescent="0.25">
      <c r="A24" t="s">
        <v>5</v>
      </c>
      <c r="B24" s="1">
        <v>35034</v>
      </c>
      <c r="C24">
        <v>146882</v>
      </c>
      <c r="D24">
        <v>331964887053.32001</v>
      </c>
      <c r="E24">
        <v>100</v>
      </c>
      <c r="G24" s="3">
        <v>34973</v>
      </c>
      <c r="H24" s="4">
        <v>100</v>
      </c>
      <c r="U24" s="3">
        <v>35034</v>
      </c>
      <c r="V24" s="4">
        <v>100</v>
      </c>
      <c r="W24" s="4">
        <f>VLOOKUP(U24,'conventional_refi_elig-old'!AA:AB,2,0)</f>
        <v>95.309097276227803</v>
      </c>
      <c r="X24">
        <f t="shared" si="0"/>
        <v>100</v>
      </c>
    </row>
    <row r="25" spans="1:24" x14ac:dyDescent="0.25">
      <c r="A25" t="s">
        <v>5</v>
      </c>
      <c r="B25" s="1">
        <v>35065</v>
      </c>
      <c r="C25">
        <v>147919</v>
      </c>
      <c r="D25">
        <v>337304062600.06</v>
      </c>
      <c r="E25">
        <v>85.398188146785799</v>
      </c>
      <c r="G25" s="3">
        <v>35004</v>
      </c>
      <c r="H25" s="4">
        <v>100</v>
      </c>
      <c r="U25" s="3">
        <v>35065</v>
      </c>
      <c r="V25" s="4">
        <v>23.9040337806804</v>
      </c>
      <c r="W25" s="4">
        <f>VLOOKUP(U25,'conventional_refi_elig-old'!AA:AB,2,0)</f>
        <v>95.207580805184193</v>
      </c>
      <c r="X25">
        <f t="shared" si="0"/>
        <v>85.398188146785799</v>
      </c>
    </row>
    <row r="26" spans="1:24" x14ac:dyDescent="0.25">
      <c r="A26" t="s">
        <v>5</v>
      </c>
      <c r="B26" s="1">
        <v>35096</v>
      </c>
      <c r="C26">
        <v>148833</v>
      </c>
      <c r="D26">
        <v>341672418203.37</v>
      </c>
      <c r="E26">
        <v>85.367416564993107</v>
      </c>
      <c r="G26" s="3">
        <v>35034</v>
      </c>
      <c r="H26" s="4">
        <v>100</v>
      </c>
      <c r="U26" s="3">
        <v>35096</v>
      </c>
      <c r="V26" s="4">
        <v>24.1377362792234</v>
      </c>
      <c r="W26" s="4">
        <f>VLOOKUP(U26,'conventional_refi_elig-old'!AA:AB,2,0)</f>
        <v>95.068968282893394</v>
      </c>
      <c r="X26">
        <f t="shared" si="0"/>
        <v>85.367416564993107</v>
      </c>
    </row>
    <row r="27" spans="1:24" x14ac:dyDescent="0.25">
      <c r="A27" t="s">
        <v>5</v>
      </c>
      <c r="B27" s="1">
        <v>35125</v>
      </c>
      <c r="C27">
        <v>149785</v>
      </c>
      <c r="D27">
        <v>346545445220.38</v>
      </c>
      <c r="E27">
        <v>85.323128344773707</v>
      </c>
      <c r="G27" s="3">
        <v>35065</v>
      </c>
      <c r="H27" s="4">
        <v>85.398188146785799</v>
      </c>
      <c r="U27" s="3">
        <v>35125</v>
      </c>
      <c r="V27" s="4">
        <v>24.2468457926296</v>
      </c>
      <c r="W27" s="4">
        <f>VLOOKUP(U27,'conventional_refi_elig-old'!AA:AB,2,0)</f>
        <v>94.9282536272312</v>
      </c>
      <c r="X27">
        <f t="shared" si="0"/>
        <v>85.323128344773707</v>
      </c>
    </row>
    <row r="28" spans="1:24" x14ac:dyDescent="0.25">
      <c r="A28" t="s">
        <v>5</v>
      </c>
      <c r="B28" s="1">
        <v>35156</v>
      </c>
      <c r="C28">
        <v>150727</v>
      </c>
      <c r="D28">
        <v>350465555808.21997</v>
      </c>
      <c r="E28">
        <v>85.277198271761193</v>
      </c>
      <c r="G28" s="3">
        <v>35096</v>
      </c>
      <c r="H28" s="4">
        <v>85.367416564993107</v>
      </c>
      <c r="U28" s="3">
        <v>35156</v>
      </c>
      <c r="V28" s="4">
        <v>24.264011179889302</v>
      </c>
      <c r="W28" s="4">
        <f>VLOOKUP(U28,'conventional_refi_elig-old'!AA:AB,2,0)</f>
        <v>94.718777649845606</v>
      </c>
      <c r="X28">
        <f t="shared" si="0"/>
        <v>85.277198271761193</v>
      </c>
    </row>
    <row r="29" spans="1:24" x14ac:dyDescent="0.25">
      <c r="A29" t="s">
        <v>5</v>
      </c>
      <c r="B29" s="1">
        <v>35186</v>
      </c>
      <c r="C29">
        <v>151726</v>
      </c>
      <c r="D29">
        <v>354683248452.60999</v>
      </c>
      <c r="E29">
        <v>85.227894513916993</v>
      </c>
      <c r="G29" s="3">
        <v>35125</v>
      </c>
      <c r="H29" s="4">
        <v>85.323128344773707</v>
      </c>
      <c r="U29" s="3">
        <v>35186</v>
      </c>
      <c r="V29" s="4">
        <v>24.276981894699802</v>
      </c>
      <c r="W29" s="4">
        <f>VLOOKUP(U29,'conventional_refi_elig-old'!AA:AB,2,0)</f>
        <v>94.517617836355498</v>
      </c>
      <c r="X29">
        <f t="shared" si="0"/>
        <v>85.227894513916993</v>
      </c>
    </row>
    <row r="30" spans="1:24" x14ac:dyDescent="0.25">
      <c r="A30" t="s">
        <v>5</v>
      </c>
      <c r="B30" s="1">
        <v>35217</v>
      </c>
      <c r="C30">
        <v>152681</v>
      </c>
      <c r="D30">
        <v>359153508694.62</v>
      </c>
      <c r="E30">
        <v>85.123493005363002</v>
      </c>
      <c r="G30" s="3">
        <v>35156</v>
      </c>
      <c r="H30" s="4">
        <v>85.277198271761193</v>
      </c>
      <c r="U30" s="3">
        <v>35217</v>
      </c>
      <c r="V30" s="4">
        <v>24.249599072896402</v>
      </c>
      <c r="W30" s="4">
        <f>VLOOKUP(U30,'conventional_refi_elig-old'!AA:AB,2,0)</f>
        <v>94.433956535743107</v>
      </c>
      <c r="X30">
        <f t="shared" si="0"/>
        <v>85.123493005363002</v>
      </c>
    </row>
    <row r="31" spans="1:24" x14ac:dyDescent="0.25">
      <c r="A31" t="s">
        <v>5</v>
      </c>
      <c r="B31" s="1">
        <v>35247</v>
      </c>
      <c r="C31">
        <v>153592</v>
      </c>
      <c r="D31">
        <v>364145909105.21997</v>
      </c>
      <c r="E31">
        <v>85.115304417680406</v>
      </c>
      <c r="G31" s="3">
        <v>35186</v>
      </c>
      <c r="H31" s="4">
        <v>85.227894513916993</v>
      </c>
      <c r="U31" s="3">
        <v>35247</v>
      </c>
      <c r="V31" s="4">
        <v>24.232831860734301</v>
      </c>
      <c r="W31" s="4">
        <f>VLOOKUP(U31,'conventional_refi_elig-old'!AA:AB,2,0)</f>
        <v>94.279860937165907</v>
      </c>
      <c r="X31">
        <f t="shared" si="0"/>
        <v>85.115304417680406</v>
      </c>
    </row>
    <row r="32" spans="1:24" x14ac:dyDescent="0.25">
      <c r="A32" t="s">
        <v>5</v>
      </c>
      <c r="B32" s="1">
        <v>35278</v>
      </c>
      <c r="C32">
        <v>154353</v>
      </c>
      <c r="D32">
        <v>367843583423.22998</v>
      </c>
      <c r="E32">
        <v>85.090213561029401</v>
      </c>
      <c r="G32" s="3">
        <v>35217</v>
      </c>
      <c r="H32" s="4">
        <v>85.123493005363002</v>
      </c>
      <c r="U32" s="3">
        <v>35278</v>
      </c>
      <c r="V32" s="4">
        <v>24.241661598891099</v>
      </c>
      <c r="W32" s="4">
        <f>VLOOKUP(U32,'conventional_refi_elig-old'!AA:AB,2,0)</f>
        <v>94.046836234387399</v>
      </c>
      <c r="X32">
        <f t="shared" si="0"/>
        <v>85.090213561029401</v>
      </c>
    </row>
    <row r="33" spans="1:24" x14ac:dyDescent="0.25">
      <c r="A33" t="s">
        <v>5</v>
      </c>
      <c r="B33" s="1">
        <v>35309</v>
      </c>
      <c r="C33">
        <v>155081</v>
      </c>
      <c r="D33">
        <v>370513413856.09998</v>
      </c>
      <c r="E33">
        <v>85.065683938407702</v>
      </c>
      <c r="G33" s="3">
        <v>35247</v>
      </c>
      <c r="H33" s="4">
        <v>85.115304417680406</v>
      </c>
      <c r="U33" s="3">
        <v>35309</v>
      </c>
      <c r="V33" s="4">
        <v>24.315494830336998</v>
      </c>
      <c r="W33" s="4">
        <f>VLOOKUP(U33,'conventional_refi_elig-old'!AA:AB,2,0)</f>
        <v>93.902239936808499</v>
      </c>
      <c r="X33">
        <f t="shared" si="0"/>
        <v>85.065683938407702</v>
      </c>
    </row>
    <row r="34" spans="1:24" x14ac:dyDescent="0.25">
      <c r="A34" t="s">
        <v>5</v>
      </c>
      <c r="B34" s="1">
        <v>35339</v>
      </c>
      <c r="C34">
        <v>155900</v>
      </c>
      <c r="D34">
        <v>375154945459.59998</v>
      </c>
      <c r="E34">
        <v>85.049785664362005</v>
      </c>
      <c r="G34" s="3">
        <v>35278</v>
      </c>
      <c r="H34" s="4">
        <v>85.090213561029401</v>
      </c>
      <c r="U34" s="3">
        <v>35339</v>
      </c>
      <c r="V34" s="4">
        <v>24.366078209419399</v>
      </c>
      <c r="W34" s="4">
        <f>VLOOKUP(U34,'conventional_refi_elig-old'!AA:AB,2,0)</f>
        <v>93.747279131194702</v>
      </c>
      <c r="X34">
        <f t="shared" si="0"/>
        <v>85.049785664362005</v>
      </c>
    </row>
    <row r="35" spans="1:24" x14ac:dyDescent="0.25">
      <c r="A35" t="s">
        <v>5</v>
      </c>
      <c r="B35" s="1">
        <v>35370</v>
      </c>
      <c r="C35">
        <v>156553</v>
      </c>
      <c r="D35">
        <v>378164550622.22998</v>
      </c>
      <c r="E35">
        <v>85.031746146743203</v>
      </c>
      <c r="G35" s="3">
        <v>35309</v>
      </c>
      <c r="H35" s="4">
        <v>85.065683938407702</v>
      </c>
      <c r="U35" s="3">
        <v>35370</v>
      </c>
      <c r="V35" s="4">
        <v>24.4214435912955</v>
      </c>
      <c r="W35" s="4">
        <f>VLOOKUP(U35,'conventional_refi_elig-old'!AA:AB,2,0)</f>
        <v>93.619053387659307</v>
      </c>
      <c r="X35">
        <f t="shared" si="0"/>
        <v>85.031746146743203</v>
      </c>
    </row>
    <row r="36" spans="1:24" x14ac:dyDescent="0.25">
      <c r="A36" t="s">
        <v>5</v>
      </c>
      <c r="B36" s="1">
        <v>35400</v>
      </c>
      <c r="C36">
        <v>157183</v>
      </c>
      <c r="D36">
        <v>380573155397.19</v>
      </c>
      <c r="E36">
        <v>85.021581954396794</v>
      </c>
      <c r="G36" s="3">
        <v>35339</v>
      </c>
      <c r="H36" s="4">
        <v>85.049785664362005</v>
      </c>
      <c r="U36" s="3">
        <v>35400</v>
      </c>
      <c r="V36" s="4">
        <v>24.5409886947002</v>
      </c>
      <c r="W36" s="4">
        <f>VLOOKUP(U36,'conventional_refi_elig-old'!AA:AB,2,0)</f>
        <v>93.540671648384404</v>
      </c>
      <c r="X36">
        <f t="shared" si="0"/>
        <v>85.021581954396794</v>
      </c>
    </row>
    <row r="37" spans="1:24" x14ac:dyDescent="0.25">
      <c r="A37" t="s">
        <v>5</v>
      </c>
      <c r="B37" s="1">
        <v>35431</v>
      </c>
      <c r="C37">
        <v>157961</v>
      </c>
      <c r="D37">
        <v>383579286284.32001</v>
      </c>
      <c r="E37">
        <v>84.975630028931903</v>
      </c>
      <c r="G37" s="3">
        <v>35370</v>
      </c>
      <c r="H37" s="4">
        <v>85.031746146743203</v>
      </c>
      <c r="U37" s="3">
        <v>35431</v>
      </c>
      <c r="V37" s="4">
        <v>25.5759162958479</v>
      </c>
      <c r="W37" s="4" t="e">
        <f>VLOOKUP(U37,'conventional_refi_elig-old'!AA:AB,2,0)</f>
        <v>#N/A</v>
      </c>
      <c r="X37">
        <f t="shared" si="0"/>
        <v>84.975630028931903</v>
      </c>
    </row>
    <row r="38" spans="1:24" x14ac:dyDescent="0.25">
      <c r="A38" t="s">
        <v>5</v>
      </c>
      <c r="B38" s="1">
        <v>35462</v>
      </c>
      <c r="C38">
        <v>158587</v>
      </c>
      <c r="D38">
        <v>385622880966.02002</v>
      </c>
      <c r="E38">
        <v>84.987375605359304</v>
      </c>
      <c r="G38" s="3">
        <v>35400</v>
      </c>
      <c r="H38" s="4">
        <v>85.021581954396794</v>
      </c>
      <c r="U38" s="3">
        <v>35462</v>
      </c>
      <c r="V38" s="4">
        <v>25.594344150942799</v>
      </c>
      <c r="W38" s="4" t="e">
        <f>VLOOKUP(U38,'conventional_refi_elig-old'!AA:AB,2,0)</f>
        <v>#N/A</v>
      </c>
      <c r="X38">
        <f t="shared" si="0"/>
        <v>84.987375605359304</v>
      </c>
    </row>
    <row r="39" spans="1:24" x14ac:dyDescent="0.25">
      <c r="A39" t="s">
        <v>5</v>
      </c>
      <c r="B39" s="1">
        <v>35490</v>
      </c>
      <c r="C39">
        <v>159328</v>
      </c>
      <c r="D39">
        <v>388944585913.88</v>
      </c>
      <c r="E39">
        <v>85.017014713065194</v>
      </c>
      <c r="G39" s="3">
        <v>35431</v>
      </c>
      <c r="H39" s="4">
        <v>84.975630028931903</v>
      </c>
      <c r="U39" s="3">
        <v>35490</v>
      </c>
      <c r="V39" s="4">
        <v>25.628449813680199</v>
      </c>
      <c r="W39" s="4">
        <f>VLOOKUP(U39,'conventional_refi_elig-old'!AA:AB,2,0)</f>
        <v>92.993150188481806</v>
      </c>
      <c r="X39">
        <f t="shared" si="0"/>
        <v>85.017014713065194</v>
      </c>
    </row>
    <row r="40" spans="1:24" x14ac:dyDescent="0.25">
      <c r="A40" t="s">
        <v>5</v>
      </c>
      <c r="B40" s="1">
        <v>35521</v>
      </c>
      <c r="C40">
        <v>160031</v>
      </c>
      <c r="D40">
        <v>391996345649.14001</v>
      </c>
      <c r="E40">
        <v>85.018521121929197</v>
      </c>
      <c r="G40" s="3">
        <v>35462</v>
      </c>
      <c r="H40" s="4">
        <v>84.987375605359304</v>
      </c>
      <c r="U40" s="3">
        <v>35521</v>
      </c>
      <c r="V40" s="4">
        <v>25.602052686198</v>
      </c>
      <c r="W40" s="4">
        <f>VLOOKUP(U40,'conventional_refi_elig-old'!AA:AB,2,0)</f>
        <v>92.902874572158197</v>
      </c>
      <c r="X40">
        <f t="shared" si="0"/>
        <v>85.018521121929197</v>
      </c>
    </row>
    <row r="41" spans="1:24" x14ac:dyDescent="0.25">
      <c r="A41" t="s">
        <v>5</v>
      </c>
      <c r="B41" s="1">
        <v>35551</v>
      </c>
      <c r="C41">
        <v>160667</v>
      </c>
      <c r="D41">
        <v>394401986179.65997</v>
      </c>
      <c r="E41">
        <v>85.031249116135797</v>
      </c>
      <c r="G41" s="3">
        <v>35490</v>
      </c>
      <c r="H41" s="4">
        <v>85.017014713065194</v>
      </c>
      <c r="U41" s="3">
        <v>35551</v>
      </c>
      <c r="V41" s="4">
        <v>25.654788681013599</v>
      </c>
      <c r="W41" s="4">
        <f>VLOOKUP(U41,'conventional_refi_elig-old'!AA:AB,2,0)</f>
        <v>92.824520228906394</v>
      </c>
      <c r="X41">
        <f t="shared" si="0"/>
        <v>85.031249116135797</v>
      </c>
    </row>
    <row r="42" spans="1:24" x14ac:dyDescent="0.25">
      <c r="A42" t="s">
        <v>5</v>
      </c>
      <c r="B42" s="1">
        <v>35582</v>
      </c>
      <c r="C42">
        <v>161332</v>
      </c>
      <c r="D42">
        <v>397650299517.78003</v>
      </c>
      <c r="E42">
        <v>85.051576814105005</v>
      </c>
      <c r="G42" s="3">
        <v>35521</v>
      </c>
      <c r="H42" s="4">
        <v>85.018521121929197</v>
      </c>
      <c r="U42" s="3">
        <v>35582</v>
      </c>
      <c r="V42" s="4">
        <v>25.7004559306001</v>
      </c>
      <c r="W42" s="4">
        <f>VLOOKUP(U42,'conventional_refi_elig-old'!AA:AB,2,0)</f>
        <v>92.753503587986103</v>
      </c>
      <c r="X42">
        <f t="shared" si="0"/>
        <v>85.051576814105005</v>
      </c>
    </row>
    <row r="43" spans="1:24" x14ac:dyDescent="0.25">
      <c r="A43" t="s">
        <v>5</v>
      </c>
      <c r="B43" s="1">
        <v>35612</v>
      </c>
      <c r="C43">
        <v>161858</v>
      </c>
      <c r="D43">
        <v>399661358461.85999</v>
      </c>
      <c r="E43">
        <v>85.072438711800601</v>
      </c>
      <c r="G43" s="3">
        <v>35551</v>
      </c>
      <c r="H43" s="4">
        <v>85.031249116135797</v>
      </c>
      <c r="U43" s="3">
        <v>35612</v>
      </c>
      <c r="V43" s="4">
        <v>25.779795489019801</v>
      </c>
      <c r="W43" s="4">
        <f>VLOOKUP(U43,'conventional_refi_elig-old'!AA:AB,2,0)</f>
        <v>92.644354738794206</v>
      </c>
      <c r="X43">
        <f t="shared" si="0"/>
        <v>85.072438711800601</v>
      </c>
    </row>
    <row r="44" spans="1:24" x14ac:dyDescent="0.25">
      <c r="A44" t="s">
        <v>5</v>
      </c>
      <c r="B44" s="1">
        <v>35643</v>
      </c>
      <c r="C44">
        <v>162531</v>
      </c>
      <c r="D44">
        <v>402473247826.06</v>
      </c>
      <c r="E44">
        <v>85.092997721214502</v>
      </c>
      <c r="G44" s="3">
        <v>35582</v>
      </c>
      <c r="H44" s="4">
        <v>85.051576814105005</v>
      </c>
      <c r="U44" s="3">
        <v>35643</v>
      </c>
      <c r="V44" s="4">
        <v>25.879236352383799</v>
      </c>
      <c r="W44" s="4">
        <f>VLOOKUP(U44,'conventional_refi_elig-old'!AA:AB,2,0)</f>
        <v>92.511880458717599</v>
      </c>
      <c r="X44">
        <f t="shared" si="0"/>
        <v>85.092997721214502</v>
      </c>
    </row>
    <row r="45" spans="1:24" x14ac:dyDescent="0.25">
      <c r="A45" t="s">
        <v>5</v>
      </c>
      <c r="B45" s="1">
        <v>35674</v>
      </c>
      <c r="C45">
        <v>163328</v>
      </c>
      <c r="D45">
        <v>407135000510.78003</v>
      </c>
      <c r="E45">
        <v>85.117596803057396</v>
      </c>
      <c r="G45" s="3">
        <v>35612</v>
      </c>
      <c r="H45" s="4">
        <v>85.072438711800601</v>
      </c>
      <c r="U45" s="3">
        <v>35674</v>
      </c>
      <c r="V45" s="4">
        <v>25.839700524105901</v>
      </c>
      <c r="W45" s="4">
        <f>VLOOKUP(U45,'conventional_refi_elig-old'!AA:AB,2,0)</f>
        <v>92.416946943406799</v>
      </c>
      <c r="X45">
        <f t="shared" si="0"/>
        <v>85.117596803057396</v>
      </c>
    </row>
    <row r="46" spans="1:24" x14ac:dyDescent="0.25">
      <c r="A46" t="s">
        <v>5</v>
      </c>
      <c r="B46" s="1">
        <v>35704</v>
      </c>
      <c r="C46">
        <v>164171</v>
      </c>
      <c r="D46">
        <v>410957899203.09998</v>
      </c>
      <c r="E46">
        <v>85.180281615290696</v>
      </c>
      <c r="G46" s="3">
        <v>35643</v>
      </c>
      <c r="H46" s="4">
        <v>85.092997721214502</v>
      </c>
      <c r="U46" s="3">
        <v>35704</v>
      </c>
      <c r="V46" s="4">
        <v>25.892714667461298</v>
      </c>
      <c r="W46" s="4">
        <f>VLOOKUP(U46,'conventional_refi_elig-old'!AA:AB,2,0)</f>
        <v>92.332196161286404</v>
      </c>
      <c r="X46">
        <f t="shared" si="0"/>
        <v>85.180281615290696</v>
      </c>
    </row>
    <row r="47" spans="1:24" x14ac:dyDescent="0.25">
      <c r="A47" t="s">
        <v>5</v>
      </c>
      <c r="B47" s="1">
        <v>35735</v>
      </c>
      <c r="C47">
        <v>164998</v>
      </c>
      <c r="D47">
        <v>415578143387.42999</v>
      </c>
      <c r="E47">
        <v>85.251269570987802</v>
      </c>
      <c r="G47" s="3">
        <v>35674</v>
      </c>
      <c r="H47" s="4">
        <v>85.117596803057396</v>
      </c>
      <c r="U47" s="3">
        <v>35735</v>
      </c>
      <c r="V47" s="4">
        <v>25.918734491286401</v>
      </c>
      <c r="W47" s="4">
        <f>VLOOKUP(U47,'conventional_refi_elig-old'!AA:AB,2,0)</f>
        <v>92.248022386213506</v>
      </c>
      <c r="X47">
        <f t="shared" si="0"/>
        <v>85.251269570987802</v>
      </c>
    </row>
    <row r="48" spans="1:24" x14ac:dyDescent="0.25">
      <c r="A48" t="s">
        <v>5</v>
      </c>
      <c r="B48" s="1">
        <v>35765</v>
      </c>
      <c r="C48">
        <v>165889</v>
      </c>
      <c r="D48">
        <v>420442181020.82001</v>
      </c>
      <c r="E48">
        <v>85.328379474545301</v>
      </c>
      <c r="G48" s="3">
        <v>35704</v>
      </c>
      <c r="H48" s="4">
        <v>85.180281615290696</v>
      </c>
      <c r="U48" s="3">
        <v>35765</v>
      </c>
      <c r="V48" s="4">
        <v>25.8684727523957</v>
      </c>
      <c r="W48" s="4">
        <f>VLOOKUP(U48,'conventional_refi_elig-old'!AA:AB,2,0)</f>
        <v>92.112657381390605</v>
      </c>
      <c r="X48">
        <f t="shared" si="0"/>
        <v>85.328379474545301</v>
      </c>
    </row>
    <row r="49" spans="1:24" x14ac:dyDescent="0.25">
      <c r="A49" t="s">
        <v>5</v>
      </c>
      <c r="B49" s="1">
        <v>35796</v>
      </c>
      <c r="C49">
        <v>166964</v>
      </c>
      <c r="D49">
        <v>425507008058.42999</v>
      </c>
      <c r="E49">
        <v>84.423868929203906</v>
      </c>
      <c r="G49" s="3">
        <v>35735</v>
      </c>
      <c r="H49" s="4">
        <v>85.251269570987802</v>
      </c>
      <c r="U49" s="3">
        <v>35796</v>
      </c>
      <c r="V49" s="4">
        <v>23.4019153504663</v>
      </c>
      <c r="W49" s="4">
        <f>VLOOKUP(U49,'conventional_refi_elig-old'!AA:AB,2,0)</f>
        <v>92.025928040633204</v>
      </c>
      <c r="X49">
        <f t="shared" si="0"/>
        <v>84.423868929203906</v>
      </c>
    </row>
    <row r="50" spans="1:24" x14ac:dyDescent="0.25">
      <c r="A50" t="s">
        <v>5</v>
      </c>
      <c r="B50" s="1">
        <v>35827</v>
      </c>
      <c r="C50">
        <v>167888</v>
      </c>
      <c r="D50">
        <v>430133364045.90002</v>
      </c>
      <c r="E50">
        <v>84.507200993171097</v>
      </c>
      <c r="G50" s="3">
        <v>35765</v>
      </c>
      <c r="H50" s="4">
        <v>85.328379474545301</v>
      </c>
      <c r="U50" s="3">
        <v>35827</v>
      </c>
      <c r="V50" s="4">
        <v>23.430173551169499</v>
      </c>
      <c r="W50" s="4">
        <f>VLOOKUP(U50,'conventional_refi_elig-old'!AA:AB,2,0)</f>
        <v>92.053310665430601</v>
      </c>
      <c r="X50">
        <f t="shared" si="0"/>
        <v>84.507200993171097</v>
      </c>
    </row>
    <row r="51" spans="1:24" x14ac:dyDescent="0.25">
      <c r="A51" t="s">
        <v>5</v>
      </c>
      <c r="B51" s="1">
        <v>35855</v>
      </c>
      <c r="C51">
        <v>169006</v>
      </c>
      <c r="D51">
        <v>436014643807.73999</v>
      </c>
      <c r="E51">
        <v>84.631263745095396</v>
      </c>
      <c r="G51" s="3">
        <v>35796</v>
      </c>
      <c r="H51" s="4">
        <v>84.423868929203906</v>
      </c>
      <c r="U51" s="3">
        <v>35855</v>
      </c>
      <c r="V51" s="4">
        <v>23.480647018681399</v>
      </c>
      <c r="W51" s="4">
        <f>VLOOKUP(U51,'conventional_refi_elig-old'!AA:AB,2,0)</f>
        <v>92.022991506954199</v>
      </c>
      <c r="X51">
        <f t="shared" si="0"/>
        <v>84.631263745095396</v>
      </c>
    </row>
    <row r="52" spans="1:24" x14ac:dyDescent="0.25">
      <c r="A52" t="s">
        <v>5</v>
      </c>
      <c r="B52" s="1">
        <v>35886</v>
      </c>
      <c r="C52">
        <v>170201</v>
      </c>
      <c r="D52">
        <v>440572182741.69</v>
      </c>
      <c r="E52">
        <v>84.824801991033098</v>
      </c>
      <c r="G52" s="3">
        <v>35827</v>
      </c>
      <c r="H52" s="4">
        <v>84.507200993171097</v>
      </c>
      <c r="U52" s="3">
        <v>35886</v>
      </c>
      <c r="V52" s="4">
        <v>23.571062098696899</v>
      </c>
      <c r="W52" s="4">
        <f>VLOOKUP(U52,'conventional_refi_elig-old'!AA:AB,2,0)</f>
        <v>91.853457612590503</v>
      </c>
      <c r="X52">
        <f t="shared" si="0"/>
        <v>84.824801991033098</v>
      </c>
    </row>
    <row r="53" spans="1:24" x14ac:dyDescent="0.25">
      <c r="A53" t="s">
        <v>5</v>
      </c>
      <c r="B53" s="1">
        <v>35916</v>
      </c>
      <c r="C53">
        <v>171456</v>
      </c>
      <c r="D53">
        <v>447378001346.06</v>
      </c>
      <c r="E53">
        <v>85.046419530858699</v>
      </c>
      <c r="G53" s="3">
        <v>35855</v>
      </c>
      <c r="H53" s="4">
        <v>84.631263745095396</v>
      </c>
      <c r="U53" s="3">
        <v>35916</v>
      </c>
      <c r="V53" s="4">
        <v>23.516082028561399</v>
      </c>
      <c r="W53" s="4">
        <f>VLOOKUP(U53,'conventional_refi_elig-old'!AA:AB,2,0)</f>
        <v>91.768115515667404</v>
      </c>
      <c r="X53">
        <f t="shared" si="0"/>
        <v>85.046419530858699</v>
      </c>
    </row>
    <row r="54" spans="1:24" x14ac:dyDescent="0.25">
      <c r="A54" t="s">
        <v>5</v>
      </c>
      <c r="B54" s="1">
        <v>35947</v>
      </c>
      <c r="C54">
        <v>172582</v>
      </c>
      <c r="D54">
        <v>454600787180.84998</v>
      </c>
      <c r="E54">
        <v>85.257912344987702</v>
      </c>
      <c r="G54" s="3">
        <v>35886</v>
      </c>
      <c r="H54" s="4">
        <v>84.824801991033098</v>
      </c>
      <c r="U54" s="3">
        <v>35947</v>
      </c>
      <c r="V54" s="4">
        <v>23.517902337879399</v>
      </c>
      <c r="W54" s="4">
        <f>VLOOKUP(U54,'conventional_refi_elig-old'!AA:AB,2,0)</f>
        <v>91.673935599984702</v>
      </c>
      <c r="X54">
        <f t="shared" si="0"/>
        <v>85.257912344987702</v>
      </c>
    </row>
    <row r="55" spans="1:24" x14ac:dyDescent="0.25">
      <c r="A55" t="s">
        <v>5</v>
      </c>
      <c r="B55" s="1">
        <v>35977</v>
      </c>
      <c r="C55">
        <v>173773</v>
      </c>
      <c r="D55">
        <v>463337515393.27002</v>
      </c>
      <c r="E55">
        <v>85.458462769099398</v>
      </c>
      <c r="G55" s="3">
        <v>35916</v>
      </c>
      <c r="H55" s="4">
        <v>85.046419530858699</v>
      </c>
      <c r="U55" s="3">
        <v>35977</v>
      </c>
      <c r="V55" s="4">
        <v>23.534384688912599</v>
      </c>
      <c r="W55" s="4">
        <f>VLOOKUP(U55,'conventional_refi_elig-old'!AA:AB,2,0)</f>
        <v>91.570922345367805</v>
      </c>
      <c r="X55">
        <f t="shared" si="0"/>
        <v>85.458462769099398</v>
      </c>
    </row>
    <row r="56" spans="1:24" x14ac:dyDescent="0.25">
      <c r="A56" t="s">
        <v>5</v>
      </c>
      <c r="B56" s="1">
        <v>36008</v>
      </c>
      <c r="C56">
        <v>174901</v>
      </c>
      <c r="D56">
        <v>473963930458.06</v>
      </c>
      <c r="E56">
        <v>85.639128400546397</v>
      </c>
      <c r="G56" s="3">
        <v>35947</v>
      </c>
      <c r="H56" s="4">
        <v>85.257912344987702</v>
      </c>
      <c r="U56" s="3">
        <v>36008</v>
      </c>
      <c r="V56" s="4">
        <v>23.450623678978602</v>
      </c>
      <c r="W56" s="4">
        <f>VLOOKUP(U56,'conventional_refi_elig-old'!AA:AB,2,0)</f>
        <v>91.517389801174403</v>
      </c>
      <c r="X56">
        <f t="shared" si="0"/>
        <v>85.639128400546397</v>
      </c>
    </row>
    <row r="57" spans="1:24" x14ac:dyDescent="0.25">
      <c r="A57" t="s">
        <v>5</v>
      </c>
      <c r="B57" s="1">
        <v>36039</v>
      </c>
      <c r="C57">
        <v>175971</v>
      </c>
      <c r="D57">
        <v>482637195788</v>
      </c>
      <c r="E57">
        <v>85.832889718116306</v>
      </c>
      <c r="G57" s="3">
        <v>35977</v>
      </c>
      <c r="H57" s="4">
        <v>85.458462769099398</v>
      </c>
      <c r="U57" s="3">
        <v>36039</v>
      </c>
      <c r="V57" s="4">
        <v>23.465814470552999</v>
      </c>
      <c r="W57" s="4">
        <f>VLOOKUP(U57,'conventional_refi_elig-old'!AA:AB,2,0)</f>
        <v>91.533661788427906</v>
      </c>
      <c r="X57">
        <f t="shared" si="0"/>
        <v>85.832889718116306</v>
      </c>
    </row>
    <row r="58" spans="1:24" x14ac:dyDescent="0.25">
      <c r="A58" t="s">
        <v>5</v>
      </c>
      <c r="B58" s="1">
        <v>36069</v>
      </c>
      <c r="C58">
        <v>177221</v>
      </c>
      <c r="D58">
        <v>492759677673.42999</v>
      </c>
      <c r="E58">
        <v>86.028890208598696</v>
      </c>
      <c r="G58" s="3">
        <v>36008</v>
      </c>
      <c r="H58" s="4">
        <v>85.639128400546397</v>
      </c>
      <c r="U58" s="3">
        <v>36069</v>
      </c>
      <c r="V58" s="4">
        <v>23.505330083208101</v>
      </c>
      <c r="W58" s="4">
        <f>VLOOKUP(U58,'conventional_refi_elig-old'!AA:AB,2,0)</f>
        <v>91.556802230438095</v>
      </c>
      <c r="X58">
        <f t="shared" si="0"/>
        <v>86.028890208598696</v>
      </c>
    </row>
    <row r="59" spans="1:24" x14ac:dyDescent="0.25">
      <c r="A59" t="s">
        <v>5</v>
      </c>
      <c r="B59" s="1">
        <v>36100</v>
      </c>
      <c r="C59">
        <v>178640</v>
      </c>
      <c r="D59">
        <v>502211629634.06</v>
      </c>
      <c r="E59">
        <v>86.182398649150699</v>
      </c>
      <c r="G59" s="3">
        <v>36039</v>
      </c>
      <c r="H59" s="4">
        <v>85.832889718116306</v>
      </c>
      <c r="U59" s="3">
        <v>36100</v>
      </c>
      <c r="V59" s="4">
        <v>23.4553603093931</v>
      </c>
      <c r="W59" s="4">
        <f>VLOOKUP(U59,'conventional_refi_elig-old'!AA:AB,2,0)</f>
        <v>91.394038464355305</v>
      </c>
      <c r="X59">
        <f t="shared" si="0"/>
        <v>86.182398649150699</v>
      </c>
    </row>
    <row r="60" spans="1:24" x14ac:dyDescent="0.25">
      <c r="A60" t="s">
        <v>5</v>
      </c>
      <c r="B60" s="1">
        <v>36130</v>
      </c>
      <c r="C60">
        <v>179937</v>
      </c>
      <c r="D60">
        <v>508860817728.65997</v>
      </c>
      <c r="E60">
        <v>86.375357034348397</v>
      </c>
      <c r="G60" s="3">
        <v>36069</v>
      </c>
      <c r="H60" s="4">
        <v>86.028890208598696</v>
      </c>
      <c r="U60" s="3">
        <v>36130</v>
      </c>
      <c r="V60" s="4">
        <v>23.457832225765301</v>
      </c>
      <c r="W60" s="4">
        <f>VLOOKUP(U60,'conventional_refi_elig-old'!AA:AB,2,0)</f>
        <v>91.248054735348205</v>
      </c>
      <c r="X60">
        <f t="shared" si="0"/>
        <v>86.375357034348397</v>
      </c>
    </row>
    <row r="61" spans="1:24" x14ac:dyDescent="0.25">
      <c r="A61" t="s">
        <v>5</v>
      </c>
      <c r="B61" s="1">
        <v>36161</v>
      </c>
      <c r="C61">
        <v>181535</v>
      </c>
      <c r="D61">
        <v>519181595242.40002</v>
      </c>
      <c r="E61">
        <v>86.797613083821005</v>
      </c>
      <c r="G61" s="3">
        <v>36100</v>
      </c>
      <c r="H61" s="4">
        <v>86.182398649150699</v>
      </c>
      <c r="U61" s="3">
        <v>36161</v>
      </c>
      <c r="V61" s="4">
        <v>22.859773088248701</v>
      </c>
      <c r="W61" s="4">
        <f>VLOOKUP(U61,'conventional_refi_elig-old'!AA:AB,2,0)</f>
        <v>91.173404727319095</v>
      </c>
      <c r="X61">
        <f t="shared" si="0"/>
        <v>86.797613083821005</v>
      </c>
    </row>
    <row r="62" spans="1:24" x14ac:dyDescent="0.25">
      <c r="A62" t="s">
        <v>5</v>
      </c>
      <c r="B62" s="1">
        <v>36192</v>
      </c>
      <c r="C62">
        <v>183021</v>
      </c>
      <c r="D62">
        <v>529266546073.46997</v>
      </c>
      <c r="E62">
        <v>86.981511578858601</v>
      </c>
      <c r="G62" s="3">
        <v>36130</v>
      </c>
      <c r="H62" s="4">
        <v>86.375357034348397</v>
      </c>
      <c r="U62" s="3">
        <v>36192</v>
      </c>
      <c r="V62" s="4">
        <v>22.8647134525621</v>
      </c>
      <c r="W62" s="4">
        <f>VLOOKUP(U62,'conventional_refi_elig-old'!AA:AB,2,0)</f>
        <v>91.060510110117306</v>
      </c>
      <c r="X62">
        <f t="shared" si="0"/>
        <v>86.981511578858601</v>
      </c>
    </row>
    <row r="63" spans="1:24" x14ac:dyDescent="0.25">
      <c r="A63" t="s">
        <v>5</v>
      </c>
      <c r="B63" s="1">
        <v>36220</v>
      </c>
      <c r="C63">
        <v>184355</v>
      </c>
      <c r="D63">
        <v>540755542094.21002</v>
      </c>
      <c r="E63">
        <v>87.135860133492599</v>
      </c>
      <c r="G63" s="3">
        <v>36161</v>
      </c>
      <c r="H63" s="4">
        <v>86.797613083821005</v>
      </c>
      <c r="U63" s="3">
        <v>36220</v>
      </c>
      <c r="V63" s="4">
        <v>22.8846012847089</v>
      </c>
      <c r="W63" s="4">
        <f>VLOOKUP(U63,'conventional_refi_elig-old'!AA:AB,2,0)</f>
        <v>91.029735352678102</v>
      </c>
      <c r="X63">
        <f t="shared" si="0"/>
        <v>87.135860133492599</v>
      </c>
    </row>
    <row r="64" spans="1:24" x14ac:dyDescent="0.25">
      <c r="A64" t="s">
        <v>5</v>
      </c>
      <c r="B64" s="1">
        <v>36251</v>
      </c>
      <c r="C64">
        <v>185605</v>
      </c>
      <c r="D64">
        <v>549750472653.34998</v>
      </c>
      <c r="E64">
        <v>87.278736237552593</v>
      </c>
      <c r="G64" s="3">
        <v>36192</v>
      </c>
      <c r="H64" s="4">
        <v>86.981511578858601</v>
      </c>
      <c r="U64" s="3">
        <v>36251</v>
      </c>
      <c r="V64" s="4">
        <v>22.942006592345301</v>
      </c>
      <c r="W64" s="4">
        <f>VLOOKUP(U64,'conventional_refi_elig-old'!AA:AB,2,0)</f>
        <v>90.935961074470796</v>
      </c>
      <c r="X64">
        <f t="shared" si="0"/>
        <v>87.278736237552593</v>
      </c>
    </row>
    <row r="65" spans="1:24" x14ac:dyDescent="0.25">
      <c r="A65" t="s">
        <v>5</v>
      </c>
      <c r="B65" s="1">
        <v>36281</v>
      </c>
      <c r="C65">
        <v>186717</v>
      </c>
      <c r="D65">
        <v>556506175459.81006</v>
      </c>
      <c r="E65">
        <v>87.397098980000607</v>
      </c>
      <c r="G65" s="3">
        <v>36220</v>
      </c>
      <c r="H65" s="4">
        <v>87.135860133492599</v>
      </c>
      <c r="U65" s="3">
        <v>36281</v>
      </c>
      <c r="V65" s="4">
        <v>23.003063729522299</v>
      </c>
      <c r="W65" s="4">
        <f>VLOOKUP(U65,'conventional_refi_elig-old'!AA:AB,2,0)</f>
        <v>90.868151897523106</v>
      </c>
      <c r="X65">
        <f t="shared" si="0"/>
        <v>87.397098980000607</v>
      </c>
    </row>
    <row r="66" spans="1:24" x14ac:dyDescent="0.25">
      <c r="A66" t="s">
        <v>5</v>
      </c>
      <c r="B66" s="1">
        <v>36312</v>
      </c>
      <c r="C66">
        <v>187662</v>
      </c>
      <c r="D66">
        <v>563458838273</v>
      </c>
      <c r="E66">
        <v>87.518777177683006</v>
      </c>
      <c r="G66" s="3">
        <v>36251</v>
      </c>
      <c r="H66" s="4">
        <v>87.278736237552593</v>
      </c>
      <c r="U66" s="3">
        <v>36312</v>
      </c>
      <c r="V66" s="4">
        <v>23.136635542313901</v>
      </c>
      <c r="W66" s="4">
        <f>VLOOKUP(U66,'conventional_refi_elig-old'!AA:AB,2,0)</f>
        <v>90.754331103109195</v>
      </c>
      <c r="X66">
        <f t="shared" si="0"/>
        <v>87.518777177683006</v>
      </c>
    </row>
    <row r="67" spans="1:24" x14ac:dyDescent="0.25">
      <c r="A67" t="s">
        <v>5</v>
      </c>
      <c r="B67" s="1">
        <v>36342</v>
      </c>
      <c r="C67">
        <v>188811</v>
      </c>
      <c r="D67">
        <v>572204607933.89001</v>
      </c>
      <c r="E67">
        <v>87.635572587978999</v>
      </c>
      <c r="G67" s="3">
        <v>36281</v>
      </c>
      <c r="H67" s="4">
        <v>87.397098980000607</v>
      </c>
      <c r="U67" s="3">
        <v>36342</v>
      </c>
      <c r="V67" s="4">
        <v>23.258250195434801</v>
      </c>
      <c r="W67" s="4">
        <f>VLOOKUP(U67,'conventional_refi_elig-old'!AA:AB,2,0)</f>
        <v>90.676781769290997</v>
      </c>
      <c r="X67">
        <f t="shared" ref="X67:X130" si="1">VLOOKUP(U67,G:H,2,0)</f>
        <v>87.635572587978999</v>
      </c>
    </row>
    <row r="68" spans="1:24" x14ac:dyDescent="0.25">
      <c r="A68" t="s">
        <v>5</v>
      </c>
      <c r="B68" s="1">
        <v>36373</v>
      </c>
      <c r="C68">
        <v>189841</v>
      </c>
      <c r="D68">
        <v>579291469300.42004</v>
      </c>
      <c r="E68">
        <v>87.756523108860705</v>
      </c>
      <c r="G68" s="3">
        <v>36312</v>
      </c>
      <c r="H68" s="4">
        <v>87.518777177683006</v>
      </c>
      <c r="U68" s="3">
        <v>36373</v>
      </c>
      <c r="V68" s="4">
        <v>23.406705263677502</v>
      </c>
      <c r="W68" s="4">
        <f>VLOOKUP(U68,'conventional_refi_elig-old'!AA:AB,2,0)</f>
        <v>90.592704865297094</v>
      </c>
      <c r="X68">
        <f t="shared" si="1"/>
        <v>87.756523108860705</v>
      </c>
    </row>
    <row r="69" spans="1:24" x14ac:dyDescent="0.25">
      <c r="A69" t="s">
        <v>5</v>
      </c>
      <c r="B69" s="1">
        <v>36404</v>
      </c>
      <c r="C69">
        <v>190764</v>
      </c>
      <c r="D69">
        <v>587347551657.76001</v>
      </c>
      <c r="E69">
        <v>87.836460714123206</v>
      </c>
      <c r="G69" s="3">
        <v>36342</v>
      </c>
      <c r="H69" s="4">
        <v>87.635572587978999</v>
      </c>
      <c r="U69" s="3">
        <v>36404</v>
      </c>
      <c r="V69" s="4">
        <v>23.584999679202902</v>
      </c>
      <c r="W69" s="4">
        <f>VLOOKUP(U69,'conventional_refi_elig-old'!AA:AB,2,0)</f>
        <v>90.543650668260398</v>
      </c>
      <c r="X69">
        <f t="shared" si="1"/>
        <v>87.836460714123206</v>
      </c>
    </row>
    <row r="70" spans="1:24" x14ac:dyDescent="0.25">
      <c r="A70" t="s">
        <v>5</v>
      </c>
      <c r="B70" s="1">
        <v>36434</v>
      </c>
      <c r="C70">
        <v>191769</v>
      </c>
      <c r="D70">
        <v>595358056585.48999</v>
      </c>
      <c r="E70">
        <v>87.907396838027793</v>
      </c>
      <c r="G70" s="3">
        <v>36373</v>
      </c>
      <c r="H70" s="4">
        <v>87.756523108860705</v>
      </c>
      <c r="U70" s="3">
        <v>36434</v>
      </c>
      <c r="V70" s="4">
        <v>23.836196796233502</v>
      </c>
      <c r="W70" s="4">
        <f>VLOOKUP(U70,'conventional_refi_elig-old'!AA:AB,2,0)</f>
        <v>90.473341946825997</v>
      </c>
      <c r="X70">
        <f t="shared" si="1"/>
        <v>87.907396838027793</v>
      </c>
    </row>
    <row r="71" spans="1:24" x14ac:dyDescent="0.25">
      <c r="A71" t="s">
        <v>5</v>
      </c>
      <c r="B71" s="1">
        <v>36465</v>
      </c>
      <c r="C71">
        <v>192676</v>
      </c>
      <c r="D71">
        <v>603335784202.89001</v>
      </c>
      <c r="E71">
        <v>87.946661240542298</v>
      </c>
      <c r="G71" s="3">
        <v>36404</v>
      </c>
      <c r="H71" s="4">
        <v>87.836460714123206</v>
      </c>
      <c r="U71" s="3">
        <v>36465</v>
      </c>
      <c r="V71" s="4">
        <v>23.960501905306099</v>
      </c>
      <c r="W71" s="4">
        <f>VLOOKUP(U71,'conventional_refi_elig-old'!AA:AB,2,0)</f>
        <v>90.423566343701395</v>
      </c>
      <c r="X71">
        <f t="shared" si="1"/>
        <v>87.946661240542298</v>
      </c>
    </row>
    <row r="72" spans="1:24" x14ac:dyDescent="0.25">
      <c r="A72" t="s">
        <v>5</v>
      </c>
      <c r="B72" s="1">
        <v>36495</v>
      </c>
      <c r="C72">
        <v>193594</v>
      </c>
      <c r="D72">
        <v>608661813729.64001</v>
      </c>
      <c r="E72">
        <v>87.990659973096996</v>
      </c>
      <c r="G72" s="3">
        <v>36434</v>
      </c>
      <c r="H72" s="4">
        <v>87.907396838027793</v>
      </c>
      <c r="U72" s="3">
        <v>36495</v>
      </c>
      <c r="V72" s="4">
        <v>24.1511939597363</v>
      </c>
      <c r="W72" s="4">
        <f>VLOOKUP(U72,'conventional_refi_elig-old'!AA:AB,2,0)</f>
        <v>90.377949021028996</v>
      </c>
      <c r="X72">
        <f t="shared" si="1"/>
        <v>87.990659973096996</v>
      </c>
    </row>
    <row r="73" spans="1:24" x14ac:dyDescent="0.25">
      <c r="A73" t="s">
        <v>5</v>
      </c>
      <c r="B73" s="1">
        <v>36526</v>
      </c>
      <c r="C73">
        <v>194574</v>
      </c>
      <c r="D73">
        <v>614730545023.56995</v>
      </c>
      <c r="E73">
        <v>87.992440062314301</v>
      </c>
      <c r="G73" s="3">
        <v>36465</v>
      </c>
      <c r="H73" s="4">
        <v>87.946661240542298</v>
      </c>
      <c r="U73" s="3">
        <v>36526</v>
      </c>
      <c r="V73" s="4">
        <v>23.9569807903029</v>
      </c>
      <c r="W73" s="4">
        <f>VLOOKUP(U73,'conventional_refi_elig-old'!AA:AB,2,0)</f>
        <v>90.341587928600504</v>
      </c>
      <c r="X73">
        <f t="shared" si="1"/>
        <v>87.992440062314301</v>
      </c>
    </row>
    <row r="74" spans="1:24" x14ac:dyDescent="0.25">
      <c r="A74" t="s">
        <v>5</v>
      </c>
      <c r="B74" s="1">
        <v>36557</v>
      </c>
      <c r="C74">
        <v>195521</v>
      </c>
      <c r="D74">
        <v>620175920606.63</v>
      </c>
      <c r="E74">
        <v>88.035856673759099</v>
      </c>
      <c r="G74" s="3">
        <v>36495</v>
      </c>
      <c r="H74" s="4">
        <v>87.990659973096996</v>
      </c>
      <c r="U74" s="3">
        <v>36557</v>
      </c>
      <c r="V74" s="4">
        <v>24.132556362769002</v>
      </c>
      <c r="W74" s="4">
        <f>VLOOKUP(U74,'conventional_refi_elig-old'!AA:AB,2,0)</f>
        <v>90.2613194844985</v>
      </c>
      <c r="X74">
        <f t="shared" si="1"/>
        <v>88.035856673759099</v>
      </c>
    </row>
    <row r="75" spans="1:24" x14ac:dyDescent="0.25">
      <c r="A75" t="s">
        <v>5</v>
      </c>
      <c r="B75" s="1">
        <v>36586</v>
      </c>
      <c r="C75">
        <v>196302</v>
      </c>
      <c r="D75">
        <v>625373224000.52002</v>
      </c>
      <c r="E75">
        <v>88.0376784942803</v>
      </c>
      <c r="G75" s="3">
        <v>36526</v>
      </c>
      <c r="H75" s="4">
        <v>87.992440062314301</v>
      </c>
      <c r="U75" s="3">
        <v>36586</v>
      </c>
      <c r="V75" s="4">
        <v>24.220089336597901</v>
      </c>
      <c r="W75" s="4">
        <f>VLOOKUP(U75,'conventional_refi_elig-old'!AA:AB,2,0)</f>
        <v>90.239260897534606</v>
      </c>
      <c r="X75">
        <f t="shared" si="1"/>
        <v>88.0376784942803</v>
      </c>
    </row>
    <row r="76" spans="1:24" x14ac:dyDescent="0.25">
      <c r="A76" t="s">
        <v>5</v>
      </c>
      <c r="B76" s="1">
        <v>36617</v>
      </c>
      <c r="C76">
        <v>197211</v>
      </c>
      <c r="D76">
        <v>628789317108.88</v>
      </c>
      <c r="E76">
        <v>88.045912723318807</v>
      </c>
      <c r="G76" s="3">
        <v>36557</v>
      </c>
      <c r="H76" s="4">
        <v>88.035856673759099</v>
      </c>
      <c r="U76" s="3">
        <v>36617</v>
      </c>
      <c r="V76" s="4">
        <v>24.371443077002301</v>
      </c>
      <c r="W76" s="4">
        <f>VLOOKUP(U76,'conventional_refi_elig-old'!AA:AB,2,0)</f>
        <v>90.216704589250398</v>
      </c>
      <c r="X76">
        <f t="shared" si="1"/>
        <v>88.045912723318807</v>
      </c>
    </row>
    <row r="77" spans="1:24" x14ac:dyDescent="0.25">
      <c r="A77" t="s">
        <v>5</v>
      </c>
      <c r="B77" s="1">
        <v>36647</v>
      </c>
      <c r="C77">
        <v>198200</v>
      </c>
      <c r="D77">
        <v>633466085432.80005</v>
      </c>
      <c r="E77">
        <v>88.0475593315509</v>
      </c>
      <c r="G77" s="3">
        <v>36586</v>
      </c>
      <c r="H77" s="4">
        <v>88.0376784942803</v>
      </c>
      <c r="U77" s="3">
        <v>36647</v>
      </c>
      <c r="V77" s="4">
        <v>24.5660130506622</v>
      </c>
      <c r="W77" s="4">
        <f>VLOOKUP(U77,'conventional_refi_elig-old'!AA:AB,2,0)</f>
        <v>90.1989728595277</v>
      </c>
      <c r="X77">
        <f t="shared" si="1"/>
        <v>88.0475593315509</v>
      </c>
    </row>
    <row r="78" spans="1:24" x14ac:dyDescent="0.25">
      <c r="A78" t="s">
        <v>5</v>
      </c>
      <c r="B78" s="1">
        <v>36678</v>
      </c>
      <c r="C78">
        <v>199277</v>
      </c>
      <c r="D78">
        <v>638637756539.06006</v>
      </c>
      <c r="E78">
        <v>88.064195946144906</v>
      </c>
      <c r="G78" s="3">
        <v>36617</v>
      </c>
      <c r="H78" s="4">
        <v>88.045912723318807</v>
      </c>
      <c r="U78" s="3">
        <v>36678</v>
      </c>
      <c r="V78" s="4">
        <v>24.759377424572701</v>
      </c>
      <c r="W78" s="4">
        <f>VLOOKUP(U78,'conventional_refi_elig-old'!AA:AB,2,0)</f>
        <v>90.135844691138104</v>
      </c>
      <c r="X78">
        <f t="shared" si="1"/>
        <v>88.064195946144906</v>
      </c>
    </row>
    <row r="79" spans="1:24" x14ac:dyDescent="0.25">
      <c r="A79" t="s">
        <v>5</v>
      </c>
      <c r="B79" s="1">
        <v>36708</v>
      </c>
      <c r="C79">
        <v>200318</v>
      </c>
      <c r="D79">
        <v>644319934151.05005</v>
      </c>
      <c r="E79">
        <v>88.077303963713007</v>
      </c>
      <c r="G79" s="3">
        <v>36647</v>
      </c>
      <c r="H79" s="4">
        <v>88.0475593315509</v>
      </c>
      <c r="U79" s="3">
        <v>36708</v>
      </c>
      <c r="V79" s="4">
        <v>25.014631288793499</v>
      </c>
      <c r="W79" s="4">
        <f>VLOOKUP(U79,'conventional_refi_elig-old'!AA:AB,2,0)</f>
        <v>90.0693507160873</v>
      </c>
      <c r="X79">
        <f t="shared" si="1"/>
        <v>88.077303963713007</v>
      </c>
    </row>
    <row r="80" spans="1:24" x14ac:dyDescent="0.25">
      <c r="A80" t="s">
        <v>5</v>
      </c>
      <c r="B80" s="1">
        <v>36739</v>
      </c>
      <c r="C80">
        <v>201523</v>
      </c>
      <c r="D80">
        <v>650241592057.52002</v>
      </c>
      <c r="E80">
        <v>88.0945800623727</v>
      </c>
      <c r="G80" s="3">
        <v>36678</v>
      </c>
      <c r="H80" s="4">
        <v>88.064195946144906</v>
      </c>
      <c r="U80" s="3">
        <v>36739</v>
      </c>
      <c r="V80" s="4">
        <v>25.302403828018701</v>
      </c>
      <c r="W80" s="4">
        <f>VLOOKUP(U80,'conventional_refi_elig-old'!AA:AB,2,0)</f>
        <v>90.038224217183696</v>
      </c>
      <c r="X80">
        <f t="shared" si="1"/>
        <v>88.0945800623727</v>
      </c>
    </row>
    <row r="81" spans="1:24" x14ac:dyDescent="0.25">
      <c r="A81" t="s">
        <v>5</v>
      </c>
      <c r="B81" s="1">
        <v>36770</v>
      </c>
      <c r="C81">
        <v>202877</v>
      </c>
      <c r="D81">
        <v>659140528287.64001</v>
      </c>
      <c r="E81">
        <v>88.118485347577206</v>
      </c>
      <c r="G81" s="3">
        <v>36708</v>
      </c>
      <c r="H81" s="4">
        <v>88.077303963713007</v>
      </c>
      <c r="U81" s="3">
        <v>36770</v>
      </c>
      <c r="V81" s="4">
        <v>25.578896569007799</v>
      </c>
      <c r="W81" s="4">
        <f>VLOOKUP(U81,'conventional_refi_elig-old'!AA:AB,2,0)</f>
        <v>89.960264842197205</v>
      </c>
      <c r="X81">
        <f t="shared" si="1"/>
        <v>88.118485347577206</v>
      </c>
    </row>
    <row r="82" spans="1:24" x14ac:dyDescent="0.25">
      <c r="A82" t="s">
        <v>5</v>
      </c>
      <c r="B82" s="1">
        <v>36800</v>
      </c>
      <c r="C82">
        <v>204126</v>
      </c>
      <c r="D82">
        <v>667771708329.09998</v>
      </c>
      <c r="E82">
        <v>88.134848831409698</v>
      </c>
      <c r="G82" s="3">
        <v>36739</v>
      </c>
      <c r="H82" s="4">
        <v>88.0945800623727</v>
      </c>
      <c r="U82" s="3">
        <v>36800</v>
      </c>
      <c r="V82" s="4">
        <v>25.75168433883</v>
      </c>
      <c r="W82" s="4">
        <f>VLOOKUP(U82,'conventional_refi_elig-old'!AA:AB,2,0)</f>
        <v>89.896320553078198</v>
      </c>
      <c r="X82">
        <f t="shared" si="1"/>
        <v>88.134848831409698</v>
      </c>
    </row>
    <row r="83" spans="1:24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88.145251162775494</v>
      </c>
      <c r="G83" s="3">
        <v>36770</v>
      </c>
      <c r="H83" s="4">
        <v>88.118485347577206</v>
      </c>
      <c r="U83" s="3">
        <v>36831</v>
      </c>
      <c r="V83" s="4">
        <v>25.965688275597</v>
      </c>
      <c r="W83" s="4">
        <f>VLOOKUP(U83,'conventional_refi_elig-old'!AA:AB,2,0)</f>
        <v>89.815054683417799</v>
      </c>
      <c r="X83">
        <f t="shared" si="1"/>
        <v>88.145251162775494</v>
      </c>
    </row>
    <row r="84" spans="1:24" x14ac:dyDescent="0.25">
      <c r="A84" t="s">
        <v>5</v>
      </c>
      <c r="B84" s="1">
        <v>36861</v>
      </c>
      <c r="C84">
        <v>206553</v>
      </c>
      <c r="D84">
        <v>688667464062.68005</v>
      </c>
      <c r="E84">
        <v>88.164003689355098</v>
      </c>
      <c r="G84" s="3">
        <v>36800</v>
      </c>
      <c r="H84" s="4">
        <v>88.134848831409698</v>
      </c>
      <c r="U84" s="3">
        <v>36861</v>
      </c>
      <c r="V84" s="4">
        <v>26.084698277235201</v>
      </c>
      <c r="W84" s="4">
        <f>VLOOKUP(U84,'conventional_refi_elig-old'!AA:AB,2,0)</f>
        <v>89.729976201419205</v>
      </c>
      <c r="X84">
        <f t="shared" si="1"/>
        <v>88.164003689355098</v>
      </c>
    </row>
    <row r="85" spans="1:24" x14ac:dyDescent="0.25">
      <c r="A85" t="s">
        <v>5</v>
      </c>
      <c r="B85" s="1">
        <v>36892</v>
      </c>
      <c r="C85">
        <v>207893</v>
      </c>
      <c r="D85">
        <v>700106336980.84998</v>
      </c>
      <c r="E85">
        <v>87.929854307737102</v>
      </c>
      <c r="G85" s="3">
        <v>36831</v>
      </c>
      <c r="H85" s="4">
        <v>88.145251162775494</v>
      </c>
      <c r="U85" s="3">
        <v>36892</v>
      </c>
      <c r="V85" s="4">
        <v>24.869792938541298</v>
      </c>
      <c r="W85" s="4">
        <f>VLOOKUP(U85,'conventional_refi_elig-old'!AA:AB,2,0)</f>
        <v>89.657215563622103</v>
      </c>
      <c r="X85">
        <f t="shared" si="1"/>
        <v>87.929854307737102</v>
      </c>
    </row>
    <row r="86" spans="1:24" x14ac:dyDescent="0.25">
      <c r="A86" t="s">
        <v>5</v>
      </c>
      <c r="B86" s="1">
        <v>36923</v>
      </c>
      <c r="C86">
        <v>209121</v>
      </c>
      <c r="D86">
        <v>711936410692.26001</v>
      </c>
      <c r="E86">
        <v>87.940197112439606</v>
      </c>
      <c r="G86" s="3">
        <v>36861</v>
      </c>
      <c r="H86" s="4">
        <v>88.164003689355098</v>
      </c>
      <c r="U86" s="3">
        <v>36923</v>
      </c>
      <c r="V86" s="4">
        <v>24.940877683184802</v>
      </c>
      <c r="W86" s="4">
        <f>VLOOKUP(U86,'conventional_refi_elig-old'!AA:AB,2,0)</f>
        <v>89.581547750311501</v>
      </c>
      <c r="X86">
        <f t="shared" si="1"/>
        <v>87.940197112439606</v>
      </c>
    </row>
    <row r="87" spans="1:24" x14ac:dyDescent="0.25">
      <c r="A87" t="s">
        <v>5</v>
      </c>
      <c r="B87" s="1">
        <v>36951</v>
      </c>
      <c r="C87">
        <v>210670</v>
      </c>
      <c r="D87">
        <v>724159427993.80005</v>
      </c>
      <c r="E87">
        <v>87.958897233354193</v>
      </c>
      <c r="G87" s="3">
        <v>36892</v>
      </c>
      <c r="H87" s="4">
        <v>87.929854307737102</v>
      </c>
      <c r="U87" s="3">
        <v>36951</v>
      </c>
      <c r="V87" s="4">
        <v>24.979186789700901</v>
      </c>
      <c r="W87" s="4">
        <f>VLOOKUP(U87,'conventional_refi_elig-old'!AA:AB,2,0)</f>
        <v>89.512842821269302</v>
      </c>
      <c r="X87">
        <f t="shared" si="1"/>
        <v>87.958897233354193</v>
      </c>
    </row>
    <row r="88" spans="1:24" x14ac:dyDescent="0.25">
      <c r="A88" t="s">
        <v>5</v>
      </c>
      <c r="B88" s="1">
        <v>36982</v>
      </c>
      <c r="C88">
        <v>212403</v>
      </c>
      <c r="D88">
        <v>737131621054.80005</v>
      </c>
      <c r="E88">
        <v>87.929143562290704</v>
      </c>
      <c r="G88" s="3">
        <v>36923</v>
      </c>
      <c r="H88" s="4">
        <v>87.940197112439606</v>
      </c>
      <c r="U88" s="3">
        <v>36982</v>
      </c>
      <c r="V88" s="4">
        <v>24.762891418315</v>
      </c>
      <c r="W88" s="4">
        <f>VLOOKUP(U88,'conventional_refi_elig-old'!AA:AB,2,0)</f>
        <v>89.472957018569602</v>
      </c>
      <c r="X88">
        <f t="shared" si="1"/>
        <v>87.929143562290704</v>
      </c>
    </row>
    <row r="89" spans="1:24" x14ac:dyDescent="0.25">
      <c r="A89" t="s">
        <v>5</v>
      </c>
      <c r="B89" s="1">
        <v>37012</v>
      </c>
      <c r="C89">
        <v>214231</v>
      </c>
      <c r="D89">
        <v>752556214855.22998</v>
      </c>
      <c r="E89">
        <v>87.9198891700416</v>
      </c>
      <c r="G89" s="3">
        <v>36951</v>
      </c>
      <c r="H89" s="4">
        <v>87.958897233354193</v>
      </c>
      <c r="U89" s="3">
        <v>37012</v>
      </c>
      <c r="V89" s="4">
        <v>24.408407919627798</v>
      </c>
      <c r="W89" s="4">
        <f>VLOOKUP(U89,'conventional_refi_elig-old'!AA:AB,2,0)</f>
        <v>89.407079481689493</v>
      </c>
      <c r="X89">
        <f t="shared" si="1"/>
        <v>87.9198891700416</v>
      </c>
    </row>
    <row r="90" spans="1:24" x14ac:dyDescent="0.25">
      <c r="A90" t="s">
        <v>5</v>
      </c>
      <c r="B90" s="1">
        <v>37043</v>
      </c>
      <c r="C90">
        <v>216060</v>
      </c>
      <c r="D90">
        <v>768634381863</v>
      </c>
      <c r="E90">
        <v>87.910135333837601</v>
      </c>
      <c r="G90" s="3">
        <v>36982</v>
      </c>
      <c r="H90" s="4">
        <v>87.929143562290704</v>
      </c>
      <c r="U90" s="3">
        <v>37043</v>
      </c>
      <c r="V90" s="4">
        <v>24.114759182766601</v>
      </c>
      <c r="W90" s="4">
        <f>VLOOKUP(U90,'conventional_refi_elig-old'!AA:AB,2,0)</f>
        <v>89.316474945363396</v>
      </c>
      <c r="X90">
        <f t="shared" si="1"/>
        <v>87.910135333837601</v>
      </c>
    </row>
    <row r="91" spans="1:24" x14ac:dyDescent="0.25">
      <c r="A91" t="s">
        <v>5</v>
      </c>
      <c r="B91" s="1">
        <v>37073</v>
      </c>
      <c r="C91">
        <v>217775</v>
      </c>
      <c r="D91">
        <v>783899597190.81006</v>
      </c>
      <c r="E91">
        <v>87.892238120732699</v>
      </c>
      <c r="G91" s="3">
        <v>37012</v>
      </c>
      <c r="H91" s="4">
        <v>87.9198891700416</v>
      </c>
      <c r="U91" s="3">
        <v>37073</v>
      </c>
      <c r="V91" s="4">
        <v>23.723726843129398</v>
      </c>
      <c r="W91" s="4">
        <f>VLOOKUP(U91,'conventional_refi_elig-old'!AA:AB,2,0)</f>
        <v>89.195932581922193</v>
      </c>
      <c r="X91">
        <f t="shared" si="1"/>
        <v>87.892238120732699</v>
      </c>
    </row>
    <row r="92" spans="1:24" x14ac:dyDescent="0.25">
      <c r="A92" t="s">
        <v>5</v>
      </c>
      <c r="B92" s="1">
        <v>37104</v>
      </c>
      <c r="C92">
        <v>219337</v>
      </c>
      <c r="D92">
        <v>800219895172</v>
      </c>
      <c r="E92">
        <v>87.842713852357207</v>
      </c>
      <c r="G92" s="3">
        <v>37043</v>
      </c>
      <c r="H92" s="4">
        <v>87.910135333837601</v>
      </c>
      <c r="U92" s="3">
        <v>37104</v>
      </c>
      <c r="V92" s="4">
        <v>23.3948622273473</v>
      </c>
      <c r="W92" s="4">
        <f>VLOOKUP(U92,'conventional_refi_elig-old'!AA:AB,2,0)</f>
        <v>89.046337871782796</v>
      </c>
      <c r="X92">
        <f t="shared" si="1"/>
        <v>87.842713852357207</v>
      </c>
    </row>
    <row r="93" spans="1:24" x14ac:dyDescent="0.25">
      <c r="A93" t="s">
        <v>5</v>
      </c>
      <c r="B93" s="1">
        <v>37135</v>
      </c>
      <c r="C93">
        <v>220863</v>
      </c>
      <c r="D93">
        <v>816276961683.10999</v>
      </c>
      <c r="E93">
        <v>87.819843808710999</v>
      </c>
      <c r="G93" s="3">
        <v>37073</v>
      </c>
      <c r="H93" s="4">
        <v>87.892238120732699</v>
      </c>
      <c r="U93" s="3">
        <v>37135</v>
      </c>
      <c r="V93" s="4">
        <v>23.153475809562199</v>
      </c>
      <c r="W93" s="4">
        <f>VLOOKUP(U93,'conventional_refi_elig-old'!AA:AB,2,0)</f>
        <v>88.943319036077895</v>
      </c>
      <c r="X93">
        <f t="shared" si="1"/>
        <v>87.819843808710999</v>
      </c>
    </row>
    <row r="94" spans="1:24" x14ac:dyDescent="0.25">
      <c r="A94" t="s">
        <v>5</v>
      </c>
      <c r="B94" s="1">
        <v>37165</v>
      </c>
      <c r="C94">
        <v>222193</v>
      </c>
      <c r="D94">
        <v>829340407712.87</v>
      </c>
      <c r="E94">
        <v>87.756428124854096</v>
      </c>
      <c r="G94" s="3">
        <v>37104</v>
      </c>
      <c r="H94" s="4">
        <v>87.842713852357207</v>
      </c>
      <c r="U94" s="3">
        <v>37165</v>
      </c>
      <c r="V94" s="4">
        <v>22.803888421185999</v>
      </c>
      <c r="W94" s="4">
        <f>VLOOKUP(U94,'conventional_refi_elig-old'!AA:AB,2,0)</f>
        <v>88.838842962308107</v>
      </c>
      <c r="X94">
        <f t="shared" si="1"/>
        <v>87.756428124854096</v>
      </c>
    </row>
    <row r="95" spans="1:24" x14ac:dyDescent="0.25">
      <c r="A95" t="s">
        <v>5</v>
      </c>
      <c r="B95" s="1">
        <v>37196</v>
      </c>
      <c r="C95">
        <v>223572</v>
      </c>
      <c r="D95">
        <v>841081375122.14001</v>
      </c>
      <c r="E95">
        <v>87.701700196658294</v>
      </c>
      <c r="G95" s="3">
        <v>37135</v>
      </c>
      <c r="H95" s="4">
        <v>87.819843808710999</v>
      </c>
      <c r="U95" s="3">
        <v>37196</v>
      </c>
      <c r="V95" s="4">
        <v>22.425302448481599</v>
      </c>
      <c r="W95" s="4">
        <f>VLOOKUP(U95,'conventional_refi_elig-old'!AA:AB,2,0)</f>
        <v>88.759627121752104</v>
      </c>
      <c r="X95">
        <f t="shared" si="1"/>
        <v>87.701700196658294</v>
      </c>
    </row>
    <row r="96" spans="1:24" x14ac:dyDescent="0.25">
      <c r="A96" t="s">
        <v>5</v>
      </c>
      <c r="B96" s="1">
        <v>37226</v>
      </c>
      <c r="C96">
        <v>225055</v>
      </c>
      <c r="D96">
        <v>853354387292.38</v>
      </c>
      <c r="E96">
        <v>87.650833632251803</v>
      </c>
      <c r="G96" s="3">
        <v>37165</v>
      </c>
      <c r="H96" s="4">
        <v>87.756428124854096</v>
      </c>
      <c r="U96" s="3">
        <v>37226</v>
      </c>
      <c r="V96" s="4">
        <v>21.978756017775201</v>
      </c>
      <c r="W96" s="4">
        <f>VLOOKUP(U96,'conventional_refi_elig-old'!AA:AB,2,0)</f>
        <v>88.672003146288404</v>
      </c>
      <c r="X96">
        <f t="shared" si="1"/>
        <v>87.650833632251803</v>
      </c>
    </row>
    <row r="97" spans="1:24" x14ac:dyDescent="0.25">
      <c r="A97" t="s">
        <v>5</v>
      </c>
      <c r="B97" s="1">
        <v>37257</v>
      </c>
      <c r="C97">
        <v>226605</v>
      </c>
      <c r="D97">
        <v>865009341307.27002</v>
      </c>
      <c r="E97">
        <v>87.580274599794194</v>
      </c>
      <c r="G97" s="3">
        <v>37196</v>
      </c>
      <c r="H97" s="4">
        <v>87.701700196658294</v>
      </c>
      <c r="U97" s="3">
        <v>37257</v>
      </c>
      <c r="V97" s="4">
        <v>21.259699842792099</v>
      </c>
      <c r="W97" s="4">
        <f>VLOOKUP(U97,'conventional_refi_elig-old'!AA:AB,2,0)</f>
        <v>88.573531157356697</v>
      </c>
      <c r="X97">
        <f t="shared" si="1"/>
        <v>87.580274599794194</v>
      </c>
    </row>
    <row r="98" spans="1:24" x14ac:dyDescent="0.25">
      <c r="A98" t="s">
        <v>5</v>
      </c>
      <c r="B98" s="1">
        <v>37288</v>
      </c>
      <c r="C98">
        <v>227719</v>
      </c>
      <c r="D98">
        <v>868002653952.68994</v>
      </c>
      <c r="E98">
        <v>87.527309642186694</v>
      </c>
      <c r="G98" s="3">
        <v>37226</v>
      </c>
      <c r="H98" s="4">
        <v>87.650833632251803</v>
      </c>
      <c r="U98" s="3">
        <v>37288</v>
      </c>
      <c r="V98" s="4">
        <v>20.780934690909099</v>
      </c>
      <c r="W98" s="4">
        <f>VLOOKUP(U98,'conventional_refi_elig-old'!AA:AB,2,0)</f>
        <v>88.466004535635307</v>
      </c>
      <c r="X98">
        <f t="shared" si="1"/>
        <v>87.527309642186694</v>
      </c>
    </row>
    <row r="99" spans="1:24" x14ac:dyDescent="0.25">
      <c r="A99" t="s">
        <v>5</v>
      </c>
      <c r="B99" s="1">
        <v>37316</v>
      </c>
      <c r="C99">
        <v>228962</v>
      </c>
      <c r="D99">
        <v>879696484692.43994</v>
      </c>
      <c r="E99">
        <v>87.479152289957298</v>
      </c>
      <c r="G99" s="3">
        <v>37257</v>
      </c>
      <c r="H99" s="4">
        <v>87.580274599794194</v>
      </c>
      <c r="U99" s="3">
        <v>37316</v>
      </c>
      <c r="V99" s="4">
        <v>20.473315161029198</v>
      </c>
      <c r="W99" s="4">
        <f>VLOOKUP(U99,'conventional_refi_elig-old'!AA:AB,2,0)</f>
        <v>88.306155213092495</v>
      </c>
      <c r="X99">
        <f t="shared" si="1"/>
        <v>87.479152289957298</v>
      </c>
    </row>
    <row r="100" spans="1:24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87.426462502252804</v>
      </c>
      <c r="G100" s="3">
        <v>37288</v>
      </c>
      <c r="H100" s="4">
        <v>87.527309642186694</v>
      </c>
      <c r="U100" s="3">
        <v>37347</v>
      </c>
      <c r="V100" s="4">
        <v>20.161805833904399</v>
      </c>
      <c r="W100" s="4">
        <f>VLOOKUP(U100,'conventional_refi_elig-old'!AA:AB,2,0)</f>
        <v>88.165854670543595</v>
      </c>
      <c r="X100">
        <f t="shared" si="1"/>
        <v>87.426462502252804</v>
      </c>
    </row>
    <row r="101" spans="1:24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87.343507698249496</v>
      </c>
      <c r="G101" s="3">
        <v>37316</v>
      </c>
      <c r="H101" s="4">
        <v>87.479152289957298</v>
      </c>
      <c r="U101" s="3">
        <v>37377</v>
      </c>
      <c r="V101" s="4">
        <v>19.7723024133706</v>
      </c>
      <c r="W101" s="4">
        <f>VLOOKUP(U101,'conventional_refi_elig-old'!AA:AB,2,0)</f>
        <v>88.038684248769897</v>
      </c>
      <c r="X101">
        <f t="shared" si="1"/>
        <v>87.343507698249496</v>
      </c>
    </row>
    <row r="102" spans="1:24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87.272234567957796</v>
      </c>
      <c r="G102" s="3">
        <v>37347</v>
      </c>
      <c r="H102" s="4">
        <v>87.426462502252804</v>
      </c>
      <c r="U102" s="3">
        <v>37408</v>
      </c>
      <c r="V102" s="4">
        <v>19.422776608062499</v>
      </c>
      <c r="W102" s="4">
        <f>VLOOKUP(U102,'conventional_refi_elig-old'!AA:AB,2,0)</f>
        <v>87.917018505683401</v>
      </c>
      <c r="X102">
        <f t="shared" si="1"/>
        <v>87.272234567957796</v>
      </c>
    </row>
    <row r="103" spans="1:24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87.1986365929843</v>
      </c>
      <c r="G103" s="3">
        <v>37377</v>
      </c>
      <c r="H103" s="4">
        <v>87.343507698249496</v>
      </c>
      <c r="U103" s="3">
        <v>37438</v>
      </c>
      <c r="V103" s="4">
        <v>19.140262564632</v>
      </c>
      <c r="W103" s="4">
        <f>VLOOKUP(U103,'conventional_refi_elig-old'!AA:AB,2,0)</f>
        <v>87.796318491509297</v>
      </c>
      <c r="X103">
        <f t="shared" si="1"/>
        <v>87.1986365929843</v>
      </c>
    </row>
    <row r="104" spans="1:24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87.129750783057204</v>
      </c>
      <c r="G104" s="3">
        <v>37408</v>
      </c>
      <c r="H104" s="4">
        <v>87.272234567957796</v>
      </c>
      <c r="U104" s="3">
        <v>37469</v>
      </c>
      <c r="V104" s="4">
        <v>18.832170637243902</v>
      </c>
      <c r="W104" s="4">
        <f>VLOOKUP(U104,'conventional_refi_elig-old'!AA:AB,2,0)</f>
        <v>87.677245123366006</v>
      </c>
      <c r="X104">
        <f t="shared" si="1"/>
        <v>87.129750783057204</v>
      </c>
    </row>
    <row r="105" spans="1:24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87.042951449257998</v>
      </c>
      <c r="G105" s="3">
        <v>37438</v>
      </c>
      <c r="H105" s="4">
        <v>87.1986365929843</v>
      </c>
      <c r="U105" s="3">
        <v>37500</v>
      </c>
      <c r="V105" s="4">
        <v>18.503879820902601</v>
      </c>
      <c r="W105" s="4">
        <f>VLOOKUP(U105,'conventional_refi_elig-old'!AA:AB,2,0)</f>
        <v>87.582967421811901</v>
      </c>
      <c r="X105">
        <f t="shared" si="1"/>
        <v>87.042951449257998</v>
      </c>
    </row>
    <row r="106" spans="1:24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86.966693562002902</v>
      </c>
      <c r="G106" s="3">
        <v>37469</v>
      </c>
      <c r="H106" s="4">
        <v>87.129750783057204</v>
      </c>
      <c r="U106" s="3">
        <v>37530</v>
      </c>
      <c r="V106" s="4">
        <v>18.117689806171001</v>
      </c>
      <c r="W106" s="4">
        <f>VLOOKUP(U106,'conventional_refi_elig-old'!AA:AB,2,0)</f>
        <v>87.512331924893999</v>
      </c>
      <c r="X106">
        <f t="shared" si="1"/>
        <v>86.966693562002902</v>
      </c>
    </row>
    <row r="107" spans="1:24" x14ac:dyDescent="0.25">
      <c r="A107" t="s">
        <v>5</v>
      </c>
      <c r="B107" s="1">
        <v>37561</v>
      </c>
      <c r="C107">
        <v>236280</v>
      </c>
      <c r="D107">
        <v>950835871010.5</v>
      </c>
      <c r="E107">
        <v>86.898728500470895</v>
      </c>
      <c r="G107" s="3">
        <v>37500</v>
      </c>
      <c r="H107" s="4">
        <v>87.042951449257998</v>
      </c>
      <c r="U107" s="3">
        <v>37561</v>
      </c>
      <c r="V107" s="4">
        <v>17.510332276808001</v>
      </c>
      <c r="W107" s="4">
        <f>VLOOKUP(U107,'conventional_refi_elig-old'!AA:AB,2,0)</f>
        <v>87.485744139592001</v>
      </c>
      <c r="X107">
        <f t="shared" si="1"/>
        <v>86.898728500470895</v>
      </c>
    </row>
    <row r="108" spans="1:24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86.843043570663397</v>
      </c>
      <c r="G108" s="3">
        <v>37530</v>
      </c>
      <c r="H108" s="4">
        <v>86.966693562002902</v>
      </c>
      <c r="U108" s="3">
        <v>37591</v>
      </c>
      <c r="V108" s="4">
        <v>16.914919850637599</v>
      </c>
      <c r="W108" s="4">
        <f>VLOOKUP(U108,'conventional_refi_elig-old'!AA:AB,2,0)</f>
        <v>87.445232638571099</v>
      </c>
      <c r="X108">
        <f t="shared" si="1"/>
        <v>86.843043570663397</v>
      </c>
    </row>
    <row r="109" spans="1:24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86.519314272264495</v>
      </c>
      <c r="G109" s="3">
        <v>37561</v>
      </c>
      <c r="H109" s="4">
        <v>86.898728500470895</v>
      </c>
      <c r="U109" s="3">
        <v>37622</v>
      </c>
      <c r="V109" s="4">
        <v>16.315177485432901</v>
      </c>
      <c r="W109" s="4">
        <f>VLOOKUP(U109,'conventional_refi_elig-old'!AA:AB,2,0)</f>
        <v>87.370538177379203</v>
      </c>
      <c r="X109">
        <f t="shared" si="1"/>
        <v>86.519314272264495</v>
      </c>
    </row>
    <row r="110" spans="1:24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86.553567454331301</v>
      </c>
      <c r="G110" s="3">
        <v>37591</v>
      </c>
      <c r="H110" s="4">
        <v>86.843043570663397</v>
      </c>
      <c r="U110" s="3">
        <v>37653</v>
      </c>
      <c r="V110" s="4">
        <v>15.6896265498711</v>
      </c>
      <c r="W110" s="4">
        <f>VLOOKUP(U110,'conventional_refi_elig-old'!AA:AB,2,0)</f>
        <v>87.3587896847515</v>
      </c>
      <c r="X110">
        <f t="shared" si="1"/>
        <v>86.553567454331301</v>
      </c>
    </row>
    <row r="111" spans="1:24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86.570871949713904</v>
      </c>
      <c r="G111" s="3">
        <v>37622</v>
      </c>
      <c r="H111" s="4">
        <v>86.519314272264495</v>
      </c>
      <c r="U111" s="3">
        <v>37681</v>
      </c>
      <c r="V111" s="4">
        <v>15.153973556269399</v>
      </c>
      <c r="W111" s="4">
        <f>VLOOKUP(U111,'conventional_refi_elig-old'!AA:AB,2,0)</f>
        <v>87.366862250795293</v>
      </c>
      <c r="X111">
        <f t="shared" si="1"/>
        <v>86.570871949713904</v>
      </c>
    </row>
    <row r="112" spans="1:24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86.6033796931398</v>
      </c>
      <c r="G112" s="3">
        <v>37653</v>
      </c>
      <c r="H112" s="4">
        <v>86.553567454331301</v>
      </c>
      <c r="U112" s="3">
        <v>37712</v>
      </c>
      <c r="V112" s="4">
        <v>14.647521295140701</v>
      </c>
      <c r="W112" s="4">
        <f>VLOOKUP(U112,'conventional_refi_elig-old'!AA:AB,2,0)</f>
        <v>87.3665003726084</v>
      </c>
      <c r="X112">
        <f t="shared" si="1"/>
        <v>86.6033796931398</v>
      </c>
    </row>
    <row r="113" spans="1:24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86.278524311725207</v>
      </c>
      <c r="G113" s="3">
        <v>37681</v>
      </c>
      <c r="H113" s="4">
        <v>86.570871949713904</v>
      </c>
      <c r="U113" s="3">
        <v>37742</v>
      </c>
      <c r="V113" s="4">
        <v>14.1500870310718</v>
      </c>
      <c r="W113" s="4">
        <f>VLOOKUP(U113,'conventional_refi_elig-old'!AA:AB,2,0)</f>
        <v>87.440175577590793</v>
      </c>
      <c r="X113">
        <f t="shared" si="1"/>
        <v>86.278524311725207</v>
      </c>
    </row>
    <row r="114" spans="1:24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86.131547732522606</v>
      </c>
      <c r="G114" s="3">
        <v>37712</v>
      </c>
      <c r="H114" s="4">
        <v>86.6033796931398</v>
      </c>
      <c r="U114" s="3">
        <v>37773</v>
      </c>
      <c r="V114" s="4">
        <v>13.8993751674187</v>
      </c>
      <c r="W114" s="4">
        <f>VLOOKUP(U114,'conventional_refi_elig-old'!AA:AB,2,0)</f>
        <v>87.534653803241099</v>
      </c>
      <c r="X114">
        <f t="shared" si="1"/>
        <v>86.131547732522606</v>
      </c>
    </row>
    <row r="115" spans="1:24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86.253182013842505</v>
      </c>
      <c r="G115" s="3">
        <v>37742</v>
      </c>
      <c r="H115" s="4">
        <v>86.278524311725207</v>
      </c>
      <c r="U115" s="3">
        <v>37803</v>
      </c>
      <c r="V115" s="4">
        <v>14.392143484176801</v>
      </c>
      <c r="W115" s="4">
        <f>VLOOKUP(U115,'conventional_refi_elig-old'!AA:AB,2,0)</f>
        <v>87.5949123058287</v>
      </c>
      <c r="X115">
        <f t="shared" si="1"/>
        <v>86.253182013842505</v>
      </c>
    </row>
    <row r="116" spans="1:24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86.310341165058503</v>
      </c>
      <c r="G116" s="3">
        <v>37773</v>
      </c>
      <c r="H116" s="4">
        <v>86.131547732522606</v>
      </c>
      <c r="U116" s="3">
        <v>37834</v>
      </c>
      <c r="V116" s="4">
        <v>15.0511352239203</v>
      </c>
      <c r="W116" s="4">
        <f>VLOOKUP(U116,'conventional_refi_elig-old'!AA:AB,2,0)</f>
        <v>87.705258310248198</v>
      </c>
      <c r="X116">
        <f t="shared" si="1"/>
        <v>86.310341165058503</v>
      </c>
    </row>
    <row r="117" spans="1:24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86.358852907814097</v>
      </c>
      <c r="G117" s="3">
        <v>37803</v>
      </c>
      <c r="H117" s="4">
        <v>86.253182013842505</v>
      </c>
      <c r="U117" s="3">
        <v>37865</v>
      </c>
      <c r="V117" s="4">
        <v>15.4388178387363</v>
      </c>
      <c r="W117" s="4">
        <f>VLOOKUP(U117,'conventional_refi_elig-old'!AA:AB,2,0)</f>
        <v>87.755743416356694</v>
      </c>
      <c r="X117">
        <f t="shared" si="1"/>
        <v>86.358852907814097</v>
      </c>
    </row>
    <row r="118" spans="1:24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86.411646338958704</v>
      </c>
      <c r="G118" s="3">
        <v>37834</v>
      </c>
      <c r="H118" s="4">
        <v>86.310341165058503</v>
      </c>
      <c r="U118" s="3">
        <v>37895</v>
      </c>
      <c r="V118" s="4">
        <v>15.712538869975001</v>
      </c>
      <c r="W118" s="4">
        <f>VLOOKUP(U118,'conventional_refi_elig-old'!AA:AB,2,0)</f>
        <v>87.868978262737997</v>
      </c>
      <c r="X118">
        <f t="shared" si="1"/>
        <v>86.411646338958704</v>
      </c>
    </row>
    <row r="119" spans="1:24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86.427376919920704</v>
      </c>
      <c r="G119" s="3">
        <v>37865</v>
      </c>
      <c r="H119" s="4">
        <v>86.358852907814097</v>
      </c>
      <c r="U119" s="3">
        <v>37926</v>
      </c>
      <c r="V119" s="4">
        <v>15.7367836343841</v>
      </c>
      <c r="W119" s="4">
        <f>VLOOKUP(U119,'conventional_refi_elig-old'!AA:AB,2,0)</f>
        <v>87.942381246075001</v>
      </c>
      <c r="X119">
        <f t="shared" si="1"/>
        <v>86.427376919920704</v>
      </c>
    </row>
    <row r="120" spans="1:24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86.438797997750697</v>
      </c>
      <c r="G120" s="3">
        <v>37895</v>
      </c>
      <c r="H120" s="4">
        <v>86.411646338958704</v>
      </c>
      <c r="U120" s="3">
        <v>37956</v>
      </c>
      <c r="V120" s="4">
        <v>15.6078351372489</v>
      </c>
      <c r="W120" s="4">
        <f>VLOOKUP(U120,'conventional_refi_elig-old'!AA:AB,2,0)</f>
        <v>88.050881062194804</v>
      </c>
      <c r="X120">
        <f t="shared" si="1"/>
        <v>86.438797997750697</v>
      </c>
    </row>
    <row r="121" spans="1:24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86.021915928482002</v>
      </c>
      <c r="G121" s="3">
        <v>37926</v>
      </c>
      <c r="H121" s="4">
        <v>86.427376919920704</v>
      </c>
      <c r="U121" s="3">
        <v>37987</v>
      </c>
      <c r="V121" s="4">
        <v>15.632002137203299</v>
      </c>
      <c r="W121" s="4">
        <f>VLOOKUP(U121,'conventional_refi_elig-old'!AA:AB,2,0)</f>
        <v>88.084074147928803</v>
      </c>
      <c r="X121">
        <f t="shared" si="1"/>
        <v>86.021915928482002</v>
      </c>
    </row>
    <row r="122" spans="1:24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86.059511461558699</v>
      </c>
      <c r="G122" s="3">
        <v>37956</v>
      </c>
      <c r="H122" s="4">
        <v>86.438797997750697</v>
      </c>
      <c r="U122" s="3">
        <v>38018</v>
      </c>
      <c r="V122" s="4">
        <v>15.6991634367233</v>
      </c>
      <c r="W122" s="4">
        <f>VLOOKUP(U122,'conventional_refi_elig-old'!AA:AB,2,0)</f>
        <v>88.105767536891705</v>
      </c>
      <c r="X122">
        <f t="shared" si="1"/>
        <v>86.059511461558699</v>
      </c>
    </row>
    <row r="123" spans="1:24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86.172703246053203</v>
      </c>
      <c r="G123" s="3">
        <v>37987</v>
      </c>
      <c r="H123" s="4">
        <v>86.021915928482002</v>
      </c>
      <c r="U123" s="3">
        <v>38047</v>
      </c>
      <c r="V123" s="4">
        <v>15.7541313694003</v>
      </c>
      <c r="W123" s="4">
        <f>VLOOKUP(U123,'conventional_refi_elig-old'!AA:AB,2,0)</f>
        <v>88.134375617136001</v>
      </c>
      <c r="X123">
        <f t="shared" si="1"/>
        <v>86.172703246053203</v>
      </c>
    </row>
    <row r="124" spans="1:24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86.296508151989102</v>
      </c>
      <c r="G124" s="3">
        <v>38018</v>
      </c>
      <c r="H124" s="4">
        <v>86.059511461558699</v>
      </c>
      <c r="U124" s="3">
        <v>38078</v>
      </c>
      <c r="V124" s="4">
        <v>15.935376975898899</v>
      </c>
      <c r="W124" s="4">
        <f>VLOOKUP(U124,'conventional_refi_elig-old'!AA:AB,2,0)</f>
        <v>88.221138612025896</v>
      </c>
      <c r="X124">
        <f t="shared" si="1"/>
        <v>86.296508151989102</v>
      </c>
    </row>
    <row r="125" spans="1:24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86.387442258172499</v>
      </c>
      <c r="G125" s="3">
        <v>38047</v>
      </c>
      <c r="H125" s="4">
        <v>86.172703246053203</v>
      </c>
      <c r="U125" s="3">
        <v>38108</v>
      </c>
      <c r="V125" s="4">
        <v>16.152149923341899</v>
      </c>
      <c r="W125" s="4">
        <f>VLOOKUP(U125,'conventional_refi_elig-old'!AA:AB,2,0)</f>
        <v>88.2796976810329</v>
      </c>
      <c r="X125">
        <f t="shared" si="1"/>
        <v>86.387442258172499</v>
      </c>
    </row>
    <row r="126" spans="1:24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86.483700303748705</v>
      </c>
      <c r="G126" s="3">
        <v>38078</v>
      </c>
      <c r="H126" s="4">
        <v>86.296508151989102</v>
      </c>
      <c r="U126" s="3">
        <v>38139</v>
      </c>
      <c r="V126" s="4">
        <v>16.253329516238299</v>
      </c>
      <c r="W126" s="4">
        <f>VLOOKUP(U126,'conventional_refi_elig-old'!AA:AB,2,0)</f>
        <v>88.359195659260095</v>
      </c>
      <c r="X126">
        <f t="shared" si="1"/>
        <v>86.483700303748705</v>
      </c>
    </row>
    <row r="127" spans="1:24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86.609759468148894</v>
      </c>
      <c r="G127" s="3">
        <v>38108</v>
      </c>
      <c r="H127" s="4">
        <v>86.387442258172499</v>
      </c>
      <c r="U127" s="3">
        <v>38169</v>
      </c>
      <c r="V127" s="4">
        <v>16.407424120837401</v>
      </c>
      <c r="W127" s="4">
        <f>VLOOKUP(U127,'conventional_refi_elig-old'!AA:AB,2,0)</f>
        <v>88.386130968417604</v>
      </c>
      <c r="X127">
        <f t="shared" si="1"/>
        <v>86.609759468148894</v>
      </c>
    </row>
    <row r="128" spans="1:24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86.7372488696179</v>
      </c>
      <c r="G128" s="3">
        <v>38139</v>
      </c>
      <c r="H128" s="4">
        <v>86.483700303748705</v>
      </c>
      <c r="U128" s="3">
        <v>38200</v>
      </c>
      <c r="V128" s="4">
        <v>16.6026934019865</v>
      </c>
      <c r="W128" s="4">
        <f>VLOOKUP(U128,'conventional_refi_elig-old'!AA:AB,2,0)</f>
        <v>88.444880925534704</v>
      </c>
      <c r="X128">
        <f t="shared" si="1"/>
        <v>86.7372488696179</v>
      </c>
    </row>
    <row r="129" spans="1:24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86.833254500440106</v>
      </c>
      <c r="G129" s="3">
        <v>38169</v>
      </c>
      <c r="H129" s="4">
        <v>86.609759468148894</v>
      </c>
      <c r="U129" s="3">
        <v>38231</v>
      </c>
      <c r="V129" s="4">
        <v>16.734934455602001</v>
      </c>
      <c r="W129" s="4">
        <f>VLOOKUP(U129,'conventional_refi_elig-old'!AA:AB,2,0)</f>
        <v>88.531840576166104</v>
      </c>
      <c r="X129">
        <f t="shared" si="1"/>
        <v>86.833254500440106</v>
      </c>
    </row>
    <row r="130" spans="1:24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86.908806046348403</v>
      </c>
      <c r="G130" s="3">
        <v>38200</v>
      </c>
      <c r="H130" s="4">
        <v>86.7372488696179</v>
      </c>
      <c r="U130" s="3">
        <v>38261</v>
      </c>
      <c r="V130" s="4">
        <v>16.910177197623</v>
      </c>
      <c r="W130" s="4">
        <f>VLOOKUP(U130,'conventional_refi_elig-old'!AA:AB,2,0)</f>
        <v>88.591423485742794</v>
      </c>
      <c r="X130">
        <f t="shared" si="1"/>
        <v>86.908806046348403</v>
      </c>
    </row>
    <row r="131" spans="1:24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86.980749185444395</v>
      </c>
      <c r="G131" s="3">
        <v>38231</v>
      </c>
      <c r="H131" s="4">
        <v>86.833254500440106</v>
      </c>
      <c r="U131" s="3">
        <v>38292</v>
      </c>
      <c r="V131" s="4">
        <v>17.103542773184898</v>
      </c>
      <c r="W131" s="4">
        <f>VLOOKUP(U131,'conventional_refi_elig-old'!AA:AB,2,0)</f>
        <v>88.652693025769906</v>
      </c>
      <c r="X131">
        <f t="shared" ref="X131:X194" si="2">VLOOKUP(U131,G:H,2,0)</f>
        <v>86.980749185444395</v>
      </c>
    </row>
    <row r="132" spans="1:24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87.088881500310904</v>
      </c>
      <c r="G132" s="3">
        <v>38261</v>
      </c>
      <c r="H132" s="4">
        <v>86.908806046348403</v>
      </c>
      <c r="U132" s="3">
        <v>38322</v>
      </c>
      <c r="V132" s="4">
        <v>17.321215293521</v>
      </c>
      <c r="W132" s="4">
        <f>VLOOKUP(U132,'conventional_refi_elig-old'!AA:AB,2,0)</f>
        <v>88.723270104119905</v>
      </c>
      <c r="X132">
        <f t="shared" si="2"/>
        <v>87.088881500310904</v>
      </c>
    </row>
    <row r="133" spans="1:24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87.184716225823706</v>
      </c>
      <c r="G133" s="3">
        <v>38292</v>
      </c>
      <c r="H133" s="4">
        <v>86.980749185444395</v>
      </c>
      <c r="U133" s="3">
        <v>38353</v>
      </c>
      <c r="V133" s="4">
        <v>17.576631455242701</v>
      </c>
      <c r="W133" s="4">
        <f>VLOOKUP(U133,'conventional_refi_elig-old'!AA:AB,2,0)</f>
        <v>88.829845686075501</v>
      </c>
      <c r="X133">
        <f t="shared" si="2"/>
        <v>87.184716225823706</v>
      </c>
    </row>
    <row r="134" spans="1:24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87.283520642775102</v>
      </c>
      <c r="G134" s="3">
        <v>38322</v>
      </c>
      <c r="H134" s="4">
        <v>87.088881500310904</v>
      </c>
      <c r="U134" s="3">
        <v>38384</v>
      </c>
      <c r="V134" s="4">
        <v>17.690183783761601</v>
      </c>
      <c r="W134" s="4">
        <f>VLOOKUP(U134,'conventional_refi_elig-old'!AA:AB,2,0)</f>
        <v>88.875416801239993</v>
      </c>
      <c r="X134">
        <f t="shared" si="2"/>
        <v>87.283520642775102</v>
      </c>
    </row>
    <row r="135" spans="1:24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87.391416932476403</v>
      </c>
      <c r="G135" s="3">
        <v>38353</v>
      </c>
      <c r="H135" s="4">
        <v>87.184716225823706</v>
      </c>
      <c r="U135" s="3">
        <v>38412</v>
      </c>
      <c r="V135" s="4">
        <v>17.9380464244949</v>
      </c>
      <c r="W135" s="4">
        <f>VLOOKUP(U135,'conventional_refi_elig-old'!AA:AB,2,0)</f>
        <v>88.930022726333107</v>
      </c>
      <c r="X135">
        <f t="shared" si="2"/>
        <v>87.391416932476403</v>
      </c>
    </row>
    <row r="136" spans="1:24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86.7584490050059</v>
      </c>
      <c r="G136" s="3">
        <v>38384</v>
      </c>
      <c r="H136" s="4">
        <v>87.283520642775102</v>
      </c>
      <c r="U136" s="3">
        <v>38443</v>
      </c>
      <c r="V136" s="4">
        <v>15.217267334447699</v>
      </c>
      <c r="W136" s="4">
        <f>VLOOKUP(U136,'conventional_refi_elig-old'!AA:AB,2,0)</f>
        <v>89.072123444957199</v>
      </c>
      <c r="X136">
        <f t="shared" si="2"/>
        <v>86.7584490050059</v>
      </c>
    </row>
    <row r="137" spans="1:24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86.839366521468506</v>
      </c>
      <c r="G137" s="3">
        <v>38412</v>
      </c>
      <c r="H137" s="4">
        <v>87.391416932476403</v>
      </c>
      <c r="U137" s="3">
        <v>38473</v>
      </c>
      <c r="V137" s="4">
        <v>15.3209729937092</v>
      </c>
      <c r="W137" s="4">
        <f>VLOOKUP(U137,'conventional_refi_elig-old'!AA:AB,2,0)</f>
        <v>89.125361401376196</v>
      </c>
      <c r="X137">
        <f t="shared" si="2"/>
        <v>86.839366521468506</v>
      </c>
    </row>
    <row r="138" spans="1:24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86.8801292821895</v>
      </c>
      <c r="G138" s="3">
        <v>38443</v>
      </c>
      <c r="H138" s="4">
        <v>86.7584490050059</v>
      </c>
      <c r="U138" s="3">
        <v>38504</v>
      </c>
      <c r="V138" s="4">
        <v>15.407947488</v>
      </c>
      <c r="W138" s="4">
        <f>VLOOKUP(U138,'conventional_refi_elig-old'!AA:AB,2,0)</f>
        <v>89.198205762551396</v>
      </c>
      <c r="X138">
        <f t="shared" si="2"/>
        <v>86.8801292821895</v>
      </c>
    </row>
    <row r="139" spans="1:24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87.738287108303496</v>
      </c>
      <c r="G139" s="3">
        <v>38473</v>
      </c>
      <c r="H139" s="4">
        <v>86.839366521468506</v>
      </c>
      <c r="U139" s="3">
        <v>38534</v>
      </c>
      <c r="V139" s="4">
        <v>18.4636805417645</v>
      </c>
      <c r="W139" s="4">
        <f>VLOOKUP(U139,'conventional_refi_elig-old'!AA:AB,2,0)</f>
        <v>89.254039252913302</v>
      </c>
      <c r="X139">
        <f t="shared" si="2"/>
        <v>87.738287108303496</v>
      </c>
    </row>
    <row r="140" spans="1:24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87.827629813755294</v>
      </c>
      <c r="G140" s="3">
        <v>38504</v>
      </c>
      <c r="H140" s="4">
        <v>86.8801292821895</v>
      </c>
      <c r="U140" s="3">
        <v>38565</v>
      </c>
      <c r="V140" s="4">
        <v>18.656002221477902</v>
      </c>
      <c r="W140" s="4">
        <f>VLOOKUP(U140,'conventional_refi_elig-old'!AA:AB,2,0)</f>
        <v>89.285574490843004</v>
      </c>
      <c r="X140">
        <f t="shared" si="2"/>
        <v>87.827629813755294</v>
      </c>
    </row>
    <row r="141" spans="1:24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87.940516666839997</v>
      </c>
      <c r="G141" s="3">
        <v>38534</v>
      </c>
      <c r="H141" s="4">
        <v>87.738287108303496</v>
      </c>
      <c r="U141" s="3">
        <v>38596</v>
      </c>
      <c r="V141" s="4">
        <v>18.955787144097901</v>
      </c>
      <c r="W141" s="4">
        <f>VLOOKUP(U141,'conventional_refi_elig-old'!AA:AB,2,0)</f>
        <v>89.348688696911395</v>
      </c>
      <c r="X141">
        <f t="shared" si="2"/>
        <v>87.940516666839997</v>
      </c>
    </row>
    <row r="142" spans="1:24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88.014724974424297</v>
      </c>
      <c r="G142" s="3">
        <v>38565</v>
      </c>
      <c r="H142" s="4">
        <v>87.827629813755294</v>
      </c>
      <c r="U142" s="3">
        <v>38626</v>
      </c>
      <c r="V142" s="4">
        <v>19.147463437467501</v>
      </c>
      <c r="W142" s="4">
        <f>VLOOKUP(U142,'conventional_refi_elig-old'!AA:AB,2,0)</f>
        <v>89.338391137991394</v>
      </c>
      <c r="X142">
        <f t="shared" si="2"/>
        <v>88.014724974424297</v>
      </c>
    </row>
    <row r="143" spans="1:24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88.094734517886593</v>
      </c>
      <c r="G143" s="3">
        <v>38596</v>
      </c>
      <c r="H143" s="4">
        <v>87.940516666839997</v>
      </c>
      <c r="U143" s="3">
        <v>38657</v>
      </c>
      <c r="V143" s="4">
        <v>19.351711971212598</v>
      </c>
      <c r="W143" s="4">
        <f>VLOOKUP(U143,'conventional_refi_elig-old'!AA:AB,2,0)</f>
        <v>89.370147218990098</v>
      </c>
      <c r="X143">
        <f t="shared" si="2"/>
        <v>88.094734517886593</v>
      </c>
    </row>
    <row r="144" spans="1:24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88.156644994456599</v>
      </c>
      <c r="G144" s="3">
        <v>38626</v>
      </c>
      <c r="H144" s="4">
        <v>88.014724974424297</v>
      </c>
      <c r="U144" s="3">
        <v>38687</v>
      </c>
      <c r="V144" s="4">
        <v>19.388590947095</v>
      </c>
      <c r="W144" s="4">
        <f>VLOOKUP(U144,'conventional_refi_elig-old'!AA:AB,2,0)</f>
        <v>89.395771016600804</v>
      </c>
      <c r="X144">
        <f t="shared" si="2"/>
        <v>88.156644994456599</v>
      </c>
    </row>
    <row r="145" spans="1:24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88.234910409272899</v>
      </c>
      <c r="G145" s="3">
        <v>38657</v>
      </c>
      <c r="H145" s="4">
        <v>88.094734517886593</v>
      </c>
      <c r="U145" s="3">
        <v>38718</v>
      </c>
      <c r="V145" s="4">
        <v>19.621624068600301</v>
      </c>
      <c r="W145" s="4">
        <f>VLOOKUP(U145,'conventional_refi_elig-old'!AA:AB,2,0)</f>
        <v>89.406108931294</v>
      </c>
      <c r="X145">
        <f t="shared" si="2"/>
        <v>88.234910409272899</v>
      </c>
    </row>
    <row r="146" spans="1:24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88.277112719028594</v>
      </c>
      <c r="G146" s="3">
        <v>38687</v>
      </c>
      <c r="H146" s="4">
        <v>88.156644994456599</v>
      </c>
      <c r="U146" s="3">
        <v>38749</v>
      </c>
      <c r="V146" s="4">
        <v>19.7527965231486</v>
      </c>
      <c r="W146" s="4">
        <f>VLOOKUP(U146,'conventional_refi_elig-old'!AA:AB,2,0)</f>
        <v>89.475207292258503</v>
      </c>
      <c r="X146">
        <f t="shared" si="2"/>
        <v>88.277112719028594</v>
      </c>
    </row>
    <row r="147" spans="1:24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88.354041088570398</v>
      </c>
      <c r="G147" s="3">
        <v>38718</v>
      </c>
      <c r="H147" s="4">
        <v>88.234910409272899</v>
      </c>
      <c r="U147" s="3">
        <v>38777</v>
      </c>
      <c r="V147" s="4">
        <v>19.9893848782813</v>
      </c>
      <c r="W147" s="4">
        <f>VLOOKUP(U147,'conventional_refi_elig-old'!AA:AB,2,0)</f>
        <v>89.538278655785604</v>
      </c>
      <c r="X147">
        <f t="shared" si="2"/>
        <v>88.354041088570398</v>
      </c>
    </row>
    <row r="148" spans="1:24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88.430319515153201</v>
      </c>
      <c r="G148" s="3">
        <v>38749</v>
      </c>
      <c r="H148" s="4">
        <v>88.277112719028594</v>
      </c>
      <c r="U148" s="3">
        <v>38808</v>
      </c>
      <c r="V148" s="4">
        <v>20.134828364334201</v>
      </c>
      <c r="W148" s="4">
        <f>VLOOKUP(U148,'conventional_refi_elig-old'!AA:AB,2,0)</f>
        <v>89.622606212205895</v>
      </c>
      <c r="X148">
        <f t="shared" si="2"/>
        <v>88.430319515153201</v>
      </c>
    </row>
    <row r="149" spans="1:24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88.525516093720896</v>
      </c>
      <c r="G149" s="3">
        <v>38777</v>
      </c>
      <c r="H149" s="4">
        <v>88.354041088570398</v>
      </c>
      <c r="U149" s="3">
        <v>38838</v>
      </c>
      <c r="V149" s="4">
        <v>20.2937457805462</v>
      </c>
      <c r="W149" s="4">
        <f>VLOOKUP(U149,'conventional_refi_elig-old'!AA:AB,2,0)</f>
        <v>89.707410139325304</v>
      </c>
      <c r="X149">
        <f t="shared" si="2"/>
        <v>88.525516093720896</v>
      </c>
    </row>
    <row r="150" spans="1:24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88.588345200561804</v>
      </c>
      <c r="G150" s="3">
        <v>38808</v>
      </c>
      <c r="H150" s="4">
        <v>88.430319515153201</v>
      </c>
      <c r="U150" s="3">
        <v>38869</v>
      </c>
      <c r="V150" s="4">
        <v>20.313213395218</v>
      </c>
      <c r="W150" s="4">
        <f>VLOOKUP(U150,'conventional_refi_elig-old'!AA:AB,2,0)</f>
        <v>89.775199167466297</v>
      </c>
      <c r="X150">
        <f t="shared" si="2"/>
        <v>88.588345200561804</v>
      </c>
    </row>
    <row r="151" spans="1:24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88.572302388836604</v>
      </c>
      <c r="G151" s="3">
        <v>38838</v>
      </c>
      <c r="H151" s="4">
        <v>88.525516093720896</v>
      </c>
      <c r="U151" s="3">
        <v>38899</v>
      </c>
      <c r="V151" s="4">
        <v>20.275300139940899</v>
      </c>
      <c r="W151" s="4">
        <f>VLOOKUP(U151,'conventional_refi_elig-old'!AA:AB,2,0)</f>
        <v>89.784352669818205</v>
      </c>
      <c r="X151">
        <f t="shared" si="2"/>
        <v>88.572302388836604</v>
      </c>
    </row>
    <row r="152" spans="1:24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88.554762170737305</v>
      </c>
      <c r="G152" s="3">
        <v>38869</v>
      </c>
      <c r="H152" s="4">
        <v>88.588345200561804</v>
      </c>
      <c r="U152" s="3">
        <v>38930</v>
      </c>
      <c r="V152" s="4">
        <v>20.271480961853499</v>
      </c>
      <c r="W152" s="4">
        <f>VLOOKUP(U152,'conventional_refi_elig-old'!AA:AB,2,0)</f>
        <v>89.808847866585197</v>
      </c>
      <c r="X152">
        <f t="shared" si="2"/>
        <v>88.554762170737305</v>
      </c>
    </row>
    <row r="153" spans="1:24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88.506151504193099</v>
      </c>
      <c r="G153" s="3">
        <v>38899</v>
      </c>
      <c r="H153" s="4">
        <v>88.572302388836604</v>
      </c>
      <c r="U153" s="3">
        <v>38961</v>
      </c>
      <c r="V153" s="4">
        <v>20.2195203451585</v>
      </c>
      <c r="W153" s="4">
        <f>VLOOKUP(U153,'conventional_refi_elig-old'!AA:AB,2,0)</f>
        <v>88.564265133633199</v>
      </c>
      <c r="X153">
        <f t="shared" si="2"/>
        <v>88.506151504193099</v>
      </c>
    </row>
    <row r="154" spans="1:24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88.434482414608198</v>
      </c>
      <c r="G154" s="3">
        <v>38930</v>
      </c>
      <c r="H154" s="4">
        <v>88.554762170737305</v>
      </c>
      <c r="U154" s="3">
        <v>38991</v>
      </c>
      <c r="V154" s="4">
        <v>20.190238445827401</v>
      </c>
      <c r="W154" s="4">
        <f>VLOOKUP(U154,'conventional_refi_elig-old'!AA:AB,2,0)</f>
        <v>88.718118200961499</v>
      </c>
      <c r="X154">
        <f t="shared" si="2"/>
        <v>88.434482414608198</v>
      </c>
    </row>
    <row r="155" spans="1:24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88.368472255347001</v>
      </c>
      <c r="G155" s="3">
        <v>38961</v>
      </c>
      <c r="H155" s="4">
        <v>88.506151504193099</v>
      </c>
      <c r="U155" s="3">
        <v>39022</v>
      </c>
      <c r="V155" s="4">
        <v>20.097366027350098</v>
      </c>
      <c r="W155" s="4">
        <f>VLOOKUP(U155,'conventional_refi_elig-old'!AA:AB,2,0)</f>
        <v>89.030330750412503</v>
      </c>
      <c r="X155">
        <f t="shared" si="2"/>
        <v>88.368472255347001</v>
      </c>
    </row>
    <row r="156" spans="1:24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88.2634230868332</v>
      </c>
      <c r="G156" s="3">
        <v>38991</v>
      </c>
      <c r="H156" s="4">
        <v>88.434482414608198</v>
      </c>
      <c r="U156" s="3">
        <v>39052</v>
      </c>
      <c r="V156" s="4">
        <v>20.054032617926101</v>
      </c>
      <c r="W156" s="4">
        <f>VLOOKUP(U156,'conventional_refi_elig-old'!AA:AB,2,0)</f>
        <v>89.182762274168795</v>
      </c>
      <c r="X156">
        <f t="shared" si="2"/>
        <v>88.2634230868332</v>
      </c>
    </row>
    <row r="157" spans="1:24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88.221430776331601</v>
      </c>
      <c r="G157" s="3">
        <v>39022</v>
      </c>
      <c r="H157" s="4">
        <v>88.368472255347001</v>
      </c>
      <c r="U157" s="3">
        <v>39083</v>
      </c>
      <c r="V157" s="4">
        <v>20.021928971829301</v>
      </c>
      <c r="W157" s="4">
        <f>VLOOKUP(U157,'conventional_refi_elig-old'!AA:AB,2,0)</f>
        <v>88.634563936587895</v>
      </c>
      <c r="X157">
        <f t="shared" si="2"/>
        <v>88.221430776331601</v>
      </c>
    </row>
    <row r="158" spans="1:24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88.1992860890727</v>
      </c>
      <c r="G158" s="3">
        <v>39052</v>
      </c>
      <c r="H158" s="4">
        <v>88.2634230868332</v>
      </c>
      <c r="U158" s="3">
        <v>39114</v>
      </c>
      <c r="V158" s="4">
        <v>19.981894696635301</v>
      </c>
      <c r="W158" s="4">
        <f>VLOOKUP(U158,'conventional_refi_elig-old'!AA:AB,2,0)</f>
        <v>88.964771030614202</v>
      </c>
      <c r="X158">
        <f t="shared" si="2"/>
        <v>88.1992860890727</v>
      </c>
    </row>
    <row r="159" spans="1:24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88.167815931151196</v>
      </c>
      <c r="G159" s="3">
        <v>39083</v>
      </c>
      <c r="H159" s="4">
        <v>88.221430776331601</v>
      </c>
      <c r="U159" s="3">
        <v>39142</v>
      </c>
      <c r="V159" s="4">
        <v>20.033413413481199</v>
      </c>
      <c r="W159" s="4">
        <f>VLOOKUP(U159,'conventional_refi_elig-old'!AA:AB,2,0)</f>
        <v>88.573890165799995</v>
      </c>
      <c r="X159">
        <f t="shared" si="2"/>
        <v>88.167815931151196</v>
      </c>
    </row>
    <row r="160" spans="1:24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88.220458541025096</v>
      </c>
      <c r="G160" s="3">
        <v>39114</v>
      </c>
      <c r="H160" s="4">
        <v>88.1992860890727</v>
      </c>
      <c r="U160" s="3">
        <v>39173</v>
      </c>
      <c r="V160" s="4">
        <v>20.0065591444652</v>
      </c>
      <c r="W160" s="4">
        <f>VLOOKUP(U160,'conventional_refi_elig-old'!AA:AB,2,0)</f>
        <v>88.946012579693601</v>
      </c>
      <c r="X160">
        <f t="shared" si="2"/>
        <v>88.220458541025096</v>
      </c>
    </row>
    <row r="161" spans="1:24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88.234309531475901</v>
      </c>
      <c r="G161" s="3">
        <v>39142</v>
      </c>
      <c r="H161" s="4">
        <v>88.167815931151196</v>
      </c>
      <c r="U161" s="3">
        <v>39203</v>
      </c>
      <c r="V161" s="4">
        <v>19.994139302062099</v>
      </c>
      <c r="W161" s="4">
        <f>VLOOKUP(U161,'conventional_refi_elig-old'!AA:AB,2,0)</f>
        <v>89.210969925319404</v>
      </c>
      <c r="X161">
        <f t="shared" si="2"/>
        <v>88.234309531475901</v>
      </c>
    </row>
    <row r="162" spans="1:24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88.218484513572093</v>
      </c>
      <c r="G162" s="3">
        <v>39173</v>
      </c>
      <c r="H162" s="4">
        <v>88.220458541025096</v>
      </c>
      <c r="U162" s="3">
        <v>39234</v>
      </c>
      <c r="V162" s="4">
        <v>19.991168318051699</v>
      </c>
      <c r="W162" s="4">
        <f>VLOOKUP(U162,'conventional_refi_elig-old'!AA:AB,2,0)</f>
        <v>89.130691751235801</v>
      </c>
      <c r="X162">
        <f t="shared" si="2"/>
        <v>88.218484513572093</v>
      </c>
    </row>
    <row r="163" spans="1:24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87.852125047685007</v>
      </c>
      <c r="G163" s="3">
        <v>39203</v>
      </c>
      <c r="H163" s="4">
        <v>88.234309531475901</v>
      </c>
      <c r="U163" s="3">
        <v>39264</v>
      </c>
      <c r="V163" s="4">
        <v>19.8040452527868</v>
      </c>
      <c r="W163" s="4">
        <f>VLOOKUP(U163,'conventional_refi_elig-old'!AA:AB,2,0)</f>
        <v>89.148915748873307</v>
      </c>
      <c r="X163">
        <f t="shared" si="2"/>
        <v>87.852125047685007</v>
      </c>
    </row>
    <row r="164" spans="1:24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87.476714962681896</v>
      </c>
      <c r="G164" s="3">
        <v>39234</v>
      </c>
      <c r="H164" s="4">
        <v>88.218484513572093</v>
      </c>
      <c r="U164" s="3">
        <v>39295</v>
      </c>
      <c r="V164" s="4">
        <v>19.8230717211365</v>
      </c>
      <c r="W164" s="4">
        <f>VLOOKUP(U164,'conventional_refi_elig-old'!AA:AB,2,0)</f>
        <v>89.2053193621758</v>
      </c>
      <c r="X164">
        <f t="shared" si="2"/>
        <v>87.476714962681896</v>
      </c>
    </row>
    <row r="165" spans="1:24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87.132095603106293</v>
      </c>
      <c r="G165" s="3">
        <v>39264</v>
      </c>
      <c r="H165" s="4">
        <v>87.852125047685007</v>
      </c>
      <c r="U165" s="3">
        <v>39326</v>
      </c>
      <c r="V165" s="4">
        <v>19.757166953734401</v>
      </c>
      <c r="W165" s="4">
        <f>VLOOKUP(U165,'conventional_refi_elig-old'!AA:AB,2,0)</f>
        <v>88.788227667979001</v>
      </c>
      <c r="X165">
        <f t="shared" si="2"/>
        <v>87.132095603106293</v>
      </c>
    </row>
    <row r="166" spans="1:24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86.501419825766803</v>
      </c>
      <c r="G166" s="3">
        <v>39295</v>
      </c>
      <c r="H166" s="4">
        <v>87.476714962681896</v>
      </c>
      <c r="U166" s="3">
        <v>39356</v>
      </c>
      <c r="V166" s="4">
        <v>19.470007229199901</v>
      </c>
      <c r="W166" s="4">
        <f>VLOOKUP(U166,'conventional_refi_elig-old'!AA:AB,2,0)</f>
        <v>88.179894004947499</v>
      </c>
      <c r="X166">
        <f t="shared" si="2"/>
        <v>86.501419825766803</v>
      </c>
    </row>
    <row r="167" spans="1:24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85.824827190076306</v>
      </c>
      <c r="G167" s="3">
        <v>39326</v>
      </c>
      <c r="H167" s="4">
        <v>87.132095603106293</v>
      </c>
      <c r="U167" s="3">
        <v>39387</v>
      </c>
      <c r="V167" s="4">
        <v>19.190160090800202</v>
      </c>
      <c r="W167" s="4">
        <f>VLOOKUP(U167,'conventional_refi_elig-old'!AA:AB,2,0)</f>
        <v>88.304705206090802</v>
      </c>
      <c r="X167">
        <f t="shared" si="2"/>
        <v>85.824827190076306</v>
      </c>
    </row>
    <row r="168" spans="1:24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85.079752872599599</v>
      </c>
      <c r="G168" s="3">
        <v>39356</v>
      </c>
      <c r="H168" s="4">
        <v>86.501419825766803</v>
      </c>
      <c r="U168" s="3">
        <v>39417</v>
      </c>
      <c r="V168" s="4">
        <v>18.848461028118201</v>
      </c>
      <c r="W168" s="4">
        <f>VLOOKUP(U168,'conventional_refi_elig-old'!AA:AB,2,0)</f>
        <v>87.372890547298596</v>
      </c>
      <c r="X168">
        <f t="shared" si="2"/>
        <v>85.079752872599599</v>
      </c>
    </row>
    <row r="169" spans="1:24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84.301051683406698</v>
      </c>
      <c r="G169" s="3">
        <v>39387</v>
      </c>
      <c r="H169" s="4">
        <v>85.824827190076306</v>
      </c>
      <c r="U169" s="3">
        <v>39448</v>
      </c>
      <c r="V169" s="4">
        <v>18.559699687475302</v>
      </c>
      <c r="W169" s="4">
        <f>VLOOKUP(U169,'conventional_refi_elig-old'!AA:AB,2,0)</f>
        <v>86.832632177839699</v>
      </c>
      <c r="X169">
        <f t="shared" si="2"/>
        <v>84.301051683406698</v>
      </c>
    </row>
    <row r="170" spans="1:24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83.465455893873695</v>
      </c>
      <c r="G170" s="3">
        <v>39417</v>
      </c>
      <c r="H170" s="4">
        <v>85.079752872599599</v>
      </c>
      <c r="U170" s="3">
        <v>39479</v>
      </c>
      <c r="V170" s="4">
        <v>18.2620717884874</v>
      </c>
      <c r="W170" s="4">
        <f>VLOOKUP(U170,'conventional_refi_elig-old'!AA:AB,2,0)</f>
        <v>85.933940565323198</v>
      </c>
      <c r="X170">
        <f t="shared" si="2"/>
        <v>83.465455893873695</v>
      </c>
    </row>
    <row r="171" spans="1:24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82.678324592241594</v>
      </c>
      <c r="G171" s="3">
        <v>39448</v>
      </c>
      <c r="H171" s="4">
        <v>84.301051683406698</v>
      </c>
      <c r="U171" s="3">
        <v>39508</v>
      </c>
      <c r="V171" s="4">
        <v>18.0338363373913</v>
      </c>
      <c r="W171" s="4">
        <f>VLOOKUP(U171,'conventional_refi_elig-old'!AA:AB,2,0)</f>
        <v>84.496594313225401</v>
      </c>
      <c r="X171">
        <f t="shared" si="2"/>
        <v>82.678324592241594</v>
      </c>
    </row>
    <row r="172" spans="1:24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82.169943397364506</v>
      </c>
      <c r="G172" s="3">
        <v>39479</v>
      </c>
      <c r="H172" s="4">
        <v>83.465455893873695</v>
      </c>
      <c r="U172" s="3">
        <v>39539</v>
      </c>
      <c r="V172" s="4">
        <v>17.9733906693798</v>
      </c>
      <c r="W172" s="4">
        <f>VLOOKUP(U172,'conventional_refi_elig-old'!AA:AB,2,0)</f>
        <v>83.974665526216796</v>
      </c>
      <c r="X172">
        <f t="shared" si="2"/>
        <v>82.169943397364506</v>
      </c>
    </row>
    <row r="173" spans="1:24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81.672404137590902</v>
      </c>
      <c r="G173" s="3">
        <v>39508</v>
      </c>
      <c r="H173" s="4">
        <v>82.678324592241594</v>
      </c>
      <c r="U173" s="3">
        <v>39569</v>
      </c>
      <c r="V173" s="4">
        <v>17.8877952256803</v>
      </c>
      <c r="W173" s="4">
        <f>VLOOKUP(U173,'conventional_refi_elig-old'!AA:AB,2,0)</f>
        <v>83.610002496999201</v>
      </c>
      <c r="X173">
        <f t="shared" si="2"/>
        <v>81.672404137590902</v>
      </c>
    </row>
    <row r="174" spans="1:24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82.169943397364506</v>
      </c>
      <c r="U174" s="3">
        <v>39600</v>
      </c>
      <c r="V174" s="4">
        <v>18.050740292528602</v>
      </c>
      <c r="W174" s="4">
        <f>VLOOKUP(U174,'conventional_refi_elig-old'!AA:AB,2,0)</f>
        <v>83.097793218180598</v>
      </c>
      <c r="X174">
        <f t="shared" si="2"/>
        <v>81.217214564690394</v>
      </c>
    </row>
    <row r="175" spans="1:24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81.217214564690394</v>
      </c>
      <c r="G175" s="3">
        <v>39569</v>
      </c>
      <c r="H175" s="4">
        <v>81.672404137590902</v>
      </c>
      <c r="U175" s="3">
        <v>39630</v>
      </c>
      <c r="V175" s="4">
        <v>18.158329864500999</v>
      </c>
      <c r="W175" s="4">
        <f>VLOOKUP(U175,'conventional_refi_elig-old'!AA:AB,2,0)</f>
        <v>82.942590170169595</v>
      </c>
      <c r="X175">
        <f t="shared" si="2"/>
        <v>80.759698186908494</v>
      </c>
    </row>
    <row r="176" spans="1:24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80.759698186908494</v>
      </c>
      <c r="G176" s="3">
        <v>39600</v>
      </c>
      <c r="H176" s="4">
        <v>81.217214564690394</v>
      </c>
      <c r="U176" s="3">
        <v>39661</v>
      </c>
      <c r="V176" s="4">
        <v>18.175177167928599</v>
      </c>
      <c r="W176" s="4">
        <f>VLOOKUP(U176,'conventional_refi_elig-old'!AA:AB,2,0)</f>
        <v>83.144668466178601</v>
      </c>
      <c r="X176">
        <f t="shared" si="2"/>
        <v>80.177044372655303</v>
      </c>
    </row>
    <row r="177" spans="1:24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80.759698186908494</v>
      </c>
      <c r="U177" s="3">
        <v>39692</v>
      </c>
      <c r="V177" s="4">
        <v>18.1116989790692</v>
      </c>
      <c r="W177" s="4">
        <f>VLOOKUP(U177,'conventional_refi_elig-old'!AA:AB,2,0)</f>
        <v>82.566955120590407</v>
      </c>
      <c r="X177">
        <f t="shared" si="2"/>
        <v>79.537763129339197</v>
      </c>
    </row>
    <row r="178" spans="1:24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80.177044372655303</v>
      </c>
      <c r="G178" s="3">
        <v>39661</v>
      </c>
      <c r="H178" s="4">
        <v>80.177044372655303</v>
      </c>
      <c r="U178" s="3">
        <v>39722</v>
      </c>
      <c r="V178" s="4">
        <v>17.947216184410099</v>
      </c>
      <c r="W178" s="4">
        <f>VLOOKUP(U178,'conventional_refi_elig-old'!AA:AB,2,0)</f>
        <v>81.530228230536295</v>
      </c>
      <c r="X178">
        <f t="shared" si="2"/>
        <v>78.546046153816405</v>
      </c>
    </row>
    <row r="179" spans="1:24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79.537763129339197</v>
      </c>
      <c r="U179" s="3">
        <v>39753</v>
      </c>
      <c r="V179" s="4">
        <v>17.7739165148956</v>
      </c>
      <c r="W179" s="4">
        <f>VLOOKUP(U179,'conventional_refi_elig-old'!AA:AB,2,0)</f>
        <v>80.856974699732703</v>
      </c>
      <c r="X179">
        <f t="shared" si="2"/>
        <v>77.359723674513305</v>
      </c>
    </row>
    <row r="180" spans="1:24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79.537763129339197</v>
      </c>
      <c r="G180" s="3">
        <v>39722</v>
      </c>
      <c r="H180" s="4">
        <v>78.546046153816405</v>
      </c>
      <c r="U180" s="3">
        <v>39783</v>
      </c>
      <c r="V180" s="4">
        <v>17.6772094379834</v>
      </c>
      <c r="W180" s="4">
        <f>VLOOKUP(U180,'conventional_refi_elig-old'!AA:AB,2,0)</f>
        <v>79.525922663337795</v>
      </c>
      <c r="X180">
        <f t="shared" si="2"/>
        <v>76.066917884915995</v>
      </c>
    </row>
    <row r="181" spans="1:24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77.359723674513305</v>
      </c>
      <c r="U181" s="3">
        <v>39814</v>
      </c>
      <c r="V181" s="4">
        <v>17.876036115989699</v>
      </c>
      <c r="W181" s="4">
        <f>VLOOKUP(U181,'conventional_refi_elig-old'!AA:AB,2,0)</f>
        <v>79.398809719351206</v>
      </c>
      <c r="X181">
        <f t="shared" si="2"/>
        <v>75.841148106686504</v>
      </c>
    </row>
    <row r="182" spans="1:24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76.066917884915995</v>
      </c>
      <c r="U182" s="3">
        <v>39845</v>
      </c>
      <c r="V182" s="4">
        <v>17.970776019752901</v>
      </c>
      <c r="W182" s="4">
        <f>VLOOKUP(U182,'conventional_refi_elig-old'!AA:AB,2,0)</f>
        <v>79.286047607884299</v>
      </c>
      <c r="X182">
        <f t="shared" si="2"/>
        <v>75.443482489508199</v>
      </c>
    </row>
    <row r="183" spans="1:24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78.546046153816405</v>
      </c>
      <c r="G183" s="3">
        <v>39814</v>
      </c>
      <c r="H183" s="4">
        <v>75.841148106686504</v>
      </c>
      <c r="U183" s="3">
        <v>39873</v>
      </c>
      <c r="V183" s="4">
        <v>18.156749921141699</v>
      </c>
      <c r="W183" s="4">
        <f>VLOOKUP(U183,'conventional_refi_elig-old'!AA:AB,2,0)</f>
        <v>78.1909227294354</v>
      </c>
      <c r="X183">
        <f t="shared" si="2"/>
        <v>75.031617221025002</v>
      </c>
    </row>
    <row r="184" spans="1:24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75.443482489508199</v>
      </c>
      <c r="U184" s="3">
        <v>39904</v>
      </c>
      <c r="V184" s="4">
        <v>18.7978712660653</v>
      </c>
      <c r="W184" s="4">
        <f>VLOOKUP(U184,'conventional_refi_elig-old'!AA:AB,2,0)</f>
        <v>77.135811256494094</v>
      </c>
      <c r="X184">
        <f t="shared" si="2"/>
        <v>75.642553516881705</v>
      </c>
    </row>
    <row r="185" spans="1:24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77.359723674513305</v>
      </c>
      <c r="G185" s="3">
        <v>39873</v>
      </c>
      <c r="H185" s="4">
        <v>75.031617221025002</v>
      </c>
      <c r="U185" s="3">
        <v>39934</v>
      </c>
      <c r="V185" s="4">
        <v>19.331783614157398</v>
      </c>
      <c r="W185" s="4">
        <f>VLOOKUP(U185,'conventional_refi_elig-old'!AA:AB,2,0)</f>
        <v>81.529181186328401</v>
      </c>
      <c r="X185">
        <f t="shared" si="2"/>
        <v>75.9491452348867</v>
      </c>
    </row>
    <row r="186" spans="1:24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75.642553516881705</v>
      </c>
      <c r="U186" s="3">
        <v>39965</v>
      </c>
      <c r="V186" s="4">
        <v>19.559587332612601</v>
      </c>
      <c r="W186" s="4">
        <f>VLOOKUP(U186,'conventional_refi_elig-old'!AA:AB,2,0)</f>
        <v>81.829110816029598</v>
      </c>
      <c r="X186">
        <f t="shared" si="2"/>
        <v>76.470272769992704</v>
      </c>
    </row>
    <row r="187" spans="1:24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76.066917884915995</v>
      </c>
      <c r="G187" s="3">
        <v>39934</v>
      </c>
      <c r="H187" s="4">
        <v>75.9491452348867</v>
      </c>
      <c r="U187" s="3">
        <v>39995</v>
      </c>
      <c r="V187" s="4">
        <v>20.122303454843699</v>
      </c>
      <c r="W187" s="4">
        <f>VLOOKUP(U187,'conventional_refi_elig-old'!AA:AB,2,0)</f>
        <v>82.089385010872107</v>
      </c>
      <c r="X187">
        <f t="shared" si="2"/>
        <v>76.835115994763498</v>
      </c>
    </row>
    <row r="188" spans="1:24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75.841148106686504</v>
      </c>
      <c r="G188" s="3">
        <v>39965</v>
      </c>
      <c r="H188" s="4">
        <v>76.470272769992704</v>
      </c>
      <c r="U188" s="3">
        <v>40026</v>
      </c>
      <c r="V188" s="4">
        <v>20.887860532312299</v>
      </c>
      <c r="W188" s="4">
        <f>VLOOKUP(U188,'conventional_refi_elig-old'!AA:AB,2,0)</f>
        <v>80.710360837649702</v>
      </c>
      <c r="X188">
        <f t="shared" si="2"/>
        <v>77.091086987098194</v>
      </c>
    </row>
    <row r="189" spans="1:24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76.835115994763498</v>
      </c>
      <c r="U189" s="3">
        <v>40057</v>
      </c>
      <c r="V189" s="4">
        <v>21.166289495229801</v>
      </c>
      <c r="W189" s="4">
        <f>VLOOKUP(U189,'conventional_refi_elig-old'!AA:AB,2,0)</f>
        <v>80.355194371457799</v>
      </c>
      <c r="X189">
        <f t="shared" si="2"/>
        <v>77.364770620654198</v>
      </c>
    </row>
    <row r="190" spans="1:24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77.091086987098194</v>
      </c>
      <c r="U190" s="3">
        <v>40087</v>
      </c>
      <c r="V190" s="4">
        <v>21.389357643231499</v>
      </c>
      <c r="W190" s="4">
        <f>VLOOKUP(U190,'conventional_refi_elig-old'!AA:AB,2,0)</f>
        <v>81.121073009494395</v>
      </c>
      <c r="X190">
        <f t="shared" si="2"/>
        <v>77.3849162067457</v>
      </c>
    </row>
    <row r="191" spans="1:24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75.443482489508199</v>
      </c>
      <c r="G191" s="3">
        <v>40057</v>
      </c>
      <c r="H191" s="4">
        <v>77.364770620654198</v>
      </c>
      <c r="U191" s="3">
        <v>40118</v>
      </c>
      <c r="V191" s="4">
        <v>21.632780952057999</v>
      </c>
      <c r="W191" s="4">
        <f>VLOOKUP(U191,'conventional_refi_elig-old'!AA:AB,2,0)</f>
        <v>81.405729345510593</v>
      </c>
      <c r="X191">
        <f t="shared" si="2"/>
        <v>77.330697712814896</v>
      </c>
    </row>
    <row r="192" spans="1:24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77.3849162067457</v>
      </c>
      <c r="U192" s="3">
        <v>40148</v>
      </c>
      <c r="V192" s="4">
        <v>21.7390151154177</v>
      </c>
      <c r="W192" s="4">
        <f>VLOOKUP(U192,'conventional_refi_elig-old'!AA:AB,2,0)</f>
        <v>81.256492700093105</v>
      </c>
      <c r="X192">
        <f t="shared" si="2"/>
        <v>77.199357103120306</v>
      </c>
    </row>
    <row r="193" spans="1:24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75.031617221025002</v>
      </c>
      <c r="G193" s="3">
        <v>40118</v>
      </c>
      <c r="H193" s="4">
        <v>77.330697712814896</v>
      </c>
      <c r="U193" s="3">
        <v>40179</v>
      </c>
      <c r="V193" s="4">
        <v>21.893798263131</v>
      </c>
      <c r="W193" s="4">
        <f>VLOOKUP(U193,'conventional_refi_elig-old'!AA:AB,2,0)</f>
        <v>80.607655597803699</v>
      </c>
      <c r="X193">
        <f t="shared" si="2"/>
        <v>76.960239655143397</v>
      </c>
    </row>
    <row r="194" spans="1:24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77.199357103120306</v>
      </c>
      <c r="U194" s="3">
        <v>40210</v>
      </c>
      <c r="V194" s="4">
        <v>22.0515850600585</v>
      </c>
      <c r="W194" s="4">
        <f>VLOOKUP(U194,'conventional_refi_elig-old'!AA:AB,2,0)</f>
        <v>80.858173325298793</v>
      </c>
      <c r="X194">
        <f t="shared" si="2"/>
        <v>76.686497862892793</v>
      </c>
    </row>
    <row r="195" spans="1:24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75.642553516881705</v>
      </c>
      <c r="G195" s="3">
        <v>40179</v>
      </c>
      <c r="H195" s="4">
        <v>76.960239655143397</v>
      </c>
      <c r="U195" s="3">
        <v>40238</v>
      </c>
      <c r="V195" s="4">
        <v>22.157977961681201</v>
      </c>
      <c r="W195" s="4">
        <f>VLOOKUP(U195,'conventional_refi_elig-old'!AA:AB,2,0)</f>
        <v>80.688325183506706</v>
      </c>
      <c r="X195">
        <f t="shared" ref="X195:X258" si="3">VLOOKUP(U195,G:H,2,0)</f>
        <v>76.462380394310301</v>
      </c>
    </row>
    <row r="196" spans="1:24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75.9491452348867</v>
      </c>
      <c r="G196" s="3">
        <v>40210</v>
      </c>
      <c r="H196" s="4">
        <v>76.686497862892793</v>
      </c>
      <c r="U196" s="3">
        <v>40269</v>
      </c>
      <c r="V196" s="4">
        <v>22.769215809280499</v>
      </c>
      <c r="W196" s="4">
        <f>VLOOKUP(U196,'conventional_refi_elig-old'!AA:AB,2,0)</f>
        <v>82.712785590828005</v>
      </c>
      <c r="X196">
        <f t="shared" si="3"/>
        <v>77.738352214965303</v>
      </c>
    </row>
    <row r="197" spans="1:24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76.462380394310301</v>
      </c>
      <c r="U197" s="3">
        <v>40299</v>
      </c>
      <c r="V197" s="4">
        <v>23.467879612931501</v>
      </c>
      <c r="W197" s="4">
        <f>VLOOKUP(U197,'conventional_refi_elig-old'!AA:AB,2,0)</f>
        <v>83.669291888756803</v>
      </c>
      <c r="X197">
        <f t="shared" si="3"/>
        <v>79.268606209831603</v>
      </c>
    </row>
    <row r="198" spans="1:24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76.470272769992704</v>
      </c>
      <c r="G198" s="3">
        <v>40269</v>
      </c>
      <c r="H198" s="4">
        <v>77.738352214965303</v>
      </c>
      <c r="U198" s="3">
        <v>40330</v>
      </c>
      <c r="V198" s="4">
        <v>24.296061738777301</v>
      </c>
      <c r="W198" s="4">
        <f>VLOOKUP(U198,'conventional_refi_elig-old'!AA:AB,2,0)</f>
        <v>84.256320909696697</v>
      </c>
      <c r="X198">
        <f t="shared" si="3"/>
        <v>80.589967834893898</v>
      </c>
    </row>
    <row r="199" spans="1:24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79.268606209831603</v>
      </c>
      <c r="U199" s="3">
        <v>40360</v>
      </c>
      <c r="V199" s="4">
        <v>24.679231553656599</v>
      </c>
      <c r="W199" s="4">
        <f>VLOOKUP(U199,'conventional_refi_elig-old'!AA:AB,2,0)</f>
        <v>84.2012687282716</v>
      </c>
      <c r="X199">
        <f t="shared" si="3"/>
        <v>80.348698439398106</v>
      </c>
    </row>
    <row r="200" spans="1:24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76.835115994763498</v>
      </c>
      <c r="G200" s="3">
        <v>40330</v>
      </c>
      <c r="H200" s="4">
        <v>80.589967834893898</v>
      </c>
      <c r="U200" s="3">
        <v>40391</v>
      </c>
      <c r="V200" s="4">
        <v>25.074806388667099</v>
      </c>
      <c r="W200" s="4">
        <f>VLOOKUP(U200,'conventional_refi_elig-old'!AA:AB,2,0)</f>
        <v>85.217780490202998</v>
      </c>
      <c r="X200">
        <f t="shared" si="3"/>
        <v>80.102392449733202</v>
      </c>
    </row>
    <row r="201" spans="1:24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80.348698439398106</v>
      </c>
      <c r="U201" s="3">
        <v>40422</v>
      </c>
      <c r="V201" s="4">
        <v>25.479164948948501</v>
      </c>
      <c r="W201" s="4">
        <f>VLOOKUP(U201,'conventional_refi_elig-old'!AA:AB,2,0)</f>
        <v>84.960859500027794</v>
      </c>
      <c r="X201">
        <f t="shared" si="3"/>
        <v>79.8123226036885</v>
      </c>
    </row>
    <row r="202" spans="1:24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77.091086987098194</v>
      </c>
      <c r="G202" s="3">
        <v>40391</v>
      </c>
      <c r="H202" s="4">
        <v>80.102392449733202</v>
      </c>
      <c r="U202" s="3">
        <v>40452</v>
      </c>
      <c r="V202" s="4">
        <v>26.254151150396599</v>
      </c>
      <c r="W202" s="4">
        <f>VLOOKUP(U202,'conventional_refi_elig-old'!AA:AB,2,0)</f>
        <v>84.494608585388306</v>
      </c>
      <c r="X202">
        <f t="shared" si="3"/>
        <v>79.3793915159835</v>
      </c>
    </row>
    <row r="203" spans="1:24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79.8123226036885</v>
      </c>
      <c r="U203" s="3">
        <v>40483</v>
      </c>
      <c r="V203" s="4">
        <v>26.919084340095601</v>
      </c>
      <c r="W203" s="4">
        <f>VLOOKUP(U203,'conventional_refi_elig-old'!AA:AB,2,0)</f>
        <v>83.969399568588898</v>
      </c>
      <c r="X203">
        <f t="shared" si="3"/>
        <v>78.948933674840305</v>
      </c>
    </row>
    <row r="204" spans="1:24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77.364770620654198</v>
      </c>
      <c r="G204" s="3">
        <v>40452</v>
      </c>
      <c r="H204" s="4">
        <v>79.3793915159835</v>
      </c>
      <c r="U204" s="3">
        <v>40513</v>
      </c>
      <c r="V204" s="4">
        <v>27.561355875409902</v>
      </c>
      <c r="W204" s="4">
        <f>VLOOKUP(U204,'conventional_refi_elig-old'!AA:AB,2,0)</f>
        <v>83.401335674412394</v>
      </c>
      <c r="X204">
        <f t="shared" si="3"/>
        <v>78.471122810892695</v>
      </c>
    </row>
    <row r="205" spans="1:24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78.948933674840305</v>
      </c>
      <c r="U205" s="3">
        <v>40544</v>
      </c>
      <c r="V205" s="4">
        <v>28.114059016780899</v>
      </c>
      <c r="W205" s="4">
        <f>VLOOKUP(U205,'conventional_refi_elig-old'!AA:AB,2,0)</f>
        <v>82.546708914877399</v>
      </c>
      <c r="X205">
        <f t="shared" si="3"/>
        <v>77.654903616904704</v>
      </c>
    </row>
    <row r="206" spans="1:24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77.3849162067457</v>
      </c>
      <c r="G206" s="3">
        <v>40513</v>
      </c>
      <c r="H206" s="4">
        <v>78.471122810892695</v>
      </c>
      <c r="U206" s="3">
        <v>40575</v>
      </c>
      <c r="V206" s="4">
        <v>28.4827066461051</v>
      </c>
      <c r="W206" s="4">
        <f>VLOOKUP(U206,'conventional_refi_elig-old'!AA:AB,2,0)</f>
        <v>81.626731721387301</v>
      </c>
      <c r="X206">
        <f t="shared" si="3"/>
        <v>76.652114966546904</v>
      </c>
    </row>
    <row r="207" spans="1:24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77.654903616904704</v>
      </c>
      <c r="U207" s="3">
        <v>40603</v>
      </c>
      <c r="V207" s="4">
        <v>28.698769715346401</v>
      </c>
      <c r="W207" s="4">
        <f>VLOOKUP(U207,'conventional_refi_elig-old'!AA:AB,2,0)</f>
        <v>80.591345183582206</v>
      </c>
      <c r="X207">
        <f t="shared" si="3"/>
        <v>75.669204546982598</v>
      </c>
    </row>
    <row r="208" spans="1:24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77.330697712814896</v>
      </c>
      <c r="G208" s="3">
        <v>40575</v>
      </c>
      <c r="H208" s="4">
        <v>76.652114966546904</v>
      </c>
      <c r="U208" s="3">
        <v>40634</v>
      </c>
      <c r="V208" s="4">
        <v>29.493983639499898</v>
      </c>
      <c r="W208" s="4">
        <f>VLOOKUP(U208,'conventional_refi_elig-old'!AA:AB,2,0)</f>
        <v>81.383451680802295</v>
      </c>
      <c r="X208">
        <f t="shared" si="3"/>
        <v>76.567419969165599</v>
      </c>
    </row>
    <row r="209" spans="1:24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75.669204546982598</v>
      </c>
      <c r="U209" s="3">
        <v>40664</v>
      </c>
      <c r="V209" s="4">
        <v>30.230464357825301</v>
      </c>
      <c r="W209" s="4">
        <f>VLOOKUP(U209,'conventional_refi_elig-old'!AA:AB,2,0)</f>
        <v>82.112441943039499</v>
      </c>
      <c r="X209">
        <f t="shared" si="3"/>
        <v>77.405980575237393</v>
      </c>
    </row>
    <row r="210" spans="1:24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76.567419969165599</v>
      </c>
      <c r="U210" s="3">
        <v>40695</v>
      </c>
      <c r="V210" s="4">
        <v>30.833870224867901</v>
      </c>
      <c r="W210" s="4">
        <f>VLOOKUP(U210,'conventional_refi_elig-old'!AA:AB,2,0)</f>
        <v>82.773563669638705</v>
      </c>
      <c r="X210">
        <f t="shared" si="3"/>
        <v>78.153103948348701</v>
      </c>
    </row>
    <row r="211" spans="1:24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77.199357103120306</v>
      </c>
      <c r="G211" s="3">
        <v>40664</v>
      </c>
      <c r="H211" s="4">
        <v>77.405980575237393</v>
      </c>
      <c r="U211" s="3">
        <v>40725</v>
      </c>
      <c r="V211" s="4">
        <v>31.3769351322135</v>
      </c>
      <c r="W211" s="4">
        <f>VLOOKUP(U211,'conventional_refi_elig-old'!AA:AB,2,0)</f>
        <v>83.256781286364301</v>
      </c>
      <c r="X211">
        <f t="shared" si="3"/>
        <v>78.732704304412906</v>
      </c>
    </row>
    <row r="212" spans="1:24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78.153103948348701</v>
      </c>
      <c r="U212" s="3">
        <v>40756</v>
      </c>
      <c r="V212" s="4">
        <v>32.020227802674</v>
      </c>
      <c r="W212" s="4">
        <f>VLOOKUP(U212,'conventional_refi_elig-old'!AA:AB,2,0)</f>
        <v>81.746691137754596</v>
      </c>
      <c r="X212">
        <f t="shared" si="3"/>
        <v>79.266392177123095</v>
      </c>
    </row>
    <row r="213" spans="1:24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78.732704304412906</v>
      </c>
      <c r="U213" s="3">
        <v>40787</v>
      </c>
      <c r="V213" s="4">
        <v>32.764034340849499</v>
      </c>
      <c r="W213" s="4">
        <f>VLOOKUP(U213,'conventional_refi_elig-old'!AA:AB,2,0)</f>
        <v>82.2390613467539</v>
      </c>
      <c r="X213">
        <f t="shared" si="3"/>
        <v>79.805684310599204</v>
      </c>
    </row>
    <row r="214" spans="1:24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76.960239655143397</v>
      </c>
      <c r="G214" s="3">
        <v>40756</v>
      </c>
      <c r="H214" s="4">
        <v>79.266392177123095</v>
      </c>
      <c r="U214" s="3">
        <v>40817</v>
      </c>
      <c r="V214" s="4">
        <v>33.3142618399052</v>
      </c>
      <c r="W214" s="4">
        <f>VLOOKUP(U214,'conventional_refi_elig-old'!AA:AB,2,0)</f>
        <v>82.080864733743397</v>
      </c>
      <c r="X214">
        <f t="shared" si="3"/>
        <v>79.7715033378025</v>
      </c>
    </row>
    <row r="215" spans="1:24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79.805684310599204</v>
      </c>
      <c r="U215" s="3">
        <v>40848</v>
      </c>
      <c r="V215" s="4">
        <v>33.857405249820197</v>
      </c>
      <c r="W215" s="4">
        <f>VLOOKUP(U215,'conventional_refi_elig-old'!AA:AB,2,0)</f>
        <v>81.852423434348395</v>
      </c>
      <c r="X215">
        <f t="shared" si="3"/>
        <v>79.640841873983803</v>
      </c>
    </row>
    <row r="216" spans="1:24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79.7715033378025</v>
      </c>
      <c r="U216" s="3">
        <v>40878</v>
      </c>
      <c r="V216" s="4">
        <v>34.479220645670502</v>
      </c>
      <c r="W216" s="4">
        <f>VLOOKUP(U216,'conventional_refi_elig-old'!AA:AB,2,0)</f>
        <v>81.548157829458106</v>
      </c>
      <c r="X216">
        <f t="shared" si="3"/>
        <v>79.508590469138596</v>
      </c>
    </row>
    <row r="217" spans="1:24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76.686497862892793</v>
      </c>
      <c r="G217" s="3">
        <v>40848</v>
      </c>
      <c r="H217" s="4">
        <v>79.640841873983803</v>
      </c>
      <c r="U217" s="3">
        <v>40909</v>
      </c>
      <c r="V217" s="4">
        <v>35.260333102000203</v>
      </c>
      <c r="W217" s="4">
        <f>VLOOKUP(U217,'conventional_refi_elig-old'!AA:AB,2,0)</f>
        <v>81.498799908147802</v>
      </c>
      <c r="X217">
        <f t="shared" si="3"/>
        <v>79.848174885620693</v>
      </c>
    </row>
    <row r="218" spans="1:24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79.508590469138596</v>
      </c>
      <c r="U218" s="3">
        <v>40940</v>
      </c>
      <c r="V218" s="4">
        <v>35.859227713706403</v>
      </c>
      <c r="W218" s="4">
        <f>VLOOKUP(U218,'conventional_refi_elig-old'!AA:AB,2,0)</f>
        <v>81.497876487721797</v>
      </c>
      <c r="X218">
        <f t="shared" si="3"/>
        <v>80.078120103873104</v>
      </c>
    </row>
    <row r="219" spans="1:24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79.848174885620693</v>
      </c>
      <c r="U219" s="3">
        <v>40969</v>
      </c>
      <c r="V219" s="4">
        <v>36.476579772451899</v>
      </c>
      <c r="W219" s="4">
        <f>VLOOKUP(U219,'conventional_refi_elig-old'!AA:AB,2,0)</f>
        <v>83.555137426507002</v>
      </c>
      <c r="X219">
        <f t="shared" si="3"/>
        <v>80.357488715933499</v>
      </c>
    </row>
    <row r="220" spans="1:24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76.462380394310301</v>
      </c>
      <c r="G220" s="3">
        <v>40940</v>
      </c>
      <c r="H220" s="4">
        <v>80.078120103873104</v>
      </c>
      <c r="U220" s="3">
        <v>41000</v>
      </c>
      <c r="V220" s="4">
        <v>37.768925971632299</v>
      </c>
      <c r="W220" s="4">
        <f>VLOOKUP(U220,'conventional_refi_elig-old'!AA:AB,2,0)</f>
        <v>85.274448613203703</v>
      </c>
      <c r="X220">
        <f t="shared" si="3"/>
        <v>82.353785685503894</v>
      </c>
    </row>
    <row r="221" spans="1:24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80.357488715933499</v>
      </c>
      <c r="U221" s="3">
        <v>41030</v>
      </c>
      <c r="V221" s="4">
        <v>38.913633204536097</v>
      </c>
      <c r="W221" s="4">
        <f>VLOOKUP(U221,'conventional_refi_elig-old'!AA:AB,2,0)</f>
        <v>86.899179529213797</v>
      </c>
      <c r="X221">
        <f t="shared" si="3"/>
        <v>84.076388727555198</v>
      </c>
    </row>
    <row r="222" spans="1:24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82.353785685503894</v>
      </c>
      <c r="U222" s="3">
        <v>41061</v>
      </c>
      <c r="V222" s="4">
        <v>39.879421249693401</v>
      </c>
      <c r="W222" s="4">
        <f>VLOOKUP(U222,'conventional_refi_elig-old'!AA:AB,2,0)</f>
        <v>88.358118430418102</v>
      </c>
      <c r="X222">
        <f t="shared" si="3"/>
        <v>85.661291148518799</v>
      </c>
    </row>
    <row r="223" spans="1:24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77.738352214965303</v>
      </c>
      <c r="G223" s="3">
        <v>41030</v>
      </c>
      <c r="H223" s="4">
        <v>84.076388727555198</v>
      </c>
      <c r="U223" s="3">
        <v>41091</v>
      </c>
      <c r="V223" s="4">
        <v>40.895726492699801</v>
      </c>
      <c r="W223" s="4">
        <f>VLOOKUP(U223,'conventional_refi_elig-old'!AA:AB,2,0)</f>
        <v>89.075442212496498</v>
      </c>
      <c r="X223">
        <f t="shared" si="3"/>
        <v>86.488663050583099</v>
      </c>
    </row>
    <row r="224" spans="1:24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85.661291148518799</v>
      </c>
      <c r="U224" s="3">
        <v>41122</v>
      </c>
      <c r="V224" s="4">
        <v>41.967628869863503</v>
      </c>
      <c r="W224" s="4">
        <f>VLOOKUP(U224,'conventional_refi_elig-old'!AA:AB,2,0)</f>
        <v>89.648544080684104</v>
      </c>
      <c r="X224">
        <f t="shared" si="3"/>
        <v>87.297181463472995</v>
      </c>
    </row>
    <row r="225" spans="1:24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86.488663050583099</v>
      </c>
      <c r="U225" s="3">
        <v>41153</v>
      </c>
      <c r="V225" s="4">
        <v>43.013764711682398</v>
      </c>
      <c r="W225" s="4">
        <f>VLOOKUP(U225,'conventional_refi_elig-old'!AA:AB,2,0)</f>
        <v>90.203891343680894</v>
      </c>
      <c r="X225">
        <f t="shared" si="3"/>
        <v>88.059417753653094</v>
      </c>
    </row>
    <row r="226" spans="1:24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79.268606209831603</v>
      </c>
      <c r="G226" s="3">
        <v>41122</v>
      </c>
      <c r="H226" s="4">
        <v>87.297181463472995</v>
      </c>
      <c r="U226" s="3">
        <v>41183</v>
      </c>
      <c r="V226" s="4">
        <v>44.115106090754999</v>
      </c>
      <c r="W226" s="4">
        <f>VLOOKUP(U226,'conventional_refi_elig-old'!AA:AB,2,0)</f>
        <v>90.464662328033796</v>
      </c>
      <c r="X226">
        <f t="shared" si="3"/>
        <v>88.491988246453204</v>
      </c>
    </row>
    <row r="227" spans="1:24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88.059417753653094</v>
      </c>
      <c r="U227" s="3">
        <v>41214</v>
      </c>
      <c r="V227" s="4">
        <v>44.964628282645997</v>
      </c>
      <c r="W227" s="4">
        <f>VLOOKUP(U227,'conventional_refi_elig-old'!AA:AB,2,0)</f>
        <v>90.760062693991202</v>
      </c>
      <c r="X227">
        <f t="shared" si="3"/>
        <v>88.927375406355296</v>
      </c>
    </row>
    <row r="228" spans="1:24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88.491988246453204</v>
      </c>
      <c r="U228" s="3">
        <v>41244</v>
      </c>
      <c r="V228" s="4">
        <v>46.152031785063897</v>
      </c>
      <c r="W228" s="4">
        <f>VLOOKUP(U228,'conventional_refi_elig-old'!AA:AB,2,0)</f>
        <v>90.930084526706196</v>
      </c>
      <c r="X228">
        <f t="shared" si="3"/>
        <v>89.371020356919601</v>
      </c>
    </row>
    <row r="229" spans="1:24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80.589967834893898</v>
      </c>
      <c r="G229" s="3">
        <v>41214</v>
      </c>
      <c r="H229" s="4">
        <v>88.927375406355296</v>
      </c>
      <c r="U229" s="3">
        <v>41275</v>
      </c>
      <c r="V229" s="4">
        <v>46.931075904828099</v>
      </c>
      <c r="W229" s="4">
        <f>VLOOKUP(U229,'conventional_refi_elig-old'!AA:AB,2,0)</f>
        <v>91.4027863902608</v>
      </c>
      <c r="X229">
        <f t="shared" si="3"/>
        <v>89.979179531146002</v>
      </c>
    </row>
    <row r="230" spans="1:24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89.371020356919601</v>
      </c>
      <c r="U230" s="3">
        <v>41306</v>
      </c>
      <c r="V230" s="4">
        <v>46.011159321965799</v>
      </c>
      <c r="W230" s="4">
        <f>VLOOKUP(U230,'conventional_refi_elig-old'!AA:AB,2,0)</f>
        <v>91.794949555672005</v>
      </c>
      <c r="X230">
        <f t="shared" si="3"/>
        <v>87.849120842201003</v>
      </c>
    </row>
    <row r="231" spans="1:24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89.979179531146002</v>
      </c>
      <c r="U231" s="3">
        <v>41334</v>
      </c>
      <c r="V231" s="4">
        <v>45.048120682990202</v>
      </c>
      <c r="W231" s="4">
        <f>VLOOKUP(U231,'conventional_refi_elig-old'!AA:AB,2,0)</f>
        <v>92.152731135910003</v>
      </c>
      <c r="X231">
        <f t="shared" si="3"/>
        <v>85.622471790348001</v>
      </c>
    </row>
    <row r="232" spans="1:24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80.348698439398106</v>
      </c>
      <c r="G232" s="3">
        <v>41306</v>
      </c>
      <c r="H232" s="4">
        <v>87.849120842201003</v>
      </c>
      <c r="U232" s="3">
        <v>41365</v>
      </c>
      <c r="V232" s="4">
        <v>44.488422647869101</v>
      </c>
      <c r="W232" s="4">
        <f>VLOOKUP(U232,'conventional_refi_elig-old'!AA:AB,2,0)</f>
        <v>93.148803996602297</v>
      </c>
      <c r="X232">
        <f t="shared" si="3"/>
        <v>84.384279175000898</v>
      </c>
    </row>
    <row r="233" spans="1:24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85.622471790348001</v>
      </c>
      <c r="U233" s="3">
        <v>41395</v>
      </c>
      <c r="V233" s="4">
        <v>43.763809562722599</v>
      </c>
      <c r="W233" s="4">
        <f>VLOOKUP(U233,'conventional_refi_elig-old'!AA:AB,2,0)</f>
        <v>94.001875479032904</v>
      </c>
      <c r="X233">
        <f t="shared" si="3"/>
        <v>82.678321110699102</v>
      </c>
    </row>
    <row r="234" spans="1:24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84.384279175000898</v>
      </c>
      <c r="U234" s="3">
        <v>41426</v>
      </c>
      <c r="V234" s="4">
        <v>42.861924668996899</v>
      </c>
      <c r="W234" s="4">
        <f>VLOOKUP(U234,'conventional_refi_elig-old'!AA:AB,2,0)</f>
        <v>94.681483937041904</v>
      </c>
      <c r="X234">
        <f t="shared" si="3"/>
        <v>80.576301131789407</v>
      </c>
    </row>
    <row r="235" spans="1:24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80.102392449733202</v>
      </c>
      <c r="G235" s="3">
        <v>41395</v>
      </c>
      <c r="H235" s="4">
        <v>82.678321110699102</v>
      </c>
      <c r="U235" s="3">
        <v>41456</v>
      </c>
      <c r="V235" s="4">
        <v>41.9460692805077</v>
      </c>
      <c r="W235" s="4">
        <f>VLOOKUP(U235,'conventional_refi_elig-old'!AA:AB,2,0)</f>
        <v>94.998094867418104</v>
      </c>
      <c r="X235">
        <f t="shared" si="3"/>
        <v>78.432703548004497</v>
      </c>
    </row>
    <row r="236" spans="1:24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80.576301131789407</v>
      </c>
      <c r="U236" s="3">
        <v>41487</v>
      </c>
      <c r="V236" s="4">
        <v>40.914936341350703</v>
      </c>
      <c r="W236" s="4">
        <f>VLOOKUP(U236,'conventional_refi_elig-old'!AA:AB,2,0)</f>
        <v>95.421835011427206</v>
      </c>
      <c r="X236">
        <f t="shared" si="3"/>
        <v>76.128961226637998</v>
      </c>
    </row>
    <row r="237" spans="1:24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78.432703548004497</v>
      </c>
      <c r="U237" s="3">
        <v>41518</v>
      </c>
      <c r="V237" s="4">
        <v>40.063351774054603</v>
      </c>
      <c r="W237" s="4">
        <f>VLOOKUP(U237,'conventional_refi_elig-old'!AA:AB,2,0)</f>
        <v>95.705986953763102</v>
      </c>
      <c r="X237">
        <f t="shared" si="3"/>
        <v>74.083517583914698</v>
      </c>
    </row>
    <row r="238" spans="1:24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79.8123226036885</v>
      </c>
      <c r="G238" s="3">
        <v>41487</v>
      </c>
      <c r="H238" s="4">
        <v>76.128961226637998</v>
      </c>
      <c r="U238" s="3">
        <v>41548</v>
      </c>
      <c r="V238" s="4">
        <v>39.368113116509498</v>
      </c>
      <c r="W238" s="4">
        <f>VLOOKUP(U238,'conventional_refi_elig-old'!AA:AB,2,0)</f>
        <v>95.754656189581098</v>
      </c>
      <c r="X238">
        <f t="shared" si="3"/>
        <v>72.333120445077995</v>
      </c>
    </row>
    <row r="239" spans="1:24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74.083517583914698</v>
      </c>
      <c r="U239" s="3">
        <v>41579</v>
      </c>
      <c r="V239" s="4">
        <v>38.745289380312897</v>
      </c>
      <c r="W239" s="4">
        <f>VLOOKUP(U239,'conventional_refi_elig-old'!AA:AB,2,0)</f>
        <v>95.768588634014506</v>
      </c>
      <c r="X239">
        <f t="shared" si="3"/>
        <v>70.808272464390001</v>
      </c>
    </row>
    <row r="240" spans="1:24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72.333120445077995</v>
      </c>
      <c r="U240" s="3">
        <v>41609</v>
      </c>
      <c r="V240" s="4">
        <v>38.313655040066202</v>
      </c>
      <c r="W240" s="4">
        <f>VLOOKUP(U240,'conventional_refi_elig-old'!AA:AB,2,0)</f>
        <v>95.789714767199797</v>
      </c>
      <c r="X240">
        <f t="shared" si="3"/>
        <v>69.581924251244601</v>
      </c>
    </row>
    <row r="241" spans="1:24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79.3793915159835</v>
      </c>
      <c r="G241" s="3">
        <v>41579</v>
      </c>
      <c r="H241" s="4">
        <v>70.808272464390001</v>
      </c>
      <c r="U241" s="3">
        <v>41640</v>
      </c>
      <c r="V241" s="4">
        <v>64.5410801708923</v>
      </c>
      <c r="W241" s="4">
        <f>VLOOKUP(U241,'conventional_refi_elig-old'!AA:AB,2,0)</f>
        <v>95.890659660073794</v>
      </c>
      <c r="X241">
        <f t="shared" si="3"/>
        <v>95.179940211158296</v>
      </c>
    </row>
    <row r="242" spans="1:24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69.581924251244601</v>
      </c>
      <c r="U242" s="3">
        <v>41671</v>
      </c>
      <c r="V242" s="4">
        <v>65.1529561913744</v>
      </c>
      <c r="W242" s="4">
        <f>VLOOKUP(U242,'conventional_refi_elig-old'!AA:AB,2,0)</f>
        <v>95.955284016383601</v>
      </c>
      <c r="X242">
        <f t="shared" si="3"/>
        <v>95.2664722160671</v>
      </c>
    </row>
    <row r="243" spans="1:24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95.179940211158296</v>
      </c>
      <c r="U243" s="3">
        <v>41699</v>
      </c>
      <c r="V243" s="4">
        <v>65.698548727677107</v>
      </c>
      <c r="W243" s="4">
        <f>VLOOKUP(U243,'conventional_refi_elig-old'!AA:AB,2,0)</f>
        <v>96.013424182271393</v>
      </c>
      <c r="X243">
        <f t="shared" si="3"/>
        <v>95.331270434242697</v>
      </c>
    </row>
    <row r="244" spans="1:24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78.948933674840305</v>
      </c>
      <c r="G244" s="3">
        <v>41671</v>
      </c>
      <c r="H244" s="4">
        <v>95.2664722160671</v>
      </c>
      <c r="U244" s="3">
        <v>41730</v>
      </c>
      <c r="V244" s="4">
        <v>66.226575915065396</v>
      </c>
      <c r="W244" s="4">
        <f>VLOOKUP(U244,'conventional_refi_elig-old'!AA:AB,2,0)</f>
        <v>96.395536887807793</v>
      </c>
      <c r="X244">
        <f t="shared" si="3"/>
        <v>95.466246239939593</v>
      </c>
    </row>
    <row r="245" spans="1:24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95.331270434242697</v>
      </c>
      <c r="U245" s="3">
        <v>41760</v>
      </c>
      <c r="V245" s="4">
        <v>66.793099752939199</v>
      </c>
      <c r="W245" s="4">
        <f>VLOOKUP(U245,'conventional_refi_elig-old'!AA:AB,2,0)</f>
        <v>96.712625289075504</v>
      </c>
      <c r="X245">
        <f t="shared" si="3"/>
        <v>95.587876987092997</v>
      </c>
    </row>
    <row r="246" spans="1:24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95.466246239939593</v>
      </c>
      <c r="U246" s="3">
        <v>41791</v>
      </c>
      <c r="V246" s="4">
        <v>67.369973739029504</v>
      </c>
      <c r="W246" s="4">
        <f>VLOOKUP(U246,'conventional_refi_elig-old'!AA:AB,2,0)</f>
        <v>96.972864504413906</v>
      </c>
      <c r="X246">
        <f t="shared" si="3"/>
        <v>95.697452801213402</v>
      </c>
    </row>
    <row r="247" spans="1:24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78.471122810892695</v>
      </c>
      <c r="G247" s="3">
        <v>41760</v>
      </c>
      <c r="H247" s="4">
        <v>95.587876987092997</v>
      </c>
      <c r="U247" s="3">
        <v>41821</v>
      </c>
      <c r="V247" s="4">
        <v>67.985172384694295</v>
      </c>
      <c r="W247" s="4">
        <f>VLOOKUP(U247,'conventional_refi_elig-old'!AA:AB,2,0)</f>
        <v>97.070316869230595</v>
      </c>
      <c r="X247">
        <f t="shared" si="3"/>
        <v>95.771248283684002</v>
      </c>
    </row>
    <row r="248" spans="1:24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95.697452801213402</v>
      </c>
      <c r="U248" s="3">
        <v>41852</v>
      </c>
      <c r="V248" s="4">
        <v>68.670091266985494</v>
      </c>
      <c r="W248" s="4">
        <f>VLOOKUP(U248,'conventional_refi_elig-old'!AA:AB,2,0)</f>
        <v>97.162631168494798</v>
      </c>
      <c r="X248">
        <f t="shared" si="3"/>
        <v>95.8527439564823</v>
      </c>
    </row>
    <row r="249" spans="1:24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95.771248283684002</v>
      </c>
      <c r="U249" s="3">
        <v>41883</v>
      </c>
      <c r="V249" s="4">
        <v>69.286293806997094</v>
      </c>
      <c r="W249" s="4">
        <f>VLOOKUP(U249,'conventional_refi_elig-old'!AA:AB,2,0)</f>
        <v>97.260917064417598</v>
      </c>
      <c r="X249">
        <f t="shared" si="3"/>
        <v>95.923798528977002</v>
      </c>
    </row>
    <row r="250" spans="1:24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77.654903616904704</v>
      </c>
      <c r="G250" s="3">
        <v>41852</v>
      </c>
      <c r="H250" s="4">
        <v>95.8527439564823</v>
      </c>
      <c r="U250" s="3">
        <v>41913</v>
      </c>
      <c r="V250" s="4">
        <v>69.969237534556797</v>
      </c>
      <c r="W250" s="4">
        <f>VLOOKUP(U250,'conventional_refi_elig-old'!AA:AB,2,0)</f>
        <v>97.313079385708704</v>
      </c>
      <c r="X250">
        <f t="shared" si="3"/>
        <v>96.011339749356793</v>
      </c>
    </row>
    <row r="251" spans="1:24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95.923798528977002</v>
      </c>
      <c r="U251" s="3">
        <v>41944</v>
      </c>
      <c r="V251" s="4">
        <v>70.684647527310801</v>
      </c>
      <c r="W251" s="4">
        <f>VLOOKUP(U251,'conventional_refi_elig-old'!AA:AB,2,0)</f>
        <v>97.362800299053504</v>
      </c>
      <c r="X251">
        <f t="shared" si="3"/>
        <v>96.0903889442028</v>
      </c>
    </row>
    <row r="252" spans="1:24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96.011339749356793</v>
      </c>
      <c r="U252" s="3">
        <v>41974</v>
      </c>
      <c r="V252" s="4">
        <v>71.328493353395004</v>
      </c>
      <c r="W252" s="4">
        <f>VLOOKUP(U252,'conventional_refi_elig-old'!AA:AB,2,0)</f>
        <v>97.4069476351807</v>
      </c>
      <c r="X252">
        <f t="shared" si="3"/>
        <v>96.158699440393804</v>
      </c>
    </row>
    <row r="253" spans="1:24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76.652114966546904</v>
      </c>
      <c r="G253" s="3">
        <v>41944</v>
      </c>
      <c r="H253" s="4">
        <v>96.0903889442028</v>
      </c>
      <c r="U253" s="3">
        <v>42005</v>
      </c>
      <c r="V253" s="4">
        <v>72.007485194197201</v>
      </c>
      <c r="W253" s="4">
        <f>VLOOKUP(U253,'conventional_refi_elig-old'!AA:AB,2,0)</f>
        <v>97.459263236000496</v>
      </c>
      <c r="X253">
        <f t="shared" si="3"/>
        <v>96.234163793997993</v>
      </c>
    </row>
    <row r="254" spans="1:24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96.158699440393804</v>
      </c>
      <c r="U254" s="3">
        <v>42036</v>
      </c>
      <c r="V254" s="4">
        <v>72.555987703310095</v>
      </c>
      <c r="W254" s="4">
        <f>VLOOKUP(U254,'conventional_refi_elig-old'!AA:AB,2,0)</f>
        <v>97.508340981836298</v>
      </c>
      <c r="X254">
        <f t="shared" si="3"/>
        <v>96.296888092994806</v>
      </c>
    </row>
    <row r="255" spans="1:24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96.234163793997993</v>
      </c>
      <c r="U255" s="3">
        <v>42064</v>
      </c>
      <c r="V255" s="4">
        <v>73.045635510559904</v>
      </c>
      <c r="W255" s="4">
        <f>VLOOKUP(U255,'conventional_refi_elig-old'!AA:AB,2,0)</f>
        <v>97.557577733267294</v>
      </c>
      <c r="X255">
        <f t="shared" si="3"/>
        <v>96.351437556330893</v>
      </c>
    </row>
    <row r="256" spans="1:24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75.669204546982598</v>
      </c>
      <c r="G256" s="3">
        <v>42036</v>
      </c>
      <c r="H256" s="4">
        <v>96.296888092994806</v>
      </c>
      <c r="U256" s="3">
        <v>42095</v>
      </c>
      <c r="V256" s="4">
        <v>73.616152819916806</v>
      </c>
      <c r="W256" s="4">
        <f>VLOOKUP(U256,'conventional_refi_elig-old'!AA:AB,2,0)</f>
        <v>97.717907648615196</v>
      </c>
      <c r="X256">
        <f t="shared" si="3"/>
        <v>96.417031127283195</v>
      </c>
    </row>
    <row r="257" spans="1:24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96.351437556330893</v>
      </c>
      <c r="U257" s="3">
        <v>42125</v>
      </c>
      <c r="V257" s="4">
        <v>74.248964262480101</v>
      </c>
      <c r="W257" s="4">
        <f>VLOOKUP(U257,'conventional_refi_elig-old'!AA:AB,2,0)</f>
        <v>97.839102148951895</v>
      </c>
      <c r="X257">
        <f t="shared" si="3"/>
        <v>96.481219785011405</v>
      </c>
    </row>
    <row r="258" spans="1:24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96.417031127283195</v>
      </c>
      <c r="U258" s="3">
        <v>42156</v>
      </c>
      <c r="V258" s="4">
        <v>74.888798378427694</v>
      </c>
      <c r="W258" s="4">
        <f>VLOOKUP(U258,'conventional_refi_elig-old'!AA:AB,2,0)</f>
        <v>97.949432118323799</v>
      </c>
      <c r="X258">
        <f t="shared" si="3"/>
        <v>96.554147052707293</v>
      </c>
    </row>
    <row r="259" spans="1:24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76.567419969165599</v>
      </c>
      <c r="G259" s="3">
        <v>42125</v>
      </c>
      <c r="H259" s="4">
        <v>96.481219785011405</v>
      </c>
      <c r="U259" s="3">
        <v>42186</v>
      </c>
      <c r="V259" s="4">
        <v>75.490144388644794</v>
      </c>
      <c r="W259" s="4">
        <f>VLOOKUP(U259,'conventional_refi_elig-old'!AA:AB,2,0)</f>
        <v>98.012457331367401</v>
      </c>
      <c r="X259">
        <f t="shared" ref="X259:X274" si="4">VLOOKUP(U259,G:H,2,0)</f>
        <v>96.615394011506197</v>
      </c>
    </row>
    <row r="260" spans="1:24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96.554147052707293</v>
      </c>
      <c r="U260" s="3">
        <v>42217</v>
      </c>
      <c r="V260" s="4">
        <v>76.145670945880596</v>
      </c>
      <c r="W260" s="4">
        <f>VLOOKUP(U260,'conventional_refi_elig-old'!AA:AB,2,0)</f>
        <v>98.069886492152705</v>
      </c>
      <c r="X260">
        <f t="shared" si="4"/>
        <v>96.685098678952698</v>
      </c>
    </row>
    <row r="261" spans="1:24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96.615394011506197</v>
      </c>
      <c r="U261" s="3">
        <v>42248</v>
      </c>
      <c r="V261" s="4">
        <v>76.694797636807607</v>
      </c>
      <c r="W261" s="4">
        <f>VLOOKUP(U261,'conventional_refi_elig-old'!AA:AB,2,0)</f>
        <v>98.116112407945494</v>
      </c>
      <c r="X261">
        <f t="shared" si="4"/>
        <v>96.7417877935099</v>
      </c>
    </row>
    <row r="262" spans="1:24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77.405980575237393</v>
      </c>
      <c r="G262" s="3">
        <v>42217</v>
      </c>
      <c r="H262" s="4">
        <v>96.685098678952698</v>
      </c>
      <c r="U262" s="3">
        <v>42278</v>
      </c>
      <c r="V262" s="4">
        <v>77.286756458319601</v>
      </c>
      <c r="W262" s="4">
        <f>VLOOKUP(U262,'conventional_refi_elig-old'!AA:AB,2,0)</f>
        <v>98.136100837653004</v>
      </c>
      <c r="X262">
        <f t="shared" si="4"/>
        <v>96.803938581385097</v>
      </c>
    </row>
    <row r="263" spans="1:24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96.7417877935099</v>
      </c>
      <c r="U263" s="3">
        <v>42309</v>
      </c>
      <c r="V263" s="4">
        <v>77.809977180303306</v>
      </c>
      <c r="W263" s="4">
        <f>VLOOKUP(U263,'conventional_refi_elig-old'!AA:AB,2,0)</f>
        <v>98.148635600370397</v>
      </c>
      <c r="X263">
        <f t="shared" si="4"/>
        <v>96.861658526857894</v>
      </c>
    </row>
    <row r="264" spans="1:24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96.803938581385097</v>
      </c>
      <c r="U264" s="3">
        <v>42339</v>
      </c>
      <c r="V264" s="4">
        <v>78.223861507295794</v>
      </c>
      <c r="W264" s="4">
        <f>VLOOKUP(U264,'conventional_refi_elig-old'!AA:AB,2,0)</f>
        <v>98.155106018828604</v>
      </c>
      <c r="X264">
        <f t="shared" si="4"/>
        <v>96.901093872704294</v>
      </c>
    </row>
    <row r="265" spans="1:24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78.153103948348701</v>
      </c>
      <c r="G265" s="3">
        <v>42309</v>
      </c>
      <c r="H265" s="4">
        <v>96.861658526857894</v>
      </c>
      <c r="U265" s="3">
        <v>42370</v>
      </c>
      <c r="V265" s="4">
        <v>78.698575103590102</v>
      </c>
      <c r="W265" s="4">
        <f>VLOOKUP(U265,'conventional_refi_elig-old'!AA:AB,2,0)</f>
        <v>98.190860334399801</v>
      </c>
      <c r="X265">
        <f t="shared" si="4"/>
        <v>96.956479589021797</v>
      </c>
    </row>
    <row r="266" spans="1:24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96.901093872704294</v>
      </c>
      <c r="U266" s="3">
        <v>42401</v>
      </c>
      <c r="V266" s="4">
        <v>79.139613750983898</v>
      </c>
      <c r="W266" s="4">
        <f>VLOOKUP(U266,'conventional_refi_elig-old'!AA:AB,2,0)</f>
        <v>98.217212301027104</v>
      </c>
      <c r="X266">
        <f t="shared" si="4"/>
        <v>97.006132523328802</v>
      </c>
    </row>
    <row r="267" spans="1:24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96.956479589021797</v>
      </c>
      <c r="U267" s="3">
        <v>42430</v>
      </c>
      <c r="V267" s="4">
        <v>79.537146474007699</v>
      </c>
      <c r="W267" s="4">
        <f>VLOOKUP(U267,'conventional_refi_elig-old'!AA:AB,2,0)</f>
        <v>98.238521837558693</v>
      </c>
      <c r="X267">
        <f t="shared" si="4"/>
        <v>97.046723163872102</v>
      </c>
    </row>
    <row r="268" spans="1:24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78.732704304412906</v>
      </c>
      <c r="G268" s="3">
        <v>42401</v>
      </c>
      <c r="H268" s="4">
        <v>97.006132523328802</v>
      </c>
      <c r="U268" s="3">
        <v>42461</v>
      </c>
      <c r="V268" s="4">
        <v>79.976392216874601</v>
      </c>
      <c r="W268" s="4">
        <f>VLOOKUP(U268,'conventional_refi_elig-old'!AA:AB,2,0)</f>
        <v>98.339157457570707</v>
      </c>
      <c r="X268">
        <f t="shared" si="4"/>
        <v>97.1007025819262</v>
      </c>
    </row>
    <row r="269" spans="1:24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97.046723163872102</v>
      </c>
      <c r="U269" s="3">
        <v>42491</v>
      </c>
      <c r="V269" s="4">
        <v>80.4145498233582</v>
      </c>
      <c r="W269" s="4">
        <f>VLOOKUP(U269,'conventional_refi_elig-old'!AA:AB,2,0)</f>
        <v>98.408884157195104</v>
      </c>
      <c r="X269">
        <f t="shared" si="4"/>
        <v>97.148813163737003</v>
      </c>
    </row>
    <row r="270" spans="1:24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97.1007025819262</v>
      </c>
      <c r="U270" s="3">
        <v>42522</v>
      </c>
      <c r="V270" s="4">
        <v>80.844711587004198</v>
      </c>
      <c r="W270" s="4">
        <f>VLOOKUP(U270,'conventional_refi_elig-old'!AA:AB,2,0)</f>
        <v>98.466552861347594</v>
      </c>
      <c r="X270">
        <f t="shared" si="4"/>
        <v>97.190584403677406</v>
      </c>
    </row>
    <row r="271" spans="1:24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79.266392177123095</v>
      </c>
      <c r="G271" s="3">
        <v>42491</v>
      </c>
      <c r="H271" s="4">
        <v>97.148813163737003</v>
      </c>
      <c r="U271" s="3">
        <v>42552</v>
      </c>
      <c r="V271" s="4">
        <v>81.316631050407196</v>
      </c>
      <c r="W271" s="4">
        <f>VLOOKUP(U271,'conventional_refi_elig-old'!AA:AB,2,0)</f>
        <v>98.478279535481093</v>
      </c>
      <c r="X271">
        <f t="shared" si="4"/>
        <v>97.237467888119596</v>
      </c>
    </row>
    <row r="272" spans="1:24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97.190584403677406</v>
      </c>
      <c r="U272" s="3">
        <v>42583</v>
      </c>
      <c r="V272" s="4">
        <v>81.746914203326497</v>
      </c>
      <c r="W272" s="4">
        <f>VLOOKUP(U272,'conventional_refi_elig-old'!AA:AB,2,0)</f>
        <v>98.488463016285905</v>
      </c>
      <c r="X272">
        <f t="shared" si="4"/>
        <v>97.272839614082599</v>
      </c>
    </row>
    <row r="273" spans="1:24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97.237467888119596</v>
      </c>
      <c r="U273" s="3">
        <v>42614</v>
      </c>
      <c r="V273" s="4">
        <v>82.263256847061498</v>
      </c>
      <c r="W273" s="4">
        <f>VLOOKUP(U273,'conventional_refi_elig-old'!AA:AB,2,0)</f>
        <v>98.500416951640702</v>
      </c>
      <c r="X273">
        <f t="shared" si="4"/>
        <v>97.318617029481203</v>
      </c>
    </row>
    <row r="274" spans="1:24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79.805684310599204</v>
      </c>
      <c r="G274" s="3">
        <v>42583</v>
      </c>
      <c r="H274" s="4">
        <v>97.272839614082599</v>
      </c>
      <c r="U274" s="3">
        <v>42644</v>
      </c>
      <c r="V274" s="4">
        <v>82.742465754093104</v>
      </c>
      <c r="W274" s="4">
        <f>VLOOKUP(U274,'conventional_refi_elig-old'!AA:AB,2,0)</f>
        <v>98.5077209696301</v>
      </c>
      <c r="X274">
        <f t="shared" si="4"/>
        <v>97.363426822029993</v>
      </c>
    </row>
    <row r="275" spans="1:24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97.318617029481203</v>
      </c>
      <c r="V275" s="4"/>
      <c r="W275" s="4"/>
    </row>
    <row r="276" spans="1:24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97.363426822029993</v>
      </c>
    </row>
    <row r="277" spans="1:24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79.7715033378025</v>
      </c>
      <c r="G277" s="3" t="s">
        <v>10</v>
      </c>
      <c r="H277" s="4">
        <v>23832.838041880263</v>
      </c>
    </row>
    <row r="278" spans="1:24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24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24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79.640841873983803</v>
      </c>
    </row>
    <row r="281" spans="1:24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24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24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79.508590469138596</v>
      </c>
    </row>
    <row r="284" spans="1:24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24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24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79.848174885620693</v>
      </c>
    </row>
    <row r="287" spans="1:24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24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80.078120103873104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80.357488715933499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82.353785685503894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84.076388727555198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85.661291148518799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86.488663050583099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87.297181463472995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88.059417753653094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88.491988246453204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88.927375406355296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89.371020356919601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89.979179531146002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2.1648676617129001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16.901075314741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99.294132324663593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87.849120842201003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3.3608537685228201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14.852601716034901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94.246603354553102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85.622471790348001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4.5415904074526301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13.6470971562931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90.8562420454696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84.384279175000898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8.1576534952761008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12.6532882663273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87.242006959368496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82.678321110699102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12.370699930371501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11.808332023176099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83.372746072587503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80.576301131789407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17.480832314631101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11.2517378647971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79.922682239152294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78.432703548004497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20.269741256700101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10.7410741601777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75.878918191173895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76.128961226637998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23.296294011509602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10.3325509295261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72.636014508700299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74.083517583914698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26.1122966101385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9.9995437676868502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70.053828937590694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72.333120445077995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25.8785292243907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9.8058320360714397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68.487570082774795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70.808272464390001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25.973004409562598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8.2969781559221598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67.234365902755002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69.581924251244601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25.9792525373046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8.2011373099446807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66.175867700570606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95.179940211158296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95.2664722160671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95.331270434242697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95.466246239939593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95.587876987092997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95.697452801213402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95.771248283684002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95.8527439564823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95.923798528977002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96.011339749356793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96.0903889442028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96.158699440393804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96.234163793997993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96.296888092994806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96.351437556330893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96.417031127283195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96.481219785011405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96.554147052707293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96.615394011506197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96.685098678952698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96.7417877935099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96.803938581385097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96.861658526857894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96.901093872704294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96.956479589021797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97.006132523328802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97.046723163872102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97.1007025819262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97.148813163737003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97.190584403677406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97.237467888119596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97.272839614082599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97.318617029481203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97.363426822029993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U511"/>
  <sheetViews>
    <sheetView workbookViewId="0">
      <selection activeCell="N59" sqref="N59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U1" t="s">
        <v>22</v>
      </c>
    </row>
    <row r="2" spans="1:21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</row>
    <row r="3" spans="1:21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18</v>
      </c>
    </row>
    <row r="4" spans="1:21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</row>
    <row r="5" spans="1:21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</row>
    <row r="6" spans="1:21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</row>
    <row r="7" spans="1:21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</row>
    <row r="8" spans="1:21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</row>
    <row r="9" spans="1:21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</row>
    <row r="10" spans="1:21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</row>
    <row r="11" spans="1:21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</row>
    <row r="12" spans="1:21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</row>
    <row r="13" spans="1:21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</row>
    <row r="14" spans="1:21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</row>
    <row r="15" spans="1:21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</row>
    <row r="16" spans="1:21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</row>
    <row r="17" spans="1:21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t="s">
        <v>20</v>
      </c>
    </row>
    <row r="18" spans="1:21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</row>
    <row r="19" spans="1:21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</row>
    <row r="20" spans="1:21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</row>
    <row r="21" spans="1:21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</row>
    <row r="22" spans="1:21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</row>
    <row r="23" spans="1:21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</row>
    <row r="24" spans="1:21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</row>
    <row r="25" spans="1:21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</row>
    <row r="26" spans="1:21" x14ac:dyDescent="0.25">
      <c r="A26" t="s">
        <v>5</v>
      </c>
      <c r="B26" s="1">
        <v>35096</v>
      </c>
      <c r="C26">
        <v>148833</v>
      </c>
      <c r="D26">
        <v>341672418203.37</v>
      </c>
      <c r="E26">
        <v>87.638767150864894</v>
      </c>
      <c r="G26" s="3">
        <v>35034</v>
      </c>
      <c r="H26" s="4">
        <v>87.650829326129795</v>
      </c>
    </row>
    <row r="27" spans="1:21" x14ac:dyDescent="0.25">
      <c r="A27" t="s">
        <v>5</v>
      </c>
      <c r="B27" s="1">
        <v>35125</v>
      </c>
      <c r="C27">
        <v>149785</v>
      </c>
      <c r="D27">
        <v>346545445220.38</v>
      </c>
      <c r="E27">
        <v>87.594845967040499</v>
      </c>
      <c r="G27" s="3">
        <v>35065</v>
      </c>
      <c r="H27" s="4">
        <v>87.651441150506002</v>
      </c>
    </row>
    <row r="28" spans="1:21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87.539967592249894</v>
      </c>
      <c r="G28" s="3">
        <v>35096</v>
      </c>
      <c r="H28" s="4">
        <v>87.638767150864894</v>
      </c>
    </row>
    <row r="29" spans="1:21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87.489480388748106</v>
      </c>
      <c r="G29" s="3">
        <v>35125</v>
      </c>
      <c r="H29" s="4">
        <v>87.594845967040499</v>
      </c>
    </row>
    <row r="30" spans="1:21" x14ac:dyDescent="0.25">
      <c r="A30" t="s">
        <v>5</v>
      </c>
      <c r="B30" s="1">
        <v>35217</v>
      </c>
      <c r="C30">
        <v>152681</v>
      </c>
      <c r="D30">
        <v>359153508694.62</v>
      </c>
      <c r="E30">
        <v>87.350495031270199</v>
      </c>
      <c r="G30" s="3">
        <v>35156</v>
      </c>
      <c r="H30" s="4">
        <v>87.539967592249894</v>
      </c>
    </row>
    <row r="31" spans="1:21" x14ac:dyDescent="0.25">
      <c r="A31" t="s">
        <v>5</v>
      </c>
      <c r="B31" s="1">
        <v>35247</v>
      </c>
      <c r="C31">
        <v>153592</v>
      </c>
      <c r="D31">
        <v>364145909105.21997</v>
      </c>
      <c r="E31">
        <v>87.267047573837701</v>
      </c>
      <c r="G31" s="3">
        <v>35186</v>
      </c>
      <c r="H31" s="4">
        <v>87.489480388748106</v>
      </c>
    </row>
    <row r="32" spans="1:21" x14ac:dyDescent="0.25">
      <c r="A32" t="s">
        <v>5</v>
      </c>
      <c r="B32" s="1">
        <v>35278</v>
      </c>
      <c r="C32">
        <v>154353</v>
      </c>
      <c r="D32">
        <v>367843583423.22998</v>
      </c>
      <c r="E32">
        <v>87.210539200854996</v>
      </c>
      <c r="G32" s="3">
        <v>35217</v>
      </c>
      <c r="H32" s="4">
        <v>87.350495031270199</v>
      </c>
    </row>
    <row r="33" spans="1:21" x14ac:dyDescent="0.25">
      <c r="A33" t="s">
        <v>5</v>
      </c>
      <c r="B33" s="1">
        <v>35309</v>
      </c>
      <c r="C33">
        <v>155081</v>
      </c>
      <c r="D33">
        <v>370513413856.09998</v>
      </c>
      <c r="E33">
        <v>87.167279038064095</v>
      </c>
      <c r="G33" s="3">
        <v>35247</v>
      </c>
      <c r="H33" s="4">
        <v>87.267047573837701</v>
      </c>
    </row>
    <row r="34" spans="1:21" x14ac:dyDescent="0.25">
      <c r="A34" t="s">
        <v>5</v>
      </c>
      <c r="B34" s="1">
        <v>35339</v>
      </c>
      <c r="C34">
        <v>155900</v>
      </c>
      <c r="D34">
        <v>375154945459.59998</v>
      </c>
      <c r="E34">
        <v>87.123162675638994</v>
      </c>
      <c r="G34" s="3">
        <v>35278</v>
      </c>
      <c r="H34" s="4">
        <v>87.210539200854996</v>
      </c>
    </row>
    <row r="35" spans="1:21" x14ac:dyDescent="0.25">
      <c r="A35" t="s">
        <v>5</v>
      </c>
      <c r="B35" s="1">
        <v>35370</v>
      </c>
      <c r="C35">
        <v>156553</v>
      </c>
      <c r="D35">
        <v>378164550622.22998</v>
      </c>
      <c r="E35">
        <v>87.087522316105904</v>
      </c>
      <c r="G35" s="3">
        <v>35309</v>
      </c>
      <c r="H35" s="4">
        <v>87.167279038064095</v>
      </c>
      <c r="U35" t="s">
        <v>21</v>
      </c>
    </row>
    <row r="36" spans="1:21" x14ac:dyDescent="0.25">
      <c r="A36" t="s">
        <v>5</v>
      </c>
      <c r="B36" s="1">
        <v>35400</v>
      </c>
      <c r="C36">
        <v>157183</v>
      </c>
      <c r="D36">
        <v>380573155397.19</v>
      </c>
      <c r="E36">
        <v>87.0656198392345</v>
      </c>
      <c r="G36" s="3">
        <v>35339</v>
      </c>
      <c r="H36" s="4">
        <v>87.123162675638994</v>
      </c>
    </row>
    <row r="37" spans="1:21" x14ac:dyDescent="0.25">
      <c r="A37" t="s">
        <v>5</v>
      </c>
      <c r="B37" s="1">
        <v>35431</v>
      </c>
      <c r="C37">
        <v>157961</v>
      </c>
      <c r="D37">
        <v>383579286284.32001</v>
      </c>
      <c r="E37">
        <v>87.062966482800604</v>
      </c>
      <c r="G37" s="3">
        <v>35370</v>
      </c>
      <c r="H37" s="4">
        <v>87.087522316105904</v>
      </c>
    </row>
    <row r="38" spans="1:21" x14ac:dyDescent="0.25">
      <c r="A38" t="s">
        <v>5</v>
      </c>
      <c r="B38" s="1">
        <v>35462</v>
      </c>
      <c r="C38">
        <v>158587</v>
      </c>
      <c r="D38">
        <v>385622880966.02002</v>
      </c>
      <c r="E38">
        <v>87.059408290327397</v>
      </c>
      <c r="G38" s="3">
        <v>35400</v>
      </c>
      <c r="H38" s="4">
        <v>87.0656198392345</v>
      </c>
    </row>
    <row r="39" spans="1:21" x14ac:dyDescent="0.25">
      <c r="A39" t="s">
        <v>5</v>
      </c>
      <c r="B39" s="1">
        <v>35490</v>
      </c>
      <c r="C39">
        <v>159328</v>
      </c>
      <c r="D39">
        <v>388944585913.88</v>
      </c>
      <c r="E39">
        <v>87.054438717454104</v>
      </c>
      <c r="G39" s="3">
        <v>35431</v>
      </c>
      <c r="H39" s="4">
        <v>87.062966482800604</v>
      </c>
    </row>
    <row r="40" spans="1:21" x14ac:dyDescent="0.25">
      <c r="A40" t="s">
        <v>5</v>
      </c>
      <c r="B40" s="1">
        <v>35521</v>
      </c>
      <c r="C40">
        <v>160031</v>
      </c>
      <c r="D40">
        <v>391996345649.14001</v>
      </c>
      <c r="E40">
        <v>87.025258187068502</v>
      </c>
      <c r="G40" s="3">
        <v>35462</v>
      </c>
      <c r="H40" s="4">
        <v>87.059408290327397</v>
      </c>
    </row>
    <row r="41" spans="1:21" x14ac:dyDescent="0.25">
      <c r="A41" t="s">
        <v>5</v>
      </c>
      <c r="B41" s="1">
        <v>35551</v>
      </c>
      <c r="C41">
        <v>160667</v>
      </c>
      <c r="D41">
        <v>394401986179.65997</v>
      </c>
      <c r="E41">
        <v>87.004006927359995</v>
      </c>
      <c r="G41" s="3">
        <v>35490</v>
      </c>
      <c r="H41" s="4">
        <v>87.054438717454104</v>
      </c>
    </row>
    <row r="42" spans="1:21" x14ac:dyDescent="0.25">
      <c r="A42" t="s">
        <v>5</v>
      </c>
      <c r="B42" s="1">
        <v>35582</v>
      </c>
      <c r="C42">
        <v>161332</v>
      </c>
      <c r="D42">
        <v>397650299517.78003</v>
      </c>
      <c r="E42">
        <v>86.986453200166395</v>
      </c>
      <c r="G42" s="3">
        <v>35521</v>
      </c>
      <c r="H42" s="4">
        <v>87.025258187068502</v>
      </c>
    </row>
    <row r="43" spans="1:21" x14ac:dyDescent="0.25">
      <c r="A43" t="s">
        <v>5</v>
      </c>
      <c r="B43" s="1">
        <v>35612</v>
      </c>
      <c r="C43">
        <v>161858</v>
      </c>
      <c r="D43">
        <v>399661358461.85999</v>
      </c>
      <c r="E43">
        <v>86.982191542632094</v>
      </c>
      <c r="G43" s="3">
        <v>35551</v>
      </c>
      <c r="H43" s="4">
        <v>87.004006927359995</v>
      </c>
    </row>
    <row r="44" spans="1:21" x14ac:dyDescent="0.25">
      <c r="A44" t="s">
        <v>5</v>
      </c>
      <c r="B44" s="1">
        <v>35643</v>
      </c>
      <c r="C44">
        <v>162531</v>
      </c>
      <c r="D44">
        <v>402473247826.06</v>
      </c>
      <c r="E44">
        <v>86.972078296439406</v>
      </c>
      <c r="G44" s="3">
        <v>35582</v>
      </c>
      <c r="H44" s="4">
        <v>86.986453200166395</v>
      </c>
    </row>
    <row r="45" spans="1:21" x14ac:dyDescent="0.25">
      <c r="A45" t="s">
        <v>5</v>
      </c>
      <c r="B45" s="1">
        <v>35674</v>
      </c>
      <c r="C45">
        <v>163328</v>
      </c>
      <c r="D45">
        <v>407135000510.78003</v>
      </c>
      <c r="E45">
        <v>86.955910142215103</v>
      </c>
      <c r="G45" s="3">
        <v>35612</v>
      </c>
      <c r="H45" s="4">
        <v>86.982191542632094</v>
      </c>
    </row>
    <row r="46" spans="1:21" x14ac:dyDescent="0.25">
      <c r="A46" t="s">
        <v>5</v>
      </c>
      <c r="B46" s="1">
        <v>35704</v>
      </c>
      <c r="C46">
        <v>164171</v>
      </c>
      <c r="D46">
        <v>410957899203.09998</v>
      </c>
      <c r="E46">
        <v>86.984600527235798</v>
      </c>
      <c r="G46" s="3">
        <v>35643</v>
      </c>
      <c r="H46" s="4">
        <v>86.972078296439406</v>
      </c>
    </row>
    <row r="47" spans="1:21" x14ac:dyDescent="0.25">
      <c r="A47" t="s">
        <v>5</v>
      </c>
      <c r="B47" s="1">
        <v>35735</v>
      </c>
      <c r="C47">
        <v>164998</v>
      </c>
      <c r="D47">
        <v>415578143387.42999</v>
      </c>
      <c r="E47">
        <v>87.025177185626802</v>
      </c>
      <c r="G47" s="3">
        <v>35674</v>
      </c>
      <c r="H47" s="4">
        <v>86.955910142215103</v>
      </c>
    </row>
    <row r="48" spans="1:21" x14ac:dyDescent="0.25">
      <c r="A48" t="s">
        <v>5</v>
      </c>
      <c r="B48" s="1">
        <v>35765</v>
      </c>
      <c r="C48">
        <v>165889</v>
      </c>
      <c r="D48">
        <v>420442181020.82001</v>
      </c>
      <c r="E48">
        <v>87.073142319824697</v>
      </c>
      <c r="G48" s="3">
        <v>35704</v>
      </c>
      <c r="H48" s="4">
        <v>86.984600527235798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87.1078188133216</v>
      </c>
      <c r="G49" s="3">
        <v>35735</v>
      </c>
      <c r="H49" s="4">
        <v>87.025177185626802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87.143070069308706</v>
      </c>
      <c r="G50" s="3">
        <v>35765</v>
      </c>
      <c r="H50" s="4">
        <v>87.073142319824697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87.197946791622797</v>
      </c>
      <c r="G51" s="3">
        <v>35796</v>
      </c>
      <c r="H51" s="4">
        <v>87.1078188133216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87.305434648596503</v>
      </c>
      <c r="G52" s="3">
        <v>35827</v>
      </c>
      <c r="H52" s="4">
        <v>87.143070069308706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87.413509283619604</v>
      </c>
      <c r="G53" s="3">
        <v>35855</v>
      </c>
      <c r="H53" s="4">
        <v>87.197946791622797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87.526915309829405</v>
      </c>
      <c r="G54" s="3">
        <v>35886</v>
      </c>
      <c r="H54" s="4">
        <v>87.305434648596503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87.638456668359098</v>
      </c>
      <c r="G55" s="3">
        <v>35916</v>
      </c>
      <c r="H55" s="4">
        <v>87.413509283619604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87.724912237343602</v>
      </c>
      <c r="G56" s="3">
        <v>35947</v>
      </c>
      <c r="H56" s="4">
        <v>87.526915309829405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87.832739251962806</v>
      </c>
      <c r="G57" s="3">
        <v>35977</v>
      </c>
      <c r="H57" s="4">
        <v>87.638456668359098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87.942232411340498</v>
      </c>
      <c r="G58" s="3">
        <v>36008</v>
      </c>
      <c r="H58" s="4">
        <v>87.724912237343602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88.017618281853103</v>
      </c>
      <c r="G59" s="3">
        <v>36039</v>
      </c>
      <c r="H59" s="4">
        <v>87.832739251962806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88.133848620739698</v>
      </c>
      <c r="G60" s="3">
        <v>36069</v>
      </c>
      <c r="H60" s="4">
        <v>87.942232411340498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88.268845561107099</v>
      </c>
      <c r="G61" s="3">
        <v>36100</v>
      </c>
      <c r="H61" s="4">
        <v>88.017618281853103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88.371028887467702</v>
      </c>
      <c r="G62" s="3">
        <v>36130</v>
      </c>
      <c r="H62" s="4">
        <v>88.133848620739698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88.461997150246802</v>
      </c>
      <c r="G63" s="3">
        <v>36161</v>
      </c>
      <c r="H63" s="4">
        <v>88.268845561107099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88.552277416830094</v>
      </c>
      <c r="G64" s="3">
        <v>36192</v>
      </c>
      <c r="H64" s="4">
        <v>88.371028887467702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88.616249219703406</v>
      </c>
      <c r="G65" s="3">
        <v>36220</v>
      </c>
      <c r="H65" s="4">
        <v>88.461997150246802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88.701786724976003</v>
      </c>
      <c r="G66" s="3">
        <v>36251</v>
      </c>
      <c r="H66" s="4">
        <v>88.552277416830094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88.776666682162897</v>
      </c>
      <c r="G67" s="3">
        <v>36281</v>
      </c>
      <c r="H67" s="4">
        <v>88.616249219703406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88.858935065052705</v>
      </c>
      <c r="G68" s="3">
        <v>36312</v>
      </c>
      <c r="H68" s="4">
        <v>88.701786724976003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88.909829601185507</v>
      </c>
      <c r="G69" s="3">
        <v>36342</v>
      </c>
      <c r="H69" s="4">
        <v>88.776666682162897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88.953006916878294</v>
      </c>
      <c r="G70" s="3">
        <v>36373</v>
      </c>
      <c r="H70" s="4">
        <v>88.858935065052705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88.969458461210493</v>
      </c>
      <c r="G71" s="3">
        <v>36404</v>
      </c>
      <c r="H71" s="4">
        <v>88.909829601185507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88.9935458383991</v>
      </c>
      <c r="G72" s="3">
        <v>36434</v>
      </c>
      <c r="H72" s="4">
        <v>88.953006916878294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89.029423027295195</v>
      </c>
      <c r="G73" s="3">
        <v>36465</v>
      </c>
      <c r="H73" s="4">
        <v>88.969458461210493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89.055375332177803</v>
      </c>
      <c r="G74" s="3">
        <v>36495</v>
      </c>
      <c r="H74" s="4">
        <v>88.9935458383991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89.044163096928699</v>
      </c>
      <c r="G75" s="3">
        <v>36526</v>
      </c>
      <c r="H75" s="4">
        <v>89.029423027295195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89.039825594486302</v>
      </c>
      <c r="G76" s="3">
        <v>36557</v>
      </c>
      <c r="H76" s="4">
        <v>89.055375332177803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89.026476151107701</v>
      </c>
      <c r="G77" s="3">
        <v>36586</v>
      </c>
      <c r="H77" s="4">
        <v>89.044163096928699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89.031220220895094</v>
      </c>
      <c r="G78" s="3">
        <v>36617</v>
      </c>
      <c r="H78" s="4">
        <v>89.039825594486302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89.029479467077394</v>
      </c>
      <c r="G79" s="3">
        <v>36647</v>
      </c>
      <c r="H79" s="4">
        <v>89.026476151107701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89.027793769900796</v>
      </c>
      <c r="G80" s="3">
        <v>36678</v>
      </c>
      <c r="H80" s="4">
        <v>89.031220220895094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89.029976588477396</v>
      </c>
      <c r="G81" s="3">
        <v>36708</v>
      </c>
      <c r="H81" s="4">
        <v>89.029479467077394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89.028320655818106</v>
      </c>
      <c r="G82" s="3">
        <v>36739</v>
      </c>
      <c r="H82" s="4">
        <v>89.027793769900796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88.993590812684104</v>
      </c>
      <c r="G83" s="3">
        <v>36770</v>
      </c>
      <c r="H83" s="4">
        <v>89.029976588477396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89.008163209273107</v>
      </c>
      <c r="G84" s="3">
        <v>36800</v>
      </c>
      <c r="H84" s="4">
        <v>89.028320655818106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88.942051083775397</v>
      </c>
      <c r="G85" s="3">
        <v>36831</v>
      </c>
      <c r="H85" s="4">
        <v>88.993590812684104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88.931005343214395</v>
      </c>
      <c r="G86" s="3">
        <v>36861</v>
      </c>
      <c r="H86" s="4">
        <v>89.008163209273107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88.933954385904102</v>
      </c>
      <c r="G87" s="3">
        <v>36892</v>
      </c>
      <c r="H87" s="4">
        <v>88.942051083775397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88.886761252337195</v>
      </c>
      <c r="G88" s="3">
        <v>36923</v>
      </c>
      <c r="H88" s="4">
        <v>88.931005343214395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88.841547746600398</v>
      </c>
      <c r="G89" s="3">
        <v>36951</v>
      </c>
      <c r="H89" s="4">
        <v>88.933954385904102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88.794389672061001</v>
      </c>
      <c r="G90" s="3">
        <v>36982</v>
      </c>
      <c r="H90" s="4">
        <v>88.886761252337195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88.744071357624804</v>
      </c>
      <c r="G91" s="3">
        <v>37012</v>
      </c>
      <c r="H91" s="4">
        <v>88.841547746600398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88.666839367494205</v>
      </c>
      <c r="G92" s="3">
        <v>37043</v>
      </c>
      <c r="H92" s="4">
        <v>88.794389672061001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88.610441077865104</v>
      </c>
      <c r="G93" s="3">
        <v>37073</v>
      </c>
      <c r="H93" s="4">
        <v>88.744071357624804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88.515355981039605</v>
      </c>
      <c r="G94" s="3">
        <v>37104</v>
      </c>
      <c r="H94" s="4">
        <v>88.666839367494205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88.4341878741795</v>
      </c>
      <c r="G95" s="3">
        <v>37135</v>
      </c>
      <c r="H95" s="4">
        <v>88.610441077865104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88.351837777550898</v>
      </c>
      <c r="G96" s="3">
        <v>37165</v>
      </c>
      <c r="H96" s="4">
        <v>88.515355981039605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88.229123870524603</v>
      </c>
      <c r="G97" s="3">
        <v>37196</v>
      </c>
      <c r="H97" s="4">
        <v>88.4341878741795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88.137161073820906</v>
      </c>
      <c r="G98" s="3">
        <v>37226</v>
      </c>
      <c r="H98" s="4">
        <v>88.351837777550898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88.053296226191506</v>
      </c>
      <c r="G99" s="3">
        <v>37257</v>
      </c>
      <c r="H99" s="4">
        <v>88.229123870524603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87.969078988211294</v>
      </c>
      <c r="G100" s="3">
        <v>37288</v>
      </c>
      <c r="H100" s="4">
        <v>88.137161073820906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87.858926286424307</v>
      </c>
      <c r="G101" s="3">
        <v>37316</v>
      </c>
      <c r="H101" s="4">
        <v>88.053296226191506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87.757985249224404</v>
      </c>
      <c r="G102" s="3">
        <v>37347</v>
      </c>
      <c r="H102" s="4">
        <v>87.969078988211294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87.656004456856095</v>
      </c>
      <c r="G103" s="3">
        <v>37377</v>
      </c>
      <c r="H103" s="4">
        <v>87.858926286424307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87.562530177691499</v>
      </c>
      <c r="G104" s="3">
        <v>37408</v>
      </c>
      <c r="H104" s="4">
        <v>87.757985249224404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87.452257702126204</v>
      </c>
      <c r="G105" s="3">
        <v>37438</v>
      </c>
      <c r="H105" s="4">
        <v>87.656004456856095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87.353433582665104</v>
      </c>
      <c r="G106" s="3">
        <v>37469</v>
      </c>
      <c r="H106" s="4">
        <v>87.562530177691499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87.257450282460198</v>
      </c>
      <c r="G107" s="3">
        <v>37500</v>
      </c>
      <c r="H107" s="4">
        <v>87.452257702126204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87.172606718407806</v>
      </c>
      <c r="G108" s="3">
        <v>37530</v>
      </c>
      <c r="H108" s="4">
        <v>87.353433582665104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87.129265497458803</v>
      </c>
      <c r="G109" s="3">
        <v>37561</v>
      </c>
      <c r="H109" s="4">
        <v>87.257450282460198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87.109877746218899</v>
      </c>
      <c r="G110" s="3">
        <v>37591</v>
      </c>
      <c r="H110" s="4">
        <v>87.172606718407806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87.087420386953795</v>
      </c>
      <c r="G111" s="3">
        <v>37622</v>
      </c>
      <c r="H111" s="4">
        <v>87.129265497458803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87.084098887905398</v>
      </c>
      <c r="G112" s="3">
        <v>37653</v>
      </c>
      <c r="H112" s="4">
        <v>87.109877746218899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86.714556900057502</v>
      </c>
      <c r="G113" s="3">
        <v>37681</v>
      </c>
      <c r="H113" s="4">
        <v>87.087420386953795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86.530358046206302</v>
      </c>
      <c r="G114" s="3">
        <v>37712</v>
      </c>
      <c r="H114" s="4">
        <v>87.084098887905398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86.599883508001298</v>
      </c>
      <c r="G115" s="3">
        <v>37742</v>
      </c>
      <c r="H115" s="4">
        <v>86.714556900057502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86.621576475268597</v>
      </c>
      <c r="G116" s="3">
        <v>37773</v>
      </c>
      <c r="H116" s="4">
        <v>86.530358046206302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86.638988421167994</v>
      </c>
      <c r="G117" s="3">
        <v>37803</v>
      </c>
      <c r="H117" s="4">
        <v>86.599883508001298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86.6565435457061</v>
      </c>
      <c r="G118" s="3">
        <v>37834</v>
      </c>
      <c r="H118" s="4">
        <v>86.621576475268597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86.623627534214194</v>
      </c>
      <c r="G119" s="3">
        <v>37865</v>
      </c>
      <c r="H119" s="4">
        <v>86.638988421167994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86.610717721113502</v>
      </c>
      <c r="G120" s="3">
        <v>37895</v>
      </c>
      <c r="H120" s="4">
        <v>86.6565435457061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86.490801222106697</v>
      </c>
      <c r="G121" s="3">
        <v>37926</v>
      </c>
      <c r="H121" s="4">
        <v>86.623627534214194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86.500345845228196</v>
      </c>
      <c r="G122" s="3">
        <v>37956</v>
      </c>
      <c r="H122" s="4">
        <v>86.610717721113502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86.591246002301901</v>
      </c>
      <c r="G123" s="3">
        <v>37987</v>
      </c>
      <c r="H123" s="4">
        <v>86.490801222106697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86.6936382398993</v>
      </c>
      <c r="G124" s="3">
        <v>38018</v>
      </c>
      <c r="H124" s="4">
        <v>86.500345845228196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86.7638962162914</v>
      </c>
      <c r="G125" s="3">
        <v>38047</v>
      </c>
      <c r="H125" s="4">
        <v>86.591246002301901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86.843761341058695</v>
      </c>
      <c r="G126" s="3">
        <v>38078</v>
      </c>
      <c r="H126" s="4">
        <v>86.6936382398993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86.951509448135894</v>
      </c>
      <c r="G127" s="3">
        <v>38108</v>
      </c>
      <c r="H127" s="4">
        <v>86.7638962162914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87.063014023675905</v>
      </c>
      <c r="G128" s="3">
        <v>38139</v>
      </c>
      <c r="H128" s="4">
        <v>86.843761341058695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87.146844314777596</v>
      </c>
      <c r="G129" s="3">
        <v>38169</v>
      </c>
      <c r="H129" s="4">
        <v>86.951509448135894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87.209672701657695</v>
      </c>
      <c r="G130" s="3">
        <v>38200</v>
      </c>
      <c r="H130" s="4">
        <v>87.063014023675905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87.268068654338407</v>
      </c>
      <c r="G131" s="3">
        <v>38231</v>
      </c>
      <c r="H131" s="4">
        <v>87.146844314777596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87.364569637615503</v>
      </c>
      <c r="G132" s="3">
        <v>38261</v>
      </c>
      <c r="H132" s="4">
        <v>87.209672701657695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87.456943654591001</v>
      </c>
      <c r="G133" s="3">
        <v>38292</v>
      </c>
      <c r="H133" s="4">
        <v>87.268068654338407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87.544134636964202</v>
      </c>
      <c r="G134" s="3">
        <v>38322</v>
      </c>
      <c r="H134" s="4">
        <v>87.364569637615503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87.639782044724896</v>
      </c>
      <c r="G135" s="3">
        <v>38353</v>
      </c>
      <c r="H135" s="4">
        <v>87.456943654591001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86.998545907648506</v>
      </c>
      <c r="G136" s="3">
        <v>38384</v>
      </c>
      <c r="H136" s="4">
        <v>87.544134636964202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87.070158300687197</v>
      </c>
      <c r="G137" s="3">
        <v>38412</v>
      </c>
      <c r="H137" s="4">
        <v>87.639782044724896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87.098433188484606</v>
      </c>
      <c r="G138" s="3">
        <v>38443</v>
      </c>
      <c r="H138" s="4">
        <v>86.998545907648506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87.9459395061577</v>
      </c>
      <c r="G139" s="3">
        <v>38473</v>
      </c>
      <c r="H139" s="4">
        <v>87.070158300687197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88.022032441905296</v>
      </c>
      <c r="G140" s="3">
        <v>38504</v>
      </c>
      <c r="H140" s="4">
        <v>87.098433188484606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88.124632886633407</v>
      </c>
      <c r="G141" s="3">
        <v>38534</v>
      </c>
      <c r="H141" s="4">
        <v>87.9459395061577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88.184165619189002</v>
      </c>
      <c r="G142" s="3">
        <v>38565</v>
      </c>
      <c r="H142" s="4">
        <v>88.022032441905296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88.253865925312297</v>
      </c>
      <c r="G143" s="3">
        <v>38596</v>
      </c>
      <c r="H143" s="4">
        <v>88.124632886633407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88.310544229910604</v>
      </c>
      <c r="G144" s="3">
        <v>38626</v>
      </c>
      <c r="H144" s="4">
        <v>88.184165619189002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88.375512309580699</v>
      </c>
      <c r="G145" s="3">
        <v>38657</v>
      </c>
      <c r="H145" s="4">
        <v>88.253865925312297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88.411336628136198</v>
      </c>
      <c r="G146" s="3">
        <v>38687</v>
      </c>
      <c r="H146" s="4">
        <v>88.310544229910604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88.483119825112595</v>
      </c>
      <c r="G147" s="3">
        <v>38718</v>
      </c>
      <c r="H147" s="4">
        <v>88.375512309580699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88.552900051835806</v>
      </c>
      <c r="G148" s="3">
        <v>38749</v>
      </c>
      <c r="H148" s="4">
        <v>88.411336628136198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88.639814557968094</v>
      </c>
      <c r="G149" s="3">
        <v>38777</v>
      </c>
      <c r="H149" s="4">
        <v>88.483119825112595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88.686965237758798</v>
      </c>
      <c r="G150" s="3">
        <v>38808</v>
      </c>
      <c r="H150" s="4">
        <v>88.552900051835806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88.662003187691198</v>
      </c>
      <c r="G151" s="3">
        <v>38838</v>
      </c>
      <c r="H151" s="4">
        <v>88.639814557968094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88.633184128491806</v>
      </c>
      <c r="G152" s="3">
        <v>38869</v>
      </c>
      <c r="H152" s="4">
        <v>88.686965237758798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88.575908177825596</v>
      </c>
      <c r="G153" s="3">
        <v>38899</v>
      </c>
      <c r="H153" s="4">
        <v>88.662003187691198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88.490973230128603</v>
      </c>
      <c r="G154" s="3">
        <v>38930</v>
      </c>
      <c r="H154" s="4">
        <v>88.633184128491806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88.425241161272297</v>
      </c>
      <c r="G155" s="3">
        <v>38961</v>
      </c>
      <c r="H155" s="4">
        <v>88.575908177825596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88.308333009149194</v>
      </c>
      <c r="G156" s="3">
        <v>38991</v>
      </c>
      <c r="H156" s="4">
        <v>88.490973230128603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88.250993556478804</v>
      </c>
      <c r="G157" s="3">
        <v>39022</v>
      </c>
      <c r="H157" s="4">
        <v>88.425241161272297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88.231156768375001</v>
      </c>
      <c r="G158" s="3">
        <v>39052</v>
      </c>
      <c r="H158" s="4">
        <v>88.308333009149194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88.191237844041098</v>
      </c>
      <c r="G159" s="3">
        <v>39083</v>
      </c>
      <c r="H159" s="4">
        <v>88.250993556478804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88.242387435627606</v>
      </c>
      <c r="G160" s="3">
        <v>39114</v>
      </c>
      <c r="H160" s="4">
        <v>88.231156768375001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88.251108461551894</v>
      </c>
      <c r="G161" s="3">
        <v>39142</v>
      </c>
      <c r="H161" s="4">
        <v>88.191237844041098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88.230248086247997</v>
      </c>
      <c r="G162" s="3">
        <v>39173</v>
      </c>
      <c r="H162" s="4">
        <v>88.242387435627606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87.865863801511395</v>
      </c>
      <c r="G163" s="3">
        <v>39203</v>
      </c>
      <c r="H163" s="4">
        <v>88.251108461551894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87.487743805972798</v>
      </c>
      <c r="G164" s="3">
        <v>39234</v>
      </c>
      <c r="H164" s="4">
        <v>88.230248086247997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87.140811647425195</v>
      </c>
      <c r="G165" s="3">
        <v>39264</v>
      </c>
      <c r="H165" s="4">
        <v>87.865863801511395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86.510796921157194</v>
      </c>
      <c r="G166" s="3">
        <v>39295</v>
      </c>
      <c r="H166" s="4">
        <v>87.487743805972798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85.833051674316295</v>
      </c>
      <c r="G167" s="3">
        <v>39326</v>
      </c>
      <c r="H167" s="4">
        <v>87.140811647425195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85.086742611489598</v>
      </c>
      <c r="G168" s="3">
        <v>39356</v>
      </c>
      <c r="H168" s="4">
        <v>86.510796921157194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84.306024365993395</v>
      </c>
      <c r="G169" s="3">
        <v>39387</v>
      </c>
      <c r="H169" s="4">
        <v>85.833051674316295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83.470443153985002</v>
      </c>
      <c r="G170" s="3">
        <v>39417</v>
      </c>
      <c r="H170" s="4">
        <v>85.086742611489598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82.682961297469305</v>
      </c>
      <c r="G171" s="3">
        <v>39448</v>
      </c>
      <c r="H171" s="4">
        <v>84.306024365993395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82.174662693842194</v>
      </c>
      <c r="G172" s="3">
        <v>39479</v>
      </c>
      <c r="H172" s="4">
        <v>83.470443153985002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81.676845358394601</v>
      </c>
      <c r="G173" s="3">
        <v>39508</v>
      </c>
      <c r="H173" s="4">
        <v>82.682961297469305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82.174662693842194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81.222261870160196</v>
      </c>
      <c r="G175" s="3">
        <v>39569</v>
      </c>
      <c r="H175" s="4">
        <v>81.676845358394601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80.765426662454104</v>
      </c>
      <c r="G176" s="3">
        <v>39600</v>
      </c>
      <c r="H176" s="4">
        <v>81.222261870160196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80.765426662454104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80.184063498883503</v>
      </c>
      <c r="G178" s="3">
        <v>39661</v>
      </c>
      <c r="H178" s="4">
        <v>80.184063498883503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79.547588593466699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79.547588593466699</v>
      </c>
      <c r="G180" s="3">
        <v>39722</v>
      </c>
      <c r="H180" s="4">
        <v>78.552793329877005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77.365069847559795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76.073411207412406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78.552793329877005</v>
      </c>
      <c r="G183" s="3">
        <v>39814</v>
      </c>
      <c r="H183" s="4">
        <v>75.8452530167921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75.446892030611096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77.365069847559795</v>
      </c>
      <c r="G185" s="3">
        <v>39873</v>
      </c>
      <c r="H185" s="4">
        <v>75.0343936997794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75.645218218977107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76.073411207412406</v>
      </c>
      <c r="G187" s="3">
        <v>39934</v>
      </c>
      <c r="H187" s="4">
        <v>75.952224157883407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75.8452530167921</v>
      </c>
      <c r="G188" s="3">
        <v>39965</v>
      </c>
      <c r="H188" s="4">
        <v>76.473711675546596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76.838599335138198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77.094317575543798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75.446892030611096</v>
      </c>
      <c r="G191" s="3">
        <v>40057</v>
      </c>
      <c r="H191" s="4">
        <v>77.3685526850023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77.387977553334807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75.0343936997794</v>
      </c>
      <c r="G193" s="3">
        <v>40118</v>
      </c>
      <c r="H193" s="4">
        <v>77.333820337888199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77.202320247602898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75.645218218977107</v>
      </c>
      <c r="G195" s="3">
        <v>40179</v>
      </c>
      <c r="H195" s="4">
        <v>76.960635367766699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75.952224157883407</v>
      </c>
      <c r="G196" s="3">
        <v>40210</v>
      </c>
      <c r="H196" s="4">
        <v>76.687007725357304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76.462809359131896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76.473711675546596</v>
      </c>
      <c r="G198" s="3">
        <v>40269</v>
      </c>
      <c r="H198" s="4">
        <v>77.738433149746001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79.268676010927095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76.838599335138198</v>
      </c>
      <c r="G200" s="3">
        <v>40330</v>
      </c>
      <c r="H200" s="4">
        <v>80.5900343688959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80.348113741626904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77.094317575543798</v>
      </c>
      <c r="G202" s="3">
        <v>40391</v>
      </c>
      <c r="H202" s="4">
        <v>80.101149217187995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79.811088972242302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77.3685526850023</v>
      </c>
      <c r="G204" s="3">
        <v>40452</v>
      </c>
      <c r="H204" s="4">
        <v>79.378157255191397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78.947556028125703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77.387977553334807</v>
      </c>
      <c r="G206" s="3">
        <v>40513</v>
      </c>
      <c r="H206" s="4">
        <v>78.469860640407802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77.653683361061994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77.333820337888199</v>
      </c>
      <c r="G208" s="3">
        <v>40575</v>
      </c>
      <c r="H208" s="4">
        <v>76.651094426219103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75.668197552330795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76.566412911496002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77.202320247602898</v>
      </c>
      <c r="G211" s="3">
        <v>40664</v>
      </c>
      <c r="H211" s="4">
        <v>77.404996136443401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78.152134277436204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78.731557634820504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76.960635367766699</v>
      </c>
      <c r="G214" s="3">
        <v>40756</v>
      </c>
      <c r="H214" s="4">
        <v>79.265137337534796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79.804317639036896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79.769991769635993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76.687007725357304</v>
      </c>
      <c r="G217" s="3">
        <v>40848</v>
      </c>
      <c r="H217" s="4">
        <v>79.639500483426602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79.507086943547606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79.847724271091195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76.462809359131896</v>
      </c>
      <c r="G220" s="3">
        <v>40940</v>
      </c>
      <c r="H220" s="4">
        <v>80.077576049473095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80.357036281162095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82.352999335607194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77.738433149746001</v>
      </c>
      <c r="G223" s="3">
        <v>41030</v>
      </c>
      <c r="H223" s="4">
        <v>84.075092139472702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85.660541240689199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86.487412037087793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79.268676010927095</v>
      </c>
      <c r="G226" s="3">
        <v>41122</v>
      </c>
      <c r="H226" s="4">
        <v>87.295332346643406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88.056887782603397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88.488936208761601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80.5900343688959</v>
      </c>
      <c r="G229" s="3">
        <v>41214</v>
      </c>
      <c r="H229" s="4">
        <v>88.923652330818399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89.366679674424603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89.974651473287395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80.348113741626904</v>
      </c>
      <c r="G232" s="3">
        <v>41306</v>
      </c>
      <c r="H232" s="4">
        <v>87.844728598366004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85.618183557124496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84.380104512596802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80.101149217187995</v>
      </c>
      <c r="G235" s="3">
        <v>41395</v>
      </c>
      <c r="H235" s="4">
        <v>82.674152145397002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80.572176750309694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78.428680378496296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79.811088972242302</v>
      </c>
      <c r="G238" s="3">
        <v>41487</v>
      </c>
      <c r="H238" s="4">
        <v>76.125049448351305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74.079782525962401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72.329571310516798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79.378157255191397</v>
      </c>
      <c r="G241" s="3">
        <v>41579</v>
      </c>
      <c r="H241" s="4">
        <v>70.8048737579186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69.578707759217593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95.177249318432899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78.947556028125703</v>
      </c>
      <c r="G244" s="3">
        <v>41671</v>
      </c>
      <c r="H244" s="4">
        <v>95.264061528158905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95.3292006393999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95.464305483368406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78.469860640407802</v>
      </c>
      <c r="G247" s="3">
        <v>41760</v>
      </c>
      <c r="H247" s="4">
        <v>95.586269185181806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95.696033041890004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95.770095780891694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77.653683361061994</v>
      </c>
      <c r="G250" s="3">
        <v>41852</v>
      </c>
      <c r="H250" s="4">
        <v>95.851890088667901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95.923214952377506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96.011036768316501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76.651094426219103</v>
      </c>
      <c r="G253" s="3">
        <v>41944</v>
      </c>
      <c r="H253" s="4">
        <v>96.090082498600395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96.158543761518004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96.234261485592995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75.668197552330795</v>
      </c>
      <c r="G256" s="3">
        <v>42036</v>
      </c>
      <c r="H256" s="4">
        <v>96.297235313940703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96.351977028511897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96.417862288850998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76.566412911496002</v>
      </c>
      <c r="G259" s="3">
        <v>42125</v>
      </c>
      <c r="H259" s="4">
        <v>96.482778784733398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96.556226123040503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96.618044783022299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77.404996136443401</v>
      </c>
      <c r="G262" s="3">
        <v>42217</v>
      </c>
      <c r="H262" s="4">
        <v>96.688420894058098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96.745666634220797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96.808513574756802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78.152134277436204</v>
      </c>
      <c r="G265" s="3">
        <v>42309</v>
      </c>
      <c r="H265" s="4">
        <v>96.866869061037704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96.906750557718397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96.962339576802606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78.731557634820504</v>
      </c>
      <c r="G268" s="3">
        <v>42401</v>
      </c>
      <c r="H268" s="4">
        <v>97.012240390125399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97.052895719941105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97.106816420616695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79.265137337534796</v>
      </c>
      <c r="G271" s="3">
        <v>42491</v>
      </c>
      <c r="H271" s="4">
        <v>97.154882452379994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97.196680650312899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97.243503024039299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79.804317639036896</v>
      </c>
      <c r="G274" s="3">
        <v>42583</v>
      </c>
      <c r="H274" s="4">
        <v>97.278876053191496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97.324472322563096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97.369123580515193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79.769991769635993</v>
      </c>
      <c r="G277" s="3" t="s">
        <v>10</v>
      </c>
      <c r="H277" s="4">
        <v>23678.347975620116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79.639500483426602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79.507086943547606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79.847724271091195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80.077576049473095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80.357036281162095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82.352999335607194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84.075092139472702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85.660541240689199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86.487412037087793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87.295332346643406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88.056887782603397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88.488936208761601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88.923652330818399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89.366679674424603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89.974651473287395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2.1648676617129001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16.901075314741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99.294132324663593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87.844728598366004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3.3608537685228201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14.852601716034901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94.246603354553102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85.618183557124496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4.5415904074526301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13.6470971562931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90.8562420454696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84.380104512596802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8.1576534952761008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12.6532882663273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87.242006959368496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82.674152145397002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12.370699930371501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11.808332023176099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83.372746072587503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80.572176750309694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17.480832314631101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11.2517378647971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79.922682239152294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78.428680378496296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20.269741256700101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10.7410741601777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75.878918191173895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76.125049448351305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23.296294011509602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10.3325509295261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72.636014508700299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74.079782525962401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26.1122966101385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9.9995437676868502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70.053828937590694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72.329571310516798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25.8785292243907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9.8058320360714397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68.487570082774795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70.8048737579186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25.973004409562598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8.2969781559221598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67.234365902755002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69.578707759217593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25.9792525373046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8.2011373099446807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66.175867700570606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95.177249318432899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95.264061528158905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95.3292006393999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95.464305483368406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95.586269185181806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95.696033041890004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95.770095780891694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95.851890088667901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95.923214952377506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96.011036768316501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96.090082498600395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96.158543761518004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96.234261485592995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96.297235313940703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96.351977028511897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96.417862288850998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96.482778784733398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96.556226123040503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96.618044783022299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96.688420894058098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96.745666634220797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96.808513574756802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96.866869061037704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96.906750557718397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96.962339576802606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97.012240390125399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97.052895719941105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97.106816420616695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97.154882452379994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97.196680650312899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97.243503024039299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97.278876053191496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97.324472322563096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97.369123580515193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U511"/>
  <sheetViews>
    <sheetView tabSelected="1" workbookViewId="0">
      <selection activeCell="S43" sqref="S43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U1" t="s">
        <v>22</v>
      </c>
    </row>
    <row r="2" spans="1:21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</row>
    <row r="3" spans="1:21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18</v>
      </c>
    </row>
    <row r="4" spans="1:21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</row>
    <row r="5" spans="1:21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</row>
    <row r="6" spans="1:21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</row>
    <row r="7" spans="1:21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</row>
    <row r="8" spans="1:21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</row>
    <row r="9" spans="1:21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</row>
    <row r="10" spans="1:21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</row>
    <row r="11" spans="1:21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</row>
    <row r="12" spans="1:21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</row>
    <row r="13" spans="1:21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</row>
    <row r="14" spans="1:21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</row>
    <row r="15" spans="1:21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</row>
    <row r="16" spans="1:21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</row>
    <row r="17" spans="1:21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t="s">
        <v>20</v>
      </c>
    </row>
    <row r="18" spans="1:21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</row>
    <row r="19" spans="1:21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</row>
    <row r="20" spans="1:21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</row>
    <row r="21" spans="1:21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</row>
    <row r="22" spans="1:21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</row>
    <row r="23" spans="1:21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</row>
    <row r="24" spans="1:21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</row>
    <row r="25" spans="1:21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</row>
    <row r="26" spans="1:21" x14ac:dyDescent="0.25">
      <c r="A26" t="s">
        <v>5</v>
      </c>
      <c r="B26" s="1">
        <v>35096</v>
      </c>
      <c r="C26">
        <v>148833</v>
      </c>
      <c r="D26">
        <v>341672418203.37</v>
      </c>
      <c r="E26">
        <v>87.638767150864894</v>
      </c>
      <c r="G26" s="3">
        <v>35034</v>
      </c>
      <c r="H26" s="4">
        <v>87.650829326129795</v>
      </c>
    </row>
    <row r="27" spans="1:21" x14ac:dyDescent="0.25">
      <c r="A27" t="s">
        <v>5</v>
      </c>
      <c r="B27" s="1">
        <v>35125</v>
      </c>
      <c r="C27">
        <v>149785</v>
      </c>
      <c r="D27">
        <v>346545445220.38</v>
      </c>
      <c r="E27">
        <v>87.594845967040499</v>
      </c>
      <c r="G27" s="3">
        <v>35065</v>
      </c>
      <c r="H27" s="4">
        <v>87.651441150506002</v>
      </c>
    </row>
    <row r="28" spans="1:21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87.539967592249894</v>
      </c>
      <c r="G28" s="3">
        <v>35096</v>
      </c>
      <c r="H28" s="4">
        <v>87.638767150864894</v>
      </c>
    </row>
    <row r="29" spans="1:21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87.489480388748106</v>
      </c>
      <c r="G29" s="3">
        <v>35125</v>
      </c>
      <c r="H29" s="4">
        <v>87.594845967040499</v>
      </c>
    </row>
    <row r="30" spans="1:21" x14ac:dyDescent="0.25">
      <c r="A30" t="s">
        <v>5</v>
      </c>
      <c r="B30" s="1">
        <v>35217</v>
      </c>
      <c r="C30">
        <v>152681</v>
      </c>
      <c r="D30">
        <v>359153508694.62</v>
      </c>
      <c r="E30">
        <v>87.350495031270199</v>
      </c>
      <c r="G30" s="3">
        <v>35156</v>
      </c>
      <c r="H30" s="4">
        <v>87.539967592249894</v>
      </c>
    </row>
    <row r="31" spans="1:21" x14ac:dyDescent="0.25">
      <c r="A31" t="s">
        <v>5</v>
      </c>
      <c r="B31" s="1">
        <v>35247</v>
      </c>
      <c r="C31">
        <v>153592</v>
      </c>
      <c r="D31">
        <v>364145909105.21997</v>
      </c>
      <c r="E31">
        <v>87.267047573837701</v>
      </c>
      <c r="G31" s="3">
        <v>35186</v>
      </c>
      <c r="H31" s="4">
        <v>87.489480388748106</v>
      </c>
    </row>
    <row r="32" spans="1:21" x14ac:dyDescent="0.25">
      <c r="A32" t="s">
        <v>5</v>
      </c>
      <c r="B32" s="1">
        <v>35278</v>
      </c>
      <c r="C32">
        <v>154353</v>
      </c>
      <c r="D32">
        <v>367843583423.22998</v>
      </c>
      <c r="E32">
        <v>87.210539200854996</v>
      </c>
      <c r="G32" s="3">
        <v>35217</v>
      </c>
      <c r="H32" s="4">
        <v>87.350495031270199</v>
      </c>
    </row>
    <row r="33" spans="1:21" x14ac:dyDescent="0.25">
      <c r="A33" t="s">
        <v>5</v>
      </c>
      <c r="B33" s="1">
        <v>35309</v>
      </c>
      <c r="C33">
        <v>155081</v>
      </c>
      <c r="D33">
        <v>370513413856.09998</v>
      </c>
      <c r="E33">
        <v>87.167279038064095</v>
      </c>
      <c r="G33" s="3">
        <v>35247</v>
      </c>
      <c r="H33" s="4">
        <v>87.267047573837701</v>
      </c>
    </row>
    <row r="34" spans="1:21" x14ac:dyDescent="0.25">
      <c r="A34" t="s">
        <v>5</v>
      </c>
      <c r="B34" s="1">
        <v>35339</v>
      </c>
      <c r="C34">
        <v>155900</v>
      </c>
      <c r="D34">
        <v>375154945459.59998</v>
      </c>
      <c r="E34">
        <v>87.123162675638994</v>
      </c>
      <c r="G34" s="3">
        <v>35278</v>
      </c>
      <c r="H34" s="4">
        <v>87.210539200854996</v>
      </c>
    </row>
    <row r="35" spans="1:21" x14ac:dyDescent="0.25">
      <c r="A35" t="s">
        <v>5</v>
      </c>
      <c r="B35" s="1">
        <v>35370</v>
      </c>
      <c r="C35">
        <v>156553</v>
      </c>
      <c r="D35">
        <v>378164550622.22998</v>
      </c>
      <c r="E35">
        <v>87.087522316105904</v>
      </c>
      <c r="G35" s="3">
        <v>35309</v>
      </c>
      <c r="H35" s="4">
        <v>87.167279038064095</v>
      </c>
      <c r="U35" t="s">
        <v>21</v>
      </c>
    </row>
    <row r="36" spans="1:21" x14ac:dyDescent="0.25">
      <c r="A36" t="s">
        <v>5</v>
      </c>
      <c r="B36" s="1">
        <v>35400</v>
      </c>
      <c r="C36">
        <v>157183</v>
      </c>
      <c r="D36">
        <v>380573155397.19</v>
      </c>
      <c r="E36">
        <v>87.0656198392345</v>
      </c>
      <c r="G36" s="3">
        <v>35339</v>
      </c>
      <c r="H36" s="4">
        <v>87.123162675638994</v>
      </c>
    </row>
    <row r="37" spans="1:21" x14ac:dyDescent="0.25">
      <c r="A37" t="s">
        <v>5</v>
      </c>
      <c r="B37" s="1">
        <v>35431</v>
      </c>
      <c r="C37">
        <v>157961</v>
      </c>
      <c r="D37">
        <v>383579286284.32001</v>
      </c>
      <c r="E37">
        <v>87.062966482800604</v>
      </c>
      <c r="G37" s="3">
        <v>35370</v>
      </c>
      <c r="H37" s="4">
        <v>87.087522316105904</v>
      </c>
    </row>
    <row r="38" spans="1:21" x14ac:dyDescent="0.25">
      <c r="A38" t="s">
        <v>5</v>
      </c>
      <c r="B38" s="1">
        <v>35462</v>
      </c>
      <c r="C38">
        <v>158587</v>
      </c>
      <c r="D38">
        <v>385622880966.02002</v>
      </c>
      <c r="E38">
        <v>87.059408290327397</v>
      </c>
      <c r="G38" s="3">
        <v>35400</v>
      </c>
      <c r="H38" s="4">
        <v>87.0656198392345</v>
      </c>
    </row>
    <row r="39" spans="1:21" x14ac:dyDescent="0.25">
      <c r="A39" t="s">
        <v>5</v>
      </c>
      <c r="B39" s="1">
        <v>35490</v>
      </c>
      <c r="C39">
        <v>159328</v>
      </c>
      <c r="D39">
        <v>388944585913.88</v>
      </c>
      <c r="E39">
        <v>87.054438717454104</v>
      </c>
      <c r="G39" s="3">
        <v>35431</v>
      </c>
      <c r="H39" s="4">
        <v>87.062966482800604</v>
      </c>
    </row>
    <row r="40" spans="1:21" x14ac:dyDescent="0.25">
      <c r="A40" t="s">
        <v>5</v>
      </c>
      <c r="B40" s="1">
        <v>35521</v>
      </c>
      <c r="C40">
        <v>160031</v>
      </c>
      <c r="D40">
        <v>391996345649.14001</v>
      </c>
      <c r="E40">
        <v>87.025258187068502</v>
      </c>
      <c r="G40" s="3">
        <v>35462</v>
      </c>
      <c r="H40" s="4">
        <v>87.059408290327397</v>
      </c>
    </row>
    <row r="41" spans="1:21" x14ac:dyDescent="0.25">
      <c r="A41" t="s">
        <v>5</v>
      </c>
      <c r="B41" s="1">
        <v>35551</v>
      </c>
      <c r="C41">
        <v>160667</v>
      </c>
      <c r="D41">
        <v>394401986179.65997</v>
      </c>
      <c r="E41">
        <v>87.004006927359995</v>
      </c>
      <c r="G41" s="3">
        <v>35490</v>
      </c>
      <c r="H41" s="4">
        <v>87.054438717454104</v>
      </c>
    </row>
    <row r="42" spans="1:21" x14ac:dyDescent="0.25">
      <c r="A42" t="s">
        <v>5</v>
      </c>
      <c r="B42" s="1">
        <v>35582</v>
      </c>
      <c r="C42">
        <v>161332</v>
      </c>
      <c r="D42">
        <v>397650299517.78003</v>
      </c>
      <c r="E42">
        <v>86.986453200166395</v>
      </c>
      <c r="G42" s="3">
        <v>35521</v>
      </c>
      <c r="H42" s="4">
        <v>87.025258187068502</v>
      </c>
    </row>
    <row r="43" spans="1:21" x14ac:dyDescent="0.25">
      <c r="A43" t="s">
        <v>5</v>
      </c>
      <c r="B43" s="1">
        <v>35612</v>
      </c>
      <c r="C43">
        <v>161858</v>
      </c>
      <c r="D43">
        <v>399661358461.85999</v>
      </c>
      <c r="E43">
        <v>86.982191542632094</v>
      </c>
      <c r="G43" s="3">
        <v>35551</v>
      </c>
      <c r="H43" s="4">
        <v>87.004006927359995</v>
      </c>
    </row>
    <row r="44" spans="1:21" x14ac:dyDescent="0.25">
      <c r="A44" t="s">
        <v>5</v>
      </c>
      <c r="B44" s="1">
        <v>35643</v>
      </c>
      <c r="C44">
        <v>162531</v>
      </c>
      <c r="D44">
        <v>402473247826.06</v>
      </c>
      <c r="E44">
        <v>86.972078296439406</v>
      </c>
      <c r="G44" s="3">
        <v>35582</v>
      </c>
      <c r="H44" s="4">
        <v>86.986453200166395</v>
      </c>
    </row>
    <row r="45" spans="1:21" x14ac:dyDescent="0.25">
      <c r="A45" t="s">
        <v>5</v>
      </c>
      <c r="B45" s="1">
        <v>35674</v>
      </c>
      <c r="C45">
        <v>163328</v>
      </c>
      <c r="D45">
        <v>407135000510.78003</v>
      </c>
      <c r="E45">
        <v>86.955910142215103</v>
      </c>
      <c r="G45" s="3">
        <v>35612</v>
      </c>
      <c r="H45" s="4">
        <v>86.982191542632094</v>
      </c>
    </row>
    <row r="46" spans="1:21" x14ac:dyDescent="0.25">
      <c r="A46" t="s">
        <v>5</v>
      </c>
      <c r="B46" s="1">
        <v>35704</v>
      </c>
      <c r="C46">
        <v>164171</v>
      </c>
      <c r="D46">
        <v>410957899203.09998</v>
      </c>
      <c r="E46">
        <v>86.984600527235798</v>
      </c>
      <c r="G46" s="3">
        <v>35643</v>
      </c>
      <c r="H46" s="4">
        <v>86.972078296439406</v>
      </c>
    </row>
    <row r="47" spans="1:21" x14ac:dyDescent="0.25">
      <c r="A47" t="s">
        <v>5</v>
      </c>
      <c r="B47" s="1">
        <v>35735</v>
      </c>
      <c r="C47">
        <v>164998</v>
      </c>
      <c r="D47">
        <v>415578143387.42999</v>
      </c>
      <c r="E47">
        <v>87.025177185626802</v>
      </c>
      <c r="G47" s="3">
        <v>35674</v>
      </c>
      <c r="H47" s="4">
        <v>86.955910142215103</v>
      </c>
    </row>
    <row r="48" spans="1:21" x14ac:dyDescent="0.25">
      <c r="A48" t="s">
        <v>5</v>
      </c>
      <c r="B48" s="1">
        <v>35765</v>
      </c>
      <c r="C48">
        <v>165889</v>
      </c>
      <c r="D48">
        <v>420442181020.82001</v>
      </c>
      <c r="E48">
        <v>87.073142319824697</v>
      </c>
      <c r="G48" s="3">
        <v>35704</v>
      </c>
      <c r="H48" s="4">
        <v>86.984600527235798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87.1078188133216</v>
      </c>
      <c r="G49" s="3">
        <v>35735</v>
      </c>
      <c r="H49" s="4">
        <v>87.025177185626802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87.143070069308706</v>
      </c>
      <c r="G50" s="3">
        <v>35765</v>
      </c>
      <c r="H50" s="4">
        <v>87.073142319824697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87.197946791622797</v>
      </c>
      <c r="G51" s="3">
        <v>35796</v>
      </c>
      <c r="H51" s="4">
        <v>87.1078188133216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87.305434648596503</v>
      </c>
      <c r="G52" s="3">
        <v>35827</v>
      </c>
      <c r="H52" s="4">
        <v>87.143070069308706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87.413509283619604</v>
      </c>
      <c r="G53" s="3">
        <v>35855</v>
      </c>
      <c r="H53" s="4">
        <v>87.197946791622797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87.526915309829405</v>
      </c>
      <c r="G54" s="3">
        <v>35886</v>
      </c>
      <c r="H54" s="4">
        <v>87.305434648596503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87.638456668359098</v>
      </c>
      <c r="G55" s="3">
        <v>35916</v>
      </c>
      <c r="H55" s="4">
        <v>87.413509283619604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87.724912237343602</v>
      </c>
      <c r="G56" s="3">
        <v>35947</v>
      </c>
      <c r="H56" s="4">
        <v>87.526915309829405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87.832739251962806</v>
      </c>
      <c r="G57" s="3">
        <v>35977</v>
      </c>
      <c r="H57" s="4">
        <v>87.638456668359098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87.942232411340498</v>
      </c>
      <c r="G58" s="3">
        <v>36008</v>
      </c>
      <c r="H58" s="4">
        <v>87.724912237343602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88.017618281853103</v>
      </c>
      <c r="G59" s="3">
        <v>36039</v>
      </c>
      <c r="H59" s="4">
        <v>87.832739251962806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88.133848620739698</v>
      </c>
      <c r="G60" s="3">
        <v>36069</v>
      </c>
      <c r="H60" s="4">
        <v>87.942232411340498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88.268845561107099</v>
      </c>
      <c r="G61" s="3">
        <v>36100</v>
      </c>
      <c r="H61" s="4">
        <v>88.017618281853103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88.371028887467702</v>
      </c>
      <c r="G62" s="3">
        <v>36130</v>
      </c>
      <c r="H62" s="4">
        <v>88.133848620739698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88.461997150246802</v>
      </c>
      <c r="G63" s="3">
        <v>36161</v>
      </c>
      <c r="H63" s="4">
        <v>88.268845561107099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88.552277416830094</v>
      </c>
      <c r="G64" s="3">
        <v>36192</v>
      </c>
      <c r="H64" s="4">
        <v>88.371028887467702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88.616249219703406</v>
      </c>
      <c r="G65" s="3">
        <v>36220</v>
      </c>
      <c r="H65" s="4">
        <v>88.461997150246802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88.701786724976003</v>
      </c>
      <c r="G66" s="3">
        <v>36251</v>
      </c>
      <c r="H66" s="4">
        <v>88.552277416830094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88.776666682162897</v>
      </c>
      <c r="G67" s="3">
        <v>36281</v>
      </c>
      <c r="H67" s="4">
        <v>88.616249219703406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88.858935065052705</v>
      </c>
      <c r="G68" s="3">
        <v>36312</v>
      </c>
      <c r="H68" s="4">
        <v>88.701786724976003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88.909829601185507</v>
      </c>
      <c r="G69" s="3">
        <v>36342</v>
      </c>
      <c r="H69" s="4">
        <v>88.776666682162897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88.953006916878294</v>
      </c>
      <c r="G70" s="3">
        <v>36373</v>
      </c>
      <c r="H70" s="4">
        <v>88.858935065052705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88.969458461210493</v>
      </c>
      <c r="G71" s="3">
        <v>36404</v>
      </c>
      <c r="H71" s="4">
        <v>88.909829601185507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88.9935458383991</v>
      </c>
      <c r="G72" s="3">
        <v>36434</v>
      </c>
      <c r="H72" s="4">
        <v>88.953006916878294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89.029423027295195</v>
      </c>
      <c r="G73" s="3">
        <v>36465</v>
      </c>
      <c r="H73" s="4">
        <v>88.969458461210493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89.055375332177803</v>
      </c>
      <c r="G74" s="3">
        <v>36495</v>
      </c>
      <c r="H74" s="4">
        <v>88.9935458383991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89.044163096928699</v>
      </c>
      <c r="G75" s="3">
        <v>36526</v>
      </c>
      <c r="H75" s="4">
        <v>89.029423027295195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89.039825594486302</v>
      </c>
      <c r="G76" s="3">
        <v>36557</v>
      </c>
      <c r="H76" s="4">
        <v>89.055375332177803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89.026476151107701</v>
      </c>
      <c r="G77" s="3">
        <v>36586</v>
      </c>
      <c r="H77" s="4">
        <v>89.044163096928699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89.031220220895094</v>
      </c>
      <c r="G78" s="3">
        <v>36617</v>
      </c>
      <c r="H78" s="4">
        <v>89.039825594486302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89.029479467077394</v>
      </c>
      <c r="G79" s="3">
        <v>36647</v>
      </c>
      <c r="H79" s="4">
        <v>89.026476151107701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89.027793769900796</v>
      </c>
      <c r="G80" s="3">
        <v>36678</v>
      </c>
      <c r="H80" s="4">
        <v>89.031220220895094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89.029976588477396</v>
      </c>
      <c r="G81" s="3">
        <v>36708</v>
      </c>
      <c r="H81" s="4">
        <v>89.029479467077394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89.028320655818106</v>
      </c>
      <c r="G82" s="3">
        <v>36739</v>
      </c>
      <c r="H82" s="4">
        <v>89.027793769900796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88.993590812684104</v>
      </c>
      <c r="G83" s="3">
        <v>36770</v>
      </c>
      <c r="H83" s="4">
        <v>89.029976588477396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89.008163209273107</v>
      </c>
      <c r="G84" s="3">
        <v>36800</v>
      </c>
      <c r="H84" s="4">
        <v>89.028320655818106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88.942051083775397</v>
      </c>
      <c r="G85" s="3">
        <v>36831</v>
      </c>
      <c r="H85" s="4">
        <v>88.993590812684104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88.931005343214395</v>
      </c>
      <c r="G86" s="3">
        <v>36861</v>
      </c>
      <c r="H86" s="4">
        <v>89.008163209273107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88.933954385904102</v>
      </c>
      <c r="G87" s="3">
        <v>36892</v>
      </c>
      <c r="H87" s="4">
        <v>88.942051083775397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88.886761252337195</v>
      </c>
      <c r="G88" s="3">
        <v>36923</v>
      </c>
      <c r="H88" s="4">
        <v>88.931005343214395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88.841547746600398</v>
      </c>
      <c r="G89" s="3">
        <v>36951</v>
      </c>
      <c r="H89" s="4">
        <v>88.933954385904102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88.794389672061001</v>
      </c>
      <c r="G90" s="3">
        <v>36982</v>
      </c>
      <c r="H90" s="4">
        <v>88.886761252337195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88.744071357624804</v>
      </c>
      <c r="G91" s="3">
        <v>37012</v>
      </c>
      <c r="H91" s="4">
        <v>88.841547746600398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88.666839367494205</v>
      </c>
      <c r="G92" s="3">
        <v>37043</v>
      </c>
      <c r="H92" s="4">
        <v>88.794389672061001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88.610441077865104</v>
      </c>
      <c r="G93" s="3">
        <v>37073</v>
      </c>
      <c r="H93" s="4">
        <v>88.744071357624804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88.515355981039605</v>
      </c>
      <c r="G94" s="3">
        <v>37104</v>
      </c>
      <c r="H94" s="4">
        <v>88.666839367494205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88.4341878741795</v>
      </c>
      <c r="G95" s="3">
        <v>37135</v>
      </c>
      <c r="H95" s="4">
        <v>88.610441077865104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88.351837777550898</v>
      </c>
      <c r="G96" s="3">
        <v>37165</v>
      </c>
      <c r="H96" s="4">
        <v>88.515355981039605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88.229123870524603</v>
      </c>
      <c r="G97" s="3">
        <v>37196</v>
      </c>
      <c r="H97" s="4">
        <v>88.4341878741795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88.137161073820906</v>
      </c>
      <c r="G98" s="3">
        <v>37226</v>
      </c>
      <c r="H98" s="4">
        <v>88.351837777550898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88.053296226191506</v>
      </c>
      <c r="G99" s="3">
        <v>37257</v>
      </c>
      <c r="H99" s="4">
        <v>88.229123870524603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87.969078988211294</v>
      </c>
      <c r="G100" s="3">
        <v>37288</v>
      </c>
      <c r="H100" s="4">
        <v>88.137161073820906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87.858926286424307</v>
      </c>
      <c r="G101" s="3">
        <v>37316</v>
      </c>
      <c r="H101" s="4">
        <v>88.053296226191506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87.757985249224404</v>
      </c>
      <c r="G102" s="3">
        <v>37347</v>
      </c>
      <c r="H102" s="4">
        <v>87.969078988211294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87.656004456856095</v>
      </c>
      <c r="G103" s="3">
        <v>37377</v>
      </c>
      <c r="H103" s="4">
        <v>87.858926286424307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87.562530177691499</v>
      </c>
      <c r="G104" s="3">
        <v>37408</v>
      </c>
      <c r="H104" s="4">
        <v>87.757985249224404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87.452257702126204</v>
      </c>
      <c r="G105" s="3">
        <v>37438</v>
      </c>
      <c r="H105" s="4">
        <v>87.656004456856095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87.353433582665104</v>
      </c>
      <c r="G106" s="3">
        <v>37469</v>
      </c>
      <c r="H106" s="4">
        <v>87.562530177691499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87.257450282460198</v>
      </c>
      <c r="G107" s="3">
        <v>37500</v>
      </c>
      <c r="H107" s="4">
        <v>87.452257702126204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87.172606718407806</v>
      </c>
      <c r="G108" s="3">
        <v>37530</v>
      </c>
      <c r="H108" s="4">
        <v>87.353433582665104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87.129265497458803</v>
      </c>
      <c r="G109" s="3">
        <v>37561</v>
      </c>
      <c r="H109" s="4">
        <v>87.257450282460198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87.109877746218899</v>
      </c>
      <c r="G110" s="3">
        <v>37591</v>
      </c>
      <c r="H110" s="4">
        <v>87.172606718407806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87.087420386953795</v>
      </c>
      <c r="G111" s="3">
        <v>37622</v>
      </c>
      <c r="H111" s="4">
        <v>87.129265497458803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87.084098887905398</v>
      </c>
      <c r="G112" s="3">
        <v>37653</v>
      </c>
      <c r="H112" s="4">
        <v>87.109877746218899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86.714556900057502</v>
      </c>
      <c r="G113" s="3">
        <v>37681</v>
      </c>
      <c r="H113" s="4">
        <v>87.087420386953795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86.530358046206302</v>
      </c>
      <c r="G114" s="3">
        <v>37712</v>
      </c>
      <c r="H114" s="4">
        <v>87.084098887905398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86.599883508001298</v>
      </c>
      <c r="G115" s="3">
        <v>37742</v>
      </c>
      <c r="H115" s="4">
        <v>86.714556900057502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86.621576475268597</v>
      </c>
      <c r="G116" s="3">
        <v>37773</v>
      </c>
      <c r="H116" s="4">
        <v>86.530358046206302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86.638988421167994</v>
      </c>
      <c r="G117" s="3">
        <v>37803</v>
      </c>
      <c r="H117" s="4">
        <v>86.599883508001298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86.6565435457061</v>
      </c>
      <c r="G118" s="3">
        <v>37834</v>
      </c>
      <c r="H118" s="4">
        <v>86.621576475268597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86.623627534214194</v>
      </c>
      <c r="G119" s="3">
        <v>37865</v>
      </c>
      <c r="H119" s="4">
        <v>86.638988421167994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86.610717721113502</v>
      </c>
      <c r="G120" s="3">
        <v>37895</v>
      </c>
      <c r="H120" s="4">
        <v>86.6565435457061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86.490801222106697</v>
      </c>
      <c r="G121" s="3">
        <v>37926</v>
      </c>
      <c r="H121" s="4">
        <v>86.623627534214194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86.500345845228196</v>
      </c>
      <c r="G122" s="3">
        <v>37956</v>
      </c>
      <c r="H122" s="4">
        <v>86.610717721113502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86.591246002301901</v>
      </c>
      <c r="G123" s="3">
        <v>37987</v>
      </c>
      <c r="H123" s="4">
        <v>86.490801222106697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86.6936382398993</v>
      </c>
      <c r="G124" s="3">
        <v>38018</v>
      </c>
      <c r="H124" s="4">
        <v>86.500345845228196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86.7638962162914</v>
      </c>
      <c r="G125" s="3">
        <v>38047</v>
      </c>
      <c r="H125" s="4">
        <v>86.591246002301901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86.843761341058695</v>
      </c>
      <c r="G126" s="3">
        <v>38078</v>
      </c>
      <c r="H126" s="4">
        <v>86.6936382398993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86.951509448135894</v>
      </c>
      <c r="G127" s="3">
        <v>38108</v>
      </c>
      <c r="H127" s="4">
        <v>86.7638962162914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87.063014023675905</v>
      </c>
      <c r="G128" s="3">
        <v>38139</v>
      </c>
      <c r="H128" s="4">
        <v>86.843761341058695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87.146844314777596</v>
      </c>
      <c r="G129" s="3">
        <v>38169</v>
      </c>
      <c r="H129" s="4">
        <v>86.951509448135894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87.209672701657695</v>
      </c>
      <c r="G130" s="3">
        <v>38200</v>
      </c>
      <c r="H130" s="4">
        <v>87.063014023675905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87.268068654338407</v>
      </c>
      <c r="G131" s="3">
        <v>38231</v>
      </c>
      <c r="H131" s="4">
        <v>87.146844314777596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87.364569637615503</v>
      </c>
      <c r="G132" s="3">
        <v>38261</v>
      </c>
      <c r="H132" s="4">
        <v>87.209672701657695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87.456943654591001</v>
      </c>
      <c r="G133" s="3">
        <v>38292</v>
      </c>
      <c r="H133" s="4">
        <v>87.268068654338407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87.544134636964202</v>
      </c>
      <c r="G134" s="3">
        <v>38322</v>
      </c>
      <c r="H134" s="4">
        <v>87.364569637615503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87.639782044724896</v>
      </c>
      <c r="G135" s="3">
        <v>38353</v>
      </c>
      <c r="H135" s="4">
        <v>87.456943654591001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86.998545907648506</v>
      </c>
      <c r="G136" s="3">
        <v>38384</v>
      </c>
      <c r="H136" s="4">
        <v>87.544134636964202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87.070158300687197</v>
      </c>
      <c r="G137" s="3">
        <v>38412</v>
      </c>
      <c r="H137" s="4">
        <v>87.639782044724896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87.098433188484606</v>
      </c>
      <c r="G138" s="3">
        <v>38443</v>
      </c>
      <c r="H138" s="4">
        <v>86.998545907648506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87.9459395061577</v>
      </c>
      <c r="G139" s="3">
        <v>38473</v>
      </c>
      <c r="H139" s="4">
        <v>87.070158300687197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88.022032441905296</v>
      </c>
      <c r="G140" s="3">
        <v>38504</v>
      </c>
      <c r="H140" s="4">
        <v>87.098433188484606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88.124632886633407</v>
      </c>
      <c r="G141" s="3">
        <v>38534</v>
      </c>
      <c r="H141" s="4">
        <v>87.9459395061577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88.184165619189002</v>
      </c>
      <c r="G142" s="3">
        <v>38565</v>
      </c>
      <c r="H142" s="4">
        <v>88.022032441905296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88.253865925312297</v>
      </c>
      <c r="G143" s="3">
        <v>38596</v>
      </c>
      <c r="H143" s="4">
        <v>88.124632886633407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88.310544229910604</v>
      </c>
      <c r="G144" s="3">
        <v>38626</v>
      </c>
      <c r="H144" s="4">
        <v>88.184165619189002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88.375512309580699</v>
      </c>
      <c r="G145" s="3">
        <v>38657</v>
      </c>
      <c r="H145" s="4">
        <v>88.253865925312297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88.411336628136198</v>
      </c>
      <c r="G146" s="3">
        <v>38687</v>
      </c>
      <c r="H146" s="4">
        <v>88.310544229910604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88.483119825112595</v>
      </c>
      <c r="G147" s="3">
        <v>38718</v>
      </c>
      <c r="H147" s="4">
        <v>88.375512309580699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88.552900051835806</v>
      </c>
      <c r="G148" s="3">
        <v>38749</v>
      </c>
      <c r="H148" s="4">
        <v>88.411336628136198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88.639814557968094</v>
      </c>
      <c r="G149" s="3">
        <v>38777</v>
      </c>
      <c r="H149" s="4">
        <v>88.483119825112595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88.686965237758798</v>
      </c>
      <c r="G150" s="3">
        <v>38808</v>
      </c>
      <c r="H150" s="4">
        <v>88.552900051835806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88.662003187691198</v>
      </c>
      <c r="G151" s="3">
        <v>38838</v>
      </c>
      <c r="H151" s="4">
        <v>88.639814557968094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88.633184128491806</v>
      </c>
      <c r="G152" s="3">
        <v>38869</v>
      </c>
      <c r="H152" s="4">
        <v>88.686965237758798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88.575908177825596</v>
      </c>
      <c r="G153" s="3">
        <v>38899</v>
      </c>
      <c r="H153" s="4">
        <v>88.662003187691198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88.490973230128603</v>
      </c>
      <c r="G154" s="3">
        <v>38930</v>
      </c>
      <c r="H154" s="4">
        <v>88.633184128491806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88.425241161272297</v>
      </c>
      <c r="G155" s="3">
        <v>38961</v>
      </c>
      <c r="H155" s="4">
        <v>88.575908177825596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88.308333009149194</v>
      </c>
      <c r="G156" s="3">
        <v>38991</v>
      </c>
      <c r="H156" s="4">
        <v>88.490973230128603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88.250993556478804</v>
      </c>
      <c r="G157" s="3">
        <v>39022</v>
      </c>
      <c r="H157" s="4">
        <v>88.425241161272297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88.231156768375001</v>
      </c>
      <c r="G158" s="3">
        <v>39052</v>
      </c>
      <c r="H158" s="4">
        <v>88.308333009149194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88.191237844041098</v>
      </c>
      <c r="G159" s="3">
        <v>39083</v>
      </c>
      <c r="H159" s="4">
        <v>88.250993556478804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88.242387435627606</v>
      </c>
      <c r="G160" s="3">
        <v>39114</v>
      </c>
      <c r="H160" s="4">
        <v>88.231156768375001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88.251108461551894</v>
      </c>
      <c r="G161" s="3">
        <v>39142</v>
      </c>
      <c r="H161" s="4">
        <v>88.191237844041098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88.230248086247997</v>
      </c>
      <c r="G162" s="3">
        <v>39173</v>
      </c>
      <c r="H162" s="4">
        <v>88.242387435627606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87.865863801511395</v>
      </c>
      <c r="G163" s="3">
        <v>39203</v>
      </c>
      <c r="H163" s="4">
        <v>88.251108461551894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87.487743805972798</v>
      </c>
      <c r="G164" s="3">
        <v>39234</v>
      </c>
      <c r="H164" s="4">
        <v>88.230248086247997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87.140811647425195</v>
      </c>
      <c r="G165" s="3">
        <v>39264</v>
      </c>
      <c r="H165" s="4">
        <v>87.865863801511395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86.510796921157194</v>
      </c>
      <c r="G166" s="3">
        <v>39295</v>
      </c>
      <c r="H166" s="4">
        <v>87.487743805972798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85.833051674316295</v>
      </c>
      <c r="G167" s="3">
        <v>39326</v>
      </c>
      <c r="H167" s="4">
        <v>87.140811647425195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85.086742611489598</v>
      </c>
      <c r="G168" s="3">
        <v>39356</v>
      </c>
      <c r="H168" s="4">
        <v>86.510796921157194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84.306024365993395</v>
      </c>
      <c r="G169" s="3">
        <v>39387</v>
      </c>
      <c r="H169" s="4">
        <v>85.833051674316295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83.470443153985002</v>
      </c>
      <c r="G170" s="3">
        <v>39417</v>
      </c>
      <c r="H170" s="4">
        <v>85.086742611489598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82.682961297469305</v>
      </c>
      <c r="G171" s="3">
        <v>39448</v>
      </c>
      <c r="H171" s="4">
        <v>84.306024365993395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82.174662693842194</v>
      </c>
      <c r="G172" s="3">
        <v>39479</v>
      </c>
      <c r="H172" s="4">
        <v>83.470443153985002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81.676845358394601</v>
      </c>
      <c r="G173" s="3">
        <v>39508</v>
      </c>
      <c r="H173" s="4">
        <v>82.682961297469305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82.174662693842194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81.222261870160196</v>
      </c>
      <c r="G175" s="3">
        <v>39569</v>
      </c>
      <c r="H175" s="4">
        <v>81.676845358394601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80.765426662454104</v>
      </c>
      <c r="G176" s="3">
        <v>39600</v>
      </c>
      <c r="H176" s="4">
        <v>81.222261870160196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80.765426662454104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80.184063498883503</v>
      </c>
      <c r="G178" s="3">
        <v>39661</v>
      </c>
      <c r="H178" s="4">
        <v>80.184063498883503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79.547588593466699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79.547588593466699</v>
      </c>
      <c r="G180" s="3">
        <v>39722</v>
      </c>
      <c r="H180" s="4">
        <v>78.552793329877005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77.365069847559795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76.073411207412406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78.552793329877005</v>
      </c>
      <c r="G183" s="3">
        <v>39814</v>
      </c>
      <c r="H183" s="4">
        <v>75.8452530167921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75.446892030611096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77.365069847559795</v>
      </c>
      <c r="G185" s="3">
        <v>39873</v>
      </c>
      <c r="H185" s="4">
        <v>75.0343936997794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75.645218218977107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76.073411207412406</v>
      </c>
      <c r="G187" s="3">
        <v>39934</v>
      </c>
      <c r="H187" s="4">
        <v>75.952224157883407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75.8452530167921</v>
      </c>
      <c r="G188" s="3">
        <v>39965</v>
      </c>
      <c r="H188" s="4">
        <v>76.473711675546596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76.838599335138198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77.094317575543798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75.446892030611096</v>
      </c>
      <c r="G191" s="3">
        <v>40057</v>
      </c>
      <c r="H191" s="4">
        <v>77.3685526850023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77.387977553334807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75.0343936997794</v>
      </c>
      <c r="G193" s="3">
        <v>40118</v>
      </c>
      <c r="H193" s="4">
        <v>77.333820337888199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77.202320247602898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75.645218218977107</v>
      </c>
      <c r="G195" s="3">
        <v>40179</v>
      </c>
      <c r="H195" s="4">
        <v>76.960635367766699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75.952224157883407</v>
      </c>
      <c r="G196" s="3">
        <v>40210</v>
      </c>
      <c r="H196" s="4">
        <v>76.687007725357304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76.462809359131896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76.473711675546596</v>
      </c>
      <c r="G198" s="3">
        <v>40269</v>
      </c>
      <c r="H198" s="4">
        <v>77.738433149746001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79.268676010927095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76.838599335138198</v>
      </c>
      <c r="G200" s="3">
        <v>40330</v>
      </c>
      <c r="H200" s="4">
        <v>80.5900343688959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80.348113741626904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77.094317575543798</v>
      </c>
      <c r="G202" s="3">
        <v>40391</v>
      </c>
      <c r="H202" s="4">
        <v>80.101149217187995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79.811088972242302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77.3685526850023</v>
      </c>
      <c r="G204" s="3">
        <v>40452</v>
      </c>
      <c r="H204" s="4">
        <v>79.378157255191397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78.947556028125703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77.387977553334807</v>
      </c>
      <c r="G206" s="3">
        <v>40513</v>
      </c>
      <c r="H206" s="4">
        <v>78.469860640407802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77.653683361061994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77.333820337888199</v>
      </c>
      <c r="G208" s="3">
        <v>40575</v>
      </c>
      <c r="H208" s="4">
        <v>76.651094426219103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75.668197552330795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76.566412911496002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77.202320247602898</v>
      </c>
      <c r="G211" s="3">
        <v>40664</v>
      </c>
      <c r="H211" s="4">
        <v>77.404996136443401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78.152134277436204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78.731557634820504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76.960635367766699</v>
      </c>
      <c r="G214" s="3">
        <v>40756</v>
      </c>
      <c r="H214" s="4">
        <v>79.265137337534796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79.804317639036896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79.769991769635993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76.687007725357304</v>
      </c>
      <c r="G217" s="3">
        <v>40848</v>
      </c>
      <c r="H217" s="4">
        <v>79.639500483426602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79.507086943547606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79.847724271091195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76.462809359131896</v>
      </c>
      <c r="G220" s="3">
        <v>40940</v>
      </c>
      <c r="H220" s="4">
        <v>80.077576049473095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80.357036281162095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82.352999335607194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77.738433149746001</v>
      </c>
      <c r="G223" s="3">
        <v>41030</v>
      </c>
      <c r="H223" s="4">
        <v>84.075092139472702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85.660541240689199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86.487412037087793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79.268676010927095</v>
      </c>
      <c r="G226" s="3">
        <v>41122</v>
      </c>
      <c r="H226" s="4">
        <v>87.295332346643406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88.056887782603397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88.488936208761601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80.5900343688959</v>
      </c>
      <c r="G229" s="3">
        <v>41214</v>
      </c>
      <c r="H229" s="4">
        <v>88.923652330818399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89.366679674424603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87.206397262218601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80.348113741626904</v>
      </c>
      <c r="G232" s="3">
        <v>41306</v>
      </c>
      <c r="H232" s="4">
        <v>87.581728598102302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87.890819877352897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88.636215734976602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80.101149217187995</v>
      </c>
      <c r="G235" s="3">
        <v>41395</v>
      </c>
      <c r="H235" s="4">
        <v>89.303044106109994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89.905355137437894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90.122580548364397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79.811088972242302</v>
      </c>
      <c r="G238" s="3">
        <v>41487</v>
      </c>
      <c r="H238" s="4">
        <v>90.337691241577502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90.554171247270403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90.536166746404206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79.378157255191397</v>
      </c>
      <c r="G241" s="3">
        <v>41579</v>
      </c>
      <c r="H241" s="4">
        <v>90.485561744629294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90.469069760377593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95.177249318432899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78.947556028125703</v>
      </c>
      <c r="G244" s="3">
        <v>41671</v>
      </c>
      <c r="H244" s="4">
        <v>95.264061528158905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95.3292006393999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95.464305483368406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78.469860640407802</v>
      </c>
      <c r="G247" s="3">
        <v>41760</v>
      </c>
      <c r="H247" s="4">
        <v>95.586269185181806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95.696033041890004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95.770095780891694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77.653683361061994</v>
      </c>
      <c r="G250" s="3">
        <v>41852</v>
      </c>
      <c r="H250" s="4">
        <v>95.851890088667901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95.923214952377506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96.011036768316501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76.651094426219103</v>
      </c>
      <c r="G253" s="3">
        <v>41944</v>
      </c>
      <c r="H253" s="4">
        <v>96.090082498600395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96.158543761518004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96.234261485592995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75.668197552330795</v>
      </c>
      <c r="G256" s="3">
        <v>42036</v>
      </c>
      <c r="H256" s="4">
        <v>96.297235313940703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96.351977028511897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96.417862288850998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76.566412911496002</v>
      </c>
      <c r="G259" s="3">
        <v>42125</v>
      </c>
      <c r="H259" s="4">
        <v>96.482778784733398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96.556226123040503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96.618044783022299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77.404996136443401</v>
      </c>
      <c r="G262" s="3">
        <v>42217</v>
      </c>
      <c r="H262" s="4">
        <v>96.688420894058098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96.745666634220797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96.808513574756802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78.152134277436204</v>
      </c>
      <c r="G265" s="3">
        <v>42309</v>
      </c>
      <c r="H265" s="4">
        <v>96.866869061037704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96.906750557718397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96.962339576802606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78.731557634820504</v>
      </c>
      <c r="G268" s="3">
        <v>42401</v>
      </c>
      <c r="H268" s="4">
        <v>97.012240390125399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97.052895719941105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97.106816420616695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79.265137337534796</v>
      </c>
      <c r="G271" s="3">
        <v>42491</v>
      </c>
      <c r="H271" s="4">
        <v>97.154882452379994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97.196680650312899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97.243503024039299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79.804317639036896</v>
      </c>
      <c r="G274" s="3">
        <v>42583</v>
      </c>
      <c r="H274" s="4">
        <v>97.278876053191496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97.324472322563096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97.369123580515193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79.769991769635993</v>
      </c>
      <c r="G277" s="3" t="s">
        <v>10</v>
      </c>
      <c r="H277" s="4">
        <v>23798.966115407387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79.639500483426602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79.507086943547606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79.847724271091195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80.077576049473095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80.357036281162095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82.352999335607194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84.075092139472702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85.660541240689199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86.487412037087793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87.295332346643406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88.056887782603397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88.488936208761601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88.923652330818399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89.366679674424603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87.206397262218601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15.363973920142699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11.217204665673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93.090964176680004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87.581728598102302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15.944289026983601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10.989238090088699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93.1870653577882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87.890819877352897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16.595880482375598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10.997570363729199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93.3391821744205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88.636215734976602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22.149825403780302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10.995646755146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93.699260355271804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89.303044106109994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27.865889498791599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11.0535245788996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94.230694789980703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89.905355137437894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30.586329837338599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11.0923804427104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94.826526412056893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90.122580548364397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31.555297161834101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10.938698710486401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95.221546027759899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90.337691241577502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33.6951469613415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11.0689115124714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95.516188433050601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90.554171247270403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35.450795594218498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10.944360186211499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95.677068208348999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90.536166746404206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35.223486253337398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10.932815381046399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95.5972284085138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90.485561744629294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35.113456704993602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10.8361587389706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95.520887789484206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90.469069760377593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35.125282155162999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11.0975942187118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95.555581834776703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95.177249318432899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95.264061528158905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95.3292006393999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95.464305483368406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95.586269185181806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95.696033041890004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95.770095780891694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95.851890088667901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95.923214952377506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96.011036768316501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96.090082498600395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96.158543761518004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96.234261485592995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96.297235313940703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96.351977028511897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96.417862288850998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96.482778784733398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96.556226123040503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96.618044783022299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96.688420894058098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96.745666634220797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96.808513574756802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96.866869061037704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96.906750557718397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96.962339576802606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97.012240390125399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97.052895719941105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97.106816420616695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97.154882452379994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97.196680650312899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97.243503024039299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97.278876053191496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97.324472322563096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97.369123580515193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Views>
    <sheetView workbookViewId="0">
      <selection activeCell="H23" sqref="H23"/>
    </sheetView>
  </sheetViews>
  <sheetFormatPr defaultRowHeight="15" x14ac:dyDescent="0.25"/>
  <cols>
    <col min="7" max="7" width="13.140625" bestFit="1" customWidth="1"/>
    <col min="8" max="8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G1" s="2" t="s">
        <v>0</v>
      </c>
      <c r="H1" t="s">
        <v>5</v>
      </c>
    </row>
    <row r="2" spans="1:8" x14ac:dyDescent="0.25">
      <c r="A2" t="s">
        <v>5</v>
      </c>
      <c r="B2" s="1">
        <v>34366</v>
      </c>
      <c r="C2">
        <v>126636</v>
      </c>
      <c r="D2">
        <v>278490248452.07001</v>
      </c>
      <c r="E2" t="s">
        <v>16</v>
      </c>
    </row>
    <row r="3" spans="1:8" x14ac:dyDescent="0.25">
      <c r="A3" t="s">
        <v>5</v>
      </c>
      <c r="B3" s="1">
        <v>34394</v>
      </c>
      <c r="C3">
        <v>128266</v>
      </c>
      <c r="D3">
        <v>282050828421.97998</v>
      </c>
      <c r="E3" t="s">
        <v>16</v>
      </c>
      <c r="G3" s="2" t="s">
        <v>9</v>
      </c>
      <c r="H3" t="s">
        <v>24</v>
      </c>
    </row>
    <row r="4" spans="1:8" x14ac:dyDescent="0.25">
      <c r="A4" t="s">
        <v>5</v>
      </c>
      <c r="B4" s="1">
        <v>34425</v>
      </c>
      <c r="C4">
        <v>129601</v>
      </c>
      <c r="D4">
        <v>283874201256.09003</v>
      </c>
      <c r="E4" t="s">
        <v>16</v>
      </c>
      <c r="G4" s="3">
        <v>34366</v>
      </c>
      <c r="H4" s="4">
        <v>0</v>
      </c>
    </row>
    <row r="5" spans="1:8" x14ac:dyDescent="0.25">
      <c r="A5" t="s">
        <v>5</v>
      </c>
      <c r="B5" s="1">
        <v>34455</v>
      </c>
      <c r="C5">
        <v>130768</v>
      </c>
      <c r="D5">
        <v>284752896061.91998</v>
      </c>
      <c r="E5" t="s">
        <v>16</v>
      </c>
      <c r="G5" s="3">
        <v>34394</v>
      </c>
      <c r="H5" s="4">
        <v>0</v>
      </c>
    </row>
    <row r="6" spans="1:8" x14ac:dyDescent="0.25">
      <c r="A6" t="s">
        <v>5</v>
      </c>
      <c r="B6" s="1">
        <v>34486</v>
      </c>
      <c r="C6">
        <v>131996</v>
      </c>
      <c r="D6">
        <v>287122056681.57001</v>
      </c>
      <c r="E6" t="s">
        <v>16</v>
      </c>
      <c r="G6" s="3">
        <v>34425</v>
      </c>
      <c r="H6" s="4">
        <v>0</v>
      </c>
    </row>
    <row r="7" spans="1:8" x14ac:dyDescent="0.25">
      <c r="A7" t="s">
        <v>5</v>
      </c>
      <c r="B7" s="1">
        <v>34516</v>
      </c>
      <c r="C7">
        <v>133140</v>
      </c>
      <c r="D7">
        <v>288919754101.73999</v>
      </c>
      <c r="E7" t="s">
        <v>16</v>
      </c>
      <c r="G7" s="3">
        <v>34455</v>
      </c>
      <c r="H7" s="4">
        <v>0</v>
      </c>
    </row>
    <row r="8" spans="1:8" x14ac:dyDescent="0.25">
      <c r="A8" t="s">
        <v>5</v>
      </c>
      <c r="B8" s="1">
        <v>34547</v>
      </c>
      <c r="C8">
        <v>134153</v>
      </c>
      <c r="D8">
        <v>290640645437.90997</v>
      </c>
      <c r="E8" t="s">
        <v>16</v>
      </c>
      <c r="G8" s="3">
        <v>34486</v>
      </c>
      <c r="H8" s="4">
        <v>0</v>
      </c>
    </row>
    <row r="9" spans="1:8" x14ac:dyDescent="0.25">
      <c r="A9" t="s">
        <v>5</v>
      </c>
      <c r="B9" s="1">
        <v>34578</v>
      </c>
      <c r="C9">
        <v>135077</v>
      </c>
      <c r="D9">
        <v>292026246657.69</v>
      </c>
      <c r="E9" t="s">
        <v>16</v>
      </c>
      <c r="G9" s="3">
        <v>34516</v>
      </c>
      <c r="H9" s="4">
        <v>0</v>
      </c>
    </row>
    <row r="10" spans="1:8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16</v>
      </c>
      <c r="G10" s="3">
        <v>34547</v>
      </c>
      <c r="H10" s="4">
        <v>0</v>
      </c>
    </row>
    <row r="11" spans="1:8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16</v>
      </c>
      <c r="G11" s="3">
        <v>34578</v>
      </c>
      <c r="H11" s="4">
        <v>0</v>
      </c>
    </row>
    <row r="12" spans="1:8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16</v>
      </c>
      <c r="G12" s="3">
        <v>34608</v>
      </c>
      <c r="H12" s="4">
        <v>0</v>
      </c>
    </row>
    <row r="13" spans="1:8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16</v>
      </c>
      <c r="G13" s="3">
        <v>34639</v>
      </c>
      <c r="H13" s="4">
        <v>0</v>
      </c>
    </row>
    <row r="14" spans="1:8" x14ac:dyDescent="0.25">
      <c r="A14" t="s">
        <v>5</v>
      </c>
      <c r="B14" s="1">
        <v>34731</v>
      </c>
      <c r="C14">
        <v>138749</v>
      </c>
      <c r="D14">
        <v>300578062603.90997</v>
      </c>
      <c r="E14" t="s">
        <v>16</v>
      </c>
      <c r="G14" s="3">
        <v>34669</v>
      </c>
      <c r="H14" s="4">
        <v>0</v>
      </c>
    </row>
    <row r="15" spans="1:8" x14ac:dyDescent="0.25">
      <c r="A15" t="s">
        <v>5</v>
      </c>
      <c r="B15" s="1">
        <v>34759</v>
      </c>
      <c r="C15">
        <v>139252</v>
      </c>
      <c r="D15">
        <v>301515518476.67999</v>
      </c>
      <c r="E15" t="s">
        <v>16</v>
      </c>
      <c r="G15" s="3">
        <v>34700</v>
      </c>
      <c r="H15" s="4">
        <v>0</v>
      </c>
    </row>
    <row r="16" spans="1:8" x14ac:dyDescent="0.25">
      <c r="A16" t="s">
        <v>5</v>
      </c>
      <c r="B16" s="1">
        <v>34790</v>
      </c>
      <c r="C16">
        <v>139640</v>
      </c>
      <c r="D16">
        <v>302130802958.65002</v>
      </c>
      <c r="E16" t="s">
        <v>16</v>
      </c>
      <c r="G16" s="3">
        <v>34731</v>
      </c>
      <c r="H16" s="4">
        <v>0</v>
      </c>
    </row>
    <row r="17" spans="1:8" x14ac:dyDescent="0.25">
      <c r="A17" t="s">
        <v>5</v>
      </c>
      <c r="B17" s="1">
        <v>34820</v>
      </c>
      <c r="C17">
        <v>140171</v>
      </c>
      <c r="D17">
        <v>303193167019.19</v>
      </c>
      <c r="E17" t="s">
        <v>16</v>
      </c>
      <c r="G17" s="3">
        <v>34759</v>
      </c>
      <c r="H17" s="4">
        <v>0</v>
      </c>
    </row>
    <row r="18" spans="1:8" x14ac:dyDescent="0.25">
      <c r="A18" t="s">
        <v>5</v>
      </c>
      <c r="B18" s="1">
        <v>34851</v>
      </c>
      <c r="C18">
        <v>140845</v>
      </c>
      <c r="D18">
        <v>305276200958.66998</v>
      </c>
      <c r="E18" t="s">
        <v>16</v>
      </c>
      <c r="G18" s="3">
        <v>34790</v>
      </c>
      <c r="H18" s="4">
        <v>0</v>
      </c>
    </row>
    <row r="19" spans="1:8" x14ac:dyDescent="0.25">
      <c r="A19" t="s">
        <v>5</v>
      </c>
      <c r="B19" s="1">
        <v>34881</v>
      </c>
      <c r="C19">
        <v>141735</v>
      </c>
      <c r="D19">
        <v>308579513635.09003</v>
      </c>
      <c r="E19" t="s">
        <v>16</v>
      </c>
      <c r="G19" s="3">
        <v>34820</v>
      </c>
      <c r="H19" s="4">
        <v>0</v>
      </c>
    </row>
    <row r="20" spans="1:8" x14ac:dyDescent="0.25">
      <c r="A20" t="s">
        <v>5</v>
      </c>
      <c r="B20" s="1">
        <v>34912</v>
      </c>
      <c r="C20">
        <v>142847</v>
      </c>
      <c r="D20">
        <v>313306085244.25</v>
      </c>
      <c r="E20" t="s">
        <v>16</v>
      </c>
      <c r="G20" s="3">
        <v>34851</v>
      </c>
      <c r="H20" s="4">
        <v>0</v>
      </c>
    </row>
    <row r="21" spans="1:8" x14ac:dyDescent="0.25">
      <c r="A21" t="s">
        <v>5</v>
      </c>
      <c r="B21" s="1">
        <v>34943</v>
      </c>
      <c r="C21">
        <v>143912</v>
      </c>
      <c r="D21">
        <v>317855864434.04999</v>
      </c>
      <c r="E21" t="s">
        <v>16</v>
      </c>
      <c r="G21" s="3">
        <v>34881</v>
      </c>
      <c r="H21" s="4">
        <v>0</v>
      </c>
    </row>
    <row r="22" spans="1:8" x14ac:dyDescent="0.25">
      <c r="A22" t="s">
        <v>5</v>
      </c>
      <c r="B22" s="1">
        <v>34973</v>
      </c>
      <c r="C22">
        <v>144902</v>
      </c>
      <c r="D22">
        <v>321938074374.90002</v>
      </c>
      <c r="E22" t="s">
        <v>16</v>
      </c>
      <c r="G22" s="3">
        <v>34912</v>
      </c>
      <c r="H22" s="4">
        <v>0</v>
      </c>
    </row>
    <row r="23" spans="1:8" x14ac:dyDescent="0.25">
      <c r="A23" t="s">
        <v>5</v>
      </c>
      <c r="B23" s="1">
        <v>35004</v>
      </c>
      <c r="C23">
        <v>145867</v>
      </c>
      <c r="D23">
        <v>326586660235.34998</v>
      </c>
      <c r="E23" t="s">
        <v>16</v>
      </c>
      <c r="G23" s="3">
        <v>34943</v>
      </c>
      <c r="H23" s="4">
        <v>0</v>
      </c>
    </row>
    <row r="24" spans="1:8" x14ac:dyDescent="0.25">
      <c r="A24" t="s">
        <v>5</v>
      </c>
      <c r="B24" s="1">
        <v>35034</v>
      </c>
      <c r="C24">
        <v>146882</v>
      </c>
      <c r="D24">
        <v>331964887053.32001</v>
      </c>
      <c r="E24" t="s">
        <v>16</v>
      </c>
      <c r="G24" s="3">
        <v>34973</v>
      </c>
      <c r="H24" s="4">
        <v>0</v>
      </c>
    </row>
    <row r="25" spans="1:8" x14ac:dyDescent="0.25">
      <c r="A25" t="s">
        <v>5</v>
      </c>
      <c r="B25" s="1">
        <v>35065</v>
      </c>
      <c r="C25">
        <v>147919</v>
      </c>
      <c r="D25">
        <v>337304062600.06</v>
      </c>
      <c r="E25" t="s">
        <v>16</v>
      </c>
      <c r="G25" s="3">
        <v>35004</v>
      </c>
      <c r="H25" s="4">
        <v>0</v>
      </c>
    </row>
    <row r="26" spans="1:8" x14ac:dyDescent="0.25">
      <c r="A26" t="s">
        <v>5</v>
      </c>
      <c r="B26" s="1">
        <v>35096</v>
      </c>
      <c r="C26">
        <v>148833</v>
      </c>
      <c r="D26">
        <v>341672418203.37</v>
      </c>
      <c r="E26" t="s">
        <v>16</v>
      </c>
      <c r="G26" s="3">
        <v>35034</v>
      </c>
      <c r="H26" s="4">
        <v>0</v>
      </c>
    </row>
    <row r="27" spans="1:8" x14ac:dyDescent="0.25">
      <c r="A27" t="s">
        <v>5</v>
      </c>
      <c r="B27" s="1">
        <v>35125</v>
      </c>
      <c r="C27">
        <v>149785</v>
      </c>
      <c r="D27">
        <v>346545445220.38</v>
      </c>
      <c r="E27" t="s">
        <v>16</v>
      </c>
      <c r="G27" s="3">
        <v>35065</v>
      </c>
      <c r="H27" s="4">
        <v>0</v>
      </c>
    </row>
    <row r="28" spans="1:8" x14ac:dyDescent="0.25">
      <c r="A28" t="s">
        <v>5</v>
      </c>
      <c r="B28" s="1">
        <v>35156</v>
      </c>
      <c r="C28">
        <v>150727</v>
      </c>
      <c r="D28">
        <v>350465555808.21997</v>
      </c>
      <c r="E28" t="s">
        <v>16</v>
      </c>
      <c r="G28" s="3">
        <v>35096</v>
      </c>
      <c r="H28" s="4">
        <v>0</v>
      </c>
    </row>
    <row r="29" spans="1:8" x14ac:dyDescent="0.25">
      <c r="A29" t="s">
        <v>5</v>
      </c>
      <c r="B29" s="1">
        <v>35186</v>
      </c>
      <c r="C29">
        <v>151726</v>
      </c>
      <c r="D29">
        <v>354683248452.60999</v>
      </c>
      <c r="E29" t="s">
        <v>16</v>
      </c>
      <c r="G29" s="3">
        <v>35125</v>
      </c>
      <c r="H29" s="4">
        <v>0</v>
      </c>
    </row>
    <row r="30" spans="1:8" x14ac:dyDescent="0.25">
      <c r="A30" t="s">
        <v>5</v>
      </c>
      <c r="B30" s="1">
        <v>35217</v>
      </c>
      <c r="C30">
        <v>152681</v>
      </c>
      <c r="D30">
        <v>359153508694.62</v>
      </c>
      <c r="E30">
        <v>80.821942854971596</v>
      </c>
      <c r="G30" s="3">
        <v>35156</v>
      </c>
      <c r="H30" s="4">
        <v>0</v>
      </c>
    </row>
    <row r="31" spans="1:8" x14ac:dyDescent="0.25">
      <c r="A31" t="s">
        <v>5</v>
      </c>
      <c r="B31" s="1">
        <v>35247</v>
      </c>
      <c r="C31">
        <v>153592</v>
      </c>
      <c r="D31">
        <v>364145909105.21997</v>
      </c>
      <c r="E31">
        <v>82.763683403138103</v>
      </c>
      <c r="G31" s="3">
        <v>35186</v>
      </c>
      <c r="H31" s="4">
        <v>0</v>
      </c>
    </row>
    <row r="32" spans="1:8" x14ac:dyDescent="0.25">
      <c r="A32" t="s">
        <v>5</v>
      </c>
      <c r="B32" s="1">
        <v>35278</v>
      </c>
      <c r="C32">
        <v>154353</v>
      </c>
      <c r="D32">
        <v>367843583423.22998</v>
      </c>
      <c r="E32">
        <v>83.040137733673703</v>
      </c>
      <c r="G32" s="3">
        <v>35217</v>
      </c>
      <c r="H32" s="4">
        <v>80.821942854971596</v>
      </c>
    </row>
    <row r="33" spans="1:8" x14ac:dyDescent="0.25">
      <c r="A33" t="s">
        <v>5</v>
      </c>
      <c r="B33" s="1">
        <v>35309</v>
      </c>
      <c r="C33">
        <v>155081</v>
      </c>
      <c r="D33">
        <v>370513413856.09998</v>
      </c>
      <c r="E33">
        <v>83.1321369032527</v>
      </c>
      <c r="G33" s="3">
        <v>35247</v>
      </c>
      <c r="H33" s="4">
        <v>82.763683403138103</v>
      </c>
    </row>
    <row r="34" spans="1:8" x14ac:dyDescent="0.25">
      <c r="A34" t="s">
        <v>5</v>
      </c>
      <c r="B34" s="1">
        <v>35339</v>
      </c>
      <c r="C34">
        <v>155900</v>
      </c>
      <c r="D34">
        <v>375154945459.59998</v>
      </c>
      <c r="E34">
        <v>83.372932505342106</v>
      </c>
      <c r="G34" s="3">
        <v>35278</v>
      </c>
      <c r="H34" s="4">
        <v>83.040137733673703</v>
      </c>
    </row>
    <row r="35" spans="1:8" x14ac:dyDescent="0.25">
      <c r="A35" t="s">
        <v>5</v>
      </c>
      <c r="B35" s="1">
        <v>35370</v>
      </c>
      <c r="C35">
        <v>156553</v>
      </c>
      <c r="D35">
        <v>378164550622.22998</v>
      </c>
      <c r="E35">
        <v>83.498884941472198</v>
      </c>
      <c r="G35" s="3">
        <v>35309</v>
      </c>
      <c r="H35" s="4">
        <v>83.1321369032527</v>
      </c>
    </row>
    <row r="36" spans="1:8" x14ac:dyDescent="0.25">
      <c r="A36" t="s">
        <v>5</v>
      </c>
      <c r="B36" s="1">
        <v>35400</v>
      </c>
      <c r="C36">
        <v>157183</v>
      </c>
      <c r="D36">
        <v>380573155397.19</v>
      </c>
      <c r="E36">
        <v>83.591681801590994</v>
      </c>
      <c r="G36" s="3">
        <v>35339</v>
      </c>
      <c r="H36" s="4">
        <v>83.372932505342106</v>
      </c>
    </row>
    <row r="37" spans="1:8" x14ac:dyDescent="0.25">
      <c r="A37" t="s">
        <v>5</v>
      </c>
      <c r="B37" s="1">
        <v>35431</v>
      </c>
      <c r="C37">
        <v>157961</v>
      </c>
      <c r="D37">
        <v>383579286284.32001</v>
      </c>
      <c r="E37">
        <v>83.855799120108401</v>
      </c>
      <c r="G37" s="3">
        <v>35370</v>
      </c>
      <c r="H37" s="4">
        <v>83.498884941472198</v>
      </c>
    </row>
    <row r="38" spans="1:8" x14ac:dyDescent="0.25">
      <c r="A38" t="s">
        <v>5</v>
      </c>
      <c r="B38" s="1">
        <v>35462</v>
      </c>
      <c r="C38">
        <v>158587</v>
      </c>
      <c r="D38">
        <v>385622880966.02002</v>
      </c>
      <c r="E38">
        <v>84.035551529129094</v>
      </c>
      <c r="G38" s="3">
        <v>35400</v>
      </c>
      <c r="H38" s="4">
        <v>83.591681801590994</v>
      </c>
    </row>
    <row r="39" spans="1:8" x14ac:dyDescent="0.25">
      <c r="A39" t="s">
        <v>5</v>
      </c>
      <c r="B39" s="1">
        <v>35490</v>
      </c>
      <c r="C39">
        <v>159328</v>
      </c>
      <c r="D39">
        <v>388944585913.88</v>
      </c>
      <c r="E39">
        <v>84.280331178005696</v>
      </c>
      <c r="G39" s="3">
        <v>35431</v>
      </c>
      <c r="H39" s="4">
        <v>83.855799120108401</v>
      </c>
    </row>
    <row r="40" spans="1:8" x14ac:dyDescent="0.25">
      <c r="A40" t="s">
        <v>5</v>
      </c>
      <c r="B40" s="1">
        <v>35521</v>
      </c>
      <c r="C40">
        <v>160031</v>
      </c>
      <c r="D40">
        <v>391996345649.14001</v>
      </c>
      <c r="E40">
        <v>84.3483510556715</v>
      </c>
      <c r="G40" s="3">
        <v>35462</v>
      </c>
      <c r="H40" s="4">
        <v>84.035551529129094</v>
      </c>
    </row>
    <row r="41" spans="1:8" x14ac:dyDescent="0.25">
      <c r="A41" t="s">
        <v>5</v>
      </c>
      <c r="B41" s="1">
        <v>35551</v>
      </c>
      <c r="C41">
        <v>160667</v>
      </c>
      <c r="D41">
        <v>394401986179.65997</v>
      </c>
      <c r="E41">
        <v>84.457331440352505</v>
      </c>
      <c r="G41" s="3">
        <v>35490</v>
      </c>
      <c r="H41" s="4">
        <v>84.280331178005696</v>
      </c>
    </row>
    <row r="42" spans="1:8" x14ac:dyDescent="0.25">
      <c r="A42" t="s">
        <v>5</v>
      </c>
      <c r="B42" s="1">
        <v>35582</v>
      </c>
      <c r="C42">
        <v>161332</v>
      </c>
      <c r="D42">
        <v>397650299517.78003</v>
      </c>
      <c r="E42">
        <v>84.624932354684105</v>
      </c>
      <c r="G42" s="3">
        <v>35521</v>
      </c>
      <c r="H42" s="4">
        <v>84.3483510556715</v>
      </c>
    </row>
    <row r="43" spans="1:8" x14ac:dyDescent="0.25">
      <c r="A43" t="s">
        <v>5</v>
      </c>
      <c r="B43" s="1">
        <v>35612</v>
      </c>
      <c r="C43">
        <v>161858</v>
      </c>
      <c r="D43">
        <v>399661358461.85999</v>
      </c>
      <c r="E43">
        <v>84.741930733665598</v>
      </c>
      <c r="G43" s="3">
        <v>35551</v>
      </c>
      <c r="H43" s="4">
        <v>84.457331440352505</v>
      </c>
    </row>
    <row r="44" spans="1:8" x14ac:dyDescent="0.25">
      <c r="A44" t="s">
        <v>5</v>
      </c>
      <c r="B44" s="1">
        <v>35643</v>
      </c>
      <c r="C44">
        <v>162531</v>
      </c>
      <c r="D44">
        <v>402473247826.06</v>
      </c>
      <c r="E44">
        <v>84.869677951046398</v>
      </c>
      <c r="G44" s="3">
        <v>35582</v>
      </c>
      <c r="H44" s="4">
        <v>84.624932354684105</v>
      </c>
    </row>
    <row r="45" spans="1:8" x14ac:dyDescent="0.25">
      <c r="A45" t="s">
        <v>5</v>
      </c>
      <c r="B45" s="1">
        <v>35674</v>
      </c>
      <c r="C45">
        <v>163328</v>
      </c>
      <c r="D45">
        <v>407135000510.78003</v>
      </c>
      <c r="E45">
        <v>85.000403888003206</v>
      </c>
      <c r="G45" s="3">
        <v>35612</v>
      </c>
      <c r="H45" s="4">
        <v>84.741930733665598</v>
      </c>
    </row>
    <row r="46" spans="1:8" x14ac:dyDescent="0.25">
      <c r="A46" t="s">
        <v>5</v>
      </c>
      <c r="B46" s="1">
        <v>35704</v>
      </c>
      <c r="C46">
        <v>164171</v>
      </c>
      <c r="D46">
        <v>410957899203.09998</v>
      </c>
      <c r="E46">
        <v>85.261564786079205</v>
      </c>
      <c r="G46" s="3">
        <v>35643</v>
      </c>
      <c r="H46" s="4">
        <v>84.869677951046398</v>
      </c>
    </row>
    <row r="47" spans="1:8" x14ac:dyDescent="0.25">
      <c r="A47" t="s">
        <v>5</v>
      </c>
      <c r="B47" s="1">
        <v>35735</v>
      </c>
      <c r="C47">
        <v>164998</v>
      </c>
      <c r="D47">
        <v>415578143387.42999</v>
      </c>
      <c r="E47">
        <v>85.488595568113794</v>
      </c>
      <c r="G47" s="3">
        <v>35674</v>
      </c>
      <c r="H47" s="4">
        <v>85.000403888003206</v>
      </c>
    </row>
    <row r="48" spans="1:8" x14ac:dyDescent="0.25">
      <c r="A48" t="s">
        <v>5</v>
      </c>
      <c r="B48" s="1">
        <v>35765</v>
      </c>
      <c r="C48">
        <v>165889</v>
      </c>
      <c r="D48">
        <v>420442181020.82001</v>
      </c>
      <c r="E48">
        <v>85.732646670895903</v>
      </c>
      <c r="G48" s="3">
        <v>35704</v>
      </c>
      <c r="H48" s="4">
        <v>85.261564786079205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85.916772511190402</v>
      </c>
      <c r="G49" s="3">
        <v>35735</v>
      </c>
      <c r="H49" s="4">
        <v>85.488595568113794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86.073193776107303</v>
      </c>
      <c r="G50" s="3">
        <v>35765</v>
      </c>
      <c r="H50" s="4">
        <v>85.732646670895903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86.304900534006705</v>
      </c>
      <c r="G51" s="3">
        <v>35796</v>
      </c>
      <c r="H51" s="4">
        <v>85.916772511190402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86.678304028485002</v>
      </c>
      <c r="G52" s="3">
        <v>35827</v>
      </c>
      <c r="H52" s="4">
        <v>86.073193776107303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87.039574346980004</v>
      </c>
      <c r="G53" s="3">
        <v>35855</v>
      </c>
      <c r="H53" s="4">
        <v>86.304900534006705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87.343849904654306</v>
      </c>
      <c r="G54" s="3">
        <v>35886</v>
      </c>
      <c r="H54" s="4">
        <v>86.678304028485002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87.598838500133795</v>
      </c>
      <c r="G55" s="3">
        <v>35916</v>
      </c>
      <c r="H55" s="4">
        <v>87.039574346980004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87.788635868933795</v>
      </c>
      <c r="G56" s="3">
        <v>35947</v>
      </c>
      <c r="H56" s="4">
        <v>87.343849904654306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87.999499864576293</v>
      </c>
      <c r="G57" s="3">
        <v>35977</v>
      </c>
      <c r="H57" s="4">
        <v>87.598838500133795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88.182062951470598</v>
      </c>
      <c r="G58" s="3">
        <v>36008</v>
      </c>
      <c r="H58" s="4">
        <v>87.788635868933795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88.316940229701004</v>
      </c>
      <c r="G59" s="3">
        <v>36039</v>
      </c>
      <c r="H59" s="4">
        <v>87.999499864576293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88.502381318728396</v>
      </c>
      <c r="G60" s="3">
        <v>36069</v>
      </c>
      <c r="H60" s="4">
        <v>88.182062951470598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88.699348068777098</v>
      </c>
      <c r="G61" s="3">
        <v>36100</v>
      </c>
      <c r="H61" s="4">
        <v>88.316940229701004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88.8290600576115</v>
      </c>
      <c r="G62" s="3">
        <v>36130</v>
      </c>
      <c r="H62" s="4">
        <v>88.502381318728396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88.916750724973795</v>
      </c>
      <c r="G63" s="3">
        <v>36161</v>
      </c>
      <c r="H63" s="4">
        <v>88.699348068777098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89.022511910610902</v>
      </c>
      <c r="G64" s="3">
        <v>36192</v>
      </c>
      <c r="H64" s="4">
        <v>88.8290600576115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89.087276980426793</v>
      </c>
      <c r="G65" s="3">
        <v>36220</v>
      </c>
      <c r="H65" s="4">
        <v>88.916750724973795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89.183970079397497</v>
      </c>
      <c r="G66" s="3">
        <v>36251</v>
      </c>
      <c r="H66" s="4">
        <v>89.022511910610902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89.252668809369197</v>
      </c>
      <c r="G67" s="3">
        <v>36281</v>
      </c>
      <c r="H67" s="4">
        <v>89.087276980426793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89.334416538184101</v>
      </c>
      <c r="G68" s="3">
        <v>36312</v>
      </c>
      <c r="H68" s="4">
        <v>89.183970079397497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89.385212427030496</v>
      </c>
      <c r="G69" s="3">
        <v>36342</v>
      </c>
      <c r="H69" s="4">
        <v>89.252668809369197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89.423143180167799</v>
      </c>
      <c r="G70" s="3">
        <v>36373</v>
      </c>
      <c r="H70" s="4">
        <v>89.334416538184101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89.417570983946703</v>
      </c>
      <c r="G71" s="3">
        <v>36404</v>
      </c>
      <c r="H71" s="4">
        <v>89.385212427030496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89.440207313354904</v>
      </c>
      <c r="G72" s="3">
        <v>36434</v>
      </c>
      <c r="H72" s="4">
        <v>89.423143180167799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89.454106293303099</v>
      </c>
      <c r="G73" s="3">
        <v>36465</v>
      </c>
      <c r="H73" s="4">
        <v>89.417570983946703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89.469219142162103</v>
      </c>
      <c r="G74" s="3">
        <v>36495</v>
      </c>
      <c r="H74" s="4">
        <v>89.440207313354904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89.437017794823106</v>
      </c>
      <c r="G75" s="3">
        <v>36526</v>
      </c>
      <c r="H75" s="4">
        <v>89.454106293303099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89.420227761991001</v>
      </c>
      <c r="G76" s="3">
        <v>36557</v>
      </c>
      <c r="H76" s="4">
        <v>89.469219142162103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89.389606417202302</v>
      </c>
      <c r="G77" s="3">
        <v>36586</v>
      </c>
      <c r="H77" s="4">
        <v>89.437017794823106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89.378029575305007</v>
      </c>
      <c r="G78" s="3">
        <v>36617</v>
      </c>
      <c r="H78" s="4">
        <v>89.420227761991001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89.359996593194793</v>
      </c>
      <c r="G79" s="3">
        <v>36647</v>
      </c>
      <c r="H79" s="4">
        <v>89.389606417202302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89.356468625789006</v>
      </c>
      <c r="G80" s="3">
        <v>36678</v>
      </c>
      <c r="H80" s="4">
        <v>89.378029575305007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89.359803550265099</v>
      </c>
      <c r="G81" s="3">
        <v>36708</v>
      </c>
      <c r="H81" s="4">
        <v>89.359996593194793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89.347997273322704</v>
      </c>
      <c r="G82" s="3">
        <v>36739</v>
      </c>
      <c r="H82" s="4">
        <v>89.356468625789006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89.329065844258906</v>
      </c>
      <c r="G83" s="3">
        <v>36770</v>
      </c>
      <c r="H83" s="4">
        <v>89.359803550265099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89.311412246293202</v>
      </c>
      <c r="G84" s="3">
        <v>36800</v>
      </c>
      <c r="H84" s="4">
        <v>89.347997273322704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89.1957191773012</v>
      </c>
      <c r="G85" s="3">
        <v>36831</v>
      </c>
      <c r="H85" s="4">
        <v>89.329065844258906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89.162986222519294</v>
      </c>
      <c r="G86" s="3">
        <v>36861</v>
      </c>
      <c r="H86" s="4">
        <v>89.311412246293202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89.142333278132398</v>
      </c>
      <c r="G87" s="3">
        <v>36892</v>
      </c>
      <c r="H87" s="4">
        <v>89.1957191773012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89.061908440722306</v>
      </c>
      <c r="G88" s="3">
        <v>36923</v>
      </c>
      <c r="H88" s="4">
        <v>89.162986222519294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89.0083794947694</v>
      </c>
      <c r="G89" s="3">
        <v>36951</v>
      </c>
      <c r="H89" s="4">
        <v>89.142333278132398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88.951361810687303</v>
      </c>
      <c r="G90" s="3">
        <v>36982</v>
      </c>
      <c r="H90" s="4">
        <v>89.061908440722306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88.881959879658197</v>
      </c>
      <c r="G91" s="3">
        <v>37012</v>
      </c>
      <c r="H91" s="4">
        <v>89.0083794947694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88.786114814314999</v>
      </c>
      <c r="G92" s="3">
        <v>37043</v>
      </c>
      <c r="H92" s="4">
        <v>88.951361810687303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88.714591239844296</v>
      </c>
      <c r="G93" s="3">
        <v>37073</v>
      </c>
      <c r="H93" s="4">
        <v>88.881959879658197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88.606289030605197</v>
      </c>
      <c r="G94" s="3">
        <v>37104</v>
      </c>
      <c r="H94" s="4">
        <v>88.786114814314999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88.513754292118705</v>
      </c>
      <c r="G95" s="3">
        <v>37135</v>
      </c>
      <c r="H95" s="4">
        <v>88.714591239844296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88.418972093567106</v>
      </c>
      <c r="G96" s="3">
        <v>37165</v>
      </c>
      <c r="H96" s="4">
        <v>88.606289030605197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88.277211055421702</v>
      </c>
      <c r="G97" s="3">
        <v>37196</v>
      </c>
      <c r="H97" s="4">
        <v>88.513754292118705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88.176194043112901</v>
      </c>
      <c r="G98" s="3">
        <v>37226</v>
      </c>
      <c r="H98" s="4">
        <v>88.418972093567106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88.077440995684597</v>
      </c>
      <c r="G99" s="3">
        <v>37257</v>
      </c>
      <c r="H99" s="4">
        <v>88.277211055421702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87.981297556967803</v>
      </c>
      <c r="G100" s="3">
        <v>37288</v>
      </c>
      <c r="H100" s="4">
        <v>88.176194043112901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87.865603598528097</v>
      </c>
      <c r="G101" s="3">
        <v>37316</v>
      </c>
      <c r="H101" s="4">
        <v>88.077440995684597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87.767329522479102</v>
      </c>
      <c r="G102" s="3">
        <v>37347</v>
      </c>
      <c r="H102" s="4">
        <v>87.981297556967803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87.669587927029895</v>
      </c>
      <c r="G103" s="3">
        <v>37377</v>
      </c>
      <c r="H103" s="4">
        <v>87.865603598528097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87.581996200554499</v>
      </c>
      <c r="G104" s="3">
        <v>37408</v>
      </c>
      <c r="H104" s="4">
        <v>87.767329522479102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87.473233839757697</v>
      </c>
      <c r="G105" s="3">
        <v>37438</v>
      </c>
      <c r="H105" s="4">
        <v>87.669587927029895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87.382480191274695</v>
      </c>
      <c r="G106" s="3">
        <v>37469</v>
      </c>
      <c r="H106" s="4">
        <v>87.581996200554499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87.287318973135598</v>
      </c>
      <c r="G107" s="3">
        <v>37500</v>
      </c>
      <c r="H107" s="4">
        <v>87.473233839757697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87.223224297742604</v>
      </c>
      <c r="G108" s="3">
        <v>37530</v>
      </c>
      <c r="H108" s="4">
        <v>87.382480191274695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87.208728162662098</v>
      </c>
      <c r="G109" s="3">
        <v>37561</v>
      </c>
      <c r="H109" s="4">
        <v>87.287318973135598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87.207829897462602</v>
      </c>
      <c r="G110" s="3">
        <v>37591</v>
      </c>
      <c r="H110" s="4">
        <v>87.223224297742604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87.200318656935593</v>
      </c>
      <c r="G111" s="3">
        <v>37622</v>
      </c>
      <c r="H111" s="4">
        <v>87.208728162662098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87.194903421124906</v>
      </c>
      <c r="G112" s="3">
        <v>37653</v>
      </c>
      <c r="H112" s="4">
        <v>87.207829897462602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86.822028233947506</v>
      </c>
      <c r="G113" s="3">
        <v>37681</v>
      </c>
      <c r="H113" s="4">
        <v>87.200318656935593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86.707662911917595</v>
      </c>
      <c r="G114" s="3">
        <v>37712</v>
      </c>
      <c r="H114" s="4">
        <v>87.194903421124906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86.715386817031998</v>
      </c>
      <c r="G115" s="3">
        <v>37742</v>
      </c>
      <c r="H115" s="4">
        <v>86.822028233947506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86.7408824390386</v>
      </c>
      <c r="G116" s="3">
        <v>37773</v>
      </c>
      <c r="H116" s="4">
        <v>86.707662911917595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86.768344664314498</v>
      </c>
      <c r="G117" s="3">
        <v>37803</v>
      </c>
      <c r="H117" s="4">
        <v>86.715386817031998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86.771986438292302</v>
      </c>
      <c r="G118" s="3">
        <v>37834</v>
      </c>
      <c r="H118" s="4">
        <v>86.7408824390386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86.794467093150601</v>
      </c>
      <c r="G119" s="3">
        <v>37865</v>
      </c>
      <c r="H119" s="4">
        <v>86.768344664314498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86.7832101478364</v>
      </c>
      <c r="G120" s="3">
        <v>37895</v>
      </c>
      <c r="H120" s="4">
        <v>86.771986438292302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86.666943621310693</v>
      </c>
      <c r="G121" s="3">
        <v>37926</v>
      </c>
      <c r="H121" s="4">
        <v>86.794467093150601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86.673083350070499</v>
      </c>
      <c r="G122" s="3">
        <v>37956</v>
      </c>
      <c r="H122" s="4">
        <v>86.7832101478364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86.7574822907156</v>
      </c>
      <c r="G123" s="3">
        <v>37987</v>
      </c>
      <c r="H123" s="4">
        <v>86.666943621310693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86.829664718295902</v>
      </c>
      <c r="G124" s="3">
        <v>38018</v>
      </c>
      <c r="H124" s="4">
        <v>86.673083350070499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86.896268672576298</v>
      </c>
      <c r="G125" s="3">
        <v>38047</v>
      </c>
      <c r="H125" s="4">
        <v>86.7574822907156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86.982280720729406</v>
      </c>
      <c r="G126" s="3">
        <v>38078</v>
      </c>
      <c r="H126" s="4">
        <v>86.829664718295902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87.086669810072706</v>
      </c>
      <c r="G127" s="3">
        <v>38108</v>
      </c>
      <c r="H127" s="4">
        <v>86.896268672576298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87.197794988536401</v>
      </c>
      <c r="G128" s="3">
        <v>38139</v>
      </c>
      <c r="H128" s="4">
        <v>86.982280720729406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87.294954903344902</v>
      </c>
      <c r="G129" s="3">
        <v>38169</v>
      </c>
      <c r="H129" s="4">
        <v>87.086669810072706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87.398738831630595</v>
      </c>
      <c r="G130" s="3">
        <v>38200</v>
      </c>
      <c r="H130" s="4">
        <v>87.197794988536401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87.490573576612306</v>
      </c>
      <c r="G131" s="3">
        <v>38231</v>
      </c>
      <c r="H131" s="4">
        <v>87.294954903344902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87.595912266890906</v>
      </c>
      <c r="G132" s="3">
        <v>38261</v>
      </c>
      <c r="H132" s="4">
        <v>87.398738831630595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87.702255846650701</v>
      </c>
      <c r="G133" s="3">
        <v>38292</v>
      </c>
      <c r="H133" s="4">
        <v>87.490573576612306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87.782891469925502</v>
      </c>
      <c r="G134" s="3">
        <v>38322</v>
      </c>
      <c r="H134" s="4">
        <v>87.595912266890906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87.864725341011805</v>
      </c>
      <c r="G135" s="3">
        <v>38353</v>
      </c>
      <c r="H135" s="4">
        <v>87.702255846650701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87.182146888447804</v>
      </c>
      <c r="G136" s="3">
        <v>38384</v>
      </c>
      <c r="H136" s="4">
        <v>87.782891469925502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87.242677015284499</v>
      </c>
      <c r="G137" s="3">
        <v>38412</v>
      </c>
      <c r="H137" s="4">
        <v>87.864725341011805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87.285375769113003</v>
      </c>
      <c r="G138" s="3">
        <v>38443</v>
      </c>
      <c r="H138" s="4">
        <v>87.182146888447804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88.158475861105103</v>
      </c>
      <c r="G139" s="3">
        <v>38473</v>
      </c>
      <c r="H139" s="4">
        <v>87.242677015284499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88.261609674462704</v>
      </c>
      <c r="G140" s="3">
        <v>38504</v>
      </c>
      <c r="H140" s="4">
        <v>87.285375769113003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88.379755043513299</v>
      </c>
      <c r="G141" s="3">
        <v>38534</v>
      </c>
      <c r="H141" s="4">
        <v>88.158475861105103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88.485589927773702</v>
      </c>
      <c r="G142" s="3">
        <v>38565</v>
      </c>
      <c r="H142" s="4">
        <v>88.261609674462704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88.574178978685296</v>
      </c>
      <c r="G143" s="3">
        <v>38596</v>
      </c>
      <c r="H143" s="4">
        <v>88.379755043513299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88.642234664174396</v>
      </c>
      <c r="G144" s="3">
        <v>38626</v>
      </c>
      <c r="H144" s="4">
        <v>88.485589927773702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88.725811162186204</v>
      </c>
      <c r="G145" s="3">
        <v>38657</v>
      </c>
      <c r="H145" s="4">
        <v>88.574178978685296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88.766329729225802</v>
      </c>
      <c r="G146" s="3">
        <v>38687</v>
      </c>
      <c r="H146" s="4">
        <v>88.642234664174396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88.831659693506495</v>
      </c>
      <c r="G147" s="3">
        <v>38718</v>
      </c>
      <c r="H147" s="4">
        <v>88.725811162186204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88.886252852679306</v>
      </c>
      <c r="G148" s="3">
        <v>38749</v>
      </c>
      <c r="H148" s="4">
        <v>88.766329729225802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88.956859180533598</v>
      </c>
      <c r="G149" s="3">
        <v>38777</v>
      </c>
      <c r="H149" s="4">
        <v>88.831659693506495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89.010747427191703</v>
      </c>
      <c r="G150" s="3">
        <v>38808</v>
      </c>
      <c r="H150" s="4">
        <v>88.886252852679306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89.039442511260305</v>
      </c>
      <c r="G151" s="3">
        <v>38838</v>
      </c>
      <c r="H151" s="4">
        <v>88.956859180533598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89.0775214272863</v>
      </c>
      <c r="G152" s="3">
        <v>38869</v>
      </c>
      <c r="H152" s="4">
        <v>89.010747427191703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89.102836407577897</v>
      </c>
      <c r="G153" s="3">
        <v>38899</v>
      </c>
      <c r="H153" s="4">
        <v>89.039442511260305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89.129297411007201</v>
      </c>
      <c r="G154" s="3">
        <v>38930</v>
      </c>
      <c r="H154" s="4">
        <v>89.0775214272863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89.154276982801704</v>
      </c>
      <c r="G155" s="3">
        <v>38961</v>
      </c>
      <c r="H155" s="4">
        <v>89.102836407577897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89.170519162776998</v>
      </c>
      <c r="G156" s="3">
        <v>38991</v>
      </c>
      <c r="H156" s="4">
        <v>89.129297411007201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89.179441335163006</v>
      </c>
      <c r="G157" s="3">
        <v>39022</v>
      </c>
      <c r="H157" s="4">
        <v>89.154276982801704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89.201941488793096</v>
      </c>
      <c r="G158" s="3">
        <v>39052</v>
      </c>
      <c r="H158" s="4">
        <v>89.170519162776998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89.246157653823801</v>
      </c>
      <c r="G159" s="3">
        <v>39083</v>
      </c>
      <c r="H159" s="4">
        <v>89.179441335163006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89.256248179001503</v>
      </c>
      <c r="G160" s="3">
        <v>39114</v>
      </c>
      <c r="H160" s="4">
        <v>89.201941488793096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89.257750509301005</v>
      </c>
      <c r="G161" s="3">
        <v>39142</v>
      </c>
      <c r="H161" s="4">
        <v>89.246157653823801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89.250428295611101</v>
      </c>
      <c r="G162" s="3">
        <v>39173</v>
      </c>
      <c r="H162" s="4">
        <v>89.256248179001503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89.206045580815299</v>
      </c>
      <c r="G163" s="3">
        <v>39203</v>
      </c>
      <c r="H163" s="4">
        <v>89.257750509301005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89.1909846522137</v>
      </c>
      <c r="G164" s="3">
        <v>39234</v>
      </c>
      <c r="H164" s="4">
        <v>89.250428295611101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89.178131002609703</v>
      </c>
      <c r="G165" s="3">
        <v>39264</v>
      </c>
      <c r="H165" s="4">
        <v>89.206045580815299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89.105633373318497</v>
      </c>
      <c r="G166" s="3">
        <v>39295</v>
      </c>
      <c r="H166" s="4">
        <v>89.1909846522137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89.046230349444997</v>
      </c>
      <c r="G167" s="3">
        <v>39326</v>
      </c>
      <c r="H167" s="4">
        <v>89.178131002609703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88.991225932700502</v>
      </c>
      <c r="G168" s="3">
        <v>39356</v>
      </c>
      <c r="H168" s="4">
        <v>89.105633373318497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88.935954525777007</v>
      </c>
      <c r="G169" s="3">
        <v>39387</v>
      </c>
      <c r="H169" s="4">
        <v>89.046230349444997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88.882333577262699</v>
      </c>
      <c r="G170" s="3">
        <v>39417</v>
      </c>
      <c r="H170" s="4">
        <v>88.991225932700502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88.875044473337994</v>
      </c>
      <c r="G171" s="3">
        <v>39448</v>
      </c>
      <c r="H171" s="4">
        <v>88.935954525777007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88.844516276389697</v>
      </c>
      <c r="G172" s="3">
        <v>39479</v>
      </c>
      <c r="H172" s="4">
        <v>88.882333577262699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88.896442962079306</v>
      </c>
      <c r="G173" s="3">
        <v>39508</v>
      </c>
      <c r="H173" s="4">
        <v>88.875044473337994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88.844516276389697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88.996708470353298</v>
      </c>
      <c r="G175" s="3">
        <v>39569</v>
      </c>
      <c r="H175" s="4">
        <v>88.896442962079306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89.124990262253704</v>
      </c>
      <c r="G176" s="3">
        <v>39600</v>
      </c>
      <c r="H176" s="4">
        <v>88.996708470353298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89.124990262253704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89.209233099813304</v>
      </c>
      <c r="G178" s="3">
        <v>39661</v>
      </c>
      <c r="H178" s="4">
        <v>89.209233099813304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89.288186823087401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89.288186823087401</v>
      </c>
      <c r="G180" s="3">
        <v>39722</v>
      </c>
      <c r="H180" s="4">
        <v>89.404796194973002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100</v>
      </c>
      <c r="G181" s="3">
        <v>39753</v>
      </c>
      <c r="H181" s="4">
        <v>89.464850069709101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100</v>
      </c>
      <c r="G182" s="3">
        <v>39783</v>
      </c>
      <c r="H182" s="4">
        <v>89.555952831671206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89.404796194973002</v>
      </c>
      <c r="G183" s="3">
        <v>39814</v>
      </c>
      <c r="H183" s="4">
        <v>89.675378124605999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100</v>
      </c>
      <c r="G184" s="3">
        <v>39845</v>
      </c>
      <c r="H184" s="4">
        <v>89.743617780274306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89.464850069709101</v>
      </c>
      <c r="G185" s="3">
        <v>39873</v>
      </c>
      <c r="H185" s="4">
        <v>89.865450047058502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100</v>
      </c>
      <c r="G186" s="3">
        <v>39904</v>
      </c>
      <c r="H186" s="4">
        <v>90.112773689330695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89.555952831671206</v>
      </c>
      <c r="G187" s="3">
        <v>39934</v>
      </c>
      <c r="H187" s="4">
        <v>90.269271386782407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89.675378124605999</v>
      </c>
      <c r="G188" s="3">
        <v>39965</v>
      </c>
      <c r="H188" s="4">
        <v>90.260357422999604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100</v>
      </c>
      <c r="G189" s="3">
        <v>39995</v>
      </c>
      <c r="H189" s="4">
        <v>90.437052803943502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100</v>
      </c>
      <c r="G190" s="3">
        <v>40026</v>
      </c>
      <c r="H190" s="4">
        <v>90.620409447195101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89.743617780274306</v>
      </c>
      <c r="G191" s="3">
        <v>40057</v>
      </c>
      <c r="H191" s="4">
        <v>90.739257821878297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100</v>
      </c>
      <c r="G192" s="3">
        <v>40087</v>
      </c>
      <c r="H192" s="4">
        <v>90.844463902687494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89.865450047058502</v>
      </c>
      <c r="G193" s="3">
        <v>40118</v>
      </c>
      <c r="H193" s="4">
        <v>90.929904723608601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100</v>
      </c>
      <c r="G194" s="3">
        <v>40148</v>
      </c>
      <c r="H194" s="4">
        <v>91.004763922411996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90.112773689330695</v>
      </c>
      <c r="G195" s="3">
        <v>40179</v>
      </c>
      <c r="H195" s="4">
        <v>91.062751989165704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90.269271386782407</v>
      </c>
      <c r="G196" s="3">
        <v>40210</v>
      </c>
      <c r="H196" s="4">
        <v>91.1263761815365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100</v>
      </c>
      <c r="G197" s="3">
        <v>40238</v>
      </c>
      <c r="H197" s="4">
        <v>91.187683050064294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90.260357422999604</v>
      </c>
      <c r="G198" s="3">
        <v>40269</v>
      </c>
      <c r="H198" s="4">
        <v>91.308005096963896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99.9863015862026</v>
      </c>
      <c r="G199" s="3">
        <v>40299</v>
      </c>
      <c r="H199" s="4">
        <v>91.573987618499501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90.437052803943502</v>
      </c>
      <c r="G200" s="3">
        <v>40330</v>
      </c>
      <c r="H200" s="4">
        <v>91.789428207873996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99.937551368541705</v>
      </c>
      <c r="G201" s="3">
        <v>40360</v>
      </c>
      <c r="H201" s="4">
        <v>91.880024590048706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90.620409447195101</v>
      </c>
      <c r="G202" s="3">
        <v>40391</v>
      </c>
      <c r="H202" s="4">
        <v>91.946399438105203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99.894471134551495</v>
      </c>
      <c r="G203" s="3">
        <v>40422</v>
      </c>
      <c r="H203" s="4">
        <v>92.010377615222794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90.739257821878297</v>
      </c>
      <c r="G204" s="3">
        <v>40452</v>
      </c>
      <c r="H204" s="4">
        <v>92.1080853409441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99.9033440776752</v>
      </c>
      <c r="G205" s="3">
        <v>40483</v>
      </c>
      <c r="H205" s="4">
        <v>92.205127782332497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90.844463902687494</v>
      </c>
      <c r="G206" s="3">
        <v>40513</v>
      </c>
      <c r="H206" s="4">
        <v>92.292483085158295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99.921943686942001</v>
      </c>
      <c r="G207" s="3">
        <v>40544</v>
      </c>
      <c r="H207" s="4">
        <v>92.396466917223407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90.929904723608601</v>
      </c>
      <c r="G208" s="3">
        <v>40575</v>
      </c>
      <c r="H208" s="4">
        <v>92.483769027590895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96.701808029489001</v>
      </c>
      <c r="G209" s="3">
        <v>40603</v>
      </c>
      <c r="H209" s="4">
        <v>92.557381531138702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99.934840514003696</v>
      </c>
      <c r="G210" s="3">
        <v>40634</v>
      </c>
      <c r="H210" s="4">
        <v>92.637593980511497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91.004763922411996</v>
      </c>
      <c r="G211" s="3">
        <v>40664</v>
      </c>
      <c r="H211" s="4">
        <v>92.703232333637999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93.7442174268933</v>
      </c>
      <c r="G212" s="3">
        <v>40695</v>
      </c>
      <c r="H212" s="4">
        <v>92.754966118558301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99.925639952495999</v>
      </c>
      <c r="G213" s="3">
        <v>40725</v>
      </c>
      <c r="H213" s="4">
        <v>92.808646324190505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91.062751989165704</v>
      </c>
      <c r="G214" s="3">
        <v>40756</v>
      </c>
      <c r="H214" s="4">
        <v>92.863859149287293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94.532650317876801</v>
      </c>
      <c r="G215" s="3">
        <v>40787</v>
      </c>
      <c r="H215" s="4">
        <v>92.934018823881104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99.916509509765007</v>
      </c>
      <c r="G216" s="3">
        <v>40817</v>
      </c>
      <c r="H216" s="4">
        <v>92.997309214529594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91.1263761815365</v>
      </c>
      <c r="G217" s="3">
        <v>40848</v>
      </c>
      <c r="H217" s="4">
        <v>93.065803089217596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93.734093767396303</v>
      </c>
      <c r="G218" s="3">
        <v>40878</v>
      </c>
      <c r="H218" s="4">
        <v>93.141427067055403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99.914427340347402</v>
      </c>
      <c r="G219" s="3">
        <v>40909</v>
      </c>
      <c r="H219" s="4">
        <v>93.243764657980705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91.187683050064294</v>
      </c>
      <c r="G220" s="3">
        <v>40940</v>
      </c>
      <c r="H220" s="4">
        <v>93.297721115623602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92.047350427747801</v>
      </c>
      <c r="G221" s="3">
        <v>40969</v>
      </c>
      <c r="H221" s="4">
        <v>93.354232699226301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99.9091940218471</v>
      </c>
      <c r="G222" s="3">
        <v>41000</v>
      </c>
      <c r="H222" s="4">
        <v>93.408729632261398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91.308005096963896</v>
      </c>
      <c r="G223" s="3">
        <v>41030</v>
      </c>
      <c r="H223" s="4">
        <v>93.501389412987294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91.916253102593103</v>
      </c>
      <c r="G224" s="3">
        <v>41061</v>
      </c>
      <c r="H224" s="4">
        <v>93.560369380203099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99.632758822103298</v>
      </c>
      <c r="G225" s="3">
        <v>41091</v>
      </c>
      <c r="H225" s="4">
        <v>93.6216860054693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91.573987618499501</v>
      </c>
      <c r="G226" s="3">
        <v>41122</v>
      </c>
      <c r="H226" s="4">
        <v>93.712598658155201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91.704176086498407</v>
      </c>
      <c r="G227" s="3">
        <v>41153</v>
      </c>
      <c r="H227" s="4">
        <v>93.807070748505197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99.547538316746795</v>
      </c>
      <c r="G228" s="3">
        <v>41183</v>
      </c>
      <c r="H228" s="4">
        <v>93.901022145489407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91.789428207873996</v>
      </c>
      <c r="G229" s="3">
        <v>41214</v>
      </c>
      <c r="H229" s="4">
        <v>93.966867300089703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91.283694439989205</v>
      </c>
      <c r="G230" s="3">
        <v>41244</v>
      </c>
      <c r="H230" s="4">
        <v>94.081794626520505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99.506611399471794</v>
      </c>
      <c r="G231" s="3">
        <v>41275</v>
      </c>
      <c r="H231" s="4">
        <v>94.145853447733302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91.880024590048706</v>
      </c>
      <c r="G232" s="3">
        <v>41306</v>
      </c>
      <c r="H232" s="4">
        <v>94.162941557010001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90.986047306770899</v>
      </c>
      <c r="G233" s="3">
        <v>41334</v>
      </c>
      <c r="H233" s="4">
        <v>94.179770843223494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99.561238516886505</v>
      </c>
      <c r="G234" s="3">
        <v>41365</v>
      </c>
      <c r="H234" s="4">
        <v>94.201892944476896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91.946399438105203</v>
      </c>
      <c r="G235" s="3">
        <v>41395</v>
      </c>
      <c r="H235" s="4">
        <v>94.224834494805606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90.792335955246898</v>
      </c>
      <c r="G236" s="3">
        <v>41426</v>
      </c>
      <c r="H236" s="4">
        <v>94.253443709133506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99.589450414066405</v>
      </c>
      <c r="G237" s="3">
        <v>41456</v>
      </c>
      <c r="H237" s="4">
        <v>94.282933916013903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92.010377615222794</v>
      </c>
      <c r="G238" s="3">
        <v>41487</v>
      </c>
      <c r="H238" s="4">
        <v>94.310904509305203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91.052362762282897</v>
      </c>
      <c r="G239" s="3">
        <v>41518</v>
      </c>
      <c r="H239" s="4">
        <v>94.352516660948098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99.619284926501507</v>
      </c>
      <c r="G240" s="3">
        <v>41548</v>
      </c>
      <c r="H240" s="4">
        <v>94.396536566089594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92.1080853409441</v>
      </c>
      <c r="G241" s="3">
        <v>41579</v>
      </c>
      <c r="H241" s="4">
        <v>94.434716270369904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91.001725206505796</v>
      </c>
      <c r="G242" s="3">
        <v>41609</v>
      </c>
      <c r="H242" s="4">
        <v>94.479875659281802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99.640765383274299</v>
      </c>
      <c r="G243" s="3">
        <v>41640</v>
      </c>
      <c r="H243" s="4">
        <v>94.512977252690803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92.205127782332497</v>
      </c>
      <c r="G244" s="3">
        <v>41671</v>
      </c>
      <c r="H244" s="4">
        <v>94.543730206308098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90.948322598251806</v>
      </c>
      <c r="G245" s="3">
        <v>41699</v>
      </c>
      <c r="H245" s="4">
        <v>94.5707894416432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99.667709469403306</v>
      </c>
      <c r="G246" s="3">
        <v>41730</v>
      </c>
      <c r="H246" s="4">
        <v>94.595555952406897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92.292483085158295</v>
      </c>
      <c r="G247" s="3">
        <v>41760</v>
      </c>
      <c r="H247" s="4">
        <v>94.623150275185907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90.755374987605194</v>
      </c>
      <c r="G248" s="3">
        <v>41791</v>
      </c>
      <c r="H248" s="4">
        <v>94.653873259857505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99.696614916256905</v>
      </c>
      <c r="G249" s="3">
        <v>41821</v>
      </c>
      <c r="H249" s="4">
        <v>94.680404329064302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92.396466917223407</v>
      </c>
      <c r="G250" s="3">
        <v>41852</v>
      </c>
      <c r="H250" s="4">
        <v>94.715952580970296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90.570755183876898</v>
      </c>
      <c r="G251" s="3">
        <v>41883</v>
      </c>
      <c r="H251" s="4">
        <v>94.743650334846194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99.741260524898806</v>
      </c>
      <c r="G252" s="3">
        <v>41913</v>
      </c>
      <c r="H252" s="4">
        <v>94.768032188296999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92.483769027590895</v>
      </c>
      <c r="G253" s="3">
        <v>41944</v>
      </c>
      <c r="H253" s="4">
        <v>94.800108102504794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90.445522303589399</v>
      </c>
      <c r="G254" s="3">
        <v>41974</v>
      </c>
      <c r="H254" s="4">
        <v>94.822967566256494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99.765315968579102</v>
      </c>
      <c r="G255" s="3">
        <v>42005</v>
      </c>
      <c r="H255" s="4">
        <v>94.850521875906097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92.557381531138702</v>
      </c>
      <c r="G256" s="3">
        <v>42036</v>
      </c>
      <c r="H256" s="4">
        <v>94.8712172635352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90.636338034485306</v>
      </c>
      <c r="G257" s="3">
        <v>42064</v>
      </c>
      <c r="H257" s="4">
        <v>94.894233213169201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99.773212048521103</v>
      </c>
      <c r="G258" s="3">
        <v>42095</v>
      </c>
      <c r="H258" s="4">
        <v>94.911210699303894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92.637593980511497</v>
      </c>
      <c r="G259" s="3">
        <v>42125</v>
      </c>
      <c r="H259" s="4">
        <v>94.923302541654394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90.401809885767406</v>
      </c>
      <c r="G260" s="3">
        <v>42156</v>
      </c>
      <c r="H260" s="4">
        <v>94.958885315591601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99.783163312000099</v>
      </c>
      <c r="G261" s="3">
        <v>42186</v>
      </c>
      <c r="H261" s="4">
        <v>94.972885642549699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92.703232333637999</v>
      </c>
      <c r="G262" s="3">
        <v>42217</v>
      </c>
      <c r="H262" s="4">
        <v>94.990009733039699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90.178535517066607</v>
      </c>
      <c r="G263" s="3">
        <v>42248</v>
      </c>
      <c r="H263" s="4">
        <v>95.006918838558207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99.789528760021796</v>
      </c>
      <c r="G264" s="3">
        <v>42278</v>
      </c>
      <c r="H264" s="4">
        <v>95.023497061942507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92.754966118558301</v>
      </c>
      <c r="G265" s="3">
        <v>42309</v>
      </c>
      <c r="H265" s="4">
        <v>95.044348410933296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90.176571441853895</v>
      </c>
      <c r="G266" s="3">
        <v>42339</v>
      </c>
      <c r="H266" s="4">
        <v>95.065749337480995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99.794737608976902</v>
      </c>
      <c r="G267" s="3">
        <v>42370</v>
      </c>
      <c r="H267" s="4">
        <v>95.091694581618995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92.808646324190505</v>
      </c>
      <c r="G268" s="3">
        <v>42401</v>
      </c>
      <c r="H268" s="4">
        <v>95.114801743876299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90.049483285841404</v>
      </c>
      <c r="G269" s="3">
        <v>42430</v>
      </c>
      <c r="H269" s="4">
        <v>95.142827724214897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99.797180990104707</v>
      </c>
      <c r="G270" s="3">
        <v>42461</v>
      </c>
      <c r="H270" s="4">
        <v>95.165268755363797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92.863859149287293</v>
      </c>
      <c r="G271" s="3">
        <v>42491</v>
      </c>
      <c r="H271" s="4">
        <v>95.183290229626294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89.982362054125204</v>
      </c>
      <c r="G272" s="3">
        <v>42522</v>
      </c>
      <c r="H272" s="4">
        <v>95.200371237798606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99.810740345950293</v>
      </c>
      <c r="G273" s="3">
        <v>42552</v>
      </c>
      <c r="H273" s="4">
        <v>95.239080189480703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92.934018823881104</v>
      </c>
      <c r="G274" s="3">
        <v>42583</v>
      </c>
      <c r="H274" s="4">
        <v>95.251513231904397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89.888428988835102</v>
      </c>
      <c r="G275" s="3">
        <v>42614</v>
      </c>
      <c r="H275" s="4">
        <v>95.268236501274103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99.8189591983718</v>
      </c>
      <c r="G276" s="3">
        <v>42644</v>
      </c>
      <c r="H276" s="4">
        <v>95.280323870553204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92.997309214529594</v>
      </c>
      <c r="G277" s="3" t="s">
        <v>10</v>
      </c>
      <c r="H277" s="4">
        <v>22037.967412499871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89.750605196738206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99.827854150992806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93.065803089217596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89.673632529765598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99.838874625920994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93.141427067055403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89.664991447860103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99.648639635694295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93.243764657980705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89.747897690977197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99.654513976809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93.297721115623602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89.572942960900406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99.662727963628299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93.354232699226301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89.495992153052498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99.665501415522996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93.408729632261398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88.900629172472094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99.627127428403597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93.501389412987294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89.042230884812597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99.631173209738606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93.560369380203099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88.658460700603101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99.566825896503403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93.6216860054693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88.415103738460303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86.683060673894005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99.576775408775106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93.712598658155201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88.202138814657403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86.594732281176604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99.590395442546793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93.807070748505197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88.012787754588103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86.331050886758604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99.608448727121896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93.901022145489407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87.810219106182402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86.284138816658796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99.518459649940198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93.966867300089703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87.682423390331493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86.175299729055297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99.528716229790604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94.081794626520505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87.583252213226999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86.183125762431999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99.5547550301294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94.145853447733302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87.441906887647505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86.057768050996998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99.561954202389899</v>
      </c>
    </row>
    <row r="332" spans="1:5" x14ac:dyDescent="0.25">
      <c r="A332" t="s">
        <v>5</v>
      </c>
      <c r="B332" s="1">
        <v>41306</v>
      </c>
      <c r="C332">
        <v>293805</v>
      </c>
      <c r="D332">
        <v>1593918573766.71</v>
      </c>
      <c r="E332">
        <v>94.162941557010001</v>
      </c>
    </row>
    <row r="333" spans="1:5" x14ac:dyDescent="0.25">
      <c r="A333" t="s">
        <v>7</v>
      </c>
      <c r="B333" s="1">
        <v>41306</v>
      </c>
      <c r="C333">
        <v>1195</v>
      </c>
      <c r="D333">
        <v>32960778812.59</v>
      </c>
      <c r="E333">
        <v>87.436723819610705</v>
      </c>
    </row>
    <row r="334" spans="1:5" x14ac:dyDescent="0.25">
      <c r="A334" t="s">
        <v>8</v>
      </c>
      <c r="B334" s="1">
        <v>41306</v>
      </c>
      <c r="C334">
        <v>496</v>
      </c>
      <c r="D334">
        <v>22755806298</v>
      </c>
      <c r="E334">
        <v>86.0225692191799</v>
      </c>
    </row>
    <row r="335" spans="1:5" x14ac:dyDescent="0.25">
      <c r="A335" t="s">
        <v>6</v>
      </c>
      <c r="B335" s="1">
        <v>41306</v>
      </c>
      <c r="C335">
        <v>1860</v>
      </c>
      <c r="D335">
        <v>56268171623.830002</v>
      </c>
      <c r="E335">
        <v>99.561831809667794</v>
      </c>
    </row>
    <row r="336" spans="1:5" x14ac:dyDescent="0.25">
      <c r="A336" t="s">
        <v>5</v>
      </c>
      <c r="B336" s="1">
        <v>41334</v>
      </c>
      <c r="C336">
        <v>292500</v>
      </c>
      <c r="D336">
        <v>1544182611784.7</v>
      </c>
      <c r="E336">
        <v>94.179770843223494</v>
      </c>
    </row>
    <row r="337" spans="1:5" x14ac:dyDescent="0.25">
      <c r="A337" t="s">
        <v>7</v>
      </c>
      <c r="B337" s="1">
        <v>41334</v>
      </c>
      <c r="C337">
        <v>1195</v>
      </c>
      <c r="D337">
        <v>32818086591.290001</v>
      </c>
      <c r="E337">
        <v>87.435774189383906</v>
      </c>
    </row>
    <row r="338" spans="1:5" x14ac:dyDescent="0.25">
      <c r="A338" t="s">
        <v>8</v>
      </c>
      <c r="B338" s="1">
        <v>41334</v>
      </c>
      <c r="C338">
        <v>496</v>
      </c>
      <c r="D338">
        <v>22696342928.810001</v>
      </c>
      <c r="E338">
        <v>86.034601723669496</v>
      </c>
    </row>
    <row r="339" spans="1:5" x14ac:dyDescent="0.25">
      <c r="A339" t="s">
        <v>6</v>
      </c>
      <c r="B339" s="1">
        <v>41334</v>
      </c>
      <c r="C339">
        <v>1849</v>
      </c>
      <c r="D339">
        <v>53226742579.720001</v>
      </c>
      <c r="E339">
        <v>99.564842309395502</v>
      </c>
    </row>
    <row r="340" spans="1:5" x14ac:dyDescent="0.25">
      <c r="A340" t="s">
        <v>5</v>
      </c>
      <c r="B340" s="1">
        <v>41365</v>
      </c>
      <c r="C340">
        <v>291212</v>
      </c>
      <c r="D340">
        <v>1501039005781.6699</v>
      </c>
      <c r="E340">
        <v>94.201892944476896</v>
      </c>
    </row>
    <row r="341" spans="1:5" x14ac:dyDescent="0.25">
      <c r="A341" t="s">
        <v>7</v>
      </c>
      <c r="B341" s="1">
        <v>41365</v>
      </c>
      <c r="C341">
        <v>1195</v>
      </c>
      <c r="D341">
        <v>32670823574.41</v>
      </c>
      <c r="E341">
        <v>87.438164347311996</v>
      </c>
    </row>
    <row r="342" spans="1:5" x14ac:dyDescent="0.25">
      <c r="A342" t="s">
        <v>8</v>
      </c>
      <c r="B342" s="1">
        <v>41365</v>
      </c>
      <c r="C342">
        <v>496</v>
      </c>
      <c r="D342">
        <v>22633756843.860001</v>
      </c>
      <c r="E342">
        <v>86.041062267038896</v>
      </c>
    </row>
    <row r="343" spans="1:5" x14ac:dyDescent="0.25">
      <c r="A343" t="s">
        <v>6</v>
      </c>
      <c r="B343" s="1">
        <v>41365</v>
      </c>
      <c r="C343">
        <v>1845</v>
      </c>
      <c r="D343">
        <v>50816706140.699997</v>
      </c>
      <c r="E343">
        <v>99.565662786584397</v>
      </c>
    </row>
    <row r="344" spans="1:5" x14ac:dyDescent="0.25">
      <c r="A344" t="s">
        <v>5</v>
      </c>
      <c r="B344" s="1">
        <v>41395</v>
      </c>
      <c r="C344">
        <v>289794</v>
      </c>
      <c r="D344">
        <v>1457876992717.3601</v>
      </c>
      <c r="E344">
        <v>94.224834494805606</v>
      </c>
    </row>
    <row r="345" spans="1:5" x14ac:dyDescent="0.25">
      <c r="A345" t="s">
        <v>7</v>
      </c>
      <c r="B345" s="1">
        <v>41395</v>
      </c>
      <c r="C345">
        <v>1195</v>
      </c>
      <c r="D345">
        <v>32483480029.419998</v>
      </c>
      <c r="E345">
        <v>87.436861683141998</v>
      </c>
    </row>
    <row r="346" spans="1:5" x14ac:dyDescent="0.25">
      <c r="A346" t="s">
        <v>8</v>
      </c>
      <c r="B346" s="1">
        <v>41395</v>
      </c>
      <c r="C346">
        <v>496</v>
      </c>
      <c r="D346">
        <v>22564192446.619999</v>
      </c>
      <c r="E346">
        <v>86.0435791643107</v>
      </c>
    </row>
    <row r="347" spans="1:5" x14ac:dyDescent="0.25">
      <c r="A347" t="s">
        <v>6</v>
      </c>
      <c r="B347" s="1">
        <v>41395</v>
      </c>
      <c r="C347">
        <v>1837</v>
      </c>
      <c r="D347">
        <v>48502477251.690002</v>
      </c>
      <c r="E347">
        <v>99.564715566749101</v>
      </c>
    </row>
    <row r="348" spans="1:5" x14ac:dyDescent="0.25">
      <c r="A348" t="s">
        <v>5</v>
      </c>
      <c r="B348" s="1">
        <v>41426</v>
      </c>
      <c r="C348">
        <v>288296</v>
      </c>
      <c r="D348">
        <v>1415455339275.74</v>
      </c>
      <c r="E348">
        <v>94.253443709133506</v>
      </c>
    </row>
    <row r="349" spans="1:5" x14ac:dyDescent="0.25">
      <c r="A349" t="s">
        <v>7</v>
      </c>
      <c r="B349" s="1">
        <v>41426</v>
      </c>
      <c r="C349">
        <v>1195</v>
      </c>
      <c r="D349">
        <v>32291989386.939999</v>
      </c>
      <c r="E349">
        <v>87.440117470618503</v>
      </c>
    </row>
    <row r="350" spans="1:5" x14ac:dyDescent="0.25">
      <c r="A350" t="s">
        <v>8</v>
      </c>
      <c r="B350" s="1">
        <v>41426</v>
      </c>
      <c r="C350">
        <v>496</v>
      </c>
      <c r="D350">
        <v>22486136614.290001</v>
      </c>
      <c r="E350">
        <v>86.0460051180129</v>
      </c>
    </row>
    <row r="351" spans="1:5" x14ac:dyDescent="0.25">
      <c r="A351" t="s">
        <v>6</v>
      </c>
      <c r="B351" s="1">
        <v>41426</v>
      </c>
      <c r="C351">
        <v>1831</v>
      </c>
      <c r="D351">
        <v>46348865815.5</v>
      </c>
      <c r="E351">
        <v>99.573369120009602</v>
      </c>
    </row>
    <row r="352" spans="1:5" x14ac:dyDescent="0.25">
      <c r="A352" t="s">
        <v>5</v>
      </c>
      <c r="B352" s="1">
        <v>41456</v>
      </c>
      <c r="C352">
        <v>286830</v>
      </c>
      <c r="D352">
        <v>1371409940975.9199</v>
      </c>
      <c r="E352">
        <v>94.282933916013903</v>
      </c>
    </row>
    <row r="353" spans="1:5" x14ac:dyDescent="0.25">
      <c r="A353" t="s">
        <v>7</v>
      </c>
      <c r="B353" s="1">
        <v>41456</v>
      </c>
      <c r="C353">
        <v>1195</v>
      </c>
      <c r="D353">
        <v>32053367156.580002</v>
      </c>
      <c r="E353">
        <v>87.438156005908098</v>
      </c>
    </row>
    <row r="354" spans="1:5" x14ac:dyDescent="0.25">
      <c r="A354" t="s">
        <v>8</v>
      </c>
      <c r="B354" s="1">
        <v>41456</v>
      </c>
      <c r="C354">
        <v>496</v>
      </c>
      <c r="D354">
        <v>22395180315.139999</v>
      </c>
      <c r="E354">
        <v>86.044090274821301</v>
      </c>
    </row>
    <row r="355" spans="1:5" x14ac:dyDescent="0.25">
      <c r="A355" t="s">
        <v>6</v>
      </c>
      <c r="B355" s="1">
        <v>41456</v>
      </c>
      <c r="C355">
        <v>1827</v>
      </c>
      <c r="D355">
        <v>43864139456.93</v>
      </c>
      <c r="E355">
        <v>99.575818426802897</v>
      </c>
    </row>
    <row r="356" spans="1:5" x14ac:dyDescent="0.25">
      <c r="A356" t="s">
        <v>5</v>
      </c>
      <c r="B356" s="1">
        <v>41487</v>
      </c>
      <c r="C356">
        <v>285428</v>
      </c>
      <c r="D356">
        <v>1332054250504.99</v>
      </c>
      <c r="E356">
        <v>94.310904509305203</v>
      </c>
    </row>
    <row r="357" spans="1:5" x14ac:dyDescent="0.25">
      <c r="A357" t="s">
        <v>7</v>
      </c>
      <c r="B357" s="1">
        <v>41487</v>
      </c>
      <c r="C357">
        <v>1195</v>
      </c>
      <c r="D357">
        <v>31814985625.080002</v>
      </c>
      <c r="E357">
        <v>87.433625946131102</v>
      </c>
    </row>
    <row r="358" spans="1:5" x14ac:dyDescent="0.25">
      <c r="A358" t="s">
        <v>8</v>
      </c>
      <c r="B358" s="1">
        <v>41487</v>
      </c>
      <c r="C358">
        <v>496</v>
      </c>
      <c r="D358">
        <v>22296370266.130001</v>
      </c>
      <c r="E358">
        <v>86.041305813454898</v>
      </c>
    </row>
    <row r="359" spans="1:5" x14ac:dyDescent="0.25">
      <c r="A359" t="s">
        <v>6</v>
      </c>
      <c r="B359" s="1">
        <v>41487</v>
      </c>
      <c r="C359">
        <v>1822</v>
      </c>
      <c r="D359">
        <v>41840158225.949997</v>
      </c>
      <c r="E359">
        <v>99.576947890051599</v>
      </c>
    </row>
    <row r="360" spans="1:5" x14ac:dyDescent="0.25">
      <c r="A360" t="s">
        <v>5</v>
      </c>
      <c r="B360" s="1">
        <v>41518</v>
      </c>
      <c r="C360">
        <v>284002</v>
      </c>
      <c r="D360">
        <v>1296569883839.74</v>
      </c>
      <c r="E360">
        <v>94.352516660948098</v>
      </c>
    </row>
    <row r="361" spans="1:5" x14ac:dyDescent="0.25">
      <c r="A361" t="s">
        <v>7</v>
      </c>
      <c r="B361" s="1">
        <v>41518</v>
      </c>
      <c r="C361">
        <v>1195</v>
      </c>
      <c r="D361">
        <v>31558366987.900002</v>
      </c>
      <c r="E361">
        <v>87.438796126168</v>
      </c>
    </row>
    <row r="362" spans="1:5" x14ac:dyDescent="0.25">
      <c r="A362" t="s">
        <v>8</v>
      </c>
      <c r="B362" s="1">
        <v>41518</v>
      </c>
      <c r="C362">
        <v>496</v>
      </c>
      <c r="D362">
        <v>22195770971.369999</v>
      </c>
      <c r="E362">
        <v>86.049800951700504</v>
      </c>
    </row>
    <row r="363" spans="1:5" x14ac:dyDescent="0.25">
      <c r="A363" t="s">
        <v>6</v>
      </c>
      <c r="B363" s="1">
        <v>41518</v>
      </c>
      <c r="C363">
        <v>1811</v>
      </c>
      <c r="D363">
        <v>40366663482.400002</v>
      </c>
      <c r="E363">
        <v>99.579086378360799</v>
      </c>
    </row>
    <row r="364" spans="1:5" x14ac:dyDescent="0.25">
      <c r="A364" t="s">
        <v>5</v>
      </c>
      <c r="B364" s="1">
        <v>41548</v>
      </c>
      <c r="C364">
        <v>282597</v>
      </c>
      <c r="D364">
        <v>1268689430655.28</v>
      </c>
      <c r="E364">
        <v>94.396536566089594</v>
      </c>
    </row>
    <row r="365" spans="1:5" x14ac:dyDescent="0.25">
      <c r="A365" t="s">
        <v>7</v>
      </c>
      <c r="B365" s="1">
        <v>41548</v>
      </c>
      <c r="C365">
        <v>1195</v>
      </c>
      <c r="D365">
        <v>31319406079.02</v>
      </c>
      <c r="E365">
        <v>87.439662002545603</v>
      </c>
    </row>
    <row r="366" spans="1:5" x14ac:dyDescent="0.25">
      <c r="A366" t="s">
        <v>8</v>
      </c>
      <c r="B366" s="1">
        <v>41548</v>
      </c>
      <c r="C366">
        <v>496</v>
      </c>
      <c r="D366">
        <v>22090057788.029999</v>
      </c>
      <c r="E366">
        <v>86.070945907264999</v>
      </c>
    </row>
    <row r="367" spans="1:5" x14ac:dyDescent="0.25">
      <c r="A367" t="s">
        <v>6</v>
      </c>
      <c r="B367" s="1">
        <v>41548</v>
      </c>
      <c r="C367">
        <v>1806</v>
      </c>
      <c r="D367">
        <v>39450013611.269997</v>
      </c>
      <c r="E367">
        <v>99.577400382331604</v>
      </c>
    </row>
    <row r="368" spans="1:5" x14ac:dyDescent="0.25">
      <c r="A368" t="s">
        <v>5</v>
      </c>
      <c r="B368" s="1">
        <v>41579</v>
      </c>
      <c r="C368">
        <v>281361</v>
      </c>
      <c r="D368">
        <v>1247792305111.01</v>
      </c>
      <c r="E368">
        <v>94.434716270369904</v>
      </c>
    </row>
    <row r="369" spans="1:5" x14ac:dyDescent="0.25">
      <c r="A369" t="s">
        <v>7</v>
      </c>
      <c r="B369" s="1">
        <v>41579</v>
      </c>
      <c r="C369">
        <v>1195</v>
      </c>
      <c r="D369">
        <v>31108966960.700001</v>
      </c>
      <c r="E369">
        <v>87.443964867088596</v>
      </c>
    </row>
    <row r="370" spans="1:5" x14ac:dyDescent="0.25">
      <c r="A370" t="s">
        <v>8</v>
      </c>
      <c r="B370" s="1">
        <v>41579</v>
      </c>
      <c r="C370">
        <v>496</v>
      </c>
      <c r="D370">
        <v>21988821585.540001</v>
      </c>
      <c r="E370">
        <v>86.071428188992499</v>
      </c>
    </row>
    <row r="371" spans="1:5" x14ac:dyDescent="0.25">
      <c r="A371" t="s">
        <v>6</v>
      </c>
      <c r="B371" s="1">
        <v>41579</v>
      </c>
      <c r="C371">
        <v>1803</v>
      </c>
      <c r="D371">
        <v>38846275765.690002</v>
      </c>
      <c r="E371">
        <v>99.577876938329297</v>
      </c>
    </row>
    <row r="372" spans="1:5" x14ac:dyDescent="0.25">
      <c r="A372" t="s">
        <v>5</v>
      </c>
      <c r="B372" s="1">
        <v>41609</v>
      </c>
      <c r="C372">
        <v>280077</v>
      </c>
      <c r="D372">
        <v>1228298418833.77</v>
      </c>
      <c r="E372">
        <v>94.479875659281802</v>
      </c>
    </row>
    <row r="373" spans="1:5" x14ac:dyDescent="0.25">
      <c r="A373" t="s">
        <v>7</v>
      </c>
      <c r="B373" s="1">
        <v>41609</v>
      </c>
      <c r="C373">
        <v>1195</v>
      </c>
      <c r="D373">
        <v>30889034344.639999</v>
      </c>
      <c r="E373">
        <v>87.450279003516798</v>
      </c>
    </row>
    <row r="374" spans="1:5" x14ac:dyDescent="0.25">
      <c r="A374" t="s">
        <v>8</v>
      </c>
      <c r="B374" s="1">
        <v>41609</v>
      </c>
      <c r="C374">
        <v>496</v>
      </c>
      <c r="D374">
        <v>21883996586.419998</v>
      </c>
      <c r="E374">
        <v>86.080651613829403</v>
      </c>
    </row>
    <row r="375" spans="1:5" x14ac:dyDescent="0.25">
      <c r="A375" t="s">
        <v>6</v>
      </c>
      <c r="B375" s="1">
        <v>41609</v>
      </c>
      <c r="C375">
        <v>1794</v>
      </c>
      <c r="D375">
        <v>38308672802.160004</v>
      </c>
      <c r="E375">
        <v>99.5791015004082</v>
      </c>
    </row>
    <row r="376" spans="1:5" x14ac:dyDescent="0.25">
      <c r="A376" t="s">
        <v>5</v>
      </c>
      <c r="B376" s="1">
        <v>41640</v>
      </c>
      <c r="C376">
        <v>279020</v>
      </c>
      <c r="D376">
        <v>1210829341859.24</v>
      </c>
      <c r="E376">
        <v>94.512977252690803</v>
      </c>
    </row>
    <row r="377" spans="1:5" x14ac:dyDescent="0.25">
      <c r="A377" t="s">
        <v>7</v>
      </c>
      <c r="B377" s="1">
        <v>41640</v>
      </c>
      <c r="C377">
        <v>1195</v>
      </c>
      <c r="D377">
        <v>30674689752.029999</v>
      </c>
      <c r="E377">
        <v>87.452766575898593</v>
      </c>
    </row>
    <row r="378" spans="1:5" x14ac:dyDescent="0.25">
      <c r="A378" t="s">
        <v>8</v>
      </c>
      <c r="B378" s="1">
        <v>41640</v>
      </c>
      <c r="C378">
        <v>496</v>
      </c>
      <c r="D378">
        <v>21781367314.950001</v>
      </c>
      <c r="E378">
        <v>86.081805614075805</v>
      </c>
    </row>
    <row r="379" spans="1:5" x14ac:dyDescent="0.25">
      <c r="A379" t="s">
        <v>6</v>
      </c>
      <c r="B379" s="1">
        <v>41640</v>
      </c>
      <c r="C379">
        <v>1790</v>
      </c>
      <c r="D379">
        <v>37797059321.029999</v>
      </c>
      <c r="E379">
        <v>99.577155739720695</v>
      </c>
    </row>
    <row r="380" spans="1:5" x14ac:dyDescent="0.25">
      <c r="A380" t="s">
        <v>5</v>
      </c>
      <c r="B380" s="1">
        <v>41671</v>
      </c>
      <c r="C380">
        <v>277912</v>
      </c>
      <c r="D380">
        <v>1193262681853.46</v>
      </c>
      <c r="E380">
        <v>94.543730206308098</v>
      </c>
    </row>
    <row r="381" spans="1:5" x14ac:dyDescent="0.25">
      <c r="A381" t="s">
        <v>7</v>
      </c>
      <c r="B381" s="1">
        <v>41671</v>
      </c>
      <c r="C381">
        <v>1195</v>
      </c>
      <c r="D381">
        <v>30445109531.380001</v>
      </c>
      <c r="E381">
        <v>87.457081849157007</v>
      </c>
    </row>
    <row r="382" spans="1:5" x14ac:dyDescent="0.25">
      <c r="A382" t="s">
        <v>8</v>
      </c>
      <c r="B382" s="1">
        <v>41671</v>
      </c>
      <c r="C382">
        <v>496</v>
      </c>
      <c r="D382">
        <v>21671662492.029999</v>
      </c>
      <c r="E382">
        <v>86.085679872917297</v>
      </c>
    </row>
    <row r="383" spans="1:5" x14ac:dyDescent="0.25">
      <c r="A383" t="s">
        <v>6</v>
      </c>
      <c r="B383" s="1">
        <v>41671</v>
      </c>
      <c r="C383">
        <v>1787</v>
      </c>
      <c r="D383">
        <v>37282003361.370003</v>
      </c>
      <c r="E383">
        <v>99.575157453006995</v>
      </c>
    </row>
    <row r="384" spans="1:5" x14ac:dyDescent="0.25">
      <c r="A384" t="s">
        <v>5</v>
      </c>
      <c r="B384" s="1">
        <v>41699</v>
      </c>
      <c r="C384">
        <v>276894</v>
      </c>
      <c r="D384">
        <v>1179010135310.21</v>
      </c>
      <c r="E384">
        <v>94.5707894416432</v>
      </c>
    </row>
    <row r="385" spans="1:5" x14ac:dyDescent="0.25">
      <c r="A385" t="s">
        <v>7</v>
      </c>
      <c r="B385" s="1">
        <v>41699</v>
      </c>
      <c r="C385">
        <v>1195</v>
      </c>
      <c r="D385">
        <v>30262957262.98</v>
      </c>
      <c r="E385">
        <v>87.4546794232796</v>
      </c>
    </row>
    <row r="386" spans="1:5" x14ac:dyDescent="0.25">
      <c r="A386" t="s">
        <v>8</v>
      </c>
      <c r="B386" s="1">
        <v>41699</v>
      </c>
      <c r="C386">
        <v>496</v>
      </c>
      <c r="D386">
        <v>21559749183.57</v>
      </c>
      <c r="E386">
        <v>86.086918919994204</v>
      </c>
    </row>
    <row r="387" spans="1:5" x14ac:dyDescent="0.25">
      <c r="A387" t="s">
        <v>6</v>
      </c>
      <c r="B387" s="1">
        <v>41699</v>
      </c>
      <c r="C387">
        <v>1783</v>
      </c>
      <c r="D387">
        <v>36872424467.589996</v>
      </c>
      <c r="E387">
        <v>99.573885234381507</v>
      </c>
    </row>
    <row r="388" spans="1:5" x14ac:dyDescent="0.25">
      <c r="A388" t="s">
        <v>5</v>
      </c>
      <c r="B388" s="1">
        <v>41730</v>
      </c>
      <c r="C388">
        <v>276053</v>
      </c>
      <c r="D388">
        <v>1165998675774.8799</v>
      </c>
      <c r="E388">
        <v>94.595555952406897</v>
      </c>
    </row>
    <row r="389" spans="1:5" x14ac:dyDescent="0.25">
      <c r="A389" t="s">
        <v>7</v>
      </c>
      <c r="B389" s="1">
        <v>41730</v>
      </c>
      <c r="C389">
        <v>1195</v>
      </c>
      <c r="D389">
        <v>30068635932.790001</v>
      </c>
      <c r="E389">
        <v>87.460092256364703</v>
      </c>
    </row>
    <row r="390" spans="1:5" x14ac:dyDescent="0.25">
      <c r="A390" t="s">
        <v>8</v>
      </c>
      <c r="B390" s="1">
        <v>41730</v>
      </c>
      <c r="C390">
        <v>496</v>
      </c>
      <c r="D390">
        <v>21457264420.27</v>
      </c>
      <c r="E390">
        <v>86.092180281097995</v>
      </c>
    </row>
    <row r="391" spans="1:5" x14ac:dyDescent="0.25">
      <c r="A391" t="s">
        <v>6</v>
      </c>
      <c r="B391" s="1">
        <v>41730</v>
      </c>
      <c r="C391">
        <v>1778</v>
      </c>
      <c r="D391">
        <v>36515713627.650002</v>
      </c>
      <c r="E391">
        <v>99.573323291350903</v>
      </c>
    </row>
    <row r="392" spans="1:5" x14ac:dyDescent="0.25">
      <c r="A392" t="s">
        <v>5</v>
      </c>
      <c r="B392" s="1">
        <v>41760</v>
      </c>
      <c r="C392">
        <v>275069</v>
      </c>
      <c r="D392">
        <v>1151333882978.53</v>
      </c>
      <c r="E392">
        <v>94.623150275185907</v>
      </c>
    </row>
    <row r="393" spans="1:5" x14ac:dyDescent="0.25">
      <c r="A393" t="s">
        <v>7</v>
      </c>
      <c r="B393" s="1">
        <v>41760</v>
      </c>
      <c r="C393">
        <v>1195</v>
      </c>
      <c r="D393">
        <v>29839931683.549999</v>
      </c>
      <c r="E393">
        <v>87.459122460767801</v>
      </c>
    </row>
    <row r="394" spans="1:5" x14ac:dyDescent="0.25">
      <c r="A394" t="s">
        <v>8</v>
      </c>
      <c r="B394" s="1">
        <v>41760</v>
      </c>
      <c r="C394">
        <v>496</v>
      </c>
      <c r="D394">
        <v>21348657546.43</v>
      </c>
      <c r="E394">
        <v>86.095430056142206</v>
      </c>
    </row>
    <row r="395" spans="1:5" x14ac:dyDescent="0.25">
      <c r="A395" t="s">
        <v>6</v>
      </c>
      <c r="B395" s="1">
        <v>41760</v>
      </c>
      <c r="C395">
        <v>1776</v>
      </c>
      <c r="D395">
        <v>36109119798.709999</v>
      </c>
      <c r="E395">
        <v>99.572565804013095</v>
      </c>
    </row>
    <row r="396" spans="1:5" x14ac:dyDescent="0.25">
      <c r="A396" t="s">
        <v>5</v>
      </c>
      <c r="B396" s="1">
        <v>41791</v>
      </c>
      <c r="C396">
        <v>274090</v>
      </c>
      <c r="D396">
        <v>1136170473804.5</v>
      </c>
      <c r="E396">
        <v>94.653873259857505</v>
      </c>
    </row>
    <row r="397" spans="1:5" x14ac:dyDescent="0.25">
      <c r="A397" t="s">
        <v>7</v>
      </c>
      <c r="B397" s="1">
        <v>41791</v>
      </c>
      <c r="C397">
        <v>1195</v>
      </c>
      <c r="D397">
        <v>29611652211.400002</v>
      </c>
      <c r="E397">
        <v>87.457552535331899</v>
      </c>
    </row>
    <row r="398" spans="1:5" x14ac:dyDescent="0.25">
      <c r="A398" t="s">
        <v>8</v>
      </c>
      <c r="B398" s="1">
        <v>41791</v>
      </c>
      <c r="C398">
        <v>496</v>
      </c>
      <c r="D398">
        <v>21236397730.439999</v>
      </c>
      <c r="E398">
        <v>86.094828589455901</v>
      </c>
    </row>
    <row r="399" spans="1:5" x14ac:dyDescent="0.25">
      <c r="A399" t="s">
        <v>6</v>
      </c>
      <c r="B399" s="1">
        <v>41791</v>
      </c>
      <c r="C399">
        <v>1772</v>
      </c>
      <c r="D399">
        <v>35658515168.970001</v>
      </c>
      <c r="E399">
        <v>99.574367173284102</v>
      </c>
    </row>
    <row r="400" spans="1:5" x14ac:dyDescent="0.25">
      <c r="A400" t="s">
        <v>5</v>
      </c>
      <c r="B400" s="1">
        <v>41821</v>
      </c>
      <c r="C400">
        <v>273148</v>
      </c>
      <c r="D400">
        <v>1120599011939.9199</v>
      </c>
      <c r="E400">
        <v>94.680404329064302</v>
      </c>
    </row>
    <row r="401" spans="1:5" x14ac:dyDescent="0.25">
      <c r="A401" t="s">
        <v>7</v>
      </c>
      <c r="B401" s="1">
        <v>41821</v>
      </c>
      <c r="C401">
        <v>1195</v>
      </c>
      <c r="D401">
        <v>29346812273.549999</v>
      </c>
      <c r="E401">
        <v>87.4660851881018</v>
      </c>
    </row>
    <row r="402" spans="1:5" x14ac:dyDescent="0.25">
      <c r="A402" t="s">
        <v>8</v>
      </c>
      <c r="B402" s="1">
        <v>41821</v>
      </c>
      <c r="C402">
        <v>496</v>
      </c>
      <c r="D402">
        <v>21112582041.34</v>
      </c>
      <c r="E402">
        <v>86.099293062201099</v>
      </c>
    </row>
    <row r="403" spans="1:5" x14ac:dyDescent="0.25">
      <c r="A403" t="s">
        <v>6</v>
      </c>
      <c r="B403" s="1">
        <v>41821</v>
      </c>
      <c r="C403">
        <v>1766</v>
      </c>
      <c r="D403">
        <v>35188822219.169998</v>
      </c>
      <c r="E403">
        <v>99.574005637544502</v>
      </c>
    </row>
    <row r="404" spans="1:5" x14ac:dyDescent="0.25">
      <c r="A404" t="s">
        <v>5</v>
      </c>
      <c r="B404" s="1">
        <v>41852</v>
      </c>
      <c r="C404">
        <v>272139</v>
      </c>
      <c r="D404">
        <v>1103952731649.8799</v>
      </c>
      <c r="E404">
        <v>94.715952580970296</v>
      </c>
    </row>
    <row r="405" spans="1:5" x14ac:dyDescent="0.25">
      <c r="A405" t="s">
        <v>7</v>
      </c>
      <c r="B405" s="1">
        <v>41852</v>
      </c>
      <c r="C405">
        <v>1195</v>
      </c>
      <c r="D405">
        <v>29071288097.939999</v>
      </c>
      <c r="E405">
        <v>87.456376483972804</v>
      </c>
    </row>
    <row r="406" spans="1:5" x14ac:dyDescent="0.25">
      <c r="A406" t="s">
        <v>8</v>
      </c>
      <c r="B406" s="1">
        <v>41852</v>
      </c>
      <c r="C406">
        <v>496</v>
      </c>
      <c r="D406">
        <v>20985646914.299999</v>
      </c>
      <c r="E406">
        <v>86.100068860633897</v>
      </c>
    </row>
    <row r="407" spans="1:5" x14ac:dyDescent="0.25">
      <c r="A407" t="s">
        <v>6</v>
      </c>
      <c r="B407" s="1">
        <v>41852</v>
      </c>
      <c r="C407">
        <v>1762</v>
      </c>
      <c r="D407">
        <v>34683121474.349998</v>
      </c>
      <c r="E407">
        <v>99.686973706929393</v>
      </c>
    </row>
    <row r="408" spans="1:5" x14ac:dyDescent="0.25">
      <c r="A408" t="s">
        <v>5</v>
      </c>
      <c r="B408" s="1">
        <v>41883</v>
      </c>
      <c r="C408">
        <v>271190</v>
      </c>
      <c r="D408">
        <v>1087070695178.72</v>
      </c>
      <c r="E408">
        <v>94.743650334846194</v>
      </c>
    </row>
    <row r="409" spans="1:5" x14ac:dyDescent="0.25">
      <c r="A409" t="s">
        <v>7</v>
      </c>
      <c r="B409" s="1">
        <v>41883</v>
      </c>
      <c r="C409">
        <v>1195</v>
      </c>
      <c r="D409">
        <v>28757048524.950001</v>
      </c>
      <c r="E409">
        <v>87.453642781259802</v>
      </c>
    </row>
    <row r="410" spans="1:5" x14ac:dyDescent="0.25">
      <c r="A410" t="s">
        <v>8</v>
      </c>
      <c r="B410" s="1">
        <v>41883</v>
      </c>
      <c r="C410">
        <v>496</v>
      </c>
      <c r="D410">
        <v>20857901529.080002</v>
      </c>
      <c r="E410">
        <v>86.096509380710302</v>
      </c>
    </row>
    <row r="411" spans="1:5" x14ac:dyDescent="0.25">
      <c r="A411" t="s">
        <v>6</v>
      </c>
      <c r="B411" s="1">
        <v>41883</v>
      </c>
      <c r="C411">
        <v>1758</v>
      </c>
      <c r="D411">
        <v>34090058995</v>
      </c>
      <c r="E411">
        <v>99.686781867560896</v>
      </c>
    </row>
    <row r="412" spans="1:5" x14ac:dyDescent="0.25">
      <c r="A412" t="s">
        <v>5</v>
      </c>
      <c r="B412" s="1">
        <v>41913</v>
      </c>
      <c r="C412">
        <v>270202</v>
      </c>
      <c r="D412">
        <v>1071076433216.85</v>
      </c>
      <c r="E412">
        <v>94.768032188296999</v>
      </c>
    </row>
    <row r="413" spans="1:5" x14ac:dyDescent="0.25">
      <c r="A413" t="s">
        <v>7</v>
      </c>
      <c r="B413" s="1">
        <v>41913</v>
      </c>
      <c r="C413">
        <v>1195</v>
      </c>
      <c r="D413">
        <v>28466717853.959999</v>
      </c>
      <c r="E413">
        <v>87.449476461231697</v>
      </c>
    </row>
    <row r="414" spans="1:5" x14ac:dyDescent="0.25">
      <c r="A414" t="s">
        <v>8</v>
      </c>
      <c r="B414" s="1">
        <v>41913</v>
      </c>
      <c r="C414">
        <v>496</v>
      </c>
      <c r="D414">
        <v>20733072494.529999</v>
      </c>
      <c r="E414">
        <v>86.101567619260095</v>
      </c>
    </row>
    <row r="415" spans="1:5" x14ac:dyDescent="0.25">
      <c r="A415" t="s">
        <v>6</v>
      </c>
      <c r="B415" s="1">
        <v>41913</v>
      </c>
      <c r="C415">
        <v>1751</v>
      </c>
      <c r="D415">
        <v>33562843897.220001</v>
      </c>
      <c r="E415">
        <v>99.684573138986806</v>
      </c>
    </row>
    <row r="416" spans="1:5" x14ac:dyDescent="0.25">
      <c r="A416" t="s">
        <v>5</v>
      </c>
      <c r="B416" s="1">
        <v>41944</v>
      </c>
      <c r="C416">
        <v>269285</v>
      </c>
      <c r="D416">
        <v>1055465580593.22</v>
      </c>
      <c r="E416">
        <v>94.800108102504794</v>
      </c>
    </row>
    <row r="417" spans="1:5" x14ac:dyDescent="0.25">
      <c r="A417" t="s">
        <v>7</v>
      </c>
      <c r="B417" s="1">
        <v>41944</v>
      </c>
      <c r="C417">
        <v>1195</v>
      </c>
      <c r="D417">
        <v>28179143083.470001</v>
      </c>
      <c r="E417">
        <v>87.467560271309395</v>
      </c>
    </row>
    <row r="418" spans="1:5" x14ac:dyDescent="0.25">
      <c r="A418" t="s">
        <v>8</v>
      </c>
      <c r="B418" s="1">
        <v>41944</v>
      </c>
      <c r="C418">
        <v>496</v>
      </c>
      <c r="D418">
        <v>20610436891.09</v>
      </c>
      <c r="E418">
        <v>86.101399716713104</v>
      </c>
    </row>
    <row r="419" spans="1:5" x14ac:dyDescent="0.25">
      <c r="A419" t="s">
        <v>6</v>
      </c>
      <c r="B419" s="1">
        <v>41944</v>
      </c>
      <c r="C419">
        <v>1743</v>
      </c>
      <c r="D419">
        <v>33039906711.09</v>
      </c>
      <c r="E419">
        <v>99.684070729626498</v>
      </c>
    </row>
    <row r="420" spans="1:5" x14ac:dyDescent="0.25">
      <c r="A420" t="s">
        <v>5</v>
      </c>
      <c r="B420" s="1">
        <v>41974</v>
      </c>
      <c r="C420">
        <v>268324</v>
      </c>
      <c r="D420">
        <v>1040114439091.11</v>
      </c>
      <c r="E420">
        <v>94.822967566256494</v>
      </c>
    </row>
    <row r="421" spans="1:5" x14ac:dyDescent="0.25">
      <c r="A421" t="s">
        <v>7</v>
      </c>
      <c r="B421" s="1">
        <v>41974</v>
      </c>
      <c r="C421">
        <v>1195</v>
      </c>
      <c r="D421">
        <v>27886882675.049999</v>
      </c>
      <c r="E421">
        <v>87.460008028475201</v>
      </c>
    </row>
    <row r="422" spans="1:5" x14ac:dyDescent="0.25">
      <c r="A422" t="s">
        <v>8</v>
      </c>
      <c r="B422" s="1">
        <v>41974</v>
      </c>
      <c r="C422">
        <v>496</v>
      </c>
      <c r="D422">
        <v>20480382271.369999</v>
      </c>
      <c r="E422">
        <v>86.0982944817098</v>
      </c>
    </row>
    <row r="423" spans="1:5" x14ac:dyDescent="0.25">
      <c r="A423" t="s">
        <v>6</v>
      </c>
      <c r="B423" s="1">
        <v>41974</v>
      </c>
      <c r="C423">
        <v>1739</v>
      </c>
      <c r="D423">
        <v>32500730053.279999</v>
      </c>
      <c r="E423">
        <v>99.683767980662196</v>
      </c>
    </row>
    <row r="424" spans="1:5" x14ac:dyDescent="0.25">
      <c r="A424" t="s">
        <v>5</v>
      </c>
      <c r="B424" s="1">
        <v>42005</v>
      </c>
      <c r="C424">
        <v>267506</v>
      </c>
      <c r="D424">
        <v>1026510759118.4301</v>
      </c>
      <c r="E424">
        <v>94.850521875906097</v>
      </c>
    </row>
    <row r="425" spans="1:5" x14ac:dyDescent="0.25">
      <c r="A425" t="s">
        <v>7</v>
      </c>
      <c r="B425" s="1">
        <v>42005</v>
      </c>
      <c r="C425">
        <v>1195</v>
      </c>
      <c r="D425">
        <v>27648074021.360001</v>
      </c>
      <c r="E425">
        <v>87.466394290074803</v>
      </c>
    </row>
    <row r="426" spans="1:5" x14ac:dyDescent="0.25">
      <c r="A426" t="s">
        <v>8</v>
      </c>
      <c r="B426" s="1">
        <v>42005</v>
      </c>
      <c r="C426">
        <v>496</v>
      </c>
      <c r="D426">
        <v>20370244255.73</v>
      </c>
      <c r="E426">
        <v>86.097834160517905</v>
      </c>
    </row>
    <row r="427" spans="1:5" x14ac:dyDescent="0.25">
      <c r="A427" t="s">
        <v>6</v>
      </c>
      <c r="B427" s="1">
        <v>42005</v>
      </c>
      <c r="C427">
        <v>1736</v>
      </c>
      <c r="D427">
        <v>31996804318.02</v>
      </c>
      <c r="E427">
        <v>99.681600244377407</v>
      </c>
    </row>
    <row r="428" spans="1:5" x14ac:dyDescent="0.25">
      <c r="A428" t="s">
        <v>5</v>
      </c>
      <c r="B428" s="1">
        <v>42036</v>
      </c>
      <c r="C428">
        <v>266584</v>
      </c>
      <c r="D428">
        <v>1010771667195.53</v>
      </c>
      <c r="E428">
        <v>94.8712172635352</v>
      </c>
    </row>
    <row r="429" spans="1:5" x14ac:dyDescent="0.25">
      <c r="A429" t="s">
        <v>7</v>
      </c>
      <c r="B429" s="1">
        <v>42036</v>
      </c>
      <c r="C429">
        <v>1195</v>
      </c>
      <c r="D429">
        <v>27366490680.580002</v>
      </c>
      <c r="E429">
        <v>87.468014146988907</v>
      </c>
    </row>
    <row r="430" spans="1:5" x14ac:dyDescent="0.25">
      <c r="A430" t="s">
        <v>8</v>
      </c>
      <c r="B430" s="1">
        <v>42036</v>
      </c>
      <c r="C430">
        <v>496</v>
      </c>
      <c r="D430">
        <v>20246588849.189999</v>
      </c>
      <c r="E430">
        <v>86.108718454989699</v>
      </c>
    </row>
    <row r="431" spans="1:5" x14ac:dyDescent="0.25">
      <c r="A431" t="s">
        <v>6</v>
      </c>
      <c r="B431" s="1">
        <v>42036</v>
      </c>
      <c r="C431">
        <v>1729</v>
      </c>
      <c r="D431">
        <v>31362929911.860001</v>
      </c>
      <c r="E431">
        <v>99.679642057167399</v>
      </c>
    </row>
    <row r="432" spans="1:5" x14ac:dyDescent="0.25">
      <c r="A432" t="s">
        <v>5</v>
      </c>
      <c r="B432" s="1">
        <v>42064</v>
      </c>
      <c r="C432">
        <v>265744</v>
      </c>
      <c r="D432">
        <v>997579735088.81006</v>
      </c>
      <c r="E432">
        <v>94.894233213169201</v>
      </c>
    </row>
    <row r="433" spans="1:5" x14ac:dyDescent="0.25">
      <c r="A433" t="s">
        <v>7</v>
      </c>
      <c r="B433" s="1">
        <v>42064</v>
      </c>
      <c r="C433">
        <v>1195</v>
      </c>
      <c r="D433">
        <v>27130584478.950001</v>
      </c>
      <c r="E433">
        <v>87.464297332017793</v>
      </c>
    </row>
    <row r="434" spans="1:5" x14ac:dyDescent="0.25">
      <c r="A434" t="s">
        <v>8</v>
      </c>
      <c r="B434" s="1">
        <v>42064</v>
      </c>
      <c r="C434">
        <v>496</v>
      </c>
      <c r="D434">
        <v>20127147338.52</v>
      </c>
      <c r="E434">
        <v>86.118176154263097</v>
      </c>
    </row>
    <row r="435" spans="1:5" x14ac:dyDescent="0.25">
      <c r="A435" t="s">
        <v>6</v>
      </c>
      <c r="B435" s="1">
        <v>42064</v>
      </c>
      <c r="C435">
        <v>1726</v>
      </c>
      <c r="D435">
        <v>30847484982.68</v>
      </c>
      <c r="E435">
        <v>99.679656208034302</v>
      </c>
    </row>
    <row r="436" spans="1:5" x14ac:dyDescent="0.25">
      <c r="A436" t="s">
        <v>5</v>
      </c>
      <c r="B436" s="1">
        <v>42095</v>
      </c>
      <c r="C436">
        <v>264906</v>
      </c>
      <c r="D436">
        <v>981966084992.71997</v>
      </c>
      <c r="E436">
        <v>94.911210699303894</v>
      </c>
    </row>
    <row r="437" spans="1:5" x14ac:dyDescent="0.25">
      <c r="A437" t="s">
        <v>7</v>
      </c>
      <c r="B437" s="1">
        <v>42095</v>
      </c>
      <c r="C437">
        <v>1195</v>
      </c>
      <c r="D437">
        <v>26839489879.040001</v>
      </c>
      <c r="E437">
        <v>87.460862189243798</v>
      </c>
    </row>
    <row r="438" spans="1:5" x14ac:dyDescent="0.25">
      <c r="A438" t="s">
        <v>8</v>
      </c>
      <c r="B438" s="1">
        <v>42095</v>
      </c>
      <c r="C438">
        <v>496</v>
      </c>
      <c r="D438">
        <v>19997497193.939999</v>
      </c>
      <c r="E438">
        <v>86.114782678429904</v>
      </c>
    </row>
    <row r="439" spans="1:5" x14ac:dyDescent="0.25">
      <c r="A439" t="s">
        <v>6</v>
      </c>
      <c r="B439" s="1">
        <v>42095</v>
      </c>
      <c r="C439">
        <v>1717</v>
      </c>
      <c r="D439">
        <v>30115242749.939999</v>
      </c>
      <c r="E439">
        <v>99.679572166251106</v>
      </c>
    </row>
    <row r="440" spans="1:5" x14ac:dyDescent="0.25">
      <c r="A440" t="s">
        <v>5</v>
      </c>
      <c r="B440" s="1">
        <v>42125</v>
      </c>
      <c r="C440">
        <v>263905</v>
      </c>
      <c r="D440">
        <v>962003499851.59998</v>
      </c>
      <c r="E440">
        <v>94.923302541654394</v>
      </c>
    </row>
    <row r="441" spans="1:5" x14ac:dyDescent="0.25">
      <c r="A441" t="s">
        <v>7</v>
      </c>
      <c r="B441" s="1">
        <v>42125</v>
      </c>
      <c r="C441">
        <v>1195</v>
      </c>
      <c r="D441">
        <v>26456302129.82</v>
      </c>
      <c r="E441">
        <v>87.438963732543499</v>
      </c>
    </row>
    <row r="442" spans="1:5" x14ac:dyDescent="0.25">
      <c r="A442" t="s">
        <v>8</v>
      </c>
      <c r="B442" s="1">
        <v>42125</v>
      </c>
      <c r="C442">
        <v>496</v>
      </c>
      <c r="D442">
        <v>19851128274.27</v>
      </c>
      <c r="E442">
        <v>86.112560383017694</v>
      </c>
    </row>
    <row r="443" spans="1:5" x14ac:dyDescent="0.25">
      <c r="A443" t="s">
        <v>6</v>
      </c>
      <c r="B443" s="1">
        <v>42125</v>
      </c>
      <c r="C443">
        <v>1707</v>
      </c>
      <c r="D443">
        <v>29103187228.470001</v>
      </c>
      <c r="E443">
        <v>99.677775908313706</v>
      </c>
    </row>
    <row r="444" spans="1:5" x14ac:dyDescent="0.25">
      <c r="A444" t="s">
        <v>5</v>
      </c>
      <c r="B444" s="1">
        <v>42156</v>
      </c>
      <c r="C444">
        <v>262915</v>
      </c>
      <c r="D444">
        <v>943644175071.18005</v>
      </c>
      <c r="E444">
        <v>94.958885315591601</v>
      </c>
    </row>
    <row r="445" spans="1:5" x14ac:dyDescent="0.25">
      <c r="A445" t="s">
        <v>7</v>
      </c>
      <c r="B445" s="1">
        <v>42156</v>
      </c>
      <c r="C445">
        <v>1195</v>
      </c>
      <c r="D445">
        <v>26092566190.060001</v>
      </c>
      <c r="E445">
        <v>87.427771636187302</v>
      </c>
    </row>
    <row r="446" spans="1:5" x14ac:dyDescent="0.25">
      <c r="A446" t="s">
        <v>8</v>
      </c>
      <c r="B446" s="1">
        <v>42156</v>
      </c>
      <c r="C446">
        <v>496</v>
      </c>
      <c r="D446">
        <v>19691325215.810001</v>
      </c>
      <c r="E446">
        <v>86.109773996870999</v>
      </c>
    </row>
    <row r="447" spans="1:5" x14ac:dyDescent="0.25">
      <c r="A447" t="s">
        <v>6</v>
      </c>
      <c r="B447" s="1">
        <v>42156</v>
      </c>
      <c r="C447">
        <v>1701</v>
      </c>
      <c r="D447">
        <v>28312507375.060001</v>
      </c>
      <c r="E447">
        <v>99.680174056730095</v>
      </c>
    </row>
    <row r="448" spans="1:5" x14ac:dyDescent="0.25">
      <c r="A448" t="s">
        <v>5</v>
      </c>
      <c r="B448" s="1">
        <v>42186</v>
      </c>
      <c r="C448">
        <v>261971</v>
      </c>
      <c r="D448">
        <v>926095966043.35999</v>
      </c>
      <c r="E448">
        <v>94.972885642549699</v>
      </c>
    </row>
    <row r="449" spans="1:5" x14ac:dyDescent="0.25">
      <c r="A449" t="s">
        <v>7</v>
      </c>
      <c r="B449" s="1">
        <v>42186</v>
      </c>
      <c r="C449">
        <v>1195</v>
      </c>
      <c r="D449">
        <v>25730206673.16</v>
      </c>
      <c r="E449">
        <v>87.422797023089601</v>
      </c>
    </row>
    <row r="450" spans="1:5" x14ac:dyDescent="0.25">
      <c r="A450" t="s">
        <v>8</v>
      </c>
      <c r="B450" s="1">
        <v>42186</v>
      </c>
      <c r="C450">
        <v>496</v>
      </c>
      <c r="D450">
        <v>19529821585.919998</v>
      </c>
      <c r="E450">
        <v>86.094029181502506</v>
      </c>
    </row>
    <row r="451" spans="1:5" x14ac:dyDescent="0.25">
      <c r="A451" t="s">
        <v>6</v>
      </c>
      <c r="B451" s="1">
        <v>42186</v>
      </c>
      <c r="C451">
        <v>1692</v>
      </c>
      <c r="D451">
        <v>27565848718.32</v>
      </c>
      <c r="E451">
        <v>99.679077771905497</v>
      </c>
    </row>
    <row r="452" spans="1:5" x14ac:dyDescent="0.25">
      <c r="A452" t="s">
        <v>5</v>
      </c>
      <c r="B452" s="1">
        <v>42217</v>
      </c>
      <c r="C452">
        <v>260930</v>
      </c>
      <c r="D452">
        <v>907878375172.38</v>
      </c>
      <c r="E452">
        <v>94.990009733039699</v>
      </c>
    </row>
    <row r="453" spans="1:5" x14ac:dyDescent="0.25">
      <c r="A453" t="s">
        <v>7</v>
      </c>
      <c r="B453" s="1">
        <v>42217</v>
      </c>
      <c r="C453">
        <v>1195</v>
      </c>
      <c r="D453">
        <v>25336027319.709999</v>
      </c>
      <c r="E453">
        <v>87.406653692914006</v>
      </c>
    </row>
    <row r="454" spans="1:5" x14ac:dyDescent="0.25">
      <c r="A454" t="s">
        <v>8</v>
      </c>
      <c r="B454" s="1">
        <v>42217</v>
      </c>
      <c r="C454">
        <v>496</v>
      </c>
      <c r="D454">
        <v>19352017344.07</v>
      </c>
      <c r="E454">
        <v>86.103579693401102</v>
      </c>
    </row>
    <row r="455" spans="1:5" x14ac:dyDescent="0.25">
      <c r="A455" t="s">
        <v>6</v>
      </c>
      <c r="B455" s="1">
        <v>42217</v>
      </c>
      <c r="C455">
        <v>1686</v>
      </c>
      <c r="D455">
        <v>26815959088.799999</v>
      </c>
      <c r="E455">
        <v>99.671485392520594</v>
      </c>
    </row>
    <row r="456" spans="1:5" x14ac:dyDescent="0.25">
      <c r="A456" t="s">
        <v>5</v>
      </c>
      <c r="B456" s="1">
        <v>42248</v>
      </c>
      <c r="C456">
        <v>259942</v>
      </c>
      <c r="D456">
        <v>891398078153.15002</v>
      </c>
      <c r="E456">
        <v>95.006918838558207</v>
      </c>
    </row>
    <row r="457" spans="1:5" x14ac:dyDescent="0.25">
      <c r="A457" t="s">
        <v>7</v>
      </c>
      <c r="B457" s="1">
        <v>42248</v>
      </c>
      <c r="C457">
        <v>1195</v>
      </c>
      <c r="D457">
        <v>24951095776.91</v>
      </c>
      <c r="E457">
        <v>87.411409186653799</v>
      </c>
    </row>
    <row r="458" spans="1:5" x14ac:dyDescent="0.25">
      <c r="A458" t="s">
        <v>8</v>
      </c>
      <c r="B458" s="1">
        <v>42248</v>
      </c>
      <c r="C458">
        <v>496</v>
      </c>
      <c r="D458">
        <v>19180964228.900002</v>
      </c>
      <c r="E458">
        <v>86.102212024870099</v>
      </c>
    </row>
    <row r="459" spans="1:5" x14ac:dyDescent="0.25">
      <c r="A459" t="s">
        <v>6</v>
      </c>
      <c r="B459" s="1">
        <v>42248</v>
      </c>
      <c r="C459">
        <v>1682</v>
      </c>
      <c r="D459">
        <v>26211211368.099998</v>
      </c>
      <c r="E459">
        <v>99.678124507621007</v>
      </c>
    </row>
    <row r="460" spans="1:5" x14ac:dyDescent="0.25">
      <c r="A460" t="s">
        <v>5</v>
      </c>
      <c r="B460" s="1">
        <v>42278</v>
      </c>
      <c r="C460">
        <v>258992</v>
      </c>
      <c r="D460">
        <v>876856964827.66003</v>
      </c>
      <c r="E460">
        <v>95.023497061942507</v>
      </c>
    </row>
    <row r="461" spans="1:5" x14ac:dyDescent="0.25">
      <c r="A461" t="s">
        <v>7</v>
      </c>
      <c r="B461" s="1">
        <v>42278</v>
      </c>
      <c r="C461">
        <v>1195</v>
      </c>
      <c r="D461">
        <v>24616909249.880001</v>
      </c>
      <c r="E461">
        <v>87.399122085768198</v>
      </c>
    </row>
    <row r="462" spans="1:5" x14ac:dyDescent="0.25">
      <c r="A462" t="s">
        <v>8</v>
      </c>
      <c r="B462" s="1">
        <v>42278</v>
      </c>
      <c r="C462">
        <v>496</v>
      </c>
      <c r="D462">
        <v>19023700634.209999</v>
      </c>
      <c r="E462">
        <v>86.114098967910095</v>
      </c>
    </row>
    <row r="463" spans="1:5" x14ac:dyDescent="0.25">
      <c r="A463" t="s">
        <v>6</v>
      </c>
      <c r="B463" s="1">
        <v>42278</v>
      </c>
      <c r="C463">
        <v>1675</v>
      </c>
      <c r="D463">
        <v>25739829475.099998</v>
      </c>
      <c r="E463">
        <v>99.677574784013004</v>
      </c>
    </row>
    <row r="464" spans="1:5" x14ac:dyDescent="0.25">
      <c r="A464" t="s">
        <v>5</v>
      </c>
      <c r="B464" s="1">
        <v>42309</v>
      </c>
      <c r="C464">
        <v>258019</v>
      </c>
      <c r="D464">
        <v>863003108958.91003</v>
      </c>
      <c r="E464">
        <v>95.044348410933296</v>
      </c>
    </row>
    <row r="465" spans="1:5" x14ac:dyDescent="0.25">
      <c r="A465" t="s">
        <v>7</v>
      </c>
      <c r="B465" s="1">
        <v>42309</v>
      </c>
      <c r="C465">
        <v>1194</v>
      </c>
      <c r="D465">
        <v>24293193625.18</v>
      </c>
      <c r="E465">
        <v>87.417854084948303</v>
      </c>
    </row>
    <row r="466" spans="1:5" x14ac:dyDescent="0.25">
      <c r="A466" t="s">
        <v>8</v>
      </c>
      <c r="B466" s="1">
        <v>42309</v>
      </c>
      <c r="C466">
        <v>496</v>
      </c>
      <c r="D466">
        <v>18857507829.299999</v>
      </c>
      <c r="E466">
        <v>86.106893510562699</v>
      </c>
    </row>
    <row r="467" spans="1:5" x14ac:dyDescent="0.25">
      <c r="A467" t="s">
        <v>6</v>
      </c>
      <c r="B467" s="1">
        <v>42309</v>
      </c>
      <c r="C467">
        <v>1671</v>
      </c>
      <c r="D467">
        <v>25303458751.34</v>
      </c>
      <c r="E467">
        <v>99.675392176377301</v>
      </c>
    </row>
    <row r="468" spans="1:5" x14ac:dyDescent="0.25">
      <c r="A468" t="s">
        <v>5</v>
      </c>
      <c r="B468" s="1">
        <v>42339</v>
      </c>
      <c r="C468">
        <v>257048</v>
      </c>
      <c r="D468">
        <v>849321542668.58997</v>
      </c>
      <c r="E468">
        <v>95.065749337480995</v>
      </c>
    </row>
    <row r="469" spans="1:5" x14ac:dyDescent="0.25">
      <c r="A469" t="s">
        <v>7</v>
      </c>
      <c r="B469" s="1">
        <v>42339</v>
      </c>
      <c r="C469">
        <v>1193</v>
      </c>
      <c r="D469">
        <v>23952255599.810001</v>
      </c>
      <c r="E469">
        <v>87.412019137907606</v>
      </c>
    </row>
    <row r="470" spans="1:5" x14ac:dyDescent="0.25">
      <c r="A470" t="s">
        <v>8</v>
      </c>
      <c r="B470" s="1">
        <v>42339</v>
      </c>
      <c r="C470">
        <v>496</v>
      </c>
      <c r="D470">
        <v>18697802426.990002</v>
      </c>
      <c r="E470">
        <v>86.1071013288676</v>
      </c>
    </row>
    <row r="471" spans="1:5" x14ac:dyDescent="0.25">
      <c r="A471" t="s">
        <v>6</v>
      </c>
      <c r="B471" s="1">
        <v>42339</v>
      </c>
      <c r="C471">
        <v>1664</v>
      </c>
      <c r="D471">
        <v>24860979506.41</v>
      </c>
      <c r="E471">
        <v>99.676271006142898</v>
      </c>
    </row>
    <row r="472" spans="1:5" x14ac:dyDescent="0.25">
      <c r="A472" t="s">
        <v>5</v>
      </c>
      <c r="B472" s="1">
        <v>42370</v>
      </c>
      <c r="C472">
        <v>256230</v>
      </c>
      <c r="D472">
        <v>837712374144.58997</v>
      </c>
      <c r="E472">
        <v>95.091694581618995</v>
      </c>
    </row>
    <row r="473" spans="1:5" x14ac:dyDescent="0.25">
      <c r="A473" t="s">
        <v>7</v>
      </c>
      <c r="B473" s="1">
        <v>42370</v>
      </c>
      <c r="C473">
        <v>1193</v>
      </c>
      <c r="D473">
        <v>23689785801.380001</v>
      </c>
      <c r="E473">
        <v>87.407576378653403</v>
      </c>
    </row>
    <row r="474" spans="1:5" x14ac:dyDescent="0.25">
      <c r="A474" t="s">
        <v>8</v>
      </c>
      <c r="B474" s="1">
        <v>42370</v>
      </c>
      <c r="C474">
        <v>496</v>
      </c>
      <c r="D474">
        <v>18558374415.43</v>
      </c>
      <c r="E474">
        <v>86.115762982366405</v>
      </c>
    </row>
    <row r="475" spans="1:5" x14ac:dyDescent="0.25">
      <c r="A475" t="s">
        <v>6</v>
      </c>
      <c r="B475" s="1">
        <v>42370</v>
      </c>
      <c r="C475">
        <v>1661</v>
      </c>
      <c r="D475">
        <v>24464164926.700001</v>
      </c>
      <c r="E475">
        <v>99.676663908791994</v>
      </c>
    </row>
    <row r="476" spans="1:5" x14ac:dyDescent="0.25">
      <c r="A476" t="s">
        <v>5</v>
      </c>
      <c r="B476" s="1">
        <v>42401</v>
      </c>
      <c r="C476">
        <v>255257</v>
      </c>
      <c r="D476">
        <v>824745260157.21997</v>
      </c>
      <c r="E476">
        <v>95.114801743876299</v>
      </c>
    </row>
    <row r="477" spans="1:5" x14ac:dyDescent="0.25">
      <c r="A477" t="s">
        <v>7</v>
      </c>
      <c r="B477" s="1">
        <v>42401</v>
      </c>
      <c r="C477">
        <v>1193</v>
      </c>
      <c r="D477">
        <v>23374699234.650002</v>
      </c>
      <c r="E477">
        <v>87.403806058422305</v>
      </c>
    </row>
    <row r="478" spans="1:5" x14ac:dyDescent="0.25">
      <c r="A478" t="s">
        <v>8</v>
      </c>
      <c r="B478" s="1">
        <v>42401</v>
      </c>
      <c r="C478">
        <v>496</v>
      </c>
      <c r="D478">
        <v>18395978455.130001</v>
      </c>
      <c r="E478">
        <v>86.1316586424592</v>
      </c>
    </row>
    <row r="479" spans="1:5" x14ac:dyDescent="0.25">
      <c r="A479" t="s">
        <v>6</v>
      </c>
      <c r="B479" s="1">
        <v>42401</v>
      </c>
      <c r="C479">
        <v>1657</v>
      </c>
      <c r="D479">
        <v>24021257848.57</v>
      </c>
      <c r="E479">
        <v>99.678241715552304</v>
      </c>
    </row>
    <row r="480" spans="1:5" x14ac:dyDescent="0.25">
      <c r="A480" t="s">
        <v>5</v>
      </c>
      <c r="B480" s="1">
        <v>42430</v>
      </c>
      <c r="C480">
        <v>254446</v>
      </c>
      <c r="D480">
        <v>814211551730.77002</v>
      </c>
      <c r="E480">
        <v>95.142827724214897</v>
      </c>
    </row>
    <row r="481" spans="1:5" x14ac:dyDescent="0.25">
      <c r="A481" t="s">
        <v>7</v>
      </c>
      <c r="B481" s="1">
        <v>42430</v>
      </c>
      <c r="C481">
        <v>1193</v>
      </c>
      <c r="D481">
        <v>23139091976.619999</v>
      </c>
      <c r="E481">
        <v>87.418648932924597</v>
      </c>
    </row>
    <row r="482" spans="1:5" x14ac:dyDescent="0.25">
      <c r="A482" t="s">
        <v>8</v>
      </c>
      <c r="B482" s="1">
        <v>42430</v>
      </c>
      <c r="C482">
        <v>496</v>
      </c>
      <c r="D482">
        <v>18262645831.369999</v>
      </c>
      <c r="E482">
        <v>86.129432388819893</v>
      </c>
    </row>
    <row r="483" spans="1:5" x14ac:dyDescent="0.25">
      <c r="A483" t="s">
        <v>6</v>
      </c>
      <c r="B483" s="1">
        <v>42430</v>
      </c>
      <c r="C483">
        <v>1652</v>
      </c>
      <c r="D483">
        <v>23667737064.48</v>
      </c>
      <c r="E483">
        <v>99.678097892058503</v>
      </c>
    </row>
    <row r="484" spans="1:5" x14ac:dyDescent="0.25">
      <c r="A484" t="s">
        <v>5</v>
      </c>
      <c r="B484" s="1">
        <v>42461</v>
      </c>
      <c r="C484">
        <v>253549</v>
      </c>
      <c r="D484">
        <v>803384464403.09998</v>
      </c>
      <c r="E484">
        <v>95.165268755363797</v>
      </c>
    </row>
    <row r="485" spans="1:5" x14ac:dyDescent="0.25">
      <c r="A485" t="s">
        <v>7</v>
      </c>
      <c r="B485" s="1">
        <v>42461</v>
      </c>
      <c r="C485">
        <v>1193</v>
      </c>
      <c r="D485">
        <v>22881797033.189999</v>
      </c>
      <c r="E485">
        <v>87.400907801640997</v>
      </c>
    </row>
    <row r="486" spans="1:5" x14ac:dyDescent="0.25">
      <c r="A486" t="s">
        <v>8</v>
      </c>
      <c r="B486" s="1">
        <v>42461</v>
      </c>
      <c r="C486">
        <v>496</v>
      </c>
      <c r="D486">
        <v>18121629984.77</v>
      </c>
      <c r="E486">
        <v>86.144566222326603</v>
      </c>
    </row>
    <row r="487" spans="1:5" x14ac:dyDescent="0.25">
      <c r="A487" t="s">
        <v>6</v>
      </c>
      <c r="B487" s="1">
        <v>42461</v>
      </c>
      <c r="C487">
        <v>1646</v>
      </c>
      <c r="D487">
        <v>23320581362.169998</v>
      </c>
      <c r="E487">
        <v>99.678115399074002</v>
      </c>
    </row>
    <row r="488" spans="1:5" x14ac:dyDescent="0.25">
      <c r="A488" t="s">
        <v>5</v>
      </c>
      <c r="B488" s="1">
        <v>42491</v>
      </c>
      <c r="C488">
        <v>252507</v>
      </c>
      <c r="D488">
        <v>790074289111.14001</v>
      </c>
      <c r="E488">
        <v>95.183290229626294</v>
      </c>
    </row>
    <row r="489" spans="1:5" x14ac:dyDescent="0.25">
      <c r="A489" t="s">
        <v>7</v>
      </c>
      <c r="B489" s="1">
        <v>42491</v>
      </c>
      <c r="C489">
        <v>1192</v>
      </c>
      <c r="D489">
        <v>22551456121.150002</v>
      </c>
      <c r="E489">
        <v>87.398923149541105</v>
      </c>
    </row>
    <row r="490" spans="1:5" x14ac:dyDescent="0.25">
      <c r="A490" t="s">
        <v>8</v>
      </c>
      <c r="B490" s="1">
        <v>42491</v>
      </c>
      <c r="C490">
        <v>496</v>
      </c>
      <c r="D490">
        <v>17926399569.900002</v>
      </c>
      <c r="E490">
        <v>86.136843831270895</v>
      </c>
    </row>
    <row r="491" spans="1:5" x14ac:dyDescent="0.25">
      <c r="A491" t="s">
        <v>6</v>
      </c>
      <c r="B491" s="1">
        <v>42491</v>
      </c>
      <c r="C491">
        <v>1642</v>
      </c>
      <c r="D491">
        <v>22821552483.279999</v>
      </c>
      <c r="E491">
        <v>99.679430047791001</v>
      </c>
    </row>
    <row r="492" spans="1:5" x14ac:dyDescent="0.25">
      <c r="A492" t="s">
        <v>5</v>
      </c>
      <c r="B492" s="1">
        <v>42522</v>
      </c>
      <c r="C492">
        <v>251547</v>
      </c>
      <c r="D492">
        <v>776873649838.94995</v>
      </c>
      <c r="E492">
        <v>95.200371237798606</v>
      </c>
    </row>
    <row r="493" spans="1:5" x14ac:dyDescent="0.25">
      <c r="A493" t="s">
        <v>7</v>
      </c>
      <c r="B493" s="1">
        <v>42522</v>
      </c>
      <c r="C493">
        <v>1192</v>
      </c>
      <c r="D493">
        <v>22200242666.790001</v>
      </c>
      <c r="E493">
        <v>87.408696896946793</v>
      </c>
    </row>
    <row r="494" spans="1:5" x14ac:dyDescent="0.25">
      <c r="A494" t="s">
        <v>8</v>
      </c>
      <c r="B494" s="1">
        <v>42522</v>
      </c>
      <c r="C494">
        <v>496</v>
      </c>
      <c r="D494">
        <v>17741309740.84</v>
      </c>
      <c r="E494">
        <v>86.126824603724103</v>
      </c>
    </row>
    <row r="495" spans="1:5" x14ac:dyDescent="0.25">
      <c r="A495" t="s">
        <v>6</v>
      </c>
      <c r="B495" s="1">
        <v>42522</v>
      </c>
      <c r="C495">
        <v>1638</v>
      </c>
      <c r="D495">
        <v>22339254538.459999</v>
      </c>
      <c r="E495">
        <v>99.677681643834404</v>
      </c>
    </row>
    <row r="496" spans="1:5" x14ac:dyDescent="0.25">
      <c r="A496" t="s">
        <v>5</v>
      </c>
      <c r="B496" s="1">
        <v>42552</v>
      </c>
      <c r="C496">
        <v>250596</v>
      </c>
      <c r="D496">
        <v>762899368515.43005</v>
      </c>
      <c r="E496">
        <v>95.239080189480703</v>
      </c>
    </row>
    <row r="497" spans="1:5" x14ac:dyDescent="0.25">
      <c r="A497" t="s">
        <v>7</v>
      </c>
      <c r="B497" s="1">
        <v>42552</v>
      </c>
      <c r="C497">
        <v>1192</v>
      </c>
      <c r="D497">
        <v>21845252875.240002</v>
      </c>
      <c r="E497">
        <v>87.412690236005602</v>
      </c>
    </row>
    <row r="498" spans="1:5" x14ac:dyDescent="0.25">
      <c r="A498" t="s">
        <v>8</v>
      </c>
      <c r="B498" s="1">
        <v>42552</v>
      </c>
      <c r="C498">
        <v>496</v>
      </c>
      <c r="D498">
        <v>17528181651.639999</v>
      </c>
      <c r="E498">
        <v>86.129092952326005</v>
      </c>
    </row>
    <row r="499" spans="1:5" x14ac:dyDescent="0.25">
      <c r="A499" t="s">
        <v>6</v>
      </c>
      <c r="B499" s="1">
        <v>42552</v>
      </c>
      <c r="C499">
        <v>1631</v>
      </c>
      <c r="D499">
        <v>21833795563.580002</v>
      </c>
      <c r="E499">
        <v>99.678666460294593</v>
      </c>
    </row>
    <row r="500" spans="1:5" x14ac:dyDescent="0.25">
      <c r="A500" t="s">
        <v>6</v>
      </c>
      <c r="B500" s="1">
        <v>42583</v>
      </c>
      <c r="C500">
        <v>1627</v>
      </c>
      <c r="D500">
        <v>21323731631.68</v>
      </c>
      <c r="E500">
        <v>99.677162783921204</v>
      </c>
    </row>
    <row r="501" spans="1:5" x14ac:dyDescent="0.25">
      <c r="A501" t="s">
        <v>7</v>
      </c>
      <c r="B501" s="1">
        <v>42583</v>
      </c>
      <c r="C501">
        <v>1192</v>
      </c>
      <c r="D501">
        <v>21434245152.689999</v>
      </c>
      <c r="E501">
        <v>87.398228621283494</v>
      </c>
    </row>
    <row r="502" spans="1:5" x14ac:dyDescent="0.25">
      <c r="A502" t="s">
        <v>8</v>
      </c>
      <c r="B502" s="1">
        <v>42583</v>
      </c>
      <c r="C502">
        <v>496</v>
      </c>
      <c r="D502">
        <v>17294382109.880001</v>
      </c>
      <c r="E502">
        <v>86.120782705931902</v>
      </c>
    </row>
    <row r="503" spans="1:5" x14ac:dyDescent="0.25">
      <c r="A503" t="s">
        <v>5</v>
      </c>
      <c r="B503" s="1">
        <v>42583</v>
      </c>
      <c r="C503">
        <v>249589</v>
      </c>
      <c r="D503">
        <v>747889718887.93005</v>
      </c>
      <c r="E503">
        <v>95.251513231904397</v>
      </c>
    </row>
    <row r="504" spans="1:5" x14ac:dyDescent="0.25">
      <c r="A504" t="s">
        <v>7</v>
      </c>
      <c r="B504" s="1">
        <v>42614</v>
      </c>
      <c r="C504">
        <v>1191</v>
      </c>
      <c r="D504">
        <v>21063288987.139999</v>
      </c>
      <c r="E504">
        <v>87.367806960609997</v>
      </c>
    </row>
    <row r="505" spans="1:5" x14ac:dyDescent="0.25">
      <c r="A505" t="s">
        <v>6</v>
      </c>
      <c r="B505" s="1">
        <v>42614</v>
      </c>
      <c r="C505">
        <v>1622</v>
      </c>
      <c r="D505">
        <v>20847457917.540001</v>
      </c>
      <c r="E505">
        <v>99.722337043988503</v>
      </c>
    </row>
    <row r="506" spans="1:5" x14ac:dyDescent="0.25">
      <c r="A506" t="s">
        <v>5</v>
      </c>
      <c r="B506" s="1">
        <v>42614</v>
      </c>
      <c r="C506">
        <v>248738</v>
      </c>
      <c r="D506">
        <v>734329387961.16003</v>
      </c>
      <c r="E506">
        <v>95.268236501274103</v>
      </c>
    </row>
    <row r="507" spans="1:5" x14ac:dyDescent="0.25">
      <c r="A507" t="s">
        <v>8</v>
      </c>
      <c r="B507" s="1">
        <v>42614</v>
      </c>
      <c r="C507">
        <v>496</v>
      </c>
      <c r="D507">
        <v>17073103946.85</v>
      </c>
      <c r="E507">
        <v>86.1186586188729</v>
      </c>
    </row>
    <row r="508" spans="1:5" x14ac:dyDescent="0.25">
      <c r="A508" t="s">
        <v>5</v>
      </c>
      <c r="B508" s="1">
        <v>42644</v>
      </c>
      <c r="C508">
        <v>247737</v>
      </c>
      <c r="D508">
        <v>717836854091.09998</v>
      </c>
      <c r="E508">
        <v>95.280323870553204</v>
      </c>
    </row>
    <row r="509" spans="1:5" x14ac:dyDescent="0.25">
      <c r="A509" t="s">
        <v>7</v>
      </c>
      <c r="B509" s="1">
        <v>42644</v>
      </c>
      <c r="C509">
        <v>1191</v>
      </c>
      <c r="D509">
        <v>20623415085.450001</v>
      </c>
      <c r="E509">
        <v>87.370403395638405</v>
      </c>
    </row>
    <row r="510" spans="1:5" x14ac:dyDescent="0.25">
      <c r="A510" t="s">
        <v>6</v>
      </c>
      <c r="B510" s="1">
        <v>42644</v>
      </c>
      <c r="C510">
        <v>1613</v>
      </c>
      <c r="D510">
        <v>20183945564.099998</v>
      </c>
      <c r="E510">
        <v>99.722894812539195</v>
      </c>
    </row>
    <row r="511" spans="1:5" x14ac:dyDescent="0.25">
      <c r="A511" t="s">
        <v>8</v>
      </c>
      <c r="B511" s="1">
        <v>42644</v>
      </c>
      <c r="C511">
        <v>496</v>
      </c>
      <c r="D511">
        <v>16813191728.379999</v>
      </c>
      <c r="E511">
        <v>86.102888597939398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conventional_refi_elig-old</vt:lpstr>
      <vt:lpstr>conventional_refi_elig-new</vt:lpstr>
      <vt:lpstr>loan</vt:lpstr>
      <vt:lpstr>remove q2min</vt:lpstr>
      <vt:lpstr>use bucket match</vt:lpstr>
      <vt:lpstr>fix2013</vt:lpstr>
      <vt:lpstr>cltv_fico elig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2016-11-07T20:56:37Z</dcterms:created>
  <dcterms:modified xsi:type="dcterms:W3CDTF">2016-11-09T17:55:06Z</dcterms:modified>
</cp:coreProperties>
</file>