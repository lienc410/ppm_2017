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8755" windowHeight="19980" activeTab="1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Y32" i="1" l="1"/>
  <c r="Y31" i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3" i="2"/>
  <c r="AB28" i="1"/>
  <c r="AB27" i="1"/>
</calcChain>
</file>

<file path=xl/sharedStrings.xml><?xml version="1.0" encoding="utf-8"?>
<sst xmlns="http://schemas.openxmlformats.org/spreadsheetml/2006/main" count="213" uniqueCount="71">
  <si>
    <t>cai</t>
  </si>
  <si>
    <t>wala</t>
  </si>
  <si>
    <t>incentive</t>
  </si>
  <si>
    <t>cltv</t>
  </si>
  <si>
    <t>wacls</t>
  </si>
  <si>
    <t>fico</t>
  </si>
  <si>
    <t>refi_elig_pct</t>
  </si>
  <si>
    <t>pct_2nd</t>
  </si>
  <si>
    <t>pct_tpo</t>
  </si>
  <si>
    <t>media_effect</t>
  </si>
  <si>
    <t>burnout</t>
  </si>
  <si>
    <t>pct_inv</t>
  </si>
  <si>
    <t>pct_dq</t>
  </si>
  <si>
    <t>pct_HARPed</t>
  </si>
  <si>
    <t>HARP_eligible</t>
  </si>
  <si>
    <t xml:space="preserve"> </t>
  </si>
  <si>
    <t>type</t>
  </si>
  <si>
    <t>factorDate</t>
  </si>
  <si>
    <t>poolListName</t>
  </si>
  <si>
    <t>dimensionCombination</t>
  </si>
  <si>
    <t>modifyDate</t>
  </si>
  <si>
    <t>sliceId</t>
  </si>
  <si>
    <t>ols</t>
  </si>
  <si>
    <t>bal</t>
  </si>
  <si>
    <t>currLLPA</t>
  </si>
  <si>
    <t>currMIP</t>
  </si>
  <si>
    <t>currPMI</t>
  </si>
  <si>
    <t>pct_fha</t>
  </si>
  <si>
    <t>issueDate</t>
  </si>
  <si>
    <t>origMIP</t>
  </si>
  <si>
    <t>origPMI</t>
  </si>
  <si>
    <t>pct_owner</t>
  </si>
  <si>
    <t>pct_REFI</t>
  </si>
  <si>
    <t>replineMode</t>
  </si>
  <si>
    <t>origbal</t>
  </si>
  <si>
    <t>odti</t>
  </si>
  <si>
    <t>oltv</t>
  </si>
  <si>
    <t>sato</t>
  </si>
  <si>
    <t>wac</t>
  </si>
  <si>
    <t>wam</t>
  </si>
  <si>
    <t>coupon</t>
  </si>
  <si>
    <t>vintage</t>
  </si>
  <si>
    <t>monthSinceCurrent</t>
  </si>
  <si>
    <t>monthBucket</t>
  </si>
  <si>
    <t>cpr</t>
  </si>
  <si>
    <t>smm</t>
  </si>
  <si>
    <t>All18M_raw</t>
  </si>
  <si>
    <t>pct_refinancible</t>
  </si>
  <si>
    <t>type.group</t>
  </si>
  <si>
    <t>type.num</t>
  </si>
  <si>
    <t>sub.type.num</t>
  </si>
  <si>
    <t>pct_curr</t>
  </si>
  <si>
    <t>curt.mdl</t>
  </si>
  <si>
    <t>dflt.mdl</t>
  </si>
  <si>
    <t>turn.mdl</t>
  </si>
  <si>
    <t>refi.mdl</t>
  </si>
  <si>
    <t>total.mdl</t>
  </si>
  <si>
    <t>ABOVE175K</t>
  </si>
  <si>
    <t>FHL30.450.10(ABOVE175K)</t>
  </si>
  <si>
    <t>ALGORITHM:TICKER</t>
  </si>
  <si>
    <t>TICKER:FGLMC</t>
  </si>
  <si>
    <t>NA</t>
  </si>
  <si>
    <t>PL</t>
  </si>
  <si>
    <t>Sep</t>
  </si>
  <si>
    <t>LOAN_BALANCE</t>
  </si>
  <si>
    <t>LLB</t>
  </si>
  <si>
    <t>FHL30.450.10(LLB)</t>
  </si>
  <si>
    <t>Multiplier</t>
  </si>
  <si>
    <t>Input</t>
  </si>
  <si>
    <t>Actual Refi CPR</t>
  </si>
  <si>
    <t>ModelRefi CPR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</si>
</sst>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Lucida Console"/>
      <family val="3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/>
    <xf numFmtId="11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0" borderId="1" xfId="0" applyBorder="1"/>
    <xf numFmtId="2" fontId="0" fillId="0" borderId="1" xfId="0" applyNumberFormat="1" applyBorder="1"/>
    <xf numFmtId="0" fontId="0" fillId="0" borderId="2" xfId="0" applyBorder="1"/>
    <xf numFmtId="2" fontId="0" fillId="0" borderId="2" xfId="0" applyNumberFormat="1" applyBorder="1"/>
    <xf numFmtId="2" fontId="0" fillId="2" borderId="2" xfId="0" applyNumberFormat="1" applyFill="1" applyBorder="1"/>
    <xf numFmtId="2" fontId="0" fillId="0" borderId="3" xfId="0" applyNumberFormat="1" applyBorder="1"/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/>
    <xf numFmtId="2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37"/>
  <sheetViews>
    <sheetView workbookViewId="0">
      <selection activeCell="Y36" sqref="Y36:Y37"/>
    </sheetView>
  </sheetViews>
  <sheetFormatPr defaultRowHeight="15" x14ac:dyDescent="0.25"/>
  <sheetData>
    <row r="1" spans="1:57" x14ac:dyDescent="0.25">
      <c r="A1" s="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57" x14ac:dyDescent="0.25">
      <c r="A2" s="1">
        <v>1</v>
      </c>
      <c r="B2">
        <v>0.63630699999999996</v>
      </c>
      <c r="C2">
        <v>1</v>
      </c>
      <c r="D2">
        <v>1.5902719999999999</v>
      </c>
      <c r="E2">
        <v>1</v>
      </c>
      <c r="F2">
        <v>1.0031029</v>
      </c>
      <c r="G2">
        <v>1</v>
      </c>
      <c r="H2">
        <v>0.99939999999999996</v>
      </c>
      <c r="I2">
        <v>1</v>
      </c>
      <c r="J2">
        <v>0.99521059999999995</v>
      </c>
      <c r="K2">
        <v>1.752813</v>
      </c>
      <c r="L2">
        <v>1.1764859999999999</v>
      </c>
      <c r="M2">
        <v>1</v>
      </c>
      <c r="N2">
        <v>1</v>
      </c>
      <c r="O2">
        <v>0.94802500000000001</v>
      </c>
      <c r="P2">
        <v>0.90027199999999996</v>
      </c>
    </row>
    <row r="3" spans="1:57" x14ac:dyDescent="0.25">
      <c r="A3" s="1">
        <v>2</v>
      </c>
      <c r="B3">
        <v>0.63630699999999996</v>
      </c>
      <c r="C3">
        <v>1</v>
      </c>
      <c r="D3">
        <v>1.5908869999999999</v>
      </c>
      <c r="E3">
        <v>1</v>
      </c>
      <c r="F3">
        <v>0.85231619999999997</v>
      </c>
      <c r="G3">
        <v>1</v>
      </c>
      <c r="H3">
        <v>0.99939999999999996</v>
      </c>
      <c r="I3">
        <v>1</v>
      </c>
      <c r="J3">
        <v>0.98150709999999997</v>
      </c>
      <c r="K3">
        <v>1.752813</v>
      </c>
      <c r="L3">
        <v>1.167713</v>
      </c>
      <c r="M3">
        <v>1</v>
      </c>
      <c r="N3">
        <v>1</v>
      </c>
      <c r="O3">
        <v>0.96457000000000004</v>
      </c>
      <c r="P3">
        <v>0.9</v>
      </c>
    </row>
    <row r="7" spans="1:57" x14ac:dyDescent="0.25">
      <c r="A7" t="s">
        <v>15</v>
      </c>
      <c r="B7" t="s">
        <v>16</v>
      </c>
      <c r="C7" t="s">
        <v>17</v>
      </c>
      <c r="D7" t="s">
        <v>18</v>
      </c>
      <c r="E7" t="s">
        <v>14</v>
      </c>
      <c r="F7" t="s">
        <v>19</v>
      </c>
      <c r="G7" t="s">
        <v>20</v>
      </c>
      <c r="H7" t="s">
        <v>21</v>
      </c>
      <c r="I7" t="s">
        <v>4</v>
      </c>
      <c r="J7" t="s">
        <v>22</v>
      </c>
      <c r="K7" t="s">
        <v>10</v>
      </c>
      <c r="L7" t="s">
        <v>23</v>
      </c>
      <c r="M7" t="s">
        <v>24</v>
      </c>
      <c r="N7" t="s">
        <v>25</v>
      </c>
      <c r="O7" t="s">
        <v>26</v>
      </c>
      <c r="P7" t="s">
        <v>12</v>
      </c>
      <c r="Q7" t="s">
        <v>27</v>
      </c>
      <c r="R7" t="s">
        <v>13</v>
      </c>
      <c r="S7" t="s">
        <v>11</v>
      </c>
      <c r="T7" t="s">
        <v>28</v>
      </c>
      <c r="U7" t="s">
        <v>29</v>
      </c>
      <c r="V7" t="s">
        <v>30</v>
      </c>
      <c r="W7" t="s">
        <v>31</v>
      </c>
      <c r="X7" t="s">
        <v>6</v>
      </c>
      <c r="Y7" t="s">
        <v>2</v>
      </c>
      <c r="Z7" t="s">
        <v>32</v>
      </c>
      <c r="AA7" t="s">
        <v>33</v>
      </c>
      <c r="AB7" t="s">
        <v>34</v>
      </c>
      <c r="AC7" t="s">
        <v>7</v>
      </c>
      <c r="AD7" t="s">
        <v>8</v>
      </c>
      <c r="AE7" t="s">
        <v>3</v>
      </c>
      <c r="AF7" t="s">
        <v>35</v>
      </c>
      <c r="AG7" t="s">
        <v>5</v>
      </c>
      <c r="AH7" t="s">
        <v>36</v>
      </c>
      <c r="AI7" t="s">
        <v>37</v>
      </c>
      <c r="AJ7" t="s">
        <v>38</v>
      </c>
      <c r="AK7" t="s">
        <v>1</v>
      </c>
      <c r="AL7" t="s">
        <v>39</v>
      </c>
      <c r="AM7" t="s">
        <v>40</v>
      </c>
      <c r="AN7" t="s">
        <v>41</v>
      </c>
      <c r="AO7" t="s">
        <v>42</v>
      </c>
      <c r="AP7" t="s">
        <v>43</v>
      </c>
      <c r="AQ7" t="s">
        <v>44</v>
      </c>
      <c r="AR7" t="s">
        <v>45</v>
      </c>
      <c r="AS7" t="s">
        <v>46</v>
      </c>
      <c r="AT7" t="s">
        <v>47</v>
      </c>
      <c r="AU7" t="s">
        <v>48</v>
      </c>
      <c r="AV7" t="s">
        <v>49</v>
      </c>
      <c r="AW7" t="s">
        <v>50</v>
      </c>
      <c r="AX7" t="s">
        <v>0</v>
      </c>
      <c r="AY7" t="s">
        <v>51</v>
      </c>
      <c r="AZ7" t="s">
        <v>52</v>
      </c>
      <c r="BA7" t="s">
        <v>53</v>
      </c>
      <c r="BB7" t="s">
        <v>54</v>
      </c>
      <c r="BC7" t="s">
        <v>9</v>
      </c>
      <c r="BD7" t="s">
        <v>55</v>
      </c>
      <c r="BE7" t="s">
        <v>56</v>
      </c>
    </row>
    <row r="8" spans="1:57" x14ac:dyDescent="0.25">
      <c r="A8">
        <v>1</v>
      </c>
      <c r="B8" t="s">
        <v>57</v>
      </c>
      <c r="C8" s="2">
        <v>42614</v>
      </c>
      <c r="D8" t="s">
        <v>58</v>
      </c>
      <c r="E8">
        <v>0.17</v>
      </c>
      <c r="F8" t="s">
        <v>59</v>
      </c>
      <c r="G8">
        <v>20160901</v>
      </c>
      <c r="H8" t="s">
        <v>60</v>
      </c>
      <c r="I8">
        <v>202.25654</v>
      </c>
      <c r="J8">
        <v>233861.3</v>
      </c>
      <c r="K8">
        <v>1381.47</v>
      </c>
      <c r="L8">
        <v>19248755762</v>
      </c>
      <c r="M8">
        <v>29.08</v>
      </c>
      <c r="N8" t="s">
        <v>61</v>
      </c>
      <c r="O8">
        <v>0.88</v>
      </c>
      <c r="P8">
        <v>1.27</v>
      </c>
      <c r="Q8" t="s">
        <v>61</v>
      </c>
      <c r="R8">
        <v>34.65</v>
      </c>
      <c r="S8">
        <v>3.68</v>
      </c>
      <c r="T8">
        <v>20100101</v>
      </c>
      <c r="U8" t="s">
        <v>61</v>
      </c>
      <c r="V8">
        <v>6.11</v>
      </c>
      <c r="W8">
        <v>91.15</v>
      </c>
      <c r="X8">
        <v>99.94</v>
      </c>
      <c r="Y8">
        <v>160.94</v>
      </c>
      <c r="Z8">
        <v>74.48</v>
      </c>
      <c r="AA8" t="s">
        <v>62</v>
      </c>
      <c r="AB8">
        <v>19753978105</v>
      </c>
      <c r="AC8">
        <v>5.15</v>
      </c>
      <c r="AD8">
        <v>37.270000000000003</v>
      </c>
      <c r="AE8">
        <v>53.13</v>
      </c>
      <c r="AF8">
        <v>33.96</v>
      </c>
      <c r="AG8">
        <v>752.1</v>
      </c>
      <c r="AH8">
        <v>74.97</v>
      </c>
      <c r="AI8">
        <v>1.6</v>
      </c>
      <c r="AJ8">
        <v>4.95</v>
      </c>
      <c r="AK8">
        <v>75.260000000000005</v>
      </c>
      <c r="AL8">
        <v>274.37</v>
      </c>
      <c r="AM8">
        <v>450</v>
      </c>
      <c r="AN8">
        <v>10</v>
      </c>
      <c r="AO8">
        <v>1</v>
      </c>
      <c r="AP8" t="s">
        <v>63</v>
      </c>
      <c r="AQ8">
        <v>26.67</v>
      </c>
      <c r="AR8">
        <v>2.5518780000000001E-2</v>
      </c>
      <c r="AS8">
        <v>160.58670000000001</v>
      </c>
      <c r="AT8">
        <v>71.33</v>
      </c>
      <c r="AU8" t="s">
        <v>64</v>
      </c>
      <c r="AV8">
        <v>2</v>
      </c>
      <c r="AW8">
        <v>6</v>
      </c>
      <c r="AX8">
        <v>160.58670000000001</v>
      </c>
      <c r="AY8">
        <v>98.73</v>
      </c>
      <c r="AZ8">
        <v>5.8556820000000003E-4</v>
      </c>
      <c r="BA8" s="3">
        <v>1.2811459999999999E-4</v>
      </c>
      <c r="BB8">
        <v>4.5321770000000001E-3</v>
      </c>
      <c r="BC8">
        <v>71.33</v>
      </c>
      <c r="BD8">
        <v>1.9833480000000001E-2</v>
      </c>
      <c r="BE8">
        <v>2.5079339999999999E-2</v>
      </c>
    </row>
    <row r="9" spans="1:57" x14ac:dyDescent="0.25">
      <c r="A9">
        <v>2</v>
      </c>
      <c r="B9" t="s">
        <v>65</v>
      </c>
      <c r="C9" s="2">
        <v>42614</v>
      </c>
      <c r="D9" t="s">
        <v>66</v>
      </c>
      <c r="E9">
        <v>0</v>
      </c>
      <c r="F9" t="s">
        <v>59</v>
      </c>
      <c r="G9">
        <v>20160901</v>
      </c>
      <c r="H9" t="s">
        <v>60</v>
      </c>
      <c r="I9">
        <v>56.626240000000003</v>
      </c>
      <c r="J9">
        <v>67105.279999999999</v>
      </c>
      <c r="K9">
        <v>1547.84</v>
      </c>
      <c r="L9">
        <v>1017233819</v>
      </c>
      <c r="M9">
        <v>26.13</v>
      </c>
      <c r="N9" t="s">
        <v>61</v>
      </c>
      <c r="O9">
        <v>0.06</v>
      </c>
      <c r="P9">
        <v>1.1100000000000001</v>
      </c>
      <c r="Q9" t="s">
        <v>61</v>
      </c>
      <c r="R9">
        <v>23.62</v>
      </c>
      <c r="S9">
        <v>7.74</v>
      </c>
      <c r="T9">
        <v>20100101</v>
      </c>
      <c r="U9" t="s">
        <v>61</v>
      </c>
      <c r="V9">
        <v>5.36</v>
      </c>
      <c r="W9">
        <v>86.36</v>
      </c>
      <c r="X9">
        <v>99.94</v>
      </c>
      <c r="Y9">
        <v>162.4</v>
      </c>
      <c r="Z9">
        <v>62.88</v>
      </c>
      <c r="AA9" t="s">
        <v>62</v>
      </c>
      <c r="AB9">
        <v>1031988129</v>
      </c>
      <c r="AC9">
        <v>5.88</v>
      </c>
      <c r="AD9">
        <v>31.48</v>
      </c>
      <c r="AE9">
        <v>43.64</v>
      </c>
      <c r="AF9">
        <v>29.67</v>
      </c>
      <c r="AG9">
        <v>759.8</v>
      </c>
      <c r="AH9">
        <v>63.16</v>
      </c>
      <c r="AI9">
        <v>7.85</v>
      </c>
      <c r="AJ9">
        <v>4.96</v>
      </c>
      <c r="AK9">
        <v>74.5</v>
      </c>
      <c r="AL9">
        <v>268.05</v>
      </c>
      <c r="AM9">
        <v>450</v>
      </c>
      <c r="AN9">
        <v>10</v>
      </c>
      <c r="AO9">
        <v>1</v>
      </c>
      <c r="AP9" t="s">
        <v>63</v>
      </c>
      <c r="AQ9">
        <v>15.9</v>
      </c>
      <c r="AR9">
        <v>1.432668E-2</v>
      </c>
      <c r="AS9">
        <v>160.58670000000001</v>
      </c>
      <c r="AT9">
        <v>71.33</v>
      </c>
      <c r="AU9" t="s">
        <v>64</v>
      </c>
      <c r="AV9">
        <v>2</v>
      </c>
      <c r="AW9">
        <v>1</v>
      </c>
      <c r="AX9">
        <v>160.58670000000001</v>
      </c>
      <c r="AY9">
        <v>98.89</v>
      </c>
      <c r="AZ9">
        <v>6.2529070000000005E-4</v>
      </c>
      <c r="BA9" s="3">
        <v>8.0784239999999994E-5</v>
      </c>
      <c r="BB9">
        <v>5.5515319999999996E-3</v>
      </c>
      <c r="BC9">
        <v>71.33</v>
      </c>
      <c r="BD9">
        <v>1.6785439999999999E-2</v>
      </c>
      <c r="BE9">
        <v>2.3043049999999999E-2</v>
      </c>
    </row>
    <row r="14" spans="1:57" x14ac:dyDescent="0.25">
      <c r="A14" t="s">
        <v>15</v>
      </c>
      <c r="B14" t="s">
        <v>16</v>
      </c>
      <c r="C14" t="s">
        <v>0</v>
      </c>
      <c r="D14" t="s">
        <v>1</v>
      </c>
      <c r="E14" t="s">
        <v>2</v>
      </c>
      <c r="F14" t="s">
        <v>3</v>
      </c>
      <c r="G14" t="s">
        <v>4</v>
      </c>
      <c r="H14" t="s">
        <v>5</v>
      </c>
      <c r="I14" t="s">
        <v>6</v>
      </c>
      <c r="J14" t="s">
        <v>7</v>
      </c>
      <c r="K14" t="s">
        <v>8</v>
      </c>
      <c r="L14" t="s">
        <v>9</v>
      </c>
      <c r="M14" t="s">
        <v>10</v>
      </c>
      <c r="N14" t="s">
        <v>11</v>
      </c>
      <c r="O14" t="s">
        <v>12</v>
      </c>
      <c r="P14" t="s">
        <v>13</v>
      </c>
      <c r="Q14" t="s">
        <v>14</v>
      </c>
    </row>
    <row r="15" spans="1:57" x14ac:dyDescent="0.25">
      <c r="A15">
        <v>1</v>
      </c>
      <c r="B15" t="s">
        <v>57</v>
      </c>
      <c r="C15">
        <v>0.63630699999999996</v>
      </c>
      <c r="D15">
        <v>1</v>
      </c>
      <c r="E15">
        <v>1.5902719999999999</v>
      </c>
      <c r="F15">
        <v>1</v>
      </c>
      <c r="G15">
        <v>1.0031029</v>
      </c>
      <c r="H15">
        <v>1</v>
      </c>
      <c r="I15">
        <v>0.99939999999999996</v>
      </c>
      <c r="J15">
        <v>1</v>
      </c>
      <c r="K15">
        <v>0.99521059999999995</v>
      </c>
      <c r="L15">
        <v>1.752813</v>
      </c>
      <c r="M15">
        <v>1.1764859999999999</v>
      </c>
      <c r="N15">
        <v>1</v>
      </c>
      <c r="O15">
        <v>1</v>
      </c>
      <c r="P15">
        <v>0.94802500000000001</v>
      </c>
      <c r="Q15">
        <v>0.90027199999999996</v>
      </c>
    </row>
    <row r="16" spans="1:57" x14ac:dyDescent="0.25">
      <c r="A16">
        <v>2</v>
      </c>
      <c r="B16" t="s">
        <v>65</v>
      </c>
      <c r="C16">
        <v>0.63630699999999996</v>
      </c>
      <c r="D16">
        <v>1</v>
      </c>
      <c r="E16">
        <v>1.5908869999999999</v>
      </c>
      <c r="F16">
        <v>1</v>
      </c>
      <c r="G16">
        <v>0.85231619999999997</v>
      </c>
      <c r="H16">
        <v>1</v>
      </c>
      <c r="I16">
        <v>0.99939999999999996</v>
      </c>
      <c r="J16">
        <v>1</v>
      </c>
      <c r="K16">
        <v>0.98150709999999997</v>
      </c>
      <c r="L16">
        <v>1.752813</v>
      </c>
      <c r="M16">
        <v>1.167713</v>
      </c>
      <c r="N16">
        <v>1</v>
      </c>
      <c r="O16">
        <v>1</v>
      </c>
      <c r="P16">
        <v>0.96457000000000004</v>
      </c>
      <c r="Q16">
        <v>0.9</v>
      </c>
    </row>
    <row r="17" spans="3:28" x14ac:dyDescent="0.25">
      <c r="C17">
        <v>160.58670000000001</v>
      </c>
      <c r="D17">
        <v>75.260000000000005</v>
      </c>
      <c r="E17">
        <v>160.94</v>
      </c>
      <c r="F17">
        <v>53.13</v>
      </c>
      <c r="G17">
        <v>202.25654</v>
      </c>
    </row>
    <row r="18" spans="3:28" x14ac:dyDescent="0.25">
      <c r="C18">
        <v>160.58670000000001</v>
      </c>
      <c r="D18">
        <v>74.5</v>
      </c>
      <c r="E18">
        <v>162.4</v>
      </c>
      <c r="F18">
        <v>43.64</v>
      </c>
      <c r="G18">
        <v>56.626240000000003</v>
      </c>
    </row>
    <row r="27" spans="3:28" x14ac:dyDescent="0.25">
      <c r="X27">
        <v>0.70042320999999996</v>
      </c>
      <c r="Y27">
        <v>0.15362922000000001</v>
      </c>
      <c r="Z27">
        <v>5.30507185</v>
      </c>
      <c r="AA27">
        <v>21.368172550000001</v>
      </c>
      <c r="AB27">
        <f>SUM(X27:AA27)</f>
        <v>27.527296830000001</v>
      </c>
    </row>
    <row r="28" spans="3:28" x14ac:dyDescent="0.25">
      <c r="X28">
        <v>0.74777362999999997</v>
      </c>
      <c r="Y28">
        <v>9.6898029999999996E-2</v>
      </c>
      <c r="Z28">
        <v>6.4621472999999998</v>
      </c>
      <c r="AA28">
        <v>18.38319065</v>
      </c>
      <c r="AB28">
        <f>SUM(X28:AA28)</f>
        <v>25.690009609999997</v>
      </c>
    </row>
    <row r="31" spans="3:28" x14ac:dyDescent="0.25">
      <c r="X31">
        <v>26.67</v>
      </c>
      <c r="Y31">
        <f>X31-SUM(X27:Z27)</f>
        <v>20.510875720000001</v>
      </c>
    </row>
    <row r="32" spans="3:28" x14ac:dyDescent="0.25">
      <c r="X32" s="17">
        <v>15.9</v>
      </c>
      <c r="Y32">
        <f>X32-SUM(X28:Z28)</f>
        <v>8.593181040000001</v>
      </c>
    </row>
    <row r="36" spans="25:25" x14ac:dyDescent="0.25">
      <c r="Y36">
        <v>20.510875720000001</v>
      </c>
    </row>
    <row r="37" spans="25:25" x14ac:dyDescent="0.25">
      <c r="Y37">
        <v>8.593181040000001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tabSelected="1" workbookViewId="0">
      <selection activeCell="Z33" sqref="Z33"/>
    </sheetView>
  </sheetViews>
  <sheetFormatPr defaultRowHeight="15" x14ac:dyDescent="0.25"/>
  <cols>
    <col min="6" max="6" width="14.5703125" bestFit="1" customWidth="1"/>
    <col min="7" max="7" width="11.28515625" bestFit="1" customWidth="1"/>
    <col min="9" max="9" width="11.28515625" bestFit="1" customWidth="1"/>
  </cols>
  <sheetData>
    <row r="1" spans="1:10" x14ac:dyDescent="0.25">
      <c r="G1" s="13" t="s">
        <v>67</v>
      </c>
      <c r="H1" s="14"/>
      <c r="I1" s="15" t="s">
        <v>68</v>
      </c>
      <c r="J1" s="15"/>
    </row>
    <row r="2" spans="1:10" x14ac:dyDescent="0.25">
      <c r="A2" t="s">
        <v>15</v>
      </c>
      <c r="B2">
        <v>1</v>
      </c>
      <c r="C2">
        <v>2</v>
      </c>
      <c r="F2" s="1"/>
      <c r="G2" s="9" t="s">
        <v>57</v>
      </c>
      <c r="H2" t="s">
        <v>65</v>
      </c>
      <c r="I2" t="s">
        <v>57</v>
      </c>
      <c r="J2" t="s">
        <v>65</v>
      </c>
    </row>
    <row r="3" spans="1:10" x14ac:dyDescent="0.25">
      <c r="A3" t="s">
        <v>16</v>
      </c>
      <c r="B3" t="s">
        <v>57</v>
      </c>
      <c r="C3" t="s">
        <v>65</v>
      </c>
      <c r="F3" s="7" t="s">
        <v>0</v>
      </c>
      <c r="G3" s="12">
        <v>0.63630699999999996</v>
      </c>
      <c r="H3" s="8">
        <v>0.63630699999999996</v>
      </c>
      <c r="I3" s="8">
        <f>VLOOKUP(F3,A:C,2,0)</f>
        <v>160.58670000000001</v>
      </c>
      <c r="J3" s="8">
        <f>VLOOKUP(F3,A:C,3,0)</f>
        <v>160.58670000000001</v>
      </c>
    </row>
    <row r="4" spans="1:10" x14ac:dyDescent="0.25">
      <c r="A4" t="s">
        <v>17</v>
      </c>
      <c r="B4" s="2">
        <v>42614</v>
      </c>
      <c r="C4" s="2">
        <v>42614</v>
      </c>
      <c r="F4" t="s">
        <v>1</v>
      </c>
      <c r="G4" s="10">
        <v>1</v>
      </c>
      <c r="H4" s="4">
        <v>1</v>
      </c>
      <c r="I4" s="4">
        <f>VLOOKUP(F4,A:C,2,0)</f>
        <v>75.260000000000005</v>
      </c>
      <c r="J4" s="4">
        <f>VLOOKUP(F4,A:C,3,0)</f>
        <v>74.5</v>
      </c>
    </row>
    <row r="5" spans="1:10" x14ac:dyDescent="0.25">
      <c r="A5" t="s">
        <v>18</v>
      </c>
      <c r="B5" t="s">
        <v>58</v>
      </c>
      <c r="C5" t="s">
        <v>66</v>
      </c>
      <c r="F5" t="s">
        <v>2</v>
      </c>
      <c r="G5" s="10">
        <v>1.5902719999999999</v>
      </c>
      <c r="H5" s="4">
        <v>1.5908869999999999</v>
      </c>
      <c r="I5" s="4">
        <f>VLOOKUP(F5,A:C,2,0)</f>
        <v>160.94</v>
      </c>
      <c r="J5" s="4">
        <f>VLOOKUP(F5,A:C,3,0)</f>
        <v>162.4</v>
      </c>
    </row>
    <row r="6" spans="1:10" x14ac:dyDescent="0.25">
      <c r="A6" t="s">
        <v>14</v>
      </c>
      <c r="B6">
        <v>0.17</v>
      </c>
      <c r="C6">
        <v>0</v>
      </c>
      <c r="F6" t="s">
        <v>3</v>
      </c>
      <c r="G6" s="10">
        <v>1</v>
      </c>
      <c r="H6" s="4">
        <v>1</v>
      </c>
      <c r="I6" s="4">
        <f>VLOOKUP(F6,A:C,2,0)</f>
        <v>53.13</v>
      </c>
      <c r="J6" s="4">
        <f>VLOOKUP(F6,A:C,3,0)</f>
        <v>43.64</v>
      </c>
    </row>
    <row r="7" spans="1:10" x14ac:dyDescent="0.25">
      <c r="A7" t="s">
        <v>19</v>
      </c>
      <c r="B7" t="s">
        <v>59</v>
      </c>
      <c r="C7" t="s">
        <v>59</v>
      </c>
      <c r="F7" s="5" t="s">
        <v>4</v>
      </c>
      <c r="G7" s="11">
        <v>1.0031029</v>
      </c>
      <c r="H7" s="6">
        <v>0.85231619999999997</v>
      </c>
      <c r="I7" s="6">
        <f>VLOOKUP(F7,A:C,2,0)</f>
        <v>202.25654</v>
      </c>
      <c r="J7" s="6">
        <f>VLOOKUP(F7,A:C,3,0)</f>
        <v>56.626240000000003</v>
      </c>
    </row>
    <row r="8" spans="1:10" x14ac:dyDescent="0.25">
      <c r="A8" t="s">
        <v>20</v>
      </c>
      <c r="B8">
        <v>20160901</v>
      </c>
      <c r="C8">
        <v>20160901</v>
      </c>
      <c r="F8" t="s">
        <v>5</v>
      </c>
      <c r="G8" s="10">
        <v>1</v>
      </c>
      <c r="H8" s="4">
        <v>1</v>
      </c>
      <c r="I8" s="4">
        <f>VLOOKUP(F8,A:C,2,0)</f>
        <v>752.1</v>
      </c>
      <c r="J8" s="4">
        <f>VLOOKUP(F8,A:C,3,0)</f>
        <v>759.8</v>
      </c>
    </row>
    <row r="9" spans="1:10" x14ac:dyDescent="0.25">
      <c r="A9" t="s">
        <v>21</v>
      </c>
      <c r="B9" t="s">
        <v>60</v>
      </c>
      <c r="C9" t="s">
        <v>60</v>
      </c>
      <c r="F9" t="s">
        <v>6</v>
      </c>
      <c r="G9" s="10">
        <v>0.99939999999999996</v>
      </c>
      <c r="H9" s="4">
        <v>0.99939999999999996</v>
      </c>
      <c r="I9" s="4">
        <f>VLOOKUP(F9,A:C,2,0)</f>
        <v>99.94</v>
      </c>
      <c r="J9" s="4">
        <f>VLOOKUP(F9,A:C,3,0)</f>
        <v>99.94</v>
      </c>
    </row>
    <row r="10" spans="1:10" x14ac:dyDescent="0.25">
      <c r="A10" t="s">
        <v>4</v>
      </c>
      <c r="B10">
        <v>202.25654</v>
      </c>
      <c r="C10">
        <v>56.626240000000003</v>
      </c>
      <c r="F10" t="s">
        <v>7</v>
      </c>
      <c r="G10" s="10">
        <v>1</v>
      </c>
      <c r="H10" s="4">
        <v>1</v>
      </c>
      <c r="I10" s="4">
        <f>VLOOKUP(F10,A:C,2,0)</f>
        <v>5.15</v>
      </c>
      <c r="J10" s="4">
        <f>VLOOKUP(F10,A:C,3,0)</f>
        <v>5.88</v>
      </c>
    </row>
    <row r="11" spans="1:10" x14ac:dyDescent="0.25">
      <c r="A11" t="s">
        <v>22</v>
      </c>
      <c r="B11">
        <v>233861.3</v>
      </c>
      <c r="C11">
        <v>67105.279999999999</v>
      </c>
      <c r="F11" t="s">
        <v>8</v>
      </c>
      <c r="G11" s="10">
        <v>0.99521059999999995</v>
      </c>
      <c r="H11" s="4">
        <v>0.98150709999999997</v>
      </c>
      <c r="I11" s="4">
        <f>VLOOKUP(F11,A:C,2,0)</f>
        <v>37.270000000000003</v>
      </c>
      <c r="J11" s="4">
        <f>VLOOKUP(F11,A:C,3,0)</f>
        <v>31.48</v>
      </c>
    </row>
    <row r="12" spans="1:10" x14ac:dyDescent="0.25">
      <c r="A12" t="s">
        <v>10</v>
      </c>
      <c r="B12">
        <v>1381.47</v>
      </c>
      <c r="C12">
        <v>1547.84</v>
      </c>
      <c r="F12" t="s">
        <v>9</v>
      </c>
      <c r="G12" s="10">
        <v>1.752813</v>
      </c>
      <c r="H12" s="4">
        <v>1.752813</v>
      </c>
      <c r="I12" s="4">
        <f>VLOOKUP(F12,A:C,2,0)</f>
        <v>71.33</v>
      </c>
      <c r="J12" s="4">
        <f>VLOOKUP(F12,A:C,3,0)</f>
        <v>71.33</v>
      </c>
    </row>
    <row r="13" spans="1:10" x14ac:dyDescent="0.25">
      <c r="A13" t="s">
        <v>23</v>
      </c>
      <c r="B13">
        <v>19248755762</v>
      </c>
      <c r="C13">
        <v>1017233819</v>
      </c>
      <c r="F13" t="s">
        <v>10</v>
      </c>
      <c r="G13" s="10">
        <v>1.1764859999999999</v>
      </c>
      <c r="H13" s="4">
        <v>1.167713</v>
      </c>
      <c r="I13" s="4">
        <f>VLOOKUP(F13,A:C,2,0)</f>
        <v>1381.47</v>
      </c>
      <c r="J13" s="4">
        <f>VLOOKUP(F13,A:C,3,0)</f>
        <v>1547.84</v>
      </c>
    </row>
    <row r="14" spans="1:10" x14ac:dyDescent="0.25">
      <c r="A14" t="s">
        <v>24</v>
      </c>
      <c r="B14">
        <v>29.08</v>
      </c>
      <c r="C14">
        <v>26.13</v>
      </c>
      <c r="F14" t="s">
        <v>11</v>
      </c>
      <c r="G14" s="10">
        <v>1</v>
      </c>
      <c r="H14" s="4">
        <v>1</v>
      </c>
      <c r="I14" s="4">
        <f>VLOOKUP(F14,A:C,2,0)</f>
        <v>3.68</v>
      </c>
      <c r="J14" s="4">
        <f>VLOOKUP(F14,A:C,3,0)</f>
        <v>7.74</v>
      </c>
    </row>
    <row r="15" spans="1:10" x14ac:dyDescent="0.25">
      <c r="A15" t="s">
        <v>25</v>
      </c>
      <c r="B15" t="s">
        <v>61</v>
      </c>
      <c r="C15" t="s">
        <v>61</v>
      </c>
      <c r="F15" t="s">
        <v>12</v>
      </c>
      <c r="G15" s="10">
        <v>1</v>
      </c>
      <c r="H15" s="4">
        <v>1</v>
      </c>
      <c r="I15" s="4">
        <f>VLOOKUP(F15,A:C,2,0)</f>
        <v>1.27</v>
      </c>
      <c r="J15" s="4">
        <f>VLOOKUP(F15,A:C,3,0)</f>
        <v>1.1100000000000001</v>
      </c>
    </row>
    <row r="16" spans="1:10" x14ac:dyDescent="0.25">
      <c r="A16" t="s">
        <v>26</v>
      </c>
      <c r="B16">
        <v>0.88</v>
      </c>
      <c r="C16">
        <v>0.06</v>
      </c>
      <c r="F16" t="s">
        <v>13</v>
      </c>
      <c r="G16" s="10">
        <v>0.94802500000000001</v>
      </c>
      <c r="H16" s="4">
        <v>0.96457000000000004</v>
      </c>
      <c r="I16" s="4">
        <f>VLOOKUP(F16,A:C,2,0)</f>
        <v>34.65</v>
      </c>
      <c r="J16" s="4">
        <f>VLOOKUP(F16,A:C,3,0)</f>
        <v>23.62</v>
      </c>
    </row>
    <row r="17" spans="1:10" x14ac:dyDescent="0.25">
      <c r="A17" t="s">
        <v>12</v>
      </c>
      <c r="B17">
        <v>1.27</v>
      </c>
      <c r="C17">
        <v>1.1100000000000001</v>
      </c>
      <c r="F17" t="s">
        <v>14</v>
      </c>
      <c r="G17" s="10">
        <v>0.90027199999999996</v>
      </c>
      <c r="H17" s="4">
        <v>0.9</v>
      </c>
      <c r="I17" s="4">
        <f>VLOOKUP(F17,A:C,2,0)</f>
        <v>0.17</v>
      </c>
      <c r="J17" s="4">
        <f>VLOOKUP(F17,A:C,3,0)</f>
        <v>0</v>
      </c>
    </row>
    <row r="18" spans="1:10" x14ac:dyDescent="0.25">
      <c r="A18" t="s">
        <v>27</v>
      </c>
      <c r="B18" t="s">
        <v>61</v>
      </c>
      <c r="C18" t="s">
        <v>61</v>
      </c>
      <c r="F18" s="7" t="s">
        <v>70</v>
      </c>
      <c r="G18" s="12">
        <v>21.368172550000001</v>
      </c>
      <c r="H18" s="8">
        <v>18.38319065</v>
      </c>
      <c r="I18" s="8"/>
      <c r="J18" s="8"/>
    </row>
    <row r="19" spans="1:10" x14ac:dyDescent="0.25">
      <c r="A19" t="s">
        <v>13</v>
      </c>
      <c r="B19">
        <v>34.65</v>
      </c>
      <c r="C19">
        <v>23.62</v>
      </c>
      <c r="F19" s="16" t="s">
        <v>69</v>
      </c>
      <c r="G19" s="10">
        <v>20.510875720000001</v>
      </c>
      <c r="H19" s="4">
        <v>8.593181040000001</v>
      </c>
    </row>
    <row r="20" spans="1:10" x14ac:dyDescent="0.25">
      <c r="A20" t="s">
        <v>11</v>
      </c>
      <c r="B20">
        <v>3.68</v>
      </c>
      <c r="C20">
        <v>7.74</v>
      </c>
      <c r="H20" s="17"/>
    </row>
    <row r="21" spans="1:10" x14ac:dyDescent="0.25">
      <c r="A21" t="s">
        <v>28</v>
      </c>
      <c r="B21">
        <v>20100101</v>
      </c>
      <c r="C21">
        <v>20100101</v>
      </c>
      <c r="G21" t="s">
        <v>58</v>
      </c>
    </row>
    <row r="22" spans="1:10" x14ac:dyDescent="0.25">
      <c r="A22" t="s">
        <v>29</v>
      </c>
      <c r="B22" t="s">
        <v>61</v>
      </c>
      <c r="C22" t="s">
        <v>61</v>
      </c>
      <c r="G22" t="s">
        <v>66</v>
      </c>
    </row>
    <row r="23" spans="1:10" x14ac:dyDescent="0.25">
      <c r="A23" t="s">
        <v>30</v>
      </c>
      <c r="B23">
        <v>6.11</v>
      </c>
      <c r="C23">
        <v>5.36</v>
      </c>
    </row>
    <row r="24" spans="1:10" x14ac:dyDescent="0.25">
      <c r="A24" t="s">
        <v>31</v>
      </c>
      <c r="B24">
        <v>91.15</v>
      </c>
      <c r="C24">
        <v>86.36</v>
      </c>
    </row>
    <row r="25" spans="1:10" x14ac:dyDescent="0.25">
      <c r="A25" t="s">
        <v>6</v>
      </c>
      <c r="B25">
        <v>99.94</v>
      </c>
      <c r="C25">
        <v>99.94</v>
      </c>
    </row>
    <row r="26" spans="1:10" x14ac:dyDescent="0.25">
      <c r="A26" t="s">
        <v>2</v>
      </c>
      <c r="B26">
        <v>160.94</v>
      </c>
      <c r="C26">
        <v>162.4</v>
      </c>
    </row>
    <row r="27" spans="1:10" x14ac:dyDescent="0.25">
      <c r="A27" t="s">
        <v>32</v>
      </c>
      <c r="B27">
        <v>74.48</v>
      </c>
      <c r="C27">
        <v>62.88</v>
      </c>
    </row>
    <row r="28" spans="1:10" x14ac:dyDescent="0.25">
      <c r="A28" t="s">
        <v>33</v>
      </c>
      <c r="B28" t="s">
        <v>62</v>
      </c>
      <c r="C28" t="s">
        <v>62</v>
      </c>
    </row>
    <row r="29" spans="1:10" x14ac:dyDescent="0.25">
      <c r="A29" t="s">
        <v>34</v>
      </c>
      <c r="B29">
        <v>19753978105</v>
      </c>
      <c r="C29">
        <v>1031988129</v>
      </c>
    </row>
    <row r="30" spans="1:10" x14ac:dyDescent="0.25">
      <c r="A30" t="s">
        <v>7</v>
      </c>
      <c r="B30">
        <v>5.15</v>
      </c>
      <c r="C30">
        <v>5.88</v>
      </c>
    </row>
    <row r="31" spans="1:10" x14ac:dyDescent="0.25">
      <c r="A31" t="s">
        <v>8</v>
      </c>
      <c r="B31">
        <v>37.270000000000003</v>
      </c>
      <c r="C31">
        <v>31.48</v>
      </c>
    </row>
    <row r="32" spans="1:10" x14ac:dyDescent="0.25">
      <c r="A32" t="s">
        <v>3</v>
      </c>
      <c r="B32">
        <v>53.13</v>
      </c>
      <c r="C32">
        <v>43.64</v>
      </c>
    </row>
    <row r="33" spans="1:3" x14ac:dyDescent="0.25">
      <c r="A33" t="s">
        <v>35</v>
      </c>
      <c r="B33">
        <v>33.96</v>
      </c>
      <c r="C33">
        <v>29.67</v>
      </c>
    </row>
    <row r="34" spans="1:3" x14ac:dyDescent="0.25">
      <c r="A34" t="s">
        <v>5</v>
      </c>
      <c r="B34">
        <v>752.1</v>
      </c>
      <c r="C34">
        <v>759.8</v>
      </c>
    </row>
    <row r="35" spans="1:3" x14ac:dyDescent="0.25">
      <c r="A35" t="s">
        <v>36</v>
      </c>
      <c r="B35">
        <v>74.97</v>
      </c>
      <c r="C35">
        <v>63.16</v>
      </c>
    </row>
    <row r="36" spans="1:3" x14ac:dyDescent="0.25">
      <c r="A36" t="s">
        <v>37</v>
      </c>
      <c r="B36">
        <v>1.6</v>
      </c>
      <c r="C36">
        <v>7.85</v>
      </c>
    </row>
    <row r="37" spans="1:3" x14ac:dyDescent="0.25">
      <c r="A37" t="s">
        <v>38</v>
      </c>
      <c r="B37">
        <v>4.95</v>
      </c>
      <c r="C37">
        <v>4.96</v>
      </c>
    </row>
    <row r="38" spans="1:3" x14ac:dyDescent="0.25">
      <c r="A38" t="s">
        <v>1</v>
      </c>
      <c r="B38">
        <v>75.260000000000005</v>
      </c>
      <c r="C38">
        <v>74.5</v>
      </c>
    </row>
    <row r="39" spans="1:3" x14ac:dyDescent="0.25">
      <c r="A39" t="s">
        <v>39</v>
      </c>
      <c r="B39">
        <v>274.37</v>
      </c>
      <c r="C39">
        <v>268.05</v>
      </c>
    </row>
    <row r="40" spans="1:3" x14ac:dyDescent="0.25">
      <c r="A40" t="s">
        <v>40</v>
      </c>
      <c r="B40">
        <v>450</v>
      </c>
      <c r="C40">
        <v>450</v>
      </c>
    </row>
    <row r="41" spans="1:3" x14ac:dyDescent="0.25">
      <c r="A41" t="s">
        <v>41</v>
      </c>
      <c r="B41">
        <v>10</v>
      </c>
      <c r="C41">
        <v>10</v>
      </c>
    </row>
    <row r="42" spans="1:3" x14ac:dyDescent="0.25">
      <c r="A42" t="s">
        <v>42</v>
      </c>
      <c r="B42">
        <v>1</v>
      </c>
      <c r="C42">
        <v>1</v>
      </c>
    </row>
    <row r="43" spans="1:3" x14ac:dyDescent="0.25">
      <c r="A43" t="s">
        <v>43</v>
      </c>
      <c r="B43" t="s">
        <v>63</v>
      </c>
      <c r="C43" t="s">
        <v>63</v>
      </c>
    </row>
    <row r="44" spans="1:3" x14ac:dyDescent="0.25">
      <c r="A44" t="s">
        <v>44</v>
      </c>
      <c r="B44">
        <v>26.67</v>
      </c>
      <c r="C44">
        <v>15.9</v>
      </c>
    </row>
    <row r="45" spans="1:3" x14ac:dyDescent="0.25">
      <c r="A45" t="s">
        <v>45</v>
      </c>
      <c r="B45">
        <v>2.5518780000000001E-2</v>
      </c>
      <c r="C45">
        <v>1.432668E-2</v>
      </c>
    </row>
    <row r="46" spans="1:3" x14ac:dyDescent="0.25">
      <c r="A46" t="s">
        <v>46</v>
      </c>
      <c r="B46">
        <v>160.58670000000001</v>
      </c>
      <c r="C46">
        <v>160.58670000000001</v>
      </c>
    </row>
    <row r="47" spans="1:3" x14ac:dyDescent="0.25">
      <c r="A47" t="s">
        <v>47</v>
      </c>
      <c r="B47">
        <v>71.33</v>
      </c>
      <c r="C47">
        <v>71.33</v>
      </c>
    </row>
    <row r="48" spans="1:3" x14ac:dyDescent="0.25">
      <c r="A48" t="s">
        <v>48</v>
      </c>
      <c r="B48" t="s">
        <v>64</v>
      </c>
      <c r="C48" t="s">
        <v>64</v>
      </c>
    </row>
    <row r="49" spans="1:3" x14ac:dyDescent="0.25">
      <c r="A49" t="s">
        <v>49</v>
      </c>
      <c r="B49">
        <v>2</v>
      </c>
      <c r="C49">
        <v>2</v>
      </c>
    </row>
    <row r="50" spans="1:3" x14ac:dyDescent="0.25">
      <c r="A50" t="s">
        <v>50</v>
      </c>
      <c r="B50">
        <v>6</v>
      </c>
      <c r="C50">
        <v>1</v>
      </c>
    </row>
    <row r="51" spans="1:3" x14ac:dyDescent="0.25">
      <c r="A51" t="s">
        <v>0</v>
      </c>
      <c r="B51">
        <v>160.58670000000001</v>
      </c>
      <c r="C51">
        <v>160.58670000000001</v>
      </c>
    </row>
    <row r="52" spans="1:3" x14ac:dyDescent="0.25">
      <c r="A52" t="s">
        <v>51</v>
      </c>
      <c r="B52">
        <v>98.73</v>
      </c>
      <c r="C52">
        <v>98.89</v>
      </c>
    </row>
    <row r="53" spans="1:3" x14ac:dyDescent="0.25">
      <c r="A53" t="s">
        <v>52</v>
      </c>
      <c r="B53">
        <v>5.8556820000000003E-4</v>
      </c>
      <c r="C53">
        <v>6.2529070000000005E-4</v>
      </c>
    </row>
    <row r="54" spans="1:3" x14ac:dyDescent="0.25">
      <c r="A54" t="s">
        <v>53</v>
      </c>
      <c r="B54" s="3">
        <v>1.2811459999999999E-4</v>
      </c>
      <c r="C54" s="3">
        <v>8.0784239999999994E-5</v>
      </c>
    </row>
    <row r="55" spans="1:3" x14ac:dyDescent="0.25">
      <c r="A55" t="s">
        <v>54</v>
      </c>
      <c r="B55">
        <v>4.5321770000000001E-3</v>
      </c>
      <c r="C55">
        <v>5.5515319999999996E-3</v>
      </c>
    </row>
    <row r="56" spans="1:3" x14ac:dyDescent="0.25">
      <c r="A56" t="s">
        <v>9</v>
      </c>
      <c r="B56">
        <v>71.33</v>
      </c>
      <c r="C56">
        <v>71.33</v>
      </c>
    </row>
    <row r="57" spans="1:3" x14ac:dyDescent="0.25">
      <c r="A57" t="s">
        <v>55</v>
      </c>
      <c r="B57">
        <v>1.9833480000000001E-2</v>
      </c>
      <c r="C57">
        <v>1.6785439999999999E-2</v>
      </c>
    </row>
    <row r="58" spans="1:3" x14ac:dyDescent="0.25">
      <c r="A58" t="s">
        <v>56</v>
      </c>
      <c r="B58">
        <v>2.5079339999999999E-2</v>
      </c>
      <c r="C58">
        <v>2.3043049999999999E-2</v>
      </c>
    </row>
  </sheetData>
  <mergeCells count="2">
    <mergeCell ref="G1:H1"/>
    <mergeCell ref="I1:J1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2016-12-13T15:26:37Z</cp:lastPrinted>
  <dcterms:created xsi:type="dcterms:W3CDTF">2016-12-13T14:50:53Z</dcterms:created>
  <dcterms:modified xsi:type="dcterms:W3CDTF">2016-12-13T15:55:02Z</dcterms:modified>
</cp:coreProperties>
</file>