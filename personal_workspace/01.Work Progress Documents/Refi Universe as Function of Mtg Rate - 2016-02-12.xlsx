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1635" windowHeight="1870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CurrentCloseDate">Sheet1!$AA$2</definedName>
    <definedName name="ImpliedRate">'[1]Function Of Rate'!$C$10</definedName>
  </definedNames>
  <calcPr calcId="145621"/>
</workbook>
</file>

<file path=xl/calcChain.xml><?xml version="1.0" encoding="utf-8"?>
<calcChain xmlns="http://schemas.openxmlformats.org/spreadsheetml/2006/main">
  <c r="W7" i="1" l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R4" i="1"/>
</calcChain>
</file>

<file path=xl/sharedStrings.xml><?xml version="1.0" encoding="utf-8"?>
<sst xmlns="http://schemas.openxmlformats.org/spreadsheetml/2006/main" count="17" uniqueCount="17">
  <si>
    <t>Current Coupon:</t>
  </si>
  <si>
    <t>Servicing Spread:</t>
  </si>
  <si>
    <t>Implied Primary Rate:</t>
  </si>
  <si>
    <t>As Of:</t>
  </si>
  <si>
    <t>Pool Level</t>
  </si>
  <si>
    <t>Loan Level</t>
  </si>
  <si>
    <t>-50 bps</t>
  </si>
  <si>
    <t>-40 bps</t>
  </si>
  <si>
    <t>-30 bps</t>
  </si>
  <si>
    <t>-20 bps</t>
  </si>
  <si>
    <t>-10 bps</t>
  </si>
  <si>
    <t>+10 bps</t>
  </si>
  <si>
    <t>+20 bps</t>
  </si>
  <si>
    <t>+30 bps</t>
  </si>
  <si>
    <t>+40 bps</t>
  </si>
  <si>
    <t>+50 bps</t>
  </si>
  <si>
    <t>With Lowest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</si>
</sst>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9"/>
      <color rgb="FFAD275C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9"/>
      <color rgb="FFAD275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BE4"/>
        <bgColor rgb="FF000000"/>
      </patternFill>
    </fill>
  </fills>
  <borders count="2">
    <border>
      <left/>
      <right/>
      <top/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</cellXfs>
  <cellStyles count="1">
    <cellStyle name="Normal" xfId="0" builtinId="0"/>
  </cellStyles>
  <dxfs count="12">
    <dxf>
      <font>
        <color rgb="FFC00000"/>
      </font>
    </dxf>
    <dxf>
      <font>
        <color theme="0"/>
      </font>
    </dxf>
    <dxf>
      <font>
        <color rgb="FFC00000"/>
      </font>
    </dxf>
    <dxf>
      <font>
        <color theme="0"/>
      </font>
    </dxf>
    <dxf>
      <font>
        <color rgb="FFC00000"/>
      </font>
    </dxf>
    <dxf>
      <font>
        <color theme="0"/>
      </font>
    </dxf>
    <dxf>
      <font>
        <color rgb="FFC00000"/>
      </font>
    </dxf>
    <dxf>
      <font>
        <color theme="0"/>
      </font>
    </dxf>
    <dxf>
      <font>
        <color theme="0"/>
      </font>
    </dxf>
    <dxf>
      <font>
        <color rgb="FFC00000"/>
      </font>
    </dxf>
    <dxf>
      <font>
        <color theme="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As Function of Rates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Sheet1!$L$5</c:f>
              <c:strCache>
                <c:ptCount val="1"/>
                <c:pt idx="0">
                  <c:v>Pool Level</c:v>
                </c:pt>
              </c:strCache>
            </c:strRef>
          </c:tx>
          <c:spPr>
            <a:ln w="19050">
              <a:solidFill>
                <a:srgbClr val="2E398A"/>
              </a:solidFill>
            </a:ln>
          </c:spPr>
          <c:marker>
            <c:symbol val="circle"/>
            <c:size val="5"/>
            <c:spPr>
              <a:solidFill>
                <a:srgbClr val="2E398A"/>
              </a:solidFill>
            </c:spPr>
          </c:marker>
          <c:cat>
            <c:strRef>
              <c:f>Sheet1!$M$4:$W$4</c:f>
              <c:strCache>
                <c:ptCount val="11"/>
                <c:pt idx="0">
                  <c:v>-50 bps</c:v>
                </c:pt>
                <c:pt idx="1">
                  <c:v>-40 bps</c:v>
                </c:pt>
                <c:pt idx="2">
                  <c:v>-30 bps</c:v>
                </c:pt>
                <c:pt idx="3">
                  <c:v>-20 bps</c:v>
                </c:pt>
                <c:pt idx="4">
                  <c:v>-10 bps</c:v>
                </c:pt>
                <c:pt idx="5">
                  <c:v>3.53</c:v>
                </c:pt>
                <c:pt idx="6">
                  <c:v>+10 bps</c:v>
                </c:pt>
                <c:pt idx="7">
                  <c:v>+20 bps</c:v>
                </c:pt>
                <c:pt idx="8">
                  <c:v>+30 bps</c:v>
                </c:pt>
                <c:pt idx="9">
                  <c:v>+40 bps</c:v>
                </c:pt>
                <c:pt idx="10">
                  <c:v>+50 bps</c:v>
                </c:pt>
              </c:strCache>
            </c:strRef>
          </c:cat>
          <c:val>
            <c:numRef>
              <c:f>Sheet1!$M$5:$W$5</c:f>
              <c:numCache>
                <c:formatCode>0.00%</c:formatCode>
                <c:ptCount val="11"/>
                <c:pt idx="0">
                  <c:v>0.94296774223885549</c:v>
                </c:pt>
                <c:pt idx="1">
                  <c:v>0.8760289946545684</c:v>
                </c:pt>
                <c:pt idx="2">
                  <c:v>0.83264531456399893</c:v>
                </c:pt>
                <c:pt idx="3">
                  <c:v>0.79982642095503442</c:v>
                </c:pt>
                <c:pt idx="4">
                  <c:v>0.75607500203639266</c:v>
                </c:pt>
                <c:pt idx="5">
                  <c:v>0.65222623991265993</c:v>
                </c:pt>
                <c:pt idx="6">
                  <c:v>0.58118077282151004</c:v>
                </c:pt>
                <c:pt idx="7">
                  <c:v>0.52060597027058741</c:v>
                </c:pt>
                <c:pt idx="8">
                  <c:v>0.47504894632212857</c:v>
                </c:pt>
                <c:pt idx="9">
                  <c:v>0.41612031117860254</c:v>
                </c:pt>
                <c:pt idx="10">
                  <c:v>0.34715823815664304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Sheet1!$L$6</c:f>
              <c:strCache>
                <c:ptCount val="1"/>
                <c:pt idx="0">
                  <c:v>Loan Level</c:v>
                </c:pt>
              </c:strCache>
            </c:strRef>
          </c:tx>
          <c:spPr>
            <a:ln w="19050">
              <a:solidFill>
                <a:srgbClr val="AD275C"/>
              </a:solidFill>
            </a:ln>
          </c:spPr>
          <c:marker>
            <c:symbol val="circle"/>
            <c:size val="5"/>
          </c:marker>
          <c:cat>
            <c:strRef>
              <c:f>Sheet1!$M$4:$W$4</c:f>
              <c:strCache>
                <c:ptCount val="11"/>
                <c:pt idx="0">
                  <c:v>-50 bps</c:v>
                </c:pt>
                <c:pt idx="1">
                  <c:v>-40 bps</c:v>
                </c:pt>
                <c:pt idx="2">
                  <c:v>-30 bps</c:v>
                </c:pt>
                <c:pt idx="3">
                  <c:v>-20 bps</c:v>
                </c:pt>
                <c:pt idx="4">
                  <c:v>-10 bps</c:v>
                </c:pt>
                <c:pt idx="5">
                  <c:v>3.53</c:v>
                </c:pt>
                <c:pt idx="6">
                  <c:v>+10 bps</c:v>
                </c:pt>
                <c:pt idx="7">
                  <c:v>+20 bps</c:v>
                </c:pt>
                <c:pt idx="8">
                  <c:v>+30 bps</c:v>
                </c:pt>
                <c:pt idx="9">
                  <c:v>+40 bps</c:v>
                </c:pt>
                <c:pt idx="10">
                  <c:v>+50 bps</c:v>
                </c:pt>
              </c:strCache>
            </c:strRef>
          </c:cat>
          <c:val>
            <c:numRef>
              <c:f>Sheet1!$M$6:$W$6</c:f>
              <c:numCache>
                <c:formatCode>0.00%</c:formatCode>
                <c:ptCount val="11"/>
                <c:pt idx="0">
                  <c:v>0.89840295129230807</c:v>
                </c:pt>
                <c:pt idx="1">
                  <c:v>0.84787138225750347</c:v>
                </c:pt>
                <c:pt idx="2">
                  <c:v>0.8170631752405022</c:v>
                </c:pt>
                <c:pt idx="3">
                  <c:v>0.75290556807617603</c:v>
                </c:pt>
                <c:pt idx="4">
                  <c:v>0.69580967957308815</c:v>
                </c:pt>
                <c:pt idx="5">
                  <c:v>0.62082365893318703</c:v>
                </c:pt>
                <c:pt idx="6">
                  <c:v>0.55110104148353489</c:v>
                </c:pt>
                <c:pt idx="7">
                  <c:v>0.50902158989481472</c:v>
                </c:pt>
                <c:pt idx="8">
                  <c:v>0.44722818496142924</c:v>
                </c:pt>
                <c:pt idx="9">
                  <c:v>0.40241204319337837</c:v>
                </c:pt>
                <c:pt idx="10">
                  <c:v>0.3463774996484742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Sheet1!$L$7</c:f>
              <c:strCache>
                <c:ptCount val="1"/>
                <c:pt idx="0">
                  <c:v>With Lowest Rate</c:v>
                </c:pt>
              </c:strCache>
            </c:strRef>
          </c:tx>
          <c:spPr>
            <a:ln w="19050">
              <a:solidFill>
                <a:srgbClr val="2E8A60"/>
              </a:solidFill>
            </a:ln>
          </c:spPr>
          <c:marker>
            <c:symbol val="circle"/>
            <c:size val="5"/>
            <c:spPr>
              <a:solidFill>
                <a:srgbClr val="2E8A60"/>
              </a:solidFill>
            </c:spPr>
          </c:marker>
          <c:cat>
            <c:strRef>
              <c:f>Sheet1!$M$4:$W$4</c:f>
              <c:strCache>
                <c:ptCount val="11"/>
                <c:pt idx="0">
                  <c:v>-50 bps</c:v>
                </c:pt>
                <c:pt idx="1">
                  <c:v>-40 bps</c:v>
                </c:pt>
                <c:pt idx="2">
                  <c:v>-30 bps</c:v>
                </c:pt>
                <c:pt idx="3">
                  <c:v>-20 bps</c:v>
                </c:pt>
                <c:pt idx="4">
                  <c:v>-10 bps</c:v>
                </c:pt>
                <c:pt idx="5">
                  <c:v>3.53</c:v>
                </c:pt>
                <c:pt idx="6">
                  <c:v>+10 bps</c:v>
                </c:pt>
                <c:pt idx="7">
                  <c:v>+20 bps</c:v>
                </c:pt>
                <c:pt idx="8">
                  <c:v>+30 bps</c:v>
                </c:pt>
                <c:pt idx="9">
                  <c:v>+40 bps</c:v>
                </c:pt>
                <c:pt idx="10">
                  <c:v>+50 bps</c:v>
                </c:pt>
              </c:strCache>
            </c:strRef>
          </c:cat>
          <c:val>
            <c:numRef>
              <c:f>Sheet1!$M$7:$W$7</c:f>
              <c:numCache>
                <c:formatCode>0.00%</c:formatCode>
                <c:ptCount val="11"/>
                <c:pt idx="0">
                  <c:v>0.89840295129230807</c:v>
                </c:pt>
                <c:pt idx="1">
                  <c:v>0.84787138225750347</c:v>
                </c:pt>
                <c:pt idx="2">
                  <c:v>0.8170631752405022</c:v>
                </c:pt>
                <c:pt idx="3">
                  <c:v>0.30949877588787711</c:v>
                </c:pt>
                <c:pt idx="4">
                  <c:v>0.28178910364155518</c:v>
                </c:pt>
                <c:pt idx="5">
                  <c:v>5.8670790131929801E-2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894976"/>
        <c:axId val="356913536"/>
      </c:lineChart>
      <c:catAx>
        <c:axId val="356894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56913536"/>
        <c:crosses val="autoZero"/>
        <c:auto val="1"/>
        <c:lblAlgn val="ctr"/>
        <c:lblOffset val="100"/>
        <c:noMultiLvlLbl val="0"/>
      </c:catAx>
      <c:valAx>
        <c:axId val="356913536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356894976"/>
        <c:crossesAt val="1"/>
        <c:crossBetween val="midCat"/>
      </c:valAx>
      <c:spPr>
        <a:ln w="12700">
          <a:solidFill>
            <a:schemeClr val="tx1"/>
          </a:solidFill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3174</xdr:colOff>
      <xdr:row>22</xdr:row>
      <xdr:rowOff>120651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T\Production\Daily%20Reports\Primary%20Market\11.Refinanceable%20Percentage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Query"/>
      <sheetName val="Bloomberg"/>
      <sheetName val="Function Of Rate"/>
      <sheetName val="Current Coupon"/>
    </sheetNames>
    <sheetDataSet>
      <sheetData sheetId="0"/>
      <sheetData sheetId="1"/>
      <sheetData sheetId="2"/>
      <sheetData sheetId="3">
        <row r="10">
          <cell r="C10">
            <v>3.5313290068448433</v>
          </cell>
        </row>
        <row r="15">
          <cell r="F15" t="str">
            <v>-50 bps</v>
          </cell>
          <cell r="G15" t="str">
            <v>-40 bps</v>
          </cell>
          <cell r="H15" t="str">
            <v>-30 bps</v>
          </cell>
          <cell r="I15" t="str">
            <v>-20 bps</v>
          </cell>
          <cell r="J15" t="str">
            <v>-10 bps</v>
          </cell>
          <cell r="K15">
            <v>3.5313290068448433</v>
          </cell>
          <cell r="L15" t="str">
            <v>+10 bps</v>
          </cell>
          <cell r="M15" t="str">
            <v>+20 bps</v>
          </cell>
          <cell r="N15" t="str">
            <v>+30 bps</v>
          </cell>
          <cell r="O15" t="str">
            <v>+40 bps</v>
          </cell>
          <cell r="P15" t="str">
            <v>+50 bps</v>
          </cell>
        </row>
        <row r="16">
          <cell r="E16" t="str">
            <v>Pool Level</v>
          </cell>
          <cell r="F16">
            <v>0.94296774223885549</v>
          </cell>
          <cell r="G16">
            <v>0.8760289946545684</v>
          </cell>
          <cell r="H16">
            <v>0.83264531456399893</v>
          </cell>
          <cell r="I16">
            <v>0.79982642095503442</v>
          </cell>
          <cell r="J16">
            <v>0.75607500203639266</v>
          </cell>
          <cell r="K16">
            <v>0.65222623991265993</v>
          </cell>
          <cell r="L16">
            <v>0.58118077282151004</v>
          </cell>
          <cell r="M16">
            <v>0.52060597027058741</v>
          </cell>
          <cell r="N16">
            <v>0.47504894632212857</v>
          </cell>
          <cell r="O16">
            <v>0.41612031117860254</v>
          </cell>
          <cell r="P16">
            <v>0.34715823815664304</v>
          </cell>
        </row>
        <row r="17">
          <cell r="E17" t="str">
            <v>Loan Level</v>
          </cell>
          <cell r="F17">
            <v>0.89840295129230807</v>
          </cell>
          <cell r="G17">
            <v>0.84787138225750347</v>
          </cell>
          <cell r="H17">
            <v>0.8170631752405022</v>
          </cell>
          <cell r="I17">
            <v>0.75290556807617603</v>
          </cell>
          <cell r="J17">
            <v>0.69580967957308815</v>
          </cell>
          <cell r="K17">
            <v>0.62082365893318703</v>
          </cell>
          <cell r="L17">
            <v>0.55110104148353489</v>
          </cell>
          <cell r="M17">
            <v>0.50902158989481472</v>
          </cell>
          <cell r="N17">
            <v>0.44722818496142924</v>
          </cell>
          <cell r="O17">
            <v>0.40241204319337837</v>
          </cell>
          <cell r="P17">
            <v>0.3463774996484742</v>
          </cell>
        </row>
        <row r="18">
          <cell r="E18" t="str">
            <v>With Lowest Rate</v>
          </cell>
          <cell r="F18">
            <v>0.89840295129230807</v>
          </cell>
          <cell r="G18">
            <v>0.84787138225750347</v>
          </cell>
          <cell r="H18">
            <v>0.8170631752405022</v>
          </cell>
          <cell r="I18">
            <v>0.30949877588787711</v>
          </cell>
          <cell r="J18">
            <v>0.28178910364155518</v>
          </cell>
          <cell r="K18">
            <v>5.8670790131929801E-2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W40"/>
  <sheetViews>
    <sheetView tabSelected="1" workbookViewId="0">
      <selection activeCell="N16" sqref="N16"/>
    </sheetView>
  </sheetViews>
  <sheetFormatPr defaultRowHeight="15" x14ac:dyDescent="0.25"/>
  <cols>
    <col min="12" max="12" width="14.5703125" bestFit="1" customWidth="1"/>
  </cols>
  <sheetData>
    <row r="4" spans="12:23" x14ac:dyDescent="0.25">
      <c r="L4" s="2"/>
      <c r="M4" s="2" t="s">
        <v>6</v>
      </c>
      <c r="N4" s="2" t="s">
        <v>7</v>
      </c>
      <c r="O4" s="2" t="s">
        <v>8</v>
      </c>
      <c r="P4" s="2" t="s">
        <v>9</v>
      </c>
      <c r="Q4" s="2" t="s">
        <v>10</v>
      </c>
      <c r="R4" s="8">
        <f>ImpliedRate</f>
        <v>3.5313290068448433</v>
      </c>
      <c r="S4" s="2" t="s">
        <v>11</v>
      </c>
      <c r="T4" s="2" t="s">
        <v>12</v>
      </c>
      <c r="U4" s="2" t="s">
        <v>13</v>
      </c>
      <c r="V4" s="2" t="s">
        <v>14</v>
      </c>
      <c r="W4" s="2" t="s">
        <v>15</v>
      </c>
    </row>
    <row r="5" spans="12:23" x14ac:dyDescent="0.25">
      <c r="L5" s="9" t="s">
        <v>4</v>
      </c>
      <c r="M5" s="10">
        <f>[1]!CurrentMtgRatesDataTable825234[refinancible1]</f>
        <v>0.94296774223885549</v>
      </c>
      <c r="N5" s="10">
        <f>[1]!CurrentMtgRatesDataTable825234[refinancible2]</f>
        <v>0.8760289946545684</v>
      </c>
      <c r="O5" s="10">
        <f>[1]!CurrentMtgRatesDataTable825234[refinancible3]</f>
        <v>0.83264531456399893</v>
      </c>
      <c r="P5" s="10">
        <f>[1]!CurrentMtgRatesDataTable825234[refinancible4]</f>
        <v>0.79982642095503442</v>
      </c>
      <c r="Q5" s="10">
        <f>[1]!CurrentMtgRatesDataTable825234[refinancible5]</f>
        <v>0.75607500203639266</v>
      </c>
      <c r="R5" s="10">
        <f>[1]!CurrentMtgRatesDataTable825234[refinancible6]</f>
        <v>0.65222623991265993</v>
      </c>
      <c r="S5" s="10">
        <f>[1]!CurrentMtgRatesDataTable825234[refinancible7]</f>
        <v>0.58118077282151004</v>
      </c>
      <c r="T5" s="10">
        <f>[1]!CurrentMtgRatesDataTable825234[refinancible8]</f>
        <v>0.52060597027058741</v>
      </c>
      <c r="U5" s="10">
        <f>[1]!CurrentMtgRatesDataTable825234[refinancible9]</f>
        <v>0.47504894632212857</v>
      </c>
      <c r="V5" s="10">
        <f>[1]!CurrentMtgRatesDataTable825234[refinancible10]</f>
        <v>0.41612031117860254</v>
      </c>
      <c r="W5" s="10">
        <f>[1]!CurrentMtgRatesDataTable825234[refinancible11]</f>
        <v>0.34715823815664304</v>
      </c>
    </row>
    <row r="6" spans="12:23" x14ac:dyDescent="0.25">
      <c r="L6" s="9" t="s">
        <v>5</v>
      </c>
      <c r="M6" s="10">
        <f>[1]!CurrentMtgRatesDataTable8252346[refinancible1]</f>
        <v>0.89840295129230807</v>
      </c>
      <c r="N6" s="10">
        <f>[1]!CurrentMtgRatesDataTable8252346[refinancible2]</f>
        <v>0.84787138225750347</v>
      </c>
      <c r="O6" s="10">
        <f>[1]!CurrentMtgRatesDataTable8252346[refinancible3]</f>
        <v>0.8170631752405022</v>
      </c>
      <c r="P6" s="10">
        <f>[1]!CurrentMtgRatesDataTable8252346[refinancible4]</f>
        <v>0.75290556807617603</v>
      </c>
      <c r="Q6" s="10">
        <f>[1]!CurrentMtgRatesDataTable8252346[refinancible5]</f>
        <v>0.69580967957308815</v>
      </c>
      <c r="R6" s="10">
        <f>[1]!CurrentMtgRatesDataTable8252346[refinancible6]</f>
        <v>0.62082365893318703</v>
      </c>
      <c r="S6" s="10">
        <f>[1]!CurrentMtgRatesDataTable8252346[refinancible7]</f>
        <v>0.55110104148353489</v>
      </c>
      <c r="T6" s="10">
        <f>[1]!CurrentMtgRatesDataTable8252346[refinancible8]</f>
        <v>0.50902158989481472</v>
      </c>
      <c r="U6" s="10">
        <f>[1]!CurrentMtgRatesDataTable8252346[refinancible9]</f>
        <v>0.44722818496142924</v>
      </c>
      <c r="V6" s="10">
        <f>[1]!CurrentMtgRatesDataTable8252346[refinancible10]</f>
        <v>0.40241204319337837</v>
      </c>
      <c r="W6" s="10">
        <f>[1]!CurrentMtgRatesDataTable8252346[refinancible11]</f>
        <v>0.3463774996484742</v>
      </c>
    </row>
    <row r="7" spans="12:23" x14ac:dyDescent="0.25">
      <c r="L7" s="9" t="s">
        <v>16</v>
      </c>
      <c r="M7" s="10">
        <f>[1]!CurrentMtgRatesDataTable82523468[refinancible1]</f>
        <v>0.89840295129230807</v>
      </c>
      <c r="N7" s="10">
        <f>[1]!CurrentMtgRatesDataTable82523468[refinancible2]</f>
        <v>0.84787138225750347</v>
      </c>
      <c r="O7" s="10">
        <f>[1]!CurrentMtgRatesDataTable82523468[refinancible3]</f>
        <v>0.8170631752405022</v>
      </c>
      <c r="P7" s="10">
        <f>[1]!CurrentMtgRatesDataTable82523468[refinancible4]</f>
        <v>0.30949877588787711</v>
      </c>
      <c r="Q7" s="10">
        <f>[1]!CurrentMtgRatesDataTable82523468[refinancible5]</f>
        <v>0.28178910364155518</v>
      </c>
      <c r="R7" s="10">
        <f>[1]!CurrentMtgRatesDataTable82523468[refinancible6]</f>
        <v>5.8670790131929801E-2</v>
      </c>
      <c r="S7" s="10">
        <f>[1]!CurrentMtgRatesDataTable82523468[refinancible7]</f>
        <v>0</v>
      </c>
      <c r="T7" s="10">
        <f>[1]!CurrentMtgRatesDataTable82523468[refinancible8]</f>
        <v>0</v>
      </c>
      <c r="U7" s="10">
        <f>[1]!CurrentMtgRatesDataTable82523468[refinancible9]</f>
        <v>0</v>
      </c>
      <c r="V7" s="10">
        <f>[1]!CurrentMtgRatesDataTable82523468[refinancible10]</f>
        <v>0</v>
      </c>
      <c r="W7" s="10">
        <f>[1]!CurrentMtgRatesDataTable82523468[refinancible11]</f>
        <v>0</v>
      </c>
    </row>
    <row r="25" spans="4:9" x14ac:dyDescent="0.25">
      <c r="D25" s="1" t="s">
        <v>0</v>
      </c>
      <c r="E25" s="1"/>
      <c r="F25" s="3">
        <v>2.5557387123841</v>
      </c>
      <c r="G25" s="5"/>
      <c r="H25" s="6" t="s">
        <v>1</v>
      </c>
      <c r="I25" s="3">
        <v>0.9755902944607433</v>
      </c>
    </row>
    <row r="26" spans="4:9" x14ac:dyDescent="0.25">
      <c r="D26" s="1" t="s">
        <v>2</v>
      </c>
      <c r="E26" s="1"/>
      <c r="F26" s="4">
        <v>3.5313290068448433</v>
      </c>
      <c r="G26" s="5"/>
      <c r="H26" s="6" t="s">
        <v>3</v>
      </c>
      <c r="I26" s="7">
        <v>42412</v>
      </c>
    </row>
    <row r="27" spans="4:9" ht="15" customHeight="1" x14ac:dyDescent="0.25"/>
    <row r="40" ht="1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CurrentCloseDate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2016-02-16T16:01:02Z</dcterms:created>
  <dcterms:modified xsi:type="dcterms:W3CDTF">2016-02-16T16:11:01Z</dcterms:modified>
</cp:coreProperties>
</file>