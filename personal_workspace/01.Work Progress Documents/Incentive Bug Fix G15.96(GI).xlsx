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35475" windowHeight="17430"/>
  </bookViews>
  <sheets>
    <sheet name="GNM Bond" sheetId="1" r:id="rId1"/>
    <sheet name="Incentive_Elig" sheetId="4" r:id="rId2"/>
    <sheet name="Recalculate Incentive" sheetId="5" r:id="rId3"/>
    <sheet name="Use Diff Mtg Rt" sheetId="6" r:id="rId4"/>
    <sheet name="Conv Bond" sheetId="2" r:id="rId5"/>
  </sheets>
  <calcPr calcId="145621"/>
  <fileRecoveryPr repairLoad="1"/>
</workbook>
</file>

<file path=xl/calcChain.xml><?xml version="1.0" encoding="utf-8"?>
<calcChain xmlns="http://schemas.openxmlformats.org/spreadsheetml/2006/main">
  <c r="M33" i="6" l="1"/>
  <c r="M32" i="6"/>
  <c r="N26" i="6"/>
  <c r="M26" i="6"/>
  <c r="L26" i="6"/>
  <c r="N25" i="6"/>
  <c r="M25" i="6"/>
  <c r="L25" i="6"/>
  <c r="N24" i="6"/>
  <c r="M24" i="6"/>
  <c r="L24" i="6"/>
  <c r="N23" i="6"/>
  <c r="M23" i="6"/>
  <c r="L23" i="6"/>
  <c r="N22" i="6"/>
  <c r="M22" i="6"/>
  <c r="L22" i="6"/>
  <c r="N21" i="6"/>
  <c r="M21" i="6"/>
  <c r="L21" i="6"/>
  <c r="N20" i="6"/>
  <c r="M20" i="6"/>
  <c r="L20" i="6"/>
  <c r="N19" i="6"/>
  <c r="M19" i="6"/>
  <c r="L19" i="6"/>
  <c r="X18" i="6"/>
  <c r="W18" i="6"/>
  <c r="N18" i="6"/>
  <c r="M18" i="6"/>
  <c r="L18" i="6"/>
  <c r="N17" i="6"/>
  <c r="M17" i="6"/>
  <c r="L17" i="6"/>
  <c r="N16" i="6"/>
  <c r="M16" i="6"/>
  <c r="L16" i="6"/>
  <c r="V15" i="6"/>
  <c r="U15" i="6"/>
  <c r="T15" i="6"/>
  <c r="S15" i="6"/>
  <c r="N15" i="6"/>
  <c r="M15" i="6"/>
  <c r="L15" i="6"/>
  <c r="AC14" i="6"/>
  <c r="AC17" i="6" s="1"/>
  <c r="AB14" i="6"/>
  <c r="AA14" i="6"/>
  <c r="N14" i="6"/>
  <c r="M14" i="6"/>
  <c r="L14" i="6"/>
  <c r="AB13" i="6"/>
  <c r="AA13" i="6"/>
  <c r="N13" i="6"/>
  <c r="M13" i="6"/>
  <c r="L13" i="6"/>
  <c r="N12" i="6"/>
  <c r="M12" i="6"/>
  <c r="L12" i="6"/>
  <c r="V11" i="6"/>
  <c r="U11" i="6"/>
  <c r="T11" i="6"/>
  <c r="S11" i="6"/>
  <c r="N11" i="6"/>
  <c r="M11" i="6"/>
  <c r="L11" i="6"/>
  <c r="AC10" i="6"/>
  <c r="AB10" i="6"/>
  <c r="AA10" i="6"/>
  <c r="N10" i="6"/>
  <c r="M10" i="6"/>
  <c r="L10" i="6"/>
  <c r="AB9" i="6"/>
  <c r="AA9" i="6"/>
  <c r="N9" i="6"/>
  <c r="M9" i="6"/>
  <c r="L9" i="6"/>
  <c r="N8" i="6"/>
  <c r="M8" i="6"/>
  <c r="L8" i="6"/>
  <c r="N7" i="6"/>
  <c r="M7" i="6"/>
  <c r="L7" i="6"/>
  <c r="W6" i="6"/>
  <c r="U6" i="6"/>
  <c r="T6" i="6"/>
  <c r="S6" i="6"/>
  <c r="N6" i="6"/>
  <c r="M6" i="6"/>
  <c r="L6" i="6"/>
  <c r="N5" i="6"/>
  <c r="M5" i="6"/>
  <c r="L5" i="6"/>
  <c r="N4" i="6"/>
  <c r="M4" i="6"/>
  <c r="L4" i="6"/>
  <c r="M33" i="5"/>
  <c r="M32" i="5"/>
  <c r="N26" i="5"/>
  <c r="M26" i="5"/>
  <c r="L26" i="5"/>
  <c r="N25" i="5"/>
  <c r="M25" i="5"/>
  <c r="L25" i="5"/>
  <c r="N24" i="5"/>
  <c r="M24" i="5"/>
  <c r="L24" i="5"/>
  <c r="N23" i="5"/>
  <c r="M23" i="5"/>
  <c r="L23" i="5"/>
  <c r="N22" i="5"/>
  <c r="M22" i="5"/>
  <c r="L22" i="5"/>
  <c r="N21" i="5"/>
  <c r="M21" i="5"/>
  <c r="L21" i="5"/>
  <c r="N20" i="5"/>
  <c r="M20" i="5"/>
  <c r="L20" i="5"/>
  <c r="N19" i="5"/>
  <c r="M19" i="5"/>
  <c r="L19" i="5"/>
  <c r="X18" i="5"/>
  <c r="W18" i="5"/>
  <c r="N18" i="5"/>
  <c r="M18" i="5"/>
  <c r="L18" i="5"/>
  <c r="N17" i="5"/>
  <c r="M17" i="5"/>
  <c r="L17" i="5"/>
  <c r="N16" i="5"/>
  <c r="M16" i="5"/>
  <c r="L16" i="5"/>
  <c r="V15" i="5"/>
  <c r="U15" i="5"/>
  <c r="T15" i="5"/>
  <c r="S15" i="5"/>
  <c r="N15" i="5"/>
  <c r="M15" i="5"/>
  <c r="L15" i="5"/>
  <c r="AC14" i="5"/>
  <c r="AB14" i="5"/>
  <c r="AA14" i="5"/>
  <c r="N14" i="5"/>
  <c r="M14" i="5"/>
  <c r="L14" i="5"/>
  <c r="AB13" i="5"/>
  <c r="AA13" i="5"/>
  <c r="N13" i="5"/>
  <c r="M13" i="5"/>
  <c r="L13" i="5"/>
  <c r="N12" i="5"/>
  <c r="M12" i="5"/>
  <c r="L12" i="5"/>
  <c r="V11" i="5"/>
  <c r="U11" i="5"/>
  <c r="T11" i="5"/>
  <c r="S11" i="5"/>
  <c r="N11" i="5"/>
  <c r="M11" i="5"/>
  <c r="L11" i="5"/>
  <c r="AC10" i="5"/>
  <c r="AB10" i="5"/>
  <c r="AA10" i="5"/>
  <c r="N10" i="5"/>
  <c r="M10" i="5"/>
  <c r="L10" i="5"/>
  <c r="AB9" i="5"/>
  <c r="AA9" i="5"/>
  <c r="N9" i="5"/>
  <c r="M9" i="5"/>
  <c r="L9" i="5"/>
  <c r="N8" i="5"/>
  <c r="M8" i="5"/>
  <c r="L8" i="5"/>
  <c r="N7" i="5"/>
  <c r="M7" i="5"/>
  <c r="L7" i="5"/>
  <c r="W6" i="5"/>
  <c r="U6" i="5"/>
  <c r="T6" i="5"/>
  <c r="S6" i="5"/>
  <c r="N6" i="5"/>
  <c r="M6" i="5"/>
  <c r="L6" i="5"/>
  <c r="N5" i="5"/>
  <c r="M5" i="5"/>
  <c r="L5" i="5"/>
  <c r="N4" i="5"/>
  <c r="M4" i="5"/>
  <c r="L4" i="5"/>
  <c r="AC17" i="4"/>
  <c r="AC14" i="4"/>
  <c r="AC10" i="4"/>
  <c r="AE14" i="1"/>
  <c r="AE10" i="1"/>
  <c r="X18" i="4"/>
  <c r="W18" i="4"/>
  <c r="M32" i="4"/>
  <c r="M33" i="4"/>
  <c r="AB14" i="4"/>
  <c r="AB10" i="4"/>
  <c r="AA10" i="4"/>
  <c r="AA14" i="4"/>
  <c r="AA13" i="4"/>
  <c r="AA9" i="4"/>
  <c r="N26" i="4"/>
  <c r="M26" i="4"/>
  <c r="L26" i="4"/>
  <c r="N25" i="4"/>
  <c r="M25" i="4"/>
  <c r="L25" i="4"/>
  <c r="N24" i="4"/>
  <c r="M24" i="4"/>
  <c r="L24" i="4"/>
  <c r="N23" i="4"/>
  <c r="M23" i="4"/>
  <c r="L23" i="4"/>
  <c r="N22" i="4"/>
  <c r="M22" i="4"/>
  <c r="L22" i="4"/>
  <c r="N21" i="4"/>
  <c r="M21" i="4"/>
  <c r="L21" i="4"/>
  <c r="N20" i="4"/>
  <c r="M20" i="4"/>
  <c r="L20" i="4"/>
  <c r="N19" i="4"/>
  <c r="M19" i="4"/>
  <c r="L19" i="4"/>
  <c r="N18" i="4"/>
  <c r="M18" i="4"/>
  <c r="L18" i="4"/>
  <c r="N17" i="4"/>
  <c r="M17" i="4"/>
  <c r="L17" i="4"/>
  <c r="N16" i="4"/>
  <c r="M16" i="4"/>
  <c r="L16" i="4"/>
  <c r="V15" i="4"/>
  <c r="U15" i="4"/>
  <c r="T15" i="4"/>
  <c r="S15" i="4"/>
  <c r="N15" i="4"/>
  <c r="M15" i="4"/>
  <c r="L15" i="4"/>
  <c r="N14" i="4"/>
  <c r="M14" i="4"/>
  <c r="L14" i="4"/>
  <c r="AB13" i="4"/>
  <c r="N13" i="4"/>
  <c r="M13" i="4"/>
  <c r="L13" i="4"/>
  <c r="N12" i="4"/>
  <c r="M12" i="4"/>
  <c r="L12" i="4"/>
  <c r="V11" i="4"/>
  <c r="U11" i="4"/>
  <c r="T11" i="4"/>
  <c r="S11" i="4"/>
  <c r="N11" i="4"/>
  <c r="M11" i="4"/>
  <c r="L11" i="4"/>
  <c r="N10" i="4"/>
  <c r="M10" i="4"/>
  <c r="L10" i="4"/>
  <c r="AB9" i="4"/>
  <c r="N9" i="4"/>
  <c r="M9" i="4"/>
  <c r="L9" i="4"/>
  <c r="N8" i="4"/>
  <c r="M8" i="4"/>
  <c r="L8" i="4"/>
  <c r="N7" i="4"/>
  <c r="M7" i="4"/>
  <c r="L7" i="4"/>
  <c r="U6" i="4"/>
  <c r="S6" i="4"/>
  <c r="N6" i="4"/>
  <c r="M6" i="4"/>
  <c r="L6" i="4"/>
  <c r="N5" i="4"/>
  <c r="M5" i="4"/>
  <c r="L5" i="4"/>
  <c r="T6" i="4"/>
  <c r="N4" i="4"/>
  <c r="M4" i="4"/>
  <c r="L4" i="4"/>
  <c r="AE9" i="1"/>
  <c r="AE13" i="1"/>
  <c r="AF13" i="1"/>
  <c r="AF9" i="1"/>
  <c r="AC17" i="5" l="1"/>
  <c r="W6" i="4"/>
  <c r="Z15" i="1"/>
  <c r="Y15" i="1"/>
  <c r="X15" i="1"/>
  <c r="W15" i="1"/>
  <c r="X11" i="1"/>
  <c r="Y11" i="1"/>
  <c r="Z11" i="1"/>
  <c r="W11" i="1"/>
  <c r="AA6" i="1" l="1"/>
  <c r="Y6" i="1"/>
  <c r="X6" i="1"/>
  <c r="W6" i="1"/>
  <c r="AA4" i="1"/>
  <c r="AA3" i="1"/>
  <c r="P5" i="1"/>
  <c r="Q5" i="1"/>
  <c r="R5" i="1"/>
  <c r="S5" i="1"/>
  <c r="T5" i="1"/>
  <c r="P6" i="1"/>
  <c r="Q6" i="1"/>
  <c r="R6" i="1"/>
  <c r="S6" i="1"/>
  <c r="T6" i="1"/>
  <c r="P7" i="1"/>
  <c r="Q7" i="1"/>
  <c r="R7" i="1"/>
  <c r="S7" i="1"/>
  <c r="T7" i="1"/>
  <c r="P8" i="1"/>
  <c r="Q8" i="1"/>
  <c r="R8" i="1"/>
  <c r="S8" i="1"/>
  <c r="T8" i="1"/>
  <c r="P9" i="1"/>
  <c r="Q9" i="1"/>
  <c r="R9" i="1"/>
  <c r="S9" i="1"/>
  <c r="T9" i="1"/>
  <c r="P10" i="1"/>
  <c r="Q10" i="1"/>
  <c r="R10" i="1"/>
  <c r="S10" i="1"/>
  <c r="T10" i="1"/>
  <c r="P11" i="1"/>
  <c r="Q11" i="1"/>
  <c r="R11" i="1"/>
  <c r="S11" i="1"/>
  <c r="T11" i="1"/>
  <c r="P12" i="1"/>
  <c r="Q12" i="1"/>
  <c r="R12" i="1"/>
  <c r="S12" i="1"/>
  <c r="T12" i="1"/>
  <c r="P13" i="1"/>
  <c r="Q13" i="1"/>
  <c r="R13" i="1"/>
  <c r="S13" i="1"/>
  <c r="T13" i="1"/>
  <c r="P14" i="1"/>
  <c r="Q14" i="1"/>
  <c r="R14" i="1"/>
  <c r="S14" i="1"/>
  <c r="T14" i="1"/>
  <c r="P15" i="1"/>
  <c r="Q15" i="1"/>
  <c r="R15" i="1"/>
  <c r="S15" i="1"/>
  <c r="T15" i="1"/>
  <c r="P16" i="1"/>
  <c r="Q16" i="1"/>
  <c r="R16" i="1"/>
  <c r="S16" i="1"/>
  <c r="T16" i="1"/>
  <c r="P17" i="1"/>
  <c r="Q17" i="1"/>
  <c r="R17" i="1"/>
  <c r="S17" i="1"/>
  <c r="T17" i="1"/>
  <c r="P18" i="1"/>
  <c r="Q18" i="1"/>
  <c r="R18" i="1"/>
  <c r="S18" i="1"/>
  <c r="T18" i="1"/>
  <c r="P19" i="1"/>
  <c r="Q19" i="1"/>
  <c r="R19" i="1"/>
  <c r="S19" i="1"/>
  <c r="T19" i="1"/>
  <c r="P20" i="1"/>
  <c r="Q20" i="1"/>
  <c r="R20" i="1"/>
  <c r="S20" i="1"/>
  <c r="T20" i="1"/>
  <c r="P21" i="1"/>
  <c r="Q21" i="1"/>
  <c r="R21" i="1"/>
  <c r="S21" i="1"/>
  <c r="T21" i="1"/>
  <c r="P22" i="1"/>
  <c r="Q22" i="1"/>
  <c r="R22" i="1"/>
  <c r="S22" i="1"/>
  <c r="T22" i="1"/>
  <c r="P23" i="1"/>
  <c r="Q23" i="1"/>
  <c r="R23" i="1"/>
  <c r="S23" i="1"/>
  <c r="T23" i="1"/>
  <c r="P24" i="1"/>
  <c r="Q24" i="1"/>
  <c r="R24" i="1"/>
  <c r="S24" i="1"/>
  <c r="T24" i="1"/>
  <c r="P25" i="1"/>
  <c r="Q25" i="1"/>
  <c r="R25" i="1"/>
  <c r="S25" i="1"/>
  <c r="T25" i="1"/>
  <c r="P26" i="1"/>
  <c r="Q26" i="1"/>
  <c r="R26" i="1"/>
  <c r="S26" i="1"/>
  <c r="T26" i="1"/>
  <c r="Q4" i="1"/>
  <c r="R4" i="1"/>
  <c r="S4" i="1"/>
  <c r="T4" i="1"/>
  <c r="P4" i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4" i="2"/>
  <c r="L3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4" i="2"/>
  <c r="AA6" i="2"/>
  <c r="Y6" i="2"/>
  <c r="X6" i="2"/>
  <c r="W6" i="2"/>
  <c r="R26" i="2"/>
  <c r="Q26" i="2"/>
  <c r="P26" i="2"/>
  <c r="R25" i="2"/>
  <c r="Q25" i="2"/>
  <c r="P25" i="2"/>
  <c r="R24" i="2"/>
  <c r="Q24" i="2"/>
  <c r="P24" i="2"/>
  <c r="R23" i="2"/>
  <c r="Q23" i="2"/>
  <c r="P23" i="2"/>
  <c r="R22" i="2"/>
  <c r="Q22" i="2"/>
  <c r="P22" i="2"/>
  <c r="R21" i="2"/>
  <c r="Q21" i="2"/>
  <c r="P21" i="2"/>
  <c r="R20" i="2"/>
  <c r="Q20" i="2"/>
  <c r="P20" i="2"/>
  <c r="R19" i="2"/>
  <c r="Q19" i="2"/>
  <c r="P19" i="2"/>
  <c r="R18" i="2"/>
  <c r="Q18" i="2"/>
  <c r="P18" i="2"/>
  <c r="R17" i="2"/>
  <c r="Q17" i="2"/>
  <c r="P17" i="2"/>
  <c r="R16" i="2"/>
  <c r="Q16" i="2"/>
  <c r="P16" i="2"/>
  <c r="R15" i="2"/>
  <c r="Q15" i="2"/>
  <c r="P15" i="2"/>
  <c r="R14" i="2"/>
  <c r="Q14" i="2"/>
  <c r="P14" i="2"/>
  <c r="R13" i="2"/>
  <c r="Q13" i="2"/>
  <c r="P13" i="2"/>
  <c r="R12" i="2"/>
  <c r="Q12" i="2"/>
  <c r="P12" i="2"/>
  <c r="R11" i="2"/>
  <c r="Q11" i="2"/>
  <c r="P11" i="2"/>
  <c r="R10" i="2"/>
  <c r="Q10" i="2"/>
  <c r="P10" i="2"/>
  <c r="R9" i="2"/>
  <c r="Q9" i="2"/>
  <c r="P9" i="2"/>
  <c r="R8" i="2"/>
  <c r="Q8" i="2"/>
  <c r="P8" i="2"/>
  <c r="R7" i="2"/>
  <c r="Q7" i="2"/>
  <c r="P7" i="2"/>
  <c r="R6" i="2"/>
  <c r="Q6" i="2"/>
  <c r="P6" i="2"/>
  <c r="R5" i="2"/>
  <c r="Q5" i="2"/>
  <c r="P5" i="2"/>
  <c r="R4" i="2"/>
  <c r="Q4" i="2"/>
  <c r="P4" i="2"/>
  <c r="X4" i="1"/>
</calcChain>
</file>

<file path=xl/sharedStrings.xml><?xml version="1.0" encoding="utf-8"?>
<sst xmlns="http://schemas.openxmlformats.org/spreadsheetml/2006/main" count="165" uniqueCount="25">
  <si>
    <t>Prepay Month</t>
  </si>
  <si>
    <t>MortgageRate</t>
  </si>
  <si>
    <t>incentive</t>
  </si>
  <si>
    <t>cltv</t>
  </si>
  <si>
    <t>fico</t>
  </si>
  <si>
    <t>acls</t>
  </si>
  <si>
    <t>start_incentive_scale</t>
  </si>
  <si>
    <t>start_incentive</t>
  </si>
  <si>
    <t>start_incentive_diff</t>
  </si>
  <si>
    <t>Diff</t>
  </si>
  <si>
    <t>Scale_incentive</t>
  </si>
  <si>
    <t>June CDU</t>
  </si>
  <si>
    <t>July CDU</t>
  </si>
  <si>
    <t>F3981(CA)</t>
  </si>
  <si>
    <t>G15.96(GI)</t>
  </si>
  <si>
    <t>mtg rate</t>
  </si>
  <si>
    <t>LLPA</t>
  </si>
  <si>
    <t>PMI</t>
  </si>
  <si>
    <t>MIP</t>
  </si>
  <si>
    <t>OrigMIP</t>
  </si>
  <si>
    <t>Scale</t>
  </si>
  <si>
    <t>CDU</t>
  </si>
  <si>
    <t>WAC</t>
  </si>
  <si>
    <t>mtg rate-Conv</t>
  </si>
  <si>
    <t>mtg rate-GNM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</si>
</sst>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6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43" fontId="0" fillId="0" borderId="0" xfId="1" applyFont="1"/>
    <xf numFmtId="164" fontId="0" fillId="0" borderId="0" xfId="0" applyNumberFormat="1"/>
    <xf numFmtId="166" fontId="0" fillId="0" borderId="0" xfId="0" applyNumberFormat="1"/>
    <xf numFmtId="2" fontId="0" fillId="2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'Use Diff Mtg Rt'!$B$39</c:f>
              <c:strCache>
                <c:ptCount val="1"/>
                <c:pt idx="0">
                  <c:v>incentive</c:v>
                </c:pt>
              </c:strCache>
            </c:strRef>
          </c:tx>
          <c:marker>
            <c:symbol val="none"/>
          </c:marker>
          <c:cat>
            <c:numRef>
              <c:f>'Use Diff Mtg Rt'!$A$40:$A$63</c:f>
              <c:numCache>
                <c:formatCode>m/d/yyyy</c:formatCode>
                <c:ptCount val="24"/>
                <c:pt idx="0">
                  <c:v>42917</c:v>
                </c:pt>
                <c:pt idx="1">
                  <c:v>42948</c:v>
                </c:pt>
                <c:pt idx="2">
                  <c:v>42979</c:v>
                </c:pt>
                <c:pt idx="3">
                  <c:v>43009</c:v>
                </c:pt>
                <c:pt idx="4">
                  <c:v>43040</c:v>
                </c:pt>
                <c:pt idx="5">
                  <c:v>43070</c:v>
                </c:pt>
                <c:pt idx="6">
                  <c:v>43101</c:v>
                </c:pt>
                <c:pt idx="7">
                  <c:v>43132</c:v>
                </c:pt>
                <c:pt idx="8">
                  <c:v>43160</c:v>
                </c:pt>
                <c:pt idx="9">
                  <c:v>43191</c:v>
                </c:pt>
                <c:pt idx="10">
                  <c:v>43221</c:v>
                </c:pt>
                <c:pt idx="11">
                  <c:v>43252</c:v>
                </c:pt>
                <c:pt idx="12">
                  <c:v>43282</c:v>
                </c:pt>
                <c:pt idx="13">
                  <c:v>43313</c:v>
                </c:pt>
                <c:pt idx="14">
                  <c:v>43344</c:v>
                </c:pt>
                <c:pt idx="15">
                  <c:v>43374</c:v>
                </c:pt>
                <c:pt idx="16">
                  <c:v>43405</c:v>
                </c:pt>
                <c:pt idx="17">
                  <c:v>43435</c:v>
                </c:pt>
                <c:pt idx="18">
                  <c:v>43466</c:v>
                </c:pt>
                <c:pt idx="19">
                  <c:v>43497</c:v>
                </c:pt>
                <c:pt idx="20">
                  <c:v>43525</c:v>
                </c:pt>
                <c:pt idx="21">
                  <c:v>43556</c:v>
                </c:pt>
                <c:pt idx="22">
                  <c:v>43586</c:v>
                </c:pt>
                <c:pt idx="23">
                  <c:v>43617</c:v>
                </c:pt>
              </c:numCache>
            </c:numRef>
          </c:cat>
          <c:val>
            <c:numRef>
              <c:f>'Use Diff Mtg Rt'!$B$40:$B$63</c:f>
              <c:numCache>
                <c:formatCode>0.00</c:formatCode>
                <c:ptCount val="24"/>
                <c:pt idx="0">
                  <c:v>55.997</c:v>
                </c:pt>
                <c:pt idx="1">
                  <c:v>55.360999999999997</c:v>
                </c:pt>
                <c:pt idx="2">
                  <c:v>66.715000000000003</c:v>
                </c:pt>
                <c:pt idx="3">
                  <c:v>66.596000000000004</c:v>
                </c:pt>
                <c:pt idx="4">
                  <c:v>73.781000000000006</c:v>
                </c:pt>
                <c:pt idx="5">
                  <c:v>73.741</c:v>
                </c:pt>
                <c:pt idx="6">
                  <c:v>73.701999999999998</c:v>
                </c:pt>
                <c:pt idx="7">
                  <c:v>73.667000000000002</c:v>
                </c:pt>
                <c:pt idx="8">
                  <c:v>73.63</c:v>
                </c:pt>
                <c:pt idx="9">
                  <c:v>73.59</c:v>
                </c:pt>
                <c:pt idx="10">
                  <c:v>73.555000000000007</c:v>
                </c:pt>
                <c:pt idx="11">
                  <c:v>73.521000000000001</c:v>
                </c:pt>
                <c:pt idx="12">
                  <c:v>73.488</c:v>
                </c:pt>
                <c:pt idx="13">
                  <c:v>73.456999999999994</c:v>
                </c:pt>
                <c:pt idx="14">
                  <c:v>73.427000000000007</c:v>
                </c:pt>
                <c:pt idx="15">
                  <c:v>73.397999999999996</c:v>
                </c:pt>
                <c:pt idx="16">
                  <c:v>73.370999999999995</c:v>
                </c:pt>
                <c:pt idx="17">
                  <c:v>73.344999999999999</c:v>
                </c:pt>
                <c:pt idx="18">
                  <c:v>80.144999999999996</c:v>
                </c:pt>
                <c:pt idx="19">
                  <c:v>82.941999999999993</c:v>
                </c:pt>
                <c:pt idx="20">
                  <c:v>82.911000000000001</c:v>
                </c:pt>
                <c:pt idx="21">
                  <c:v>82.879000000000005</c:v>
                </c:pt>
                <c:pt idx="22">
                  <c:v>82.850999999999999</c:v>
                </c:pt>
                <c:pt idx="23">
                  <c:v>82.825000000000003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'Use Diff Mtg Rt'!$C$39</c:f>
              <c:strCache>
                <c:ptCount val="1"/>
                <c:pt idx="0">
                  <c:v>incentive</c:v>
                </c:pt>
              </c:strCache>
            </c:strRef>
          </c:tx>
          <c:marker>
            <c:symbol val="none"/>
          </c:marker>
          <c:cat>
            <c:numRef>
              <c:f>'Use Diff Mtg Rt'!$A$40:$A$63</c:f>
              <c:numCache>
                <c:formatCode>m/d/yyyy</c:formatCode>
                <c:ptCount val="24"/>
                <c:pt idx="0">
                  <c:v>42917</c:v>
                </c:pt>
                <c:pt idx="1">
                  <c:v>42948</c:v>
                </c:pt>
                <c:pt idx="2">
                  <c:v>42979</c:v>
                </c:pt>
                <c:pt idx="3">
                  <c:v>43009</c:v>
                </c:pt>
                <c:pt idx="4">
                  <c:v>43040</c:v>
                </c:pt>
                <c:pt idx="5">
                  <c:v>43070</c:v>
                </c:pt>
                <c:pt idx="6">
                  <c:v>43101</c:v>
                </c:pt>
                <c:pt idx="7">
                  <c:v>43132</c:v>
                </c:pt>
                <c:pt idx="8">
                  <c:v>43160</c:v>
                </c:pt>
                <c:pt idx="9">
                  <c:v>43191</c:v>
                </c:pt>
                <c:pt idx="10">
                  <c:v>43221</c:v>
                </c:pt>
                <c:pt idx="11">
                  <c:v>43252</c:v>
                </c:pt>
                <c:pt idx="12">
                  <c:v>43282</c:v>
                </c:pt>
                <c:pt idx="13">
                  <c:v>43313</c:v>
                </c:pt>
                <c:pt idx="14">
                  <c:v>43344</c:v>
                </c:pt>
                <c:pt idx="15">
                  <c:v>43374</c:v>
                </c:pt>
                <c:pt idx="16">
                  <c:v>43405</c:v>
                </c:pt>
                <c:pt idx="17">
                  <c:v>43435</c:v>
                </c:pt>
                <c:pt idx="18">
                  <c:v>43466</c:v>
                </c:pt>
                <c:pt idx="19">
                  <c:v>43497</c:v>
                </c:pt>
                <c:pt idx="20">
                  <c:v>43525</c:v>
                </c:pt>
                <c:pt idx="21">
                  <c:v>43556</c:v>
                </c:pt>
                <c:pt idx="22">
                  <c:v>43586</c:v>
                </c:pt>
                <c:pt idx="23">
                  <c:v>43617</c:v>
                </c:pt>
              </c:numCache>
            </c:numRef>
          </c:cat>
          <c:val>
            <c:numRef>
              <c:f>'Use Diff Mtg Rt'!$C$40:$C$63</c:f>
              <c:numCache>
                <c:formatCode>0.00</c:formatCode>
                <c:ptCount val="24"/>
                <c:pt idx="0">
                  <c:v>55.997176000000003</c:v>
                </c:pt>
                <c:pt idx="1">
                  <c:v>52.356087000000002</c:v>
                </c:pt>
                <c:pt idx="2">
                  <c:v>54.792791000000001</c:v>
                </c:pt>
                <c:pt idx="3">
                  <c:v>54.760500999999998</c:v>
                </c:pt>
                <c:pt idx="4">
                  <c:v>61.994852000000002</c:v>
                </c:pt>
                <c:pt idx="5">
                  <c:v>61.993409</c:v>
                </c:pt>
                <c:pt idx="6">
                  <c:v>61.991974999999996</c:v>
                </c:pt>
                <c:pt idx="7">
                  <c:v>61.990588000000002</c:v>
                </c:pt>
                <c:pt idx="8">
                  <c:v>61.989221000000001</c:v>
                </c:pt>
                <c:pt idx="9">
                  <c:v>61.987869000000003</c:v>
                </c:pt>
                <c:pt idx="10">
                  <c:v>61.986553999999998</c:v>
                </c:pt>
                <c:pt idx="11">
                  <c:v>61.985281000000001</c:v>
                </c:pt>
                <c:pt idx="12">
                  <c:v>61.984048999999999</c:v>
                </c:pt>
                <c:pt idx="13">
                  <c:v>61.982871000000003</c:v>
                </c:pt>
                <c:pt idx="14">
                  <c:v>61.981735</c:v>
                </c:pt>
                <c:pt idx="15">
                  <c:v>61.980656000000003</c:v>
                </c:pt>
                <c:pt idx="16">
                  <c:v>61.979619</c:v>
                </c:pt>
                <c:pt idx="17">
                  <c:v>61.978637999999997</c:v>
                </c:pt>
                <c:pt idx="18">
                  <c:v>69.008218999999997</c:v>
                </c:pt>
                <c:pt idx="19">
                  <c:v>71.735059000000007</c:v>
                </c:pt>
                <c:pt idx="20">
                  <c:v>71.730515999999994</c:v>
                </c:pt>
                <c:pt idx="21">
                  <c:v>71.726026000000005</c:v>
                </c:pt>
                <c:pt idx="22">
                  <c:v>71.721956000000006</c:v>
                </c:pt>
                <c:pt idx="23">
                  <c:v>71.718124000000003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303616"/>
        <c:axId val="338326656"/>
      </c:lineChart>
      <c:dateAx>
        <c:axId val="3383036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38326656"/>
        <c:crosses val="autoZero"/>
        <c:auto val="1"/>
        <c:lblOffset val="100"/>
        <c:baseTimeUnit val="months"/>
      </c:dateAx>
      <c:valAx>
        <c:axId val="33832665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3383036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638175</xdr:colOff>
      <xdr:row>39</xdr:row>
      <xdr:rowOff>176212</xdr:rowOff>
    </xdr:from>
    <xdr:to>
      <xdr:col>13</xdr:col>
      <xdr:colOff>0</xdr:colOff>
      <xdr:row>54</xdr:row>
      <xdr:rowOff>61912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2"/>
  <sheetViews>
    <sheetView tabSelected="1" topLeftCell="B1" workbookViewId="0">
      <selection activeCell="AE18" sqref="AE18"/>
    </sheetView>
  </sheetViews>
  <sheetFormatPr defaultRowHeight="15" x14ac:dyDescent="0.25"/>
  <cols>
    <col min="1" max="1" width="9.7109375" style="1" bestFit="1" customWidth="1"/>
    <col min="2" max="4" width="9.28515625" bestFit="1" customWidth="1"/>
    <col min="5" max="5" width="9.5703125" bestFit="1" customWidth="1"/>
    <col min="6" max="6" width="12.5703125" bestFit="1" customWidth="1"/>
    <col min="8" max="8" width="9.7109375" style="1" bestFit="1" customWidth="1"/>
    <col min="13" max="13" width="9.5703125" bestFit="1" customWidth="1"/>
    <col min="15" max="15" width="13.5703125" bestFit="1" customWidth="1"/>
    <col min="23" max="23" width="14.42578125" bestFit="1" customWidth="1"/>
    <col min="24" max="24" width="20" bestFit="1" customWidth="1"/>
    <col min="25" max="25" width="18.7109375" bestFit="1" customWidth="1"/>
  </cols>
  <sheetData>
    <row r="1" spans="1:32" x14ac:dyDescent="0.25">
      <c r="A1" t="s">
        <v>12</v>
      </c>
      <c r="B1" t="s">
        <v>14</v>
      </c>
      <c r="H1" t="s">
        <v>11</v>
      </c>
      <c r="I1" t="s">
        <v>14</v>
      </c>
    </row>
    <row r="2" spans="1:32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H2" s="1" t="s">
        <v>0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O2" t="s">
        <v>0</v>
      </c>
      <c r="P2" t="s">
        <v>1</v>
      </c>
      <c r="Q2" t="s">
        <v>2</v>
      </c>
      <c r="R2" t="s">
        <v>3</v>
      </c>
      <c r="S2" t="s">
        <v>4</v>
      </c>
      <c r="T2" t="s">
        <v>5</v>
      </c>
      <c r="W2" t="s">
        <v>7</v>
      </c>
      <c r="X2" t="s">
        <v>6</v>
      </c>
      <c r="Y2" t="s">
        <v>8</v>
      </c>
      <c r="AA2" t="s">
        <v>15</v>
      </c>
    </row>
    <row r="3" spans="1:32" x14ac:dyDescent="0.25">
      <c r="H3" s="1">
        <v>42887</v>
      </c>
      <c r="I3" s="2">
        <v>3.498405</v>
      </c>
      <c r="J3" s="2">
        <v>36.120990999999997</v>
      </c>
      <c r="K3" s="2">
        <v>81.270674999999997</v>
      </c>
      <c r="L3" s="2">
        <v>707.30892500000004</v>
      </c>
      <c r="M3" s="2">
        <v>495397.31793100003</v>
      </c>
      <c r="V3" s="1">
        <v>42917</v>
      </c>
      <c r="W3" s="2">
        <v>63.1099999999999</v>
      </c>
      <c r="X3" s="2">
        <v>73.325217962518295</v>
      </c>
      <c r="Y3" s="2">
        <v>-10.215217962518301</v>
      </c>
      <c r="AA3" s="2">
        <f>B4</f>
        <v>3.3807480000000001</v>
      </c>
      <c r="AB3" s="2"/>
    </row>
    <row r="4" spans="1:32" x14ac:dyDescent="0.25">
      <c r="A4" s="1">
        <v>42917</v>
      </c>
      <c r="B4" s="2">
        <v>3.3807480000000001</v>
      </c>
      <c r="C4" s="2">
        <v>56.031497999999999</v>
      </c>
      <c r="D4" s="2">
        <v>80.905293999999998</v>
      </c>
      <c r="E4" s="2">
        <v>707.448487</v>
      </c>
      <c r="F4" s="2">
        <v>494383.692675</v>
      </c>
      <c r="H4" s="1">
        <v>42917</v>
      </c>
      <c r="I4" s="2">
        <v>3.3807480000000001</v>
      </c>
      <c r="J4" s="2">
        <v>47.861229999999999</v>
      </c>
      <c r="K4" s="2">
        <v>80.934628000000004</v>
      </c>
      <c r="L4" s="2">
        <v>707.346723</v>
      </c>
      <c r="M4" s="2">
        <v>494588.532817</v>
      </c>
      <c r="O4" s="1">
        <v>42917</v>
      </c>
      <c r="P4" s="2">
        <f>B4-I4</f>
        <v>0</v>
      </c>
      <c r="Q4" s="2">
        <f>C4-J4</f>
        <v>8.1702680000000001</v>
      </c>
      <c r="R4" s="2">
        <f>D4-K4</f>
        <v>-2.9334000000005744E-2</v>
      </c>
      <c r="S4" s="2">
        <f>E4-L4</f>
        <v>0.10176400000000285</v>
      </c>
      <c r="T4" s="2">
        <f>F4-M4</f>
        <v>-204.84014200000092</v>
      </c>
      <c r="V4" s="1">
        <v>42887</v>
      </c>
      <c r="W4" s="2">
        <v>61.529521752539999</v>
      </c>
      <c r="X4" s="2">
        <f>W4-Y4</f>
        <v>77.759043505080001</v>
      </c>
      <c r="Y4" s="2">
        <v>-16.229521752539998</v>
      </c>
      <c r="AA4" s="2">
        <f>I3</f>
        <v>3.498405</v>
      </c>
      <c r="AB4" s="2"/>
    </row>
    <row r="5" spans="1:32" x14ac:dyDescent="0.25">
      <c r="A5" s="1">
        <v>42948</v>
      </c>
      <c r="B5" s="2">
        <v>3.3867829999999999</v>
      </c>
      <c r="C5" s="2">
        <v>55.409458000000001</v>
      </c>
      <c r="D5" s="2">
        <v>80.569511000000006</v>
      </c>
      <c r="E5" s="2">
        <v>707.48537199999998</v>
      </c>
      <c r="F5" s="2">
        <v>493570.99565300002</v>
      </c>
      <c r="H5" s="1">
        <v>42948</v>
      </c>
      <c r="I5" s="2">
        <v>3.3867829999999999</v>
      </c>
      <c r="J5" s="2">
        <v>47.225425000000001</v>
      </c>
      <c r="K5" s="2">
        <v>80.599671999999998</v>
      </c>
      <c r="L5" s="2">
        <v>707.39461900000003</v>
      </c>
      <c r="M5" s="2">
        <v>493780.91108300001</v>
      </c>
      <c r="O5" s="1">
        <v>42948</v>
      </c>
      <c r="P5" s="2">
        <f t="shared" ref="P5:P26" si="0">B5-I5</f>
        <v>0</v>
      </c>
      <c r="Q5" s="2">
        <f t="shared" ref="Q5:Q26" si="1">C5-J5</f>
        <v>8.1840329999999994</v>
      </c>
      <c r="R5" s="2">
        <f t="shared" ref="R5:R26" si="2">D5-K5</f>
        <v>-3.0160999999992555E-2</v>
      </c>
      <c r="S5" s="2">
        <f t="shared" ref="S5:S26" si="3">E5-L5</f>
        <v>9.0752999999949679E-2</v>
      </c>
      <c r="T5" s="2">
        <f t="shared" ref="T5:T26" si="4">F5-M5</f>
        <v>-209.91542999999365</v>
      </c>
    </row>
    <row r="6" spans="1:32" x14ac:dyDescent="0.25">
      <c r="A6" s="1">
        <v>42979</v>
      </c>
      <c r="B6" s="2">
        <v>3.403683</v>
      </c>
      <c r="C6" s="2">
        <v>68.368885000000006</v>
      </c>
      <c r="D6" s="2">
        <v>80.234532999999999</v>
      </c>
      <c r="E6" s="2">
        <v>707.52579000000003</v>
      </c>
      <c r="F6" s="2">
        <v>492756.82773999998</v>
      </c>
      <c r="H6" s="1">
        <v>42979</v>
      </c>
      <c r="I6" s="2">
        <v>3.403683</v>
      </c>
      <c r="J6" s="2">
        <v>60.252105999999998</v>
      </c>
      <c r="K6" s="2">
        <v>80.265494000000004</v>
      </c>
      <c r="L6" s="2">
        <v>707.44402400000001</v>
      </c>
      <c r="M6" s="2">
        <v>492971.12323799997</v>
      </c>
      <c r="O6" s="1">
        <v>42979</v>
      </c>
      <c r="P6" s="2">
        <f t="shared" si="0"/>
        <v>0</v>
      </c>
      <c r="Q6" s="2">
        <f t="shared" si="1"/>
        <v>8.1167790000000082</v>
      </c>
      <c r="R6" s="2">
        <f t="shared" si="2"/>
        <v>-3.0961000000004901E-2</v>
      </c>
      <c r="S6" s="2">
        <f t="shared" si="3"/>
        <v>8.1766000000015993E-2</v>
      </c>
      <c r="T6" s="2">
        <f t="shared" si="4"/>
        <v>-214.29549799999222</v>
      </c>
      <c r="V6" t="s">
        <v>9</v>
      </c>
      <c r="W6" s="2">
        <f>W3-W4</f>
        <v>1.5804782474599008</v>
      </c>
      <c r="X6" s="2">
        <f>X3-X4</f>
        <v>-4.4338255425617064</v>
      </c>
      <c r="Y6" s="2">
        <f>Y3-Y4</f>
        <v>6.0143037900216978</v>
      </c>
      <c r="AA6" s="2">
        <f>(AA3-AA4)*100</f>
        <v>-11.76569999999999</v>
      </c>
      <c r="AB6" s="2"/>
    </row>
    <row r="7" spans="1:32" x14ac:dyDescent="0.25">
      <c r="A7" s="1">
        <v>43009</v>
      </c>
      <c r="B7" s="2">
        <v>3.403683</v>
      </c>
      <c r="C7" s="2">
        <v>68.251891000000001</v>
      </c>
      <c r="D7" s="2">
        <v>79.901330999999999</v>
      </c>
      <c r="E7" s="2">
        <v>707.61705600000005</v>
      </c>
      <c r="F7" s="2">
        <v>491957.83919899998</v>
      </c>
      <c r="H7" s="1">
        <v>43009</v>
      </c>
      <c r="I7" s="2">
        <v>3.403683</v>
      </c>
      <c r="J7" s="2">
        <v>60.105235999999998</v>
      </c>
      <c r="K7" s="2">
        <v>79.933811000000006</v>
      </c>
      <c r="L7" s="2">
        <v>707.54375300000004</v>
      </c>
      <c r="M7" s="2">
        <v>492177.82419800002</v>
      </c>
      <c r="O7" s="1">
        <v>43009</v>
      </c>
      <c r="P7" s="2">
        <f t="shared" si="0"/>
        <v>0</v>
      </c>
      <c r="Q7" s="2">
        <f t="shared" si="1"/>
        <v>8.1466550000000026</v>
      </c>
      <c r="R7" s="2">
        <f t="shared" si="2"/>
        <v>-3.2480000000006726E-2</v>
      </c>
      <c r="S7" s="2">
        <f t="shared" si="3"/>
        <v>7.3303000000009888E-2</v>
      </c>
      <c r="T7" s="2">
        <f t="shared" si="4"/>
        <v>-219.98499900003662</v>
      </c>
    </row>
    <row r="8" spans="1:32" x14ac:dyDescent="0.25">
      <c r="A8" s="1">
        <v>43040</v>
      </c>
      <c r="B8" s="2">
        <v>3.403683</v>
      </c>
      <c r="C8" s="2">
        <v>75.436353999999994</v>
      </c>
      <c r="D8" s="2">
        <v>79.568813000000006</v>
      </c>
      <c r="E8" s="2">
        <v>707.70682699999998</v>
      </c>
      <c r="F8" s="2">
        <v>491155.49489500001</v>
      </c>
      <c r="H8" s="1">
        <v>43040</v>
      </c>
      <c r="I8" s="2">
        <v>3.403683</v>
      </c>
      <c r="J8" s="2">
        <v>59.960420999999997</v>
      </c>
      <c r="K8" s="2">
        <v>79.602779999999996</v>
      </c>
      <c r="L8" s="2">
        <v>707.64208699999995</v>
      </c>
      <c r="M8" s="2">
        <v>491381.13518799999</v>
      </c>
      <c r="O8" s="1">
        <v>43040</v>
      </c>
      <c r="P8" s="2">
        <f t="shared" si="0"/>
        <v>0</v>
      </c>
      <c r="Q8" s="2">
        <f t="shared" si="1"/>
        <v>15.475932999999998</v>
      </c>
      <c r="R8" s="2">
        <f t="shared" si="2"/>
        <v>-3.3966999999989866E-2</v>
      </c>
      <c r="S8" s="2">
        <f t="shared" si="3"/>
        <v>6.4740000000028886E-2</v>
      </c>
      <c r="T8" s="2">
        <f t="shared" si="4"/>
        <v>-225.64029299997492</v>
      </c>
      <c r="W8" t="s">
        <v>16</v>
      </c>
      <c r="X8" t="s">
        <v>17</v>
      </c>
      <c r="Y8" t="s">
        <v>18</v>
      </c>
      <c r="Z8" t="s">
        <v>19</v>
      </c>
      <c r="AA8" t="s">
        <v>15</v>
      </c>
      <c r="AC8" t="s">
        <v>22</v>
      </c>
    </row>
    <row r="9" spans="1:32" x14ac:dyDescent="0.25">
      <c r="A9" s="1">
        <v>43070</v>
      </c>
      <c r="B9" s="2">
        <v>3.403683</v>
      </c>
      <c r="C9" s="2">
        <v>75.397557000000006</v>
      </c>
      <c r="D9" s="2">
        <v>79.236205999999996</v>
      </c>
      <c r="E9" s="2">
        <v>707.75694099999998</v>
      </c>
      <c r="F9" s="2">
        <v>490336.41195899999</v>
      </c>
      <c r="H9" s="1">
        <v>43070</v>
      </c>
      <c r="I9" s="2">
        <v>3.403683</v>
      </c>
      <c r="J9" s="2">
        <v>67.126526999999996</v>
      </c>
      <c r="K9" s="2">
        <v>79.272397999999995</v>
      </c>
      <c r="L9" s="2">
        <v>707.73892799999999</v>
      </c>
      <c r="M9" s="2">
        <v>490581.01381899999</v>
      </c>
      <c r="O9" s="1">
        <v>43070</v>
      </c>
      <c r="P9" s="2">
        <f t="shared" si="0"/>
        <v>0</v>
      </c>
      <c r="Q9" s="2">
        <f t="shared" si="1"/>
        <v>8.2710300000000103</v>
      </c>
      <c r="R9" s="2">
        <f t="shared" si="2"/>
        <v>-3.619199999999978E-2</v>
      </c>
      <c r="S9" s="2">
        <f t="shared" si="3"/>
        <v>1.8012999999996282E-2</v>
      </c>
      <c r="T9" s="2">
        <f t="shared" si="4"/>
        <v>-244.60185999999521</v>
      </c>
      <c r="V9" s="1">
        <v>42917</v>
      </c>
      <c r="W9">
        <v>175</v>
      </c>
      <c r="X9">
        <v>32</v>
      </c>
      <c r="Y9" s="2">
        <v>94.5833333333333</v>
      </c>
      <c r="Z9">
        <v>99.15</v>
      </c>
      <c r="AA9">
        <v>1.4446663658293599</v>
      </c>
      <c r="AC9">
        <v>3.8799999999999901</v>
      </c>
      <c r="AD9" t="s">
        <v>20</v>
      </c>
      <c r="AE9">
        <f>AC9*100+Z9-(AA10*100+W9/4+X9)</f>
        <v>74.143399780700065</v>
      </c>
      <c r="AF9">
        <f>AC9*100+Z9-(AA10*100+Y9)</f>
        <v>55.310066447366751</v>
      </c>
    </row>
    <row r="10" spans="1:32" x14ac:dyDescent="0.25">
      <c r="A10" s="1">
        <v>43101</v>
      </c>
      <c r="B10" s="2">
        <v>3.403683</v>
      </c>
      <c r="C10" s="2">
        <v>75.359503000000004</v>
      </c>
      <c r="D10" s="2">
        <v>78.904302000000001</v>
      </c>
      <c r="E10" s="2">
        <v>707.80609500000003</v>
      </c>
      <c r="F10" s="2">
        <v>489514.21622900001</v>
      </c>
      <c r="H10" s="1">
        <v>43101</v>
      </c>
      <c r="I10" s="2">
        <v>3.403683</v>
      </c>
      <c r="J10" s="2">
        <v>67.068979999999996</v>
      </c>
      <c r="K10" s="2">
        <v>78.941451000000001</v>
      </c>
      <c r="L10" s="2">
        <v>707.79932399999996</v>
      </c>
      <c r="M10" s="2">
        <v>489764.18627800001</v>
      </c>
      <c r="O10" s="1">
        <v>43101</v>
      </c>
      <c r="P10" s="2">
        <f t="shared" si="0"/>
        <v>0</v>
      </c>
      <c r="Q10" s="2">
        <f t="shared" si="1"/>
        <v>8.2905230000000074</v>
      </c>
      <c r="R10" s="2">
        <f t="shared" si="2"/>
        <v>-3.7148999999999432E-2</v>
      </c>
      <c r="S10" s="2">
        <f t="shared" si="3"/>
        <v>6.7710000000715809E-3</v>
      </c>
      <c r="T10" s="2">
        <f t="shared" si="4"/>
        <v>-249.97004899999592</v>
      </c>
      <c r="W10">
        <v>189.75</v>
      </c>
      <c r="X10">
        <v>33.19</v>
      </c>
      <c r="Y10">
        <v>95.23</v>
      </c>
      <c r="Z10">
        <v>99.15</v>
      </c>
      <c r="AA10">
        <v>3.3725660021929902</v>
      </c>
      <c r="AB10">
        <v>3.77</v>
      </c>
      <c r="AC10">
        <v>3.88</v>
      </c>
      <c r="AD10" t="s">
        <v>21</v>
      </c>
      <c r="AE10">
        <f>AA10-AB10</f>
        <v>-0.39743399780700983</v>
      </c>
    </row>
    <row r="11" spans="1:32" x14ac:dyDescent="0.25">
      <c r="A11" s="1">
        <v>43132</v>
      </c>
      <c r="B11" s="2">
        <v>3.403683</v>
      </c>
      <c r="C11" s="2">
        <v>75.325408999999993</v>
      </c>
      <c r="D11" s="2">
        <v>78.573016999999993</v>
      </c>
      <c r="E11" s="2">
        <v>707.85013500000002</v>
      </c>
      <c r="F11" s="2">
        <v>488687.45247999998</v>
      </c>
      <c r="H11" s="1">
        <v>43132</v>
      </c>
      <c r="I11" s="2">
        <v>3.403683</v>
      </c>
      <c r="J11" s="2">
        <v>67.017633000000004</v>
      </c>
      <c r="K11" s="2">
        <v>78.610990999999999</v>
      </c>
      <c r="L11" s="2">
        <v>707.85321299999998</v>
      </c>
      <c r="M11" s="2">
        <v>488942.08237999998</v>
      </c>
      <c r="O11" s="1">
        <v>43132</v>
      </c>
      <c r="P11" s="2">
        <f t="shared" si="0"/>
        <v>0</v>
      </c>
      <c r="Q11" s="2">
        <f t="shared" si="1"/>
        <v>8.3077759999999898</v>
      </c>
      <c r="R11" s="2">
        <f t="shared" si="2"/>
        <v>-3.7974000000005503E-2</v>
      </c>
      <c r="S11" s="2">
        <f t="shared" si="3"/>
        <v>-3.077999999959502E-3</v>
      </c>
      <c r="T11" s="2">
        <f t="shared" si="4"/>
        <v>-254.62989999999991</v>
      </c>
      <c r="W11" s="4">
        <f>W9-W10</f>
        <v>-14.75</v>
      </c>
      <c r="X11" s="4">
        <f t="shared" ref="X11:Z11" si="5">X9-X10</f>
        <v>-1.1899999999999977</v>
      </c>
      <c r="Y11" s="4">
        <f t="shared" si="5"/>
        <v>-0.6466666666667038</v>
      </c>
      <c r="Z11" s="4">
        <f t="shared" si="5"/>
        <v>0</v>
      </c>
      <c r="AD11" t="s">
        <v>9</v>
      </c>
    </row>
    <row r="12" spans="1:32" x14ac:dyDescent="0.25">
      <c r="A12" s="1">
        <v>43160</v>
      </c>
      <c r="B12" s="2">
        <v>3.403683</v>
      </c>
      <c r="C12" s="2">
        <v>75.289175999999998</v>
      </c>
      <c r="D12" s="2">
        <v>78.242507000000003</v>
      </c>
      <c r="E12" s="2">
        <v>707.89693599999998</v>
      </c>
      <c r="F12" s="2">
        <v>487858.86563000001</v>
      </c>
      <c r="H12" s="1">
        <v>43160</v>
      </c>
      <c r="I12" s="2">
        <v>3.403683</v>
      </c>
      <c r="J12" s="2">
        <v>66.962686000000005</v>
      </c>
      <c r="K12" s="2">
        <v>78.281372000000005</v>
      </c>
      <c r="L12" s="2">
        <v>707.91088200000002</v>
      </c>
      <c r="M12" s="2">
        <v>488118.59727500001</v>
      </c>
      <c r="O12" s="1">
        <v>43160</v>
      </c>
      <c r="P12" s="2">
        <f t="shared" si="0"/>
        <v>0</v>
      </c>
      <c r="Q12" s="2">
        <f t="shared" si="1"/>
        <v>8.3264899999999926</v>
      </c>
      <c r="R12" s="2">
        <f t="shared" si="2"/>
        <v>-3.886500000000126E-2</v>
      </c>
      <c r="S12" s="2">
        <f t="shared" si="3"/>
        <v>-1.3946000000032654E-2</v>
      </c>
      <c r="T12" s="2">
        <f t="shared" si="4"/>
        <v>-259.73164499999257</v>
      </c>
    </row>
    <row r="13" spans="1:32" x14ac:dyDescent="0.25">
      <c r="A13" s="1">
        <v>43191</v>
      </c>
      <c r="B13" s="2">
        <v>3.403683</v>
      </c>
      <c r="C13" s="2">
        <v>75.251020999999994</v>
      </c>
      <c r="D13" s="2">
        <v>77.912764999999993</v>
      </c>
      <c r="E13" s="2">
        <v>707.94622200000003</v>
      </c>
      <c r="F13" s="2">
        <v>487028.342802</v>
      </c>
      <c r="H13" s="1">
        <v>43191</v>
      </c>
      <c r="I13" s="2">
        <v>3.403683</v>
      </c>
      <c r="J13" s="2">
        <v>66.904353999999998</v>
      </c>
      <c r="K13" s="2">
        <v>77.952583000000004</v>
      </c>
      <c r="L13" s="2">
        <v>707.97210099999995</v>
      </c>
      <c r="M13" s="2">
        <v>487293.62520100002</v>
      </c>
      <c r="O13" s="1">
        <v>43191</v>
      </c>
      <c r="P13" s="2">
        <f t="shared" si="0"/>
        <v>0</v>
      </c>
      <c r="Q13" s="2">
        <f t="shared" si="1"/>
        <v>8.3466669999999965</v>
      </c>
      <c r="R13" s="2">
        <f t="shared" si="2"/>
        <v>-3.9818000000011011E-2</v>
      </c>
      <c r="S13" s="2">
        <f t="shared" si="3"/>
        <v>-2.5878999999918051E-2</v>
      </c>
      <c r="T13" s="2">
        <f t="shared" si="4"/>
        <v>-265.2823990000179</v>
      </c>
      <c r="V13" s="1">
        <v>42887</v>
      </c>
      <c r="W13">
        <v>175</v>
      </c>
      <c r="X13">
        <v>32</v>
      </c>
      <c r="Y13" s="2">
        <v>94.5833333333333</v>
      </c>
      <c r="Z13">
        <v>99.12</v>
      </c>
      <c r="AA13">
        <v>3.4984047824745899</v>
      </c>
      <c r="AC13">
        <v>3.88</v>
      </c>
      <c r="AD13" t="s">
        <v>20</v>
      </c>
      <c r="AE13">
        <f>AC13*100+Z13-(AA14*100+W13/4+X13)</f>
        <v>61.529521752540006</v>
      </c>
      <c r="AF13">
        <f>AC13*100+Z13-(AA13*100+Y13)</f>
        <v>42.696188419207715</v>
      </c>
    </row>
    <row r="14" spans="1:32" x14ac:dyDescent="0.25">
      <c r="A14" s="1">
        <v>43221</v>
      </c>
      <c r="B14" s="2">
        <v>3.403683</v>
      </c>
      <c r="C14" s="2">
        <v>75.216796000000002</v>
      </c>
      <c r="D14" s="2">
        <v>77.583637999999993</v>
      </c>
      <c r="E14" s="2">
        <v>707.99042999999995</v>
      </c>
      <c r="F14" s="2">
        <v>486193.25099199999</v>
      </c>
      <c r="H14" s="1">
        <v>43221</v>
      </c>
      <c r="I14" s="2">
        <v>3.403683</v>
      </c>
      <c r="J14" s="2">
        <v>66.852085000000002</v>
      </c>
      <c r="K14" s="2">
        <v>77.624283000000005</v>
      </c>
      <c r="L14" s="2">
        <v>708.02695800000004</v>
      </c>
      <c r="M14" s="2">
        <v>486463.42106199998</v>
      </c>
      <c r="O14" s="1">
        <v>43221</v>
      </c>
      <c r="P14" s="2">
        <f t="shared" si="0"/>
        <v>0</v>
      </c>
      <c r="Q14" s="2">
        <f t="shared" si="1"/>
        <v>8.3647109999999998</v>
      </c>
      <c r="R14" s="2">
        <f t="shared" si="2"/>
        <v>-4.0645000000012033E-2</v>
      </c>
      <c r="S14" s="2">
        <f t="shared" si="3"/>
        <v>-3.6528000000089378E-2</v>
      </c>
      <c r="T14" s="2">
        <f t="shared" si="4"/>
        <v>-270.17006999999285</v>
      </c>
      <c r="W14">
        <v>189.06</v>
      </c>
      <c r="X14">
        <v>33.42</v>
      </c>
      <c r="Y14">
        <v>95.21</v>
      </c>
      <c r="Z14">
        <v>99.12</v>
      </c>
      <c r="AA14">
        <v>3.4984047824746001</v>
      </c>
      <c r="AB14">
        <v>3.871</v>
      </c>
      <c r="AC14">
        <v>3.88</v>
      </c>
      <c r="AD14" t="s">
        <v>21</v>
      </c>
      <c r="AE14">
        <f>AA14-AB14</f>
        <v>-0.37259521752539992</v>
      </c>
    </row>
    <row r="15" spans="1:32" x14ac:dyDescent="0.25">
      <c r="A15" s="1">
        <v>43252</v>
      </c>
      <c r="B15" s="2">
        <v>3.403683</v>
      </c>
      <c r="C15" s="2">
        <v>75.183809999999994</v>
      </c>
      <c r="D15" s="2">
        <v>77.255195000000001</v>
      </c>
      <c r="E15" s="2">
        <v>708.03303800000003</v>
      </c>
      <c r="F15" s="2">
        <v>485354.79509700002</v>
      </c>
      <c r="H15" s="1">
        <v>43252</v>
      </c>
      <c r="I15" s="2">
        <v>3.403683</v>
      </c>
      <c r="J15" s="2">
        <v>66.801428999999999</v>
      </c>
      <c r="K15" s="2">
        <v>77.296632000000002</v>
      </c>
      <c r="L15" s="2">
        <v>708.08012199999996</v>
      </c>
      <c r="M15" s="2">
        <v>485629.74407299998</v>
      </c>
      <c r="O15" s="1">
        <v>43252</v>
      </c>
      <c r="P15" s="2">
        <f t="shared" si="0"/>
        <v>0</v>
      </c>
      <c r="Q15" s="2">
        <f t="shared" si="1"/>
        <v>8.3823809999999952</v>
      </c>
      <c r="R15" s="2">
        <f t="shared" si="2"/>
        <v>-4.1437000000001944E-2</v>
      </c>
      <c r="S15" s="2">
        <f t="shared" si="3"/>
        <v>-4.7083999999927073E-2</v>
      </c>
      <c r="T15" s="2">
        <f t="shared" si="4"/>
        <v>-274.94897599995602</v>
      </c>
      <c r="W15" s="4">
        <f>W13-W14</f>
        <v>-14.060000000000002</v>
      </c>
      <c r="X15" s="4">
        <f t="shared" ref="X15" si="6">X13-X14</f>
        <v>-1.4200000000000017</v>
      </c>
      <c r="Y15" s="4">
        <f t="shared" ref="Y15" si="7">Y13-Y14</f>
        <v>-0.62666666666669357</v>
      </c>
      <c r="Z15" s="4">
        <f t="shared" ref="Z15" si="8">Z13-Z14</f>
        <v>0</v>
      </c>
      <c r="AD15" t="s">
        <v>9</v>
      </c>
    </row>
    <row r="16" spans="1:32" x14ac:dyDescent="0.25">
      <c r="A16" s="1">
        <v>43282</v>
      </c>
      <c r="B16" s="2">
        <v>3.403683</v>
      </c>
      <c r="C16" s="2">
        <v>75.152088000000006</v>
      </c>
      <c r="D16" s="2">
        <v>76.927434000000005</v>
      </c>
      <c r="E16" s="2">
        <v>708.07401400000003</v>
      </c>
      <c r="F16" s="2">
        <v>484512.95967800001</v>
      </c>
      <c r="H16" s="1">
        <v>43282</v>
      </c>
      <c r="I16" s="2">
        <v>3.403683</v>
      </c>
      <c r="J16" s="2">
        <v>66.752390000000005</v>
      </c>
      <c r="K16" s="2">
        <v>76.969628999999998</v>
      </c>
      <c r="L16" s="2">
        <v>708.13158999999996</v>
      </c>
      <c r="M16" s="2">
        <v>484792.588606</v>
      </c>
      <c r="O16" s="1">
        <v>43282</v>
      </c>
      <c r="P16" s="2">
        <f t="shared" si="0"/>
        <v>0</v>
      </c>
      <c r="Q16" s="2">
        <f t="shared" si="1"/>
        <v>8.3996980000000008</v>
      </c>
      <c r="R16" s="2">
        <f t="shared" si="2"/>
        <v>-4.2194999999992433E-2</v>
      </c>
      <c r="S16" s="2">
        <f t="shared" si="3"/>
        <v>-5.7575999999926353E-2</v>
      </c>
      <c r="T16" s="2">
        <f t="shared" si="4"/>
        <v>-279.62892799999099</v>
      </c>
    </row>
    <row r="17" spans="1:20" x14ac:dyDescent="0.25">
      <c r="A17" s="1">
        <v>43313</v>
      </c>
      <c r="B17" s="2">
        <v>3.403683</v>
      </c>
      <c r="C17" s="2">
        <v>75.121735000000001</v>
      </c>
      <c r="D17" s="2">
        <v>76.600351000000003</v>
      </c>
      <c r="E17" s="2">
        <v>708.11321999999996</v>
      </c>
      <c r="F17" s="2">
        <v>483667.69261199998</v>
      </c>
      <c r="H17" s="1">
        <v>43313</v>
      </c>
      <c r="I17" s="2">
        <v>3.403683</v>
      </c>
      <c r="J17" s="2">
        <v>66.705099000000004</v>
      </c>
      <c r="K17" s="2">
        <v>76.643269000000004</v>
      </c>
      <c r="L17" s="2">
        <v>708.18122200000005</v>
      </c>
      <c r="M17" s="2">
        <v>483951.89874799998</v>
      </c>
      <c r="O17" s="1">
        <v>43313</v>
      </c>
      <c r="P17" s="2">
        <f t="shared" si="0"/>
        <v>0</v>
      </c>
      <c r="Q17" s="2">
        <f t="shared" si="1"/>
        <v>8.4166359999999969</v>
      </c>
      <c r="R17" s="2">
        <f t="shared" si="2"/>
        <v>-4.2918000000000234E-2</v>
      </c>
      <c r="S17" s="2">
        <f t="shared" si="3"/>
        <v>-6.8002000000092266E-2</v>
      </c>
      <c r="T17" s="2">
        <f t="shared" si="4"/>
        <v>-284.20613599999342</v>
      </c>
    </row>
    <row r="18" spans="1:20" x14ac:dyDescent="0.25">
      <c r="A18" s="1">
        <v>43344</v>
      </c>
      <c r="B18" s="2">
        <v>3.403683</v>
      </c>
      <c r="C18" s="2">
        <v>75.092657000000003</v>
      </c>
      <c r="D18" s="2">
        <v>76.273948000000004</v>
      </c>
      <c r="E18" s="2">
        <v>708.15078000000005</v>
      </c>
      <c r="F18" s="2">
        <v>482819.03169500001</v>
      </c>
      <c r="H18" s="1">
        <v>43344</v>
      </c>
      <c r="I18" s="2">
        <v>3.403683</v>
      </c>
      <c r="J18" s="2">
        <v>66.659458999999998</v>
      </c>
      <c r="K18" s="2">
        <v>76.317553000000004</v>
      </c>
      <c r="L18" s="2">
        <v>708.22912099999996</v>
      </c>
      <c r="M18" s="2">
        <v>483107.70875400002</v>
      </c>
      <c r="O18" s="1">
        <v>43344</v>
      </c>
      <c r="P18" s="2">
        <f t="shared" si="0"/>
        <v>0</v>
      </c>
      <c r="Q18" s="2">
        <f t="shared" si="1"/>
        <v>8.4331980000000044</v>
      </c>
      <c r="R18" s="2">
        <f t="shared" si="2"/>
        <v>-4.360499999999945E-2</v>
      </c>
      <c r="S18" s="2">
        <f t="shared" si="3"/>
        <v>-7.83409999999094E-2</v>
      </c>
      <c r="T18" s="2">
        <f t="shared" si="4"/>
        <v>-288.67705900000874</v>
      </c>
    </row>
    <row r="19" spans="1:20" x14ac:dyDescent="0.25">
      <c r="A19" s="1">
        <v>43374</v>
      </c>
      <c r="B19" s="2">
        <v>3.403683</v>
      </c>
      <c r="C19" s="2">
        <v>75.064995999999994</v>
      </c>
      <c r="D19" s="2">
        <v>75.948218999999995</v>
      </c>
      <c r="E19" s="2">
        <v>708.18651</v>
      </c>
      <c r="F19" s="2">
        <v>481966.90947399999</v>
      </c>
      <c r="H19" s="1">
        <v>43374</v>
      </c>
      <c r="I19" s="2">
        <v>3.403683</v>
      </c>
      <c r="J19" s="2">
        <v>66.615712000000002</v>
      </c>
      <c r="K19" s="2">
        <v>75.992474000000001</v>
      </c>
      <c r="L19" s="2">
        <v>708.275035</v>
      </c>
      <c r="M19" s="2">
        <v>482259.92021100002</v>
      </c>
      <c r="O19" s="1">
        <v>43374</v>
      </c>
      <c r="P19" s="2">
        <f t="shared" si="0"/>
        <v>0</v>
      </c>
      <c r="Q19" s="2">
        <f t="shared" si="1"/>
        <v>8.4492839999999916</v>
      </c>
      <c r="R19" s="2">
        <f t="shared" si="2"/>
        <v>-4.4255000000006817E-2</v>
      </c>
      <c r="S19" s="2">
        <f t="shared" si="3"/>
        <v>-8.8525000000004184E-2</v>
      </c>
      <c r="T19" s="2">
        <f t="shared" si="4"/>
        <v>-293.01073700003326</v>
      </c>
    </row>
    <row r="20" spans="1:20" x14ac:dyDescent="0.25">
      <c r="A20" s="1">
        <v>43405</v>
      </c>
      <c r="B20" s="2">
        <v>3.403683</v>
      </c>
      <c r="C20" s="2">
        <v>75.038594000000003</v>
      </c>
      <c r="D20" s="2">
        <v>75.623166999999995</v>
      </c>
      <c r="E20" s="2">
        <v>708.22061299999996</v>
      </c>
      <c r="F20" s="2">
        <v>481111.39130000002</v>
      </c>
      <c r="H20" s="1">
        <v>43405</v>
      </c>
      <c r="I20" s="2">
        <v>3.403683</v>
      </c>
      <c r="J20" s="2">
        <v>66.573663999999994</v>
      </c>
      <c r="K20" s="2">
        <v>75.668036000000001</v>
      </c>
      <c r="L20" s="2">
        <v>708.319164</v>
      </c>
      <c r="M20" s="2">
        <v>481408.60422099999</v>
      </c>
      <c r="O20" s="1">
        <v>43405</v>
      </c>
      <c r="P20" s="2">
        <f t="shared" si="0"/>
        <v>0</v>
      </c>
      <c r="Q20" s="2">
        <f t="shared" si="1"/>
        <v>8.4649300000000096</v>
      </c>
      <c r="R20" s="2">
        <f t="shared" si="2"/>
        <v>-4.4869000000005599E-2</v>
      </c>
      <c r="S20" s="2">
        <f t="shared" si="3"/>
        <v>-9.8551000000043132E-2</v>
      </c>
      <c r="T20" s="2">
        <f t="shared" si="4"/>
        <v>-297.21292099996936</v>
      </c>
    </row>
    <row r="21" spans="1:20" x14ac:dyDescent="0.25">
      <c r="A21" s="1">
        <v>43435</v>
      </c>
      <c r="B21" s="2">
        <v>3.403683</v>
      </c>
      <c r="C21" s="2">
        <v>75.013476999999995</v>
      </c>
      <c r="D21" s="2">
        <v>75.298790999999994</v>
      </c>
      <c r="E21" s="2">
        <v>708.25305700000001</v>
      </c>
      <c r="F21" s="2">
        <v>480252.46076400002</v>
      </c>
      <c r="H21" s="1">
        <v>43435</v>
      </c>
      <c r="I21" s="2">
        <v>3.403683</v>
      </c>
      <c r="J21" s="2">
        <v>73.337581</v>
      </c>
      <c r="K21" s="2">
        <v>75.344238000000004</v>
      </c>
      <c r="L21" s="2">
        <v>708.36145699999997</v>
      </c>
      <c r="M21" s="2">
        <v>480553.73774100002</v>
      </c>
      <c r="O21" s="1">
        <v>43435</v>
      </c>
      <c r="P21" s="2">
        <f t="shared" si="0"/>
        <v>0</v>
      </c>
      <c r="Q21" s="2">
        <f t="shared" si="1"/>
        <v>1.6758959999999945</v>
      </c>
      <c r="R21" s="2">
        <f t="shared" si="2"/>
        <v>-4.5447000000010007E-2</v>
      </c>
      <c r="S21" s="2">
        <f t="shared" si="3"/>
        <v>-0.10839999999996053</v>
      </c>
      <c r="T21" s="2">
        <f t="shared" si="4"/>
        <v>-301.27697700000135</v>
      </c>
    </row>
    <row r="22" spans="1:20" x14ac:dyDescent="0.25">
      <c r="A22" s="1">
        <v>43466</v>
      </c>
      <c r="B22" s="2">
        <v>3.403683</v>
      </c>
      <c r="C22" s="2">
        <v>81.823453000000001</v>
      </c>
      <c r="D22" s="2">
        <v>74.975092000000004</v>
      </c>
      <c r="E22" s="2">
        <v>708.28396299999997</v>
      </c>
      <c r="F22" s="2">
        <v>479390.15495499998</v>
      </c>
      <c r="H22" s="1">
        <v>43466</v>
      </c>
      <c r="I22" s="2">
        <v>3.403683</v>
      </c>
      <c r="J22" s="2">
        <v>73.262274000000005</v>
      </c>
      <c r="K22" s="2">
        <v>75.021587999999994</v>
      </c>
      <c r="L22" s="2">
        <v>708.41762300000005</v>
      </c>
      <c r="M22" s="2">
        <v>479701.10292199999</v>
      </c>
      <c r="O22" s="1">
        <v>43466</v>
      </c>
      <c r="P22" s="2">
        <f t="shared" si="0"/>
        <v>0</v>
      </c>
      <c r="Q22" s="2">
        <f t="shared" si="1"/>
        <v>8.5611789999999957</v>
      </c>
      <c r="R22" s="2">
        <f t="shared" si="2"/>
        <v>-4.6495999999990545E-2</v>
      </c>
      <c r="S22" s="2">
        <f t="shared" si="3"/>
        <v>-0.13366000000007716</v>
      </c>
      <c r="T22" s="2">
        <f t="shared" si="4"/>
        <v>-310.94796700001461</v>
      </c>
    </row>
    <row r="23" spans="1:20" x14ac:dyDescent="0.25">
      <c r="A23" s="1">
        <v>43497</v>
      </c>
      <c r="B23" s="2">
        <v>3.403683</v>
      </c>
      <c r="C23" s="2">
        <v>84.617687000000004</v>
      </c>
      <c r="D23" s="2">
        <v>74.652270000000001</v>
      </c>
      <c r="E23" s="2">
        <v>708.32424400000002</v>
      </c>
      <c r="F23" s="2">
        <v>478528.15899299999</v>
      </c>
      <c r="H23" s="1">
        <v>43497</v>
      </c>
      <c r="I23" s="2">
        <v>3.403683</v>
      </c>
      <c r="J23" s="2">
        <v>73.196674999999999</v>
      </c>
      <c r="K23" s="2">
        <v>74.699394999999996</v>
      </c>
      <c r="L23" s="2">
        <v>708.46654899999999</v>
      </c>
      <c r="M23" s="2">
        <v>478842.89404799999</v>
      </c>
      <c r="O23" s="1">
        <v>43497</v>
      </c>
      <c r="P23" s="2">
        <f t="shared" si="0"/>
        <v>0</v>
      </c>
      <c r="Q23" s="2">
        <f t="shared" si="1"/>
        <v>11.421012000000005</v>
      </c>
      <c r="R23" s="2">
        <f t="shared" si="2"/>
        <v>-4.7124999999994088E-2</v>
      </c>
      <c r="S23" s="2">
        <f t="shared" si="3"/>
        <v>-0.14230499999996482</v>
      </c>
      <c r="T23" s="2">
        <f t="shared" si="4"/>
        <v>-314.73505499999737</v>
      </c>
    </row>
    <row r="24" spans="1:20" x14ac:dyDescent="0.25">
      <c r="A24" s="1">
        <v>43525</v>
      </c>
      <c r="B24" s="2">
        <v>3.403683</v>
      </c>
      <c r="C24" s="2">
        <v>84.587923000000004</v>
      </c>
      <c r="D24" s="2">
        <v>74.329975000000005</v>
      </c>
      <c r="E24" s="2">
        <v>708.35513000000003</v>
      </c>
      <c r="F24" s="2">
        <v>477660.107999</v>
      </c>
      <c r="H24" s="1">
        <v>43525</v>
      </c>
      <c r="I24" s="2">
        <v>3.403683</v>
      </c>
      <c r="J24" s="2">
        <v>76.006349</v>
      </c>
      <c r="K24" s="2">
        <v>74.377964000000006</v>
      </c>
      <c r="L24" s="2">
        <v>708.517651</v>
      </c>
      <c r="M24" s="2">
        <v>477982.57339099998</v>
      </c>
      <c r="O24" s="1">
        <v>43525</v>
      </c>
      <c r="P24" s="2">
        <f t="shared" si="0"/>
        <v>0</v>
      </c>
      <c r="Q24" s="2">
        <f t="shared" si="1"/>
        <v>8.5815740000000034</v>
      </c>
      <c r="R24" s="2">
        <f t="shared" si="2"/>
        <v>-4.798900000000117E-2</v>
      </c>
      <c r="S24" s="2">
        <f t="shared" si="3"/>
        <v>-0.16252099999996972</v>
      </c>
      <c r="T24" s="2">
        <f t="shared" si="4"/>
        <v>-322.46539199998369</v>
      </c>
    </row>
    <row r="25" spans="1:20" x14ac:dyDescent="0.25">
      <c r="A25" s="1">
        <v>43556</v>
      </c>
      <c r="B25" s="2">
        <v>3.403683</v>
      </c>
      <c r="C25" s="2">
        <v>84.557745999999995</v>
      </c>
      <c r="D25" s="2">
        <v>74.008386999999999</v>
      </c>
      <c r="E25" s="2">
        <v>708.38644699999998</v>
      </c>
      <c r="F25" s="2">
        <v>476789.32292100001</v>
      </c>
      <c r="H25" s="1">
        <v>43556</v>
      </c>
      <c r="I25" s="2">
        <v>3.403683</v>
      </c>
      <c r="J25" s="2">
        <v>75.958883999999998</v>
      </c>
      <c r="K25" s="2">
        <v>74.056914000000006</v>
      </c>
      <c r="L25" s="2">
        <v>708.55904099999998</v>
      </c>
      <c r="M25" s="2">
        <v>477115.77982499998</v>
      </c>
      <c r="O25" s="1">
        <v>43556</v>
      </c>
      <c r="P25" s="2">
        <f t="shared" si="0"/>
        <v>0</v>
      </c>
      <c r="Q25" s="2">
        <f t="shared" si="1"/>
        <v>8.5988619999999969</v>
      </c>
      <c r="R25" s="2">
        <f t="shared" si="2"/>
        <v>-4.8527000000007092E-2</v>
      </c>
      <c r="S25" s="2">
        <f t="shared" si="3"/>
        <v>-0.17259400000000369</v>
      </c>
      <c r="T25" s="2">
        <f t="shared" si="4"/>
        <v>-326.45690399996238</v>
      </c>
    </row>
    <row r="26" spans="1:20" x14ac:dyDescent="0.25">
      <c r="A26" s="1">
        <v>43586</v>
      </c>
      <c r="B26" s="2">
        <v>3.403683</v>
      </c>
      <c r="C26" s="2">
        <v>84.531176000000002</v>
      </c>
      <c r="D26" s="2">
        <v>73.687431000000004</v>
      </c>
      <c r="E26" s="2">
        <v>708.41401900000005</v>
      </c>
      <c r="F26" s="2">
        <v>475914.392582</v>
      </c>
      <c r="H26" s="1">
        <v>43586</v>
      </c>
      <c r="I26" s="2">
        <v>3.403683</v>
      </c>
      <c r="J26" s="2">
        <v>75.917187999999996</v>
      </c>
      <c r="K26" s="2">
        <v>73.736395000000002</v>
      </c>
      <c r="L26" s="2">
        <v>708.59539900000004</v>
      </c>
      <c r="M26" s="2">
        <v>476244.238916</v>
      </c>
      <c r="O26" s="1">
        <v>43586</v>
      </c>
      <c r="P26" s="2">
        <f t="shared" si="0"/>
        <v>0</v>
      </c>
      <c r="Q26" s="2">
        <f t="shared" si="1"/>
        <v>8.6139880000000062</v>
      </c>
      <c r="R26" s="2">
        <f t="shared" si="2"/>
        <v>-4.8963999999998009E-2</v>
      </c>
      <c r="S26" s="2">
        <f t="shared" si="3"/>
        <v>-0.1813799999999901</v>
      </c>
      <c r="T26" s="2">
        <f t="shared" si="4"/>
        <v>-329.84633400000166</v>
      </c>
    </row>
    <row r="27" spans="1:20" x14ac:dyDescent="0.25">
      <c r="A27" s="1">
        <v>43617</v>
      </c>
      <c r="B27" s="2">
        <v>3.403683</v>
      </c>
      <c r="C27" s="2">
        <v>84.506106000000003</v>
      </c>
      <c r="D27" s="2">
        <v>73.367142999999999</v>
      </c>
      <c r="E27" s="2">
        <v>708.44003599999996</v>
      </c>
      <c r="F27" s="2">
        <v>475036.05042500002</v>
      </c>
      <c r="O27" s="1"/>
    </row>
    <row r="28" spans="1:20" x14ac:dyDescent="0.25">
      <c r="O28" s="1"/>
    </row>
    <row r="29" spans="1:20" x14ac:dyDescent="0.25">
      <c r="O29" s="1"/>
    </row>
    <row r="30" spans="1:20" x14ac:dyDescent="0.25">
      <c r="O30" s="1"/>
    </row>
    <row r="31" spans="1:20" x14ac:dyDescent="0.25">
      <c r="O31" s="1"/>
    </row>
    <row r="32" spans="1:20" x14ac:dyDescent="0.25">
      <c r="O32" s="1"/>
    </row>
    <row r="33" spans="15:15" x14ac:dyDescent="0.25">
      <c r="O33" s="1"/>
    </row>
    <row r="34" spans="15:15" x14ac:dyDescent="0.25">
      <c r="O34" s="1"/>
    </row>
    <row r="35" spans="15:15" x14ac:dyDescent="0.25">
      <c r="O35" s="1"/>
    </row>
    <row r="36" spans="15:15" x14ac:dyDescent="0.25">
      <c r="O36" s="1"/>
    </row>
    <row r="37" spans="15:15" x14ac:dyDescent="0.25">
      <c r="O37" s="1"/>
    </row>
    <row r="38" spans="15:15" x14ac:dyDescent="0.25">
      <c r="O38" s="1"/>
    </row>
    <row r="39" spans="15:15" x14ac:dyDescent="0.25">
      <c r="O39" s="1"/>
    </row>
    <row r="40" spans="15:15" x14ac:dyDescent="0.25">
      <c r="O40" s="1"/>
    </row>
    <row r="41" spans="15:15" x14ac:dyDescent="0.25">
      <c r="O41" s="1"/>
    </row>
    <row r="42" spans="15:15" x14ac:dyDescent="0.25">
      <c r="O42" s="1"/>
    </row>
    <row r="43" spans="15:15" x14ac:dyDescent="0.25">
      <c r="O43" s="1"/>
    </row>
    <row r="44" spans="15:15" x14ac:dyDescent="0.25">
      <c r="O44" s="1"/>
    </row>
    <row r="45" spans="15:15" x14ac:dyDescent="0.25">
      <c r="O45" s="1"/>
    </row>
    <row r="46" spans="15:15" x14ac:dyDescent="0.25">
      <c r="O46" s="1"/>
    </row>
    <row r="47" spans="15:15" x14ac:dyDescent="0.25">
      <c r="O47" s="1"/>
    </row>
    <row r="48" spans="15:15" x14ac:dyDescent="0.25">
      <c r="O48" s="1"/>
    </row>
    <row r="49" spans="15:15" x14ac:dyDescent="0.25">
      <c r="O49" s="1"/>
    </row>
    <row r="50" spans="15:15" x14ac:dyDescent="0.25">
      <c r="O50" s="1"/>
    </row>
    <row r="51" spans="15:15" x14ac:dyDescent="0.25">
      <c r="O51" s="1"/>
    </row>
    <row r="52" spans="15:15" x14ac:dyDescent="0.25">
      <c r="O52" s="1"/>
    </row>
    <row r="53" spans="15:15" x14ac:dyDescent="0.25">
      <c r="O53" s="1"/>
    </row>
    <row r="54" spans="15:15" x14ac:dyDescent="0.25">
      <c r="O54" s="1"/>
    </row>
    <row r="55" spans="15:15" x14ac:dyDescent="0.25">
      <c r="O55" s="1"/>
    </row>
    <row r="56" spans="15:15" x14ac:dyDescent="0.25">
      <c r="O56" s="1"/>
    </row>
    <row r="57" spans="15:15" x14ac:dyDescent="0.25">
      <c r="O57" s="1"/>
    </row>
    <row r="58" spans="15:15" x14ac:dyDescent="0.25">
      <c r="O58" s="1"/>
    </row>
    <row r="59" spans="15:15" x14ac:dyDescent="0.25">
      <c r="O59" s="1"/>
    </row>
    <row r="60" spans="15:15" x14ac:dyDescent="0.25">
      <c r="O60" s="1"/>
    </row>
    <row r="61" spans="15:15" x14ac:dyDescent="0.25">
      <c r="O61" s="1"/>
    </row>
    <row r="62" spans="15:15" x14ac:dyDescent="0.25">
      <c r="O6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"/>
  <sheetViews>
    <sheetView workbookViewId="0">
      <selection activeCell="B1" sqref="B1"/>
    </sheetView>
  </sheetViews>
  <sheetFormatPr defaultRowHeight="15" x14ac:dyDescent="0.25"/>
  <cols>
    <col min="1" max="1" width="9.7109375" style="1" bestFit="1" customWidth="1"/>
    <col min="2" max="4" width="9.28515625" bestFit="1" customWidth="1"/>
    <col min="5" max="5" width="9.5703125" bestFit="1" customWidth="1"/>
    <col min="6" max="6" width="9.7109375" style="1" bestFit="1" customWidth="1"/>
    <col min="11" max="11" width="13.5703125" bestFit="1" customWidth="1"/>
    <col min="19" max="19" width="14.42578125" bestFit="1" customWidth="1"/>
    <col min="20" max="20" width="20" bestFit="1" customWidth="1"/>
    <col min="21" max="21" width="18.7109375" bestFit="1" customWidth="1"/>
  </cols>
  <sheetData>
    <row r="1" spans="1:29" x14ac:dyDescent="0.25">
      <c r="A1" t="s">
        <v>12</v>
      </c>
      <c r="B1" t="s">
        <v>14</v>
      </c>
      <c r="F1" t="s">
        <v>11</v>
      </c>
      <c r="G1" t="s">
        <v>14</v>
      </c>
    </row>
    <row r="2" spans="1:29" x14ac:dyDescent="0.25">
      <c r="A2" s="1" t="s">
        <v>0</v>
      </c>
      <c r="B2" t="s">
        <v>1</v>
      </c>
      <c r="C2" t="s">
        <v>2</v>
      </c>
      <c r="D2" t="s">
        <v>3</v>
      </c>
      <c r="F2" s="1" t="s">
        <v>0</v>
      </c>
      <c r="G2" t="s">
        <v>1</v>
      </c>
      <c r="H2" t="s">
        <v>2</v>
      </c>
      <c r="I2" t="s">
        <v>3</v>
      </c>
      <c r="K2" t="s">
        <v>0</v>
      </c>
      <c r="L2" t="s">
        <v>1</v>
      </c>
      <c r="M2" t="s">
        <v>2</v>
      </c>
      <c r="N2" t="s">
        <v>3</v>
      </c>
      <c r="S2" t="s">
        <v>7</v>
      </c>
      <c r="T2" t="s">
        <v>6</v>
      </c>
      <c r="U2" t="s">
        <v>8</v>
      </c>
      <c r="W2" t="s">
        <v>15</v>
      </c>
    </row>
    <row r="3" spans="1:29" x14ac:dyDescent="0.25">
      <c r="F3" s="1">
        <v>42887</v>
      </c>
      <c r="G3" s="2">
        <v>3.4980000000000002</v>
      </c>
      <c r="H3" s="2">
        <v>36.069000000000003</v>
      </c>
      <c r="I3" s="2">
        <v>81.2</v>
      </c>
      <c r="J3" s="2"/>
      <c r="R3" s="1">
        <v>42917</v>
      </c>
      <c r="S3" s="2">
        <v>63.049999999999898</v>
      </c>
      <c r="T3" s="2">
        <v>73.325217962518295</v>
      </c>
      <c r="U3" s="2">
        <v>-10.275217962518299</v>
      </c>
      <c r="W3" s="5">
        <v>3.3807478203748098</v>
      </c>
      <c r="X3" s="2"/>
    </row>
    <row r="4" spans="1:29" x14ac:dyDescent="0.25">
      <c r="A4" s="1">
        <v>42917</v>
      </c>
      <c r="B4" s="2">
        <v>3.38</v>
      </c>
      <c r="C4" s="2">
        <v>55.997</v>
      </c>
      <c r="D4" s="2">
        <v>80.900000000000006</v>
      </c>
      <c r="E4" s="2"/>
      <c r="F4" s="1">
        <v>42917</v>
      </c>
      <c r="G4" s="2">
        <v>3.38</v>
      </c>
      <c r="H4" s="2">
        <v>47.808999999999997</v>
      </c>
      <c r="I4" s="2">
        <v>80.900000000000006</v>
      </c>
      <c r="J4" s="2"/>
      <c r="K4" s="1">
        <v>42917</v>
      </c>
      <c r="L4" s="2">
        <f>B4-G4</f>
        <v>0</v>
      </c>
      <c r="M4" s="2">
        <f>C4-H4</f>
        <v>8.1880000000000024</v>
      </c>
      <c r="N4" s="2">
        <f>D4-I4</f>
        <v>0</v>
      </c>
      <c r="O4" s="2"/>
      <c r="P4" s="2"/>
      <c r="R4" s="1">
        <v>42887</v>
      </c>
      <c r="S4" s="2">
        <v>45.21</v>
      </c>
      <c r="T4" s="2">
        <v>61.529521752539999</v>
      </c>
      <c r="U4" s="2">
        <v>-16.319521752539998</v>
      </c>
      <c r="W4" s="5">
        <v>3.4984047824745899</v>
      </c>
      <c r="X4" s="2"/>
    </row>
    <row r="5" spans="1:29" x14ac:dyDescent="0.25">
      <c r="A5" s="1">
        <v>42948</v>
      </c>
      <c r="B5" s="2">
        <v>3.3860000000000001</v>
      </c>
      <c r="C5" s="2">
        <v>55.360999999999997</v>
      </c>
      <c r="D5" s="2">
        <v>80.5</v>
      </c>
      <c r="E5" s="2"/>
      <c r="F5" s="1">
        <v>42948</v>
      </c>
      <c r="G5" s="2">
        <v>3.3860000000000001</v>
      </c>
      <c r="H5" s="2">
        <v>47.158999999999999</v>
      </c>
      <c r="I5" s="2">
        <v>80.5</v>
      </c>
      <c r="J5" s="2"/>
      <c r="K5" s="1">
        <v>42948</v>
      </c>
      <c r="L5" s="2">
        <f>B5-G5</f>
        <v>0</v>
      </c>
      <c r="M5" s="2">
        <f>C5-H5</f>
        <v>8.2019999999999982</v>
      </c>
      <c r="N5" s="2">
        <f>D5-I5</f>
        <v>0</v>
      </c>
      <c r="O5" s="2"/>
      <c r="P5" s="2"/>
    </row>
    <row r="6" spans="1:29" x14ac:dyDescent="0.25">
      <c r="A6" s="1">
        <v>42979</v>
      </c>
      <c r="B6" s="2">
        <v>3.419</v>
      </c>
      <c r="C6" s="2">
        <v>66.715000000000003</v>
      </c>
      <c r="D6" s="2">
        <v>80.2</v>
      </c>
      <c r="E6" s="2"/>
      <c r="F6" s="1">
        <v>42979</v>
      </c>
      <c r="G6" s="2">
        <v>3.419</v>
      </c>
      <c r="H6" s="2">
        <v>58.581000000000003</v>
      </c>
      <c r="I6" s="2">
        <v>80.2</v>
      </c>
      <c r="J6" s="2"/>
      <c r="K6" s="1">
        <v>42979</v>
      </c>
      <c r="L6" s="2">
        <f>B6-G6</f>
        <v>0</v>
      </c>
      <c r="M6" s="2">
        <f>C6-H6</f>
        <v>8.1340000000000003</v>
      </c>
      <c r="N6" s="2">
        <f>D6-I6</f>
        <v>0</v>
      </c>
      <c r="O6" s="2"/>
      <c r="P6" s="2"/>
      <c r="R6" t="s">
        <v>9</v>
      </c>
      <c r="S6" s="2">
        <f>S3-S4</f>
        <v>17.839999999999897</v>
      </c>
      <c r="T6" s="2">
        <f>T3-T4</f>
        <v>11.795696209978296</v>
      </c>
      <c r="U6" s="2">
        <f>U3-U4</f>
        <v>6.0443037900216989</v>
      </c>
      <c r="W6" s="2">
        <f>(W3-W4)*100</f>
        <v>-11.765696209978005</v>
      </c>
      <c r="X6" s="2"/>
    </row>
    <row r="7" spans="1:29" x14ac:dyDescent="0.25">
      <c r="A7" s="1">
        <v>43009</v>
      </c>
      <c r="B7" s="2">
        <v>3.419</v>
      </c>
      <c r="C7" s="2">
        <v>66.596000000000004</v>
      </c>
      <c r="D7" s="2">
        <v>79.900000000000006</v>
      </c>
      <c r="E7" s="2"/>
      <c r="F7" s="1">
        <v>43009</v>
      </c>
      <c r="G7" s="2">
        <v>3.419</v>
      </c>
      <c r="H7" s="2">
        <v>58.433</v>
      </c>
      <c r="I7" s="2">
        <v>79.900000000000006</v>
      </c>
      <c r="J7" s="2"/>
      <c r="K7" s="1">
        <v>43009</v>
      </c>
      <c r="L7" s="2">
        <f>B7-G7</f>
        <v>0</v>
      </c>
      <c r="M7" s="2">
        <f>C7-H7</f>
        <v>8.1630000000000038</v>
      </c>
      <c r="N7" s="2">
        <f>D7-I7</f>
        <v>0</v>
      </c>
      <c r="O7" s="2"/>
      <c r="P7" s="2"/>
    </row>
    <row r="8" spans="1:29" x14ac:dyDescent="0.25">
      <c r="A8" s="1">
        <v>43040</v>
      </c>
      <c r="B8" s="2">
        <v>3.419</v>
      </c>
      <c r="C8" s="2">
        <v>73.78</v>
      </c>
      <c r="D8" s="2">
        <v>79.5</v>
      </c>
      <c r="E8" s="2"/>
      <c r="F8" s="1">
        <v>43040</v>
      </c>
      <c r="G8" s="2">
        <v>3.419</v>
      </c>
      <c r="H8" s="2">
        <v>58.286999999999999</v>
      </c>
      <c r="I8" s="2">
        <v>79.599999999999994</v>
      </c>
      <c r="J8" s="2"/>
      <c r="K8" s="1">
        <v>43040</v>
      </c>
      <c r="L8" s="2">
        <f>B8-G8</f>
        <v>0</v>
      </c>
      <c r="M8" s="2">
        <f>C8-H8</f>
        <v>15.493000000000002</v>
      </c>
      <c r="N8" s="2">
        <f>D8-I8</f>
        <v>-9.9999999999994316E-2</v>
      </c>
      <c r="O8" s="2"/>
      <c r="P8" s="2"/>
      <c r="S8" t="s">
        <v>16</v>
      </c>
      <c r="T8" t="s">
        <v>17</v>
      </c>
      <c r="U8" t="s">
        <v>18</v>
      </c>
      <c r="V8" t="s">
        <v>19</v>
      </c>
      <c r="W8" t="s">
        <v>24</v>
      </c>
      <c r="X8" t="s">
        <v>23</v>
      </c>
      <c r="Y8" t="s">
        <v>22</v>
      </c>
    </row>
    <row r="9" spans="1:29" x14ac:dyDescent="0.25">
      <c r="A9" s="1">
        <v>43070</v>
      </c>
      <c r="B9" s="2">
        <v>3.419</v>
      </c>
      <c r="C9" s="2">
        <v>73.741</v>
      </c>
      <c r="D9" s="2">
        <v>79.2</v>
      </c>
      <c r="E9" s="2"/>
      <c r="F9" s="1">
        <v>43070</v>
      </c>
      <c r="G9" s="2">
        <v>3.419</v>
      </c>
      <c r="H9" s="2">
        <v>65.453000000000003</v>
      </c>
      <c r="I9" s="2">
        <v>79.2</v>
      </c>
      <c r="J9" s="2"/>
      <c r="K9" s="1">
        <v>43070</v>
      </c>
      <c r="L9" s="2">
        <f>B9-G9</f>
        <v>0</v>
      </c>
      <c r="M9" s="2">
        <f>C9-H9</f>
        <v>8.2879999999999967</v>
      </c>
      <c r="N9" s="2">
        <f>D9-I9</f>
        <v>0</v>
      </c>
      <c r="O9" s="2"/>
      <c r="P9" s="2"/>
      <c r="R9" s="1">
        <v>42917</v>
      </c>
      <c r="S9">
        <v>175</v>
      </c>
      <c r="T9">
        <v>32</v>
      </c>
      <c r="U9" s="2">
        <v>94.5833333333333</v>
      </c>
      <c r="V9">
        <v>99.15</v>
      </c>
      <c r="W9" s="5">
        <v>3.3807478203748098</v>
      </c>
      <c r="X9" s="5"/>
      <c r="Y9">
        <v>3.8799999999999901</v>
      </c>
      <c r="Z9" t="s">
        <v>20</v>
      </c>
      <c r="AA9">
        <f>Y9*100+V9-(W9*100+S9/4+T9)</f>
        <v>73.325217962518082</v>
      </c>
      <c r="AB9">
        <f>Y9*100+V9-(W10*100+U9)</f>
        <v>55.310066447366751</v>
      </c>
    </row>
    <row r="10" spans="1:29" x14ac:dyDescent="0.25">
      <c r="A10" s="1">
        <v>43101</v>
      </c>
      <c r="B10" s="2">
        <v>3.419</v>
      </c>
      <c r="C10" s="2">
        <v>73.701999999999998</v>
      </c>
      <c r="D10" s="2">
        <v>78.900000000000006</v>
      </c>
      <c r="E10" s="2"/>
      <c r="F10" s="1">
        <v>43101</v>
      </c>
      <c r="G10" s="2">
        <v>3.419</v>
      </c>
      <c r="H10" s="2">
        <v>65.394999999999996</v>
      </c>
      <c r="I10" s="2">
        <v>78.900000000000006</v>
      </c>
      <c r="J10" s="2"/>
      <c r="K10" s="1">
        <v>43101</v>
      </c>
      <c r="L10" s="2">
        <f>B10-G10</f>
        <v>0</v>
      </c>
      <c r="M10" s="2">
        <f>C10-H10</f>
        <v>8.3070000000000022</v>
      </c>
      <c r="N10" s="2">
        <f>D10-I10</f>
        <v>0</v>
      </c>
      <c r="O10" s="2"/>
      <c r="P10" s="2"/>
      <c r="S10">
        <v>189.75</v>
      </c>
      <c r="T10">
        <v>33.19</v>
      </c>
      <c r="U10">
        <v>95.23</v>
      </c>
      <c r="V10">
        <v>99.15</v>
      </c>
      <c r="W10" s="5">
        <v>3.3725660021929902</v>
      </c>
      <c r="X10" s="5">
        <v>3.77</v>
      </c>
      <c r="Y10">
        <v>3.88</v>
      </c>
      <c r="Z10" t="s">
        <v>21</v>
      </c>
      <c r="AA10">
        <f>Y10*100+V10-(W10*100+S10/4+T10)</f>
        <v>69.265899780700977</v>
      </c>
      <c r="AB10">
        <f>Y10*100+V10-(X10*100+U10)</f>
        <v>14.919999999999959</v>
      </c>
      <c r="AC10" s="5">
        <f>W10-X10</f>
        <v>-0.39743399780700983</v>
      </c>
    </row>
    <row r="11" spans="1:29" x14ac:dyDescent="0.25">
      <c r="A11" s="1">
        <v>43132</v>
      </c>
      <c r="B11" s="2">
        <v>3.419</v>
      </c>
      <c r="C11" s="2">
        <v>73.667000000000002</v>
      </c>
      <c r="D11" s="2">
        <v>78.5</v>
      </c>
      <c r="E11" s="2"/>
      <c r="F11" s="1">
        <v>43132</v>
      </c>
      <c r="G11" s="2">
        <v>3.419</v>
      </c>
      <c r="H11" s="2">
        <v>65.341999999999999</v>
      </c>
      <c r="I11" s="2">
        <v>78.599999999999994</v>
      </c>
      <c r="J11" s="2"/>
      <c r="K11" s="1">
        <v>43132</v>
      </c>
      <c r="L11" s="2">
        <f>B11-G11</f>
        <v>0</v>
      </c>
      <c r="M11" s="2">
        <f>C11-H11</f>
        <v>8.3250000000000028</v>
      </c>
      <c r="N11" s="2">
        <f>D11-I11</f>
        <v>-9.9999999999994316E-2</v>
      </c>
      <c r="O11" s="2"/>
      <c r="P11" s="2"/>
      <c r="S11" s="4">
        <f>S9-S10</f>
        <v>-14.75</v>
      </c>
      <c r="T11" s="4">
        <f t="shared" ref="T11:V11" si="0">T9-T10</f>
        <v>-1.1899999999999977</v>
      </c>
      <c r="U11" s="4">
        <f t="shared" si="0"/>
        <v>-0.6466666666667038</v>
      </c>
      <c r="V11" s="4">
        <f t="shared" si="0"/>
        <v>0</v>
      </c>
      <c r="W11" s="5"/>
      <c r="X11" s="5"/>
      <c r="Z11" t="s">
        <v>9</v>
      </c>
    </row>
    <row r="12" spans="1:29" x14ac:dyDescent="0.25">
      <c r="A12" s="1">
        <v>43160</v>
      </c>
      <c r="B12" s="2">
        <v>3.419</v>
      </c>
      <c r="C12" s="2">
        <v>73.63</v>
      </c>
      <c r="D12" s="2">
        <v>78.2</v>
      </c>
      <c r="E12" s="2"/>
      <c r="F12" s="1">
        <v>43160</v>
      </c>
      <c r="G12" s="2">
        <v>3.419</v>
      </c>
      <c r="H12" s="2">
        <v>65.286000000000001</v>
      </c>
      <c r="I12" s="2">
        <v>78.2</v>
      </c>
      <c r="J12" s="2"/>
      <c r="K12" s="1">
        <v>43160</v>
      </c>
      <c r="L12" s="2">
        <f>B12-G12</f>
        <v>0</v>
      </c>
      <c r="M12" s="2">
        <f>C12-H12</f>
        <v>8.3439999999999941</v>
      </c>
      <c r="N12" s="2">
        <f>D12-I12</f>
        <v>0</v>
      </c>
      <c r="O12" s="2"/>
      <c r="P12" s="2"/>
      <c r="W12" s="5"/>
      <c r="X12" s="5"/>
    </row>
    <row r="13" spans="1:29" x14ac:dyDescent="0.25">
      <c r="A13" s="1">
        <v>43191</v>
      </c>
      <c r="B13" s="2">
        <v>3.419</v>
      </c>
      <c r="C13" s="2">
        <v>73.59</v>
      </c>
      <c r="D13" s="2">
        <v>77.900000000000006</v>
      </c>
      <c r="E13" s="2"/>
      <c r="F13" s="1">
        <v>43191</v>
      </c>
      <c r="G13" s="2">
        <v>3.419</v>
      </c>
      <c r="H13" s="2">
        <v>65.227000000000004</v>
      </c>
      <c r="I13" s="2">
        <v>77.900000000000006</v>
      </c>
      <c r="J13" s="2"/>
      <c r="K13" s="1">
        <v>43191</v>
      </c>
      <c r="L13" s="2">
        <f>B13-G13</f>
        <v>0</v>
      </c>
      <c r="M13" s="2">
        <f>C13-H13</f>
        <v>8.3629999999999995</v>
      </c>
      <c r="N13" s="2">
        <f>D13-I13</f>
        <v>0</v>
      </c>
      <c r="O13" s="2"/>
      <c r="P13" s="2"/>
      <c r="R13" s="1">
        <v>42887</v>
      </c>
      <c r="S13">
        <v>175</v>
      </c>
      <c r="T13">
        <v>32</v>
      </c>
      <c r="U13" s="2">
        <v>94.5833333333333</v>
      </c>
      <c r="V13">
        <v>99.12</v>
      </c>
      <c r="W13" s="5">
        <v>3.4984047824745899</v>
      </c>
      <c r="X13" s="5"/>
      <c r="Y13">
        <v>3.88</v>
      </c>
      <c r="Z13" t="s">
        <v>20</v>
      </c>
      <c r="AA13">
        <f>Y13*100+V13-(W13*100+S13/4+T13)</f>
        <v>61.529521752541029</v>
      </c>
      <c r="AB13">
        <f>Y13*100+V13-(W13*100+U13)</f>
        <v>42.696188419207715</v>
      </c>
    </row>
    <row r="14" spans="1:29" x14ac:dyDescent="0.25">
      <c r="A14" s="1">
        <v>43221</v>
      </c>
      <c r="B14" s="2">
        <v>3.419</v>
      </c>
      <c r="C14" s="2">
        <v>73.555000000000007</v>
      </c>
      <c r="D14" s="2">
        <v>77.5</v>
      </c>
      <c r="E14" s="2"/>
      <c r="F14" s="1">
        <v>43221</v>
      </c>
      <c r="G14" s="2">
        <v>3.419</v>
      </c>
      <c r="H14" s="2">
        <v>65.174000000000007</v>
      </c>
      <c r="I14" s="2">
        <v>77.599999999999994</v>
      </c>
      <c r="J14" s="2"/>
      <c r="K14" s="1">
        <v>43221</v>
      </c>
      <c r="L14" s="2">
        <f>B14-G14</f>
        <v>0</v>
      </c>
      <c r="M14" s="2">
        <f>C14-H14</f>
        <v>8.3810000000000002</v>
      </c>
      <c r="N14" s="2">
        <f>D14-I14</f>
        <v>-9.9999999999994316E-2</v>
      </c>
      <c r="O14" s="2"/>
      <c r="P14" s="2"/>
      <c r="S14">
        <v>189.06</v>
      </c>
      <c r="T14">
        <v>33.42</v>
      </c>
      <c r="U14">
        <v>95.21</v>
      </c>
      <c r="V14">
        <v>99.12</v>
      </c>
      <c r="W14" s="5">
        <v>3.4984047824746001</v>
      </c>
      <c r="X14" s="5">
        <v>3.871</v>
      </c>
      <c r="Y14">
        <v>3.88</v>
      </c>
      <c r="Z14" t="s">
        <v>21</v>
      </c>
      <c r="AA14">
        <f>Y14*100+V14-(W14*100+S14/4+T14)</f>
        <v>56.594521752540004</v>
      </c>
      <c r="AB14">
        <f>Y14*100+V14-(X14*100+U14)</f>
        <v>4.8100000000000023</v>
      </c>
      <c r="AC14" s="5">
        <f>W14-X14</f>
        <v>-0.37259521752539992</v>
      </c>
    </row>
    <row r="15" spans="1:29" x14ac:dyDescent="0.25">
      <c r="A15" s="1">
        <v>43252</v>
      </c>
      <c r="B15" s="2">
        <v>3.419</v>
      </c>
      <c r="C15" s="2">
        <v>73.521000000000001</v>
      </c>
      <c r="D15" s="2">
        <v>77.2</v>
      </c>
      <c r="E15" s="2"/>
      <c r="F15" s="1">
        <v>43252</v>
      </c>
      <c r="G15" s="2">
        <v>3.419</v>
      </c>
      <c r="H15" s="2">
        <v>65.122</v>
      </c>
      <c r="I15" s="2">
        <v>77.2</v>
      </c>
      <c r="J15" s="2"/>
      <c r="K15" s="1">
        <v>43252</v>
      </c>
      <c r="L15" s="2">
        <f>B15-G15</f>
        <v>0</v>
      </c>
      <c r="M15" s="2">
        <f>C15-H15</f>
        <v>8.3990000000000009</v>
      </c>
      <c r="N15" s="2">
        <f>D15-I15</f>
        <v>0</v>
      </c>
      <c r="O15" s="2"/>
      <c r="P15" s="2"/>
      <c r="S15" s="4">
        <f>S13-S14</f>
        <v>-14.060000000000002</v>
      </c>
      <c r="T15" s="4">
        <f t="shared" ref="T15:V15" si="1">T13-T14</f>
        <v>-1.4200000000000017</v>
      </c>
      <c r="U15" s="4">
        <f t="shared" si="1"/>
        <v>-0.62666666666669357</v>
      </c>
      <c r="V15" s="4">
        <f t="shared" si="1"/>
        <v>0</v>
      </c>
      <c r="Z15" t="s">
        <v>9</v>
      </c>
    </row>
    <row r="16" spans="1:29" x14ac:dyDescent="0.25">
      <c r="A16" s="1">
        <v>43282</v>
      </c>
      <c r="B16" s="2">
        <v>3.419</v>
      </c>
      <c r="C16" s="2">
        <v>73.488</v>
      </c>
      <c r="D16" s="2">
        <v>76.900000000000006</v>
      </c>
      <c r="E16" s="2"/>
      <c r="F16" s="1">
        <v>43282</v>
      </c>
      <c r="G16" s="2">
        <v>3.419</v>
      </c>
      <c r="H16" s="2">
        <v>65.072000000000003</v>
      </c>
      <c r="I16" s="2">
        <v>76.900000000000006</v>
      </c>
      <c r="J16" s="2"/>
      <c r="K16" s="1">
        <v>43282</v>
      </c>
      <c r="L16" s="2">
        <f>B16-G16</f>
        <v>0</v>
      </c>
      <c r="M16" s="2">
        <f>C16-H16</f>
        <v>8.4159999999999968</v>
      </c>
      <c r="N16" s="2">
        <f>D16-I16</f>
        <v>0</v>
      </c>
      <c r="O16" s="2"/>
      <c r="P16" s="2"/>
    </row>
    <row r="17" spans="1:29" x14ac:dyDescent="0.25">
      <c r="A17" s="1">
        <v>43313</v>
      </c>
      <c r="B17" s="2">
        <v>3.419</v>
      </c>
      <c r="C17" s="2">
        <v>73.456999999999994</v>
      </c>
      <c r="D17" s="2">
        <v>76.599999999999994</v>
      </c>
      <c r="E17" s="2"/>
      <c r="F17" s="1">
        <v>43313</v>
      </c>
      <c r="G17" s="2">
        <v>3.419</v>
      </c>
      <c r="H17" s="2">
        <v>65.022999999999996</v>
      </c>
      <c r="I17" s="2">
        <v>76.599999999999994</v>
      </c>
      <c r="J17" s="2"/>
      <c r="K17" s="1">
        <v>43313</v>
      </c>
      <c r="L17" s="2">
        <f>B17-G17</f>
        <v>0</v>
      </c>
      <c r="M17" s="2">
        <f>C17-H17</f>
        <v>8.4339999999999975</v>
      </c>
      <c r="N17" s="2">
        <f>D17-I17</f>
        <v>0</v>
      </c>
      <c r="O17" s="2"/>
      <c r="P17" s="2"/>
      <c r="AC17" s="5">
        <f>AC10-AC14</f>
        <v>-2.4838780281609907E-2</v>
      </c>
    </row>
    <row r="18" spans="1:29" x14ac:dyDescent="0.25">
      <c r="A18" s="1">
        <v>43344</v>
      </c>
      <c r="B18" s="2">
        <v>3.419</v>
      </c>
      <c r="C18" s="2">
        <v>73.427000000000007</v>
      </c>
      <c r="D18" s="2">
        <v>76.2</v>
      </c>
      <c r="E18" s="2"/>
      <c r="F18" s="1">
        <v>43344</v>
      </c>
      <c r="G18" s="2">
        <v>3.419</v>
      </c>
      <c r="H18" s="2">
        <v>64.977000000000004</v>
      </c>
      <c r="I18" s="2">
        <v>76.3</v>
      </c>
      <c r="J18" s="2"/>
      <c r="K18" s="1">
        <v>43344</v>
      </c>
      <c r="L18" s="2">
        <f>B18-G18</f>
        <v>0</v>
      </c>
      <c r="M18" s="2">
        <f>C18-H18</f>
        <v>8.4500000000000028</v>
      </c>
      <c r="N18" s="2">
        <f>D18-I18</f>
        <v>-9.9999999999994316E-2</v>
      </c>
      <c r="O18" s="2"/>
      <c r="P18" s="2"/>
      <c r="W18" s="5">
        <f>W10-W14</f>
        <v>-0.12583878028160989</v>
      </c>
      <c r="X18" s="5">
        <f>X10-X14</f>
        <v>-0.10099999999999998</v>
      </c>
    </row>
    <row r="19" spans="1:29" x14ac:dyDescent="0.25">
      <c r="A19" s="1">
        <v>43374</v>
      </c>
      <c r="B19" s="2">
        <v>3.419</v>
      </c>
      <c r="C19" s="2">
        <v>73.397999999999996</v>
      </c>
      <c r="D19" s="2">
        <v>75.900000000000006</v>
      </c>
      <c r="E19" s="2"/>
      <c r="F19" s="1">
        <v>43374</v>
      </c>
      <c r="G19" s="2">
        <v>3.419</v>
      </c>
      <c r="H19" s="2">
        <v>64.932000000000002</v>
      </c>
      <c r="I19" s="2">
        <v>75.900000000000006</v>
      </c>
      <c r="J19" s="2"/>
      <c r="K19" s="1">
        <v>43374</v>
      </c>
      <c r="L19" s="2">
        <f>B19-G19</f>
        <v>0</v>
      </c>
      <c r="M19" s="2">
        <f>C19-H19</f>
        <v>8.465999999999994</v>
      </c>
      <c r="N19" s="2">
        <f>D19-I19</f>
        <v>0</v>
      </c>
      <c r="O19" s="2"/>
      <c r="P19" s="2"/>
    </row>
    <row r="20" spans="1:29" x14ac:dyDescent="0.25">
      <c r="A20" s="1">
        <v>43405</v>
      </c>
      <c r="B20" s="2">
        <v>3.419</v>
      </c>
      <c r="C20" s="2">
        <v>73.370999999999995</v>
      </c>
      <c r="D20" s="2">
        <v>75.599999999999994</v>
      </c>
      <c r="E20" s="2"/>
      <c r="F20" s="1">
        <v>43405</v>
      </c>
      <c r="G20" s="2">
        <v>3.419</v>
      </c>
      <c r="H20" s="2">
        <v>64.888999999999996</v>
      </c>
      <c r="I20" s="2">
        <v>75.599999999999994</v>
      </c>
      <c r="J20" s="2"/>
      <c r="K20" s="1">
        <v>43405</v>
      </c>
      <c r="L20" s="2">
        <f>B20-G20</f>
        <v>0</v>
      </c>
      <c r="M20" s="2">
        <f>C20-H20</f>
        <v>8.4819999999999993</v>
      </c>
      <c r="N20" s="2">
        <f>D20-I20</f>
        <v>0</v>
      </c>
      <c r="O20" s="2"/>
      <c r="P20" s="2"/>
    </row>
    <row r="21" spans="1:29" x14ac:dyDescent="0.25">
      <c r="A21" s="1">
        <v>43435</v>
      </c>
      <c r="B21" s="2">
        <v>3.419</v>
      </c>
      <c r="C21" s="2">
        <v>73.344999999999999</v>
      </c>
      <c r="D21" s="2">
        <v>75.2</v>
      </c>
      <c r="E21" s="2"/>
      <c r="F21" s="1">
        <v>43435</v>
      </c>
      <c r="G21" s="2">
        <v>3.419</v>
      </c>
      <c r="H21" s="2">
        <v>71.644000000000005</v>
      </c>
      <c r="I21" s="2">
        <v>75.3</v>
      </c>
      <c r="J21" s="2"/>
      <c r="K21" s="1">
        <v>43435</v>
      </c>
      <c r="L21" s="2">
        <f>B21-G21</f>
        <v>0</v>
      </c>
      <c r="M21" s="2">
        <f>C21-H21</f>
        <v>1.7009999999999934</v>
      </c>
      <c r="N21" s="2">
        <f>D21-I21</f>
        <v>-9.9999999999994316E-2</v>
      </c>
      <c r="O21" s="2"/>
      <c r="P21" s="2"/>
    </row>
    <row r="22" spans="1:29" x14ac:dyDescent="0.25">
      <c r="A22" s="1">
        <v>43466</v>
      </c>
      <c r="B22" s="2">
        <v>3.419</v>
      </c>
      <c r="C22" s="2">
        <v>80.146000000000001</v>
      </c>
      <c r="D22" s="2">
        <v>74.900000000000006</v>
      </c>
      <c r="E22" s="2"/>
      <c r="F22" s="1">
        <v>43466</v>
      </c>
      <c r="G22" s="2">
        <v>3.419</v>
      </c>
      <c r="H22" s="2">
        <v>71.566999999999993</v>
      </c>
      <c r="I22" s="2">
        <v>75</v>
      </c>
      <c r="J22" s="2"/>
      <c r="K22" s="1">
        <v>43466</v>
      </c>
      <c r="L22" s="2">
        <f>B22-G22</f>
        <v>0</v>
      </c>
      <c r="M22" s="2">
        <f>C22-H22</f>
        <v>8.5790000000000077</v>
      </c>
      <c r="N22" s="2">
        <f>D22-I22</f>
        <v>-9.9999999999994316E-2</v>
      </c>
      <c r="O22" s="2"/>
      <c r="P22" s="2"/>
    </row>
    <row r="23" spans="1:29" x14ac:dyDescent="0.25">
      <c r="A23" s="1">
        <v>43497</v>
      </c>
      <c r="B23" s="2">
        <v>3.419</v>
      </c>
      <c r="C23" s="2">
        <v>82.941999999999993</v>
      </c>
      <c r="D23" s="2">
        <v>74.599999999999994</v>
      </c>
      <c r="E23" s="2"/>
      <c r="F23" s="1">
        <v>43497</v>
      </c>
      <c r="G23" s="2">
        <v>3.419</v>
      </c>
      <c r="H23" s="2">
        <v>71.498999999999995</v>
      </c>
      <c r="I23" s="2">
        <v>74.7</v>
      </c>
      <c r="J23" s="2"/>
      <c r="K23" s="1">
        <v>43497</v>
      </c>
      <c r="L23" s="2">
        <f>B23-G23</f>
        <v>0</v>
      </c>
      <c r="M23" s="2">
        <f>C23-H23</f>
        <v>11.442999999999998</v>
      </c>
      <c r="N23" s="2">
        <f>D23-I23</f>
        <v>-0.10000000000000853</v>
      </c>
      <c r="O23" s="2"/>
      <c r="P23" s="2"/>
    </row>
    <row r="24" spans="1:29" x14ac:dyDescent="0.25">
      <c r="A24" s="1">
        <v>43525</v>
      </c>
      <c r="B24" s="2">
        <v>3.419</v>
      </c>
      <c r="C24" s="2">
        <v>82.911000000000001</v>
      </c>
      <c r="D24" s="2">
        <v>74.3</v>
      </c>
      <c r="E24" s="2"/>
      <c r="F24" s="1">
        <v>43525</v>
      </c>
      <c r="G24" s="2">
        <v>3.419</v>
      </c>
      <c r="H24" s="2">
        <v>74.311000000000007</v>
      </c>
      <c r="I24" s="2">
        <v>74.3</v>
      </c>
      <c r="J24" s="2"/>
      <c r="K24" s="1">
        <v>43525</v>
      </c>
      <c r="L24" s="2">
        <f>B24-G24</f>
        <v>0</v>
      </c>
      <c r="M24" s="2">
        <f>C24-H24</f>
        <v>8.5999999999999943</v>
      </c>
      <c r="N24" s="2">
        <f>D24-I24</f>
        <v>0</v>
      </c>
      <c r="O24" s="2"/>
      <c r="P24" s="2"/>
    </row>
    <row r="25" spans="1:29" x14ac:dyDescent="0.25">
      <c r="A25" s="1">
        <v>43556</v>
      </c>
      <c r="B25" s="2">
        <v>3.419</v>
      </c>
      <c r="C25" s="2">
        <v>82.88</v>
      </c>
      <c r="D25" s="2">
        <v>74</v>
      </c>
      <c r="E25" s="2"/>
      <c r="F25" s="1">
        <v>43556</v>
      </c>
      <c r="G25" s="2">
        <v>3.419</v>
      </c>
      <c r="H25" s="2">
        <v>74.260999999999996</v>
      </c>
      <c r="I25" s="2">
        <v>74</v>
      </c>
      <c r="J25" s="2"/>
      <c r="K25" s="1">
        <v>43556</v>
      </c>
      <c r="L25" s="2">
        <f>B25-G25</f>
        <v>0</v>
      </c>
      <c r="M25" s="2">
        <f>C25-H25</f>
        <v>8.6189999999999998</v>
      </c>
      <c r="N25" s="2">
        <f>D25-I25</f>
        <v>0</v>
      </c>
      <c r="O25" s="2"/>
      <c r="P25" s="2"/>
    </row>
    <row r="26" spans="1:29" x14ac:dyDescent="0.25">
      <c r="A26" s="1">
        <v>43586</v>
      </c>
      <c r="B26" s="2">
        <v>3.419</v>
      </c>
      <c r="C26" s="2">
        <v>82.852000000000004</v>
      </c>
      <c r="D26" s="2">
        <v>73.599999999999994</v>
      </c>
      <c r="E26" s="2"/>
      <c r="F26" s="1">
        <v>43586</v>
      </c>
      <c r="G26" s="2">
        <v>3.419</v>
      </c>
      <c r="H26" s="2">
        <v>74.218000000000004</v>
      </c>
      <c r="I26" s="2">
        <v>73.7</v>
      </c>
      <c r="J26" s="2"/>
      <c r="K26" s="1">
        <v>43586</v>
      </c>
      <c r="L26" s="2">
        <f>B26-G26</f>
        <v>0</v>
      </c>
      <c r="M26" s="2">
        <f>C26-H26</f>
        <v>8.6340000000000003</v>
      </c>
      <c r="N26" s="2">
        <f>D26-I26</f>
        <v>-0.10000000000000853</v>
      </c>
      <c r="O26" s="2"/>
      <c r="P26" s="2"/>
    </row>
    <row r="27" spans="1:29" x14ac:dyDescent="0.25">
      <c r="A27" s="1">
        <v>43617</v>
      </c>
      <c r="B27" s="2">
        <v>3.419</v>
      </c>
      <c r="C27" s="2">
        <v>82.825999999999993</v>
      </c>
      <c r="D27" s="2">
        <v>73.3</v>
      </c>
      <c r="E27" s="2"/>
      <c r="K27" s="1"/>
    </row>
    <row r="28" spans="1:29" x14ac:dyDescent="0.25">
      <c r="K28" s="1"/>
    </row>
    <row r="29" spans="1:29" x14ac:dyDescent="0.25">
      <c r="K29" s="1"/>
    </row>
    <row r="30" spans="1:29" x14ac:dyDescent="0.25">
      <c r="K30" s="1"/>
    </row>
    <row r="31" spans="1:29" x14ac:dyDescent="0.25">
      <c r="F31" s="1">
        <v>42887</v>
      </c>
      <c r="H31">
        <v>45.21</v>
      </c>
      <c r="K31" s="1"/>
      <c r="L31" s="2"/>
      <c r="M31" s="2"/>
      <c r="N31" s="2"/>
    </row>
    <row r="32" spans="1:29" x14ac:dyDescent="0.25">
      <c r="A32" s="1">
        <v>42917</v>
      </c>
      <c r="C32">
        <v>63.05</v>
      </c>
      <c r="F32" s="1">
        <v>42917</v>
      </c>
      <c r="H32">
        <v>56.98</v>
      </c>
      <c r="K32" s="1">
        <v>42917</v>
      </c>
      <c r="L32" s="2"/>
      <c r="M32" s="2">
        <f>C32-H32</f>
        <v>6.07</v>
      </c>
      <c r="N32" s="2"/>
    </row>
    <row r="33" spans="1:13" x14ac:dyDescent="0.25">
      <c r="A33" s="1">
        <v>42948</v>
      </c>
      <c r="C33">
        <v>62.43</v>
      </c>
      <c r="F33" s="1">
        <v>42948</v>
      </c>
      <c r="H33">
        <v>56.36</v>
      </c>
      <c r="K33" s="1">
        <v>42948</v>
      </c>
      <c r="L33" s="2"/>
      <c r="M33" s="2">
        <f>C33-H33</f>
        <v>6.07</v>
      </c>
    </row>
    <row r="34" spans="1:13" x14ac:dyDescent="0.25">
      <c r="K34" s="1"/>
    </row>
    <row r="35" spans="1:13" x14ac:dyDescent="0.25">
      <c r="K35" s="1"/>
    </row>
    <row r="36" spans="1:13" x14ac:dyDescent="0.25">
      <c r="K36" s="1"/>
    </row>
    <row r="37" spans="1:13" x14ac:dyDescent="0.25">
      <c r="K37" s="1"/>
    </row>
    <row r="38" spans="1:13" x14ac:dyDescent="0.25">
      <c r="K38" s="1"/>
    </row>
    <row r="39" spans="1:13" x14ac:dyDescent="0.25">
      <c r="K39" s="1"/>
    </row>
    <row r="40" spans="1:13" x14ac:dyDescent="0.25">
      <c r="K40" s="1"/>
    </row>
    <row r="41" spans="1:13" x14ac:dyDescent="0.25">
      <c r="K41" s="1"/>
    </row>
    <row r="42" spans="1:13" x14ac:dyDescent="0.25">
      <c r="K42" s="1"/>
    </row>
    <row r="43" spans="1:13" x14ac:dyDescent="0.25">
      <c r="K43" s="1"/>
    </row>
    <row r="44" spans="1:13" x14ac:dyDescent="0.25">
      <c r="K44" s="1"/>
    </row>
    <row r="45" spans="1:13" x14ac:dyDescent="0.25">
      <c r="K45" s="1"/>
    </row>
    <row r="46" spans="1:13" x14ac:dyDescent="0.25">
      <c r="K46" s="1"/>
    </row>
    <row r="47" spans="1:13" x14ac:dyDescent="0.25">
      <c r="K47" s="1"/>
    </row>
    <row r="48" spans="1:13" x14ac:dyDescent="0.25">
      <c r="K48" s="1"/>
    </row>
    <row r="49" spans="11:11" x14ac:dyDescent="0.25">
      <c r="K49" s="1"/>
    </row>
    <row r="50" spans="11:11" x14ac:dyDescent="0.25">
      <c r="K50" s="1"/>
    </row>
    <row r="51" spans="11:11" x14ac:dyDescent="0.25">
      <c r="K51" s="1"/>
    </row>
    <row r="52" spans="11:11" x14ac:dyDescent="0.25">
      <c r="K52" s="1"/>
    </row>
    <row r="53" spans="11:11" x14ac:dyDescent="0.25">
      <c r="K53" s="1"/>
    </row>
    <row r="54" spans="11:11" x14ac:dyDescent="0.25">
      <c r="K54" s="1"/>
    </row>
    <row r="55" spans="11:11" x14ac:dyDescent="0.25">
      <c r="K55" s="1"/>
    </row>
    <row r="56" spans="11:11" x14ac:dyDescent="0.25">
      <c r="K56" s="1"/>
    </row>
    <row r="57" spans="11:11" x14ac:dyDescent="0.25">
      <c r="K57" s="1"/>
    </row>
    <row r="58" spans="11:11" x14ac:dyDescent="0.25">
      <c r="K58" s="1"/>
    </row>
    <row r="59" spans="11:11" x14ac:dyDescent="0.25">
      <c r="K59" s="1"/>
    </row>
    <row r="60" spans="11:11" x14ac:dyDescent="0.25">
      <c r="K60" s="1"/>
    </row>
    <row r="61" spans="11:11" x14ac:dyDescent="0.25">
      <c r="K61" s="1"/>
    </row>
    <row r="62" spans="11:11" x14ac:dyDescent="0.25">
      <c r="K6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"/>
  <sheetViews>
    <sheetView workbookViewId="0">
      <selection activeCell="A2" sqref="A2:C27"/>
    </sheetView>
  </sheetViews>
  <sheetFormatPr defaultRowHeight="15" x14ac:dyDescent="0.25"/>
  <cols>
    <col min="1" max="1" width="9.7109375" style="1" bestFit="1" customWidth="1"/>
    <col min="2" max="4" width="9.28515625" bestFit="1" customWidth="1"/>
    <col min="5" max="5" width="9.5703125" bestFit="1" customWidth="1"/>
    <col min="6" max="6" width="9.7109375" style="1" bestFit="1" customWidth="1"/>
    <col min="11" max="11" width="13.5703125" bestFit="1" customWidth="1"/>
    <col min="19" max="19" width="14.42578125" bestFit="1" customWidth="1"/>
    <col min="20" max="20" width="20" bestFit="1" customWidth="1"/>
    <col min="21" max="21" width="18.7109375" bestFit="1" customWidth="1"/>
  </cols>
  <sheetData>
    <row r="1" spans="1:29" x14ac:dyDescent="0.25">
      <c r="A1" t="s">
        <v>12</v>
      </c>
      <c r="B1" t="s">
        <v>14</v>
      </c>
      <c r="F1" t="s">
        <v>11</v>
      </c>
      <c r="G1" t="s">
        <v>14</v>
      </c>
    </row>
    <row r="2" spans="1:29" x14ac:dyDescent="0.25">
      <c r="A2" s="1" t="s">
        <v>0</v>
      </c>
      <c r="B2" t="s">
        <v>1</v>
      </c>
      <c r="C2" t="s">
        <v>2</v>
      </c>
      <c r="D2" t="s">
        <v>3</v>
      </c>
      <c r="F2" s="1" t="s">
        <v>0</v>
      </c>
      <c r="G2" t="s">
        <v>1</v>
      </c>
      <c r="H2" t="s">
        <v>2</v>
      </c>
      <c r="I2" t="s">
        <v>3</v>
      </c>
      <c r="K2" t="s">
        <v>0</v>
      </c>
      <c r="L2" t="s">
        <v>1</v>
      </c>
      <c r="M2" t="s">
        <v>2</v>
      </c>
      <c r="N2" t="s">
        <v>3</v>
      </c>
      <c r="S2" t="s">
        <v>7</v>
      </c>
      <c r="T2" t="s">
        <v>6</v>
      </c>
      <c r="U2" t="s">
        <v>8</v>
      </c>
      <c r="W2" t="s">
        <v>15</v>
      </c>
    </row>
    <row r="3" spans="1:29" x14ac:dyDescent="0.25">
      <c r="F3" s="1">
        <v>42887</v>
      </c>
      <c r="G3" s="2">
        <v>3.4980000000000002</v>
      </c>
      <c r="H3" s="2">
        <v>43.953000000000003</v>
      </c>
      <c r="I3" s="2">
        <v>81.2</v>
      </c>
      <c r="J3" s="2"/>
      <c r="R3" s="1">
        <v>42917</v>
      </c>
      <c r="S3" s="2">
        <v>63.049999999999898</v>
      </c>
      <c r="T3" s="2">
        <v>73.325217962518295</v>
      </c>
      <c r="U3" s="2">
        <v>-10.275217962518299</v>
      </c>
      <c r="W3" s="5">
        <v>3.3807478203748098</v>
      </c>
      <c r="X3" s="2"/>
    </row>
    <row r="4" spans="1:29" x14ac:dyDescent="0.25">
      <c r="A4" s="1">
        <v>42917</v>
      </c>
      <c r="B4" s="2">
        <v>3.38</v>
      </c>
      <c r="C4" s="2">
        <v>55.997</v>
      </c>
      <c r="D4" s="2">
        <v>80.900000000000006</v>
      </c>
      <c r="E4" s="2"/>
      <c r="F4" s="1">
        <v>42917</v>
      </c>
      <c r="G4" s="2">
        <v>3.38</v>
      </c>
      <c r="H4" s="2">
        <v>55.701000000000001</v>
      </c>
      <c r="I4" s="2">
        <v>80.900000000000006</v>
      </c>
      <c r="J4" s="2"/>
      <c r="K4" s="1">
        <v>42917</v>
      </c>
      <c r="L4" s="2">
        <f>B4-G4</f>
        <v>0</v>
      </c>
      <c r="M4" s="2">
        <f>C4-H4</f>
        <v>0.29599999999999937</v>
      </c>
      <c r="N4" s="2">
        <f>D4-I4</f>
        <v>0</v>
      </c>
      <c r="O4" s="2"/>
      <c r="P4" s="2"/>
      <c r="R4" s="1">
        <v>42887</v>
      </c>
      <c r="S4" s="2">
        <v>45.21</v>
      </c>
      <c r="T4" s="2">
        <v>61.529521752539999</v>
      </c>
      <c r="U4" s="2">
        <v>-16.319521752539998</v>
      </c>
      <c r="W4" s="5">
        <v>3.4984047824745899</v>
      </c>
      <c r="X4" s="2"/>
    </row>
    <row r="5" spans="1:29" x14ac:dyDescent="0.25">
      <c r="A5" s="1">
        <v>42948</v>
      </c>
      <c r="B5" s="2">
        <v>3.3860000000000001</v>
      </c>
      <c r="C5" s="2">
        <v>55.360999999999997</v>
      </c>
      <c r="D5" s="2">
        <v>80.5</v>
      </c>
      <c r="E5" s="2"/>
      <c r="F5" s="1">
        <v>42948</v>
      </c>
      <c r="G5" s="2">
        <v>3.3860000000000001</v>
      </c>
      <c r="H5" s="2">
        <v>55.063000000000002</v>
      </c>
      <c r="I5" s="2">
        <v>80.5</v>
      </c>
      <c r="J5" s="2"/>
      <c r="K5" s="1">
        <v>42948</v>
      </c>
      <c r="L5" s="2">
        <f>B5-G5</f>
        <v>0</v>
      </c>
      <c r="M5" s="2">
        <f>C5-H5</f>
        <v>0.29799999999999471</v>
      </c>
      <c r="N5" s="2">
        <f>D5-I5</f>
        <v>0</v>
      </c>
      <c r="O5" s="2"/>
      <c r="P5" s="2"/>
    </row>
    <row r="6" spans="1:29" x14ac:dyDescent="0.25">
      <c r="A6" s="1">
        <v>42979</v>
      </c>
      <c r="B6" s="2">
        <v>3.419</v>
      </c>
      <c r="C6" s="2">
        <v>66.715000000000003</v>
      </c>
      <c r="D6" s="2">
        <v>80.2</v>
      </c>
      <c r="E6" s="2"/>
      <c r="F6" s="1">
        <v>42979</v>
      </c>
      <c r="G6" s="2">
        <v>3.419</v>
      </c>
      <c r="H6" s="2">
        <v>66.516000000000005</v>
      </c>
      <c r="I6" s="2">
        <v>80.2</v>
      </c>
      <c r="J6" s="2"/>
      <c r="K6" s="1">
        <v>42979</v>
      </c>
      <c r="L6" s="2">
        <f>B6-G6</f>
        <v>0</v>
      </c>
      <c r="M6" s="2">
        <f>C6-H6</f>
        <v>0.19899999999999807</v>
      </c>
      <c r="N6" s="2">
        <f>D6-I6</f>
        <v>0</v>
      </c>
      <c r="O6" s="2"/>
      <c r="P6" s="2"/>
      <c r="R6" t="s">
        <v>9</v>
      </c>
      <c r="S6" s="2">
        <f>S3-S4</f>
        <v>17.839999999999897</v>
      </c>
      <c r="T6" s="2">
        <f>T3-T4</f>
        <v>11.795696209978296</v>
      </c>
      <c r="U6" s="2">
        <f>U3-U4</f>
        <v>6.0443037900216989</v>
      </c>
      <c r="W6" s="2">
        <f>(W3-W4)*100</f>
        <v>-11.765696209978005</v>
      </c>
      <c r="X6" s="2"/>
    </row>
    <row r="7" spans="1:29" x14ac:dyDescent="0.25">
      <c r="A7" s="1">
        <v>43009</v>
      </c>
      <c r="B7" s="2">
        <v>3.419</v>
      </c>
      <c r="C7" s="6">
        <v>66.596000000000004</v>
      </c>
      <c r="D7" s="2">
        <v>79.900000000000006</v>
      </c>
      <c r="E7" s="2"/>
      <c r="F7" s="1">
        <v>43009</v>
      </c>
      <c r="G7" s="2">
        <v>3.419</v>
      </c>
      <c r="H7" s="6">
        <v>66.396000000000001</v>
      </c>
      <c r="I7" s="2">
        <v>79.900000000000006</v>
      </c>
      <c r="J7" s="2"/>
      <c r="K7" s="1">
        <v>43009</v>
      </c>
      <c r="L7" s="2">
        <f>B7-G7</f>
        <v>0</v>
      </c>
      <c r="M7" s="2">
        <f>C7-H7</f>
        <v>0.20000000000000284</v>
      </c>
      <c r="N7" s="2">
        <f>D7-I7</f>
        <v>0</v>
      </c>
      <c r="O7" s="2"/>
      <c r="P7" s="2"/>
    </row>
    <row r="8" spans="1:29" x14ac:dyDescent="0.25">
      <c r="A8" s="1">
        <v>43040</v>
      </c>
      <c r="B8" s="2">
        <v>3.419</v>
      </c>
      <c r="C8" s="6">
        <v>73.781000000000006</v>
      </c>
      <c r="D8" s="2">
        <v>79.5</v>
      </c>
      <c r="E8" s="2"/>
      <c r="F8" s="1">
        <v>43040</v>
      </c>
      <c r="G8" s="2">
        <v>3.419</v>
      </c>
      <c r="H8" s="6">
        <v>66.278000000000006</v>
      </c>
      <c r="I8" s="2">
        <v>79.599999999999994</v>
      </c>
      <c r="J8" s="2"/>
      <c r="K8" s="1">
        <v>43040</v>
      </c>
      <c r="L8" s="2">
        <f>B8-G8</f>
        <v>0</v>
      </c>
      <c r="M8" s="2">
        <f>C8-H8</f>
        <v>7.5030000000000001</v>
      </c>
      <c r="N8" s="2">
        <f>D8-I8</f>
        <v>-9.9999999999994316E-2</v>
      </c>
      <c r="O8" s="2"/>
      <c r="P8" s="2"/>
      <c r="S8" t="s">
        <v>16</v>
      </c>
      <c r="T8" t="s">
        <v>17</v>
      </c>
      <c r="U8" t="s">
        <v>18</v>
      </c>
      <c r="V8" t="s">
        <v>19</v>
      </c>
      <c r="W8" t="s">
        <v>24</v>
      </c>
      <c r="X8" t="s">
        <v>23</v>
      </c>
      <c r="Y8" t="s">
        <v>22</v>
      </c>
    </row>
    <row r="9" spans="1:29" x14ac:dyDescent="0.25">
      <c r="A9" s="1">
        <v>43070</v>
      </c>
      <c r="B9" s="2">
        <v>3.419</v>
      </c>
      <c r="C9" s="2">
        <v>73.741</v>
      </c>
      <c r="D9" s="2">
        <v>79.2</v>
      </c>
      <c r="E9" s="2"/>
      <c r="F9" s="1">
        <v>43070</v>
      </c>
      <c r="G9" s="2">
        <v>3.419</v>
      </c>
      <c r="H9" s="2">
        <v>73.441999999999993</v>
      </c>
      <c r="I9" s="2">
        <v>79.2</v>
      </c>
      <c r="J9" s="2"/>
      <c r="K9" s="1">
        <v>43070</v>
      </c>
      <c r="L9" s="2">
        <f>B9-G9</f>
        <v>0</v>
      </c>
      <c r="M9" s="2">
        <f>C9-H9</f>
        <v>0.29900000000000659</v>
      </c>
      <c r="N9" s="2">
        <f>D9-I9</f>
        <v>0</v>
      </c>
      <c r="O9" s="2"/>
      <c r="P9" s="2"/>
      <c r="R9" s="1">
        <v>42917</v>
      </c>
      <c r="S9">
        <v>175</v>
      </c>
      <c r="T9">
        <v>32</v>
      </c>
      <c r="U9" s="2">
        <v>94.5833333333333</v>
      </c>
      <c r="V9">
        <v>99.15</v>
      </c>
      <c r="W9" s="5">
        <v>3.3807478203748098</v>
      </c>
      <c r="X9" s="5"/>
      <c r="Y9">
        <v>3.8799999999999901</v>
      </c>
      <c r="Z9" t="s">
        <v>20</v>
      </c>
      <c r="AA9">
        <f>Y9*100+V9-(W9*100+S9/4+T9)</f>
        <v>73.325217962518082</v>
      </c>
      <c r="AB9">
        <f>Y9*100+V9-(W10*100+U9)</f>
        <v>54.491884629184767</v>
      </c>
    </row>
    <row r="10" spans="1:29" x14ac:dyDescent="0.25">
      <c r="A10" s="1">
        <v>43101</v>
      </c>
      <c r="B10" s="2">
        <v>3.419</v>
      </c>
      <c r="C10" s="2">
        <v>73.701999999999998</v>
      </c>
      <c r="D10" s="2">
        <v>78.900000000000006</v>
      </c>
      <c r="E10" s="2"/>
      <c r="F10" s="1">
        <v>43101</v>
      </c>
      <c r="G10" s="2">
        <v>3.419</v>
      </c>
      <c r="H10" s="2">
        <v>73.402000000000001</v>
      </c>
      <c r="I10" s="2">
        <v>78.900000000000006</v>
      </c>
      <c r="J10" s="2"/>
      <c r="K10" s="1">
        <v>43101</v>
      </c>
      <c r="L10" s="2">
        <f>B10-G10</f>
        <v>0</v>
      </c>
      <c r="M10" s="2">
        <f>C10-H10</f>
        <v>0.29999999999999716</v>
      </c>
      <c r="N10" s="2">
        <f>D10-I10</f>
        <v>0</v>
      </c>
      <c r="O10" s="2"/>
      <c r="P10" s="2"/>
      <c r="S10">
        <v>189.75</v>
      </c>
      <c r="T10">
        <v>33.19</v>
      </c>
      <c r="U10">
        <v>95.23</v>
      </c>
      <c r="V10">
        <v>99.15</v>
      </c>
      <c r="W10" s="5">
        <v>3.3807478203748098</v>
      </c>
      <c r="X10" s="5">
        <v>3.7781818181818099</v>
      </c>
      <c r="Y10">
        <v>3.88</v>
      </c>
      <c r="Z10" t="s">
        <v>21</v>
      </c>
      <c r="AA10">
        <f>Y10*100+V10-(W10*100+S10/4+T10)</f>
        <v>68.447717962518993</v>
      </c>
      <c r="AB10">
        <f>Y10*100+V10-(X10*100+U10)</f>
        <v>14.101818181818999</v>
      </c>
      <c r="AC10" s="5">
        <f>W10-X10</f>
        <v>-0.39743399780700006</v>
      </c>
    </row>
    <row r="11" spans="1:29" x14ac:dyDescent="0.25">
      <c r="A11" s="1">
        <v>43132</v>
      </c>
      <c r="B11" s="2">
        <v>3.419</v>
      </c>
      <c r="C11" s="2">
        <v>73.667000000000002</v>
      </c>
      <c r="D11" s="2">
        <v>78.5</v>
      </c>
      <c r="E11" s="2"/>
      <c r="F11" s="1">
        <v>43132</v>
      </c>
      <c r="G11" s="2">
        <v>3.419</v>
      </c>
      <c r="H11" s="2">
        <v>73.366</v>
      </c>
      <c r="I11" s="2">
        <v>78.599999999999994</v>
      </c>
      <c r="J11" s="2"/>
      <c r="K11" s="1">
        <v>43132</v>
      </c>
      <c r="L11" s="2">
        <f>B11-G11</f>
        <v>0</v>
      </c>
      <c r="M11" s="2">
        <f>C11-H11</f>
        <v>0.30100000000000193</v>
      </c>
      <c r="N11" s="2">
        <f>D11-I11</f>
        <v>-9.9999999999994316E-2</v>
      </c>
      <c r="O11" s="2"/>
      <c r="P11" s="2"/>
      <c r="S11" s="4">
        <f>S9-S10</f>
        <v>-14.75</v>
      </c>
      <c r="T11" s="4">
        <f t="shared" ref="T11:V11" si="0">T9-T10</f>
        <v>-1.1899999999999977</v>
      </c>
      <c r="U11" s="4">
        <f t="shared" si="0"/>
        <v>-0.6466666666667038</v>
      </c>
      <c r="V11" s="4">
        <f t="shared" si="0"/>
        <v>0</v>
      </c>
      <c r="W11" s="5"/>
      <c r="X11" s="5"/>
      <c r="Z11" t="s">
        <v>9</v>
      </c>
    </row>
    <row r="12" spans="1:29" x14ac:dyDescent="0.25">
      <c r="A12" s="1">
        <v>43160</v>
      </c>
      <c r="B12" s="2">
        <v>3.419</v>
      </c>
      <c r="C12" s="2">
        <v>73.63</v>
      </c>
      <c r="D12" s="2">
        <v>78.2</v>
      </c>
      <c r="E12" s="2"/>
      <c r="F12" s="1">
        <v>43160</v>
      </c>
      <c r="G12" s="2">
        <v>3.419</v>
      </c>
      <c r="H12" s="2">
        <v>73.328000000000003</v>
      </c>
      <c r="I12" s="2">
        <v>78.2</v>
      </c>
      <c r="J12" s="2"/>
      <c r="K12" s="1">
        <v>43160</v>
      </c>
      <c r="L12" s="2">
        <f>B12-G12</f>
        <v>0</v>
      </c>
      <c r="M12" s="2">
        <f>C12-H12</f>
        <v>0.3019999999999925</v>
      </c>
      <c r="N12" s="2">
        <f>D12-I12</f>
        <v>0</v>
      </c>
      <c r="O12" s="2"/>
      <c r="P12" s="2"/>
      <c r="W12" s="5"/>
      <c r="X12" s="5"/>
    </row>
    <row r="13" spans="1:29" x14ac:dyDescent="0.25">
      <c r="A13" s="1">
        <v>43191</v>
      </c>
      <c r="B13" s="2">
        <v>3.419</v>
      </c>
      <c r="C13" s="2">
        <v>73.59</v>
      </c>
      <c r="D13" s="2">
        <v>77.900000000000006</v>
      </c>
      <c r="E13" s="2"/>
      <c r="F13" s="1">
        <v>43191</v>
      </c>
      <c r="G13" s="2">
        <v>3.419</v>
      </c>
      <c r="H13" s="2">
        <v>73.287999999999997</v>
      </c>
      <c r="I13" s="2">
        <v>77.900000000000006</v>
      </c>
      <c r="J13" s="2"/>
      <c r="K13" s="1">
        <v>43191</v>
      </c>
      <c r="L13" s="2">
        <f>B13-G13</f>
        <v>0</v>
      </c>
      <c r="M13" s="2">
        <f>C13-H13</f>
        <v>0.30200000000000671</v>
      </c>
      <c r="N13" s="2">
        <f>D13-I13</f>
        <v>0</v>
      </c>
      <c r="O13" s="2"/>
      <c r="P13" s="2"/>
      <c r="R13" s="1">
        <v>42887</v>
      </c>
      <c r="S13">
        <v>175</v>
      </c>
      <c r="T13">
        <v>32</v>
      </c>
      <c r="U13" s="2">
        <v>94.5833333333333</v>
      </c>
      <c r="V13">
        <v>99.12</v>
      </c>
      <c r="W13" s="5">
        <v>3.4984047824745899</v>
      </c>
      <c r="X13" s="5"/>
      <c r="Y13">
        <v>3.88</v>
      </c>
      <c r="Z13" t="s">
        <v>20</v>
      </c>
      <c r="AA13">
        <f>Y13*100+V13-(W13*100+S13/4+T13)</f>
        <v>61.529521752541029</v>
      </c>
      <c r="AB13">
        <f>Y13*100+V13-(W13*100+U13)</f>
        <v>42.696188419207715</v>
      </c>
    </row>
    <row r="14" spans="1:29" x14ac:dyDescent="0.25">
      <c r="A14" s="1">
        <v>43221</v>
      </c>
      <c r="B14" s="2">
        <v>3.419</v>
      </c>
      <c r="C14" s="2">
        <v>73.555000000000007</v>
      </c>
      <c r="D14" s="2">
        <v>77.5</v>
      </c>
      <c r="E14" s="2"/>
      <c r="F14" s="1">
        <v>43221</v>
      </c>
      <c r="G14" s="2">
        <v>3.419</v>
      </c>
      <c r="H14" s="2">
        <v>73.251999999999995</v>
      </c>
      <c r="I14" s="2">
        <v>77.599999999999994</v>
      </c>
      <c r="J14" s="2"/>
      <c r="K14" s="1">
        <v>43221</v>
      </c>
      <c r="L14" s="2">
        <f>B14-G14</f>
        <v>0</v>
      </c>
      <c r="M14" s="2">
        <f>C14-H14</f>
        <v>0.30300000000001148</v>
      </c>
      <c r="N14" s="2">
        <f>D14-I14</f>
        <v>-9.9999999999994316E-2</v>
      </c>
      <c r="O14" s="2"/>
      <c r="P14" s="2"/>
      <c r="S14">
        <v>189.06</v>
      </c>
      <c r="T14">
        <v>33.42</v>
      </c>
      <c r="U14">
        <v>95.21</v>
      </c>
      <c r="V14">
        <v>99.12</v>
      </c>
      <c r="W14" s="5">
        <v>3.4984047824746001</v>
      </c>
      <c r="X14" s="5">
        <v>3.871</v>
      </c>
      <c r="Y14">
        <v>3.88</v>
      </c>
      <c r="Z14" t="s">
        <v>21</v>
      </c>
      <c r="AA14">
        <f>Y14*100+V14-(W14*100+S14/4+T14)</f>
        <v>56.594521752540004</v>
      </c>
      <c r="AB14">
        <f>Y14*100+V14-(X14*100+U14)</f>
        <v>4.8100000000000023</v>
      </c>
      <c r="AC14" s="5">
        <f>W14-X14</f>
        <v>-0.37259521752539992</v>
      </c>
    </row>
    <row r="15" spans="1:29" x14ac:dyDescent="0.25">
      <c r="A15" s="1">
        <v>43252</v>
      </c>
      <c r="B15" s="2">
        <v>3.419</v>
      </c>
      <c r="C15" s="2">
        <v>73.521000000000001</v>
      </c>
      <c r="D15" s="2">
        <v>77.2</v>
      </c>
      <c r="E15" s="2"/>
      <c r="F15" s="1">
        <v>43252</v>
      </c>
      <c r="G15" s="2">
        <v>3.419</v>
      </c>
      <c r="H15" s="2">
        <v>73.216999999999999</v>
      </c>
      <c r="I15" s="2">
        <v>77.2</v>
      </c>
      <c r="J15" s="2"/>
      <c r="K15" s="1">
        <v>43252</v>
      </c>
      <c r="L15" s="2">
        <f>B15-G15</f>
        <v>0</v>
      </c>
      <c r="M15" s="2">
        <f>C15-H15</f>
        <v>0.30400000000000205</v>
      </c>
      <c r="N15" s="2">
        <f>D15-I15</f>
        <v>0</v>
      </c>
      <c r="O15" s="2"/>
      <c r="P15" s="2"/>
      <c r="S15" s="4">
        <f>S13-S14</f>
        <v>-14.060000000000002</v>
      </c>
      <c r="T15" s="4">
        <f t="shared" ref="T15:V15" si="1">T13-T14</f>
        <v>-1.4200000000000017</v>
      </c>
      <c r="U15" s="4">
        <f t="shared" si="1"/>
        <v>-0.62666666666669357</v>
      </c>
      <c r="V15" s="4">
        <f t="shared" si="1"/>
        <v>0</v>
      </c>
      <c r="Z15" t="s">
        <v>9</v>
      </c>
    </row>
    <row r="16" spans="1:29" x14ac:dyDescent="0.25">
      <c r="A16" s="1">
        <v>43282</v>
      </c>
      <c r="B16" s="2">
        <v>3.419</v>
      </c>
      <c r="C16" s="2">
        <v>73.488</v>
      </c>
      <c r="D16" s="2">
        <v>76.900000000000006</v>
      </c>
      <c r="E16" s="2"/>
      <c r="F16" s="1">
        <v>43282</v>
      </c>
      <c r="G16" s="2">
        <v>3.419</v>
      </c>
      <c r="H16" s="2">
        <v>73.183000000000007</v>
      </c>
      <c r="I16" s="2">
        <v>76.900000000000006</v>
      </c>
      <c r="J16" s="2"/>
      <c r="K16" s="1">
        <v>43282</v>
      </c>
      <c r="L16" s="2">
        <f>B16-G16</f>
        <v>0</v>
      </c>
      <c r="M16" s="2">
        <f>C16-H16</f>
        <v>0.30499999999999261</v>
      </c>
      <c r="N16" s="2">
        <f>D16-I16</f>
        <v>0</v>
      </c>
      <c r="O16" s="2"/>
      <c r="P16" s="2"/>
    </row>
    <row r="17" spans="1:29" x14ac:dyDescent="0.25">
      <c r="A17" s="1">
        <v>43313</v>
      </c>
      <c r="B17" s="2">
        <v>3.419</v>
      </c>
      <c r="C17" s="2">
        <v>73.456999999999994</v>
      </c>
      <c r="D17" s="2">
        <v>76.599999999999994</v>
      </c>
      <c r="E17" s="2"/>
      <c r="F17" s="1">
        <v>43313</v>
      </c>
      <c r="G17" s="2">
        <v>3.419</v>
      </c>
      <c r="H17" s="2">
        <v>73.150999999999996</v>
      </c>
      <c r="I17" s="2">
        <v>76.599999999999994</v>
      </c>
      <c r="J17" s="2"/>
      <c r="K17" s="1">
        <v>43313</v>
      </c>
      <c r="L17" s="2">
        <f>B17-G17</f>
        <v>0</v>
      </c>
      <c r="M17" s="2">
        <f>C17-H17</f>
        <v>0.30599999999999739</v>
      </c>
      <c r="N17" s="2">
        <f>D17-I17</f>
        <v>0</v>
      </c>
      <c r="O17" s="2"/>
      <c r="P17" s="2"/>
      <c r="AC17" s="5">
        <f>AC10-AC14</f>
        <v>-2.4838780281600137E-2</v>
      </c>
    </row>
    <row r="18" spans="1:29" x14ac:dyDescent="0.25">
      <c r="A18" s="1">
        <v>43344</v>
      </c>
      <c r="B18" s="2">
        <v>3.419</v>
      </c>
      <c r="C18" s="2">
        <v>73.427000000000007</v>
      </c>
      <c r="D18" s="2">
        <v>76.2</v>
      </c>
      <c r="E18" s="2"/>
      <c r="F18" s="1">
        <v>43344</v>
      </c>
      <c r="G18" s="2">
        <v>3.419</v>
      </c>
      <c r="H18" s="2">
        <v>73.12</v>
      </c>
      <c r="I18" s="2">
        <v>76.3</v>
      </c>
      <c r="J18" s="2"/>
      <c r="K18" s="1">
        <v>43344</v>
      </c>
      <c r="L18" s="2">
        <f>B18-G18</f>
        <v>0</v>
      </c>
      <c r="M18" s="2">
        <f>C18-H18</f>
        <v>0.30700000000000216</v>
      </c>
      <c r="N18" s="2">
        <f>D18-I18</f>
        <v>-9.9999999999994316E-2</v>
      </c>
      <c r="O18" s="2"/>
      <c r="P18" s="2"/>
      <c r="W18" s="5">
        <f>W10-W14</f>
        <v>-0.11765696209979026</v>
      </c>
      <c r="X18" s="5">
        <f>X10-X14</f>
        <v>-9.2818181818190126E-2</v>
      </c>
    </row>
    <row r="19" spans="1:29" x14ac:dyDescent="0.25">
      <c r="A19" s="1">
        <v>43374</v>
      </c>
      <c r="B19" s="2">
        <v>3.419</v>
      </c>
      <c r="C19" s="2">
        <v>73.397999999999996</v>
      </c>
      <c r="D19" s="2">
        <v>75.900000000000006</v>
      </c>
      <c r="E19" s="2"/>
      <c r="F19" s="1">
        <v>43374</v>
      </c>
      <c r="G19" s="2">
        <v>3.419</v>
      </c>
      <c r="H19" s="2">
        <v>73.090999999999994</v>
      </c>
      <c r="I19" s="2">
        <v>75.900000000000006</v>
      </c>
      <c r="J19" s="2"/>
      <c r="K19" s="1">
        <v>43374</v>
      </c>
      <c r="L19" s="2">
        <f>B19-G19</f>
        <v>0</v>
      </c>
      <c r="M19" s="2">
        <f>C19-H19</f>
        <v>0.30700000000000216</v>
      </c>
      <c r="N19" s="2">
        <f>D19-I19</f>
        <v>0</v>
      </c>
      <c r="O19" s="2"/>
      <c r="P19" s="2"/>
    </row>
    <row r="20" spans="1:29" x14ac:dyDescent="0.25">
      <c r="A20" s="1">
        <v>43405</v>
      </c>
      <c r="B20" s="2">
        <v>3.419</v>
      </c>
      <c r="C20" s="2">
        <v>73.370999999999995</v>
      </c>
      <c r="D20" s="2">
        <v>75.599999999999994</v>
      </c>
      <c r="E20" s="2"/>
      <c r="F20" s="1">
        <v>43405</v>
      </c>
      <c r="G20" s="2">
        <v>3.419</v>
      </c>
      <c r="H20" s="2">
        <v>73.063000000000002</v>
      </c>
      <c r="I20" s="2">
        <v>75.599999999999994</v>
      </c>
      <c r="J20" s="2"/>
      <c r="K20" s="1">
        <v>43405</v>
      </c>
      <c r="L20" s="2">
        <f>B20-G20</f>
        <v>0</v>
      </c>
      <c r="M20" s="2">
        <f>C20-H20</f>
        <v>0.30799999999999272</v>
      </c>
      <c r="N20" s="2">
        <f>D20-I20</f>
        <v>0</v>
      </c>
      <c r="O20" s="2"/>
      <c r="P20" s="2"/>
    </row>
    <row r="21" spans="1:29" x14ac:dyDescent="0.25">
      <c r="A21" s="1">
        <v>43435</v>
      </c>
      <c r="B21" s="2">
        <v>3.419</v>
      </c>
      <c r="C21" s="2">
        <v>73.344999999999999</v>
      </c>
      <c r="D21" s="2">
        <v>75.2</v>
      </c>
      <c r="E21" s="2"/>
      <c r="F21" s="1">
        <v>43435</v>
      </c>
      <c r="G21" s="2">
        <v>3.419</v>
      </c>
      <c r="H21" s="2">
        <v>79.909000000000006</v>
      </c>
      <c r="I21" s="2">
        <v>75.3</v>
      </c>
      <c r="J21" s="2"/>
      <c r="K21" s="1">
        <v>43435</v>
      </c>
      <c r="L21" s="2">
        <f>B21-G21</f>
        <v>0</v>
      </c>
      <c r="M21" s="2">
        <f>C21-H21</f>
        <v>-6.5640000000000072</v>
      </c>
      <c r="N21" s="2">
        <f>D21-I21</f>
        <v>-9.9999999999994316E-2</v>
      </c>
      <c r="O21" s="2"/>
      <c r="P21" s="2"/>
    </row>
    <row r="22" spans="1:29" x14ac:dyDescent="0.25">
      <c r="A22" s="1">
        <v>43466</v>
      </c>
      <c r="B22" s="2">
        <v>3.419</v>
      </c>
      <c r="C22" s="2">
        <v>80.144999999999996</v>
      </c>
      <c r="D22" s="2">
        <v>74.900000000000006</v>
      </c>
      <c r="E22" s="2"/>
      <c r="F22" s="1">
        <v>43466</v>
      </c>
      <c r="G22" s="2">
        <v>3.419</v>
      </c>
      <c r="H22" s="2">
        <v>79.853999999999999</v>
      </c>
      <c r="I22" s="2">
        <v>75</v>
      </c>
      <c r="J22" s="2"/>
      <c r="K22" s="1">
        <v>43466</v>
      </c>
      <c r="L22" s="2">
        <f>B22-G22</f>
        <v>0</v>
      </c>
      <c r="M22" s="2">
        <f>C22-H22</f>
        <v>0.29099999999999682</v>
      </c>
      <c r="N22" s="2">
        <f>D22-I22</f>
        <v>-9.9999999999994316E-2</v>
      </c>
      <c r="O22" s="2"/>
      <c r="P22" s="2"/>
    </row>
    <row r="23" spans="1:29" x14ac:dyDescent="0.25">
      <c r="A23" s="1">
        <v>43497</v>
      </c>
      <c r="B23" s="2">
        <v>3.419</v>
      </c>
      <c r="C23" s="2">
        <v>82.941999999999993</v>
      </c>
      <c r="D23" s="2">
        <v>74.599999999999994</v>
      </c>
      <c r="E23" s="2"/>
      <c r="F23" s="1">
        <v>43497</v>
      </c>
      <c r="G23" s="2">
        <v>3.419</v>
      </c>
      <c r="H23" s="2">
        <v>79.805999999999997</v>
      </c>
      <c r="I23" s="2">
        <v>74.7</v>
      </c>
      <c r="J23" s="2"/>
      <c r="K23" s="1">
        <v>43497</v>
      </c>
      <c r="L23" s="2">
        <f>B23-G23</f>
        <v>0</v>
      </c>
      <c r="M23" s="2">
        <f>C23-H23</f>
        <v>3.1359999999999957</v>
      </c>
      <c r="N23" s="2">
        <f>D23-I23</f>
        <v>-0.10000000000000853</v>
      </c>
      <c r="O23" s="2"/>
      <c r="P23" s="2"/>
    </row>
    <row r="24" spans="1:29" x14ac:dyDescent="0.25">
      <c r="A24" s="1">
        <v>43525</v>
      </c>
      <c r="B24" s="2">
        <v>3.419</v>
      </c>
      <c r="C24" s="2">
        <v>82.911000000000001</v>
      </c>
      <c r="D24" s="2">
        <v>74.3</v>
      </c>
      <c r="E24" s="2"/>
      <c r="F24" s="1">
        <v>43525</v>
      </c>
      <c r="G24" s="2">
        <v>3.419</v>
      </c>
      <c r="H24" s="2">
        <v>82.593999999999994</v>
      </c>
      <c r="I24" s="2">
        <v>74.3</v>
      </c>
      <c r="J24" s="2"/>
      <c r="K24" s="1">
        <v>43525</v>
      </c>
      <c r="L24" s="2">
        <f>B24-G24</f>
        <v>0</v>
      </c>
      <c r="M24" s="2">
        <f>C24-H24</f>
        <v>0.31700000000000728</v>
      </c>
      <c r="N24" s="2">
        <f>D24-I24</f>
        <v>0</v>
      </c>
      <c r="O24" s="2"/>
      <c r="P24" s="2"/>
    </row>
    <row r="25" spans="1:29" x14ac:dyDescent="0.25">
      <c r="A25" s="1">
        <v>43556</v>
      </c>
      <c r="B25" s="2">
        <v>3.419</v>
      </c>
      <c r="C25" s="2">
        <v>82.879000000000005</v>
      </c>
      <c r="D25" s="2">
        <v>74</v>
      </c>
      <c r="E25" s="2"/>
      <c r="F25" s="1">
        <v>43556</v>
      </c>
      <c r="G25" s="2">
        <v>3.419</v>
      </c>
      <c r="H25" s="2">
        <v>82.563000000000002</v>
      </c>
      <c r="I25" s="2">
        <v>74</v>
      </c>
      <c r="J25" s="2"/>
      <c r="K25" s="1">
        <v>43556</v>
      </c>
      <c r="L25" s="2">
        <f>B25-G25</f>
        <v>0</v>
      </c>
      <c r="M25" s="2">
        <f>C25-H25</f>
        <v>0.3160000000000025</v>
      </c>
      <c r="N25" s="2">
        <f>D25-I25</f>
        <v>0</v>
      </c>
      <c r="O25" s="2"/>
      <c r="P25" s="2"/>
    </row>
    <row r="26" spans="1:29" x14ac:dyDescent="0.25">
      <c r="A26" s="1">
        <v>43586</v>
      </c>
      <c r="B26" s="2">
        <v>3.419</v>
      </c>
      <c r="C26" s="2">
        <v>82.850999999999999</v>
      </c>
      <c r="D26" s="2">
        <v>73.599999999999994</v>
      </c>
      <c r="E26" s="2"/>
      <c r="F26" s="1">
        <v>43586</v>
      </c>
      <c r="G26" s="2">
        <v>3.419</v>
      </c>
      <c r="H26" s="2">
        <v>82.534999999999997</v>
      </c>
      <c r="I26" s="2">
        <v>73.7</v>
      </c>
      <c r="J26" s="2"/>
      <c r="K26" s="1">
        <v>43586</v>
      </c>
      <c r="L26" s="2">
        <f>B26-G26</f>
        <v>0</v>
      </c>
      <c r="M26" s="2">
        <f>C26-H26</f>
        <v>0.3160000000000025</v>
      </c>
      <c r="N26" s="2">
        <f>D26-I26</f>
        <v>-0.10000000000000853</v>
      </c>
      <c r="O26" s="2"/>
      <c r="P26" s="2"/>
    </row>
    <row r="27" spans="1:29" x14ac:dyDescent="0.25">
      <c r="A27" s="1">
        <v>43617</v>
      </c>
      <c r="B27" s="2">
        <v>3.419</v>
      </c>
      <c r="C27" s="2">
        <v>82.825000000000003</v>
      </c>
      <c r="D27" s="2">
        <v>73.3</v>
      </c>
      <c r="E27" s="2"/>
      <c r="K27" s="1"/>
    </row>
    <row r="28" spans="1:29" x14ac:dyDescent="0.25">
      <c r="K28" s="1"/>
    </row>
    <row r="29" spans="1:29" x14ac:dyDescent="0.25">
      <c r="K29" s="1"/>
    </row>
    <row r="30" spans="1:29" x14ac:dyDescent="0.25">
      <c r="K30" s="1"/>
    </row>
    <row r="31" spans="1:29" x14ac:dyDescent="0.25">
      <c r="F31" s="1">
        <v>42887</v>
      </c>
      <c r="H31">
        <v>45.21</v>
      </c>
      <c r="K31" s="1"/>
      <c r="L31" s="2"/>
      <c r="M31" s="2"/>
      <c r="N31" s="2"/>
    </row>
    <row r="32" spans="1:29" x14ac:dyDescent="0.25">
      <c r="A32" s="1">
        <v>42917</v>
      </c>
      <c r="C32">
        <v>63.05</v>
      </c>
      <c r="F32" s="1">
        <v>42917</v>
      </c>
      <c r="H32">
        <v>56.98</v>
      </c>
      <c r="K32" s="1">
        <v>42917</v>
      </c>
      <c r="L32" s="2"/>
      <c r="M32" s="2">
        <f>C32-H32</f>
        <v>6.07</v>
      </c>
      <c r="N32" s="2"/>
    </row>
    <row r="33" spans="1:13" x14ac:dyDescent="0.25">
      <c r="A33" s="1">
        <v>42948</v>
      </c>
      <c r="C33">
        <v>62.43</v>
      </c>
      <c r="F33" s="1">
        <v>42948</v>
      </c>
      <c r="H33">
        <v>56.36</v>
      </c>
      <c r="K33" s="1">
        <v>42948</v>
      </c>
      <c r="L33" s="2"/>
      <c r="M33" s="2">
        <f>C33-H33</f>
        <v>6.07</v>
      </c>
    </row>
    <row r="34" spans="1:13" x14ac:dyDescent="0.25">
      <c r="K34" s="1"/>
    </row>
    <row r="35" spans="1:13" x14ac:dyDescent="0.25">
      <c r="K35" s="1"/>
    </row>
    <row r="36" spans="1:13" x14ac:dyDescent="0.25">
      <c r="K36" s="1"/>
    </row>
    <row r="37" spans="1:13" x14ac:dyDescent="0.25">
      <c r="K37" s="1"/>
    </row>
    <row r="38" spans="1:13" x14ac:dyDescent="0.25">
      <c r="K38" s="1"/>
    </row>
    <row r="39" spans="1:13" x14ac:dyDescent="0.25">
      <c r="K39" s="1"/>
    </row>
    <row r="40" spans="1:13" x14ac:dyDescent="0.25">
      <c r="K40" s="1"/>
    </row>
    <row r="41" spans="1:13" x14ac:dyDescent="0.25">
      <c r="K41" s="1"/>
    </row>
    <row r="42" spans="1:13" x14ac:dyDescent="0.25">
      <c r="K42" s="1"/>
    </row>
    <row r="43" spans="1:13" x14ac:dyDescent="0.25">
      <c r="K43" s="1"/>
    </row>
    <row r="44" spans="1:13" x14ac:dyDescent="0.25">
      <c r="K44" s="1"/>
    </row>
    <row r="45" spans="1:13" x14ac:dyDescent="0.25">
      <c r="K45" s="1"/>
    </row>
    <row r="46" spans="1:13" x14ac:dyDescent="0.25">
      <c r="K46" s="1"/>
    </row>
    <row r="47" spans="1:13" x14ac:dyDescent="0.25">
      <c r="K47" s="1"/>
    </row>
    <row r="48" spans="1:13" x14ac:dyDescent="0.25">
      <c r="K48" s="1"/>
    </row>
    <row r="49" spans="11:11" x14ac:dyDescent="0.25">
      <c r="K49" s="1"/>
    </row>
    <row r="50" spans="11:11" x14ac:dyDescent="0.25">
      <c r="K50" s="1"/>
    </row>
    <row r="51" spans="11:11" x14ac:dyDescent="0.25">
      <c r="K51" s="1"/>
    </row>
    <row r="52" spans="11:11" x14ac:dyDescent="0.25">
      <c r="K52" s="1"/>
    </row>
    <row r="53" spans="11:11" x14ac:dyDescent="0.25">
      <c r="K53" s="1"/>
    </row>
    <row r="54" spans="11:11" x14ac:dyDescent="0.25">
      <c r="K54" s="1"/>
    </row>
    <row r="55" spans="11:11" x14ac:dyDescent="0.25">
      <c r="K55" s="1"/>
    </row>
    <row r="56" spans="11:11" x14ac:dyDescent="0.25">
      <c r="K56" s="1"/>
    </row>
    <row r="57" spans="11:11" x14ac:dyDescent="0.25">
      <c r="K57" s="1"/>
    </row>
    <row r="58" spans="11:11" x14ac:dyDescent="0.25">
      <c r="K58" s="1"/>
    </row>
    <row r="59" spans="11:11" x14ac:dyDescent="0.25">
      <c r="K59" s="1"/>
    </row>
    <row r="60" spans="11:11" x14ac:dyDescent="0.25">
      <c r="K60" s="1"/>
    </row>
    <row r="61" spans="11:11" x14ac:dyDescent="0.25">
      <c r="K61" s="1"/>
    </row>
    <row r="62" spans="11:11" x14ac:dyDescent="0.25">
      <c r="K6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"/>
  <sheetViews>
    <sheetView workbookViewId="0">
      <selection activeCell="P22" sqref="P22"/>
    </sheetView>
  </sheetViews>
  <sheetFormatPr defaultRowHeight="15" x14ac:dyDescent="0.25"/>
  <cols>
    <col min="1" max="1" width="9.7109375" style="1" bestFit="1" customWidth="1"/>
    <col min="2" max="4" width="9.28515625" bestFit="1" customWidth="1"/>
    <col min="5" max="5" width="9.5703125" bestFit="1" customWidth="1"/>
    <col min="6" max="6" width="9.7109375" style="1" bestFit="1" customWidth="1"/>
    <col min="11" max="11" width="13.5703125" bestFit="1" customWidth="1"/>
    <col min="19" max="19" width="14.42578125" bestFit="1" customWidth="1"/>
    <col min="20" max="20" width="20" bestFit="1" customWidth="1"/>
    <col min="21" max="21" width="18.7109375" bestFit="1" customWidth="1"/>
  </cols>
  <sheetData>
    <row r="1" spans="1:29" x14ac:dyDescent="0.25">
      <c r="A1" t="s">
        <v>12</v>
      </c>
      <c r="B1" t="s">
        <v>14</v>
      </c>
      <c r="F1" t="s">
        <v>11</v>
      </c>
      <c r="G1" t="s">
        <v>14</v>
      </c>
    </row>
    <row r="2" spans="1:29" x14ac:dyDescent="0.25">
      <c r="A2" s="1" t="s">
        <v>0</v>
      </c>
      <c r="B2" t="s">
        <v>1</v>
      </c>
      <c r="C2" t="s">
        <v>2</v>
      </c>
      <c r="D2" t="s">
        <v>3</v>
      </c>
      <c r="F2" s="1" t="s">
        <v>0</v>
      </c>
      <c r="G2" t="s">
        <v>1</v>
      </c>
      <c r="H2" t="s">
        <v>2</v>
      </c>
      <c r="I2" t="s">
        <v>3</v>
      </c>
      <c r="K2" t="s">
        <v>0</v>
      </c>
      <c r="L2" t="s">
        <v>1</v>
      </c>
      <c r="M2" t="s">
        <v>2</v>
      </c>
      <c r="N2" t="s">
        <v>3</v>
      </c>
      <c r="S2" t="s">
        <v>7</v>
      </c>
      <c r="T2" t="s">
        <v>6</v>
      </c>
      <c r="U2" t="s">
        <v>8</v>
      </c>
      <c r="W2" t="s">
        <v>15</v>
      </c>
    </row>
    <row r="3" spans="1:29" x14ac:dyDescent="0.25">
      <c r="F3" s="1">
        <v>42887</v>
      </c>
      <c r="G3" s="2">
        <v>3.4980000000000002</v>
      </c>
      <c r="H3">
        <v>43.953322</v>
      </c>
      <c r="I3" s="2">
        <v>81.270674999999997</v>
      </c>
      <c r="J3" s="2"/>
      <c r="R3" s="1">
        <v>42917</v>
      </c>
      <c r="S3" s="2">
        <v>63.049999999999898</v>
      </c>
      <c r="T3" s="2">
        <v>73.325217962518295</v>
      </c>
      <c r="U3" s="2">
        <v>-10.275217962518299</v>
      </c>
      <c r="W3" s="5">
        <v>3.3807478203748098</v>
      </c>
      <c r="X3" s="2"/>
    </row>
    <row r="4" spans="1:29" x14ac:dyDescent="0.25">
      <c r="A4" s="1">
        <v>42917</v>
      </c>
      <c r="B4" s="2">
        <v>3.38</v>
      </c>
      <c r="C4" s="2">
        <v>55.997176000000003</v>
      </c>
      <c r="D4" s="2">
        <v>80.905293999999998</v>
      </c>
      <c r="E4" s="2"/>
      <c r="F4" s="1">
        <v>42917</v>
      </c>
      <c r="G4" s="2">
        <v>3.38</v>
      </c>
      <c r="H4">
        <v>54.648694999999996</v>
      </c>
      <c r="I4" s="2">
        <v>80.934424000000007</v>
      </c>
      <c r="J4" s="2"/>
      <c r="K4" s="1">
        <v>42917</v>
      </c>
      <c r="L4" s="2">
        <f>B4-G4</f>
        <v>0</v>
      </c>
      <c r="M4" s="2">
        <f>C4-H4</f>
        <v>1.3484810000000067</v>
      </c>
      <c r="N4" s="2">
        <f>D4-I4</f>
        <v>-2.9130000000009204E-2</v>
      </c>
      <c r="O4" s="2"/>
      <c r="P4" s="2"/>
      <c r="R4" s="1">
        <v>42887</v>
      </c>
      <c r="S4" s="2">
        <v>45.21</v>
      </c>
      <c r="T4" s="2">
        <v>61.529521752539999</v>
      </c>
      <c r="U4" s="2">
        <v>-16.319521752539998</v>
      </c>
      <c r="W4" s="5">
        <v>3.4984047824745899</v>
      </c>
      <c r="X4" s="2"/>
    </row>
    <row r="5" spans="1:29" x14ac:dyDescent="0.25">
      <c r="A5" s="1">
        <v>42948</v>
      </c>
      <c r="B5" s="2">
        <v>3.3860000000000001</v>
      </c>
      <c r="C5" s="2">
        <v>52.356087000000002</v>
      </c>
      <c r="D5" s="2">
        <v>80.569507999999999</v>
      </c>
      <c r="E5" s="2"/>
      <c r="F5" s="1">
        <v>42948</v>
      </c>
      <c r="G5" s="2">
        <v>3.3860000000000001</v>
      </c>
      <c r="H5">
        <v>51.025145999999999</v>
      </c>
      <c r="I5" s="2">
        <v>80.599327000000002</v>
      </c>
      <c r="J5" s="2"/>
      <c r="K5" s="1">
        <v>42948</v>
      </c>
      <c r="L5" s="2">
        <f>B5-G5</f>
        <v>0</v>
      </c>
      <c r="M5" s="2">
        <f>C5-H5</f>
        <v>1.3309410000000028</v>
      </c>
      <c r="N5" s="2">
        <f>D5-I5</f>
        <v>-2.9819000000003371E-2</v>
      </c>
      <c r="O5" s="2"/>
      <c r="P5" s="2"/>
    </row>
    <row r="6" spans="1:29" x14ac:dyDescent="0.25">
      <c r="A6" s="1">
        <v>42979</v>
      </c>
      <c r="B6" s="2">
        <v>3.419</v>
      </c>
      <c r="C6" s="2">
        <v>54.792791000000001</v>
      </c>
      <c r="D6" s="2">
        <v>80.234866999999994</v>
      </c>
      <c r="E6" s="2"/>
      <c r="F6" s="1">
        <v>42979</v>
      </c>
      <c r="G6" s="2">
        <v>3.419</v>
      </c>
      <c r="H6">
        <v>53.444090000000003</v>
      </c>
      <c r="I6" s="2">
        <v>80.265552999999997</v>
      </c>
      <c r="J6" s="2"/>
      <c r="K6" s="1">
        <v>42979</v>
      </c>
      <c r="L6" s="2">
        <f>B6-G6</f>
        <v>0</v>
      </c>
      <c r="M6" s="2">
        <f>C6-H6</f>
        <v>1.3487009999999984</v>
      </c>
      <c r="N6" s="2">
        <f>D6-I6</f>
        <v>-3.0686000000002878E-2</v>
      </c>
      <c r="O6" s="2"/>
      <c r="P6" s="2"/>
      <c r="R6" t="s">
        <v>9</v>
      </c>
      <c r="S6" s="2">
        <f>S3-S4</f>
        <v>17.839999999999897</v>
      </c>
      <c r="T6" s="2">
        <f>T3-T4</f>
        <v>11.795696209978296</v>
      </c>
      <c r="U6" s="2">
        <f>U3-U4</f>
        <v>6.0443037900216989</v>
      </c>
      <c r="W6" s="2">
        <f>(W3-W4)*100</f>
        <v>-11.765696209978005</v>
      </c>
      <c r="X6" s="2"/>
    </row>
    <row r="7" spans="1:29" x14ac:dyDescent="0.25">
      <c r="A7" s="1">
        <v>43009</v>
      </c>
      <c r="B7" s="2">
        <v>3.419</v>
      </c>
      <c r="C7" s="2">
        <v>54.760500999999998</v>
      </c>
      <c r="D7" s="2">
        <v>79.900813999999997</v>
      </c>
      <c r="E7" s="2"/>
      <c r="F7" s="1">
        <v>43009</v>
      </c>
      <c r="G7" s="2">
        <v>3.419</v>
      </c>
      <c r="H7">
        <v>53.402715999999998</v>
      </c>
      <c r="I7" s="2">
        <v>79.932266999999996</v>
      </c>
      <c r="J7" s="2"/>
      <c r="K7" s="1">
        <v>43009</v>
      </c>
      <c r="L7" s="2">
        <f>B7-G7</f>
        <v>0</v>
      </c>
      <c r="M7" s="2">
        <f>C7-H7</f>
        <v>1.3577849999999998</v>
      </c>
      <c r="N7" s="2">
        <f>D7-I7</f>
        <v>-3.1452999999999065E-2</v>
      </c>
      <c r="O7" s="2"/>
      <c r="P7" s="2"/>
    </row>
    <row r="8" spans="1:29" x14ac:dyDescent="0.25">
      <c r="A8" s="1">
        <v>43040</v>
      </c>
      <c r="B8" s="2">
        <v>3.419</v>
      </c>
      <c r="C8" s="2">
        <v>61.994852000000002</v>
      </c>
      <c r="D8" s="2">
        <v>79.567475999999999</v>
      </c>
      <c r="E8" s="2"/>
      <c r="F8" s="1">
        <v>43040</v>
      </c>
      <c r="G8" s="2">
        <v>3.419</v>
      </c>
      <c r="H8">
        <v>53.361809999999998</v>
      </c>
      <c r="I8" s="2">
        <v>79.599678999999995</v>
      </c>
      <c r="J8" s="2"/>
      <c r="K8" s="1">
        <v>43040</v>
      </c>
      <c r="L8" s="2">
        <f>B8-G8</f>
        <v>0</v>
      </c>
      <c r="M8" s="2">
        <f>C8-H8</f>
        <v>8.6330420000000032</v>
      </c>
      <c r="N8" s="2">
        <f>D8-I8</f>
        <v>-3.2202999999995541E-2</v>
      </c>
      <c r="O8" s="2"/>
      <c r="P8" s="2"/>
      <c r="S8" t="s">
        <v>16</v>
      </c>
      <c r="T8" t="s">
        <v>17</v>
      </c>
      <c r="U8" t="s">
        <v>18</v>
      </c>
      <c r="V8" t="s">
        <v>19</v>
      </c>
      <c r="W8" t="s">
        <v>24</v>
      </c>
      <c r="X8" t="s">
        <v>23</v>
      </c>
      <c r="Y8" t="s">
        <v>22</v>
      </c>
    </row>
    <row r="9" spans="1:29" x14ac:dyDescent="0.25">
      <c r="A9" s="1">
        <v>43070</v>
      </c>
      <c r="B9" s="2">
        <v>3.419</v>
      </c>
      <c r="C9" s="2">
        <v>61.993409</v>
      </c>
      <c r="D9" s="2">
        <v>79.234072999999995</v>
      </c>
      <c r="E9" s="2"/>
      <c r="F9" s="1">
        <v>43070</v>
      </c>
      <c r="G9" s="2">
        <v>3.419</v>
      </c>
      <c r="H9">
        <v>60.561320000000002</v>
      </c>
      <c r="I9" s="2">
        <v>79.267782999999994</v>
      </c>
      <c r="J9" s="2"/>
      <c r="K9" s="1">
        <v>43070</v>
      </c>
      <c r="L9" s="2">
        <f>B9-G9</f>
        <v>0</v>
      </c>
      <c r="M9" s="2">
        <f>C9-H9</f>
        <v>1.4320889999999977</v>
      </c>
      <c r="N9" s="2">
        <f>D9-I9</f>
        <v>-3.3709999999999241E-2</v>
      </c>
      <c r="O9" s="2"/>
      <c r="P9" s="2"/>
      <c r="R9" s="1">
        <v>42917</v>
      </c>
      <c r="S9">
        <v>175</v>
      </c>
      <c r="T9">
        <v>32</v>
      </c>
      <c r="U9" s="2">
        <v>94.5833333333333</v>
      </c>
      <c r="V9">
        <v>99.15</v>
      </c>
      <c r="W9" s="5">
        <v>3.3807478203748098</v>
      </c>
      <c r="X9" s="5"/>
      <c r="Y9">
        <v>3.8799999999999901</v>
      </c>
      <c r="Z9" t="s">
        <v>20</v>
      </c>
      <c r="AA9">
        <f>Y9*100+V9-(W9*100+S9/4+T9)</f>
        <v>73.325217962518082</v>
      </c>
      <c r="AB9">
        <f>Y9*100+V9-(W10*100+U9)</f>
        <v>54.491884629184767</v>
      </c>
    </row>
    <row r="10" spans="1:29" x14ac:dyDescent="0.25">
      <c r="A10" s="1">
        <v>43101</v>
      </c>
      <c r="B10" s="2">
        <v>3.419</v>
      </c>
      <c r="C10" s="2">
        <v>61.991974999999996</v>
      </c>
      <c r="D10" s="2">
        <v>78.901402000000004</v>
      </c>
      <c r="E10" s="2"/>
      <c r="F10" s="1">
        <v>43101</v>
      </c>
      <c r="G10" s="2">
        <v>3.419</v>
      </c>
      <c r="H10">
        <v>60.55744</v>
      </c>
      <c r="I10" s="2">
        <v>78.935321999999999</v>
      </c>
      <c r="J10" s="2"/>
      <c r="K10" s="1">
        <v>43101</v>
      </c>
      <c r="L10" s="2">
        <f>B10-G10</f>
        <v>0</v>
      </c>
      <c r="M10" s="2">
        <f>C10-H10</f>
        <v>1.4345349999999968</v>
      </c>
      <c r="N10" s="2">
        <f>D10-I10</f>
        <v>-3.3919999999994843E-2</v>
      </c>
      <c r="O10" s="2"/>
      <c r="P10" s="2"/>
      <c r="S10">
        <v>189.75</v>
      </c>
      <c r="T10">
        <v>33.19</v>
      </c>
      <c r="U10">
        <v>95.23</v>
      </c>
      <c r="V10">
        <v>99.15</v>
      </c>
      <c r="W10" s="5">
        <v>3.3807478203748098</v>
      </c>
      <c r="X10" s="5">
        <v>3.7781818181818099</v>
      </c>
      <c r="Y10">
        <v>3.88</v>
      </c>
      <c r="Z10" t="s">
        <v>21</v>
      </c>
      <c r="AA10">
        <f>Y10*100+V10-(W10*100+S10/4+T10)</f>
        <v>68.447717962518993</v>
      </c>
      <c r="AB10">
        <f>Y10*100+V10-(X10*100+U10)</f>
        <v>14.101818181818999</v>
      </c>
      <c r="AC10" s="5">
        <f>W10-X10</f>
        <v>-0.39743399780700006</v>
      </c>
    </row>
    <row r="11" spans="1:29" x14ac:dyDescent="0.25">
      <c r="A11" s="1">
        <v>43132</v>
      </c>
      <c r="B11" s="2">
        <v>3.419</v>
      </c>
      <c r="C11" s="2">
        <v>61.990588000000002</v>
      </c>
      <c r="D11" s="2">
        <v>78.569453999999993</v>
      </c>
      <c r="E11" s="2"/>
      <c r="F11" s="1">
        <v>43132</v>
      </c>
      <c r="G11" s="2">
        <v>3.419</v>
      </c>
      <c r="H11">
        <v>60.553846</v>
      </c>
      <c r="I11" s="2">
        <v>78.603549000000001</v>
      </c>
      <c r="J11" s="2"/>
      <c r="K11" s="1">
        <v>43132</v>
      </c>
      <c r="L11" s="2">
        <f>B11-G11</f>
        <v>0</v>
      </c>
      <c r="M11" s="2">
        <f>C11-H11</f>
        <v>1.4367420000000024</v>
      </c>
      <c r="N11" s="2">
        <f>D11-I11</f>
        <v>-3.4095000000007758E-2</v>
      </c>
      <c r="O11" s="2"/>
      <c r="P11" s="2"/>
      <c r="S11" s="4">
        <f>S9-S10</f>
        <v>-14.75</v>
      </c>
      <c r="T11" s="4">
        <f t="shared" ref="T11:V11" si="0">T9-T10</f>
        <v>-1.1899999999999977</v>
      </c>
      <c r="U11" s="4">
        <f t="shared" si="0"/>
        <v>-0.6466666666667038</v>
      </c>
      <c r="V11" s="4">
        <f t="shared" si="0"/>
        <v>0</v>
      </c>
      <c r="W11" s="5"/>
      <c r="X11" s="5"/>
      <c r="Z11" t="s">
        <v>9</v>
      </c>
    </row>
    <row r="12" spans="1:29" x14ac:dyDescent="0.25">
      <c r="A12" s="1">
        <v>43160</v>
      </c>
      <c r="B12" s="2">
        <v>3.419</v>
      </c>
      <c r="C12" s="2">
        <v>61.989221000000001</v>
      </c>
      <c r="D12" s="2">
        <v>78.238232999999994</v>
      </c>
      <c r="E12" s="2"/>
      <c r="F12" s="1">
        <v>43160</v>
      </c>
      <c r="G12" s="2">
        <v>3.419</v>
      </c>
      <c r="H12">
        <v>60.550173999999998</v>
      </c>
      <c r="I12" s="2">
        <v>78.272513000000004</v>
      </c>
      <c r="J12" s="2"/>
      <c r="K12" s="1">
        <v>43160</v>
      </c>
      <c r="L12" s="2">
        <f>B12-G12</f>
        <v>0</v>
      </c>
      <c r="M12" s="2">
        <f>C12-H12</f>
        <v>1.4390470000000022</v>
      </c>
      <c r="N12" s="2">
        <f>D12-I12</f>
        <v>-3.4280000000009636E-2</v>
      </c>
      <c r="O12" s="2"/>
      <c r="P12" s="2"/>
      <c r="W12" s="5"/>
      <c r="X12" s="5"/>
    </row>
    <row r="13" spans="1:29" x14ac:dyDescent="0.25">
      <c r="A13" s="1">
        <v>43191</v>
      </c>
      <c r="B13" s="2">
        <v>3.419</v>
      </c>
      <c r="C13" s="2">
        <v>61.987869000000003</v>
      </c>
      <c r="D13" s="2">
        <v>77.907736999999997</v>
      </c>
      <c r="E13" s="2"/>
      <c r="F13" s="1">
        <v>43191</v>
      </c>
      <c r="G13" s="2">
        <v>3.419</v>
      </c>
      <c r="H13">
        <v>60.546419</v>
      </c>
      <c r="I13" s="2">
        <v>77.942212999999995</v>
      </c>
      <c r="J13" s="2"/>
      <c r="K13" s="1">
        <v>43191</v>
      </c>
      <c r="L13" s="2">
        <f>B13-G13</f>
        <v>0</v>
      </c>
      <c r="M13" s="2">
        <f>C13-H13</f>
        <v>1.4414500000000032</v>
      </c>
      <c r="N13" s="2">
        <f>D13-I13</f>
        <v>-3.4475999999997953E-2</v>
      </c>
      <c r="O13" s="2"/>
      <c r="P13" s="2"/>
      <c r="R13" s="1">
        <v>42887</v>
      </c>
      <c r="S13">
        <v>175</v>
      </c>
      <c r="T13">
        <v>32</v>
      </c>
      <c r="U13" s="2">
        <v>94.5833333333333</v>
      </c>
      <c r="V13">
        <v>99.12</v>
      </c>
      <c r="W13" s="5">
        <v>3.4984047824745899</v>
      </c>
      <c r="X13" s="5"/>
      <c r="Y13">
        <v>3.88</v>
      </c>
      <c r="Z13" t="s">
        <v>20</v>
      </c>
      <c r="AA13">
        <f>Y13*100+V13-(W13*100+S13/4+T13)</f>
        <v>61.529521752541029</v>
      </c>
      <c r="AB13">
        <f>Y13*100+V13-(W13*100+U13)</f>
        <v>42.696188419207715</v>
      </c>
    </row>
    <row r="14" spans="1:29" x14ac:dyDescent="0.25">
      <c r="A14" s="1">
        <v>43221</v>
      </c>
      <c r="B14" s="2">
        <v>3.419</v>
      </c>
      <c r="C14" s="2">
        <v>61.986553999999998</v>
      </c>
      <c r="D14" s="2">
        <v>77.577961000000002</v>
      </c>
      <c r="E14" s="2"/>
      <c r="F14" s="1">
        <v>43221</v>
      </c>
      <c r="G14" s="2">
        <v>3.419</v>
      </c>
      <c r="H14">
        <v>60.542912999999999</v>
      </c>
      <c r="I14" s="2">
        <v>77.612600999999998</v>
      </c>
      <c r="J14" s="2"/>
      <c r="K14" s="1">
        <v>43221</v>
      </c>
      <c r="L14" s="2">
        <f>B14-G14</f>
        <v>0</v>
      </c>
      <c r="M14" s="2">
        <f>C14-H14</f>
        <v>1.4436409999999995</v>
      </c>
      <c r="N14" s="2">
        <f>D14-I14</f>
        <v>-3.4639999999996007E-2</v>
      </c>
      <c r="O14" s="2"/>
      <c r="P14" s="2"/>
      <c r="S14">
        <v>189.06</v>
      </c>
      <c r="T14">
        <v>33.42</v>
      </c>
      <c r="U14">
        <v>95.21</v>
      </c>
      <c r="V14">
        <v>99.12</v>
      </c>
      <c r="W14" s="5">
        <v>3.4984047824746001</v>
      </c>
      <c r="X14" s="5">
        <v>3.871</v>
      </c>
      <c r="Y14">
        <v>3.88</v>
      </c>
      <c r="Z14" t="s">
        <v>21</v>
      </c>
      <c r="AA14">
        <f>Y14*100+V14-(W14*100+S14/4+T14)</f>
        <v>56.594521752540004</v>
      </c>
      <c r="AB14">
        <f>Y14*100+V14-(X14*100+U14)</f>
        <v>4.8100000000000023</v>
      </c>
      <c r="AC14" s="5">
        <f>W14-X14</f>
        <v>-0.37259521752539992</v>
      </c>
    </row>
    <row r="15" spans="1:29" x14ac:dyDescent="0.25">
      <c r="A15" s="1">
        <v>43252</v>
      </c>
      <c r="B15" s="2">
        <v>3.419</v>
      </c>
      <c r="C15" s="2">
        <v>61.985281000000001</v>
      </c>
      <c r="D15" s="2">
        <v>77.248902999999999</v>
      </c>
      <c r="E15" s="2"/>
      <c r="F15" s="1">
        <v>43252</v>
      </c>
      <c r="G15" s="2">
        <v>3.419</v>
      </c>
      <c r="H15">
        <v>60.539513999999997</v>
      </c>
      <c r="I15" s="2">
        <v>77.283694999999994</v>
      </c>
      <c r="J15" s="2"/>
      <c r="K15" s="1">
        <v>43252</v>
      </c>
      <c r="L15" s="2">
        <f>B15-G15</f>
        <v>0</v>
      </c>
      <c r="M15" s="2">
        <f>C15-H15</f>
        <v>1.4457670000000036</v>
      </c>
      <c r="N15" s="2">
        <f>D15-I15</f>
        <v>-3.4791999999995937E-2</v>
      </c>
      <c r="O15" s="2"/>
      <c r="P15" s="2"/>
      <c r="S15" s="4">
        <f>S13-S14</f>
        <v>-14.060000000000002</v>
      </c>
      <c r="T15" s="4">
        <f t="shared" ref="T15:V15" si="1">T13-T14</f>
        <v>-1.4200000000000017</v>
      </c>
      <c r="U15" s="4">
        <f t="shared" si="1"/>
        <v>-0.62666666666669357</v>
      </c>
      <c r="V15" s="4">
        <f t="shared" si="1"/>
        <v>0</v>
      </c>
      <c r="Z15" t="s">
        <v>9</v>
      </c>
    </row>
    <row r="16" spans="1:29" x14ac:dyDescent="0.25">
      <c r="A16" s="1">
        <v>43282</v>
      </c>
      <c r="B16" s="2">
        <v>3.419</v>
      </c>
      <c r="C16" s="2">
        <v>61.984048999999999</v>
      </c>
      <c r="D16" s="2">
        <v>76.920562000000004</v>
      </c>
      <c r="E16" s="2"/>
      <c r="F16" s="1">
        <v>43282</v>
      </c>
      <c r="G16" s="2">
        <v>3.419</v>
      </c>
      <c r="H16">
        <v>60.536212999999996</v>
      </c>
      <c r="I16" s="2">
        <v>76.955494999999999</v>
      </c>
      <c r="J16" s="2"/>
      <c r="K16" s="1">
        <v>43282</v>
      </c>
      <c r="L16" s="2">
        <f>B16-G16</f>
        <v>0</v>
      </c>
      <c r="M16" s="2">
        <f>C16-H16</f>
        <v>1.4478360000000023</v>
      </c>
      <c r="N16" s="2">
        <f>D16-I16</f>
        <v>-3.4932999999995218E-2</v>
      </c>
      <c r="O16" s="2"/>
      <c r="P16" s="2"/>
    </row>
    <row r="17" spans="1:29" x14ac:dyDescent="0.25">
      <c r="A17" s="1">
        <v>43313</v>
      </c>
      <c r="B17" s="2">
        <v>3.419</v>
      </c>
      <c r="C17" s="2">
        <v>61.982871000000003</v>
      </c>
      <c r="D17" s="2">
        <v>76.592932000000005</v>
      </c>
      <c r="E17" s="2"/>
      <c r="F17" s="1">
        <v>43313</v>
      </c>
      <c r="G17" s="2">
        <v>3.419</v>
      </c>
      <c r="H17">
        <v>60.533028000000002</v>
      </c>
      <c r="I17" s="2">
        <v>76.627995999999996</v>
      </c>
      <c r="J17" s="2"/>
      <c r="K17" s="1">
        <v>43313</v>
      </c>
      <c r="L17" s="2">
        <f>B17-G17</f>
        <v>0</v>
      </c>
      <c r="M17" s="2">
        <f>C17-H17</f>
        <v>1.4498430000000013</v>
      </c>
      <c r="N17" s="2">
        <f>D17-I17</f>
        <v>-3.5063999999991324E-2</v>
      </c>
      <c r="O17" s="2"/>
      <c r="P17" s="2"/>
      <c r="AC17" s="5">
        <f>AC10-AC14</f>
        <v>-2.4838780281600137E-2</v>
      </c>
    </row>
    <row r="18" spans="1:29" x14ac:dyDescent="0.25">
      <c r="A18" s="1">
        <v>43344</v>
      </c>
      <c r="B18" s="2">
        <v>3.419</v>
      </c>
      <c r="C18" s="2">
        <v>61.981735</v>
      </c>
      <c r="D18" s="2">
        <v>76.266015999999993</v>
      </c>
      <c r="E18" s="2"/>
      <c r="F18" s="1">
        <v>43344</v>
      </c>
      <c r="G18" s="2">
        <v>3.419</v>
      </c>
      <c r="H18">
        <v>60.529944</v>
      </c>
      <c r="I18" s="2">
        <v>76.301198999999997</v>
      </c>
      <c r="J18" s="2"/>
      <c r="K18" s="1">
        <v>43344</v>
      </c>
      <c r="L18" s="2">
        <f>B18-G18</f>
        <v>0</v>
      </c>
      <c r="M18" s="2">
        <f>C18-H18</f>
        <v>1.4517910000000001</v>
      </c>
      <c r="N18" s="2">
        <f>D18-I18</f>
        <v>-3.5183000000003517E-2</v>
      </c>
      <c r="O18" s="2"/>
      <c r="P18" s="2"/>
      <c r="W18" s="5">
        <f>W10-W14</f>
        <v>-0.11765696209979026</v>
      </c>
      <c r="X18" s="5">
        <f>X10-X14</f>
        <v>-9.2818181818190126E-2</v>
      </c>
    </row>
    <row r="19" spans="1:29" x14ac:dyDescent="0.25">
      <c r="A19" s="1">
        <v>43374</v>
      </c>
      <c r="B19" s="2">
        <v>3.419</v>
      </c>
      <c r="C19" s="2">
        <v>61.980656000000003</v>
      </c>
      <c r="D19" s="2">
        <v>75.939807999999999</v>
      </c>
      <c r="E19" s="2"/>
      <c r="F19" s="1">
        <v>43374</v>
      </c>
      <c r="G19" s="2">
        <v>3.419</v>
      </c>
      <c r="H19">
        <v>60.526994999999999</v>
      </c>
      <c r="I19" s="2">
        <v>75.975098000000003</v>
      </c>
      <c r="J19" s="2"/>
      <c r="K19" s="1">
        <v>43374</v>
      </c>
      <c r="L19" s="2">
        <f>B19-G19</f>
        <v>0</v>
      </c>
      <c r="M19" s="2">
        <f>C19-H19</f>
        <v>1.4536610000000039</v>
      </c>
      <c r="N19" s="2">
        <f>D19-I19</f>
        <v>-3.5290000000003374E-2</v>
      </c>
      <c r="O19" s="2"/>
      <c r="P19" s="2"/>
    </row>
    <row r="20" spans="1:29" x14ac:dyDescent="0.25">
      <c r="A20" s="1">
        <v>43405</v>
      </c>
      <c r="B20" s="2">
        <v>3.419</v>
      </c>
      <c r="C20" s="2">
        <v>61.979619</v>
      </c>
      <c r="D20" s="2">
        <v>75.614309000000006</v>
      </c>
      <c r="E20" s="2"/>
      <c r="F20" s="1">
        <v>43405</v>
      </c>
      <c r="G20" s="2">
        <v>3.419</v>
      </c>
      <c r="H20">
        <v>60.524160000000002</v>
      </c>
      <c r="I20" s="2">
        <v>75.649694999999994</v>
      </c>
      <c r="J20" s="2"/>
      <c r="K20" s="1">
        <v>43405</v>
      </c>
      <c r="L20" s="2">
        <f>B20-G20</f>
        <v>0</v>
      </c>
      <c r="M20" s="2">
        <f>C20-H20</f>
        <v>1.4554589999999976</v>
      </c>
      <c r="N20" s="2">
        <f>D20-I20</f>
        <v>-3.5385999999988371E-2</v>
      </c>
      <c r="O20" s="2"/>
      <c r="P20" s="2"/>
    </row>
    <row r="21" spans="1:29" x14ac:dyDescent="0.25">
      <c r="A21" s="1">
        <v>43435</v>
      </c>
      <c r="B21" s="2">
        <v>3.419</v>
      </c>
      <c r="C21" s="2">
        <v>61.978637999999997</v>
      </c>
      <c r="D21" s="2">
        <v>75.289516000000006</v>
      </c>
      <c r="E21" s="2"/>
      <c r="F21" s="1">
        <v>43435</v>
      </c>
      <c r="G21" s="2">
        <v>3.419</v>
      </c>
      <c r="H21">
        <v>67.554900000000004</v>
      </c>
      <c r="I21" s="2">
        <v>75.324983000000003</v>
      </c>
      <c r="J21" s="2"/>
      <c r="K21" s="1">
        <v>43435</v>
      </c>
      <c r="L21" s="2">
        <f>B21-G21</f>
        <v>0</v>
      </c>
      <c r="M21" s="2">
        <f>C21-H21</f>
        <v>-5.5762620000000069</v>
      </c>
      <c r="N21" s="2">
        <f>D21-I21</f>
        <v>-3.5466999999997029E-2</v>
      </c>
      <c r="O21" s="2"/>
      <c r="P21" s="2"/>
    </row>
    <row r="22" spans="1:29" x14ac:dyDescent="0.25">
      <c r="A22" s="1">
        <v>43466</v>
      </c>
      <c r="B22" s="2">
        <v>3.419</v>
      </c>
      <c r="C22" s="2">
        <v>69.008218999999997</v>
      </c>
      <c r="D22" s="2">
        <v>74.965427000000005</v>
      </c>
      <c r="E22" s="2"/>
      <c r="F22" s="1">
        <v>43466</v>
      </c>
      <c r="G22" s="2">
        <v>3.419</v>
      </c>
      <c r="H22">
        <v>67.536013999999994</v>
      </c>
      <c r="I22" s="2">
        <v>75.001592000000002</v>
      </c>
      <c r="J22" s="2"/>
      <c r="K22" s="1">
        <v>43466</v>
      </c>
      <c r="L22" s="2">
        <f>B22-G22</f>
        <v>0</v>
      </c>
      <c r="M22" s="2">
        <f>C22-H22</f>
        <v>1.4722050000000024</v>
      </c>
      <c r="N22" s="2">
        <f>D22-I22</f>
        <v>-3.6164999999996894E-2</v>
      </c>
      <c r="O22" s="2"/>
      <c r="P22" s="2"/>
    </row>
    <row r="23" spans="1:29" x14ac:dyDescent="0.25">
      <c r="A23" s="1">
        <v>43497</v>
      </c>
      <c r="B23" s="2">
        <v>3.419</v>
      </c>
      <c r="C23" s="2">
        <v>71.735059000000007</v>
      </c>
      <c r="D23" s="2">
        <v>74.642369000000002</v>
      </c>
      <c r="E23" s="2"/>
      <c r="F23" s="1">
        <v>43497</v>
      </c>
      <c r="G23" s="2">
        <v>3.419</v>
      </c>
      <c r="H23">
        <v>67.519414999999995</v>
      </c>
      <c r="I23" s="2">
        <v>74.678783999999993</v>
      </c>
      <c r="J23" s="2"/>
      <c r="K23" s="1">
        <v>43497</v>
      </c>
      <c r="L23" s="2">
        <f>B23-G23</f>
        <v>0</v>
      </c>
      <c r="M23" s="2">
        <f>C23-H23</f>
        <v>4.2156440000000117</v>
      </c>
      <c r="N23" s="2">
        <f>D23-I23</f>
        <v>-3.6414999999990982E-2</v>
      </c>
      <c r="O23" s="2"/>
      <c r="P23" s="2"/>
    </row>
    <row r="24" spans="1:29" x14ac:dyDescent="0.25">
      <c r="A24" s="1">
        <v>43525</v>
      </c>
      <c r="B24" s="2">
        <v>3.419</v>
      </c>
      <c r="C24" s="2">
        <v>71.730515999999994</v>
      </c>
      <c r="D24" s="2">
        <v>74.319827000000004</v>
      </c>
      <c r="E24" s="2"/>
      <c r="F24" s="1">
        <v>43525</v>
      </c>
      <c r="G24" s="2">
        <v>3.419</v>
      </c>
      <c r="H24">
        <v>70.251756999999998</v>
      </c>
      <c r="I24" s="2">
        <v>74.356701999999999</v>
      </c>
      <c r="J24" s="2"/>
      <c r="K24" s="1">
        <v>43525</v>
      </c>
      <c r="L24" s="2">
        <f>B24-G24</f>
        <v>0</v>
      </c>
      <c r="M24" s="2">
        <f>C24-H24</f>
        <v>1.4787589999999966</v>
      </c>
      <c r="N24" s="2">
        <f>D24-I24</f>
        <v>-3.6874999999994884E-2</v>
      </c>
      <c r="O24" s="2"/>
      <c r="P24" s="2"/>
    </row>
    <row r="25" spans="1:29" x14ac:dyDescent="0.25">
      <c r="A25" s="1">
        <v>43556</v>
      </c>
      <c r="B25" s="2">
        <v>3.419</v>
      </c>
      <c r="C25" s="2">
        <v>71.726026000000005</v>
      </c>
      <c r="D25" s="2">
        <v>73.997985</v>
      </c>
      <c r="E25" s="2"/>
      <c r="F25" s="1">
        <v>43556</v>
      </c>
      <c r="G25" s="2">
        <v>3.419</v>
      </c>
      <c r="H25">
        <v>70.244580999999997</v>
      </c>
      <c r="I25" s="2">
        <v>74.034977999999995</v>
      </c>
      <c r="J25" s="2"/>
      <c r="K25" s="1">
        <v>43556</v>
      </c>
      <c r="L25" s="2">
        <f>B25-G25</f>
        <v>0</v>
      </c>
      <c r="M25" s="2">
        <f>C25-H25</f>
        <v>1.4814450000000079</v>
      </c>
      <c r="N25" s="2">
        <f>D25-I25</f>
        <v>-3.6992999999995391E-2</v>
      </c>
      <c r="O25" s="2"/>
      <c r="P25" s="2"/>
    </row>
    <row r="26" spans="1:29" x14ac:dyDescent="0.25">
      <c r="A26" s="1">
        <v>43586</v>
      </c>
      <c r="B26" s="2">
        <v>3.419</v>
      </c>
      <c r="C26" s="2">
        <v>71.721956000000006</v>
      </c>
      <c r="D26" s="2">
        <v>73.676822999999999</v>
      </c>
      <c r="E26" s="2"/>
      <c r="F26" s="1">
        <v>43586</v>
      </c>
      <c r="G26" s="2">
        <v>3.419</v>
      </c>
      <c r="H26">
        <v>70.238168000000002</v>
      </c>
      <c r="I26" s="2">
        <v>73.713898</v>
      </c>
      <c r="J26" s="2"/>
      <c r="K26" s="1">
        <v>43586</v>
      </c>
      <c r="L26" s="2">
        <f>B26-G26</f>
        <v>0</v>
      </c>
      <c r="M26" s="2">
        <f>C26-H26</f>
        <v>1.4837880000000041</v>
      </c>
      <c r="N26" s="2">
        <f>D26-I26</f>
        <v>-3.7075000000001523E-2</v>
      </c>
      <c r="O26" s="2"/>
      <c r="P26" s="2"/>
    </row>
    <row r="27" spans="1:29" x14ac:dyDescent="0.25">
      <c r="A27" s="1">
        <v>43617</v>
      </c>
      <c r="B27" s="2">
        <v>3.419</v>
      </c>
      <c r="C27" s="2">
        <v>71.718124000000003</v>
      </c>
      <c r="D27" s="2">
        <v>73.356347999999997</v>
      </c>
      <c r="E27" s="2"/>
      <c r="K27" s="1"/>
    </row>
    <row r="28" spans="1:29" x14ac:dyDescent="0.25">
      <c r="K28" s="1"/>
    </row>
    <row r="29" spans="1:29" x14ac:dyDescent="0.25">
      <c r="K29" s="1"/>
    </row>
    <row r="30" spans="1:29" x14ac:dyDescent="0.25">
      <c r="K30" s="1"/>
    </row>
    <row r="31" spans="1:29" x14ac:dyDescent="0.25">
      <c r="F31" s="1">
        <v>42887</v>
      </c>
      <c r="H31">
        <v>45.21</v>
      </c>
      <c r="K31" s="1"/>
      <c r="L31" s="2"/>
      <c r="M31" s="2"/>
      <c r="N31" s="2"/>
    </row>
    <row r="32" spans="1:29" x14ac:dyDescent="0.25">
      <c r="A32" s="1">
        <v>42917</v>
      </c>
      <c r="C32">
        <v>63.05</v>
      </c>
      <c r="F32" s="1">
        <v>42917</v>
      </c>
      <c r="H32">
        <v>56.98</v>
      </c>
      <c r="K32" s="1">
        <v>42917</v>
      </c>
      <c r="L32" s="2"/>
      <c r="M32" s="2">
        <f>C32-H32</f>
        <v>6.07</v>
      </c>
      <c r="N32" s="2"/>
    </row>
    <row r="33" spans="1:13" x14ac:dyDescent="0.25">
      <c r="A33" s="1">
        <v>42948</v>
      </c>
      <c r="C33">
        <v>62.43</v>
      </c>
      <c r="F33" s="1">
        <v>42948</v>
      </c>
      <c r="H33">
        <v>56.36</v>
      </c>
      <c r="K33" s="1">
        <v>42948</v>
      </c>
      <c r="L33" s="2"/>
      <c r="M33" s="2">
        <f>C33-H33</f>
        <v>6.07</v>
      </c>
    </row>
    <row r="34" spans="1:13" x14ac:dyDescent="0.25">
      <c r="K34" s="1"/>
    </row>
    <row r="35" spans="1:13" x14ac:dyDescent="0.25">
      <c r="K35" s="1"/>
    </row>
    <row r="36" spans="1:13" x14ac:dyDescent="0.25">
      <c r="K36" s="1"/>
    </row>
    <row r="37" spans="1:13" x14ac:dyDescent="0.25">
      <c r="K37" s="1"/>
    </row>
    <row r="38" spans="1:13" x14ac:dyDescent="0.25">
      <c r="K38" s="1"/>
    </row>
    <row r="39" spans="1:13" x14ac:dyDescent="0.25">
      <c r="B39" t="s">
        <v>2</v>
      </c>
      <c r="C39" t="s">
        <v>2</v>
      </c>
      <c r="K39" s="1"/>
    </row>
    <row r="40" spans="1:13" x14ac:dyDescent="0.25">
      <c r="A40" s="1">
        <v>42917</v>
      </c>
      <c r="B40" s="2">
        <v>55.997</v>
      </c>
      <c r="C40" s="2">
        <v>55.997176000000003</v>
      </c>
      <c r="K40" s="1"/>
    </row>
    <row r="41" spans="1:13" x14ac:dyDescent="0.25">
      <c r="A41" s="1">
        <v>42948</v>
      </c>
      <c r="B41" s="2">
        <v>55.360999999999997</v>
      </c>
      <c r="C41" s="2">
        <v>52.356087000000002</v>
      </c>
      <c r="K41" s="1"/>
    </row>
    <row r="42" spans="1:13" x14ac:dyDescent="0.25">
      <c r="A42" s="1">
        <v>42979</v>
      </c>
      <c r="B42" s="2">
        <v>66.715000000000003</v>
      </c>
      <c r="C42" s="2">
        <v>54.792791000000001</v>
      </c>
      <c r="K42" s="1"/>
    </row>
    <row r="43" spans="1:13" x14ac:dyDescent="0.25">
      <c r="A43" s="1">
        <v>43009</v>
      </c>
      <c r="B43" s="6">
        <v>66.596000000000004</v>
      </c>
      <c r="C43" s="2">
        <v>54.760500999999998</v>
      </c>
      <c r="K43" s="1"/>
    </row>
    <row r="44" spans="1:13" x14ac:dyDescent="0.25">
      <c r="A44" s="1">
        <v>43040</v>
      </c>
      <c r="B44" s="6">
        <v>73.781000000000006</v>
      </c>
      <c r="C44" s="2">
        <v>61.994852000000002</v>
      </c>
      <c r="K44" s="1"/>
    </row>
    <row r="45" spans="1:13" x14ac:dyDescent="0.25">
      <c r="A45" s="1">
        <v>43070</v>
      </c>
      <c r="B45" s="2">
        <v>73.741</v>
      </c>
      <c r="C45" s="2">
        <v>61.993409</v>
      </c>
      <c r="K45" s="1"/>
    </row>
    <row r="46" spans="1:13" x14ac:dyDescent="0.25">
      <c r="A46" s="1">
        <v>43101</v>
      </c>
      <c r="B46" s="2">
        <v>73.701999999999998</v>
      </c>
      <c r="C46" s="2">
        <v>61.991974999999996</v>
      </c>
      <c r="K46" s="1"/>
    </row>
    <row r="47" spans="1:13" x14ac:dyDescent="0.25">
      <c r="A47" s="1">
        <v>43132</v>
      </c>
      <c r="B47" s="2">
        <v>73.667000000000002</v>
      </c>
      <c r="C47" s="2">
        <v>61.990588000000002</v>
      </c>
      <c r="K47" s="1"/>
    </row>
    <row r="48" spans="1:13" x14ac:dyDescent="0.25">
      <c r="A48" s="1">
        <v>43160</v>
      </c>
      <c r="B48" s="2">
        <v>73.63</v>
      </c>
      <c r="C48" s="2">
        <v>61.989221000000001</v>
      </c>
      <c r="K48" s="1"/>
    </row>
    <row r="49" spans="1:11" x14ac:dyDescent="0.25">
      <c r="A49" s="1">
        <v>43191</v>
      </c>
      <c r="B49" s="2">
        <v>73.59</v>
      </c>
      <c r="C49" s="2">
        <v>61.987869000000003</v>
      </c>
      <c r="K49" s="1"/>
    </row>
    <row r="50" spans="1:11" x14ac:dyDescent="0.25">
      <c r="A50" s="1">
        <v>43221</v>
      </c>
      <c r="B50" s="2">
        <v>73.555000000000007</v>
      </c>
      <c r="C50" s="2">
        <v>61.986553999999998</v>
      </c>
      <c r="K50" s="1"/>
    </row>
    <row r="51" spans="1:11" x14ac:dyDescent="0.25">
      <c r="A51" s="1">
        <v>43252</v>
      </c>
      <c r="B51" s="2">
        <v>73.521000000000001</v>
      </c>
      <c r="C51" s="2">
        <v>61.985281000000001</v>
      </c>
      <c r="K51" s="1"/>
    </row>
    <row r="52" spans="1:11" x14ac:dyDescent="0.25">
      <c r="A52" s="1">
        <v>43282</v>
      </c>
      <c r="B52" s="2">
        <v>73.488</v>
      </c>
      <c r="C52" s="2">
        <v>61.984048999999999</v>
      </c>
      <c r="K52" s="1"/>
    </row>
    <row r="53" spans="1:11" x14ac:dyDescent="0.25">
      <c r="A53" s="1">
        <v>43313</v>
      </c>
      <c r="B53" s="2">
        <v>73.456999999999994</v>
      </c>
      <c r="C53" s="2">
        <v>61.982871000000003</v>
      </c>
      <c r="K53" s="1"/>
    </row>
    <row r="54" spans="1:11" x14ac:dyDescent="0.25">
      <c r="A54" s="1">
        <v>43344</v>
      </c>
      <c r="B54" s="2">
        <v>73.427000000000007</v>
      </c>
      <c r="C54" s="2">
        <v>61.981735</v>
      </c>
      <c r="K54" s="1"/>
    </row>
    <row r="55" spans="1:11" x14ac:dyDescent="0.25">
      <c r="A55" s="1">
        <v>43374</v>
      </c>
      <c r="B55" s="2">
        <v>73.397999999999996</v>
      </c>
      <c r="C55" s="2">
        <v>61.980656000000003</v>
      </c>
      <c r="K55" s="1"/>
    </row>
    <row r="56" spans="1:11" x14ac:dyDescent="0.25">
      <c r="A56" s="1">
        <v>43405</v>
      </c>
      <c r="B56" s="2">
        <v>73.370999999999995</v>
      </c>
      <c r="C56" s="2">
        <v>61.979619</v>
      </c>
      <c r="K56" s="1"/>
    </row>
    <row r="57" spans="1:11" x14ac:dyDescent="0.25">
      <c r="A57" s="1">
        <v>43435</v>
      </c>
      <c r="B57" s="2">
        <v>73.344999999999999</v>
      </c>
      <c r="C57" s="2">
        <v>61.978637999999997</v>
      </c>
      <c r="K57" s="1"/>
    </row>
    <row r="58" spans="1:11" x14ac:dyDescent="0.25">
      <c r="A58" s="1">
        <v>43466</v>
      </c>
      <c r="B58" s="2">
        <v>80.144999999999996</v>
      </c>
      <c r="C58" s="2">
        <v>69.008218999999997</v>
      </c>
      <c r="K58" s="1"/>
    </row>
    <row r="59" spans="1:11" x14ac:dyDescent="0.25">
      <c r="A59" s="1">
        <v>43497</v>
      </c>
      <c r="B59" s="2">
        <v>82.941999999999993</v>
      </c>
      <c r="C59" s="2">
        <v>71.735059000000007</v>
      </c>
      <c r="K59" s="1"/>
    </row>
    <row r="60" spans="1:11" x14ac:dyDescent="0.25">
      <c r="A60" s="1">
        <v>43525</v>
      </c>
      <c r="B60" s="2">
        <v>82.911000000000001</v>
      </c>
      <c r="C60" s="2">
        <v>71.730515999999994</v>
      </c>
      <c r="K60" s="1"/>
    </row>
    <row r="61" spans="1:11" x14ac:dyDescent="0.25">
      <c r="A61" s="1">
        <v>43556</v>
      </c>
      <c r="B61" s="2">
        <v>82.879000000000005</v>
      </c>
      <c r="C61" s="2">
        <v>71.726026000000005</v>
      </c>
      <c r="K61" s="1"/>
    </row>
    <row r="62" spans="1:11" x14ac:dyDescent="0.25">
      <c r="A62" s="1">
        <v>43586</v>
      </c>
      <c r="B62" s="2">
        <v>82.850999999999999</v>
      </c>
      <c r="C62" s="2">
        <v>71.721956000000006</v>
      </c>
    </row>
    <row r="63" spans="1:11" x14ac:dyDescent="0.25">
      <c r="A63" s="1">
        <v>43617</v>
      </c>
      <c r="B63" s="2">
        <v>82.825000000000003</v>
      </c>
      <c r="C63" s="2">
        <v>71.718124000000003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Views>
    <sheetView workbookViewId="0">
      <selection activeCell="G52" sqref="G52"/>
    </sheetView>
  </sheetViews>
  <sheetFormatPr defaultRowHeight="15" x14ac:dyDescent="0.25"/>
  <cols>
    <col min="1" max="1" width="13.5703125" bestFit="1" customWidth="1"/>
    <col min="6" max="6" width="12" bestFit="1" customWidth="1"/>
    <col min="8" max="8" width="13.5703125" bestFit="1" customWidth="1"/>
    <col min="13" max="13" width="11.5703125" bestFit="1" customWidth="1"/>
    <col min="20" max="20" width="12.28515625" bestFit="1" customWidth="1"/>
  </cols>
  <sheetData>
    <row r="1" spans="1:27" x14ac:dyDescent="0.25">
      <c r="A1" t="s">
        <v>12</v>
      </c>
      <c r="B1" t="s">
        <v>13</v>
      </c>
      <c r="H1" t="s">
        <v>11</v>
      </c>
      <c r="I1" t="s">
        <v>13</v>
      </c>
    </row>
    <row r="2" spans="1:27" x14ac:dyDescent="0.25">
      <c r="A2" s="1" t="s">
        <v>0</v>
      </c>
      <c r="B2" t="s">
        <v>1</v>
      </c>
      <c r="C2" t="s">
        <v>2</v>
      </c>
      <c r="D2" t="s">
        <v>3</v>
      </c>
      <c r="E2" t="s">
        <v>10</v>
      </c>
      <c r="H2" s="1" t="s">
        <v>0</v>
      </c>
      <c r="I2" t="s">
        <v>1</v>
      </c>
      <c r="J2" t="s">
        <v>2</v>
      </c>
      <c r="K2" t="s">
        <v>3</v>
      </c>
      <c r="L2" t="s">
        <v>10</v>
      </c>
      <c r="O2" t="s">
        <v>0</v>
      </c>
      <c r="P2" t="s">
        <v>1</v>
      </c>
      <c r="Q2" t="s">
        <v>2</v>
      </c>
      <c r="R2" t="s">
        <v>3</v>
      </c>
      <c r="W2" t="s">
        <v>7</v>
      </c>
      <c r="X2" t="s">
        <v>6</v>
      </c>
      <c r="Y2" t="s">
        <v>8</v>
      </c>
    </row>
    <row r="3" spans="1:27" x14ac:dyDescent="0.25">
      <c r="A3" s="1"/>
      <c r="B3" s="2"/>
      <c r="C3" s="2"/>
      <c r="D3" s="2"/>
      <c r="H3" s="1">
        <v>42887</v>
      </c>
      <c r="I3" s="2">
        <v>3.871</v>
      </c>
      <c r="J3" s="2">
        <v>104.68</v>
      </c>
      <c r="K3" s="2">
        <v>75.12</v>
      </c>
      <c r="L3" s="2">
        <f>J3-$Y$4</f>
        <v>112.67125</v>
      </c>
      <c r="M3" s="3"/>
      <c r="V3" s="1">
        <v>42917</v>
      </c>
      <c r="W3" s="2">
        <v>118.52</v>
      </c>
      <c r="X3" s="2">
        <v>130.62611818181799</v>
      </c>
      <c r="Y3" s="2">
        <v>-12.106118181817999</v>
      </c>
      <c r="AA3" s="2">
        <v>3.871</v>
      </c>
    </row>
    <row r="4" spans="1:27" x14ac:dyDescent="0.25">
      <c r="A4" s="1">
        <v>42917</v>
      </c>
      <c r="B4" s="2">
        <v>3.7781820000000002</v>
      </c>
      <c r="C4" s="2">
        <v>118.52</v>
      </c>
      <c r="D4" s="2">
        <v>74.849999999999994</v>
      </c>
      <c r="E4" s="2">
        <f>C4-$Y$3</f>
        <v>130.62611818181799</v>
      </c>
      <c r="F4" s="3"/>
      <c r="H4" s="1">
        <v>42917</v>
      </c>
      <c r="I4" s="2">
        <v>3.7781820000000002</v>
      </c>
      <c r="J4" s="2">
        <v>122.55556799999999</v>
      </c>
      <c r="K4" s="2">
        <v>74.794639000000004</v>
      </c>
      <c r="L4" s="2">
        <f>J4-$Y$4</f>
        <v>130.54681799999997</v>
      </c>
      <c r="M4" s="3"/>
      <c r="O4" s="1">
        <v>42917</v>
      </c>
      <c r="P4" s="2">
        <f t="shared" ref="P4:P26" si="0">B5-I4</f>
        <v>6.9083999999999701E-2</v>
      </c>
      <c r="Q4" s="2">
        <f t="shared" ref="Q4:Q26" si="1">C5-J4</f>
        <v>-10.943961999999999</v>
      </c>
      <c r="R4" s="2">
        <f t="shared" ref="R4:R26" si="2">D5-K4</f>
        <v>-0.2696510000000103</v>
      </c>
      <c r="S4" s="2"/>
      <c r="T4" s="3"/>
      <c r="V4" s="1">
        <v>42887</v>
      </c>
      <c r="W4" s="2">
        <v>104.68</v>
      </c>
      <c r="X4" s="2">
        <v>112.67125</v>
      </c>
      <c r="Y4" s="2">
        <v>-7.9912499999999902</v>
      </c>
      <c r="AA4" s="2">
        <v>3.7781820000000002</v>
      </c>
    </row>
    <row r="5" spans="1:27" x14ac:dyDescent="0.25">
      <c r="A5" s="1">
        <v>42948</v>
      </c>
      <c r="B5" s="2">
        <v>3.8472659999999999</v>
      </c>
      <c r="C5" s="2">
        <v>111.61160599999999</v>
      </c>
      <c r="D5" s="2">
        <v>74.524987999999993</v>
      </c>
      <c r="E5" s="2">
        <f t="shared" ref="E5:E27" si="3">C5-$Y$3</f>
        <v>123.717724181818</v>
      </c>
      <c r="F5" s="3"/>
      <c r="H5" s="1">
        <v>42948</v>
      </c>
      <c r="I5" s="2">
        <v>3.8472659999999999</v>
      </c>
      <c r="J5" s="2">
        <v>115.64717400000001</v>
      </c>
      <c r="K5" s="2">
        <v>74.469866999999994</v>
      </c>
      <c r="L5" s="2">
        <f t="shared" ref="L5:L26" si="4">J5-$Y$4</f>
        <v>123.638424</v>
      </c>
      <c r="M5" s="3"/>
      <c r="O5" s="1">
        <v>42948</v>
      </c>
      <c r="P5" s="2">
        <f t="shared" si="0"/>
        <v>-4.6148999999999774E-2</v>
      </c>
      <c r="Q5" s="2">
        <f t="shared" si="1"/>
        <v>0.57934599999998682</v>
      </c>
      <c r="R5" s="2">
        <f t="shared" si="2"/>
        <v>-0.26930199999999616</v>
      </c>
      <c r="S5" s="2"/>
      <c r="T5" s="3"/>
    </row>
    <row r="6" spans="1:27" x14ac:dyDescent="0.25">
      <c r="A6" s="1">
        <v>42979</v>
      </c>
      <c r="B6" s="2">
        <v>3.8011170000000001</v>
      </c>
      <c r="C6" s="2">
        <v>116.22651999999999</v>
      </c>
      <c r="D6" s="2">
        <v>74.200564999999997</v>
      </c>
      <c r="E6" s="2">
        <f t="shared" si="3"/>
        <v>128.332638181818</v>
      </c>
      <c r="F6" s="3"/>
      <c r="H6" s="1">
        <v>42979</v>
      </c>
      <c r="I6" s="2">
        <v>3.8011170000000001</v>
      </c>
      <c r="J6" s="2">
        <v>120.26208800000001</v>
      </c>
      <c r="K6" s="2">
        <v>74.145684000000003</v>
      </c>
      <c r="L6" s="2">
        <f t="shared" si="4"/>
        <v>128.25333799999999</v>
      </c>
      <c r="M6" s="3"/>
      <c r="O6" s="1">
        <v>42979</v>
      </c>
      <c r="P6" s="2">
        <f t="shared" si="0"/>
        <v>0</v>
      </c>
      <c r="Q6" s="2">
        <f t="shared" si="1"/>
        <v>-4.035568000000012</v>
      </c>
      <c r="R6" s="2">
        <f t="shared" si="2"/>
        <v>-0.26895600000000286</v>
      </c>
      <c r="S6" s="2"/>
      <c r="T6" s="3"/>
      <c r="V6" t="s">
        <v>9</v>
      </c>
      <c r="W6" s="2">
        <f>W3-W4</f>
        <v>13.839999999999989</v>
      </c>
      <c r="X6" s="2">
        <f>X3-X4</f>
        <v>17.954868181817986</v>
      </c>
      <c r="Y6" s="2">
        <f>Y3-Y4</f>
        <v>-4.1148681818180091</v>
      </c>
      <c r="AA6" s="2">
        <f>(AA3-AA4)*100</f>
        <v>9.2817999999999845</v>
      </c>
    </row>
    <row r="7" spans="1:27" x14ac:dyDescent="0.25">
      <c r="A7" s="1">
        <v>43009</v>
      </c>
      <c r="B7" s="2">
        <v>3.8011170000000001</v>
      </c>
      <c r="C7" s="2">
        <v>116.22651999999999</v>
      </c>
      <c r="D7" s="2">
        <v>73.876728</v>
      </c>
      <c r="E7" s="2">
        <f t="shared" si="3"/>
        <v>128.332638181818</v>
      </c>
      <c r="F7" s="3"/>
      <c r="H7" s="1">
        <v>43009</v>
      </c>
      <c r="I7" s="2">
        <v>3.8011170000000001</v>
      </c>
      <c r="J7" s="2">
        <v>120.26208800000001</v>
      </c>
      <c r="K7" s="2">
        <v>73.822086999999996</v>
      </c>
      <c r="L7" s="2">
        <f t="shared" si="4"/>
        <v>128.25333799999999</v>
      </c>
      <c r="M7" s="3"/>
      <c r="O7" s="1">
        <v>43009</v>
      </c>
      <c r="P7" s="2">
        <f t="shared" si="0"/>
        <v>0</v>
      </c>
      <c r="Q7" s="2">
        <f t="shared" si="1"/>
        <v>-4.035568000000012</v>
      </c>
      <c r="R7" s="2">
        <f t="shared" si="2"/>
        <v>-0.26861099999999283</v>
      </c>
      <c r="S7" s="2"/>
      <c r="T7" s="3"/>
    </row>
    <row r="8" spans="1:27" x14ac:dyDescent="0.25">
      <c r="A8" s="1">
        <v>43040</v>
      </c>
      <c r="B8" s="2">
        <v>3.8011170000000001</v>
      </c>
      <c r="C8" s="2">
        <v>116.22651999999999</v>
      </c>
      <c r="D8" s="2">
        <v>73.553476000000003</v>
      </c>
      <c r="E8" s="2">
        <f t="shared" si="3"/>
        <v>128.332638181818</v>
      </c>
      <c r="F8" s="3"/>
      <c r="H8" s="1">
        <v>43040</v>
      </c>
      <c r="I8" s="2">
        <v>3.8011170000000001</v>
      </c>
      <c r="J8" s="2">
        <v>120.26208800000001</v>
      </c>
      <c r="K8" s="2">
        <v>73.499073999999993</v>
      </c>
      <c r="L8" s="2">
        <f t="shared" si="4"/>
        <v>128.25333799999999</v>
      </c>
      <c r="M8" s="3"/>
      <c r="O8" s="1">
        <v>43040</v>
      </c>
      <c r="P8" s="2">
        <f t="shared" si="0"/>
        <v>0</v>
      </c>
      <c r="Q8" s="2">
        <f t="shared" si="1"/>
        <v>-4.035568000000012</v>
      </c>
      <c r="R8" s="2">
        <f t="shared" si="2"/>
        <v>-0.26826599999999701</v>
      </c>
      <c r="S8" s="2"/>
      <c r="T8" s="3"/>
    </row>
    <row r="9" spans="1:27" x14ac:dyDescent="0.25">
      <c r="A9" s="1">
        <v>43070</v>
      </c>
      <c r="B9" s="2">
        <v>3.8011170000000001</v>
      </c>
      <c r="C9" s="2">
        <v>116.22651999999999</v>
      </c>
      <c r="D9" s="2">
        <v>73.230807999999996</v>
      </c>
      <c r="E9" s="2">
        <f t="shared" si="3"/>
        <v>128.332638181818</v>
      </c>
      <c r="F9" s="3"/>
      <c r="H9" s="1">
        <v>43070</v>
      </c>
      <c r="I9" s="2">
        <v>3.8011170000000001</v>
      </c>
      <c r="J9" s="2">
        <v>120.26208800000001</v>
      </c>
      <c r="K9" s="2">
        <v>73.176643999999996</v>
      </c>
      <c r="L9" s="2">
        <f t="shared" si="4"/>
        <v>128.25333799999999</v>
      </c>
      <c r="M9" s="3"/>
      <c r="O9" s="1">
        <v>43070</v>
      </c>
      <c r="P9" s="2">
        <f t="shared" si="0"/>
        <v>0</v>
      </c>
      <c r="Q9" s="2">
        <f t="shared" si="1"/>
        <v>-4.035568000000012</v>
      </c>
      <c r="R9" s="2">
        <f t="shared" si="2"/>
        <v>-0.26792399999999361</v>
      </c>
      <c r="S9" s="2"/>
      <c r="T9" s="3"/>
    </row>
    <row r="10" spans="1:27" x14ac:dyDescent="0.25">
      <c r="A10" s="1">
        <v>43101</v>
      </c>
      <c r="B10" s="2">
        <v>3.8011170000000001</v>
      </c>
      <c r="C10" s="2">
        <v>116.22651999999999</v>
      </c>
      <c r="D10" s="2">
        <v>72.908720000000002</v>
      </c>
      <c r="E10" s="2">
        <f t="shared" si="3"/>
        <v>128.332638181818</v>
      </c>
      <c r="F10" s="3"/>
      <c r="H10" s="1">
        <v>43101</v>
      </c>
      <c r="I10" s="2">
        <v>3.8011170000000001</v>
      </c>
      <c r="J10" s="2">
        <v>120.26208800000001</v>
      </c>
      <c r="K10" s="2">
        <v>72.854794999999996</v>
      </c>
      <c r="L10" s="2">
        <f t="shared" si="4"/>
        <v>128.25333799999999</v>
      </c>
      <c r="M10" s="3"/>
      <c r="O10" s="1">
        <v>43101</v>
      </c>
      <c r="P10" s="2">
        <f t="shared" si="0"/>
        <v>0</v>
      </c>
      <c r="Q10" s="2">
        <f t="shared" si="1"/>
        <v>-4.035568000000012</v>
      </c>
      <c r="R10" s="2">
        <f t="shared" si="2"/>
        <v>-0.2675830000000019</v>
      </c>
      <c r="S10" s="2"/>
      <c r="T10" s="3"/>
    </row>
    <row r="11" spans="1:27" x14ac:dyDescent="0.25">
      <c r="A11" s="1">
        <v>43132</v>
      </c>
      <c r="B11" s="2">
        <v>3.8011170000000001</v>
      </c>
      <c r="C11" s="2">
        <v>116.22651999999999</v>
      </c>
      <c r="D11" s="2">
        <v>72.587211999999994</v>
      </c>
      <c r="E11" s="2">
        <f t="shared" si="3"/>
        <v>128.332638181818</v>
      </c>
      <c r="F11" s="3"/>
      <c r="H11" s="1">
        <v>43132</v>
      </c>
      <c r="I11" s="2">
        <v>3.8011170000000001</v>
      </c>
      <c r="J11" s="2">
        <v>120.26208800000001</v>
      </c>
      <c r="K11" s="2">
        <v>72.533524999999997</v>
      </c>
      <c r="L11" s="2">
        <f t="shared" si="4"/>
        <v>128.25333799999999</v>
      </c>
      <c r="M11" s="3"/>
      <c r="O11" s="1">
        <v>43132</v>
      </c>
      <c r="P11" s="2">
        <f t="shared" si="0"/>
        <v>0</v>
      </c>
      <c r="Q11" s="2">
        <f t="shared" si="1"/>
        <v>-4.035568000000012</v>
      </c>
      <c r="R11" s="2">
        <f t="shared" si="2"/>
        <v>-0.26724299999999346</v>
      </c>
      <c r="S11" s="2"/>
      <c r="T11" s="3"/>
    </row>
    <row r="12" spans="1:27" x14ac:dyDescent="0.25">
      <c r="A12" s="1">
        <v>43160</v>
      </c>
      <c r="B12" s="2">
        <v>3.8011170000000001</v>
      </c>
      <c r="C12" s="2">
        <v>116.22651999999999</v>
      </c>
      <c r="D12" s="2">
        <v>72.266282000000004</v>
      </c>
      <c r="E12" s="2">
        <f t="shared" si="3"/>
        <v>128.332638181818</v>
      </c>
      <c r="F12" s="3"/>
      <c r="H12" s="1">
        <v>43160</v>
      </c>
      <c r="I12" s="2">
        <v>3.8011170000000001</v>
      </c>
      <c r="J12" s="2">
        <v>120.26208800000001</v>
      </c>
      <c r="K12" s="2">
        <v>72.212832000000006</v>
      </c>
      <c r="L12" s="2">
        <f t="shared" si="4"/>
        <v>128.25333799999999</v>
      </c>
      <c r="M12" s="3"/>
      <c r="O12" s="1">
        <v>43160</v>
      </c>
      <c r="P12" s="2">
        <f t="shared" si="0"/>
        <v>0</v>
      </c>
      <c r="Q12" s="2">
        <f t="shared" si="1"/>
        <v>-4.035568000000012</v>
      </c>
      <c r="R12" s="2">
        <f t="shared" si="2"/>
        <v>-0.26690400000001091</v>
      </c>
      <c r="S12" s="2"/>
      <c r="T12" s="3"/>
    </row>
    <row r="13" spans="1:27" x14ac:dyDescent="0.25">
      <c r="A13" s="1">
        <v>43191</v>
      </c>
      <c r="B13" s="2">
        <v>3.8011170000000001</v>
      </c>
      <c r="C13" s="2">
        <v>116.22651999999999</v>
      </c>
      <c r="D13" s="2">
        <v>71.945927999999995</v>
      </c>
      <c r="E13" s="2">
        <f t="shared" si="3"/>
        <v>128.332638181818</v>
      </c>
      <c r="F13" s="3"/>
      <c r="H13" s="1">
        <v>43191</v>
      </c>
      <c r="I13" s="2">
        <v>3.8011170000000001</v>
      </c>
      <c r="J13" s="2">
        <v>120.26208800000001</v>
      </c>
      <c r="K13" s="2">
        <v>71.892713999999998</v>
      </c>
      <c r="L13" s="2">
        <f t="shared" si="4"/>
        <v>128.25333799999999</v>
      </c>
      <c r="M13" s="3"/>
      <c r="O13" s="1">
        <v>43191</v>
      </c>
      <c r="P13" s="2">
        <f t="shared" si="0"/>
        <v>0</v>
      </c>
      <c r="Q13" s="2">
        <f t="shared" si="1"/>
        <v>-4.035568000000012</v>
      </c>
      <c r="R13" s="2">
        <f t="shared" si="2"/>
        <v>-0.26656699999999489</v>
      </c>
      <c r="S13" s="2"/>
      <c r="T13" s="3"/>
    </row>
    <row r="14" spans="1:27" x14ac:dyDescent="0.25">
      <c r="A14" s="1">
        <v>43221</v>
      </c>
      <c r="B14" s="2">
        <v>3.8011170000000001</v>
      </c>
      <c r="C14" s="2">
        <v>116.22651999999999</v>
      </c>
      <c r="D14" s="2">
        <v>71.626147000000003</v>
      </c>
      <c r="E14" s="2">
        <f t="shared" si="3"/>
        <v>128.332638181818</v>
      </c>
      <c r="F14" s="3"/>
      <c r="H14" s="1">
        <v>43221</v>
      </c>
      <c r="I14" s="2">
        <v>3.8011170000000001</v>
      </c>
      <c r="J14" s="2">
        <v>120.26208800000001</v>
      </c>
      <c r="K14" s="2">
        <v>71.573170000000005</v>
      </c>
      <c r="L14" s="2">
        <f t="shared" si="4"/>
        <v>128.25333799999999</v>
      </c>
      <c r="M14" s="3"/>
      <c r="O14" s="1">
        <v>43221</v>
      </c>
      <c r="P14" s="2">
        <f t="shared" si="0"/>
        <v>0</v>
      </c>
      <c r="Q14" s="2">
        <f t="shared" si="1"/>
        <v>-4.035568000000012</v>
      </c>
      <c r="R14" s="2">
        <f t="shared" si="2"/>
        <v>-0.26623100000000477</v>
      </c>
      <c r="S14" s="2"/>
      <c r="T14" s="3"/>
    </row>
    <row r="15" spans="1:27" x14ac:dyDescent="0.25">
      <c r="A15" s="1">
        <v>43252</v>
      </c>
      <c r="B15" s="2">
        <v>3.8011170000000001</v>
      </c>
      <c r="C15" s="2">
        <v>116.22651999999999</v>
      </c>
      <c r="D15" s="2">
        <v>71.306939</v>
      </c>
      <c r="E15" s="2">
        <f t="shared" si="3"/>
        <v>128.332638181818</v>
      </c>
      <c r="F15" s="3"/>
      <c r="H15" s="1">
        <v>43252</v>
      </c>
      <c r="I15" s="2">
        <v>3.8011170000000001</v>
      </c>
      <c r="J15" s="2">
        <v>120.26208800000001</v>
      </c>
      <c r="K15" s="2">
        <v>71.254198000000002</v>
      </c>
      <c r="L15" s="2">
        <f t="shared" si="4"/>
        <v>128.25333799999999</v>
      </c>
      <c r="M15" s="3"/>
      <c r="O15" s="1">
        <v>43252</v>
      </c>
      <c r="P15" s="2">
        <f t="shared" si="0"/>
        <v>0</v>
      </c>
      <c r="Q15" s="2">
        <f t="shared" si="1"/>
        <v>-4.035568000000012</v>
      </c>
      <c r="R15" s="2">
        <f t="shared" si="2"/>
        <v>-0.26589599999999791</v>
      </c>
      <c r="S15" s="2"/>
      <c r="T15" s="3"/>
    </row>
    <row r="16" spans="1:27" x14ac:dyDescent="0.25">
      <c r="A16" s="1">
        <v>43282</v>
      </c>
      <c r="B16" s="2">
        <v>3.8011170000000001</v>
      </c>
      <c r="C16" s="2">
        <v>116.22651999999999</v>
      </c>
      <c r="D16" s="2">
        <v>70.988302000000004</v>
      </c>
      <c r="E16" s="2">
        <f t="shared" si="3"/>
        <v>128.332638181818</v>
      </c>
      <c r="F16" s="3"/>
      <c r="H16" s="1">
        <v>43282</v>
      </c>
      <c r="I16" s="2">
        <v>3.8011170000000001</v>
      </c>
      <c r="J16" s="2">
        <v>120.26208800000001</v>
      </c>
      <c r="K16" s="2">
        <v>70.935795999999996</v>
      </c>
      <c r="L16" s="2">
        <f t="shared" si="4"/>
        <v>128.25333799999999</v>
      </c>
      <c r="M16" s="3"/>
      <c r="O16" s="1">
        <v>43282</v>
      </c>
      <c r="P16" s="2">
        <f t="shared" si="0"/>
        <v>0</v>
      </c>
      <c r="Q16" s="2">
        <f t="shared" si="1"/>
        <v>-4.035568000000012</v>
      </c>
      <c r="R16" s="2">
        <f t="shared" si="2"/>
        <v>-0.26556300000000022</v>
      </c>
      <c r="S16" s="2"/>
      <c r="T16" s="3"/>
    </row>
    <row r="17" spans="1:20" x14ac:dyDescent="0.25">
      <c r="A17" s="1">
        <v>43313</v>
      </c>
      <c r="B17" s="2">
        <v>3.8011170000000001</v>
      </c>
      <c r="C17" s="2">
        <v>116.22651999999999</v>
      </c>
      <c r="D17" s="2">
        <v>70.670232999999996</v>
      </c>
      <c r="E17" s="2">
        <f t="shared" si="3"/>
        <v>128.332638181818</v>
      </c>
      <c r="F17" s="3"/>
      <c r="H17" s="1">
        <v>43313</v>
      </c>
      <c r="I17" s="2">
        <v>3.8011170000000001</v>
      </c>
      <c r="J17" s="2">
        <v>120.26208800000001</v>
      </c>
      <c r="K17" s="2">
        <v>70.617963000000003</v>
      </c>
      <c r="L17" s="2">
        <f t="shared" si="4"/>
        <v>128.25333799999999</v>
      </c>
      <c r="M17" s="3"/>
      <c r="O17" s="1">
        <v>43313</v>
      </c>
      <c r="P17" s="2">
        <f t="shared" si="0"/>
        <v>0</v>
      </c>
      <c r="Q17" s="2">
        <f t="shared" si="1"/>
        <v>-4.035568000000012</v>
      </c>
      <c r="R17" s="2">
        <f t="shared" si="2"/>
        <v>-0.26523199999999747</v>
      </c>
      <c r="S17" s="2"/>
      <c r="T17" s="3"/>
    </row>
    <row r="18" spans="1:20" x14ac:dyDescent="0.25">
      <c r="A18" s="1">
        <v>43344</v>
      </c>
      <c r="B18" s="2">
        <v>3.8011170000000001</v>
      </c>
      <c r="C18" s="2">
        <v>116.22651999999999</v>
      </c>
      <c r="D18" s="2">
        <v>70.352731000000006</v>
      </c>
      <c r="E18" s="2">
        <f t="shared" si="3"/>
        <v>128.332638181818</v>
      </c>
      <c r="F18" s="3"/>
      <c r="H18" s="1">
        <v>43344</v>
      </c>
      <c r="I18" s="2">
        <v>3.8011170000000001</v>
      </c>
      <c r="J18" s="2">
        <v>120.26208800000001</v>
      </c>
      <c r="K18" s="2">
        <v>70.300695000000005</v>
      </c>
      <c r="L18" s="2">
        <f t="shared" si="4"/>
        <v>128.25333799999999</v>
      </c>
      <c r="M18" s="3"/>
      <c r="O18" s="1">
        <v>43344</v>
      </c>
      <c r="P18" s="2">
        <f t="shared" si="0"/>
        <v>0</v>
      </c>
      <c r="Q18" s="2">
        <f t="shared" si="1"/>
        <v>-4.035568000000012</v>
      </c>
      <c r="R18" s="2">
        <f t="shared" si="2"/>
        <v>-0.26490100000000893</v>
      </c>
      <c r="S18" s="2"/>
      <c r="T18" s="3"/>
    </row>
    <row r="19" spans="1:20" x14ac:dyDescent="0.25">
      <c r="A19" s="1">
        <v>43374</v>
      </c>
      <c r="B19" s="2">
        <v>3.8011170000000001</v>
      </c>
      <c r="C19" s="2">
        <v>116.22651999999999</v>
      </c>
      <c r="D19" s="2">
        <v>70.035793999999996</v>
      </c>
      <c r="E19" s="2">
        <f t="shared" si="3"/>
        <v>128.332638181818</v>
      </c>
      <c r="F19" s="3"/>
      <c r="H19" s="1">
        <v>43374</v>
      </c>
      <c r="I19" s="2">
        <v>3.8011170000000001</v>
      </c>
      <c r="J19" s="2">
        <v>126.51208800000001</v>
      </c>
      <c r="K19" s="2">
        <v>69.983992999999998</v>
      </c>
      <c r="L19" s="2">
        <f t="shared" si="4"/>
        <v>134.50333799999999</v>
      </c>
      <c r="M19" s="3"/>
      <c r="O19" s="1">
        <v>43374</v>
      </c>
      <c r="P19" s="2">
        <f t="shared" si="0"/>
        <v>0</v>
      </c>
      <c r="Q19" s="2">
        <f t="shared" si="1"/>
        <v>-4.035568000000012</v>
      </c>
      <c r="R19" s="2">
        <f t="shared" si="2"/>
        <v>-0.26457299999999861</v>
      </c>
      <c r="S19" s="2"/>
      <c r="T19" s="3"/>
    </row>
    <row r="20" spans="1:20" x14ac:dyDescent="0.25">
      <c r="A20" s="1">
        <v>43405</v>
      </c>
      <c r="B20" s="2">
        <v>3.8011170000000001</v>
      </c>
      <c r="C20" s="2">
        <v>122.47651999999999</v>
      </c>
      <c r="D20" s="2">
        <v>69.71942</v>
      </c>
      <c r="E20" s="2">
        <f t="shared" si="3"/>
        <v>134.582638181818</v>
      </c>
      <c r="F20" s="3"/>
      <c r="H20" s="1">
        <v>43405</v>
      </c>
      <c r="I20" s="2">
        <v>3.8011170000000001</v>
      </c>
      <c r="J20" s="2">
        <v>126.51208800000001</v>
      </c>
      <c r="K20" s="2">
        <v>69.667854000000005</v>
      </c>
      <c r="L20" s="2">
        <f t="shared" si="4"/>
        <v>134.50333799999999</v>
      </c>
      <c r="M20" s="3"/>
      <c r="O20" s="1">
        <v>43405</v>
      </c>
      <c r="P20" s="2">
        <f t="shared" si="0"/>
        <v>0</v>
      </c>
      <c r="Q20" s="2">
        <f t="shared" si="1"/>
        <v>-4.035568000000012</v>
      </c>
      <c r="R20" s="2">
        <f t="shared" si="2"/>
        <v>-0.26424599999999998</v>
      </c>
      <c r="S20" s="2"/>
      <c r="T20" s="3"/>
    </row>
    <row r="21" spans="1:20" x14ac:dyDescent="0.25">
      <c r="A21" s="1">
        <v>43435</v>
      </c>
      <c r="B21" s="2">
        <v>3.8011170000000001</v>
      </c>
      <c r="C21" s="2">
        <v>122.47651999999999</v>
      </c>
      <c r="D21" s="2">
        <v>69.403608000000006</v>
      </c>
      <c r="E21" s="2">
        <f t="shared" si="3"/>
        <v>134.582638181818</v>
      </c>
      <c r="F21" s="3"/>
      <c r="H21" s="1">
        <v>43435</v>
      </c>
      <c r="I21" s="2">
        <v>3.8011170000000001</v>
      </c>
      <c r="J21" s="2">
        <v>126.51208800000001</v>
      </c>
      <c r="K21" s="2">
        <v>69.352275000000006</v>
      </c>
      <c r="L21" s="2">
        <f t="shared" si="4"/>
        <v>134.50333799999999</v>
      </c>
      <c r="M21" s="3"/>
      <c r="O21" s="1">
        <v>43435</v>
      </c>
      <c r="P21" s="2">
        <f t="shared" si="0"/>
        <v>0</v>
      </c>
      <c r="Q21" s="2">
        <f t="shared" si="1"/>
        <v>-4.035568000000012</v>
      </c>
      <c r="R21" s="2">
        <f t="shared" si="2"/>
        <v>-0.26391900000000135</v>
      </c>
      <c r="S21" s="2"/>
      <c r="T21" s="3"/>
    </row>
    <row r="22" spans="1:20" x14ac:dyDescent="0.25">
      <c r="A22" s="1">
        <v>43466</v>
      </c>
      <c r="B22" s="2">
        <v>3.8011170000000001</v>
      </c>
      <c r="C22" s="2">
        <v>122.47651999999999</v>
      </c>
      <c r="D22" s="2">
        <v>69.088356000000005</v>
      </c>
      <c r="E22" s="2">
        <f t="shared" si="3"/>
        <v>134.582638181818</v>
      </c>
      <c r="F22" s="3"/>
      <c r="H22" s="1">
        <v>43466</v>
      </c>
      <c r="I22" s="2">
        <v>3.8011170000000001</v>
      </c>
      <c r="J22" s="2">
        <v>126.51208800000001</v>
      </c>
      <c r="K22" s="2">
        <v>69.037255999999999</v>
      </c>
      <c r="L22" s="2">
        <f t="shared" si="4"/>
        <v>134.50333799999999</v>
      </c>
      <c r="M22" s="3"/>
      <c r="O22" s="1">
        <v>43466</v>
      </c>
      <c r="P22" s="2">
        <f t="shared" si="0"/>
        <v>0</v>
      </c>
      <c r="Q22" s="2">
        <f t="shared" si="1"/>
        <v>-4.035568000000012</v>
      </c>
      <c r="R22" s="2">
        <f t="shared" si="2"/>
        <v>-0.26359399999999766</v>
      </c>
      <c r="S22" s="2"/>
      <c r="T22" s="3"/>
    </row>
    <row r="23" spans="1:20" x14ac:dyDescent="0.25">
      <c r="A23" s="1">
        <v>43497</v>
      </c>
      <c r="B23" s="2">
        <v>3.8011170000000001</v>
      </c>
      <c r="C23" s="2">
        <v>122.47651999999999</v>
      </c>
      <c r="D23" s="2">
        <v>68.773662000000002</v>
      </c>
      <c r="E23" s="2">
        <f t="shared" si="3"/>
        <v>134.582638181818</v>
      </c>
      <c r="F23" s="3"/>
      <c r="H23" s="1">
        <v>43497</v>
      </c>
      <c r="I23" s="2">
        <v>3.8011170000000001</v>
      </c>
      <c r="J23" s="2">
        <v>126.51208800000001</v>
      </c>
      <c r="K23" s="2">
        <v>68.722795000000005</v>
      </c>
      <c r="L23" s="2">
        <f t="shared" si="4"/>
        <v>134.50333799999999</v>
      </c>
      <c r="M23" s="3"/>
      <c r="O23" s="1">
        <v>43497</v>
      </c>
      <c r="P23" s="2">
        <f t="shared" si="0"/>
        <v>0</v>
      </c>
      <c r="Q23" s="2">
        <f t="shared" si="1"/>
        <v>-4.035568000000012</v>
      </c>
      <c r="R23" s="2">
        <f t="shared" si="2"/>
        <v>-0.26327000000000567</v>
      </c>
      <c r="S23" s="2"/>
      <c r="T23" s="3"/>
    </row>
    <row r="24" spans="1:20" x14ac:dyDescent="0.25">
      <c r="A24" s="1">
        <v>43525</v>
      </c>
      <c r="B24" s="2">
        <v>3.8011170000000001</v>
      </c>
      <c r="C24" s="2">
        <v>122.47651999999999</v>
      </c>
      <c r="D24" s="2">
        <v>68.459524999999999</v>
      </c>
      <c r="E24" s="2">
        <f t="shared" si="3"/>
        <v>134.582638181818</v>
      </c>
      <c r="F24" s="3"/>
      <c r="H24" s="1">
        <v>43525</v>
      </c>
      <c r="I24" s="2">
        <v>3.8011170000000001</v>
      </c>
      <c r="J24" s="2">
        <v>126.51208800000001</v>
      </c>
      <c r="K24" s="2">
        <v>68.40889</v>
      </c>
      <c r="L24" s="2">
        <f t="shared" si="4"/>
        <v>134.50333799999999</v>
      </c>
      <c r="M24" s="3"/>
      <c r="O24" s="1">
        <v>43525</v>
      </c>
      <c r="P24" s="2">
        <f t="shared" si="0"/>
        <v>0</v>
      </c>
      <c r="Q24" s="2">
        <f t="shared" si="1"/>
        <v>-4.035568000000012</v>
      </c>
      <c r="R24" s="2">
        <f t="shared" si="2"/>
        <v>-0.26294900000000609</v>
      </c>
      <c r="S24" s="2"/>
      <c r="T24" s="3"/>
    </row>
    <row r="25" spans="1:20" x14ac:dyDescent="0.25">
      <c r="A25" s="1">
        <v>43556</v>
      </c>
      <c r="B25" s="2">
        <v>3.8011170000000001</v>
      </c>
      <c r="C25" s="2">
        <v>122.47651999999999</v>
      </c>
      <c r="D25" s="2">
        <v>68.145940999999993</v>
      </c>
      <c r="E25" s="2">
        <f t="shared" si="3"/>
        <v>134.582638181818</v>
      </c>
      <c r="F25" s="3"/>
      <c r="H25" s="1">
        <v>43556</v>
      </c>
      <c r="I25" s="2">
        <v>3.8011170000000001</v>
      </c>
      <c r="J25" s="2">
        <v>126.51208800000001</v>
      </c>
      <c r="K25" s="2">
        <v>68.095538000000005</v>
      </c>
      <c r="L25" s="2">
        <f t="shared" si="4"/>
        <v>134.50333799999999</v>
      </c>
      <c r="M25" s="3"/>
      <c r="O25" s="1">
        <v>43556</v>
      </c>
      <c r="P25" s="2">
        <f t="shared" si="0"/>
        <v>0</v>
      </c>
      <c r="Q25" s="2">
        <f t="shared" si="1"/>
        <v>-4.035568000000012</v>
      </c>
      <c r="R25" s="2">
        <f t="shared" si="2"/>
        <v>-0.26262700000000905</v>
      </c>
      <c r="S25" s="2"/>
      <c r="T25" s="3"/>
    </row>
    <row r="26" spans="1:20" x14ac:dyDescent="0.25">
      <c r="A26" s="1">
        <v>43586</v>
      </c>
      <c r="B26" s="2">
        <v>3.8011170000000001</v>
      </c>
      <c r="C26" s="2">
        <v>122.47651999999999</v>
      </c>
      <c r="D26" s="2">
        <v>67.832910999999996</v>
      </c>
      <c r="E26" s="2">
        <f t="shared" si="3"/>
        <v>134.582638181818</v>
      </c>
      <c r="F26" s="3"/>
      <c r="H26" s="1">
        <v>43586</v>
      </c>
      <c r="I26" s="2">
        <v>3.8011170000000001</v>
      </c>
      <c r="J26" s="2">
        <v>126.51208800000001</v>
      </c>
      <c r="K26" s="2">
        <v>67.782740000000004</v>
      </c>
      <c r="L26" s="2">
        <f t="shared" si="4"/>
        <v>134.50333799999999</v>
      </c>
      <c r="M26" s="3"/>
      <c r="O26" s="1">
        <v>43586</v>
      </c>
      <c r="P26" s="2">
        <f t="shared" si="0"/>
        <v>0</v>
      </c>
      <c r="Q26" s="2">
        <f t="shared" si="1"/>
        <v>-4.035568000000012</v>
      </c>
      <c r="R26" s="2">
        <f t="shared" si="2"/>
        <v>-0.26230800000000443</v>
      </c>
      <c r="S26" s="2"/>
      <c r="T26" s="3"/>
    </row>
    <row r="27" spans="1:20" x14ac:dyDescent="0.25">
      <c r="A27" s="1">
        <v>43617</v>
      </c>
      <c r="B27" s="2">
        <v>3.8011170000000001</v>
      </c>
      <c r="C27" s="2">
        <v>122.47651999999999</v>
      </c>
      <c r="D27" s="2">
        <v>67.520432</v>
      </c>
      <c r="E27" s="2">
        <f t="shared" si="3"/>
        <v>134.582638181818</v>
      </c>
      <c r="F27" s="3"/>
      <c r="H27" s="1"/>
      <c r="O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GNM Bond</vt:lpstr>
      <vt:lpstr>Incentive_Elig</vt:lpstr>
      <vt:lpstr>Recalculate Incentive</vt:lpstr>
      <vt:lpstr>Use Diff Mtg Rt</vt:lpstr>
      <vt:lpstr>Conv Bond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2017-07-25T21:47:58Z</dcterms:created>
  <dcterms:modified xsi:type="dcterms:W3CDTF">2017-07-28T15:25:52Z</dcterms:modified>
</cp:coreProperties>
</file>